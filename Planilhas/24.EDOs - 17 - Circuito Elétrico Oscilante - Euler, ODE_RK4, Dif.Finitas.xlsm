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chartsheets/sheet2.xml" ContentType="application/vnd.openxmlformats-officedocument.spreadsheetml.chartsheet+xml"/>
  <Override PartName="/xl/worksheets/sheet5.xml" ContentType="application/vnd.openxmlformats-officedocument.spreadsheetml.work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527" codeName="{B6124F1A-AFFB-F854-7757-9A1D4C6FC43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Z:\Google Drive\Disciplinas\Matemática II\cálculo, abordagem computacional\planilhas\"/>
    </mc:Choice>
  </mc:AlternateContent>
  <xr:revisionPtr revIDLastSave="0" documentId="13_ncr:40009_{DFFF71CB-ED5A-414E-ADAB-A227A806B290}" xr6:coauthVersionLast="47" xr6:coauthVersionMax="47" xr10:uidLastSave="{00000000-0000-0000-0000-000000000000}"/>
  <bookViews>
    <workbookView xWindow="-120" yWindow="-120" windowWidth="27960" windowHeight="14220" activeTab="7"/>
  </bookViews>
  <sheets>
    <sheet name="Resolução Teórica" sheetId="5" r:id="rId1"/>
    <sheet name="Solução Exata" sheetId="7" r:id="rId2"/>
    <sheet name="edo - i - euler" sheetId="4" r:id="rId3"/>
    <sheet name="Gráf1" sheetId="6" r:id="rId4"/>
    <sheet name="edo - i - dif.finita" sheetId="3" r:id="rId5"/>
    <sheet name="Gráf2" sheetId="8" r:id="rId6"/>
    <sheet name="edo - i - RK4" sheetId="2" r:id="rId7"/>
    <sheet name="Gráf3" sheetId="10" r:id="rId8"/>
  </sheets>
  <functionGroups builtInGroupCount="19"/>
  <definedNames>
    <definedName name="A1_x">'Solução Exata'!$G$10</definedName>
    <definedName name="A2_x">'Solução Exata'!$G$11</definedName>
    <definedName name="C_x">'Solução Exata'!$G$3</definedName>
    <definedName name="E0_x">'Solução Exata'!$E$5</definedName>
    <definedName name="K_x">'Solução Exata'!$G$9</definedName>
    <definedName name="L_x">'Solução Exata'!$F$3</definedName>
    <definedName name="p_x">'Solução Exata'!$G$8</definedName>
    <definedName name="R_x">'Solução Exata'!$E$3</definedName>
    <definedName name="w_x">'Solução Exata'!$G$5</definedName>
    <definedName name="w2_x">'Solução Exata'!$F$5</definedName>
  </definedNames>
  <calcPr calcId="181029" iterate="1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10" i="3" l="1"/>
  <c r="A1011" i="3"/>
  <c r="A1012" i="3"/>
  <c r="A1004" i="3"/>
  <c r="A1005" i="3"/>
  <c r="A1006" i="3"/>
  <c r="A1007" i="3"/>
  <c r="A1008" i="3"/>
  <c r="A1009" i="3"/>
  <c r="A1001" i="3"/>
  <c r="A1002" i="3"/>
  <c r="A1003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596" i="3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K7" i="2"/>
  <c r="J7" i="2"/>
  <c r="I7" i="2"/>
  <c r="H7" i="2"/>
  <c r="G8" i="7"/>
  <c r="G5" i="7"/>
  <c r="G9" i="7" s="1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C11" i="4"/>
  <c r="B12" i="4"/>
  <c r="E12" i="3"/>
  <c r="C12" i="3"/>
  <c r="A654" i="7"/>
  <c r="L7" i="2"/>
  <c r="E11" i="4"/>
  <c r="D12" i="4"/>
  <c r="A655" i="7"/>
  <c r="C12" i="4"/>
  <c r="B13" i="4"/>
  <c r="E12" i="4"/>
  <c r="D13" i="4"/>
  <c r="A656" i="7"/>
  <c r="C13" i="4"/>
  <c r="E13" i="4"/>
  <c r="D14" i="4"/>
  <c r="B14" i="4"/>
  <c r="A657" i="7"/>
  <c r="C14" i="4"/>
  <c r="B15" i="4"/>
  <c r="E14" i="4"/>
  <c r="D15" i="4"/>
  <c r="A658" i="7"/>
  <c r="C15" i="4"/>
  <c r="E15" i="4"/>
  <c r="D16" i="4"/>
  <c r="B16" i="4"/>
  <c r="A659" i="7"/>
  <c r="C16" i="4"/>
  <c r="B17" i="4"/>
  <c r="E16" i="4"/>
  <c r="D17" i="4"/>
  <c r="A660" i="7"/>
  <c r="C17" i="4"/>
  <c r="B18" i="4"/>
  <c r="E17" i="4"/>
  <c r="D18" i="4"/>
  <c r="A661" i="7"/>
  <c r="C18" i="4"/>
  <c r="B19" i="4"/>
  <c r="E18" i="4"/>
  <c r="D19" i="4"/>
  <c r="A662" i="7"/>
  <c r="C19" i="4"/>
  <c r="B20" i="4"/>
  <c r="E19" i="4"/>
  <c r="D20" i="4"/>
  <c r="A663" i="7"/>
  <c r="C20" i="4"/>
  <c r="E20" i="4"/>
  <c r="D21" i="4"/>
  <c r="B21" i="4"/>
  <c r="A664" i="7"/>
  <c r="C21" i="4"/>
  <c r="E21" i="4"/>
  <c r="D22" i="4"/>
  <c r="B22" i="4"/>
  <c r="A665" i="7"/>
  <c r="C22" i="4"/>
  <c r="B23" i="4"/>
  <c r="E22" i="4"/>
  <c r="D23" i="4"/>
  <c r="A666" i="7"/>
  <c r="C23" i="4"/>
  <c r="E23" i="4"/>
  <c r="D24" i="4"/>
  <c r="B24" i="4"/>
  <c r="A667" i="7"/>
  <c r="C24" i="4"/>
  <c r="B25" i="4"/>
  <c r="E24" i="4"/>
  <c r="D25" i="4"/>
  <c r="A668" i="7"/>
  <c r="C25" i="4"/>
  <c r="B26" i="4"/>
  <c r="E25" i="4"/>
  <c r="D26" i="4"/>
  <c r="A669" i="7"/>
  <c r="C26" i="4"/>
  <c r="B27" i="4"/>
  <c r="E26" i="4"/>
  <c r="D27" i="4"/>
  <c r="A670" i="7"/>
  <c r="C27" i="4"/>
  <c r="E27" i="4"/>
  <c r="D28" i="4"/>
  <c r="B28" i="4"/>
  <c r="A671" i="7"/>
  <c r="C28" i="4"/>
  <c r="B29" i="4"/>
  <c r="E28" i="4"/>
  <c r="D29" i="4"/>
  <c r="A672" i="7"/>
  <c r="C29" i="4"/>
  <c r="B30" i="4"/>
  <c r="E29" i="4"/>
  <c r="D30" i="4"/>
  <c r="A673" i="7"/>
  <c r="C30" i="4"/>
  <c r="E30" i="4"/>
  <c r="D31" i="4"/>
  <c r="B31" i="4"/>
  <c r="A674" i="7"/>
  <c r="C31" i="4"/>
  <c r="B32" i="4"/>
  <c r="E31" i="4"/>
  <c r="D32" i="4"/>
  <c r="A675" i="7"/>
  <c r="C32" i="4"/>
  <c r="E32" i="4"/>
  <c r="D33" i="4"/>
  <c r="B33" i="4"/>
  <c r="A676" i="7"/>
  <c r="C33" i="4"/>
  <c r="B34" i="4"/>
  <c r="E33" i="4"/>
  <c r="D34" i="4"/>
  <c r="A677" i="7"/>
  <c r="C34" i="4"/>
  <c r="E34" i="4"/>
  <c r="D35" i="4"/>
  <c r="B35" i="4"/>
  <c r="A678" i="7"/>
  <c r="C35" i="4"/>
  <c r="E35" i="4"/>
  <c r="D36" i="4"/>
  <c r="B36" i="4"/>
  <c r="A679" i="7"/>
  <c r="C36" i="4"/>
  <c r="B37" i="4"/>
  <c r="E36" i="4"/>
  <c r="D37" i="4"/>
  <c r="A680" i="7"/>
  <c r="C37" i="4"/>
  <c r="E37" i="4"/>
  <c r="D38" i="4"/>
  <c r="B38" i="4"/>
  <c r="A681" i="7"/>
  <c r="C38" i="4"/>
  <c r="B39" i="4"/>
  <c r="E38" i="4"/>
  <c r="D39" i="4"/>
  <c r="A682" i="7"/>
  <c r="C39" i="4"/>
  <c r="B40" i="4"/>
  <c r="E39" i="4"/>
  <c r="D40" i="4"/>
  <c r="A683" i="7"/>
  <c r="C40" i="4"/>
  <c r="E40" i="4"/>
  <c r="D41" i="4"/>
  <c r="B41" i="4"/>
  <c r="A684" i="7"/>
  <c r="C41" i="4"/>
  <c r="B42" i="4"/>
  <c r="E41" i="4"/>
  <c r="D42" i="4"/>
  <c r="A685" i="7"/>
  <c r="C42" i="4"/>
  <c r="B43" i="4"/>
  <c r="E42" i="4"/>
  <c r="D43" i="4"/>
  <c r="A686" i="7"/>
  <c r="C43" i="4"/>
  <c r="B44" i="4"/>
  <c r="E43" i="4"/>
  <c r="D44" i="4"/>
  <c r="A687" i="7"/>
  <c r="C44" i="4"/>
  <c r="B45" i="4"/>
  <c r="E44" i="4"/>
  <c r="D45" i="4"/>
  <c r="A688" i="7"/>
  <c r="C45" i="4"/>
  <c r="B46" i="4"/>
  <c r="E45" i="4"/>
  <c r="D46" i="4"/>
  <c r="A689" i="7"/>
  <c r="C46" i="4"/>
  <c r="E46" i="4"/>
  <c r="D47" i="4"/>
  <c r="B47" i="4"/>
  <c r="A690" i="7"/>
  <c r="C47" i="4"/>
  <c r="B48" i="4"/>
  <c r="E47" i="4"/>
  <c r="D48" i="4"/>
  <c r="A691" i="7"/>
  <c r="C48" i="4"/>
  <c r="B49" i="4"/>
  <c r="E48" i="4"/>
  <c r="D49" i="4"/>
  <c r="A692" i="7"/>
  <c r="C49" i="4"/>
  <c r="E49" i="4"/>
  <c r="D50" i="4"/>
  <c r="B50" i="4"/>
  <c r="A693" i="7"/>
  <c r="C50" i="4"/>
  <c r="B51" i="4"/>
  <c r="E50" i="4"/>
  <c r="D51" i="4"/>
  <c r="A694" i="7"/>
  <c r="C51" i="4"/>
  <c r="B52" i="4"/>
  <c r="E51" i="4"/>
  <c r="D52" i="4"/>
  <c r="A695" i="7"/>
  <c r="C52" i="4"/>
  <c r="B53" i="4"/>
  <c r="E52" i="4"/>
  <c r="D53" i="4"/>
  <c r="A696" i="7"/>
  <c r="C53" i="4"/>
  <c r="B54" i="4"/>
  <c r="E53" i="4"/>
  <c r="D54" i="4"/>
  <c r="A697" i="7"/>
  <c r="C54" i="4"/>
  <c r="B55" i="4"/>
  <c r="E54" i="4"/>
  <c r="D55" i="4"/>
  <c r="A698" i="7"/>
  <c r="C55" i="4"/>
  <c r="B56" i="4"/>
  <c r="E55" i="4"/>
  <c r="D56" i="4"/>
  <c r="A699" i="7"/>
  <c r="C56" i="4"/>
  <c r="B57" i="4"/>
  <c r="E56" i="4"/>
  <c r="D57" i="4"/>
  <c r="A700" i="7"/>
  <c r="C57" i="4"/>
  <c r="B58" i="4"/>
  <c r="E57" i="4"/>
  <c r="D58" i="4"/>
  <c r="A701" i="7"/>
  <c r="C58" i="4"/>
  <c r="B59" i="4"/>
  <c r="E58" i="4"/>
  <c r="D59" i="4"/>
  <c r="A702" i="7"/>
  <c r="C59" i="4"/>
  <c r="E59" i="4"/>
  <c r="D60" i="4"/>
  <c r="B60" i="4"/>
  <c r="A703" i="7"/>
  <c r="C60" i="4"/>
  <c r="B61" i="4"/>
  <c r="E60" i="4"/>
  <c r="D61" i="4"/>
  <c r="A704" i="7"/>
  <c r="C61" i="4"/>
  <c r="B62" i="4"/>
  <c r="E61" i="4"/>
  <c r="D62" i="4"/>
  <c r="A705" i="7"/>
  <c r="C62" i="4"/>
  <c r="B63" i="4"/>
  <c r="E62" i="4"/>
  <c r="D63" i="4"/>
  <c r="A706" i="7"/>
  <c r="C63" i="4"/>
  <c r="B64" i="4"/>
  <c r="E63" i="4"/>
  <c r="D64" i="4"/>
  <c r="A707" i="7"/>
  <c r="C64" i="4"/>
  <c r="E64" i="4"/>
  <c r="D65" i="4"/>
  <c r="B65" i="4"/>
  <c r="A708" i="7"/>
  <c r="C65" i="4"/>
  <c r="E65" i="4"/>
  <c r="D66" i="4"/>
  <c r="B66" i="4"/>
  <c r="A709" i="7"/>
  <c r="C66" i="4"/>
  <c r="E66" i="4"/>
  <c r="D67" i="4"/>
  <c r="B67" i="4"/>
  <c r="A710" i="7"/>
  <c r="C67" i="4"/>
  <c r="B68" i="4"/>
  <c r="E67" i="4"/>
  <c r="D68" i="4"/>
  <c r="A711" i="7"/>
  <c r="C68" i="4"/>
  <c r="B69" i="4"/>
  <c r="E68" i="4"/>
  <c r="D69" i="4"/>
  <c r="A712" i="7"/>
  <c r="C69" i="4"/>
  <c r="B70" i="4"/>
  <c r="E69" i="4"/>
  <c r="D70" i="4"/>
  <c r="A713" i="7"/>
  <c r="C70" i="4"/>
  <c r="E70" i="4"/>
  <c r="D71" i="4"/>
  <c r="B71" i="4"/>
  <c r="A714" i="7"/>
  <c r="C71" i="4"/>
  <c r="B72" i="4"/>
  <c r="E71" i="4"/>
  <c r="D72" i="4"/>
  <c r="A715" i="7"/>
  <c r="C72" i="4"/>
  <c r="B73" i="4"/>
  <c r="E72" i="4"/>
  <c r="D73" i="4"/>
  <c r="A716" i="7"/>
  <c r="C73" i="4"/>
  <c r="B74" i="4"/>
  <c r="E73" i="4"/>
  <c r="D74" i="4"/>
  <c r="A717" i="7"/>
  <c r="C74" i="4"/>
  <c r="E74" i="4"/>
  <c r="D75" i="4"/>
  <c r="B75" i="4"/>
  <c r="A718" i="7"/>
  <c r="C75" i="4"/>
  <c r="E75" i="4"/>
  <c r="D76" i="4"/>
  <c r="B76" i="4"/>
  <c r="A719" i="7"/>
  <c r="C76" i="4"/>
  <c r="B77" i="4"/>
  <c r="E76" i="4"/>
  <c r="D77" i="4"/>
  <c r="A720" i="7"/>
  <c r="C77" i="4"/>
  <c r="B78" i="4"/>
  <c r="E77" i="4"/>
  <c r="D78" i="4"/>
  <c r="A721" i="7"/>
  <c r="C78" i="4"/>
  <c r="B79" i="4"/>
  <c r="E78" i="4"/>
  <c r="D79" i="4"/>
  <c r="A722" i="7"/>
  <c r="C79" i="4"/>
  <c r="B80" i="4"/>
  <c r="E79" i="4"/>
  <c r="D80" i="4"/>
  <c r="A723" i="7"/>
  <c r="C80" i="4"/>
  <c r="B81" i="4"/>
  <c r="E80" i="4"/>
  <c r="D81" i="4"/>
  <c r="A724" i="7"/>
  <c r="C81" i="4"/>
  <c r="E81" i="4"/>
  <c r="D82" i="4"/>
  <c r="B82" i="4"/>
  <c r="A725" i="7"/>
  <c r="C82" i="4"/>
  <c r="B83" i="4"/>
  <c r="E82" i="4"/>
  <c r="D83" i="4"/>
  <c r="A726" i="7"/>
  <c r="C83" i="4"/>
  <c r="B84" i="4"/>
  <c r="E83" i="4"/>
  <c r="D84" i="4"/>
  <c r="A727" i="7"/>
  <c r="C84" i="4"/>
  <c r="B85" i="4"/>
  <c r="E84" i="4"/>
  <c r="D85" i="4"/>
  <c r="A728" i="7"/>
  <c r="C85" i="4"/>
  <c r="B86" i="4"/>
  <c r="E85" i="4"/>
  <c r="D86" i="4"/>
  <c r="A729" i="7"/>
  <c r="C86" i="4"/>
  <c r="B87" i="4"/>
  <c r="E86" i="4"/>
  <c r="D87" i="4"/>
  <c r="A730" i="7"/>
  <c r="C87" i="4"/>
  <c r="B88" i="4"/>
  <c r="E87" i="4"/>
  <c r="D88" i="4"/>
  <c r="A731" i="7"/>
  <c r="C88" i="4"/>
  <c r="B89" i="4"/>
  <c r="E88" i="4"/>
  <c r="D89" i="4"/>
  <c r="A732" i="7"/>
  <c r="C89" i="4"/>
  <c r="B90" i="4"/>
  <c r="E89" i="4"/>
  <c r="D90" i="4"/>
  <c r="A733" i="7"/>
  <c r="C90" i="4"/>
  <c r="B91" i="4"/>
  <c r="E90" i="4"/>
  <c r="D91" i="4"/>
  <c r="A734" i="7"/>
  <c r="C91" i="4"/>
  <c r="B92" i="4"/>
  <c r="E91" i="4"/>
  <c r="D92" i="4"/>
  <c r="A735" i="7"/>
  <c r="C92" i="4"/>
  <c r="B93" i="4"/>
  <c r="E92" i="4"/>
  <c r="D93" i="4"/>
  <c r="A736" i="7"/>
  <c r="C93" i="4"/>
  <c r="B94" i="4"/>
  <c r="E93" i="4"/>
  <c r="D94" i="4"/>
  <c r="A737" i="7"/>
  <c r="C94" i="4"/>
  <c r="B95" i="4"/>
  <c r="E94" i="4"/>
  <c r="D95" i="4"/>
  <c r="A738" i="7"/>
  <c r="C95" i="4"/>
  <c r="B96" i="4"/>
  <c r="E95" i="4"/>
  <c r="D96" i="4"/>
  <c r="A739" i="7"/>
  <c r="C96" i="4"/>
  <c r="B97" i="4"/>
  <c r="E96" i="4"/>
  <c r="D97" i="4"/>
  <c r="A740" i="7"/>
  <c r="C97" i="4"/>
  <c r="B98" i="4"/>
  <c r="E97" i="4"/>
  <c r="D98" i="4"/>
  <c r="A741" i="7"/>
  <c r="C98" i="4"/>
  <c r="B99" i="4"/>
  <c r="E98" i="4"/>
  <c r="D99" i="4"/>
  <c r="A742" i="7"/>
  <c r="C99" i="4"/>
  <c r="B100" i="4"/>
  <c r="E99" i="4"/>
  <c r="D100" i="4"/>
  <c r="A743" i="7"/>
  <c r="C100" i="4"/>
  <c r="B101" i="4"/>
  <c r="E100" i="4"/>
  <c r="D101" i="4"/>
  <c r="A744" i="7"/>
  <c r="C101" i="4"/>
  <c r="B102" i="4"/>
  <c r="E101" i="4"/>
  <c r="D102" i="4"/>
  <c r="A745" i="7"/>
  <c r="C102" i="4"/>
  <c r="B103" i="4"/>
  <c r="E102" i="4"/>
  <c r="D103" i="4"/>
  <c r="A746" i="7"/>
  <c r="C103" i="4"/>
  <c r="B104" i="4"/>
  <c r="E103" i="4"/>
  <c r="D104" i="4"/>
  <c r="A747" i="7"/>
  <c r="C104" i="4"/>
  <c r="B105" i="4"/>
  <c r="E104" i="4"/>
  <c r="D105" i="4"/>
  <c r="A748" i="7"/>
  <c r="C105" i="4"/>
  <c r="B106" i="4"/>
  <c r="E105" i="4"/>
  <c r="D106" i="4"/>
  <c r="A749" i="7"/>
  <c r="C106" i="4"/>
  <c r="E106" i="4"/>
  <c r="D107" i="4"/>
  <c r="B107" i="4"/>
  <c r="A750" i="7"/>
  <c r="C107" i="4"/>
  <c r="B108" i="4"/>
  <c r="E107" i="4"/>
  <c r="D108" i="4"/>
  <c r="A751" i="7"/>
  <c r="C108" i="4"/>
  <c r="B109" i="4"/>
  <c r="E108" i="4"/>
  <c r="D109" i="4"/>
  <c r="A752" i="7"/>
  <c r="C109" i="4"/>
  <c r="B110" i="4"/>
  <c r="E109" i="4"/>
  <c r="D110" i="4"/>
  <c r="A753" i="7"/>
  <c r="C110" i="4"/>
  <c r="B111" i="4"/>
  <c r="E110" i="4"/>
  <c r="D111" i="4"/>
  <c r="A754" i="7"/>
  <c r="C111" i="4"/>
  <c r="B112" i="4"/>
  <c r="E111" i="4"/>
  <c r="D112" i="4"/>
  <c r="A755" i="7"/>
  <c r="C112" i="4"/>
  <c r="B113" i="4"/>
  <c r="E112" i="4"/>
  <c r="D113" i="4"/>
  <c r="A756" i="7"/>
  <c r="C113" i="4"/>
  <c r="B114" i="4"/>
  <c r="E113" i="4"/>
  <c r="D114" i="4"/>
  <c r="A757" i="7"/>
  <c r="C114" i="4"/>
  <c r="B115" i="4"/>
  <c r="E114" i="4"/>
  <c r="D115" i="4"/>
  <c r="A758" i="7"/>
  <c r="C115" i="4"/>
  <c r="E115" i="4"/>
  <c r="D116" i="4"/>
  <c r="B116" i="4"/>
  <c r="A759" i="7"/>
  <c r="C116" i="4"/>
  <c r="B117" i="4"/>
  <c r="E116" i="4"/>
  <c r="D117" i="4"/>
  <c r="A760" i="7"/>
  <c r="C117" i="4"/>
  <c r="E117" i="4"/>
  <c r="D118" i="4"/>
  <c r="B118" i="4"/>
  <c r="A761" i="7"/>
  <c r="C118" i="4"/>
  <c r="E118" i="4"/>
  <c r="D119" i="4"/>
  <c r="B119" i="4"/>
  <c r="A762" i="7"/>
  <c r="C119" i="4"/>
  <c r="E119" i="4"/>
  <c r="D120" i="4"/>
  <c r="B120" i="4"/>
  <c r="A763" i="7"/>
  <c r="C120" i="4"/>
  <c r="E120" i="4"/>
  <c r="D121" i="4"/>
  <c r="B121" i="4"/>
  <c r="A764" i="7"/>
  <c r="C121" i="4"/>
  <c r="B122" i="4"/>
  <c r="E121" i="4"/>
  <c r="D122" i="4"/>
  <c r="A765" i="7"/>
  <c r="C122" i="4"/>
  <c r="B123" i="4"/>
  <c r="E122" i="4"/>
  <c r="D123" i="4"/>
  <c r="A766" i="7"/>
  <c r="C123" i="4"/>
  <c r="B124" i="4"/>
  <c r="E123" i="4"/>
  <c r="D124" i="4"/>
  <c r="A767" i="7"/>
  <c r="C124" i="4"/>
  <c r="B125" i="4"/>
  <c r="E124" i="4"/>
  <c r="D125" i="4"/>
  <c r="A768" i="7"/>
  <c r="C125" i="4"/>
  <c r="B126" i="4"/>
  <c r="E125" i="4"/>
  <c r="D126" i="4"/>
  <c r="A769" i="7"/>
  <c r="C126" i="4"/>
  <c r="B127" i="4"/>
  <c r="E126" i="4"/>
  <c r="D127" i="4"/>
  <c r="A770" i="7"/>
  <c r="C127" i="4"/>
  <c r="B128" i="4"/>
  <c r="E127" i="4"/>
  <c r="D128" i="4"/>
  <c r="A771" i="7"/>
  <c r="C128" i="4"/>
  <c r="B129" i="4"/>
  <c r="E128" i="4"/>
  <c r="D129" i="4"/>
  <c r="A772" i="7"/>
  <c r="C129" i="4"/>
  <c r="B130" i="4"/>
  <c r="E129" i="4"/>
  <c r="D130" i="4"/>
  <c r="A773" i="7"/>
  <c r="C130" i="4"/>
  <c r="B131" i="4"/>
  <c r="E130" i="4"/>
  <c r="D131" i="4"/>
  <c r="A774" i="7"/>
  <c r="C131" i="4"/>
  <c r="B132" i="4"/>
  <c r="E131" i="4"/>
  <c r="D132" i="4"/>
  <c r="A775" i="7"/>
  <c r="C132" i="4"/>
  <c r="B133" i="4"/>
  <c r="E132" i="4"/>
  <c r="D133" i="4"/>
  <c r="A776" i="7"/>
  <c r="C133" i="4"/>
  <c r="E133" i="4"/>
  <c r="D134" i="4"/>
  <c r="B134" i="4"/>
  <c r="A777" i="7"/>
  <c r="C134" i="4"/>
  <c r="B135" i="4"/>
  <c r="E134" i="4"/>
  <c r="D135" i="4"/>
  <c r="A778" i="7"/>
  <c r="C135" i="4"/>
  <c r="E135" i="4"/>
  <c r="D136" i="4"/>
  <c r="B136" i="4"/>
  <c r="A779" i="7"/>
  <c r="C136" i="4"/>
  <c r="B137" i="4"/>
  <c r="E136" i="4"/>
  <c r="D137" i="4"/>
  <c r="A780" i="7"/>
  <c r="C137" i="4"/>
  <c r="B138" i="4"/>
  <c r="E137" i="4"/>
  <c r="D138" i="4"/>
  <c r="A781" i="7"/>
  <c r="C138" i="4"/>
  <c r="B139" i="4"/>
  <c r="E138" i="4"/>
  <c r="D139" i="4"/>
  <c r="A782" i="7"/>
  <c r="C139" i="4"/>
  <c r="B140" i="4"/>
  <c r="E139" i="4"/>
  <c r="D140" i="4"/>
  <c r="A783" i="7"/>
  <c r="C140" i="4"/>
  <c r="B141" i="4"/>
  <c r="E140" i="4"/>
  <c r="D141" i="4"/>
  <c r="A784" i="7"/>
  <c r="C141" i="4"/>
  <c r="E141" i="4"/>
  <c r="D142" i="4"/>
  <c r="B142" i="4"/>
  <c r="A785" i="7"/>
  <c r="E142" i="4"/>
  <c r="D143" i="4"/>
  <c r="C142" i="4"/>
  <c r="B143" i="4"/>
  <c r="A786" i="7"/>
  <c r="E143" i="4"/>
  <c r="C143" i="4"/>
  <c r="D144" i="4"/>
  <c r="B144" i="4"/>
  <c r="A787" i="7"/>
  <c r="E144" i="4"/>
  <c r="C144" i="4"/>
  <c r="D145" i="4"/>
  <c r="B145" i="4"/>
  <c r="A788" i="7"/>
  <c r="E145" i="4"/>
  <c r="D146" i="4"/>
  <c r="C145" i="4"/>
  <c r="B146" i="4"/>
  <c r="A789" i="7"/>
  <c r="E146" i="4"/>
  <c r="D147" i="4"/>
  <c r="C146" i="4"/>
  <c r="B147" i="4"/>
  <c r="A790" i="7"/>
  <c r="E147" i="4"/>
  <c r="D148" i="4"/>
  <c r="C147" i="4"/>
  <c r="B148" i="4"/>
  <c r="A791" i="7"/>
  <c r="E148" i="4"/>
  <c r="D149" i="4"/>
  <c r="C148" i="4"/>
  <c r="B149" i="4"/>
  <c r="A792" i="7"/>
  <c r="E149" i="4"/>
  <c r="D150" i="4"/>
  <c r="C149" i="4"/>
  <c r="B150" i="4"/>
  <c r="A793" i="7"/>
  <c r="E150" i="4"/>
  <c r="C150" i="4"/>
  <c r="D151" i="4"/>
  <c r="B151" i="4"/>
  <c r="A794" i="7"/>
  <c r="E151" i="4"/>
  <c r="D152" i="4"/>
  <c r="C151" i="4"/>
  <c r="B152" i="4"/>
  <c r="A795" i="7"/>
  <c r="E152" i="4"/>
  <c r="C152" i="4"/>
  <c r="D153" i="4"/>
  <c r="B153" i="4"/>
  <c r="A796" i="7"/>
  <c r="E153" i="4"/>
  <c r="D154" i="4"/>
  <c r="C153" i="4"/>
  <c r="B154" i="4"/>
  <c r="A797" i="7"/>
  <c r="E154" i="4"/>
  <c r="C154" i="4"/>
  <c r="D155" i="4"/>
  <c r="B155" i="4"/>
  <c r="A798" i="7"/>
  <c r="E155" i="4"/>
  <c r="D156" i="4"/>
  <c r="C155" i="4"/>
  <c r="B156" i="4"/>
  <c r="A799" i="7"/>
  <c r="E156" i="4"/>
  <c r="D157" i="4"/>
  <c r="C156" i="4"/>
  <c r="B157" i="4"/>
  <c r="A800" i="7"/>
  <c r="E157" i="4"/>
  <c r="C157" i="4"/>
  <c r="B158" i="4"/>
  <c r="D158" i="4"/>
  <c r="A801" i="7"/>
  <c r="E158" i="4"/>
  <c r="D159" i="4"/>
  <c r="C158" i="4"/>
  <c r="B159" i="4"/>
  <c r="A802" i="7"/>
  <c r="E159" i="4"/>
  <c r="D160" i="4"/>
  <c r="C159" i="4"/>
  <c r="B160" i="4"/>
  <c r="A803" i="7"/>
  <c r="E160" i="4"/>
  <c r="C160" i="4"/>
  <c r="D161" i="4"/>
  <c r="B161" i="4"/>
  <c r="A804" i="7"/>
  <c r="E161" i="4"/>
  <c r="D162" i="4"/>
  <c r="C161" i="4"/>
  <c r="B162" i="4"/>
  <c r="A805" i="7"/>
  <c r="E162" i="4"/>
  <c r="D163" i="4"/>
  <c r="C162" i="4"/>
  <c r="B163" i="4"/>
  <c r="A806" i="7"/>
  <c r="E163" i="4"/>
  <c r="D164" i="4"/>
  <c r="C163" i="4"/>
  <c r="B164" i="4"/>
  <c r="A807" i="7"/>
  <c r="E164" i="4"/>
  <c r="D165" i="4"/>
  <c r="C164" i="4"/>
  <c r="B165" i="4"/>
  <c r="A808" i="7"/>
  <c r="E165" i="4"/>
  <c r="D166" i="4"/>
  <c r="C165" i="4"/>
  <c r="B166" i="4"/>
  <c r="A809" i="7"/>
  <c r="E166" i="4"/>
  <c r="D167" i="4"/>
  <c r="C166" i="4"/>
  <c r="B167" i="4"/>
  <c r="A810" i="7"/>
  <c r="E167" i="4"/>
  <c r="D168" i="4"/>
  <c r="C167" i="4"/>
  <c r="B168" i="4"/>
  <c r="A811" i="7"/>
  <c r="E168" i="4"/>
  <c r="C168" i="4"/>
  <c r="B169" i="4"/>
  <c r="D169" i="4"/>
  <c r="A812" i="7"/>
  <c r="E169" i="4"/>
  <c r="D170" i="4"/>
  <c r="C169" i="4"/>
  <c r="B170" i="4"/>
  <c r="A813" i="7"/>
  <c r="E170" i="4"/>
  <c r="D171" i="4"/>
  <c r="C170" i="4"/>
  <c r="B171" i="4"/>
  <c r="A814" i="7"/>
  <c r="E171" i="4"/>
  <c r="D172" i="4"/>
  <c r="C171" i="4"/>
  <c r="B172" i="4"/>
  <c r="A815" i="7"/>
  <c r="E172" i="4"/>
  <c r="D173" i="4"/>
  <c r="C172" i="4"/>
  <c r="B173" i="4"/>
  <c r="A816" i="7"/>
  <c r="E173" i="4"/>
  <c r="C173" i="4"/>
  <c r="B174" i="4"/>
  <c r="D174" i="4"/>
  <c r="A817" i="7"/>
  <c r="E174" i="4"/>
  <c r="C174" i="4"/>
  <c r="B175" i="4"/>
  <c r="D175" i="4"/>
  <c r="A818" i="7"/>
  <c r="E175" i="4"/>
  <c r="D176" i="4"/>
  <c r="C175" i="4"/>
  <c r="B176" i="4"/>
  <c r="A819" i="7"/>
  <c r="E176" i="4"/>
  <c r="D177" i="4"/>
  <c r="C176" i="4"/>
  <c r="B177" i="4"/>
  <c r="A820" i="7"/>
  <c r="E177" i="4"/>
  <c r="D178" i="4"/>
  <c r="C177" i="4"/>
  <c r="B178" i="4"/>
  <c r="A821" i="7"/>
  <c r="E178" i="4"/>
  <c r="D179" i="4"/>
  <c r="C178" i="4"/>
  <c r="B179" i="4"/>
  <c r="A822" i="7"/>
  <c r="E179" i="4"/>
  <c r="D180" i="4"/>
  <c r="C179" i="4"/>
  <c r="B180" i="4"/>
  <c r="A823" i="7"/>
  <c r="E180" i="4"/>
  <c r="D181" i="4"/>
  <c r="C180" i="4"/>
  <c r="B181" i="4"/>
  <c r="A824" i="7"/>
  <c r="E181" i="4"/>
  <c r="D182" i="4"/>
  <c r="C181" i="4"/>
  <c r="B182" i="4"/>
  <c r="A825" i="7"/>
  <c r="E182" i="4"/>
  <c r="C182" i="4"/>
  <c r="B183" i="4"/>
  <c r="D183" i="4"/>
  <c r="A826" i="7"/>
  <c r="E183" i="4"/>
  <c r="C183" i="4"/>
  <c r="B184" i="4"/>
  <c r="D184" i="4"/>
  <c r="A827" i="7"/>
  <c r="E184" i="4"/>
  <c r="D185" i="4"/>
  <c r="C184" i="4"/>
  <c r="B185" i="4"/>
  <c r="A828" i="7"/>
  <c r="E185" i="4"/>
  <c r="D186" i="4"/>
  <c r="C185" i="4"/>
  <c r="B186" i="4"/>
  <c r="A829" i="7"/>
  <c r="E186" i="4"/>
  <c r="D187" i="4"/>
  <c r="C186" i="4"/>
  <c r="B187" i="4"/>
  <c r="A830" i="7"/>
  <c r="E187" i="4"/>
  <c r="C187" i="4"/>
  <c r="B188" i="4"/>
  <c r="D188" i="4"/>
  <c r="A831" i="7"/>
  <c r="E188" i="4"/>
  <c r="D189" i="4"/>
  <c r="C188" i="4"/>
  <c r="B189" i="4"/>
  <c r="A832" i="7"/>
  <c r="E189" i="4"/>
  <c r="D190" i="4"/>
  <c r="C189" i="4"/>
  <c r="B190" i="4"/>
  <c r="A833" i="7"/>
  <c r="E190" i="4"/>
  <c r="C190" i="4"/>
  <c r="D191" i="4"/>
  <c r="B191" i="4"/>
  <c r="A834" i="7"/>
  <c r="E191" i="4"/>
  <c r="C191" i="4"/>
  <c r="D192" i="4"/>
  <c r="B192" i="4"/>
  <c r="A835" i="7"/>
  <c r="E192" i="4"/>
  <c r="D193" i="4"/>
  <c r="C192" i="4"/>
  <c r="B193" i="4"/>
  <c r="A836" i="7"/>
  <c r="E193" i="4"/>
  <c r="D194" i="4"/>
  <c r="C193" i="4"/>
  <c r="B194" i="4"/>
  <c r="A837" i="7"/>
  <c r="E194" i="4"/>
  <c r="C194" i="4"/>
  <c r="D195" i="4"/>
  <c r="B195" i="4"/>
  <c r="A838" i="7"/>
  <c r="E195" i="4"/>
  <c r="D196" i="4"/>
  <c r="C195" i="4"/>
  <c r="B196" i="4"/>
  <c r="A839" i="7"/>
  <c r="E196" i="4"/>
  <c r="C196" i="4"/>
  <c r="B197" i="4"/>
  <c r="D197" i="4"/>
  <c r="A840" i="7"/>
  <c r="E197" i="4"/>
  <c r="D198" i="4"/>
  <c r="C197" i="4"/>
  <c r="B198" i="4"/>
  <c r="A841" i="7"/>
  <c r="E198" i="4"/>
  <c r="D199" i="4"/>
  <c r="C198" i="4"/>
  <c r="B199" i="4"/>
  <c r="A842" i="7"/>
  <c r="E199" i="4"/>
  <c r="D200" i="4"/>
  <c r="C199" i="4"/>
  <c r="B200" i="4"/>
  <c r="A843" i="7"/>
  <c r="E200" i="4"/>
  <c r="C200" i="4"/>
  <c r="D201" i="4"/>
  <c r="B201" i="4"/>
  <c r="A844" i="7"/>
  <c r="E201" i="4"/>
  <c r="D202" i="4"/>
  <c r="C201" i="4"/>
  <c r="B202" i="4"/>
  <c r="A845" i="7"/>
  <c r="E202" i="4"/>
  <c r="D203" i="4"/>
  <c r="C202" i="4"/>
  <c r="B203" i="4"/>
  <c r="A846" i="7"/>
  <c r="E203" i="4"/>
  <c r="C203" i="4"/>
  <c r="D204" i="4"/>
  <c r="B204" i="4"/>
  <c r="A847" i="7"/>
  <c r="E204" i="4"/>
  <c r="D205" i="4"/>
  <c r="C204" i="4"/>
  <c r="B205" i="4"/>
  <c r="A848" i="7"/>
  <c r="E205" i="4"/>
  <c r="C205" i="4"/>
  <c r="B206" i="4"/>
  <c r="D206" i="4"/>
  <c r="A849" i="7"/>
  <c r="E206" i="4"/>
  <c r="C206" i="4"/>
  <c r="B207" i="4"/>
  <c r="D207" i="4"/>
  <c r="A850" i="7"/>
  <c r="E207" i="4"/>
  <c r="D208" i="4"/>
  <c r="C207" i="4"/>
  <c r="B208" i="4"/>
  <c r="A851" i="7"/>
  <c r="E208" i="4"/>
  <c r="D209" i="4"/>
  <c r="C208" i="4"/>
  <c r="B209" i="4"/>
  <c r="A852" i="7"/>
  <c r="E209" i="4"/>
  <c r="D210" i="4"/>
  <c r="C209" i="4"/>
  <c r="B210" i="4"/>
  <c r="A853" i="7"/>
  <c r="E210" i="4"/>
  <c r="D211" i="4"/>
  <c r="C210" i="4"/>
  <c r="B211" i="4"/>
  <c r="A854" i="7"/>
  <c r="E211" i="4"/>
  <c r="D212" i="4"/>
  <c r="C211" i="4"/>
  <c r="B212" i="4"/>
  <c r="A855" i="7"/>
  <c r="E212" i="4"/>
  <c r="D213" i="4"/>
  <c r="C212" i="4"/>
  <c r="B213" i="4"/>
  <c r="A856" i="7"/>
  <c r="E213" i="4"/>
  <c r="C213" i="4"/>
  <c r="B214" i="4"/>
  <c r="D214" i="4"/>
  <c r="A857" i="7"/>
  <c r="E214" i="4"/>
  <c r="D215" i="4"/>
  <c r="C214" i="4"/>
  <c r="B215" i="4"/>
  <c r="A858" i="7"/>
  <c r="E215" i="4"/>
  <c r="D216" i="4"/>
  <c r="C215" i="4"/>
  <c r="B216" i="4"/>
  <c r="A859" i="7"/>
  <c r="E216" i="4"/>
  <c r="D217" i="4"/>
  <c r="C216" i="4"/>
  <c r="B217" i="4"/>
  <c r="A860" i="7"/>
  <c r="E217" i="4"/>
  <c r="D218" i="4"/>
  <c r="C217" i="4"/>
  <c r="B218" i="4"/>
  <c r="A861" i="7"/>
  <c r="E218" i="4"/>
  <c r="D219" i="4"/>
  <c r="C218" i="4"/>
  <c r="B219" i="4"/>
  <c r="A862" i="7"/>
  <c r="E219" i="4"/>
  <c r="C219" i="4"/>
  <c r="D220" i="4"/>
  <c r="B220" i="4"/>
  <c r="A863" i="7"/>
  <c r="E220" i="4"/>
  <c r="D221" i="4"/>
  <c r="C220" i="4"/>
  <c r="B221" i="4"/>
  <c r="A864" i="7"/>
  <c r="E221" i="4"/>
  <c r="D222" i="4"/>
  <c r="C221" i="4"/>
  <c r="B222" i="4"/>
  <c r="A865" i="7"/>
  <c r="E222" i="4"/>
  <c r="D223" i="4"/>
  <c r="C222" i="4"/>
  <c r="B223" i="4"/>
  <c r="A866" i="7"/>
  <c r="E223" i="4"/>
  <c r="D224" i="4"/>
  <c r="C223" i="4"/>
  <c r="B224" i="4"/>
  <c r="A867" i="7"/>
  <c r="E224" i="4"/>
  <c r="D225" i="4"/>
  <c r="C224" i="4"/>
  <c r="B225" i="4"/>
  <c r="A868" i="7"/>
  <c r="E225" i="4"/>
  <c r="D226" i="4"/>
  <c r="C225" i="4"/>
  <c r="B226" i="4"/>
  <c r="A869" i="7"/>
  <c r="E226" i="4"/>
  <c r="D227" i="4"/>
  <c r="C226" i="4"/>
  <c r="B227" i="4"/>
  <c r="A870" i="7"/>
  <c r="E227" i="4"/>
  <c r="D228" i="4"/>
  <c r="C227" i="4"/>
  <c r="B228" i="4"/>
  <c r="A871" i="7"/>
  <c r="E228" i="4"/>
  <c r="D229" i="4"/>
  <c r="C228" i="4"/>
  <c r="B229" i="4"/>
  <c r="A872" i="7"/>
  <c r="E229" i="4"/>
  <c r="C229" i="4"/>
  <c r="D230" i="4"/>
  <c r="B230" i="4"/>
  <c r="A873" i="7"/>
  <c r="E230" i="4"/>
  <c r="D231" i="4"/>
  <c r="C230" i="4"/>
  <c r="B231" i="4"/>
  <c r="A874" i="7"/>
  <c r="E231" i="4"/>
  <c r="D232" i="4"/>
  <c r="C231" i="4"/>
  <c r="B232" i="4"/>
  <c r="A875" i="7"/>
  <c r="E232" i="4"/>
  <c r="D233" i="4"/>
  <c r="C232" i="4"/>
  <c r="B233" i="4"/>
  <c r="A876" i="7"/>
  <c r="E233" i="4"/>
  <c r="D234" i="4"/>
  <c r="C233" i="4"/>
  <c r="B234" i="4"/>
  <c r="A877" i="7"/>
  <c r="E234" i="4"/>
  <c r="C234" i="4"/>
  <c r="D235" i="4"/>
  <c r="B235" i="4"/>
  <c r="A878" i="7"/>
  <c r="E235" i="4"/>
  <c r="D236" i="4"/>
  <c r="C235" i="4"/>
  <c r="B236" i="4"/>
  <c r="A879" i="7"/>
  <c r="E236" i="4"/>
  <c r="C236" i="4"/>
  <c r="D237" i="4"/>
  <c r="B237" i="4"/>
  <c r="A880" i="7"/>
  <c r="E237" i="4"/>
  <c r="D238" i="4"/>
  <c r="C237" i="4"/>
  <c r="B238" i="4"/>
  <c r="A881" i="7"/>
  <c r="E238" i="4"/>
  <c r="D239" i="4"/>
  <c r="C238" i="4"/>
  <c r="B239" i="4"/>
  <c r="A882" i="7"/>
  <c r="E239" i="4"/>
  <c r="D240" i="4"/>
  <c r="C239" i="4"/>
  <c r="B240" i="4"/>
  <c r="A883" i="7"/>
  <c r="E240" i="4"/>
  <c r="C240" i="4"/>
  <c r="B241" i="4"/>
  <c r="D241" i="4"/>
  <c r="A884" i="7"/>
  <c r="E241" i="4"/>
  <c r="D242" i="4"/>
  <c r="C241" i="4"/>
  <c r="B242" i="4"/>
  <c r="A885" i="7"/>
  <c r="E242" i="4"/>
  <c r="C242" i="4"/>
  <c r="D243" i="4"/>
  <c r="B243" i="4"/>
  <c r="A886" i="7"/>
  <c r="E243" i="4"/>
  <c r="D244" i="4"/>
  <c r="C243" i="4"/>
  <c r="B244" i="4"/>
  <c r="A887" i="7"/>
  <c r="E244" i="4"/>
  <c r="C244" i="4"/>
  <c r="D245" i="4"/>
  <c r="B245" i="4"/>
  <c r="A888" i="7"/>
  <c r="E245" i="4"/>
  <c r="D246" i="4"/>
  <c r="C245" i="4"/>
  <c r="B246" i="4"/>
  <c r="A889" i="7"/>
  <c r="E246" i="4"/>
  <c r="D247" i="4"/>
  <c r="C246" i="4"/>
  <c r="B247" i="4"/>
  <c r="A890" i="7"/>
  <c r="E247" i="4"/>
  <c r="C247" i="4"/>
  <c r="D248" i="4"/>
  <c r="B248" i="4"/>
  <c r="A891" i="7"/>
  <c r="E248" i="4"/>
  <c r="C248" i="4"/>
  <c r="B249" i="4"/>
  <c r="D249" i="4"/>
  <c r="A892" i="7"/>
  <c r="E249" i="4"/>
  <c r="D250" i="4"/>
  <c r="C249" i="4"/>
  <c r="B250" i="4"/>
  <c r="A893" i="7"/>
  <c r="E250" i="4"/>
  <c r="D251" i="4"/>
  <c r="C250" i="4"/>
  <c r="B251" i="4"/>
  <c r="A894" i="7"/>
  <c r="E251" i="4"/>
  <c r="C251" i="4"/>
  <c r="D252" i="4"/>
  <c r="B252" i="4"/>
  <c r="A895" i="7"/>
  <c r="E252" i="4"/>
  <c r="D253" i="4"/>
  <c r="C252" i="4"/>
  <c r="B253" i="4"/>
  <c r="A896" i="7"/>
  <c r="E253" i="4"/>
  <c r="C253" i="4"/>
  <c r="B254" i="4"/>
  <c r="D254" i="4"/>
  <c r="A897" i="7"/>
  <c r="E254" i="4"/>
  <c r="C254" i="4"/>
  <c r="B255" i="4"/>
  <c r="D255" i="4"/>
  <c r="A898" i="7"/>
  <c r="E255" i="4"/>
  <c r="D256" i="4"/>
  <c r="C255" i="4"/>
  <c r="B256" i="4"/>
  <c r="A899" i="7"/>
  <c r="E256" i="4"/>
  <c r="D257" i="4"/>
  <c r="C256" i="4"/>
  <c r="B257" i="4"/>
  <c r="A900" i="7"/>
  <c r="E257" i="4"/>
  <c r="D258" i="4"/>
  <c r="C257" i="4"/>
  <c r="B258" i="4"/>
  <c r="A901" i="7"/>
  <c r="E258" i="4"/>
  <c r="D259" i="4"/>
  <c r="C258" i="4"/>
  <c r="B259" i="4"/>
  <c r="A902" i="7"/>
  <c r="E259" i="4"/>
  <c r="C259" i="4"/>
  <c r="B260" i="4"/>
  <c r="D260" i="4"/>
  <c r="A903" i="7"/>
  <c r="E260" i="4"/>
  <c r="D261" i="4"/>
  <c r="C260" i="4"/>
  <c r="B261" i="4"/>
  <c r="A904" i="7"/>
  <c r="E261" i="4"/>
  <c r="D262" i="4"/>
  <c r="C261" i="4"/>
  <c r="B262" i="4"/>
  <c r="A905" i="7"/>
  <c r="E262" i="4"/>
  <c r="D263" i="4"/>
  <c r="C262" i="4"/>
  <c r="B263" i="4"/>
  <c r="A906" i="7"/>
  <c r="E263" i="4"/>
  <c r="D264" i="4"/>
  <c r="C263" i="4"/>
  <c r="B264" i="4"/>
  <c r="A907" i="7"/>
  <c r="E264" i="4"/>
  <c r="D265" i="4"/>
  <c r="C264" i="4"/>
  <c r="B265" i="4"/>
  <c r="A908" i="7"/>
  <c r="E265" i="4"/>
  <c r="D266" i="4"/>
  <c r="C265" i="4"/>
  <c r="B266" i="4"/>
  <c r="A909" i="7"/>
  <c r="E266" i="4"/>
  <c r="D267" i="4"/>
  <c r="C266" i="4"/>
  <c r="B267" i="4"/>
  <c r="A910" i="7"/>
  <c r="E267" i="4"/>
  <c r="C267" i="4"/>
  <c r="D268" i="4"/>
  <c r="B268" i="4"/>
  <c r="A911" i="7"/>
  <c r="E268" i="4"/>
  <c r="D269" i="4"/>
  <c r="C268" i="4"/>
  <c r="B269" i="4"/>
  <c r="A912" i="7"/>
  <c r="E269" i="4"/>
  <c r="C269" i="4"/>
  <c r="D270" i="4"/>
  <c r="B270" i="4"/>
  <c r="A913" i="7"/>
  <c r="E270" i="4"/>
  <c r="D271" i="4"/>
  <c r="C270" i="4"/>
  <c r="B271" i="4"/>
  <c r="A914" i="7"/>
  <c r="E271" i="4"/>
  <c r="D272" i="4"/>
  <c r="C271" i="4"/>
  <c r="B272" i="4"/>
  <c r="A915" i="7"/>
  <c r="E272" i="4"/>
  <c r="D273" i="4"/>
  <c r="C272" i="4"/>
  <c r="B273" i="4"/>
  <c r="A916" i="7"/>
  <c r="E273" i="4"/>
  <c r="C273" i="4"/>
  <c r="D274" i="4"/>
  <c r="B274" i="4"/>
  <c r="A917" i="7"/>
  <c r="E274" i="4"/>
  <c r="D275" i="4"/>
  <c r="C274" i="4"/>
  <c r="B275" i="4"/>
  <c r="A918" i="7"/>
  <c r="E275" i="4"/>
  <c r="D276" i="4"/>
  <c r="C275" i="4"/>
  <c r="B276" i="4"/>
  <c r="A919" i="7"/>
  <c r="E276" i="4"/>
  <c r="C276" i="4"/>
  <c r="D277" i="4"/>
  <c r="B277" i="4"/>
  <c r="A920" i="7"/>
  <c r="E277" i="4"/>
  <c r="D278" i="4"/>
  <c r="C277" i="4"/>
  <c r="B278" i="4"/>
  <c r="A921" i="7"/>
  <c r="E278" i="4"/>
  <c r="C278" i="4"/>
  <c r="D279" i="4"/>
  <c r="B279" i="4"/>
  <c r="A922" i="7"/>
  <c r="E279" i="4"/>
  <c r="D280" i="4"/>
  <c r="C279" i="4"/>
  <c r="B280" i="4"/>
  <c r="A923" i="7"/>
  <c r="E280" i="4"/>
  <c r="C280" i="4"/>
  <c r="D281" i="4"/>
  <c r="B281" i="4"/>
  <c r="A924" i="7"/>
  <c r="E281" i="4"/>
  <c r="D282" i="4"/>
  <c r="C281" i="4"/>
  <c r="B282" i="4"/>
  <c r="A925" i="7"/>
  <c r="E282" i="4"/>
  <c r="C282" i="4"/>
  <c r="D283" i="4"/>
  <c r="B283" i="4"/>
  <c r="A926" i="7"/>
  <c r="E283" i="4"/>
  <c r="D284" i="4"/>
  <c r="C283" i="4"/>
  <c r="B284" i="4"/>
  <c r="A927" i="7"/>
  <c r="E284" i="4"/>
  <c r="C284" i="4"/>
  <c r="B285" i="4"/>
  <c r="D285" i="4"/>
  <c r="A928" i="7"/>
  <c r="E285" i="4"/>
  <c r="D286" i="4"/>
  <c r="C285" i="4"/>
  <c r="B286" i="4"/>
  <c r="A929" i="7"/>
  <c r="E286" i="4"/>
  <c r="D287" i="4"/>
  <c r="C286" i="4"/>
  <c r="B287" i="4"/>
  <c r="A930" i="7"/>
  <c r="E287" i="4"/>
  <c r="D288" i="4"/>
  <c r="C287" i="4"/>
  <c r="B288" i="4"/>
  <c r="A931" i="7"/>
  <c r="E288" i="4"/>
  <c r="D289" i="4"/>
  <c r="C288" i="4"/>
  <c r="B289" i="4"/>
  <c r="A932" i="7"/>
  <c r="E289" i="4"/>
  <c r="D290" i="4"/>
  <c r="C289" i="4"/>
  <c r="B290" i="4"/>
  <c r="A933" i="7"/>
  <c r="E290" i="4"/>
  <c r="C290" i="4"/>
  <c r="D291" i="4"/>
  <c r="B291" i="4"/>
  <c r="A934" i="7"/>
  <c r="E291" i="4"/>
  <c r="D292" i="4"/>
  <c r="C291" i="4"/>
  <c r="B292" i="4"/>
  <c r="A935" i="7"/>
  <c r="E292" i="4"/>
  <c r="D293" i="4"/>
  <c r="C292" i="4"/>
  <c r="B293" i="4"/>
  <c r="A936" i="7"/>
  <c r="E293" i="4"/>
  <c r="D294" i="4"/>
  <c r="C293" i="4"/>
  <c r="B294" i="4"/>
  <c r="A937" i="7"/>
  <c r="E294" i="4"/>
  <c r="C294" i="4"/>
  <c r="D295" i="4"/>
  <c r="B295" i="4"/>
  <c r="A938" i="7"/>
  <c r="E295" i="4"/>
  <c r="D296" i="4"/>
  <c r="C295" i="4"/>
  <c r="B296" i="4"/>
  <c r="A939" i="7"/>
  <c r="E296" i="4"/>
  <c r="C296" i="4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1045" i="7"/>
  <c r="A1046" i="7"/>
  <c r="A1047" i="7"/>
  <c r="A1048" i="7"/>
  <c r="A1049" i="7"/>
  <c r="A1050" i="7"/>
  <c r="A1051" i="7"/>
  <c r="A1052" i="7"/>
  <c r="A1053" i="7"/>
  <c r="A1054" i="7"/>
  <c r="A1055" i="7"/>
  <c r="A1056" i="7"/>
  <c r="A1057" i="7"/>
  <c r="A1058" i="7"/>
  <c r="A1059" i="7"/>
  <c r="A1060" i="7"/>
  <c r="A1061" i="7"/>
  <c r="A1062" i="7"/>
  <c r="A1063" i="7"/>
  <c r="A1064" i="7"/>
  <c r="A1065" i="7"/>
  <c r="A1066" i="7"/>
  <c r="A1067" i="7"/>
  <c r="A1068" i="7"/>
  <c r="A1069" i="7"/>
  <c r="A1070" i="7"/>
  <c r="A1071" i="7"/>
  <c r="A1072" i="7"/>
  <c r="A1073" i="7"/>
  <c r="A1074" i="7"/>
  <c r="A1075" i="7"/>
  <c r="A1076" i="7"/>
  <c r="A1077" i="7"/>
  <c r="A1078" i="7"/>
  <c r="A1079" i="7"/>
  <c r="A1080" i="7"/>
  <c r="A1081" i="7"/>
  <c r="A1082" i="7"/>
  <c r="A1083" i="7"/>
  <c r="A1084" i="7"/>
  <c r="A1085" i="7"/>
  <c r="A1086" i="7"/>
  <c r="A1087" i="7"/>
  <c r="A1088" i="7"/>
  <c r="A1089" i="7"/>
  <c r="A1090" i="7"/>
  <c r="A1091" i="7"/>
  <c r="A1092" i="7"/>
  <c r="A1093" i="7"/>
  <c r="A1094" i="7"/>
  <c r="A1095" i="7"/>
  <c r="A1096" i="7"/>
  <c r="A1097" i="7"/>
  <c r="A1098" i="7"/>
  <c r="A1099" i="7"/>
  <c r="A1100" i="7"/>
  <c r="A1101" i="7"/>
  <c r="A1102" i="7"/>
  <c r="A1103" i="7"/>
  <c r="A1104" i="7"/>
  <c r="A1105" i="7"/>
  <c r="A1106" i="7"/>
  <c r="A1107" i="7"/>
  <c r="A1108" i="7"/>
  <c r="A1109" i="7"/>
  <c r="A1110" i="7"/>
  <c r="A1111" i="7"/>
  <c r="A1112" i="7"/>
  <c r="A1113" i="7"/>
  <c r="A1114" i="7"/>
  <c r="A1115" i="7"/>
  <c r="A1116" i="7"/>
  <c r="A1117" i="7"/>
  <c r="A1118" i="7"/>
  <c r="A1119" i="7"/>
  <c r="A1120" i="7"/>
  <c r="A1121" i="7"/>
  <c r="A1122" i="7"/>
  <c r="A1123" i="7"/>
  <c r="A1124" i="7"/>
  <c r="A1125" i="7"/>
  <c r="A1126" i="7"/>
  <c r="A1127" i="7"/>
  <c r="A1128" i="7"/>
  <c r="A1129" i="7"/>
  <c r="A1130" i="7"/>
  <c r="A1131" i="7"/>
  <c r="A1132" i="7"/>
  <c r="A1133" i="7"/>
  <c r="A1134" i="7"/>
  <c r="A1135" i="7"/>
  <c r="A1136" i="7"/>
  <c r="A1137" i="7"/>
  <c r="A1138" i="7"/>
  <c r="A1139" i="7"/>
  <c r="A1140" i="7"/>
  <c r="A1141" i="7"/>
  <c r="A1142" i="7"/>
  <c r="A1143" i="7"/>
  <c r="A1144" i="7"/>
  <c r="A1145" i="7"/>
  <c r="A1146" i="7"/>
  <c r="A1147" i="7"/>
  <c r="A1148" i="7"/>
  <c r="A1149" i="7"/>
  <c r="A1150" i="7"/>
  <c r="A1151" i="7"/>
  <c r="A1152" i="7"/>
  <c r="A1153" i="7"/>
  <c r="A1154" i="7"/>
  <c r="A1155" i="7"/>
  <c r="A1156" i="7"/>
  <c r="A1157" i="7"/>
  <c r="A1158" i="7"/>
  <c r="A1159" i="7"/>
  <c r="A1160" i="7"/>
  <c r="A1161" i="7"/>
  <c r="A1162" i="7"/>
  <c r="A1163" i="7"/>
  <c r="A1164" i="7"/>
  <c r="A1165" i="7"/>
  <c r="A1166" i="7"/>
  <c r="A1167" i="7"/>
  <c r="A1168" i="7"/>
  <c r="A1169" i="7"/>
  <c r="A1170" i="7"/>
  <c r="A1171" i="7"/>
  <c r="A1172" i="7"/>
  <c r="A1173" i="7"/>
  <c r="A1174" i="7"/>
  <c r="A1175" i="7"/>
  <c r="A1176" i="7"/>
  <c r="A1177" i="7"/>
  <c r="A1178" i="7"/>
  <c r="A1179" i="7"/>
  <c r="A1180" i="7"/>
  <c r="A1181" i="7"/>
  <c r="A1182" i="7"/>
  <c r="A1183" i="7"/>
  <c r="A1184" i="7"/>
  <c r="A1185" i="7"/>
  <c r="A1186" i="7"/>
  <c r="A1187" i="7"/>
  <c r="A1188" i="7"/>
  <c r="A1189" i="7"/>
  <c r="A1190" i="7"/>
  <c r="A1191" i="7"/>
  <c r="A1192" i="7"/>
  <c r="A1193" i="7"/>
  <c r="A1194" i="7"/>
  <c r="A1195" i="7"/>
  <c r="A1196" i="7"/>
  <c r="A1197" i="7"/>
  <c r="A1198" i="7"/>
  <c r="A1199" i="7"/>
  <c r="A1200" i="7"/>
  <c r="A1201" i="7"/>
  <c r="A1202" i="7"/>
  <c r="A1203" i="7"/>
  <c r="A1204" i="7"/>
  <c r="A1205" i="7"/>
  <c r="A1206" i="7"/>
  <c r="A1207" i="7"/>
  <c r="A1208" i="7"/>
  <c r="A1209" i="7"/>
  <c r="A1210" i="7"/>
  <c r="A1211" i="7"/>
  <c r="A1212" i="7"/>
  <c r="A1213" i="7"/>
  <c r="A1214" i="7"/>
  <c r="A1215" i="7"/>
  <c r="A1216" i="7"/>
  <c r="A1217" i="7"/>
  <c r="A1218" i="7"/>
  <c r="A1219" i="7"/>
  <c r="A1220" i="7"/>
  <c r="A1221" i="7"/>
  <c r="A1222" i="7"/>
  <c r="A1223" i="7"/>
  <c r="A1224" i="7"/>
  <c r="A1225" i="7"/>
  <c r="A1226" i="7"/>
  <c r="A1227" i="7"/>
  <c r="A1228" i="7"/>
  <c r="A1229" i="7"/>
  <c r="A1230" i="7"/>
  <c r="A1231" i="7"/>
  <c r="A1232" i="7"/>
  <c r="A1233" i="7"/>
  <c r="A1234" i="7"/>
  <c r="A1235" i="7"/>
  <c r="A1236" i="7"/>
  <c r="A1237" i="7"/>
  <c r="A1238" i="7"/>
  <c r="A1239" i="7"/>
  <c r="A1240" i="7"/>
  <c r="A1241" i="7"/>
  <c r="A1242" i="7"/>
  <c r="A1243" i="7"/>
  <c r="A1244" i="7"/>
  <c r="A1245" i="7"/>
  <c r="A1246" i="7"/>
  <c r="A1247" i="7"/>
  <c r="A1248" i="7"/>
  <c r="A1249" i="7"/>
  <c r="A1250" i="7"/>
  <c r="A1251" i="7"/>
  <c r="A1252" i="7"/>
  <c r="A1253" i="7"/>
  <c r="A1254" i="7"/>
  <c r="A1255" i="7"/>
  <c r="A1256" i="7"/>
  <c r="A1257" i="7"/>
  <c r="A1258" i="7"/>
  <c r="A1259" i="7"/>
  <c r="A1260" i="7"/>
  <c r="A1261" i="7"/>
  <c r="A1262" i="7"/>
  <c r="A1263" i="7"/>
  <c r="A1264" i="7"/>
  <c r="A1265" i="7"/>
  <c r="A1266" i="7"/>
  <c r="A1267" i="7"/>
  <c r="A1268" i="7"/>
  <c r="A1269" i="7"/>
  <c r="A1270" i="7"/>
  <c r="A1271" i="7"/>
  <c r="A1272" i="7"/>
  <c r="A1273" i="7"/>
  <c r="A1274" i="7"/>
  <c r="A1275" i="7"/>
  <c r="A1276" i="7"/>
  <c r="A1277" i="7"/>
  <c r="A1278" i="7"/>
  <c r="A1279" i="7"/>
  <c r="A1280" i="7"/>
  <c r="A1281" i="7"/>
  <c r="A1282" i="7"/>
  <c r="A1283" i="7"/>
  <c r="A1284" i="7"/>
  <c r="A1285" i="7"/>
  <c r="A1286" i="7"/>
  <c r="A1287" i="7"/>
  <c r="A1288" i="7"/>
  <c r="A1289" i="7"/>
  <c r="A1290" i="7"/>
  <c r="A1291" i="7"/>
  <c r="A1292" i="7"/>
  <c r="A1293" i="7"/>
  <c r="A1294" i="7"/>
  <c r="A1295" i="7"/>
  <c r="A1296" i="7"/>
  <c r="A1297" i="7"/>
  <c r="A1298" i="7"/>
  <c r="A1299" i="7"/>
  <c r="A1300" i="7"/>
  <c r="A1301" i="7"/>
  <c r="A1302" i="7"/>
  <c r="A1303" i="7"/>
  <c r="A1304" i="7"/>
  <c r="A1305" i="7"/>
  <c r="A1306" i="7"/>
  <c r="A1307" i="7"/>
  <c r="A1308" i="7"/>
  <c r="A1309" i="7"/>
  <c r="A1310" i="7"/>
  <c r="A1311" i="7"/>
  <c r="A1312" i="7"/>
  <c r="A1313" i="7"/>
  <c r="A1314" i="7"/>
  <c r="A1315" i="7"/>
  <c r="A1316" i="7"/>
  <c r="A1317" i="7"/>
  <c r="A1318" i="7"/>
  <c r="A1319" i="7"/>
  <c r="A1320" i="7"/>
  <c r="A1321" i="7"/>
  <c r="A1322" i="7"/>
  <c r="A1323" i="7"/>
  <c r="A1324" i="7"/>
  <c r="A1325" i="7"/>
  <c r="A1326" i="7"/>
  <c r="A1327" i="7"/>
  <c r="A1328" i="7"/>
  <c r="A1329" i="7"/>
  <c r="A1330" i="7"/>
  <c r="A1331" i="7"/>
  <c r="A1332" i="7"/>
  <c r="A1333" i="7"/>
  <c r="A1334" i="7"/>
  <c r="A1335" i="7"/>
  <c r="A1336" i="7"/>
  <c r="A1337" i="7"/>
  <c r="A1338" i="7"/>
  <c r="A1339" i="7"/>
  <c r="A1340" i="7"/>
  <c r="A1341" i="7"/>
  <c r="A1342" i="7"/>
  <c r="A1343" i="7"/>
  <c r="A1344" i="7"/>
  <c r="A1345" i="7"/>
  <c r="A1346" i="7"/>
  <c r="A1347" i="7"/>
  <c r="A1348" i="7"/>
  <c r="A1349" i="7"/>
  <c r="A1350" i="7"/>
  <c r="A1351" i="7"/>
  <c r="A1352" i="7"/>
  <c r="A1353" i="7"/>
  <c r="A1354" i="7"/>
  <c r="A1355" i="7"/>
  <c r="A1356" i="7"/>
  <c r="A1357" i="7"/>
  <c r="A1358" i="7"/>
  <c r="A1359" i="7"/>
  <c r="A1360" i="7"/>
  <c r="A1361" i="7"/>
  <c r="A1362" i="7"/>
  <c r="A1363" i="7"/>
  <c r="A1364" i="7"/>
  <c r="A1365" i="7"/>
  <c r="A1366" i="7"/>
  <c r="A1367" i="7"/>
  <c r="A1368" i="7"/>
  <c r="A1369" i="7"/>
  <c r="A1370" i="7"/>
  <c r="A1371" i="7"/>
  <c r="A1372" i="7"/>
  <c r="A1373" i="7"/>
  <c r="A1374" i="7"/>
  <c r="A1375" i="7"/>
  <c r="A1376" i="7"/>
  <c r="A1377" i="7"/>
  <c r="A1378" i="7"/>
  <c r="A1379" i="7"/>
  <c r="A1380" i="7"/>
  <c r="A1381" i="7"/>
  <c r="A1382" i="7"/>
  <c r="A1383" i="7"/>
  <c r="A1384" i="7"/>
  <c r="A1385" i="7"/>
  <c r="A1386" i="7"/>
  <c r="A1387" i="7"/>
  <c r="A1388" i="7"/>
  <c r="A1389" i="7"/>
  <c r="A1390" i="7"/>
  <c r="A1391" i="7"/>
  <c r="A1392" i="7"/>
  <c r="A1393" i="7"/>
  <c r="A1394" i="7"/>
  <c r="A1395" i="7"/>
  <c r="A1396" i="7"/>
  <c r="A1397" i="7"/>
  <c r="A1398" i="7"/>
  <c r="A1399" i="7"/>
  <c r="A1400" i="7"/>
  <c r="A1401" i="7"/>
  <c r="A1402" i="7"/>
  <c r="A1403" i="7"/>
  <c r="A1404" i="7"/>
  <c r="A1405" i="7"/>
  <c r="A1406" i="7"/>
  <c r="A1407" i="7"/>
  <c r="A1408" i="7"/>
  <c r="A1409" i="7"/>
  <c r="A1410" i="7"/>
  <c r="A1411" i="7"/>
  <c r="A1412" i="7"/>
  <c r="A1413" i="7"/>
  <c r="A1414" i="7"/>
  <c r="A1415" i="7"/>
  <c r="A1416" i="7"/>
  <c r="A1417" i="7"/>
  <c r="A1418" i="7"/>
  <c r="A1419" i="7"/>
  <c r="A1420" i="7"/>
  <c r="A1421" i="7"/>
  <c r="A1422" i="7"/>
  <c r="A1423" i="7"/>
  <c r="A1424" i="7"/>
  <c r="A1425" i="7"/>
  <c r="A1426" i="7"/>
  <c r="A1427" i="7"/>
  <c r="A1428" i="7"/>
  <c r="A1429" i="7"/>
  <c r="A1430" i="7"/>
  <c r="A1431" i="7"/>
  <c r="A1432" i="7"/>
  <c r="A1433" i="7"/>
  <c r="A1434" i="7"/>
  <c r="A1435" i="7"/>
  <c r="A1436" i="7"/>
  <c r="A1437" i="7"/>
  <c r="A1438" i="7"/>
  <c r="A1439" i="7"/>
  <c r="A1440" i="7"/>
  <c r="A1441" i="7"/>
  <c r="A1442" i="7"/>
  <c r="A1443" i="7"/>
  <c r="A1444" i="7"/>
  <c r="A1445" i="7"/>
  <c r="A1446" i="7"/>
  <c r="A1447" i="7"/>
  <c r="A1448" i="7"/>
  <c r="A1449" i="7"/>
  <c r="A1450" i="7"/>
  <c r="A1451" i="7"/>
  <c r="A1452" i="7"/>
  <c r="A1453" i="7"/>
  <c r="A1454" i="7"/>
  <c r="A1455" i="7"/>
  <c r="A1456" i="7"/>
  <c r="A1457" i="7"/>
  <c r="A1458" i="7"/>
  <c r="A1459" i="7"/>
  <c r="A1460" i="7"/>
  <c r="A1461" i="7"/>
  <c r="A1462" i="7"/>
  <c r="A1463" i="7"/>
  <c r="A1464" i="7"/>
  <c r="A1465" i="7"/>
  <c r="A1466" i="7"/>
  <c r="A1467" i="7"/>
  <c r="A1468" i="7"/>
  <c r="A1469" i="7"/>
  <c r="A1470" i="7"/>
  <c r="A1471" i="7"/>
  <c r="A1472" i="7"/>
  <c r="A1473" i="7"/>
  <c r="A1474" i="7"/>
  <c r="A1475" i="7"/>
  <c r="A1476" i="7"/>
  <c r="A1477" i="7"/>
  <c r="A1478" i="7"/>
  <c r="A1479" i="7"/>
  <c r="A1480" i="7"/>
  <c r="A1481" i="7"/>
  <c r="A1482" i="7"/>
  <c r="A1483" i="7"/>
  <c r="A1484" i="7"/>
  <c r="A1485" i="7"/>
  <c r="A1486" i="7"/>
  <c r="A1487" i="7"/>
  <c r="A1488" i="7"/>
  <c r="A1489" i="7"/>
  <c r="A1490" i="7"/>
  <c r="A1491" i="7"/>
  <c r="A1492" i="7"/>
  <c r="A1493" i="7"/>
  <c r="A1494" i="7"/>
  <c r="A1495" i="7"/>
  <c r="A1496" i="7"/>
  <c r="A1497" i="7"/>
  <c r="A1498" i="7"/>
  <c r="A1499" i="7"/>
  <c r="A1500" i="7"/>
  <c r="A1501" i="7"/>
  <c r="A1502" i="7"/>
  <c r="A1503" i="7"/>
  <c r="A1504" i="7"/>
  <c r="A1505" i="7"/>
  <c r="A1506" i="7"/>
  <c r="A1507" i="7"/>
  <c r="A1508" i="7"/>
  <c r="A1509" i="7"/>
  <c r="A1510" i="7"/>
  <c r="A1511" i="7"/>
  <c r="A1512" i="7"/>
  <c r="A1513" i="7"/>
  <c r="A1514" i="7"/>
  <c r="A1515" i="7"/>
  <c r="A1516" i="7"/>
  <c r="A1517" i="7"/>
  <c r="A1518" i="7"/>
  <c r="A1519" i="7"/>
  <c r="A1520" i="7"/>
  <c r="A1521" i="7"/>
  <c r="A1522" i="7"/>
  <c r="A1523" i="7"/>
  <c r="A1524" i="7"/>
  <c r="A1525" i="7"/>
  <c r="A1526" i="7"/>
  <c r="A1527" i="7"/>
  <c r="A1528" i="7"/>
  <c r="A1529" i="7"/>
  <c r="A1530" i="7"/>
  <c r="A1531" i="7"/>
  <c r="A1532" i="7"/>
  <c r="A1533" i="7"/>
  <c r="A1534" i="7"/>
  <c r="A1535" i="7"/>
  <c r="A1536" i="7"/>
  <c r="A1537" i="7"/>
  <c r="A1538" i="7"/>
  <c r="A1539" i="7"/>
  <c r="A1540" i="7"/>
  <c r="A1541" i="7"/>
  <c r="A1542" i="7"/>
  <c r="A1543" i="7"/>
  <c r="A1544" i="7"/>
  <c r="A1545" i="7"/>
  <c r="A1546" i="7"/>
  <c r="A1547" i="7"/>
  <c r="A1548" i="7"/>
  <c r="A1549" i="7"/>
  <c r="A1550" i="7"/>
  <c r="A1551" i="7"/>
  <c r="A1552" i="7"/>
  <c r="A1553" i="7"/>
  <c r="A1554" i="7"/>
  <c r="A1555" i="7"/>
  <c r="A1556" i="7"/>
  <c r="A1557" i="7"/>
  <c r="A1558" i="7"/>
  <c r="A1559" i="7"/>
  <c r="A1560" i="7"/>
  <c r="A1561" i="7"/>
  <c r="A1562" i="7"/>
  <c r="A1563" i="7"/>
  <c r="A1564" i="7"/>
  <c r="A1565" i="7"/>
  <c r="A1566" i="7"/>
  <c r="A1567" i="7"/>
  <c r="A1568" i="7"/>
  <c r="A1569" i="7"/>
  <c r="A1570" i="7"/>
  <c r="A1571" i="7"/>
  <c r="A1572" i="7"/>
  <c r="A1573" i="7"/>
  <c r="A1574" i="7"/>
  <c r="A1575" i="7"/>
  <c r="A1576" i="7"/>
  <c r="A1577" i="7"/>
  <c r="A1578" i="7"/>
  <c r="A1579" i="7"/>
  <c r="A1580" i="7"/>
  <c r="A1581" i="7"/>
  <c r="A1582" i="7"/>
  <c r="A1583" i="7"/>
  <c r="A1584" i="7"/>
  <c r="A1585" i="7"/>
  <c r="A1586" i="7"/>
  <c r="A1587" i="7"/>
  <c r="A1588" i="7"/>
  <c r="A1589" i="7"/>
  <c r="A1590" i="7"/>
  <c r="A1591" i="7"/>
  <c r="A1592" i="7"/>
  <c r="A1593" i="7"/>
  <c r="A1594" i="7"/>
  <c r="A1595" i="7"/>
  <c r="A1596" i="7"/>
  <c r="A1597" i="7"/>
  <c r="A1598" i="7"/>
  <c r="A1599" i="7"/>
  <c r="A1600" i="7"/>
  <c r="A1601" i="7"/>
  <c r="A1602" i="7"/>
  <c r="A1603" i="7"/>
  <c r="A1604" i="7"/>
  <c r="A1605" i="7"/>
  <c r="A1606" i="7"/>
  <c r="A1607" i="7"/>
  <c r="A1608" i="7"/>
  <c r="A1609" i="7"/>
  <c r="A1610" i="7"/>
  <c r="A1611" i="7"/>
  <c r="A1612" i="7"/>
  <c r="A1613" i="7"/>
  <c r="A1614" i="7"/>
  <c r="A1615" i="7"/>
  <c r="A1616" i="7"/>
  <c r="A1617" i="7"/>
  <c r="A1618" i="7"/>
  <c r="A1619" i="7"/>
  <c r="A1620" i="7"/>
  <c r="A1621" i="7"/>
  <c r="A1622" i="7"/>
  <c r="A1623" i="7"/>
  <c r="A1624" i="7"/>
  <c r="A1625" i="7"/>
  <c r="A1626" i="7"/>
  <c r="A1627" i="7"/>
  <c r="A1628" i="7"/>
  <c r="A1629" i="7"/>
  <c r="A1630" i="7"/>
  <c r="A1631" i="7"/>
  <c r="A1632" i="7"/>
  <c r="A1633" i="7"/>
  <c r="A1634" i="7"/>
  <c r="A1635" i="7"/>
  <c r="A1636" i="7"/>
  <c r="A1637" i="7"/>
  <c r="A1638" i="7"/>
  <c r="A1639" i="7"/>
  <c r="A1640" i="7"/>
  <c r="A1641" i="7"/>
  <c r="A1642" i="7"/>
  <c r="A1643" i="7"/>
  <c r="A1644" i="7"/>
  <c r="A1645" i="7"/>
  <c r="A1646" i="7"/>
  <c r="A1647" i="7"/>
  <c r="A1648" i="7"/>
  <c r="A1649" i="7"/>
  <c r="A1650" i="7"/>
  <c r="A1651" i="7"/>
  <c r="A1652" i="7"/>
  <c r="A1653" i="7"/>
  <c r="A1654" i="7"/>
  <c r="A1655" i="7"/>
  <c r="A1656" i="7"/>
  <c r="A1657" i="7"/>
  <c r="A1658" i="7"/>
  <c r="A1659" i="7"/>
  <c r="A1660" i="7"/>
  <c r="A1661" i="7"/>
  <c r="A1662" i="7"/>
  <c r="A1663" i="7"/>
  <c r="A1664" i="7"/>
  <c r="A1665" i="7"/>
  <c r="A1666" i="7"/>
  <c r="A1667" i="7"/>
  <c r="A1668" i="7"/>
  <c r="A1669" i="7"/>
  <c r="A1670" i="7"/>
  <c r="A1671" i="7"/>
  <c r="A1672" i="7"/>
  <c r="A1673" i="7"/>
  <c r="A1674" i="7"/>
  <c r="A1675" i="7"/>
  <c r="A1676" i="7"/>
  <c r="A1677" i="7"/>
  <c r="A1678" i="7"/>
  <c r="A1679" i="7"/>
  <c r="A1680" i="7"/>
  <c r="A1681" i="7"/>
  <c r="A1682" i="7"/>
  <c r="A1683" i="7"/>
  <c r="A1684" i="7"/>
  <c r="A1685" i="7"/>
  <c r="A1686" i="7"/>
  <c r="A1687" i="7"/>
  <c r="A1688" i="7"/>
  <c r="A1689" i="7"/>
  <c r="A1690" i="7"/>
  <c r="A1691" i="7"/>
  <c r="A1692" i="7"/>
  <c r="A1693" i="7"/>
  <c r="A1694" i="7"/>
  <c r="A1695" i="7"/>
  <c r="A1696" i="7"/>
  <c r="A1697" i="7"/>
  <c r="A1698" i="7"/>
  <c r="A1699" i="7"/>
  <c r="A1700" i="7"/>
  <c r="A1701" i="7"/>
  <c r="A1702" i="7"/>
  <c r="A1703" i="7"/>
  <c r="A1704" i="7"/>
  <c r="A1705" i="7"/>
  <c r="A1706" i="7"/>
  <c r="A1707" i="7"/>
  <c r="A1708" i="7"/>
  <c r="A1709" i="7"/>
  <c r="A1710" i="7"/>
  <c r="A1711" i="7"/>
  <c r="A1712" i="7"/>
  <c r="A1713" i="7"/>
  <c r="A1714" i="7"/>
  <c r="A1715" i="7"/>
  <c r="A1716" i="7"/>
  <c r="A1717" i="7"/>
  <c r="A1718" i="7"/>
  <c r="A1719" i="7"/>
  <c r="A1720" i="7"/>
  <c r="A1721" i="7"/>
  <c r="A1722" i="7"/>
  <c r="A1723" i="7"/>
  <c r="A1724" i="7"/>
  <c r="A1725" i="7"/>
  <c r="A1726" i="7"/>
  <c r="A1727" i="7"/>
  <c r="A1728" i="7"/>
  <c r="A1729" i="7"/>
  <c r="A1730" i="7"/>
  <c r="A1731" i="7"/>
  <c r="A1732" i="7"/>
  <c r="A1733" i="7"/>
  <c r="A1734" i="7"/>
  <c r="A1735" i="7"/>
  <c r="A1736" i="7"/>
  <c r="A1737" i="7"/>
  <c r="A1738" i="7"/>
  <c r="A1739" i="7"/>
  <c r="A1740" i="7"/>
  <c r="A1741" i="7"/>
  <c r="A1742" i="7"/>
  <c r="A1743" i="7"/>
  <c r="A1744" i="7"/>
  <c r="A1745" i="7"/>
  <c r="A1746" i="7"/>
  <c r="A1747" i="7"/>
  <c r="A1748" i="7"/>
  <c r="A1749" i="7"/>
  <c r="A1750" i="7"/>
  <c r="A1751" i="7"/>
  <c r="A1752" i="7"/>
  <c r="A1753" i="7"/>
  <c r="A1754" i="7"/>
  <c r="A1755" i="7"/>
  <c r="A1756" i="7"/>
  <c r="A1757" i="7"/>
  <c r="A1758" i="7"/>
  <c r="A1759" i="7"/>
  <c r="A1760" i="7"/>
  <c r="A1761" i="7"/>
  <c r="A1762" i="7"/>
  <c r="A1763" i="7"/>
  <c r="A1764" i="7"/>
  <c r="A1765" i="7"/>
  <c r="A1766" i="7"/>
  <c r="A1767" i="7"/>
  <c r="A1768" i="7"/>
  <c r="A1769" i="7"/>
  <c r="A1770" i="7"/>
  <c r="A1771" i="7"/>
  <c r="A1772" i="7"/>
  <c r="A1773" i="7"/>
  <c r="A1774" i="7"/>
  <c r="A1775" i="7"/>
  <c r="A1776" i="7"/>
  <c r="A1777" i="7"/>
  <c r="A1778" i="7"/>
  <c r="A1779" i="7"/>
  <c r="A1780" i="7"/>
  <c r="A1781" i="7"/>
  <c r="A1782" i="7"/>
  <c r="A1783" i="7"/>
  <c r="A1784" i="7"/>
  <c r="A1785" i="7"/>
  <c r="A1786" i="7"/>
  <c r="A1787" i="7"/>
  <c r="A1788" i="7"/>
  <c r="A1789" i="7"/>
  <c r="A1790" i="7"/>
  <c r="A1791" i="7"/>
  <c r="A1792" i="7"/>
  <c r="A1793" i="7"/>
  <c r="A1794" i="7"/>
  <c r="A1795" i="7"/>
  <c r="A1796" i="7"/>
  <c r="A1797" i="7"/>
  <c r="A1798" i="7"/>
  <c r="A1799" i="7"/>
  <c r="A1800" i="7"/>
  <c r="A1801" i="7"/>
  <c r="A1802" i="7"/>
  <c r="A1803" i="7"/>
  <c r="A1804" i="7"/>
  <c r="A1805" i="7"/>
  <c r="A1806" i="7"/>
  <c r="A1807" i="7"/>
  <c r="A1808" i="7"/>
  <c r="A1809" i="7"/>
  <c r="A1810" i="7"/>
  <c r="A1811" i="7"/>
  <c r="A1812" i="7"/>
  <c r="A1813" i="7"/>
  <c r="A1814" i="7"/>
  <c r="A1815" i="7"/>
  <c r="A1816" i="7"/>
  <c r="A1817" i="7"/>
  <c r="A1818" i="7"/>
  <c r="A1819" i="7"/>
  <c r="A1820" i="7"/>
  <c r="A1821" i="7"/>
  <c r="A1822" i="7"/>
  <c r="A1823" i="7"/>
  <c r="A1824" i="7"/>
  <c r="A1825" i="7"/>
  <c r="A1826" i="7"/>
  <c r="A1827" i="7"/>
  <c r="A1828" i="7"/>
  <c r="A1829" i="7"/>
  <c r="A1830" i="7"/>
  <c r="A1831" i="7"/>
  <c r="A1832" i="7"/>
  <c r="A1833" i="7"/>
  <c r="A1834" i="7"/>
  <c r="A1835" i="7"/>
  <c r="A1836" i="7"/>
  <c r="A1837" i="7"/>
  <c r="A1838" i="7"/>
  <c r="A1839" i="7"/>
  <c r="A1840" i="7"/>
  <c r="A1841" i="7"/>
  <c r="A1842" i="7"/>
  <c r="A1843" i="7"/>
  <c r="A1844" i="7"/>
  <c r="A1845" i="7"/>
  <c r="A1846" i="7"/>
  <c r="A1847" i="7"/>
  <c r="A1848" i="7"/>
  <c r="A1849" i="7"/>
  <c r="A1850" i="7"/>
  <c r="A1851" i="7"/>
  <c r="A1852" i="7"/>
  <c r="A1853" i="7"/>
  <c r="A1854" i="7"/>
  <c r="A1855" i="7"/>
  <c r="A1856" i="7"/>
  <c r="A1857" i="7"/>
  <c r="A1858" i="7"/>
  <c r="A1859" i="7"/>
  <c r="A1860" i="7"/>
  <c r="A1861" i="7"/>
  <c r="A1862" i="7"/>
  <c r="A1863" i="7"/>
  <c r="A1864" i="7"/>
  <c r="A1865" i="7"/>
  <c r="A1866" i="7"/>
  <c r="A1867" i="7"/>
  <c r="A1868" i="7"/>
  <c r="A1869" i="7"/>
  <c r="A1870" i="7"/>
  <c r="A1871" i="7"/>
  <c r="A1872" i="7"/>
  <c r="A1873" i="7"/>
  <c r="A1874" i="7"/>
  <c r="A1875" i="7"/>
  <c r="A1876" i="7"/>
  <c r="A1877" i="7"/>
  <c r="A1878" i="7"/>
  <c r="A1879" i="7"/>
  <c r="A1880" i="7"/>
  <c r="A1881" i="7"/>
  <c r="A1882" i="7"/>
  <c r="A1883" i="7"/>
  <c r="A1884" i="7"/>
  <c r="A1885" i="7"/>
  <c r="A1886" i="7"/>
  <c r="A1887" i="7"/>
  <c r="A1888" i="7"/>
  <c r="A1889" i="7"/>
  <c r="A1890" i="7"/>
  <c r="A1891" i="7"/>
  <c r="A1892" i="7"/>
  <c r="A1893" i="7"/>
  <c r="A1894" i="7"/>
  <c r="A1895" i="7"/>
  <c r="A1896" i="7"/>
  <c r="A1897" i="7"/>
  <c r="A1898" i="7"/>
  <c r="A1899" i="7"/>
  <c r="A1900" i="7"/>
  <c r="A1901" i="7"/>
  <c r="A1902" i="7"/>
  <c r="A1903" i="7"/>
  <c r="A1904" i="7"/>
  <c r="A1905" i="7"/>
  <c r="A1906" i="7"/>
  <c r="A1907" i="7"/>
  <c r="A1908" i="7"/>
  <c r="A1909" i="7"/>
  <c r="A1910" i="7"/>
  <c r="A1911" i="7"/>
  <c r="A1912" i="7"/>
  <c r="A1913" i="7"/>
  <c r="A1914" i="7"/>
  <c r="A1915" i="7"/>
  <c r="A1916" i="7"/>
  <c r="A1917" i="7"/>
  <c r="A1918" i="7"/>
  <c r="A1919" i="7"/>
  <c r="A1920" i="7"/>
  <c r="A1921" i="7"/>
  <c r="A1922" i="7"/>
  <c r="A1923" i="7"/>
  <c r="A1924" i="7"/>
  <c r="A1925" i="7"/>
  <c r="A1926" i="7"/>
  <c r="A1927" i="7"/>
  <c r="A1928" i="7"/>
  <c r="A1929" i="7"/>
  <c r="A1930" i="7"/>
  <c r="A1931" i="7"/>
  <c r="A1932" i="7"/>
  <c r="A1933" i="7"/>
  <c r="A1934" i="7"/>
  <c r="A1935" i="7"/>
  <c r="A1936" i="7"/>
  <c r="A1937" i="7"/>
  <c r="A1938" i="7"/>
  <c r="A1939" i="7"/>
  <c r="A1940" i="7"/>
  <c r="A1941" i="7"/>
  <c r="A1942" i="7"/>
  <c r="A1943" i="7"/>
  <c r="A1944" i="7"/>
  <c r="A1945" i="7"/>
  <c r="A1946" i="7"/>
  <c r="A1947" i="7"/>
  <c r="A1948" i="7"/>
  <c r="A1949" i="7"/>
  <c r="A1950" i="7"/>
  <c r="A1951" i="7"/>
  <c r="A1952" i="7"/>
  <c r="A1953" i="7"/>
  <c r="A1954" i="7"/>
  <c r="A1955" i="7"/>
  <c r="A1956" i="7"/>
  <c r="A1957" i="7"/>
  <c r="A1958" i="7"/>
  <c r="A1959" i="7"/>
  <c r="A1960" i="7"/>
  <c r="A1961" i="7"/>
  <c r="A1962" i="7"/>
  <c r="A1963" i="7"/>
  <c r="A1964" i="7"/>
  <c r="A1965" i="7"/>
  <c r="A1966" i="7"/>
  <c r="A1967" i="7"/>
  <c r="A1968" i="7"/>
  <c r="A1969" i="7"/>
  <c r="A1970" i="7"/>
  <c r="A1971" i="7"/>
  <c r="A1972" i="7"/>
  <c r="A1973" i="7"/>
  <c r="A1974" i="7"/>
  <c r="A1975" i="7"/>
  <c r="A1976" i="7"/>
  <c r="A1977" i="7"/>
  <c r="A1978" i="7"/>
  <c r="A1979" i="7"/>
  <c r="A1980" i="7"/>
  <c r="A1981" i="7"/>
  <c r="A1982" i="7"/>
  <c r="A1983" i="7"/>
  <c r="A1984" i="7"/>
  <c r="A1985" i="7"/>
  <c r="A1986" i="7"/>
  <c r="A1987" i="7"/>
  <c r="A1988" i="7"/>
  <c r="A1989" i="7"/>
  <c r="A1990" i="7"/>
  <c r="A1991" i="7"/>
  <c r="A1992" i="7"/>
  <c r="A1993" i="7"/>
  <c r="A1994" i="7"/>
  <c r="A1995" i="7"/>
  <c r="A1996" i="7"/>
  <c r="A1997" i="7"/>
  <c r="A1998" i="7"/>
  <c r="A1999" i="7"/>
  <c r="A2000" i="7"/>
  <c r="A2001" i="7"/>
  <c r="A2002" i="7"/>
  <c r="A2003" i="7"/>
  <c r="A2004" i="7"/>
  <c r="A2005" i="7"/>
  <c r="A2006" i="7"/>
  <c r="A2007" i="7"/>
  <c r="A2008" i="7"/>
  <c r="A11" i="2" a="1"/>
  <c r="A11" i="2" l="1"/>
  <c r="B11" i="2"/>
  <c r="C11" i="2"/>
  <c r="G10" i="7"/>
  <c r="G11" i="7"/>
  <c r="A12" i="2" a="1"/>
  <c r="C12" i="2" l="1"/>
  <c r="B12" i="2"/>
  <c r="A12" i="2"/>
  <c r="B8" i="7"/>
  <c r="B553" i="7"/>
  <c r="B549" i="7"/>
  <c r="B541" i="7"/>
  <c r="B533" i="7"/>
  <c r="B525" i="7"/>
  <c r="B517" i="7"/>
  <c r="B509" i="7"/>
  <c r="B501" i="7"/>
  <c r="B493" i="7"/>
  <c r="B485" i="7"/>
  <c r="B477" i="7"/>
  <c r="B469" i="7"/>
  <c r="B461" i="7"/>
  <c r="B453" i="7"/>
  <c r="B445" i="7"/>
  <c r="B437" i="7"/>
  <c r="B429" i="7"/>
  <c r="B421" i="7"/>
  <c r="B413" i="7"/>
  <c r="B405" i="7"/>
  <c r="B397" i="7"/>
  <c r="B389" i="7"/>
  <c r="B381" i="7"/>
  <c r="B373" i="7"/>
  <c r="B365" i="7"/>
  <c r="B357" i="7"/>
  <c r="B349" i="7"/>
  <c r="B341" i="7"/>
  <c r="B333" i="7"/>
  <c r="B325" i="7"/>
  <c r="B317" i="7"/>
  <c r="B309" i="7"/>
  <c r="B301" i="7"/>
  <c r="B293" i="7"/>
  <c r="B285" i="7"/>
  <c r="B277" i="7"/>
  <c r="B269" i="7"/>
  <c r="B261" i="7"/>
  <c r="B253" i="7"/>
  <c r="B245" i="7"/>
  <c r="B237" i="7"/>
  <c r="B229" i="7"/>
  <c r="B221" i="7"/>
  <c r="B213" i="7"/>
  <c r="B205" i="7"/>
  <c r="B197" i="7"/>
  <c r="B189" i="7"/>
  <c r="B181" i="7"/>
  <c r="B173" i="7"/>
  <c r="B165" i="7"/>
  <c r="B157" i="7"/>
  <c r="B149" i="7"/>
  <c r="B141" i="7"/>
  <c r="B133" i="7"/>
  <c r="B125" i="7"/>
  <c r="B117" i="7"/>
  <c r="B109" i="7"/>
  <c r="B101" i="7"/>
  <c r="B93" i="7"/>
  <c r="B85" i="7"/>
  <c r="B77" i="7"/>
  <c r="B69" i="7"/>
  <c r="B61" i="7"/>
  <c r="B53" i="7"/>
  <c r="B45" i="7"/>
  <c r="B37" i="7"/>
  <c r="B29" i="7"/>
  <c r="B21" i="7"/>
  <c r="B13" i="7"/>
  <c r="B652" i="7"/>
  <c r="B644" i="7"/>
  <c r="B636" i="7"/>
  <c r="B628" i="7"/>
  <c r="B620" i="7"/>
  <c r="B612" i="7"/>
  <c r="B604" i="7"/>
  <c r="B596" i="7"/>
  <c r="B588" i="7"/>
  <c r="B580" i="7"/>
  <c r="B572" i="7"/>
  <c r="B564" i="7"/>
  <c r="B556" i="7"/>
  <c r="B548" i="7"/>
  <c r="B540" i="7"/>
  <c r="B532" i="7"/>
  <c r="B524" i="7"/>
  <c r="B516" i="7"/>
  <c r="B508" i="7"/>
  <c r="B500" i="7"/>
  <c r="B492" i="7"/>
  <c r="B484" i="7"/>
  <c r="B476" i="7"/>
  <c r="B468" i="7"/>
  <c r="B460" i="7"/>
  <c r="B452" i="7"/>
  <c r="B444" i="7"/>
  <c r="B436" i="7"/>
  <c r="B428" i="7"/>
  <c r="B420" i="7"/>
  <c r="B412" i="7"/>
  <c r="B404" i="7"/>
  <c r="B396" i="7"/>
  <c r="B388" i="7"/>
  <c r="B380" i="7"/>
  <c r="B372" i="7"/>
  <c r="B364" i="7"/>
  <c r="B356" i="7"/>
  <c r="B348" i="7"/>
  <c r="B340" i="7"/>
  <c r="B332" i="7"/>
  <c r="B324" i="7"/>
  <c r="B316" i="7"/>
  <c r="B308" i="7"/>
  <c r="B300" i="7"/>
  <c r="B292" i="7"/>
  <c r="B284" i="7"/>
  <c r="B276" i="7"/>
  <c r="B268" i="7"/>
  <c r="B260" i="7"/>
  <c r="B252" i="7"/>
  <c r="B244" i="7"/>
  <c r="B236" i="7"/>
  <c r="B228" i="7"/>
  <c r="B220" i="7"/>
  <c r="B212" i="7"/>
  <c r="B204" i="7"/>
  <c r="B196" i="7"/>
  <c r="B188" i="7"/>
  <c r="B180" i="7"/>
  <c r="B172" i="7"/>
  <c r="B164" i="7"/>
  <c r="B156" i="7"/>
  <c r="B148" i="7"/>
  <c r="B140" i="7"/>
  <c r="B132" i="7"/>
  <c r="B124" i="7"/>
  <c r="B116" i="7"/>
  <c r="B108" i="7"/>
  <c r="B100" i="7"/>
  <c r="B92" i="7"/>
  <c r="B84" i="7"/>
  <c r="B76" i="7"/>
  <c r="B68" i="7"/>
  <c r="B60" i="7"/>
  <c r="B52" i="7"/>
  <c r="B44" i="7"/>
  <c r="B36" i="7"/>
  <c r="B28" i="7"/>
  <c r="B20" i="7"/>
  <c r="B12" i="7"/>
  <c r="B16" i="7"/>
  <c r="B24" i="7"/>
  <c r="B32" i="7"/>
  <c r="B40" i="7"/>
  <c r="B48" i="7"/>
  <c r="B56" i="7"/>
  <c r="B64" i="7"/>
  <c r="B72" i="7"/>
  <c r="B80" i="7"/>
  <c r="B88" i="7"/>
  <c r="B96" i="7"/>
  <c r="B104" i="7"/>
  <c r="B112" i="7"/>
  <c r="B120" i="7"/>
  <c r="B128" i="7"/>
  <c r="B136" i="7"/>
  <c r="B144" i="7"/>
  <c r="B152" i="7"/>
  <c r="B160" i="7"/>
  <c r="B168" i="7"/>
  <c r="B176" i="7"/>
  <c r="B184" i="7"/>
  <c r="B192" i="7"/>
  <c r="B200" i="7"/>
  <c r="B208" i="7"/>
  <c r="B216" i="7"/>
  <c r="B224" i="7"/>
  <c r="B232" i="7"/>
  <c r="B240" i="7"/>
  <c r="B248" i="7"/>
  <c r="B256" i="7"/>
  <c r="B264" i="7"/>
  <c r="B272" i="7"/>
  <c r="B280" i="7"/>
  <c r="B288" i="7"/>
  <c r="B296" i="7"/>
  <c r="B304" i="7"/>
  <c r="B312" i="7"/>
  <c r="B320" i="7"/>
  <c r="B328" i="7"/>
  <c r="B336" i="7"/>
  <c r="B344" i="7"/>
  <c r="B352" i="7"/>
  <c r="B360" i="7"/>
  <c r="B368" i="7"/>
  <c r="B376" i="7"/>
  <c r="B384" i="7"/>
  <c r="B392" i="7"/>
  <c r="B400" i="7"/>
  <c r="B408" i="7"/>
  <c r="B416" i="7"/>
  <c r="B424" i="7"/>
  <c r="B432" i="7"/>
  <c r="B440" i="7"/>
  <c r="B448" i="7"/>
  <c r="B456" i="7"/>
  <c r="B464" i="7"/>
  <c r="B472" i="7"/>
  <c r="B480" i="7"/>
  <c r="B488" i="7"/>
  <c r="B496" i="7"/>
  <c r="B504" i="7"/>
  <c r="B512" i="7"/>
  <c r="B520" i="7"/>
  <c r="B528" i="7"/>
  <c r="B536" i="7"/>
  <c r="B544" i="7"/>
  <c r="B552" i="7"/>
  <c r="B560" i="7"/>
  <c r="B568" i="7"/>
  <c r="B576" i="7"/>
  <c r="B584" i="7"/>
  <c r="B592" i="7"/>
  <c r="B600" i="7"/>
  <c r="B608" i="7"/>
  <c r="B616" i="7"/>
  <c r="B624" i="7"/>
  <c r="B632" i="7"/>
  <c r="B640" i="7"/>
  <c r="B648" i="7"/>
  <c r="B9" i="7"/>
  <c r="B17" i="7"/>
  <c r="B25" i="7"/>
  <c r="B33" i="7"/>
  <c r="B41" i="7"/>
  <c r="B49" i="7"/>
  <c r="B57" i="7"/>
  <c r="B65" i="7"/>
  <c r="B73" i="7"/>
  <c r="B81" i="7"/>
  <c r="B89" i="7"/>
  <c r="B97" i="7"/>
  <c r="B105" i="7"/>
  <c r="B113" i="7"/>
  <c r="B121" i="7"/>
  <c r="B129" i="7"/>
  <c r="B137" i="7"/>
  <c r="B145" i="7"/>
  <c r="B153" i="7"/>
  <c r="B161" i="7"/>
  <c r="B169" i="7"/>
  <c r="B177" i="7"/>
  <c r="B185" i="7"/>
  <c r="B193" i="7"/>
  <c r="B201" i="7"/>
  <c r="B209" i="7"/>
  <c r="B217" i="7"/>
  <c r="B225" i="7"/>
  <c r="B233" i="7"/>
  <c r="B241" i="7"/>
  <c r="B249" i="7"/>
  <c r="B257" i="7"/>
  <c r="B265" i="7"/>
  <c r="B273" i="7"/>
  <c r="B281" i="7"/>
  <c r="B289" i="7"/>
  <c r="B297" i="7"/>
  <c r="B305" i="7"/>
  <c r="B313" i="7"/>
  <c r="B321" i="7"/>
  <c r="B329" i="7"/>
  <c r="B337" i="7"/>
  <c r="B345" i="7"/>
  <c r="B353" i="7"/>
  <c r="B361" i="7"/>
  <c r="B369" i="7"/>
  <c r="B377" i="7"/>
  <c r="B385" i="7"/>
  <c r="B393" i="7"/>
  <c r="B401" i="7"/>
  <c r="B409" i="7"/>
  <c r="B417" i="7"/>
  <c r="B425" i="7"/>
  <c r="B433" i="7"/>
  <c r="B441" i="7"/>
  <c r="B449" i="7"/>
  <c r="B457" i="7"/>
  <c r="B465" i="7"/>
  <c r="B473" i="7"/>
  <c r="B481" i="7"/>
  <c r="B489" i="7"/>
  <c r="B497" i="7"/>
  <c r="B505" i="7"/>
  <c r="B513" i="7"/>
  <c r="B521" i="7"/>
  <c r="B529" i="7"/>
  <c r="B537" i="7"/>
  <c r="B545" i="7"/>
  <c r="B557" i="7"/>
  <c r="B561" i="7"/>
  <c r="B565" i="7"/>
  <c r="B569" i="7"/>
  <c r="B573" i="7"/>
  <c r="B577" i="7"/>
  <c r="B581" i="7"/>
  <c r="B585" i="7"/>
  <c r="B589" i="7"/>
  <c r="B593" i="7"/>
  <c r="B597" i="7"/>
  <c r="B601" i="7"/>
  <c r="B605" i="7"/>
  <c r="B609" i="7"/>
  <c r="B613" i="7"/>
  <c r="B617" i="7"/>
  <c r="B621" i="7"/>
  <c r="B625" i="7"/>
  <c r="B629" i="7"/>
  <c r="B633" i="7"/>
  <c r="B637" i="7"/>
  <c r="B641" i="7"/>
  <c r="B645" i="7"/>
  <c r="B649" i="7"/>
  <c r="B653" i="7"/>
  <c r="B10" i="7"/>
  <c r="B14" i="7"/>
  <c r="B18" i="7"/>
  <c r="B22" i="7"/>
  <c r="B26" i="7"/>
  <c r="B30" i="7"/>
  <c r="B34" i="7"/>
  <c r="B38" i="7"/>
  <c r="B42" i="7"/>
  <c r="B46" i="7"/>
  <c r="B50" i="7"/>
  <c r="B54" i="7"/>
  <c r="B58" i="7"/>
  <c r="B62" i="7"/>
  <c r="B66" i="7"/>
  <c r="B70" i="7"/>
  <c r="B74" i="7"/>
  <c r="B78" i="7"/>
  <c r="B82" i="7"/>
  <c r="B86" i="7"/>
  <c r="B90" i="7"/>
  <c r="B94" i="7"/>
  <c r="B98" i="7"/>
  <c r="B102" i="7"/>
  <c r="B106" i="7"/>
  <c r="B110" i="7"/>
  <c r="B114" i="7"/>
  <c r="B118" i="7"/>
  <c r="B122" i="7"/>
  <c r="B126" i="7"/>
  <c r="B130" i="7"/>
  <c r="B134" i="7"/>
  <c r="B138" i="7"/>
  <c r="B142" i="7"/>
  <c r="B146" i="7"/>
  <c r="B150" i="7"/>
  <c r="B154" i="7"/>
  <c r="B158" i="7"/>
  <c r="B162" i="7"/>
  <c r="B166" i="7"/>
  <c r="B170" i="7"/>
  <c r="B174" i="7"/>
  <c r="B178" i="7"/>
  <c r="B182" i="7"/>
  <c r="B186" i="7"/>
  <c r="B190" i="7"/>
  <c r="B194" i="7"/>
  <c r="B198" i="7"/>
  <c r="B202" i="7"/>
  <c r="B206" i="7"/>
  <c r="B210" i="7"/>
  <c r="B214" i="7"/>
  <c r="B218" i="7"/>
  <c r="B222" i="7"/>
  <c r="B226" i="7"/>
  <c r="B230" i="7"/>
  <c r="B234" i="7"/>
  <c r="B238" i="7"/>
  <c r="B242" i="7"/>
  <c r="B246" i="7"/>
  <c r="B250" i="7"/>
  <c r="B254" i="7"/>
  <c r="B258" i="7"/>
  <c r="B262" i="7"/>
  <c r="B266" i="7"/>
  <c r="B270" i="7"/>
  <c r="B274" i="7"/>
  <c r="B278" i="7"/>
  <c r="B282" i="7"/>
  <c r="B286" i="7"/>
  <c r="B290" i="7"/>
  <c r="B294" i="7"/>
  <c r="B298" i="7"/>
  <c r="B302" i="7"/>
  <c r="B306" i="7"/>
  <c r="B310" i="7"/>
  <c r="B314" i="7"/>
  <c r="B318" i="7"/>
  <c r="B322" i="7"/>
  <c r="B326" i="7"/>
  <c r="B330" i="7"/>
  <c r="B334" i="7"/>
  <c r="B338" i="7"/>
  <c r="B342" i="7"/>
  <c r="B346" i="7"/>
  <c r="B350" i="7"/>
  <c r="B354" i="7"/>
  <c r="B358" i="7"/>
  <c r="B362" i="7"/>
  <c r="B366" i="7"/>
  <c r="B370" i="7"/>
  <c r="B374" i="7"/>
  <c r="B378" i="7"/>
  <c r="B382" i="7"/>
  <c r="B386" i="7"/>
  <c r="B390" i="7"/>
  <c r="B394" i="7"/>
  <c r="B398" i="7"/>
  <c r="B402" i="7"/>
  <c r="B406" i="7"/>
  <c r="B410" i="7"/>
  <c r="B414" i="7"/>
  <c r="B418" i="7"/>
  <c r="B422" i="7"/>
  <c r="B426" i="7"/>
  <c r="B430" i="7"/>
  <c r="B434" i="7"/>
  <c r="B438" i="7"/>
  <c r="B442" i="7"/>
  <c r="B446" i="7"/>
  <c r="B450" i="7"/>
  <c r="B454" i="7"/>
  <c r="B458" i="7"/>
  <c r="B462" i="7"/>
  <c r="B466" i="7"/>
  <c r="B470" i="7"/>
  <c r="B474" i="7"/>
  <c r="B478" i="7"/>
  <c r="B482" i="7"/>
  <c r="B486" i="7"/>
  <c r="B490" i="7"/>
  <c r="B494" i="7"/>
  <c r="B498" i="7"/>
  <c r="B502" i="7"/>
  <c r="B506" i="7"/>
  <c r="B510" i="7"/>
  <c r="B514" i="7"/>
  <c r="B518" i="7"/>
  <c r="B522" i="7"/>
  <c r="B526" i="7"/>
  <c r="B530" i="7"/>
  <c r="B534" i="7"/>
  <c r="B538" i="7"/>
  <c r="B542" i="7"/>
  <c r="B546" i="7"/>
  <c r="B550" i="7"/>
  <c r="B554" i="7"/>
  <c r="B558" i="7"/>
  <c r="B562" i="7"/>
  <c r="B566" i="7"/>
  <c r="B570" i="7"/>
  <c r="B574" i="7"/>
  <c r="B578" i="7"/>
  <c r="B582" i="7"/>
  <c r="B586" i="7"/>
  <c r="B590" i="7"/>
  <c r="B594" i="7"/>
  <c r="B598" i="7"/>
  <c r="B602" i="7"/>
  <c r="B606" i="7"/>
  <c r="B610" i="7"/>
  <c r="B614" i="7"/>
  <c r="B618" i="7"/>
  <c r="B622" i="7"/>
  <c r="B626" i="7"/>
  <c r="B630" i="7"/>
  <c r="B634" i="7"/>
  <c r="B638" i="7"/>
  <c r="B642" i="7"/>
  <c r="B646" i="7"/>
  <c r="B650" i="7"/>
  <c r="B11" i="7"/>
  <c r="B15" i="7"/>
  <c r="B19" i="7"/>
  <c r="B23" i="7"/>
  <c r="B27" i="7"/>
  <c r="B31" i="7"/>
  <c r="B35" i="7"/>
  <c r="B39" i="7"/>
  <c r="B43" i="7"/>
  <c r="B47" i="7"/>
  <c r="B51" i="7"/>
  <c r="B55" i="7"/>
  <c r="B59" i="7"/>
  <c r="B63" i="7"/>
  <c r="B67" i="7"/>
  <c r="B71" i="7"/>
  <c r="B75" i="7"/>
  <c r="B79" i="7"/>
  <c r="B83" i="7"/>
  <c r="B87" i="7"/>
  <c r="B91" i="7"/>
  <c r="B95" i="7"/>
  <c r="B99" i="7"/>
  <c r="B103" i="7"/>
  <c r="B107" i="7"/>
  <c r="B111" i="7"/>
  <c r="B115" i="7"/>
  <c r="B119" i="7"/>
  <c r="B123" i="7"/>
  <c r="B127" i="7"/>
  <c r="B131" i="7"/>
  <c r="B135" i="7"/>
  <c r="B139" i="7"/>
  <c r="B143" i="7"/>
  <c r="B147" i="7"/>
  <c r="B151" i="7"/>
  <c r="B155" i="7"/>
  <c r="B159" i="7"/>
  <c r="B163" i="7"/>
  <c r="B167" i="7"/>
  <c r="B171" i="7"/>
  <c r="B175" i="7"/>
  <c r="B179" i="7"/>
  <c r="B183" i="7"/>
  <c r="B187" i="7"/>
  <c r="B191" i="7"/>
  <c r="B195" i="7"/>
  <c r="B199" i="7"/>
  <c r="B203" i="7"/>
  <c r="B207" i="7"/>
  <c r="B211" i="7"/>
  <c r="B215" i="7"/>
  <c r="B219" i="7"/>
  <c r="B223" i="7"/>
  <c r="B227" i="7"/>
  <c r="B231" i="7"/>
  <c r="B235" i="7"/>
  <c r="B239" i="7"/>
  <c r="B243" i="7"/>
  <c r="B247" i="7"/>
  <c r="B251" i="7"/>
  <c r="B255" i="7"/>
  <c r="B259" i="7"/>
  <c r="B263" i="7"/>
  <c r="B267" i="7"/>
  <c r="B271" i="7"/>
  <c r="B275" i="7"/>
  <c r="B279" i="7"/>
  <c r="B283" i="7"/>
  <c r="B287" i="7"/>
  <c r="B291" i="7"/>
  <c r="B295" i="7"/>
  <c r="B299" i="7"/>
  <c r="B303" i="7"/>
  <c r="B307" i="7"/>
  <c r="B311" i="7"/>
  <c r="B315" i="7"/>
  <c r="B319" i="7"/>
  <c r="B323" i="7"/>
  <c r="B327" i="7"/>
  <c r="B331" i="7"/>
  <c r="B335" i="7"/>
  <c r="B339" i="7"/>
  <c r="B343" i="7"/>
  <c r="B347" i="7"/>
  <c r="B351" i="7"/>
  <c r="B355" i="7"/>
  <c r="B359" i="7"/>
  <c r="B363" i="7"/>
  <c r="B367" i="7"/>
  <c r="B371" i="7"/>
  <c r="B375" i="7"/>
  <c r="B379" i="7"/>
  <c r="B383" i="7"/>
  <c r="B387" i="7"/>
  <c r="B391" i="7"/>
  <c r="B395" i="7"/>
  <c r="B399" i="7"/>
  <c r="B403" i="7"/>
  <c r="B407" i="7"/>
  <c r="B411" i="7"/>
  <c r="B415" i="7"/>
  <c r="B419" i="7"/>
  <c r="B423" i="7"/>
  <c r="B427" i="7"/>
  <c r="B431" i="7"/>
  <c r="B435" i="7"/>
  <c r="B439" i="7"/>
  <c r="B443" i="7"/>
  <c r="B447" i="7"/>
  <c r="B451" i="7"/>
  <c r="B455" i="7"/>
  <c r="B459" i="7"/>
  <c r="B463" i="7"/>
  <c r="B467" i="7"/>
  <c r="B471" i="7"/>
  <c r="B475" i="7"/>
  <c r="B479" i="7"/>
  <c r="B483" i="7"/>
  <c r="B487" i="7"/>
  <c r="B491" i="7"/>
  <c r="B495" i="7"/>
  <c r="B499" i="7"/>
  <c r="B503" i="7"/>
  <c r="B507" i="7"/>
  <c r="B511" i="7"/>
  <c r="B515" i="7"/>
  <c r="B519" i="7"/>
  <c r="B523" i="7"/>
  <c r="B527" i="7"/>
  <c r="B531" i="7"/>
  <c r="B535" i="7"/>
  <c r="B539" i="7"/>
  <c r="B543" i="7"/>
  <c r="B547" i="7"/>
  <c r="B551" i="7"/>
  <c r="B555" i="7"/>
  <c r="B559" i="7"/>
  <c r="B563" i="7"/>
  <c r="B567" i="7"/>
  <c r="B571" i="7"/>
  <c r="B575" i="7"/>
  <c r="B579" i="7"/>
  <c r="B583" i="7"/>
  <c r="B587" i="7"/>
  <c r="B591" i="7"/>
  <c r="B595" i="7"/>
  <c r="B599" i="7"/>
  <c r="B603" i="7"/>
  <c r="B607" i="7"/>
  <c r="B611" i="7"/>
  <c r="B615" i="7"/>
  <c r="B619" i="7"/>
  <c r="B623" i="7"/>
  <c r="B627" i="7"/>
  <c r="B631" i="7"/>
  <c r="B635" i="7"/>
  <c r="B639" i="7"/>
  <c r="B643" i="7"/>
  <c r="B647" i="7"/>
  <c r="B651" i="7"/>
  <c r="B654" i="7"/>
  <c r="B655" i="7"/>
  <c r="B656" i="7"/>
  <c r="B657" i="7"/>
  <c r="B658" i="7"/>
  <c r="B659" i="7"/>
  <c r="B660" i="7"/>
  <c r="B661" i="7"/>
  <c r="B662" i="7"/>
  <c r="B663" i="7"/>
  <c r="B664" i="7"/>
  <c r="B665" i="7"/>
  <c r="B666" i="7"/>
  <c r="B667" i="7"/>
  <c r="B668" i="7"/>
  <c r="B669" i="7"/>
  <c r="B670" i="7"/>
  <c r="B671" i="7"/>
  <c r="B672" i="7"/>
  <c r="B673" i="7"/>
  <c r="B674" i="7"/>
  <c r="B675" i="7"/>
  <c r="B676" i="7"/>
  <c r="B677" i="7"/>
  <c r="B678" i="7"/>
  <c r="B679" i="7"/>
  <c r="B680" i="7"/>
  <c r="B681" i="7"/>
  <c r="B682" i="7"/>
  <c r="B683" i="7"/>
  <c r="B684" i="7"/>
  <c r="B685" i="7"/>
  <c r="B686" i="7"/>
  <c r="B687" i="7"/>
  <c r="B688" i="7"/>
  <c r="B689" i="7"/>
  <c r="B690" i="7"/>
  <c r="B691" i="7"/>
  <c r="B692" i="7"/>
  <c r="B693" i="7"/>
  <c r="B694" i="7"/>
  <c r="B695" i="7"/>
  <c r="B696" i="7"/>
  <c r="B697" i="7"/>
  <c r="B698" i="7"/>
  <c r="B699" i="7"/>
  <c r="B700" i="7"/>
  <c r="B701" i="7"/>
  <c r="B702" i="7"/>
  <c r="B703" i="7"/>
  <c r="B704" i="7"/>
  <c r="B705" i="7"/>
  <c r="B706" i="7"/>
  <c r="B707" i="7"/>
  <c r="B708" i="7"/>
  <c r="B709" i="7"/>
  <c r="B710" i="7"/>
  <c r="B711" i="7"/>
  <c r="B712" i="7"/>
  <c r="B713" i="7"/>
  <c r="B714" i="7"/>
  <c r="B715" i="7"/>
  <c r="B716" i="7"/>
  <c r="B717" i="7"/>
  <c r="B718" i="7"/>
  <c r="B719" i="7"/>
  <c r="B720" i="7"/>
  <c r="B721" i="7"/>
  <c r="B722" i="7"/>
  <c r="B723" i="7"/>
  <c r="B724" i="7"/>
  <c r="B725" i="7"/>
  <c r="B726" i="7"/>
  <c r="B727" i="7"/>
  <c r="B728" i="7"/>
  <c r="B729" i="7"/>
  <c r="B730" i="7"/>
  <c r="B731" i="7"/>
  <c r="B732" i="7"/>
  <c r="B733" i="7"/>
  <c r="B734" i="7"/>
  <c r="B735" i="7"/>
  <c r="B736" i="7"/>
  <c r="B737" i="7"/>
  <c r="B738" i="7"/>
  <c r="B739" i="7"/>
  <c r="B740" i="7"/>
  <c r="B741" i="7"/>
  <c r="B742" i="7"/>
  <c r="B743" i="7"/>
  <c r="B744" i="7"/>
  <c r="B745" i="7"/>
  <c r="B746" i="7"/>
  <c r="B747" i="7"/>
  <c r="B748" i="7"/>
  <c r="B749" i="7"/>
  <c r="B750" i="7"/>
  <c r="B751" i="7"/>
  <c r="B752" i="7"/>
  <c r="B753" i="7"/>
  <c r="B754" i="7"/>
  <c r="B755" i="7"/>
  <c r="B756" i="7"/>
  <c r="B757" i="7"/>
  <c r="B758" i="7"/>
  <c r="B759" i="7"/>
  <c r="B760" i="7"/>
  <c r="B761" i="7"/>
  <c r="B762" i="7"/>
  <c r="B763" i="7"/>
  <c r="B764" i="7"/>
  <c r="B765" i="7"/>
  <c r="B766" i="7"/>
  <c r="B767" i="7"/>
  <c r="B768" i="7"/>
  <c r="B769" i="7"/>
  <c r="B770" i="7"/>
  <c r="B771" i="7"/>
  <c r="B772" i="7"/>
  <c r="B773" i="7"/>
  <c r="B774" i="7"/>
  <c r="B775" i="7"/>
  <c r="B776" i="7"/>
  <c r="B777" i="7"/>
  <c r="B778" i="7"/>
  <c r="B779" i="7"/>
  <c r="B780" i="7"/>
  <c r="B781" i="7"/>
  <c r="B782" i="7"/>
  <c r="B783" i="7"/>
  <c r="B784" i="7"/>
  <c r="B785" i="7"/>
  <c r="B786" i="7"/>
  <c r="B787" i="7"/>
  <c r="B788" i="7"/>
  <c r="B789" i="7"/>
  <c r="B790" i="7"/>
  <c r="B791" i="7"/>
  <c r="B792" i="7"/>
  <c r="B793" i="7"/>
  <c r="B794" i="7"/>
  <c r="B795" i="7"/>
  <c r="B796" i="7"/>
  <c r="B797" i="7"/>
  <c r="B798" i="7"/>
  <c r="B799" i="7"/>
  <c r="B800" i="7"/>
  <c r="B801" i="7"/>
  <c r="B802" i="7"/>
  <c r="B803" i="7"/>
  <c r="B804" i="7"/>
  <c r="B805" i="7"/>
  <c r="B806" i="7"/>
  <c r="B807" i="7"/>
  <c r="B808" i="7"/>
  <c r="B809" i="7"/>
  <c r="B810" i="7"/>
  <c r="B811" i="7"/>
  <c r="B812" i="7"/>
  <c r="B813" i="7"/>
  <c r="B814" i="7"/>
  <c r="B815" i="7"/>
  <c r="B816" i="7"/>
  <c r="B817" i="7"/>
  <c r="B818" i="7"/>
  <c r="B819" i="7"/>
  <c r="B820" i="7"/>
  <c r="B821" i="7"/>
  <c r="B822" i="7"/>
  <c r="B823" i="7"/>
  <c r="B824" i="7"/>
  <c r="B825" i="7"/>
  <c r="B826" i="7"/>
  <c r="B827" i="7"/>
  <c r="B828" i="7"/>
  <c r="B829" i="7"/>
  <c r="B830" i="7"/>
  <c r="B831" i="7"/>
  <c r="B832" i="7"/>
  <c r="B833" i="7"/>
  <c r="B834" i="7"/>
  <c r="B835" i="7"/>
  <c r="B836" i="7"/>
  <c r="B837" i="7"/>
  <c r="B838" i="7"/>
  <c r="B839" i="7"/>
  <c r="B840" i="7"/>
  <c r="B841" i="7"/>
  <c r="B842" i="7"/>
  <c r="B843" i="7"/>
  <c r="B844" i="7"/>
  <c r="B845" i="7"/>
  <c r="B846" i="7"/>
  <c r="B847" i="7"/>
  <c r="B848" i="7"/>
  <c r="B849" i="7"/>
  <c r="B850" i="7"/>
  <c r="B851" i="7"/>
  <c r="B852" i="7"/>
  <c r="B853" i="7"/>
  <c r="B854" i="7"/>
  <c r="B855" i="7"/>
  <c r="B856" i="7"/>
  <c r="B857" i="7"/>
  <c r="B858" i="7"/>
  <c r="B859" i="7"/>
  <c r="B860" i="7"/>
  <c r="B861" i="7"/>
  <c r="B862" i="7"/>
  <c r="B863" i="7"/>
  <c r="B864" i="7"/>
  <c r="B865" i="7"/>
  <c r="B866" i="7"/>
  <c r="B867" i="7"/>
  <c r="B868" i="7"/>
  <c r="B869" i="7"/>
  <c r="B870" i="7"/>
  <c r="B871" i="7"/>
  <c r="B872" i="7"/>
  <c r="B873" i="7"/>
  <c r="B874" i="7"/>
  <c r="B875" i="7"/>
  <c r="B876" i="7"/>
  <c r="B877" i="7"/>
  <c r="B878" i="7"/>
  <c r="B879" i="7"/>
  <c r="B880" i="7"/>
  <c r="B881" i="7"/>
  <c r="B882" i="7"/>
  <c r="B883" i="7"/>
  <c r="B884" i="7"/>
  <c r="B885" i="7"/>
  <c r="B886" i="7"/>
  <c r="B887" i="7"/>
  <c r="B888" i="7"/>
  <c r="B889" i="7"/>
  <c r="B890" i="7"/>
  <c r="B891" i="7"/>
  <c r="B892" i="7"/>
  <c r="B893" i="7"/>
  <c r="B894" i="7"/>
  <c r="B895" i="7"/>
  <c r="B896" i="7"/>
  <c r="B897" i="7"/>
  <c r="B898" i="7"/>
  <c r="B899" i="7"/>
  <c r="B900" i="7"/>
  <c r="B901" i="7"/>
  <c r="B902" i="7"/>
  <c r="B903" i="7"/>
  <c r="B904" i="7"/>
  <c r="B905" i="7"/>
  <c r="B906" i="7"/>
  <c r="B907" i="7"/>
  <c r="B908" i="7"/>
  <c r="B909" i="7"/>
  <c r="B910" i="7"/>
  <c r="B911" i="7"/>
  <c r="B912" i="7"/>
  <c r="B913" i="7"/>
  <c r="B914" i="7"/>
  <c r="B915" i="7"/>
  <c r="B916" i="7"/>
  <c r="B917" i="7"/>
  <c r="B918" i="7"/>
  <c r="B919" i="7"/>
  <c r="B920" i="7"/>
  <c r="B921" i="7"/>
  <c r="B922" i="7"/>
  <c r="B923" i="7"/>
  <c r="B924" i="7"/>
  <c r="B925" i="7"/>
  <c r="B926" i="7"/>
  <c r="B927" i="7"/>
  <c r="B928" i="7"/>
  <c r="B929" i="7"/>
  <c r="B930" i="7"/>
  <c r="B931" i="7"/>
  <c r="B932" i="7"/>
  <c r="B933" i="7"/>
  <c r="B934" i="7"/>
  <c r="B935" i="7"/>
  <c r="B936" i="7"/>
  <c r="B937" i="7"/>
  <c r="B938" i="7"/>
  <c r="B939" i="7"/>
  <c r="B940" i="7"/>
  <c r="B941" i="7"/>
  <c r="B942" i="7"/>
  <c r="B943" i="7"/>
  <c r="B944" i="7"/>
  <c r="B945" i="7"/>
  <c r="B946" i="7"/>
  <c r="B947" i="7"/>
  <c r="B948" i="7"/>
  <c r="B949" i="7"/>
  <c r="B950" i="7"/>
  <c r="B951" i="7"/>
  <c r="B952" i="7"/>
  <c r="B953" i="7"/>
  <c r="B954" i="7"/>
  <c r="B955" i="7"/>
  <c r="B956" i="7"/>
  <c r="B957" i="7"/>
  <c r="B958" i="7"/>
  <c r="B959" i="7"/>
  <c r="B960" i="7"/>
  <c r="B961" i="7"/>
  <c r="B962" i="7"/>
  <c r="B963" i="7"/>
  <c r="B964" i="7"/>
  <c r="B965" i="7"/>
  <c r="B966" i="7"/>
  <c r="B967" i="7"/>
  <c r="B968" i="7"/>
  <c r="B969" i="7"/>
  <c r="B970" i="7"/>
  <c r="B971" i="7"/>
  <c r="B972" i="7"/>
  <c r="B973" i="7"/>
  <c r="B974" i="7"/>
  <c r="B975" i="7"/>
  <c r="B976" i="7"/>
  <c r="B977" i="7"/>
  <c r="B978" i="7"/>
  <c r="B979" i="7"/>
  <c r="B980" i="7"/>
  <c r="B981" i="7"/>
  <c r="B982" i="7"/>
  <c r="B983" i="7"/>
  <c r="B984" i="7"/>
  <c r="B985" i="7"/>
  <c r="B986" i="7"/>
  <c r="B987" i="7"/>
  <c r="B988" i="7"/>
  <c r="B989" i="7"/>
  <c r="B990" i="7"/>
  <c r="B991" i="7"/>
  <c r="B992" i="7"/>
  <c r="B993" i="7"/>
  <c r="B994" i="7"/>
  <c r="B995" i="7"/>
  <c r="B996" i="7"/>
  <c r="B997" i="7"/>
  <c r="B998" i="7"/>
  <c r="B999" i="7"/>
  <c r="B1000" i="7"/>
  <c r="B1001" i="7"/>
  <c r="B1002" i="7"/>
  <c r="B1003" i="7"/>
  <c r="B1004" i="7"/>
  <c r="B1005" i="7"/>
  <c r="B1006" i="7"/>
  <c r="B1007" i="7"/>
  <c r="B1008" i="7"/>
  <c r="B1009" i="7"/>
  <c r="B1010" i="7"/>
  <c r="B1011" i="7"/>
  <c r="B1012" i="7"/>
  <c r="B1013" i="7"/>
  <c r="B1014" i="7"/>
  <c r="B1015" i="7"/>
  <c r="B1016" i="7"/>
  <c r="B1017" i="7"/>
  <c r="B1018" i="7"/>
  <c r="B1019" i="7"/>
  <c r="B1020" i="7"/>
  <c r="B1021" i="7"/>
  <c r="B1022" i="7"/>
  <c r="B1023" i="7"/>
  <c r="B1024" i="7"/>
  <c r="B1025" i="7"/>
  <c r="B1026" i="7"/>
  <c r="B1027" i="7"/>
  <c r="B1028" i="7"/>
  <c r="B1029" i="7"/>
  <c r="B1030" i="7"/>
  <c r="B1031" i="7"/>
  <c r="B1032" i="7"/>
  <c r="B1033" i="7"/>
  <c r="B1034" i="7"/>
  <c r="B1035" i="7"/>
  <c r="B1036" i="7"/>
  <c r="B1037" i="7"/>
  <c r="B1038" i="7"/>
  <c r="B1039" i="7"/>
  <c r="B1040" i="7"/>
  <c r="B1041" i="7"/>
  <c r="B1042" i="7"/>
  <c r="B1043" i="7"/>
  <c r="B1044" i="7"/>
  <c r="B1045" i="7"/>
  <c r="B1046" i="7"/>
  <c r="B1047" i="7"/>
  <c r="B1048" i="7"/>
  <c r="B1049" i="7"/>
  <c r="B1050" i="7"/>
  <c r="B1051" i="7"/>
  <c r="B1052" i="7"/>
  <c r="B1053" i="7"/>
  <c r="B1054" i="7"/>
  <c r="B1055" i="7"/>
  <c r="B1056" i="7"/>
  <c r="B1057" i="7"/>
  <c r="B1058" i="7"/>
  <c r="B1059" i="7"/>
  <c r="B1060" i="7"/>
  <c r="B1061" i="7"/>
  <c r="B1062" i="7"/>
  <c r="B1063" i="7"/>
  <c r="B1064" i="7"/>
  <c r="B1065" i="7"/>
  <c r="B1066" i="7"/>
  <c r="B1067" i="7"/>
  <c r="B1068" i="7"/>
  <c r="B1069" i="7"/>
  <c r="B1070" i="7"/>
  <c r="B1071" i="7"/>
  <c r="B1072" i="7"/>
  <c r="B1073" i="7"/>
  <c r="B1074" i="7"/>
  <c r="B1075" i="7"/>
  <c r="B1076" i="7"/>
  <c r="B1077" i="7"/>
  <c r="B1078" i="7"/>
  <c r="B1079" i="7"/>
  <c r="B1080" i="7"/>
  <c r="B1081" i="7"/>
  <c r="B1082" i="7"/>
  <c r="B1083" i="7"/>
  <c r="B1084" i="7"/>
  <c r="B1085" i="7"/>
  <c r="B1086" i="7"/>
  <c r="B1087" i="7"/>
  <c r="B1088" i="7"/>
  <c r="B1089" i="7"/>
  <c r="B1090" i="7"/>
  <c r="B1091" i="7"/>
  <c r="B1092" i="7"/>
  <c r="B1093" i="7"/>
  <c r="B1094" i="7"/>
  <c r="B1095" i="7"/>
  <c r="B1096" i="7"/>
  <c r="B1097" i="7"/>
  <c r="B1098" i="7"/>
  <c r="B1099" i="7"/>
  <c r="B1100" i="7"/>
  <c r="B1101" i="7"/>
  <c r="B1102" i="7"/>
  <c r="B1103" i="7"/>
  <c r="B1104" i="7"/>
  <c r="B1105" i="7"/>
  <c r="B1106" i="7"/>
  <c r="B1107" i="7"/>
  <c r="B1108" i="7"/>
  <c r="B1109" i="7"/>
  <c r="B1110" i="7"/>
  <c r="B1111" i="7"/>
  <c r="B1112" i="7"/>
  <c r="B1113" i="7"/>
  <c r="B1114" i="7"/>
  <c r="B1115" i="7"/>
  <c r="B1116" i="7"/>
  <c r="B1117" i="7"/>
  <c r="B1118" i="7"/>
  <c r="B1119" i="7"/>
  <c r="B1120" i="7"/>
  <c r="B1121" i="7"/>
  <c r="B1122" i="7"/>
  <c r="B1123" i="7"/>
  <c r="B1124" i="7"/>
  <c r="B1125" i="7"/>
  <c r="B1126" i="7"/>
  <c r="B1127" i="7"/>
  <c r="B1128" i="7"/>
  <c r="B1129" i="7"/>
  <c r="B1130" i="7"/>
  <c r="B1131" i="7"/>
  <c r="B1132" i="7"/>
  <c r="B1133" i="7"/>
  <c r="B1134" i="7"/>
  <c r="B1135" i="7"/>
  <c r="B1136" i="7"/>
  <c r="B1137" i="7"/>
  <c r="B1138" i="7"/>
  <c r="B1139" i="7"/>
  <c r="B1140" i="7"/>
  <c r="B1141" i="7"/>
  <c r="B1142" i="7"/>
  <c r="B1143" i="7"/>
  <c r="B1144" i="7"/>
  <c r="B1145" i="7"/>
  <c r="B1146" i="7"/>
  <c r="B1147" i="7"/>
  <c r="B1148" i="7"/>
  <c r="B1149" i="7"/>
  <c r="B1150" i="7"/>
  <c r="B1151" i="7"/>
  <c r="B1152" i="7"/>
  <c r="B1153" i="7"/>
  <c r="B1154" i="7"/>
  <c r="B1155" i="7"/>
  <c r="B1156" i="7"/>
  <c r="B1157" i="7"/>
  <c r="B1158" i="7"/>
  <c r="B1159" i="7"/>
  <c r="B1160" i="7"/>
  <c r="B1161" i="7"/>
  <c r="B1162" i="7"/>
  <c r="B1163" i="7"/>
  <c r="B1164" i="7"/>
  <c r="B1165" i="7"/>
  <c r="B1166" i="7"/>
  <c r="B1167" i="7"/>
  <c r="B1168" i="7"/>
  <c r="B1169" i="7"/>
  <c r="B1170" i="7"/>
  <c r="B1171" i="7"/>
  <c r="B1172" i="7"/>
  <c r="B1173" i="7"/>
  <c r="B1174" i="7"/>
  <c r="B1175" i="7"/>
  <c r="B1176" i="7"/>
  <c r="B1177" i="7"/>
  <c r="B1178" i="7"/>
  <c r="B1179" i="7"/>
  <c r="B1180" i="7"/>
  <c r="B1181" i="7"/>
  <c r="B1182" i="7"/>
  <c r="B1183" i="7"/>
  <c r="B1184" i="7"/>
  <c r="B1185" i="7"/>
  <c r="B1186" i="7"/>
  <c r="B1187" i="7"/>
  <c r="B1188" i="7"/>
  <c r="B1189" i="7"/>
  <c r="B1190" i="7"/>
  <c r="B1191" i="7"/>
  <c r="B1192" i="7"/>
  <c r="B1193" i="7"/>
  <c r="B1194" i="7"/>
  <c r="B1195" i="7"/>
  <c r="B1196" i="7"/>
  <c r="B1197" i="7"/>
  <c r="B1198" i="7"/>
  <c r="B1199" i="7"/>
  <c r="B1200" i="7"/>
  <c r="B1201" i="7"/>
  <c r="B1202" i="7"/>
  <c r="B1203" i="7"/>
  <c r="B1204" i="7"/>
  <c r="B1205" i="7"/>
  <c r="B1206" i="7"/>
  <c r="B1207" i="7"/>
  <c r="B1208" i="7"/>
  <c r="B1209" i="7"/>
  <c r="B1210" i="7"/>
  <c r="B1211" i="7"/>
  <c r="B1212" i="7"/>
  <c r="B1213" i="7"/>
  <c r="B1214" i="7"/>
  <c r="B1215" i="7"/>
  <c r="B1216" i="7"/>
  <c r="B1217" i="7"/>
  <c r="B1218" i="7"/>
  <c r="B1219" i="7"/>
  <c r="B1220" i="7"/>
  <c r="B1221" i="7"/>
  <c r="B1222" i="7"/>
  <c r="B1223" i="7"/>
  <c r="B1224" i="7"/>
  <c r="B1225" i="7"/>
  <c r="B1226" i="7"/>
  <c r="B1227" i="7"/>
  <c r="B1228" i="7"/>
  <c r="B1229" i="7"/>
  <c r="B1230" i="7"/>
  <c r="B1231" i="7"/>
  <c r="B1232" i="7"/>
  <c r="B1233" i="7"/>
  <c r="B1234" i="7"/>
  <c r="B1235" i="7"/>
  <c r="B1236" i="7"/>
  <c r="B1237" i="7"/>
  <c r="B1238" i="7"/>
  <c r="B1239" i="7"/>
  <c r="B1240" i="7"/>
  <c r="B1241" i="7"/>
  <c r="B1242" i="7"/>
  <c r="B1243" i="7"/>
  <c r="B1244" i="7"/>
  <c r="B1245" i="7"/>
  <c r="B1246" i="7"/>
  <c r="B1247" i="7"/>
  <c r="B1248" i="7"/>
  <c r="B1249" i="7"/>
  <c r="B1250" i="7"/>
  <c r="B1251" i="7"/>
  <c r="B1252" i="7"/>
  <c r="B1253" i="7"/>
  <c r="B1254" i="7"/>
  <c r="B1255" i="7"/>
  <c r="B1256" i="7"/>
  <c r="B1257" i="7"/>
  <c r="B1258" i="7"/>
  <c r="B1259" i="7"/>
  <c r="B1260" i="7"/>
  <c r="B1261" i="7"/>
  <c r="B1262" i="7"/>
  <c r="B1263" i="7"/>
  <c r="B1264" i="7"/>
  <c r="B1265" i="7"/>
  <c r="B1266" i="7"/>
  <c r="B1267" i="7"/>
  <c r="B1268" i="7"/>
  <c r="B1269" i="7"/>
  <c r="B1270" i="7"/>
  <c r="B1271" i="7"/>
  <c r="B1272" i="7"/>
  <c r="B1273" i="7"/>
  <c r="B1274" i="7"/>
  <c r="B1275" i="7"/>
  <c r="B1276" i="7"/>
  <c r="B1277" i="7"/>
  <c r="B1278" i="7"/>
  <c r="B1279" i="7"/>
  <c r="B1280" i="7"/>
  <c r="B1281" i="7"/>
  <c r="B1282" i="7"/>
  <c r="B1283" i="7"/>
  <c r="B1284" i="7"/>
  <c r="B1285" i="7"/>
  <c r="B1286" i="7"/>
  <c r="B1287" i="7"/>
  <c r="B1288" i="7"/>
  <c r="B1289" i="7"/>
  <c r="B1290" i="7"/>
  <c r="B1291" i="7"/>
  <c r="B1292" i="7"/>
  <c r="B1293" i="7"/>
  <c r="B1294" i="7"/>
  <c r="B1295" i="7"/>
  <c r="B1296" i="7"/>
  <c r="B1297" i="7"/>
  <c r="B1298" i="7"/>
  <c r="B1299" i="7"/>
  <c r="B1300" i="7"/>
  <c r="B1301" i="7"/>
  <c r="B1302" i="7"/>
  <c r="B1303" i="7"/>
  <c r="B1304" i="7"/>
  <c r="B1305" i="7"/>
  <c r="B1306" i="7"/>
  <c r="B1307" i="7"/>
  <c r="B1308" i="7"/>
  <c r="B1309" i="7"/>
  <c r="B1310" i="7"/>
  <c r="B1311" i="7"/>
  <c r="B1312" i="7"/>
  <c r="B1313" i="7"/>
  <c r="B1314" i="7"/>
  <c r="B1315" i="7"/>
  <c r="B1316" i="7"/>
  <c r="B1317" i="7"/>
  <c r="B1318" i="7"/>
  <c r="B1319" i="7"/>
  <c r="B1320" i="7"/>
  <c r="B1321" i="7"/>
  <c r="B1322" i="7"/>
  <c r="B1323" i="7"/>
  <c r="B1324" i="7"/>
  <c r="B1325" i="7"/>
  <c r="B1326" i="7"/>
  <c r="B1327" i="7"/>
  <c r="B1328" i="7"/>
  <c r="B1329" i="7"/>
  <c r="B1330" i="7"/>
  <c r="B1331" i="7"/>
  <c r="B1332" i="7"/>
  <c r="B1333" i="7"/>
  <c r="B1334" i="7"/>
  <c r="B1335" i="7"/>
  <c r="B1336" i="7"/>
  <c r="B1337" i="7"/>
  <c r="B1338" i="7"/>
  <c r="B1339" i="7"/>
  <c r="B1340" i="7"/>
  <c r="B1341" i="7"/>
  <c r="B1342" i="7"/>
  <c r="B1343" i="7"/>
  <c r="B1344" i="7"/>
  <c r="B1345" i="7"/>
  <c r="B1346" i="7"/>
  <c r="B1347" i="7"/>
  <c r="B1348" i="7"/>
  <c r="B1349" i="7"/>
  <c r="B1350" i="7"/>
  <c r="B1351" i="7"/>
  <c r="B1352" i="7"/>
  <c r="B1353" i="7"/>
  <c r="B1354" i="7"/>
  <c r="B1355" i="7"/>
  <c r="B1356" i="7"/>
  <c r="B1357" i="7"/>
  <c r="B1358" i="7"/>
  <c r="B1359" i="7"/>
  <c r="B1360" i="7"/>
  <c r="B1361" i="7"/>
  <c r="B1362" i="7"/>
  <c r="B1363" i="7"/>
  <c r="B1364" i="7"/>
  <c r="B1365" i="7"/>
  <c r="B1366" i="7"/>
  <c r="B1367" i="7"/>
  <c r="B1368" i="7"/>
  <c r="B1369" i="7"/>
  <c r="B1370" i="7"/>
  <c r="B1371" i="7"/>
  <c r="B1372" i="7"/>
  <c r="B1373" i="7"/>
  <c r="B1374" i="7"/>
  <c r="B1375" i="7"/>
  <c r="B1376" i="7"/>
  <c r="B1377" i="7"/>
  <c r="B1378" i="7"/>
  <c r="B1379" i="7"/>
  <c r="B1380" i="7"/>
  <c r="B1381" i="7"/>
  <c r="B1382" i="7"/>
  <c r="B1383" i="7"/>
  <c r="B1384" i="7"/>
  <c r="B1385" i="7"/>
  <c r="B1386" i="7"/>
  <c r="B1387" i="7"/>
  <c r="B1388" i="7"/>
  <c r="B1389" i="7"/>
  <c r="B1390" i="7"/>
  <c r="B1391" i="7"/>
  <c r="B1392" i="7"/>
  <c r="B1393" i="7"/>
  <c r="B1394" i="7"/>
  <c r="B1395" i="7"/>
  <c r="B1396" i="7"/>
  <c r="B1397" i="7"/>
  <c r="B1398" i="7"/>
  <c r="B1399" i="7"/>
  <c r="B1400" i="7"/>
  <c r="B1401" i="7"/>
  <c r="B1402" i="7"/>
  <c r="B1403" i="7"/>
  <c r="B1404" i="7"/>
  <c r="B1405" i="7"/>
  <c r="B1406" i="7"/>
  <c r="B1407" i="7"/>
  <c r="B1408" i="7"/>
  <c r="B1409" i="7"/>
  <c r="B1410" i="7"/>
  <c r="B1411" i="7"/>
  <c r="B1412" i="7"/>
  <c r="B1413" i="7"/>
  <c r="B1414" i="7"/>
  <c r="B1415" i="7"/>
  <c r="B1416" i="7"/>
  <c r="B1417" i="7"/>
  <c r="B1418" i="7"/>
  <c r="B1419" i="7"/>
  <c r="B1420" i="7"/>
  <c r="B1421" i="7"/>
  <c r="B1422" i="7"/>
  <c r="B1423" i="7"/>
  <c r="B1424" i="7"/>
  <c r="B1425" i="7"/>
  <c r="B1426" i="7"/>
  <c r="B1427" i="7"/>
  <c r="B1428" i="7"/>
  <c r="B1429" i="7"/>
  <c r="B1430" i="7"/>
  <c r="B1431" i="7"/>
  <c r="B1432" i="7"/>
  <c r="B1433" i="7"/>
  <c r="B1434" i="7"/>
  <c r="B1435" i="7"/>
  <c r="B1436" i="7"/>
  <c r="B1437" i="7"/>
  <c r="B1438" i="7"/>
  <c r="B1439" i="7"/>
  <c r="B1440" i="7"/>
  <c r="B1441" i="7"/>
  <c r="B1442" i="7"/>
  <c r="B1443" i="7"/>
  <c r="B1444" i="7"/>
  <c r="B1445" i="7"/>
  <c r="B1446" i="7"/>
  <c r="B1447" i="7"/>
  <c r="B1448" i="7"/>
  <c r="B1449" i="7"/>
  <c r="B1450" i="7"/>
  <c r="B1451" i="7"/>
  <c r="B1452" i="7"/>
  <c r="B1453" i="7"/>
  <c r="B1454" i="7"/>
  <c r="B1455" i="7"/>
  <c r="B1456" i="7"/>
  <c r="B1457" i="7"/>
  <c r="B1458" i="7"/>
  <c r="B1459" i="7"/>
  <c r="B1460" i="7"/>
  <c r="B1461" i="7"/>
  <c r="B1462" i="7"/>
  <c r="B1463" i="7"/>
  <c r="B1464" i="7"/>
  <c r="B1465" i="7"/>
  <c r="B1466" i="7"/>
  <c r="B1467" i="7"/>
  <c r="B1468" i="7"/>
  <c r="B1469" i="7"/>
  <c r="B1470" i="7"/>
  <c r="B1471" i="7"/>
  <c r="B1472" i="7"/>
  <c r="B1473" i="7"/>
  <c r="B1474" i="7"/>
  <c r="B1475" i="7"/>
  <c r="B1476" i="7"/>
  <c r="B1477" i="7"/>
  <c r="B1478" i="7"/>
  <c r="B1479" i="7"/>
  <c r="B1480" i="7"/>
  <c r="B1481" i="7"/>
  <c r="B1482" i="7"/>
  <c r="B1483" i="7"/>
  <c r="B1484" i="7"/>
  <c r="B1485" i="7"/>
  <c r="B1486" i="7"/>
  <c r="B1487" i="7"/>
  <c r="B1488" i="7"/>
  <c r="B1489" i="7"/>
  <c r="B1490" i="7"/>
  <c r="B1491" i="7"/>
  <c r="B1492" i="7"/>
  <c r="B1493" i="7"/>
  <c r="B1494" i="7"/>
  <c r="B1495" i="7"/>
  <c r="B1496" i="7"/>
  <c r="B1497" i="7"/>
  <c r="B1498" i="7"/>
  <c r="B1499" i="7"/>
  <c r="B1500" i="7"/>
  <c r="B1501" i="7"/>
  <c r="B1502" i="7"/>
  <c r="B1503" i="7"/>
  <c r="B1504" i="7"/>
  <c r="B1505" i="7"/>
  <c r="B1506" i="7"/>
  <c r="B1507" i="7"/>
  <c r="B1508" i="7"/>
  <c r="B1509" i="7"/>
  <c r="B1510" i="7"/>
  <c r="B1511" i="7"/>
  <c r="B1512" i="7"/>
  <c r="B1513" i="7"/>
  <c r="B1514" i="7"/>
  <c r="B1515" i="7"/>
  <c r="B1516" i="7"/>
  <c r="B1517" i="7"/>
  <c r="B1518" i="7"/>
  <c r="B1519" i="7"/>
  <c r="B1520" i="7"/>
  <c r="B1521" i="7"/>
  <c r="B1522" i="7"/>
  <c r="B1523" i="7"/>
  <c r="B1524" i="7"/>
  <c r="B1525" i="7"/>
  <c r="B1526" i="7"/>
  <c r="B1527" i="7"/>
  <c r="B1528" i="7"/>
  <c r="B1529" i="7"/>
  <c r="B1530" i="7"/>
  <c r="B1531" i="7"/>
  <c r="B1532" i="7"/>
  <c r="B1533" i="7"/>
  <c r="B1534" i="7"/>
  <c r="B1535" i="7"/>
  <c r="B1536" i="7"/>
  <c r="B1537" i="7"/>
  <c r="B1538" i="7"/>
  <c r="B1539" i="7"/>
  <c r="B1540" i="7"/>
  <c r="B1541" i="7"/>
  <c r="B1542" i="7"/>
  <c r="B1543" i="7"/>
  <c r="B1544" i="7"/>
  <c r="B1545" i="7"/>
  <c r="B1546" i="7"/>
  <c r="B1547" i="7"/>
  <c r="B1548" i="7"/>
  <c r="B1549" i="7"/>
  <c r="B1550" i="7"/>
  <c r="B1551" i="7"/>
  <c r="B1552" i="7"/>
  <c r="B1553" i="7"/>
  <c r="B1554" i="7"/>
  <c r="B1555" i="7"/>
  <c r="B1556" i="7"/>
  <c r="B1557" i="7"/>
  <c r="B1558" i="7"/>
  <c r="B1559" i="7"/>
  <c r="B1560" i="7"/>
  <c r="B1561" i="7"/>
  <c r="B1562" i="7"/>
  <c r="B1563" i="7"/>
  <c r="B1564" i="7"/>
  <c r="B1565" i="7"/>
  <c r="B1566" i="7"/>
  <c r="B1567" i="7"/>
  <c r="B1568" i="7"/>
  <c r="B1569" i="7"/>
  <c r="B1570" i="7"/>
  <c r="B1571" i="7"/>
  <c r="B1572" i="7"/>
  <c r="B1573" i="7"/>
  <c r="B1574" i="7"/>
  <c r="B1575" i="7"/>
  <c r="B1576" i="7"/>
  <c r="B1577" i="7"/>
  <c r="B1578" i="7"/>
  <c r="B1579" i="7"/>
  <c r="B1580" i="7"/>
  <c r="B1581" i="7"/>
  <c r="B1582" i="7"/>
  <c r="B1583" i="7"/>
  <c r="B1584" i="7"/>
  <c r="B1585" i="7"/>
  <c r="B1586" i="7"/>
  <c r="B1587" i="7"/>
  <c r="B1588" i="7"/>
  <c r="B1589" i="7"/>
  <c r="B1590" i="7"/>
  <c r="B1591" i="7"/>
  <c r="B1592" i="7"/>
  <c r="B1593" i="7"/>
  <c r="B1594" i="7"/>
  <c r="B1595" i="7"/>
  <c r="B1596" i="7"/>
  <c r="B1597" i="7"/>
  <c r="B1598" i="7"/>
  <c r="B1599" i="7"/>
  <c r="B1600" i="7"/>
  <c r="B1601" i="7"/>
  <c r="B1602" i="7"/>
  <c r="B1603" i="7"/>
  <c r="B1604" i="7"/>
  <c r="B1605" i="7"/>
  <c r="B1606" i="7"/>
  <c r="B1607" i="7"/>
  <c r="B1608" i="7"/>
  <c r="B1609" i="7"/>
  <c r="B1610" i="7"/>
  <c r="B1611" i="7"/>
  <c r="B1612" i="7"/>
  <c r="B1613" i="7"/>
  <c r="B1614" i="7"/>
  <c r="B1615" i="7"/>
  <c r="B1616" i="7"/>
  <c r="B1617" i="7"/>
  <c r="B1618" i="7"/>
  <c r="B1619" i="7"/>
  <c r="B1620" i="7"/>
  <c r="B1621" i="7"/>
  <c r="B1622" i="7"/>
  <c r="B1623" i="7"/>
  <c r="B1624" i="7"/>
  <c r="B1625" i="7"/>
  <c r="B1626" i="7"/>
  <c r="B1627" i="7"/>
  <c r="B1628" i="7"/>
  <c r="B1629" i="7"/>
  <c r="B1630" i="7"/>
  <c r="B1631" i="7"/>
  <c r="B1632" i="7"/>
  <c r="B1633" i="7"/>
  <c r="B1634" i="7"/>
  <c r="B1635" i="7"/>
  <c r="B1636" i="7"/>
  <c r="B1637" i="7"/>
  <c r="B1638" i="7"/>
  <c r="B1639" i="7"/>
  <c r="B1640" i="7"/>
  <c r="B1641" i="7"/>
  <c r="B1642" i="7"/>
  <c r="B1643" i="7"/>
  <c r="B1644" i="7"/>
  <c r="B1645" i="7"/>
  <c r="B1646" i="7"/>
  <c r="B1647" i="7"/>
  <c r="B1648" i="7"/>
  <c r="B1649" i="7"/>
  <c r="B1650" i="7"/>
  <c r="B1651" i="7"/>
  <c r="B1652" i="7"/>
  <c r="B1653" i="7"/>
  <c r="B1654" i="7"/>
  <c r="B1655" i="7"/>
  <c r="B1656" i="7"/>
  <c r="B1657" i="7"/>
  <c r="B1658" i="7"/>
  <c r="B1659" i="7"/>
  <c r="B1660" i="7"/>
  <c r="B1661" i="7"/>
  <c r="B1662" i="7"/>
  <c r="B1663" i="7"/>
  <c r="B1664" i="7"/>
  <c r="B1665" i="7"/>
  <c r="B1666" i="7"/>
  <c r="B1667" i="7"/>
  <c r="B1668" i="7"/>
  <c r="B1669" i="7"/>
  <c r="B1670" i="7"/>
  <c r="B1671" i="7"/>
  <c r="B1672" i="7"/>
  <c r="B1673" i="7"/>
  <c r="B1674" i="7"/>
  <c r="B1675" i="7"/>
  <c r="B1676" i="7"/>
  <c r="B1677" i="7"/>
  <c r="B1678" i="7"/>
  <c r="B1679" i="7"/>
  <c r="B1680" i="7"/>
  <c r="B1681" i="7"/>
  <c r="B1682" i="7"/>
  <c r="B1683" i="7"/>
  <c r="B1684" i="7"/>
  <c r="B1685" i="7"/>
  <c r="B1686" i="7"/>
  <c r="B1687" i="7"/>
  <c r="B1688" i="7"/>
  <c r="B1689" i="7"/>
  <c r="B1690" i="7"/>
  <c r="B1691" i="7"/>
  <c r="B1692" i="7"/>
  <c r="B1693" i="7"/>
  <c r="B1694" i="7"/>
  <c r="B1695" i="7"/>
  <c r="B1696" i="7"/>
  <c r="B1697" i="7"/>
  <c r="B1698" i="7"/>
  <c r="B1699" i="7"/>
  <c r="B1700" i="7"/>
  <c r="B1701" i="7"/>
  <c r="B1702" i="7"/>
  <c r="B1703" i="7"/>
  <c r="B1704" i="7"/>
  <c r="B1705" i="7"/>
  <c r="B1706" i="7"/>
  <c r="B1707" i="7"/>
  <c r="B1708" i="7"/>
  <c r="B1709" i="7"/>
  <c r="B1710" i="7"/>
  <c r="B1711" i="7"/>
  <c r="B1712" i="7"/>
  <c r="B1713" i="7"/>
  <c r="B1714" i="7"/>
  <c r="B1715" i="7"/>
  <c r="B1716" i="7"/>
  <c r="B1717" i="7"/>
  <c r="B1718" i="7"/>
  <c r="B1719" i="7"/>
  <c r="B1720" i="7"/>
  <c r="B1721" i="7"/>
  <c r="B1722" i="7"/>
  <c r="B1723" i="7"/>
  <c r="B1724" i="7"/>
  <c r="B1725" i="7"/>
  <c r="B1726" i="7"/>
  <c r="B1727" i="7"/>
  <c r="B1728" i="7"/>
  <c r="B1729" i="7"/>
  <c r="B1730" i="7"/>
  <c r="B1731" i="7"/>
  <c r="B1732" i="7"/>
  <c r="B1733" i="7"/>
  <c r="B1734" i="7"/>
  <c r="B1735" i="7"/>
  <c r="B1736" i="7"/>
  <c r="B1737" i="7"/>
  <c r="B1738" i="7"/>
  <c r="B1739" i="7"/>
  <c r="B1740" i="7"/>
  <c r="B1741" i="7"/>
  <c r="B1742" i="7"/>
  <c r="B1743" i="7"/>
  <c r="B1744" i="7"/>
  <c r="B1745" i="7"/>
  <c r="B1746" i="7"/>
  <c r="B1747" i="7"/>
  <c r="B1748" i="7"/>
  <c r="B1749" i="7"/>
  <c r="B1750" i="7"/>
  <c r="B1751" i="7"/>
  <c r="B1752" i="7"/>
  <c r="B1753" i="7"/>
  <c r="B1754" i="7"/>
  <c r="B1755" i="7"/>
  <c r="B1756" i="7"/>
  <c r="B1757" i="7"/>
  <c r="B1758" i="7"/>
  <c r="B1759" i="7"/>
  <c r="B1760" i="7"/>
  <c r="B1761" i="7"/>
  <c r="B1762" i="7"/>
  <c r="B1763" i="7"/>
  <c r="B1764" i="7"/>
  <c r="B1765" i="7"/>
  <c r="B1766" i="7"/>
  <c r="B1767" i="7"/>
  <c r="B1768" i="7"/>
  <c r="B1769" i="7"/>
  <c r="B1770" i="7"/>
  <c r="B1771" i="7"/>
  <c r="B1772" i="7"/>
  <c r="B1773" i="7"/>
  <c r="B1774" i="7"/>
  <c r="B1775" i="7"/>
  <c r="B1776" i="7"/>
  <c r="B1777" i="7"/>
  <c r="B1778" i="7"/>
  <c r="B1779" i="7"/>
  <c r="B1780" i="7"/>
  <c r="B1781" i="7"/>
  <c r="B1782" i="7"/>
  <c r="B1783" i="7"/>
  <c r="B1784" i="7"/>
  <c r="B1785" i="7"/>
  <c r="B1786" i="7"/>
  <c r="B1787" i="7"/>
  <c r="B1788" i="7"/>
  <c r="B1789" i="7"/>
  <c r="B1790" i="7"/>
  <c r="B1791" i="7"/>
  <c r="B1792" i="7"/>
  <c r="B1793" i="7"/>
  <c r="B1794" i="7"/>
  <c r="B1795" i="7"/>
  <c r="B1796" i="7"/>
  <c r="B1797" i="7"/>
  <c r="B1798" i="7"/>
  <c r="B1799" i="7"/>
  <c r="B1800" i="7"/>
  <c r="B1801" i="7"/>
  <c r="B1802" i="7"/>
  <c r="B1803" i="7"/>
  <c r="B1804" i="7"/>
  <c r="B1805" i="7"/>
  <c r="B1806" i="7"/>
  <c r="B1807" i="7"/>
  <c r="B1808" i="7"/>
  <c r="B1809" i="7"/>
  <c r="B1810" i="7"/>
  <c r="B1811" i="7"/>
  <c r="B1812" i="7"/>
  <c r="B1813" i="7"/>
  <c r="B1814" i="7"/>
  <c r="B1815" i="7"/>
  <c r="B1816" i="7"/>
  <c r="B1817" i="7"/>
  <c r="B1818" i="7"/>
  <c r="B1819" i="7"/>
  <c r="B1820" i="7"/>
  <c r="B1821" i="7"/>
  <c r="B1822" i="7"/>
  <c r="B1823" i="7"/>
  <c r="B1824" i="7"/>
  <c r="B1825" i="7"/>
  <c r="B1826" i="7"/>
  <c r="B1827" i="7"/>
  <c r="B1828" i="7"/>
  <c r="B1829" i="7"/>
  <c r="B1830" i="7"/>
  <c r="B1831" i="7"/>
  <c r="B1832" i="7"/>
  <c r="B1833" i="7"/>
  <c r="B1834" i="7"/>
  <c r="B1835" i="7"/>
  <c r="B1836" i="7"/>
  <c r="B1837" i="7"/>
  <c r="B1838" i="7"/>
  <c r="B1839" i="7"/>
  <c r="B1840" i="7"/>
  <c r="B1841" i="7"/>
  <c r="B1842" i="7"/>
  <c r="B1843" i="7"/>
  <c r="B1844" i="7"/>
  <c r="B1845" i="7"/>
  <c r="B1846" i="7"/>
  <c r="B1847" i="7"/>
  <c r="B1848" i="7"/>
  <c r="B1849" i="7"/>
  <c r="B1850" i="7"/>
  <c r="B1851" i="7"/>
  <c r="B1852" i="7"/>
  <c r="B1853" i="7"/>
  <c r="B1854" i="7"/>
  <c r="B1855" i="7"/>
  <c r="B1856" i="7"/>
  <c r="B1857" i="7"/>
  <c r="B1858" i="7"/>
  <c r="B1859" i="7"/>
  <c r="B1860" i="7"/>
  <c r="B1861" i="7"/>
  <c r="B1862" i="7"/>
  <c r="B1863" i="7"/>
  <c r="B1864" i="7"/>
  <c r="B1865" i="7"/>
  <c r="B1866" i="7"/>
  <c r="B1867" i="7"/>
  <c r="B1868" i="7"/>
  <c r="B1869" i="7"/>
  <c r="B1870" i="7"/>
  <c r="B1871" i="7"/>
  <c r="B1872" i="7"/>
  <c r="B1873" i="7"/>
  <c r="B1874" i="7"/>
  <c r="B1875" i="7"/>
  <c r="B1876" i="7"/>
  <c r="B1877" i="7"/>
  <c r="B1878" i="7"/>
  <c r="B1879" i="7"/>
  <c r="B1880" i="7"/>
  <c r="B1881" i="7"/>
  <c r="B1882" i="7"/>
  <c r="B1883" i="7"/>
  <c r="B1884" i="7"/>
  <c r="B1885" i="7"/>
  <c r="B1886" i="7"/>
  <c r="B1887" i="7"/>
  <c r="B1888" i="7"/>
  <c r="B1889" i="7"/>
  <c r="B1890" i="7"/>
  <c r="B1891" i="7"/>
  <c r="B1892" i="7"/>
  <c r="B1893" i="7"/>
  <c r="B1894" i="7"/>
  <c r="B1895" i="7"/>
  <c r="B1896" i="7"/>
  <c r="B1897" i="7"/>
  <c r="B1898" i="7"/>
  <c r="B1899" i="7"/>
  <c r="B1900" i="7"/>
  <c r="B1901" i="7"/>
  <c r="B1902" i="7"/>
  <c r="B1903" i="7"/>
  <c r="B1904" i="7"/>
  <c r="B1905" i="7"/>
  <c r="B1906" i="7"/>
  <c r="B1907" i="7"/>
  <c r="B1908" i="7"/>
  <c r="B1909" i="7"/>
  <c r="B1910" i="7"/>
  <c r="B1911" i="7"/>
  <c r="B1912" i="7"/>
  <c r="B1913" i="7"/>
  <c r="B1914" i="7"/>
  <c r="B1915" i="7"/>
  <c r="B1916" i="7"/>
  <c r="B1917" i="7"/>
  <c r="B1918" i="7"/>
  <c r="B1919" i="7"/>
  <c r="B1920" i="7"/>
  <c r="B1921" i="7"/>
  <c r="B1922" i="7"/>
  <c r="B1923" i="7"/>
  <c r="B1924" i="7"/>
  <c r="B1925" i="7"/>
  <c r="B1926" i="7"/>
  <c r="B1927" i="7"/>
  <c r="B1928" i="7"/>
  <c r="B1929" i="7"/>
  <c r="B1930" i="7"/>
  <c r="B1931" i="7"/>
  <c r="B1932" i="7"/>
  <c r="B1933" i="7"/>
  <c r="B1934" i="7"/>
  <c r="B1935" i="7"/>
  <c r="B1936" i="7"/>
  <c r="B1937" i="7"/>
  <c r="B1938" i="7"/>
  <c r="B1939" i="7"/>
  <c r="B1940" i="7"/>
  <c r="B1941" i="7"/>
  <c r="B1942" i="7"/>
  <c r="B1943" i="7"/>
  <c r="B1944" i="7"/>
  <c r="B1945" i="7"/>
  <c r="B1946" i="7"/>
  <c r="B1947" i="7"/>
  <c r="B1948" i="7"/>
  <c r="B1949" i="7"/>
  <c r="B1950" i="7"/>
  <c r="B1951" i="7"/>
  <c r="B1952" i="7"/>
  <c r="B1953" i="7"/>
  <c r="B1954" i="7"/>
  <c r="B1955" i="7"/>
  <c r="B1956" i="7"/>
  <c r="B1957" i="7"/>
  <c r="B1958" i="7"/>
  <c r="B1959" i="7"/>
  <c r="B1960" i="7"/>
  <c r="B1961" i="7"/>
  <c r="B1962" i="7"/>
  <c r="B1963" i="7"/>
  <c r="B1964" i="7"/>
  <c r="B1965" i="7"/>
  <c r="B1966" i="7"/>
  <c r="B1967" i="7"/>
  <c r="B1968" i="7"/>
  <c r="B1969" i="7"/>
  <c r="B1970" i="7"/>
  <c r="B1971" i="7"/>
  <c r="B1972" i="7"/>
  <c r="B1973" i="7"/>
  <c r="B1974" i="7"/>
  <c r="B1975" i="7"/>
  <c r="B1976" i="7"/>
  <c r="B1977" i="7"/>
  <c r="B1978" i="7"/>
  <c r="B1979" i="7"/>
  <c r="B1980" i="7"/>
  <c r="B1981" i="7"/>
  <c r="B1982" i="7"/>
  <c r="B1983" i="7"/>
  <c r="B1984" i="7"/>
  <c r="B1985" i="7"/>
  <c r="B1986" i="7"/>
  <c r="B1987" i="7"/>
  <c r="B1988" i="7"/>
  <c r="B1989" i="7"/>
  <c r="B1990" i="7"/>
  <c r="B1991" i="7"/>
  <c r="B1992" i="7"/>
  <c r="B1993" i="7"/>
  <c r="B1994" i="7"/>
  <c r="B1995" i="7"/>
  <c r="B1996" i="7"/>
  <c r="B1997" i="7"/>
  <c r="B1998" i="7"/>
  <c r="B1999" i="7"/>
  <c r="B2000" i="7"/>
  <c r="B2001" i="7"/>
  <c r="B2002" i="7"/>
  <c r="B2003" i="7"/>
  <c r="B2004" i="7"/>
  <c r="B2005" i="7"/>
  <c r="B2006" i="7"/>
  <c r="B2008" i="7"/>
  <c r="B2007" i="7"/>
  <c r="A13" i="2" a="1"/>
  <c r="C13" i="2" l="1"/>
  <c r="B13" i="2"/>
  <c r="A13" i="2"/>
  <c r="A14" i="2" a="1"/>
  <c r="C14" i="2" l="1"/>
  <c r="B14" i="2"/>
  <c r="A14" i="2"/>
  <c r="A15" i="2" a="1"/>
  <c r="C15" i="2" l="1"/>
  <c r="B15" i="2"/>
  <c r="A15" i="2"/>
  <c r="A16" i="2" a="1"/>
  <c r="C16" i="2" l="1"/>
  <c r="B16" i="2"/>
  <c r="A16" i="2"/>
  <c r="A17" i="2" a="1"/>
  <c r="C17" i="2" l="1"/>
  <c r="B17" i="2"/>
  <c r="A17" i="2"/>
  <c r="A18" i="2" a="1"/>
  <c r="C18" i="2" l="1"/>
  <c r="B18" i="2"/>
  <c r="A18" i="2"/>
  <c r="A19" i="2" a="1"/>
  <c r="C19" i="2" l="1"/>
  <c r="B19" i="2"/>
  <c r="A19" i="2"/>
  <c r="A20" i="2" a="1"/>
  <c r="C20" i="2" l="1"/>
  <c r="B20" i="2"/>
  <c r="A20" i="2"/>
  <c r="A21" i="2" a="1"/>
  <c r="C21" i="2" l="1"/>
  <c r="B21" i="2"/>
  <c r="A21" i="2"/>
  <c r="A22" i="2" a="1"/>
  <c r="C22" i="2" l="1"/>
  <c r="B22" i="2"/>
  <c r="A22" i="2"/>
  <c r="A23" i="2" a="1"/>
  <c r="C23" i="2" l="1"/>
  <c r="B23" i="2"/>
  <c r="A23" i="2"/>
  <c r="A24" i="2" a="1"/>
  <c r="C24" i="2" l="1"/>
  <c r="B24" i="2"/>
  <c r="A24" i="2"/>
  <c r="A25" i="2" a="1"/>
  <c r="C25" i="2" l="1"/>
  <c r="B25" i="2"/>
  <c r="A25" i="2"/>
  <c r="A26" i="2" a="1"/>
  <c r="C26" i="2" l="1"/>
  <c r="B26" i="2"/>
  <c r="A26" i="2"/>
  <c r="A27" i="2" a="1"/>
  <c r="C27" i="2" l="1"/>
  <c r="B27" i="2"/>
  <c r="A27" i="2"/>
  <c r="A28" i="2" a="1"/>
  <c r="C28" i="2" l="1"/>
  <c r="B28" i="2"/>
  <c r="A28" i="2"/>
  <c r="A29" i="2" a="1"/>
  <c r="C29" i="2" l="1"/>
  <c r="B29" i="2"/>
  <c r="A29" i="2"/>
  <c r="A30" i="2" a="1"/>
  <c r="C30" i="2" l="1"/>
  <c r="B30" i="2"/>
  <c r="A30" i="2"/>
  <c r="A31" i="2" a="1"/>
  <c r="C31" i="2" l="1"/>
  <c r="B31" i="2"/>
  <c r="A31" i="2"/>
  <c r="A32" i="2" a="1"/>
  <c r="C32" i="2" l="1"/>
  <c r="B32" i="2"/>
  <c r="A32" i="2"/>
  <c r="A33" i="2" a="1"/>
  <c r="C33" i="2" l="1"/>
  <c r="B33" i="2"/>
  <c r="A33" i="2"/>
  <c r="A34" i="2" a="1"/>
  <c r="C34" i="2" l="1"/>
  <c r="B34" i="2"/>
  <c r="A34" i="2"/>
  <c r="A35" i="2" a="1"/>
  <c r="C35" i="2" l="1"/>
  <c r="B35" i="2"/>
  <c r="A35" i="2"/>
  <c r="A36" i="2" a="1"/>
  <c r="C36" i="2" l="1"/>
  <c r="B36" i="2"/>
  <c r="A36" i="2"/>
  <c r="A37" i="2" a="1"/>
  <c r="C37" i="2" l="1"/>
  <c r="B37" i="2"/>
  <c r="A37" i="2"/>
  <c r="A38" i="2" a="1"/>
  <c r="C38" i="2" l="1"/>
  <c r="B38" i="2"/>
  <c r="A38" i="2"/>
  <c r="A39" i="2" a="1"/>
  <c r="C39" i="2" l="1"/>
  <c r="B39" i="2"/>
  <c r="A39" i="2"/>
  <c r="A40" i="2" a="1"/>
  <c r="C40" i="2" l="1"/>
  <c r="B40" i="2"/>
  <c r="A40" i="2"/>
  <c r="A41" i="2" a="1"/>
  <c r="C41" i="2" l="1"/>
  <c r="B41" i="2"/>
  <c r="A41" i="2"/>
  <c r="A42" i="2" a="1"/>
  <c r="C42" i="2" l="1"/>
  <c r="B42" i="2"/>
  <c r="A42" i="2"/>
  <c r="A43" i="2" a="1"/>
  <c r="C43" i="2" l="1"/>
  <c r="B43" i="2"/>
  <c r="A43" i="2"/>
  <c r="A44" i="2" a="1"/>
  <c r="C44" i="2" l="1"/>
  <c r="B44" i="2"/>
  <c r="A44" i="2"/>
  <c r="A45" i="2" a="1"/>
  <c r="C45" i="2" l="1"/>
  <c r="B45" i="2"/>
  <c r="A45" i="2"/>
  <c r="A46" i="2" a="1"/>
  <c r="C46" i="2" l="1"/>
  <c r="B46" i="2"/>
  <c r="A46" i="2"/>
  <c r="A47" i="2" a="1"/>
  <c r="C47" i="2" l="1"/>
  <c r="B47" i="2"/>
  <c r="A47" i="2"/>
  <c r="A48" i="2" a="1"/>
  <c r="C48" i="2" l="1"/>
  <c r="B48" i="2"/>
  <c r="A48" i="2"/>
  <c r="A49" i="2" a="1"/>
  <c r="C49" i="2" l="1"/>
  <c r="B49" i="2"/>
  <c r="A49" i="2"/>
  <c r="A50" i="2" a="1"/>
  <c r="C50" i="2" l="1"/>
  <c r="B50" i="2"/>
  <c r="A50" i="2"/>
  <c r="A51" i="2" a="1"/>
  <c r="C51" i="2" l="1"/>
  <c r="B51" i="2"/>
  <c r="A51" i="2"/>
  <c r="A52" i="2" a="1"/>
  <c r="C52" i="2" l="1"/>
  <c r="B52" i="2"/>
  <c r="A52" i="2"/>
  <c r="A53" i="2" a="1"/>
  <c r="C53" i="2" l="1"/>
  <c r="B53" i="2"/>
  <c r="A53" i="2"/>
  <c r="A54" i="2" a="1"/>
  <c r="C54" i="2" l="1"/>
  <c r="B54" i="2"/>
  <c r="A54" i="2"/>
  <c r="A55" i="2" a="1"/>
  <c r="C55" i="2" l="1"/>
  <c r="B55" i="2"/>
  <c r="A55" i="2"/>
  <c r="A56" i="2" a="1"/>
  <c r="C56" i="2" l="1"/>
  <c r="B56" i="2"/>
  <c r="A56" i="2"/>
  <c r="A57" i="2" a="1"/>
  <c r="C57" i="2" l="1"/>
  <c r="B57" i="2"/>
  <c r="A57" i="2"/>
  <c r="A58" i="2" a="1"/>
  <c r="C58" i="2" l="1"/>
  <c r="B58" i="2"/>
  <c r="A58" i="2"/>
  <c r="A59" i="2" a="1"/>
  <c r="C59" i="2" l="1"/>
  <c r="B59" i="2"/>
  <c r="A59" i="2"/>
  <c r="A60" i="2" a="1"/>
  <c r="C60" i="2" l="1"/>
  <c r="B60" i="2"/>
  <c r="A60" i="2"/>
  <c r="A61" i="2" a="1"/>
  <c r="C61" i="2" l="1"/>
  <c r="B61" i="2"/>
  <c r="A61" i="2"/>
  <c r="A62" i="2" a="1"/>
  <c r="C62" i="2" l="1"/>
  <c r="B62" i="2"/>
  <c r="A62" i="2"/>
  <c r="A63" i="2" a="1"/>
  <c r="C63" i="2" l="1"/>
  <c r="B63" i="2"/>
  <c r="A63" i="2"/>
  <c r="A64" i="2" a="1"/>
  <c r="C64" i="2" l="1"/>
  <c r="B64" i="2"/>
  <c r="A64" i="2"/>
  <c r="A65" i="2" a="1"/>
  <c r="C65" i="2" l="1"/>
  <c r="B65" i="2"/>
  <c r="A65" i="2"/>
  <c r="A66" i="2" a="1"/>
  <c r="C66" i="2" l="1"/>
  <c r="B66" i="2"/>
  <c r="A66" i="2"/>
  <c r="A67" i="2" a="1"/>
  <c r="C67" i="2" l="1"/>
  <c r="B67" i="2"/>
  <c r="A67" i="2"/>
  <c r="A68" i="2" a="1"/>
  <c r="C68" i="2" l="1"/>
  <c r="B68" i="2"/>
  <c r="A68" i="2"/>
  <c r="A69" i="2" a="1"/>
  <c r="C69" i="2" l="1"/>
  <c r="B69" i="2"/>
  <c r="A69" i="2"/>
  <c r="A70" i="2" a="1"/>
  <c r="C70" i="2" l="1"/>
  <c r="B70" i="2"/>
  <c r="A70" i="2"/>
  <c r="A71" i="2" a="1"/>
  <c r="C71" i="2" l="1"/>
  <c r="B71" i="2"/>
  <c r="A71" i="2"/>
  <c r="A72" i="2" a="1"/>
  <c r="C72" i="2" l="1"/>
  <c r="B72" i="2"/>
  <c r="A72" i="2"/>
  <c r="A73" i="2" a="1"/>
  <c r="C73" i="2" l="1"/>
  <c r="B73" i="2"/>
  <c r="A73" i="2"/>
  <c r="A74" i="2" a="1"/>
  <c r="C74" i="2" l="1"/>
  <c r="B74" i="2"/>
  <c r="A74" i="2"/>
  <c r="A75" i="2" a="1"/>
  <c r="C75" i="2" l="1"/>
  <c r="B75" i="2"/>
  <c r="A75" i="2"/>
  <c r="A76" i="2" a="1"/>
  <c r="C76" i="2" l="1"/>
  <c r="B76" i="2"/>
  <c r="A76" i="2"/>
  <c r="A77" i="2" a="1"/>
  <c r="C77" i="2" l="1"/>
  <c r="B77" i="2"/>
  <c r="A77" i="2"/>
  <c r="A78" i="2" a="1"/>
  <c r="C78" i="2" l="1"/>
  <c r="B78" i="2"/>
  <c r="A78" i="2"/>
  <c r="A79" i="2" a="1"/>
  <c r="C79" i="2" l="1"/>
  <c r="B79" i="2"/>
  <c r="A79" i="2"/>
  <c r="A80" i="2" a="1"/>
  <c r="C80" i="2" l="1"/>
  <c r="B80" i="2"/>
  <c r="A80" i="2"/>
  <c r="A81" i="2" a="1"/>
  <c r="C81" i="2" l="1"/>
  <c r="B81" i="2"/>
  <c r="A81" i="2"/>
  <c r="A82" i="2" a="1"/>
  <c r="C82" i="2" l="1"/>
  <c r="B82" i="2"/>
  <c r="A82" i="2"/>
  <c r="A83" i="2" a="1"/>
  <c r="C83" i="2" l="1"/>
  <c r="B83" i="2"/>
  <c r="A83" i="2"/>
  <c r="A84" i="2" a="1"/>
  <c r="C84" i="2" l="1"/>
  <c r="B84" i="2"/>
  <c r="A84" i="2"/>
  <c r="A85" i="2" a="1"/>
  <c r="C85" i="2" l="1"/>
  <c r="B85" i="2"/>
  <c r="A85" i="2"/>
  <c r="A86" i="2" a="1"/>
  <c r="C86" i="2" l="1"/>
  <c r="B86" i="2"/>
  <c r="A86" i="2"/>
  <c r="A87" i="2" a="1"/>
  <c r="C87" i="2" l="1"/>
  <c r="B87" i="2"/>
  <c r="A87" i="2"/>
  <c r="A88" i="2" a="1"/>
  <c r="C88" i="2" l="1"/>
  <c r="B88" i="2"/>
  <c r="A88" i="2"/>
  <c r="A89" i="2" a="1"/>
  <c r="C89" i="2" l="1"/>
  <c r="B89" i="2"/>
  <c r="A89" i="2"/>
  <c r="A90" i="2" a="1"/>
  <c r="C90" i="2" l="1"/>
  <c r="B90" i="2"/>
  <c r="A90" i="2"/>
  <c r="A91" i="2" a="1"/>
  <c r="C91" i="2" l="1"/>
  <c r="B91" i="2"/>
  <c r="A91" i="2"/>
  <c r="A92" i="2" a="1"/>
  <c r="C92" i="2" l="1"/>
  <c r="B92" i="2"/>
  <c r="A92" i="2"/>
  <c r="A93" i="2" a="1"/>
  <c r="C93" i="2" l="1"/>
  <c r="B93" i="2"/>
  <c r="A93" i="2"/>
  <c r="A94" i="2" a="1"/>
  <c r="C94" i="2" l="1"/>
  <c r="B94" i="2"/>
  <c r="A94" i="2"/>
  <c r="A95" i="2" a="1"/>
  <c r="C95" i="2" l="1"/>
  <c r="B95" i="2"/>
  <c r="A95" i="2"/>
  <c r="A96" i="2" a="1"/>
  <c r="C96" i="2" l="1"/>
  <c r="B96" i="2"/>
  <c r="A96" i="2"/>
  <c r="A97" i="2" a="1"/>
  <c r="C97" i="2" l="1"/>
  <c r="B97" i="2"/>
  <c r="A97" i="2"/>
  <c r="A98" i="2" a="1"/>
  <c r="C98" i="2" l="1"/>
  <c r="B98" i="2"/>
  <c r="A98" i="2"/>
  <c r="A99" i="2" a="1"/>
  <c r="C99" i="2" l="1"/>
  <c r="B99" i="2"/>
  <c r="A99" i="2"/>
  <c r="A100" i="2" a="1"/>
  <c r="C100" i="2" l="1"/>
  <c r="B100" i="2"/>
  <c r="A100" i="2"/>
  <c r="A101" i="2" a="1"/>
  <c r="C101" i="2" l="1"/>
  <c r="B101" i="2"/>
  <c r="A101" i="2"/>
  <c r="A102" i="2" a="1"/>
  <c r="C102" i="2" l="1"/>
  <c r="B102" i="2"/>
  <c r="A102" i="2"/>
  <c r="A103" i="2" a="1"/>
  <c r="C103" i="2" l="1"/>
  <c r="B103" i="2"/>
  <c r="A103" i="2"/>
  <c r="A104" i="2" a="1"/>
  <c r="C104" i="2" l="1"/>
  <c r="B104" i="2"/>
  <c r="A104" i="2"/>
  <c r="A105" i="2" a="1"/>
  <c r="C105" i="2" l="1"/>
  <c r="B105" i="2"/>
  <c r="A105" i="2"/>
  <c r="A106" i="2" a="1"/>
  <c r="C106" i="2" l="1"/>
  <c r="B106" i="2"/>
  <c r="A106" i="2"/>
  <c r="A107" i="2" a="1"/>
  <c r="C107" i="2" l="1"/>
  <c r="B107" i="2"/>
  <c r="A107" i="2"/>
  <c r="A108" i="2" a="1"/>
  <c r="C108" i="2" l="1"/>
  <c r="B108" i="2"/>
  <c r="A108" i="2"/>
  <c r="A109" i="2" a="1"/>
  <c r="C109" i="2" l="1"/>
  <c r="B109" i="2"/>
  <c r="A109" i="2"/>
  <c r="A110" i="2" a="1"/>
  <c r="C110" i="2" l="1"/>
  <c r="B110" i="2"/>
  <c r="A110" i="2"/>
  <c r="A111" i="2" a="1"/>
  <c r="C111" i="2" l="1"/>
  <c r="B111" i="2"/>
  <c r="A111" i="2"/>
  <c r="A112" i="2" a="1"/>
  <c r="C112" i="2" l="1"/>
  <c r="B112" i="2"/>
  <c r="A112" i="2"/>
  <c r="A113" i="2" a="1"/>
  <c r="C113" i="2" l="1"/>
  <c r="B113" i="2"/>
  <c r="A113" i="2"/>
  <c r="A114" i="2" a="1"/>
  <c r="C114" i="2" l="1"/>
  <c r="B114" i="2"/>
  <c r="A114" i="2"/>
  <c r="A115" i="2" a="1"/>
  <c r="C115" i="2" l="1"/>
  <c r="B115" i="2"/>
  <c r="A115" i="2"/>
  <c r="A116" i="2" a="1"/>
  <c r="C116" i="2" l="1"/>
  <c r="B116" i="2"/>
  <c r="A116" i="2"/>
  <c r="A117" i="2" a="1"/>
  <c r="C117" i="2" l="1"/>
  <c r="B117" i="2"/>
  <c r="A117" i="2"/>
  <c r="A118" i="2" a="1"/>
  <c r="C118" i="2" l="1"/>
  <c r="B118" i="2"/>
  <c r="A118" i="2"/>
  <c r="A119" i="2" a="1"/>
  <c r="C119" i="2" l="1"/>
  <c r="B119" i="2"/>
  <c r="A119" i="2"/>
  <c r="A120" i="2" a="1"/>
  <c r="C120" i="2" l="1"/>
  <c r="B120" i="2"/>
  <c r="A120" i="2"/>
  <c r="A121" i="2" a="1"/>
  <c r="C121" i="2" l="1"/>
  <c r="B121" i="2"/>
  <c r="A121" i="2"/>
  <c r="A122" i="2" a="1"/>
  <c r="C122" i="2" l="1"/>
  <c r="B122" i="2"/>
  <c r="A122" i="2"/>
  <c r="A123" i="2" a="1"/>
  <c r="C123" i="2" l="1"/>
  <c r="B123" i="2"/>
  <c r="A123" i="2"/>
  <c r="A124" i="2" a="1"/>
  <c r="C124" i="2" l="1"/>
  <c r="B124" i="2"/>
  <c r="A124" i="2"/>
  <c r="A125" i="2" a="1"/>
  <c r="C125" i="2" l="1"/>
  <c r="B125" i="2"/>
  <c r="A125" i="2"/>
  <c r="A126" i="2" a="1"/>
  <c r="C126" i="2" l="1"/>
  <c r="B126" i="2"/>
  <c r="A126" i="2"/>
  <c r="A127" i="2" a="1"/>
  <c r="C127" i="2" l="1"/>
  <c r="B127" i="2"/>
  <c r="A127" i="2"/>
  <c r="A128" i="2" a="1"/>
  <c r="C128" i="2" l="1"/>
  <c r="B128" i="2"/>
  <c r="A128" i="2"/>
  <c r="A129" i="2" a="1"/>
  <c r="C129" i="2" l="1"/>
  <c r="B129" i="2"/>
  <c r="A129" i="2"/>
  <c r="A130" i="2" a="1"/>
  <c r="C130" i="2" l="1"/>
  <c r="B130" i="2"/>
  <c r="A130" i="2"/>
  <c r="A131" i="2" a="1"/>
  <c r="C131" i="2" l="1"/>
  <c r="B131" i="2"/>
  <c r="A131" i="2"/>
  <c r="A132" i="2" a="1"/>
  <c r="C132" i="2" l="1"/>
  <c r="B132" i="2"/>
  <c r="A132" i="2"/>
  <c r="A133" i="2" a="1"/>
  <c r="C133" i="2" l="1"/>
  <c r="B133" i="2"/>
  <c r="A133" i="2"/>
  <c r="A134" i="2" a="1"/>
  <c r="C134" i="2" l="1"/>
  <c r="B134" i="2"/>
  <c r="A134" i="2"/>
  <c r="A135" i="2" a="1"/>
  <c r="C135" i="2" l="1"/>
  <c r="B135" i="2"/>
  <c r="A135" i="2"/>
  <c r="A136" i="2" a="1"/>
  <c r="C136" i="2" l="1"/>
  <c r="B136" i="2"/>
  <c r="A136" i="2"/>
  <c r="A137" i="2" a="1"/>
  <c r="C137" i="2" l="1"/>
  <c r="B137" i="2"/>
  <c r="A137" i="2"/>
  <c r="A138" i="2" a="1"/>
  <c r="C138" i="2" l="1"/>
  <c r="B138" i="2"/>
  <c r="A138" i="2"/>
  <c r="A139" i="2" a="1"/>
  <c r="C139" i="2" l="1"/>
  <c r="B139" i="2"/>
  <c r="A139" i="2"/>
  <c r="A140" i="2" a="1"/>
  <c r="C140" i="2" l="1"/>
  <c r="B140" i="2"/>
  <c r="A140" i="2"/>
  <c r="A141" i="2" a="1"/>
  <c r="C141" i="2" l="1"/>
  <c r="B141" i="2"/>
  <c r="A141" i="2"/>
  <c r="A142" i="2" a="1"/>
  <c r="C142" i="2" l="1"/>
  <c r="B142" i="2"/>
  <c r="A142" i="2"/>
  <c r="A143" i="2" a="1"/>
  <c r="C143" i="2" l="1"/>
  <c r="B143" i="2"/>
  <c r="A143" i="2"/>
  <c r="A144" i="2" a="1"/>
  <c r="C144" i="2" l="1"/>
  <c r="B144" i="2"/>
  <c r="A144" i="2"/>
  <c r="A145" i="2" a="1"/>
  <c r="C145" i="2" l="1"/>
  <c r="B145" i="2"/>
  <c r="A145" i="2"/>
  <c r="A146" i="2" a="1"/>
  <c r="C146" i="2" l="1"/>
  <c r="B146" i="2"/>
  <c r="A146" i="2"/>
  <c r="A147" i="2" a="1"/>
  <c r="C147" i="2" l="1"/>
  <c r="B147" i="2"/>
  <c r="A147" i="2"/>
  <c r="A148" i="2" a="1"/>
  <c r="C148" i="2" l="1"/>
  <c r="B148" i="2"/>
  <c r="A148" i="2"/>
  <c r="A149" i="2" a="1"/>
  <c r="C149" i="2" l="1"/>
  <c r="B149" i="2"/>
  <c r="A149" i="2"/>
  <c r="A150" i="2" a="1"/>
  <c r="C150" i="2" l="1"/>
  <c r="B150" i="2"/>
  <c r="A150" i="2"/>
  <c r="A151" i="2" a="1"/>
  <c r="C151" i="2" l="1"/>
  <c r="B151" i="2"/>
  <c r="A151" i="2"/>
  <c r="A152" i="2" a="1"/>
  <c r="C152" i="2" l="1"/>
  <c r="B152" i="2"/>
  <c r="A152" i="2"/>
  <c r="A153" i="2" a="1"/>
  <c r="C153" i="2" l="1"/>
  <c r="B153" i="2"/>
  <c r="A153" i="2"/>
  <c r="A154" i="2" a="1"/>
  <c r="C154" i="2" l="1"/>
  <c r="B154" i="2"/>
  <c r="A154" i="2"/>
  <c r="A155" i="2" a="1"/>
  <c r="C155" i="2" l="1"/>
  <c r="B155" i="2"/>
  <c r="A155" i="2"/>
  <c r="A156" i="2" a="1"/>
  <c r="C156" i="2" l="1"/>
  <c r="B156" i="2"/>
  <c r="A156" i="2"/>
  <c r="A157" i="2" a="1"/>
  <c r="C157" i="2" l="1"/>
  <c r="B157" i="2"/>
  <c r="A157" i="2"/>
  <c r="A158" i="2" a="1"/>
  <c r="C158" i="2" l="1"/>
  <c r="B158" i="2"/>
  <c r="A158" i="2"/>
  <c r="A159" i="2" a="1"/>
  <c r="C159" i="2" l="1"/>
  <c r="B159" i="2"/>
  <c r="A159" i="2"/>
  <c r="A160" i="2" a="1"/>
  <c r="C160" i="2" l="1"/>
  <c r="B160" i="2"/>
  <c r="A160" i="2"/>
  <c r="A161" i="2" a="1"/>
  <c r="C161" i="2" l="1"/>
  <c r="B161" i="2"/>
  <c r="A161" i="2"/>
  <c r="A162" i="2" a="1"/>
  <c r="C162" i="2" l="1"/>
  <c r="B162" i="2"/>
  <c r="A162" i="2"/>
  <c r="A163" i="2" a="1"/>
  <c r="C163" i="2" l="1"/>
  <c r="B163" i="2"/>
  <c r="A163" i="2"/>
  <c r="A164" i="2" a="1"/>
  <c r="C164" i="2" l="1"/>
  <c r="B164" i="2"/>
  <c r="A164" i="2"/>
  <c r="A165" i="2" a="1"/>
  <c r="C165" i="2" l="1"/>
  <c r="B165" i="2"/>
  <c r="A165" i="2"/>
  <c r="A166" i="2" a="1"/>
  <c r="C166" i="2" l="1"/>
  <c r="B166" i="2"/>
  <c r="A166" i="2"/>
  <c r="A167" i="2" a="1"/>
  <c r="C167" i="2" l="1"/>
  <c r="B167" i="2"/>
  <c r="A167" i="2"/>
  <c r="A168" i="2" a="1"/>
  <c r="C168" i="2" l="1"/>
  <c r="B168" i="2"/>
  <c r="A168" i="2"/>
  <c r="A169" i="2" a="1"/>
  <c r="C169" i="2" l="1"/>
  <c r="B169" i="2"/>
  <c r="A169" i="2"/>
  <c r="A170" i="2" a="1"/>
  <c r="C170" i="2" l="1"/>
  <c r="B170" i="2"/>
  <c r="A170" i="2"/>
  <c r="A171" i="2" a="1"/>
  <c r="C171" i="2" l="1"/>
  <c r="B171" i="2"/>
  <c r="A171" i="2"/>
  <c r="A172" i="2" a="1"/>
  <c r="C172" i="2" l="1"/>
  <c r="B172" i="2"/>
  <c r="A172" i="2"/>
  <c r="A173" i="2" a="1"/>
  <c r="C173" i="2" l="1"/>
  <c r="B173" i="2"/>
  <c r="A173" i="2"/>
  <c r="A174" i="2" a="1"/>
  <c r="C174" i="2" l="1"/>
  <c r="B174" i="2"/>
  <c r="A174" i="2"/>
  <c r="A175" i="2" a="1"/>
  <c r="C175" i="2" l="1"/>
  <c r="B175" i="2"/>
  <c r="A175" i="2"/>
  <c r="A176" i="2" a="1"/>
  <c r="C176" i="2" l="1"/>
  <c r="B176" i="2"/>
  <c r="A176" i="2"/>
  <c r="A177" i="2" a="1"/>
  <c r="C177" i="2" l="1"/>
  <c r="B177" i="2"/>
  <c r="A177" i="2"/>
  <c r="A178" i="2" a="1"/>
  <c r="C178" i="2" l="1"/>
  <c r="B178" i="2"/>
  <c r="A178" i="2"/>
  <c r="A179" i="2" a="1"/>
  <c r="C179" i="2" l="1"/>
  <c r="B179" i="2"/>
  <c r="A179" i="2"/>
  <c r="A180" i="2" a="1"/>
  <c r="C180" i="2" l="1"/>
  <c r="B180" i="2"/>
  <c r="A180" i="2"/>
  <c r="A181" i="2" a="1"/>
  <c r="C181" i="2" l="1"/>
  <c r="B181" i="2"/>
  <c r="A181" i="2"/>
  <c r="A182" i="2" a="1"/>
  <c r="C182" i="2" l="1"/>
  <c r="B182" i="2"/>
  <c r="A182" i="2"/>
  <c r="A183" i="2" a="1"/>
  <c r="C183" i="2" l="1"/>
  <c r="B183" i="2"/>
  <c r="A183" i="2"/>
  <c r="A184" i="2" a="1"/>
  <c r="C184" i="2" l="1"/>
  <c r="B184" i="2"/>
  <c r="A184" i="2"/>
  <c r="A185" i="2" a="1"/>
  <c r="C185" i="2" l="1"/>
  <c r="B185" i="2"/>
  <c r="A185" i="2"/>
  <c r="A186" i="2" a="1"/>
  <c r="C186" i="2" l="1"/>
  <c r="B186" i="2"/>
  <c r="A186" i="2"/>
  <c r="A187" i="2" a="1"/>
  <c r="C187" i="2" l="1"/>
  <c r="B187" i="2"/>
  <c r="A187" i="2"/>
  <c r="A188" i="2" a="1"/>
  <c r="C188" i="2" l="1"/>
  <c r="B188" i="2"/>
  <c r="A188" i="2"/>
  <c r="A189" i="2" a="1"/>
  <c r="C189" i="2" l="1"/>
  <c r="B189" i="2"/>
  <c r="A189" i="2"/>
  <c r="A190" i="2" a="1"/>
  <c r="C190" i="2" l="1"/>
  <c r="B190" i="2"/>
  <c r="A190" i="2"/>
  <c r="A191" i="2" a="1"/>
  <c r="C191" i="2" l="1"/>
  <c r="B191" i="2"/>
  <c r="A191" i="2"/>
  <c r="A192" i="2" a="1"/>
  <c r="C192" i="2" l="1"/>
  <c r="B192" i="2"/>
  <c r="A192" i="2"/>
  <c r="A193" i="2" a="1"/>
  <c r="C193" i="2" l="1"/>
  <c r="B193" i="2"/>
  <c r="A193" i="2"/>
  <c r="A194" i="2" a="1"/>
  <c r="C194" i="2" l="1"/>
  <c r="B194" i="2"/>
  <c r="A194" i="2"/>
  <c r="A195" i="2" a="1"/>
  <c r="C195" i="2" l="1"/>
  <c r="B195" i="2"/>
  <c r="A195" i="2"/>
  <c r="A196" i="2" a="1"/>
  <c r="C196" i="2" l="1"/>
  <c r="B196" i="2"/>
  <c r="A196" i="2"/>
  <c r="A197" i="2" a="1"/>
  <c r="C197" i="2" l="1"/>
  <c r="B197" i="2"/>
  <c r="A197" i="2"/>
  <c r="A198" i="2" a="1"/>
  <c r="C198" i="2" l="1"/>
  <c r="B198" i="2"/>
  <c r="A198" i="2"/>
  <c r="A199" i="2" a="1"/>
  <c r="C199" i="2" l="1"/>
  <c r="B199" i="2"/>
  <c r="A199" i="2"/>
  <c r="A200" i="2" a="1"/>
  <c r="C200" i="2" l="1"/>
  <c r="B200" i="2"/>
  <c r="A200" i="2"/>
  <c r="A201" i="2" a="1"/>
  <c r="C201" i="2" l="1"/>
  <c r="B201" i="2"/>
  <c r="A201" i="2"/>
  <c r="A202" i="2" a="1"/>
  <c r="C202" i="2" l="1"/>
  <c r="B202" i="2"/>
  <c r="A202" i="2"/>
  <c r="A203" i="2" a="1"/>
  <c r="C203" i="2" l="1"/>
  <c r="B203" i="2"/>
  <c r="A203" i="2"/>
  <c r="A204" i="2" a="1"/>
  <c r="C204" i="2" l="1"/>
  <c r="B204" i="2"/>
  <c r="A204" i="2"/>
  <c r="A205" i="2" a="1"/>
  <c r="C205" i="2" l="1"/>
  <c r="B205" i="2"/>
  <c r="A205" i="2"/>
  <c r="A206" i="2" a="1"/>
  <c r="C206" i="2" l="1"/>
  <c r="B206" i="2"/>
  <c r="A206" i="2"/>
  <c r="A207" i="2" a="1"/>
  <c r="C207" i="2" l="1"/>
  <c r="B207" i="2"/>
  <c r="A207" i="2"/>
  <c r="A208" i="2" a="1"/>
  <c r="C208" i="2" l="1"/>
  <c r="B208" i="2"/>
  <c r="A208" i="2"/>
  <c r="A209" i="2" a="1"/>
  <c r="C209" i="2" l="1"/>
  <c r="B209" i="2"/>
  <c r="A209" i="2"/>
  <c r="A210" i="2" a="1"/>
  <c r="C210" i="2" l="1"/>
  <c r="B210" i="2"/>
  <c r="A210" i="2"/>
  <c r="A211" i="2" a="1"/>
  <c r="C211" i="2" l="1"/>
  <c r="B211" i="2"/>
  <c r="A211" i="2"/>
  <c r="A212" i="2" a="1"/>
  <c r="C212" i="2" l="1"/>
  <c r="B212" i="2"/>
  <c r="A212" i="2"/>
  <c r="A213" i="2" a="1"/>
  <c r="C213" i="2" l="1"/>
  <c r="B213" i="2"/>
  <c r="A213" i="2"/>
  <c r="A214" i="2" a="1"/>
  <c r="C214" i="2" l="1"/>
  <c r="B214" i="2"/>
  <c r="A214" i="2"/>
  <c r="A215" i="2" a="1"/>
  <c r="C215" i="2" l="1"/>
  <c r="B215" i="2"/>
  <c r="A215" i="2"/>
  <c r="A216" i="2" a="1"/>
  <c r="C216" i="2" l="1"/>
  <c r="B216" i="2"/>
  <c r="A216" i="2"/>
  <c r="A217" i="2" a="1"/>
  <c r="C217" i="2" l="1"/>
  <c r="B217" i="2"/>
  <c r="A217" i="2"/>
  <c r="A218" i="2" a="1"/>
  <c r="C218" i="2" l="1"/>
  <c r="B218" i="2"/>
  <c r="A218" i="2"/>
  <c r="A219" i="2" a="1"/>
  <c r="C219" i="2" l="1"/>
  <c r="B219" i="2"/>
  <c r="A219" i="2"/>
  <c r="A220" i="2" a="1"/>
  <c r="C220" i="2" l="1"/>
  <c r="B220" i="2"/>
  <c r="A220" i="2"/>
  <c r="A221" i="2" a="1"/>
  <c r="C221" i="2" l="1"/>
  <c r="B221" i="2"/>
  <c r="A221" i="2"/>
  <c r="A222" i="2" a="1"/>
  <c r="C222" i="2" l="1"/>
  <c r="B222" i="2"/>
  <c r="A222" i="2"/>
  <c r="A223" i="2" a="1"/>
  <c r="C223" i="2" l="1"/>
  <c r="B223" i="2"/>
  <c r="A223" i="2"/>
  <c r="A224" i="2" a="1"/>
  <c r="C224" i="2" l="1"/>
  <c r="B224" i="2"/>
  <c r="A224" i="2"/>
  <c r="A225" i="2" a="1"/>
  <c r="C225" i="2" l="1"/>
  <c r="B225" i="2"/>
  <c r="A225" i="2"/>
  <c r="A226" i="2" a="1"/>
  <c r="C226" i="2" l="1"/>
  <c r="B226" i="2"/>
  <c r="A226" i="2"/>
  <c r="A227" i="2" a="1"/>
  <c r="C227" i="2" l="1"/>
  <c r="B227" i="2"/>
  <c r="A227" i="2"/>
  <c r="A228" i="2" a="1"/>
  <c r="C228" i="2" l="1"/>
  <c r="B228" i="2"/>
  <c r="A228" i="2"/>
  <c r="A229" i="2" a="1"/>
  <c r="C229" i="2" l="1"/>
  <c r="B229" i="2"/>
  <c r="A229" i="2"/>
  <c r="A230" i="2" a="1"/>
  <c r="C230" i="2" l="1"/>
  <c r="B230" i="2"/>
  <c r="A230" i="2"/>
  <c r="A231" i="2" a="1"/>
  <c r="C231" i="2" l="1"/>
  <c r="B231" i="2"/>
  <c r="A231" i="2"/>
  <c r="A232" i="2" a="1"/>
  <c r="C232" i="2" l="1"/>
  <c r="B232" i="2"/>
  <c r="A232" i="2"/>
  <c r="A233" i="2" a="1"/>
  <c r="C233" i="2" l="1"/>
  <c r="B233" i="2"/>
  <c r="A233" i="2"/>
  <c r="A234" i="2" a="1"/>
  <c r="C234" i="2" l="1"/>
  <c r="B234" i="2"/>
  <c r="A234" i="2"/>
  <c r="A235" i="2" a="1"/>
  <c r="C235" i="2" l="1"/>
  <c r="B235" i="2"/>
  <c r="A235" i="2"/>
  <c r="A236" i="2" a="1"/>
  <c r="C236" i="2" l="1"/>
  <c r="B236" i="2"/>
  <c r="A236" i="2"/>
  <c r="A237" i="2" a="1"/>
  <c r="C237" i="2" l="1"/>
  <c r="B237" i="2"/>
  <c r="A237" i="2"/>
  <c r="A238" i="2" a="1"/>
  <c r="C238" i="2" l="1"/>
  <c r="B238" i="2"/>
  <c r="A238" i="2"/>
  <c r="A239" i="2" a="1"/>
  <c r="C239" i="2" l="1"/>
  <c r="B239" i="2"/>
  <c r="A239" i="2"/>
  <c r="A240" i="2" a="1"/>
  <c r="C240" i="2" l="1"/>
  <c r="B240" i="2"/>
  <c r="A240" i="2"/>
  <c r="A241" i="2" a="1"/>
  <c r="C241" i="2" l="1"/>
  <c r="B241" i="2"/>
  <c r="A241" i="2"/>
  <c r="A242" i="2" a="1"/>
  <c r="C242" i="2" l="1"/>
  <c r="B242" i="2"/>
  <c r="A242" i="2"/>
  <c r="A243" i="2" a="1"/>
  <c r="C243" i="2" l="1"/>
  <c r="B243" i="2"/>
  <c r="A243" i="2"/>
  <c r="A244" i="2" a="1"/>
  <c r="C244" i="2" l="1"/>
  <c r="B244" i="2"/>
  <c r="A244" i="2"/>
  <c r="A245" i="2" a="1"/>
  <c r="C245" i="2" l="1"/>
  <c r="B245" i="2"/>
  <c r="A245" i="2"/>
  <c r="A246" i="2" a="1"/>
  <c r="C246" i="2" l="1"/>
  <c r="B246" i="2"/>
  <c r="A246" i="2"/>
  <c r="A247" i="2" a="1"/>
  <c r="C247" i="2" l="1"/>
  <c r="B247" i="2"/>
  <c r="A247" i="2"/>
  <c r="A248" i="2" a="1"/>
  <c r="C248" i="2" l="1"/>
  <c r="B248" i="2"/>
  <c r="A248" i="2"/>
  <c r="A249" i="2" a="1"/>
  <c r="C249" i="2" l="1"/>
  <c r="B249" i="2"/>
  <c r="A249" i="2"/>
  <c r="A250" i="2" a="1"/>
  <c r="C250" i="2" l="1"/>
  <c r="B250" i="2"/>
  <c r="A250" i="2"/>
  <c r="A251" i="2" a="1"/>
  <c r="C251" i="2" l="1"/>
  <c r="B251" i="2"/>
  <c r="A251" i="2"/>
  <c r="A252" i="2" a="1"/>
  <c r="C252" i="2" l="1"/>
  <c r="B252" i="2"/>
  <c r="A252" i="2"/>
  <c r="A253" i="2" a="1"/>
  <c r="C253" i="2" l="1"/>
  <c r="B253" i="2"/>
  <c r="A253" i="2"/>
  <c r="A254" i="2" a="1"/>
  <c r="C254" i="2" l="1"/>
  <c r="B254" i="2"/>
  <c r="A254" i="2"/>
  <c r="A255" i="2" a="1"/>
  <c r="C255" i="2" l="1"/>
  <c r="B255" i="2"/>
  <c r="A255" i="2"/>
  <c r="A256" i="2" a="1"/>
  <c r="C256" i="2" l="1"/>
  <c r="B256" i="2"/>
  <c r="A256" i="2"/>
  <c r="A257" i="2" a="1"/>
  <c r="C257" i="2" l="1"/>
  <c r="B257" i="2"/>
  <c r="A257" i="2"/>
  <c r="A258" i="2" a="1"/>
  <c r="C258" i="2" l="1"/>
  <c r="B258" i="2"/>
  <c r="A258" i="2"/>
  <c r="A259" i="2" a="1"/>
  <c r="C259" i="2" l="1"/>
  <c r="B259" i="2"/>
  <c r="A259" i="2"/>
  <c r="A260" i="2" a="1"/>
  <c r="C260" i="2" l="1"/>
  <c r="B260" i="2"/>
  <c r="A260" i="2"/>
  <c r="A261" i="2" a="1"/>
  <c r="C261" i="2" l="1"/>
  <c r="B261" i="2"/>
  <c r="A261" i="2"/>
  <c r="A262" i="2" a="1"/>
  <c r="C262" i="2" l="1"/>
  <c r="B262" i="2"/>
  <c r="A262" i="2"/>
  <c r="A263" i="2" a="1"/>
  <c r="C263" i="2" l="1"/>
  <c r="B263" i="2"/>
  <c r="A263" i="2"/>
  <c r="A264" i="2" a="1"/>
  <c r="C264" i="2" l="1"/>
  <c r="B264" i="2"/>
  <c r="A264" i="2"/>
  <c r="A265" i="2" a="1"/>
  <c r="C265" i="2" l="1"/>
  <c r="B265" i="2"/>
  <c r="A265" i="2"/>
  <c r="A266" i="2" a="1"/>
  <c r="C266" i="2" l="1"/>
  <c r="B266" i="2"/>
  <c r="A266" i="2"/>
  <c r="A267" i="2" a="1"/>
  <c r="C267" i="2" l="1"/>
  <c r="B267" i="2"/>
  <c r="A267" i="2"/>
  <c r="A268" i="2" a="1"/>
  <c r="C268" i="2" l="1"/>
  <c r="B268" i="2"/>
  <c r="A268" i="2"/>
  <c r="A269" i="2" a="1"/>
  <c r="C269" i="2" l="1"/>
  <c r="B269" i="2"/>
  <c r="A269" i="2"/>
  <c r="A270" i="2" a="1"/>
  <c r="C270" i="2" l="1"/>
  <c r="B270" i="2"/>
  <c r="A270" i="2"/>
  <c r="A271" i="2" a="1"/>
  <c r="C271" i="2" l="1"/>
  <c r="B271" i="2"/>
  <c r="A271" i="2"/>
  <c r="A272" i="2" a="1"/>
  <c r="C272" i="2" l="1"/>
  <c r="B272" i="2"/>
  <c r="A272" i="2"/>
  <c r="A273" i="2" a="1"/>
  <c r="C273" i="2" l="1"/>
  <c r="B273" i="2"/>
  <c r="A273" i="2"/>
  <c r="A274" i="2" a="1"/>
  <c r="C274" i="2" l="1"/>
  <c r="B274" i="2"/>
  <c r="A274" i="2"/>
  <c r="A275" i="2" a="1"/>
  <c r="C275" i="2" l="1"/>
  <c r="B275" i="2"/>
  <c r="A275" i="2"/>
  <c r="A276" i="2" a="1"/>
  <c r="C276" i="2" l="1"/>
  <c r="B276" i="2"/>
  <c r="A276" i="2"/>
  <c r="A277" i="2" a="1"/>
  <c r="C277" i="2" l="1"/>
  <c r="B277" i="2"/>
  <c r="A277" i="2"/>
  <c r="A278" i="2" a="1"/>
  <c r="C278" i="2" l="1"/>
  <c r="B278" i="2"/>
  <c r="A278" i="2"/>
  <c r="A279" i="2" a="1"/>
  <c r="C279" i="2" l="1"/>
  <c r="B279" i="2"/>
  <c r="A279" i="2"/>
  <c r="A280" i="2" a="1"/>
  <c r="C280" i="2" l="1"/>
  <c r="B280" i="2"/>
  <c r="A280" i="2"/>
  <c r="A281" i="2" a="1"/>
  <c r="C281" i="2" l="1"/>
  <c r="B281" i="2"/>
  <c r="A281" i="2"/>
  <c r="A282" i="2" a="1"/>
  <c r="C282" i="2" l="1"/>
  <c r="B282" i="2"/>
  <c r="A282" i="2"/>
  <c r="A283" i="2" a="1"/>
  <c r="C283" i="2" l="1"/>
  <c r="B283" i="2"/>
  <c r="A283" i="2"/>
  <c r="A284" i="2" a="1"/>
  <c r="C284" i="2" l="1"/>
  <c r="B284" i="2"/>
  <c r="A284" i="2"/>
  <c r="A285" i="2" a="1"/>
  <c r="C285" i="2" l="1"/>
  <c r="B285" i="2"/>
  <c r="A285" i="2"/>
  <c r="A286" i="2" a="1"/>
  <c r="C286" i="2" l="1"/>
  <c r="B286" i="2"/>
  <c r="A286" i="2"/>
  <c r="A287" i="2" a="1"/>
  <c r="C287" i="2" l="1"/>
  <c r="B287" i="2"/>
  <c r="A287" i="2"/>
  <c r="A288" i="2" a="1"/>
  <c r="C288" i="2" l="1"/>
  <c r="B288" i="2"/>
  <c r="A288" i="2"/>
  <c r="A289" i="2" a="1"/>
  <c r="C289" i="2" l="1"/>
  <c r="B289" i="2"/>
  <c r="A289" i="2"/>
  <c r="A290" i="2" a="1"/>
  <c r="C290" i="2" l="1"/>
  <c r="B290" i="2"/>
  <c r="A290" i="2"/>
  <c r="A291" i="2" a="1"/>
  <c r="C291" i="2" l="1"/>
  <c r="B291" i="2"/>
  <c r="A291" i="2"/>
  <c r="A292" i="2" a="1"/>
  <c r="C292" i="2" l="1"/>
  <c r="B292" i="2"/>
  <c r="A292" i="2"/>
  <c r="A293" i="2" a="1"/>
  <c r="C293" i="2" l="1"/>
  <c r="B293" i="2"/>
  <c r="A293" i="2"/>
  <c r="A294" i="2" a="1"/>
  <c r="C294" i="2" l="1"/>
  <c r="B294" i="2"/>
  <c r="A294" i="2"/>
  <c r="A295" i="2" a="1"/>
  <c r="C295" i="2" l="1"/>
  <c r="B295" i="2"/>
  <c r="A295" i="2"/>
  <c r="A296" i="2" a="1"/>
  <c r="C296" i="2" l="1"/>
  <c r="B296" i="2"/>
  <c r="A296" i="2"/>
  <c r="A297" i="2" a="1"/>
  <c r="C297" i="2" l="1"/>
  <c r="B297" i="2"/>
  <c r="A297" i="2"/>
  <c r="A298" i="2" a="1"/>
  <c r="C298" i="2" l="1"/>
  <c r="B298" i="2"/>
  <c r="A298" i="2"/>
  <c r="A299" i="2" a="1"/>
  <c r="C299" i="2" l="1"/>
  <c r="B299" i="2"/>
  <c r="A299" i="2"/>
  <c r="A300" i="2" a="1"/>
  <c r="C300" i="2" l="1"/>
  <c r="B300" i="2"/>
  <c r="A300" i="2"/>
  <c r="A301" i="2" a="1"/>
  <c r="C301" i="2" l="1"/>
  <c r="B301" i="2"/>
  <c r="A301" i="2"/>
  <c r="A302" i="2" a="1"/>
  <c r="C302" i="2" l="1"/>
  <c r="B302" i="2"/>
  <c r="A302" i="2"/>
  <c r="A303" i="2" a="1"/>
  <c r="C303" i="2" l="1"/>
  <c r="B303" i="2"/>
  <c r="A303" i="2"/>
  <c r="A304" i="2" a="1"/>
  <c r="C304" i="2" l="1"/>
  <c r="B304" i="2"/>
  <c r="A304" i="2"/>
  <c r="A305" i="2" a="1"/>
  <c r="C305" i="2" l="1"/>
  <c r="B305" i="2"/>
  <c r="A305" i="2"/>
  <c r="A306" i="2" a="1"/>
  <c r="C306" i="2" l="1"/>
  <c r="B306" i="2"/>
  <c r="A306" i="2"/>
  <c r="A307" i="2" a="1"/>
  <c r="C307" i="2" l="1"/>
  <c r="B307" i="2"/>
  <c r="A307" i="2"/>
  <c r="A308" i="2" a="1"/>
  <c r="C308" i="2" l="1"/>
  <c r="B308" i="2"/>
  <c r="A308" i="2"/>
  <c r="A309" i="2" a="1"/>
  <c r="C309" i="2" l="1"/>
  <c r="B309" i="2"/>
  <c r="A309" i="2"/>
  <c r="A310" i="2" a="1"/>
  <c r="C310" i="2" l="1"/>
  <c r="B310" i="2"/>
  <c r="A310" i="2"/>
  <c r="A311" i="2" a="1"/>
  <c r="C311" i="2" l="1"/>
  <c r="B311" i="2"/>
  <c r="A311" i="2"/>
  <c r="A312" i="2" a="1"/>
  <c r="C312" i="2" l="1"/>
  <c r="B312" i="2"/>
  <c r="A312" i="2"/>
  <c r="A313" i="2" a="1"/>
  <c r="C313" i="2" l="1"/>
  <c r="B313" i="2"/>
  <c r="A313" i="2"/>
  <c r="A314" i="2" a="1"/>
  <c r="C314" i="2" l="1"/>
  <c r="B314" i="2"/>
  <c r="A314" i="2"/>
  <c r="A315" i="2" a="1"/>
  <c r="C315" i="2" l="1"/>
  <c r="B315" i="2"/>
  <c r="A315" i="2"/>
  <c r="A316" i="2" a="1"/>
  <c r="C316" i="2" l="1"/>
  <c r="B316" i="2"/>
  <c r="A316" i="2"/>
  <c r="A317" i="2" a="1"/>
  <c r="C317" i="2" l="1"/>
  <c r="B317" i="2"/>
  <c r="A317" i="2"/>
  <c r="A318" i="2" a="1"/>
  <c r="C318" i="2" l="1"/>
  <c r="B318" i="2"/>
  <c r="A318" i="2"/>
  <c r="A319" i="2" a="1"/>
  <c r="C319" i="2" l="1"/>
  <c r="B319" i="2"/>
  <c r="A319" i="2"/>
  <c r="A320" i="2" a="1"/>
  <c r="C320" i="2" l="1"/>
  <c r="B320" i="2"/>
  <c r="A320" i="2"/>
  <c r="A321" i="2" a="1"/>
  <c r="C321" i="2" l="1"/>
  <c r="B321" i="2"/>
  <c r="A321" i="2"/>
  <c r="A322" i="2" a="1"/>
  <c r="C322" i="2" l="1"/>
  <c r="B322" i="2"/>
  <c r="A322" i="2"/>
  <c r="A323" i="2" a="1"/>
  <c r="C323" i="2" l="1"/>
  <c r="B323" i="2"/>
  <c r="A323" i="2"/>
  <c r="A324" i="2" a="1"/>
  <c r="C324" i="2" l="1"/>
  <c r="B324" i="2"/>
  <c r="A324" i="2"/>
  <c r="A325" i="2" a="1"/>
  <c r="C325" i="2" l="1"/>
  <c r="B325" i="2"/>
  <c r="A325" i="2"/>
  <c r="A326" i="2" a="1"/>
  <c r="C326" i="2" l="1"/>
  <c r="B326" i="2"/>
  <c r="A326" i="2"/>
  <c r="A327" i="2" a="1"/>
  <c r="C327" i="2" l="1"/>
  <c r="B327" i="2"/>
  <c r="A327" i="2"/>
  <c r="A328" i="2" a="1"/>
  <c r="C328" i="2" l="1"/>
  <c r="B328" i="2"/>
  <c r="A328" i="2"/>
  <c r="A329" i="2" a="1"/>
  <c r="C329" i="2" l="1"/>
  <c r="B329" i="2"/>
  <c r="A329" i="2"/>
  <c r="A330" i="2" a="1"/>
  <c r="C330" i="2" l="1"/>
  <c r="B330" i="2"/>
  <c r="A330" i="2"/>
  <c r="A331" i="2" a="1"/>
  <c r="C331" i="2" l="1"/>
  <c r="B331" i="2"/>
  <c r="A331" i="2"/>
  <c r="A332" i="2" a="1"/>
  <c r="C332" i="2" l="1"/>
  <c r="B332" i="2"/>
  <c r="A332" i="2"/>
  <c r="A333" i="2" a="1"/>
  <c r="C333" i="2" l="1"/>
  <c r="B333" i="2"/>
  <c r="A333" i="2"/>
  <c r="A334" i="2" a="1"/>
  <c r="C334" i="2" l="1"/>
  <c r="B334" i="2"/>
  <c r="A334" i="2"/>
  <c r="A335" i="2" a="1"/>
  <c r="C335" i="2" l="1"/>
  <c r="B335" i="2"/>
  <c r="A335" i="2"/>
  <c r="A336" i="2" a="1"/>
  <c r="C336" i="2" l="1"/>
  <c r="B336" i="2"/>
  <c r="A336" i="2"/>
  <c r="A337" i="2" a="1"/>
  <c r="C337" i="2" l="1"/>
  <c r="B337" i="2"/>
  <c r="A337" i="2"/>
  <c r="A338" i="2" a="1"/>
  <c r="C338" i="2" l="1"/>
  <c r="B338" i="2"/>
  <c r="A338" i="2"/>
  <c r="A339" i="2" a="1"/>
  <c r="C339" i="2" l="1"/>
  <c r="B339" i="2"/>
  <c r="A339" i="2"/>
  <c r="A340" i="2" a="1"/>
  <c r="C340" i="2" l="1"/>
  <c r="B340" i="2"/>
  <c r="A340" i="2"/>
  <c r="A341" i="2" a="1"/>
  <c r="C341" i="2" l="1"/>
  <c r="B341" i="2"/>
  <c r="A341" i="2"/>
  <c r="A342" i="2" a="1"/>
  <c r="C342" i="2" l="1"/>
  <c r="B342" i="2"/>
  <c r="A342" i="2"/>
  <c r="A343" i="2" a="1"/>
  <c r="C343" i="2" l="1"/>
  <c r="B343" i="2"/>
  <c r="A343" i="2"/>
  <c r="A344" i="2" a="1"/>
  <c r="C344" i="2" l="1"/>
  <c r="B344" i="2"/>
  <c r="A344" i="2"/>
  <c r="A345" i="2" a="1"/>
  <c r="C345" i="2" l="1"/>
  <c r="B345" i="2"/>
  <c r="A345" i="2"/>
  <c r="A346" i="2" a="1"/>
  <c r="C346" i="2" l="1"/>
  <c r="B346" i="2"/>
  <c r="A346" i="2"/>
  <c r="A347" i="2" a="1"/>
  <c r="C347" i="2" l="1"/>
  <c r="B347" i="2"/>
  <c r="A347" i="2"/>
  <c r="A348" i="2" a="1"/>
  <c r="C348" i="2" l="1"/>
  <c r="B348" i="2"/>
  <c r="A348" i="2"/>
  <c r="A349" i="2" a="1"/>
  <c r="C349" i="2" l="1"/>
  <c r="B349" i="2"/>
  <c r="A349" i="2"/>
  <c r="A350" i="2" a="1"/>
  <c r="C350" i="2" l="1"/>
  <c r="B350" i="2"/>
  <c r="A350" i="2"/>
  <c r="A351" i="2" a="1"/>
  <c r="C351" i="2" l="1"/>
  <c r="B351" i="2"/>
  <c r="A351" i="2"/>
  <c r="A352" i="2" a="1"/>
  <c r="C352" i="2" l="1"/>
  <c r="B352" i="2"/>
  <c r="A352" i="2"/>
  <c r="A353" i="2" a="1"/>
  <c r="C353" i="2" l="1"/>
  <c r="B353" i="2"/>
  <c r="A353" i="2"/>
  <c r="A354" i="2" a="1"/>
  <c r="C354" i="2" l="1"/>
  <c r="B354" i="2"/>
  <c r="A354" i="2"/>
  <c r="A355" i="2" a="1"/>
  <c r="C355" i="2" l="1"/>
  <c r="B355" i="2"/>
  <c r="A355" i="2"/>
  <c r="A356" i="2" a="1"/>
  <c r="C356" i="2" l="1"/>
  <c r="B356" i="2"/>
  <c r="A356" i="2"/>
  <c r="A357" i="2" a="1"/>
  <c r="C357" i="2" l="1"/>
  <c r="B357" i="2"/>
  <c r="A357" i="2"/>
  <c r="A358" i="2" a="1"/>
  <c r="C358" i="2" l="1"/>
  <c r="B358" i="2"/>
  <c r="A358" i="2"/>
  <c r="A359" i="2" a="1"/>
  <c r="C359" i="2" l="1"/>
  <c r="B359" i="2"/>
  <c r="A359" i="2"/>
  <c r="A360" i="2" a="1"/>
  <c r="C360" i="2" l="1"/>
  <c r="B360" i="2"/>
  <c r="A360" i="2"/>
  <c r="A361" i="2" a="1"/>
  <c r="C361" i="2" l="1"/>
  <c r="B361" i="2"/>
  <c r="A361" i="2"/>
  <c r="A362" i="2" a="1"/>
  <c r="C362" i="2" l="1"/>
  <c r="B362" i="2"/>
  <c r="A362" i="2"/>
  <c r="A363" i="2" a="1"/>
  <c r="C363" i="2" l="1"/>
  <c r="B363" i="2"/>
  <c r="A363" i="2"/>
  <c r="A364" i="2" a="1"/>
  <c r="C364" i="2" l="1"/>
  <c r="B364" i="2"/>
  <c r="A364" i="2"/>
  <c r="A365" i="2" a="1"/>
  <c r="C365" i="2" l="1"/>
  <c r="B365" i="2"/>
  <c r="A365" i="2"/>
  <c r="A366" i="2" a="1"/>
  <c r="C366" i="2" l="1"/>
  <c r="B366" i="2"/>
  <c r="A366" i="2"/>
  <c r="A367" i="2" a="1"/>
  <c r="C367" i="2" l="1"/>
  <c r="B367" i="2"/>
  <c r="A367" i="2"/>
  <c r="A368" i="2" a="1"/>
  <c r="C368" i="2" l="1"/>
  <c r="B368" i="2"/>
  <c r="A368" i="2"/>
  <c r="A369" i="2" a="1"/>
  <c r="C369" i="2" l="1"/>
  <c r="B369" i="2"/>
  <c r="A369" i="2"/>
  <c r="A370" i="2" a="1"/>
  <c r="C370" i="2" l="1"/>
  <c r="B370" i="2"/>
  <c r="A370" i="2"/>
  <c r="A371" i="2" a="1"/>
  <c r="C371" i="2" l="1"/>
  <c r="B371" i="2"/>
  <c r="A371" i="2"/>
  <c r="A372" i="2" a="1"/>
  <c r="C372" i="2" l="1"/>
  <c r="B372" i="2"/>
  <c r="A372" i="2"/>
  <c r="A373" i="2" a="1"/>
  <c r="C373" i="2" l="1"/>
  <c r="B373" i="2"/>
  <c r="A373" i="2"/>
  <c r="A374" i="2" a="1"/>
  <c r="C374" i="2" l="1"/>
  <c r="B374" i="2"/>
  <c r="A374" i="2"/>
  <c r="A375" i="2" a="1"/>
  <c r="C375" i="2" l="1"/>
  <c r="B375" i="2"/>
  <c r="A375" i="2"/>
  <c r="A376" i="2" a="1"/>
  <c r="C376" i="2" l="1"/>
  <c r="B376" i="2"/>
  <c r="A376" i="2"/>
  <c r="A377" i="2" a="1"/>
  <c r="C377" i="2" l="1"/>
  <c r="B377" i="2"/>
  <c r="A377" i="2"/>
  <c r="A378" i="2" a="1"/>
  <c r="C378" i="2" l="1"/>
  <c r="B378" i="2"/>
  <c r="A378" i="2"/>
  <c r="A379" i="2" a="1"/>
  <c r="C379" i="2" l="1"/>
  <c r="B379" i="2"/>
  <c r="A379" i="2"/>
  <c r="A380" i="2" a="1"/>
  <c r="C380" i="2" l="1"/>
  <c r="B380" i="2"/>
  <c r="A380" i="2"/>
  <c r="A381" i="2" a="1"/>
  <c r="C381" i="2" l="1"/>
  <c r="B381" i="2"/>
  <c r="A381" i="2"/>
  <c r="A382" i="2" a="1"/>
  <c r="C382" i="2" l="1"/>
  <c r="B382" i="2"/>
  <c r="A382" i="2"/>
  <c r="A383" i="2" a="1"/>
  <c r="C383" i="2" l="1"/>
  <c r="B383" i="2"/>
  <c r="A383" i="2"/>
  <c r="A384" i="2" a="1"/>
  <c r="C384" i="2" l="1"/>
  <c r="B384" i="2"/>
  <c r="A384" i="2"/>
  <c r="A385" i="2" a="1"/>
  <c r="C385" i="2" l="1"/>
  <c r="B385" i="2"/>
  <c r="A385" i="2"/>
  <c r="A386" i="2" a="1"/>
  <c r="C386" i="2" l="1"/>
  <c r="B386" i="2"/>
  <c r="A386" i="2"/>
  <c r="A387" i="2" a="1"/>
  <c r="C387" i="2" l="1"/>
  <c r="B387" i="2"/>
  <c r="A387" i="2"/>
  <c r="A388" i="2" a="1"/>
  <c r="C388" i="2" l="1"/>
  <c r="B388" i="2"/>
  <c r="A388" i="2"/>
  <c r="A389" i="2" a="1"/>
  <c r="C389" i="2" l="1"/>
  <c r="B389" i="2"/>
  <c r="A389" i="2"/>
  <c r="A390" i="2" a="1"/>
  <c r="C390" i="2" l="1"/>
  <c r="B390" i="2"/>
  <c r="A390" i="2"/>
  <c r="A391" i="2" a="1"/>
  <c r="C391" i="2" l="1"/>
  <c r="B391" i="2"/>
  <c r="A391" i="2"/>
  <c r="A392" i="2" a="1"/>
  <c r="C392" i="2" l="1"/>
  <c r="B392" i="2"/>
  <c r="A392" i="2"/>
  <c r="A393" i="2" a="1"/>
  <c r="C393" i="2" l="1"/>
  <c r="B393" i="2"/>
  <c r="A393" i="2"/>
  <c r="A394" i="2" a="1"/>
  <c r="C394" i="2" l="1"/>
  <c r="B394" i="2"/>
  <c r="A394" i="2"/>
  <c r="A395" i="2" a="1"/>
  <c r="C395" i="2" l="1"/>
  <c r="B395" i="2"/>
  <c r="A395" i="2"/>
  <c r="A396" i="2" a="1"/>
  <c r="C396" i="2" l="1"/>
  <c r="B396" i="2"/>
  <c r="A396" i="2"/>
  <c r="A397" i="2" a="1"/>
  <c r="C397" i="2" l="1"/>
  <c r="B397" i="2"/>
  <c r="A397" i="2"/>
  <c r="A398" i="2" a="1"/>
  <c r="C398" i="2" l="1"/>
  <c r="B398" i="2"/>
  <c r="A398" i="2"/>
  <c r="A399" i="2" a="1"/>
  <c r="C399" i="2" l="1"/>
  <c r="B399" i="2"/>
  <c r="A399" i="2"/>
  <c r="A400" i="2" a="1"/>
  <c r="C400" i="2" l="1"/>
  <c r="B400" i="2"/>
  <c r="A400" i="2"/>
  <c r="A401" i="2" a="1"/>
  <c r="C401" i="2" l="1"/>
  <c r="B401" i="2"/>
  <c r="A401" i="2"/>
  <c r="A402" i="2" a="1"/>
  <c r="C402" i="2" l="1"/>
  <c r="B402" i="2"/>
  <c r="A402" i="2"/>
  <c r="A403" i="2" a="1"/>
  <c r="C403" i="2" l="1"/>
  <c r="B403" i="2"/>
  <c r="A403" i="2"/>
  <c r="A404" i="2" a="1"/>
  <c r="C404" i="2" l="1"/>
  <c r="B404" i="2"/>
  <c r="A404" i="2"/>
  <c r="A405" i="2" a="1"/>
  <c r="C405" i="2" l="1"/>
  <c r="B405" i="2"/>
  <c r="A405" i="2"/>
  <c r="A406" i="2" a="1"/>
  <c r="C406" i="2" l="1"/>
  <c r="B406" i="2"/>
  <c r="A406" i="2"/>
  <c r="A407" i="2" a="1"/>
  <c r="C407" i="2" l="1"/>
  <c r="B407" i="2"/>
  <c r="A407" i="2"/>
  <c r="A408" i="2" a="1"/>
  <c r="C408" i="2" l="1"/>
  <c r="B408" i="2"/>
  <c r="A408" i="2"/>
  <c r="A409" i="2" a="1"/>
  <c r="C409" i="2" l="1"/>
  <c r="B409" i="2"/>
  <c r="A409" i="2"/>
  <c r="A410" i="2" a="1"/>
  <c r="C410" i="2" l="1"/>
  <c r="B410" i="2"/>
  <c r="A410" i="2"/>
  <c r="A411" i="2" a="1"/>
  <c r="C411" i="2" l="1"/>
  <c r="B411" i="2"/>
  <c r="A411" i="2"/>
  <c r="A412" i="2" a="1"/>
  <c r="C412" i="2" l="1"/>
  <c r="B412" i="2"/>
  <c r="A412" i="2"/>
  <c r="A413" i="2" a="1"/>
  <c r="C413" i="2" l="1"/>
  <c r="B413" i="2"/>
  <c r="A413" i="2"/>
  <c r="A414" i="2" a="1"/>
  <c r="C414" i="2" l="1"/>
  <c r="B414" i="2"/>
  <c r="A414" i="2"/>
  <c r="A415" i="2" a="1"/>
  <c r="C415" i="2" l="1"/>
  <c r="B415" i="2"/>
  <c r="A415" i="2"/>
  <c r="A416" i="2" a="1"/>
  <c r="C416" i="2" l="1"/>
  <c r="B416" i="2"/>
  <c r="A416" i="2"/>
  <c r="A417" i="2" a="1"/>
  <c r="C417" i="2" l="1"/>
  <c r="B417" i="2"/>
  <c r="A417" i="2"/>
  <c r="A418" i="2" a="1"/>
  <c r="C418" i="2" l="1"/>
  <c r="B418" i="2"/>
  <c r="A418" i="2"/>
  <c r="A419" i="2" a="1"/>
  <c r="C419" i="2" l="1"/>
  <c r="B419" i="2"/>
  <c r="A419" i="2"/>
  <c r="A420" i="2" a="1"/>
  <c r="C420" i="2" l="1"/>
  <c r="B420" i="2"/>
  <c r="A420" i="2"/>
  <c r="A421" i="2" a="1"/>
  <c r="C421" i="2" l="1"/>
  <c r="B421" i="2"/>
  <c r="A421" i="2"/>
  <c r="A422" i="2" a="1"/>
  <c r="C422" i="2" l="1"/>
  <c r="B422" i="2"/>
  <c r="A422" i="2"/>
  <c r="A423" i="2" a="1"/>
  <c r="C423" i="2" l="1"/>
  <c r="B423" i="2"/>
  <c r="A423" i="2"/>
  <c r="A424" i="2" a="1"/>
  <c r="C424" i="2" l="1"/>
  <c r="B424" i="2"/>
  <c r="A424" i="2"/>
  <c r="A425" i="2" a="1"/>
  <c r="C425" i="2" l="1"/>
  <c r="B425" i="2"/>
  <c r="A425" i="2"/>
  <c r="A426" i="2" a="1"/>
  <c r="C426" i="2" l="1"/>
  <c r="B426" i="2"/>
  <c r="A426" i="2"/>
  <c r="A427" i="2" a="1"/>
  <c r="C427" i="2" l="1"/>
  <c r="B427" i="2"/>
  <c r="A427" i="2"/>
  <c r="A428" i="2" a="1"/>
  <c r="C428" i="2" l="1"/>
  <c r="B428" i="2"/>
  <c r="A428" i="2"/>
  <c r="A429" i="2" a="1"/>
  <c r="C429" i="2" l="1"/>
  <c r="B429" i="2"/>
  <c r="A429" i="2"/>
  <c r="A430" i="2" a="1"/>
  <c r="C430" i="2" l="1"/>
  <c r="B430" i="2"/>
  <c r="A430" i="2"/>
  <c r="A431" i="2" a="1"/>
  <c r="C431" i="2" l="1"/>
  <c r="B431" i="2"/>
  <c r="A431" i="2"/>
  <c r="A432" i="2" a="1"/>
  <c r="C432" i="2" l="1"/>
  <c r="B432" i="2"/>
  <c r="A432" i="2"/>
  <c r="A433" i="2" a="1"/>
  <c r="C433" i="2" l="1"/>
  <c r="B433" i="2"/>
  <c r="A433" i="2"/>
  <c r="A434" i="2" a="1"/>
  <c r="C434" i="2" l="1"/>
  <c r="B434" i="2"/>
  <c r="A434" i="2"/>
  <c r="A435" i="2" a="1"/>
  <c r="C435" i="2" l="1"/>
  <c r="B435" i="2"/>
  <c r="A435" i="2"/>
  <c r="A436" i="2" a="1"/>
  <c r="C436" i="2" l="1"/>
  <c r="B436" i="2"/>
  <c r="A436" i="2"/>
  <c r="A437" i="2" a="1"/>
  <c r="C437" i="2" l="1"/>
  <c r="B437" i="2"/>
  <c r="A437" i="2"/>
  <c r="A438" i="2" a="1"/>
  <c r="C438" i="2" l="1"/>
  <c r="B438" i="2"/>
  <c r="A438" i="2"/>
  <c r="A439" i="2" a="1"/>
  <c r="C439" i="2" l="1"/>
  <c r="B439" i="2"/>
  <c r="A439" i="2"/>
  <c r="A440" i="2" a="1"/>
  <c r="C440" i="2" l="1"/>
  <c r="B440" i="2"/>
  <c r="A440" i="2"/>
  <c r="A441" i="2" a="1"/>
  <c r="C441" i="2" l="1"/>
  <c r="B441" i="2"/>
  <c r="A441" i="2"/>
  <c r="A442" i="2" a="1"/>
  <c r="C442" i="2" l="1"/>
  <c r="B442" i="2"/>
  <c r="A442" i="2"/>
  <c r="A443" i="2" a="1"/>
  <c r="C443" i="2" l="1"/>
  <c r="B443" i="2"/>
  <c r="A443" i="2"/>
  <c r="A444" i="2" a="1"/>
  <c r="C444" i="2" l="1"/>
  <c r="B444" i="2"/>
  <c r="A444" i="2"/>
  <c r="A445" i="2" a="1"/>
  <c r="C445" i="2" l="1"/>
  <c r="B445" i="2"/>
  <c r="A445" i="2"/>
  <c r="A446" i="2" a="1"/>
  <c r="C446" i="2" l="1"/>
  <c r="B446" i="2"/>
  <c r="A446" i="2"/>
  <c r="A447" i="2" a="1"/>
  <c r="C447" i="2" l="1"/>
  <c r="B447" i="2"/>
  <c r="A447" i="2"/>
  <c r="A448" i="2" a="1"/>
  <c r="C448" i="2" l="1"/>
  <c r="B448" i="2"/>
  <c r="A448" i="2"/>
  <c r="A449" i="2" a="1"/>
  <c r="C449" i="2" l="1"/>
  <c r="B449" i="2"/>
  <c r="A449" i="2"/>
  <c r="A450" i="2" a="1"/>
  <c r="C450" i="2" l="1"/>
  <c r="B450" i="2"/>
  <c r="A450" i="2"/>
  <c r="A451" i="2" a="1"/>
  <c r="C451" i="2" l="1"/>
  <c r="B451" i="2"/>
  <c r="A451" i="2"/>
  <c r="A452" i="2" a="1"/>
  <c r="C452" i="2" l="1"/>
  <c r="B452" i="2"/>
  <c r="A452" i="2"/>
  <c r="A453" i="2" a="1"/>
  <c r="C453" i="2" l="1"/>
  <c r="B453" i="2"/>
  <c r="A453" i="2"/>
  <c r="A454" i="2" a="1"/>
  <c r="C454" i="2" l="1"/>
  <c r="B454" i="2"/>
  <c r="A454" i="2"/>
  <c r="A455" i="2" a="1"/>
  <c r="C455" i="2" l="1"/>
  <c r="B455" i="2"/>
  <c r="A455" i="2"/>
  <c r="A456" i="2" a="1"/>
  <c r="C456" i="2" l="1"/>
  <c r="B456" i="2"/>
  <c r="A456" i="2"/>
  <c r="A457" i="2" a="1"/>
  <c r="C457" i="2" l="1"/>
  <c r="B457" i="2"/>
  <c r="A457" i="2"/>
  <c r="A458" i="2" a="1"/>
  <c r="C458" i="2" l="1"/>
  <c r="B458" i="2"/>
  <c r="A458" i="2"/>
  <c r="A459" i="2" a="1"/>
  <c r="C459" i="2" l="1"/>
  <c r="B459" i="2"/>
  <c r="A459" i="2"/>
  <c r="A460" i="2" a="1"/>
  <c r="C460" i="2" l="1"/>
  <c r="B460" i="2"/>
  <c r="A460" i="2"/>
  <c r="A461" i="2" a="1"/>
  <c r="C461" i="2" l="1"/>
  <c r="B461" i="2"/>
  <c r="A461" i="2"/>
  <c r="A462" i="2" a="1"/>
  <c r="C462" i="2" l="1"/>
  <c r="B462" i="2"/>
  <c r="A462" i="2"/>
  <c r="A463" i="2" a="1"/>
  <c r="C463" i="2" l="1"/>
  <c r="B463" i="2"/>
  <c r="A463" i="2"/>
  <c r="A464" i="2" a="1"/>
  <c r="C464" i="2" l="1"/>
  <c r="B464" i="2"/>
  <c r="A464" i="2"/>
  <c r="A465" i="2" a="1"/>
  <c r="C465" i="2" l="1"/>
  <c r="B465" i="2"/>
  <c r="A465" i="2"/>
  <c r="A466" i="2" a="1"/>
  <c r="C466" i="2" l="1"/>
  <c r="B466" i="2"/>
  <c r="A466" i="2"/>
  <c r="A467" i="2" a="1"/>
  <c r="C467" i="2" l="1"/>
  <c r="B467" i="2"/>
  <c r="A467" i="2"/>
  <c r="A468" i="2" a="1"/>
  <c r="C468" i="2" l="1"/>
  <c r="B468" i="2"/>
  <c r="A468" i="2"/>
  <c r="A469" i="2" a="1"/>
  <c r="C469" i="2" l="1"/>
  <c r="B469" i="2"/>
  <c r="A469" i="2"/>
  <c r="A470" i="2" a="1"/>
  <c r="C470" i="2" l="1"/>
  <c r="B470" i="2"/>
  <c r="A470" i="2"/>
  <c r="A471" i="2" a="1"/>
  <c r="C471" i="2" l="1"/>
  <c r="B471" i="2"/>
  <c r="A471" i="2"/>
  <c r="A472" i="2" a="1"/>
  <c r="C472" i="2" l="1"/>
  <c r="B472" i="2"/>
  <c r="A472" i="2"/>
  <c r="A473" i="2" a="1"/>
  <c r="C473" i="2" l="1"/>
  <c r="B473" i="2"/>
  <c r="A473" i="2"/>
  <c r="A474" i="2" a="1"/>
  <c r="C474" i="2" l="1"/>
  <c r="B474" i="2"/>
  <c r="A474" i="2"/>
  <c r="A475" i="2" a="1"/>
  <c r="C475" i="2" l="1"/>
  <c r="B475" i="2"/>
  <c r="A475" i="2"/>
  <c r="A476" i="2" a="1"/>
  <c r="C476" i="2" l="1"/>
  <c r="B476" i="2"/>
  <c r="A476" i="2"/>
  <c r="A477" i="2" a="1"/>
  <c r="C477" i="2" l="1"/>
  <c r="B477" i="2"/>
  <c r="A477" i="2"/>
  <c r="A478" i="2" a="1"/>
  <c r="C478" i="2" l="1"/>
  <c r="B478" i="2"/>
  <c r="A478" i="2"/>
  <c r="A479" i="2" a="1"/>
  <c r="C479" i="2" l="1"/>
  <c r="B479" i="2"/>
  <c r="A479" i="2"/>
  <c r="A480" i="2" a="1"/>
  <c r="C480" i="2" l="1"/>
  <c r="B480" i="2"/>
  <c r="A480" i="2"/>
  <c r="A481" i="2" a="1"/>
  <c r="C481" i="2" l="1"/>
  <c r="B481" i="2"/>
  <c r="A481" i="2"/>
  <c r="A482" i="2" a="1"/>
  <c r="C482" i="2" l="1"/>
  <c r="B482" i="2"/>
  <c r="A482" i="2"/>
  <c r="A483" i="2" a="1"/>
  <c r="C483" i="2" l="1"/>
  <c r="B483" i="2"/>
  <c r="A483" i="2"/>
  <c r="A484" i="2" a="1"/>
  <c r="C484" i="2" l="1"/>
  <c r="B484" i="2"/>
  <c r="A484" i="2"/>
  <c r="A485" i="2" a="1"/>
  <c r="C485" i="2" l="1"/>
  <c r="B485" i="2"/>
  <c r="A485" i="2"/>
  <c r="A486" i="2" a="1"/>
  <c r="C486" i="2" l="1"/>
  <c r="B486" i="2"/>
  <c r="A486" i="2"/>
  <c r="A487" i="2" a="1"/>
  <c r="C487" i="2" l="1"/>
  <c r="B487" i="2"/>
  <c r="A487" i="2"/>
  <c r="A488" i="2" a="1"/>
  <c r="C488" i="2" l="1"/>
  <c r="B488" i="2"/>
  <c r="A488" i="2"/>
  <c r="A489" i="2" a="1"/>
  <c r="C489" i="2" l="1"/>
  <c r="B489" i="2"/>
  <c r="A489" i="2"/>
  <c r="A490" i="2" a="1"/>
  <c r="C490" i="2" l="1"/>
  <c r="B490" i="2"/>
  <c r="A490" i="2"/>
  <c r="A491" i="2" a="1"/>
  <c r="C491" i="2" l="1"/>
  <c r="B491" i="2"/>
  <c r="A491" i="2"/>
  <c r="A492" i="2" a="1"/>
  <c r="C492" i="2" l="1"/>
  <c r="B492" i="2"/>
  <c r="A492" i="2"/>
  <c r="A493" i="2" a="1"/>
  <c r="C493" i="2" l="1"/>
  <c r="B493" i="2"/>
  <c r="A493" i="2"/>
  <c r="A494" i="2" a="1"/>
  <c r="C494" i="2" l="1"/>
  <c r="B494" i="2"/>
  <c r="A494" i="2"/>
  <c r="A495" i="2" a="1"/>
  <c r="C495" i="2" l="1"/>
  <c r="B495" i="2"/>
  <c r="A495" i="2"/>
  <c r="A496" i="2" a="1"/>
  <c r="C496" i="2" l="1"/>
  <c r="B496" i="2"/>
  <c r="A496" i="2"/>
  <c r="A497" i="2" a="1"/>
  <c r="C497" i="2" l="1"/>
  <c r="B497" i="2"/>
  <c r="A497" i="2"/>
  <c r="A498" i="2" a="1"/>
  <c r="C498" i="2" l="1"/>
  <c r="B498" i="2"/>
  <c r="A498" i="2"/>
  <c r="A499" i="2" a="1"/>
  <c r="C499" i="2" l="1"/>
  <c r="B499" i="2"/>
  <c r="A499" i="2"/>
  <c r="A500" i="2" a="1"/>
  <c r="C500" i="2" l="1"/>
  <c r="B500" i="2"/>
  <c r="A500" i="2"/>
  <c r="A501" i="2" a="1"/>
  <c r="C501" i="2" l="1"/>
  <c r="B501" i="2"/>
  <c r="A501" i="2"/>
  <c r="A502" i="2" a="1"/>
  <c r="C502" i="2" l="1"/>
  <c r="B502" i="2"/>
  <c r="A502" i="2"/>
  <c r="A503" i="2" a="1"/>
  <c r="C503" i="2" l="1"/>
  <c r="B503" i="2"/>
  <c r="A503" i="2"/>
  <c r="A504" i="2" a="1"/>
  <c r="C504" i="2" l="1"/>
  <c r="B504" i="2"/>
  <c r="A504" i="2"/>
  <c r="A505" i="2" a="1"/>
  <c r="C505" i="2" l="1"/>
  <c r="B505" i="2"/>
  <c r="A505" i="2"/>
  <c r="A506" i="2" a="1"/>
  <c r="C506" i="2" l="1"/>
  <c r="B506" i="2"/>
  <c r="A506" i="2"/>
  <c r="A507" i="2" a="1"/>
  <c r="C507" i="2" l="1"/>
  <c r="B507" i="2"/>
  <c r="A507" i="2"/>
  <c r="A508" i="2" a="1"/>
  <c r="C508" i="2" l="1"/>
  <c r="B508" i="2"/>
  <c r="A508" i="2"/>
  <c r="A509" i="2" a="1"/>
  <c r="C509" i="2" l="1"/>
  <c r="B509" i="2"/>
  <c r="A509" i="2"/>
  <c r="A510" i="2" a="1"/>
  <c r="C510" i="2" l="1"/>
  <c r="B510" i="2"/>
  <c r="A510" i="2"/>
  <c r="B13" i="3"/>
  <c r="C13" i="3"/>
  <c r="D13" i="3"/>
  <c r="E13" i="3"/>
  <c r="B14" i="3"/>
  <c r="C14" i="3"/>
  <c r="D14" i="3"/>
  <c r="E14" i="3"/>
  <c r="B15" i="3"/>
  <c r="C15" i="3"/>
  <c r="D15" i="3"/>
  <c r="E15" i="3"/>
  <c r="B16" i="3"/>
  <c r="C16" i="3"/>
  <c r="D16" i="3"/>
  <c r="E16" i="3"/>
  <c r="B17" i="3"/>
  <c r="C17" i="3"/>
  <c r="D17" i="3"/>
  <c r="E17" i="3"/>
  <c r="B18" i="3"/>
  <c r="C18" i="3"/>
  <c r="D18" i="3"/>
  <c r="E18" i="3"/>
  <c r="B19" i="3"/>
  <c r="C19" i="3"/>
  <c r="D19" i="3"/>
  <c r="E19" i="3"/>
  <c r="B20" i="3"/>
  <c r="C20" i="3"/>
  <c r="D20" i="3"/>
  <c r="E20" i="3"/>
  <c r="B21" i="3"/>
  <c r="C21" i="3"/>
  <c r="D21" i="3"/>
  <c r="E21" i="3"/>
  <c r="B22" i="3"/>
  <c r="C22" i="3"/>
  <c r="D22" i="3"/>
  <c r="E22" i="3"/>
  <c r="B23" i="3"/>
  <c r="C23" i="3"/>
  <c r="D23" i="3"/>
  <c r="E23" i="3"/>
  <c r="B24" i="3"/>
  <c r="C24" i="3"/>
  <c r="D24" i="3"/>
  <c r="E24" i="3"/>
  <c r="B25" i="3"/>
  <c r="C25" i="3"/>
  <c r="D25" i="3"/>
  <c r="E25" i="3"/>
  <c r="B26" i="3"/>
  <c r="C26" i="3"/>
  <c r="D26" i="3"/>
  <c r="E26" i="3"/>
  <c r="B27" i="3"/>
  <c r="C27" i="3"/>
  <c r="D27" i="3"/>
  <c r="E27" i="3"/>
  <c r="B28" i="3"/>
  <c r="C28" i="3"/>
  <c r="D28" i="3"/>
  <c r="E28" i="3"/>
  <c r="B29" i="3"/>
  <c r="C29" i="3"/>
  <c r="D29" i="3"/>
  <c r="E29" i="3"/>
  <c r="B30" i="3"/>
  <c r="C30" i="3"/>
  <c r="D30" i="3"/>
  <c r="E30" i="3"/>
  <c r="B31" i="3"/>
  <c r="C31" i="3"/>
  <c r="D31" i="3"/>
  <c r="E31" i="3"/>
  <c r="B32" i="3"/>
  <c r="C32" i="3"/>
  <c r="D32" i="3"/>
  <c r="E32" i="3"/>
  <c r="B33" i="3"/>
  <c r="C33" i="3"/>
  <c r="D33" i="3"/>
  <c r="E33" i="3"/>
  <c r="B34" i="3"/>
  <c r="C34" i="3"/>
  <c r="D34" i="3"/>
  <c r="E34" i="3"/>
  <c r="B35" i="3"/>
  <c r="C35" i="3"/>
  <c r="D35" i="3"/>
  <c r="E35" i="3"/>
  <c r="B36" i="3"/>
  <c r="C36" i="3"/>
  <c r="D36" i="3"/>
  <c r="E36" i="3"/>
  <c r="B37" i="3"/>
  <c r="C37" i="3"/>
  <c r="D37" i="3"/>
  <c r="E37" i="3"/>
  <c r="B38" i="3"/>
  <c r="C38" i="3"/>
  <c r="D38" i="3"/>
  <c r="E38" i="3"/>
  <c r="B39" i="3"/>
  <c r="C39" i="3"/>
  <c r="D39" i="3"/>
  <c r="E39" i="3"/>
  <c r="B40" i="3"/>
  <c r="C40" i="3"/>
  <c r="D40" i="3"/>
  <c r="E40" i="3"/>
  <c r="B41" i="3"/>
  <c r="C41" i="3"/>
  <c r="D41" i="3"/>
  <c r="E41" i="3"/>
  <c r="B42" i="3"/>
  <c r="C42" i="3"/>
  <c r="D42" i="3"/>
  <c r="E42" i="3"/>
  <c r="B43" i="3"/>
  <c r="C43" i="3"/>
  <c r="D43" i="3"/>
  <c r="E43" i="3"/>
  <c r="B44" i="3"/>
  <c r="C44" i="3"/>
  <c r="D44" i="3"/>
  <c r="E44" i="3"/>
  <c r="B45" i="3"/>
  <c r="C45" i="3"/>
  <c r="D45" i="3"/>
  <c r="E45" i="3"/>
  <c r="B46" i="3"/>
  <c r="C46" i="3"/>
  <c r="D46" i="3"/>
  <c r="E46" i="3"/>
  <c r="B47" i="3"/>
  <c r="C47" i="3"/>
  <c r="D47" i="3"/>
  <c r="E47" i="3"/>
  <c r="B48" i="3"/>
  <c r="C48" i="3"/>
  <c r="D48" i="3"/>
  <c r="E48" i="3"/>
  <c r="B49" i="3"/>
  <c r="C49" i="3"/>
  <c r="D49" i="3"/>
  <c r="E49" i="3"/>
  <c r="B50" i="3"/>
  <c r="C50" i="3"/>
  <c r="D50" i="3"/>
  <c r="E50" i="3"/>
  <c r="B51" i="3"/>
  <c r="C51" i="3"/>
  <c r="D51" i="3"/>
  <c r="E51" i="3"/>
  <c r="B52" i="3"/>
  <c r="C52" i="3"/>
  <c r="D52" i="3"/>
  <c r="E52" i="3"/>
  <c r="B53" i="3"/>
  <c r="C53" i="3"/>
  <c r="D53" i="3"/>
  <c r="E53" i="3"/>
  <c r="B54" i="3"/>
  <c r="C54" i="3"/>
  <c r="D54" i="3"/>
  <c r="E54" i="3"/>
  <c r="B55" i="3"/>
  <c r="C55" i="3"/>
  <c r="D55" i="3"/>
  <c r="E55" i="3"/>
  <c r="B56" i="3"/>
  <c r="C56" i="3"/>
  <c r="D56" i="3"/>
  <c r="E56" i="3"/>
  <c r="B57" i="3"/>
  <c r="C57" i="3"/>
  <c r="D57" i="3"/>
  <c r="E57" i="3"/>
  <c r="B58" i="3"/>
  <c r="C58" i="3"/>
  <c r="D58" i="3"/>
  <c r="E58" i="3"/>
  <c r="B59" i="3"/>
  <c r="C59" i="3"/>
  <c r="D59" i="3"/>
  <c r="E59" i="3"/>
  <c r="B60" i="3"/>
  <c r="C60" i="3"/>
  <c r="D60" i="3"/>
  <c r="E60" i="3"/>
  <c r="B61" i="3"/>
  <c r="C61" i="3"/>
  <c r="D61" i="3"/>
  <c r="E61" i="3"/>
  <c r="B62" i="3"/>
  <c r="C62" i="3"/>
  <c r="D62" i="3"/>
  <c r="E62" i="3"/>
  <c r="B63" i="3"/>
  <c r="C63" i="3"/>
  <c r="D63" i="3"/>
  <c r="E63" i="3"/>
  <c r="B64" i="3"/>
  <c r="C64" i="3"/>
  <c r="D64" i="3"/>
  <c r="E64" i="3"/>
  <c r="B65" i="3"/>
  <c r="C65" i="3"/>
  <c r="D65" i="3"/>
  <c r="E65" i="3"/>
  <c r="B66" i="3"/>
  <c r="C66" i="3"/>
  <c r="D66" i="3"/>
  <c r="E66" i="3"/>
  <c r="B67" i="3"/>
  <c r="C67" i="3"/>
  <c r="D67" i="3"/>
  <c r="E67" i="3"/>
  <c r="B68" i="3"/>
  <c r="C68" i="3"/>
  <c r="D68" i="3"/>
  <c r="E68" i="3"/>
  <c r="B69" i="3"/>
  <c r="C69" i="3"/>
  <c r="D69" i="3"/>
  <c r="E69" i="3"/>
  <c r="B70" i="3"/>
  <c r="C70" i="3"/>
  <c r="D70" i="3"/>
  <c r="E70" i="3"/>
  <c r="B71" i="3"/>
  <c r="C71" i="3"/>
  <c r="D71" i="3"/>
  <c r="E71" i="3"/>
  <c r="B72" i="3"/>
  <c r="C72" i="3"/>
  <c r="D72" i="3"/>
  <c r="E72" i="3"/>
  <c r="B73" i="3"/>
  <c r="C73" i="3"/>
  <c r="D73" i="3"/>
  <c r="E73" i="3"/>
  <c r="B74" i="3"/>
  <c r="C74" i="3"/>
  <c r="D74" i="3"/>
  <c r="E74" i="3"/>
  <c r="B75" i="3"/>
  <c r="C75" i="3"/>
  <c r="D75" i="3"/>
  <c r="E75" i="3"/>
  <c r="B76" i="3"/>
  <c r="C76" i="3"/>
  <c r="D76" i="3"/>
  <c r="E76" i="3"/>
  <c r="B77" i="3"/>
  <c r="C77" i="3"/>
  <c r="D77" i="3"/>
  <c r="E77" i="3"/>
  <c r="B78" i="3"/>
  <c r="C78" i="3"/>
  <c r="D78" i="3"/>
  <c r="E78" i="3"/>
  <c r="B79" i="3"/>
  <c r="C79" i="3"/>
  <c r="D79" i="3"/>
  <c r="E79" i="3"/>
  <c r="B80" i="3"/>
  <c r="C80" i="3"/>
  <c r="D80" i="3"/>
  <c r="E80" i="3"/>
  <c r="B81" i="3"/>
  <c r="C81" i="3"/>
  <c r="D81" i="3"/>
  <c r="E81" i="3"/>
  <c r="B82" i="3"/>
  <c r="C82" i="3"/>
  <c r="D82" i="3"/>
  <c r="E82" i="3"/>
  <c r="B83" i="3"/>
  <c r="C83" i="3"/>
  <c r="D83" i="3"/>
  <c r="E83" i="3"/>
  <c r="B84" i="3"/>
  <c r="C84" i="3"/>
  <c r="D84" i="3"/>
  <c r="E84" i="3"/>
  <c r="B85" i="3"/>
  <c r="C85" i="3"/>
  <c r="D85" i="3"/>
  <c r="E85" i="3"/>
  <c r="B86" i="3"/>
  <c r="C86" i="3"/>
  <c r="D86" i="3"/>
  <c r="E86" i="3"/>
  <c r="B87" i="3"/>
  <c r="C87" i="3"/>
  <c r="D87" i="3"/>
  <c r="E87" i="3"/>
  <c r="B88" i="3"/>
  <c r="C88" i="3"/>
  <c r="D88" i="3"/>
  <c r="E88" i="3"/>
  <c r="B89" i="3"/>
  <c r="C89" i="3"/>
  <c r="D89" i="3"/>
  <c r="E89" i="3"/>
  <c r="B90" i="3"/>
  <c r="C90" i="3"/>
  <c r="D90" i="3"/>
  <c r="E90" i="3"/>
  <c r="B91" i="3"/>
  <c r="C91" i="3"/>
  <c r="D91" i="3"/>
  <c r="E91" i="3"/>
  <c r="B92" i="3"/>
  <c r="C92" i="3"/>
  <c r="D92" i="3"/>
  <c r="E92" i="3"/>
  <c r="B93" i="3"/>
  <c r="C93" i="3"/>
  <c r="D93" i="3"/>
  <c r="E93" i="3"/>
  <c r="B94" i="3"/>
  <c r="C94" i="3"/>
  <c r="D94" i="3"/>
  <c r="E94" i="3"/>
  <c r="B95" i="3"/>
  <c r="C95" i="3"/>
  <c r="D95" i="3"/>
  <c r="E95" i="3"/>
  <c r="B96" i="3"/>
  <c r="C96" i="3"/>
  <c r="D96" i="3"/>
  <c r="E96" i="3"/>
  <c r="B97" i="3"/>
  <c r="C97" i="3"/>
  <c r="D97" i="3"/>
  <c r="E97" i="3"/>
  <c r="B98" i="3"/>
  <c r="C98" i="3"/>
  <c r="D98" i="3"/>
  <c r="E98" i="3"/>
  <c r="B99" i="3"/>
  <c r="C99" i="3"/>
  <c r="D99" i="3"/>
  <c r="E99" i="3"/>
  <c r="B100" i="3"/>
  <c r="C100" i="3"/>
  <c r="D100" i="3"/>
  <c r="E100" i="3"/>
  <c r="B101" i="3"/>
  <c r="C101" i="3"/>
  <c r="D101" i="3"/>
  <c r="E101" i="3"/>
  <c r="B102" i="3"/>
  <c r="C102" i="3"/>
  <c r="D102" i="3"/>
  <c r="E102" i="3"/>
  <c r="B103" i="3"/>
  <c r="C103" i="3"/>
  <c r="D103" i="3"/>
  <c r="E103" i="3"/>
  <c r="B104" i="3"/>
  <c r="C104" i="3"/>
  <c r="D104" i="3"/>
  <c r="E104" i="3"/>
  <c r="B105" i="3"/>
  <c r="C105" i="3"/>
  <c r="D105" i="3"/>
  <c r="E105" i="3"/>
  <c r="B106" i="3"/>
  <c r="C106" i="3"/>
  <c r="D106" i="3"/>
  <c r="E106" i="3"/>
  <c r="B107" i="3"/>
  <c r="C107" i="3"/>
  <c r="D107" i="3"/>
  <c r="E107" i="3"/>
  <c r="B108" i="3"/>
  <c r="C108" i="3"/>
  <c r="D108" i="3"/>
  <c r="E108" i="3"/>
  <c r="B109" i="3"/>
  <c r="C109" i="3"/>
  <c r="D109" i="3"/>
  <c r="E109" i="3"/>
  <c r="B110" i="3"/>
  <c r="C110" i="3"/>
  <c r="D110" i="3"/>
  <c r="E110" i="3"/>
  <c r="B111" i="3"/>
  <c r="C111" i="3"/>
  <c r="D111" i="3"/>
  <c r="E111" i="3"/>
  <c r="B112" i="3"/>
  <c r="C112" i="3"/>
  <c r="D112" i="3"/>
  <c r="E112" i="3"/>
  <c r="B113" i="3"/>
  <c r="C113" i="3"/>
  <c r="D113" i="3"/>
  <c r="E113" i="3"/>
  <c r="B114" i="3"/>
  <c r="C114" i="3"/>
  <c r="D114" i="3"/>
  <c r="E114" i="3"/>
  <c r="B115" i="3"/>
  <c r="C115" i="3"/>
  <c r="D115" i="3"/>
  <c r="E115" i="3"/>
  <c r="B116" i="3"/>
  <c r="C116" i="3"/>
  <c r="D116" i="3"/>
  <c r="E116" i="3"/>
  <c r="B117" i="3"/>
  <c r="C117" i="3"/>
  <c r="D117" i="3"/>
  <c r="E117" i="3"/>
  <c r="B118" i="3"/>
  <c r="C118" i="3"/>
  <c r="D118" i="3"/>
  <c r="E118" i="3"/>
  <c r="B119" i="3"/>
  <c r="C119" i="3"/>
  <c r="D119" i="3"/>
  <c r="E119" i="3"/>
  <c r="B120" i="3"/>
  <c r="C120" i="3"/>
  <c r="D120" i="3"/>
  <c r="E120" i="3"/>
  <c r="B121" i="3"/>
  <c r="C121" i="3"/>
  <c r="D121" i="3"/>
  <c r="E121" i="3"/>
  <c r="B122" i="3"/>
  <c r="C122" i="3"/>
  <c r="D122" i="3"/>
  <c r="E122" i="3"/>
  <c r="B123" i="3"/>
  <c r="C123" i="3"/>
  <c r="D123" i="3"/>
  <c r="E123" i="3"/>
  <c r="B124" i="3"/>
  <c r="C124" i="3"/>
  <c r="D124" i="3"/>
  <c r="E124" i="3"/>
  <c r="B125" i="3"/>
  <c r="C125" i="3"/>
  <c r="D125" i="3"/>
  <c r="E125" i="3"/>
  <c r="B126" i="3"/>
  <c r="C126" i="3"/>
  <c r="D126" i="3"/>
  <c r="E126" i="3"/>
  <c r="B127" i="3"/>
  <c r="C127" i="3"/>
  <c r="D127" i="3"/>
  <c r="E127" i="3"/>
  <c r="B128" i="3"/>
  <c r="C128" i="3"/>
  <c r="D128" i="3"/>
  <c r="E128" i="3"/>
  <c r="B129" i="3"/>
  <c r="C129" i="3"/>
  <c r="D129" i="3"/>
  <c r="E129" i="3"/>
  <c r="B130" i="3"/>
  <c r="C130" i="3"/>
  <c r="D130" i="3"/>
  <c r="E130" i="3"/>
  <c r="B131" i="3"/>
  <c r="C131" i="3"/>
  <c r="D131" i="3"/>
  <c r="E131" i="3"/>
  <c r="B132" i="3"/>
  <c r="C132" i="3"/>
  <c r="D132" i="3"/>
  <c r="E132" i="3"/>
  <c r="B133" i="3"/>
  <c r="C133" i="3"/>
  <c r="D133" i="3"/>
  <c r="E133" i="3"/>
  <c r="B134" i="3"/>
  <c r="C134" i="3"/>
  <c r="D134" i="3"/>
  <c r="E134" i="3"/>
  <c r="B135" i="3"/>
  <c r="C135" i="3"/>
  <c r="D135" i="3"/>
  <c r="E135" i="3"/>
  <c r="B136" i="3"/>
  <c r="C136" i="3"/>
  <c r="D136" i="3"/>
  <c r="E136" i="3"/>
  <c r="B137" i="3"/>
  <c r="C137" i="3"/>
  <c r="D137" i="3"/>
  <c r="E137" i="3"/>
  <c r="B138" i="3"/>
  <c r="C138" i="3"/>
  <c r="D138" i="3"/>
  <c r="E138" i="3"/>
  <c r="B139" i="3"/>
  <c r="C139" i="3"/>
  <c r="D139" i="3"/>
  <c r="E139" i="3"/>
  <c r="B140" i="3"/>
  <c r="C140" i="3"/>
  <c r="D140" i="3"/>
  <c r="E140" i="3"/>
  <c r="B141" i="3"/>
  <c r="C141" i="3"/>
  <c r="D141" i="3"/>
  <c r="E141" i="3"/>
  <c r="B142" i="3"/>
  <c r="C142" i="3"/>
  <c r="D142" i="3"/>
  <c r="E142" i="3"/>
  <c r="B143" i="3"/>
  <c r="C143" i="3"/>
  <c r="D143" i="3"/>
  <c r="E143" i="3"/>
  <c r="B144" i="3"/>
  <c r="C144" i="3"/>
  <c r="D144" i="3"/>
  <c r="E144" i="3"/>
  <c r="B145" i="3"/>
  <c r="C145" i="3"/>
  <c r="D145" i="3"/>
  <c r="E145" i="3"/>
  <c r="B146" i="3"/>
  <c r="C146" i="3"/>
  <c r="D146" i="3"/>
  <c r="E146" i="3"/>
  <c r="B147" i="3"/>
  <c r="C147" i="3"/>
  <c r="D147" i="3"/>
  <c r="E147" i="3"/>
  <c r="B148" i="3"/>
  <c r="C148" i="3"/>
  <c r="D148" i="3"/>
  <c r="E148" i="3"/>
  <c r="B149" i="3"/>
  <c r="C149" i="3"/>
  <c r="D149" i="3"/>
  <c r="E149" i="3"/>
  <c r="B150" i="3"/>
  <c r="C150" i="3"/>
  <c r="D150" i="3"/>
  <c r="E150" i="3"/>
  <c r="B151" i="3"/>
  <c r="C151" i="3"/>
  <c r="D151" i="3"/>
  <c r="E151" i="3"/>
  <c r="B152" i="3"/>
  <c r="C152" i="3"/>
  <c r="D152" i="3"/>
  <c r="E152" i="3"/>
  <c r="B153" i="3"/>
  <c r="C153" i="3"/>
  <c r="D153" i="3"/>
  <c r="E153" i="3"/>
  <c r="B154" i="3"/>
  <c r="C154" i="3"/>
  <c r="D154" i="3"/>
  <c r="E154" i="3"/>
  <c r="B155" i="3"/>
  <c r="C155" i="3"/>
  <c r="D155" i="3"/>
  <c r="E155" i="3"/>
  <c r="B156" i="3"/>
  <c r="C156" i="3"/>
  <c r="D156" i="3"/>
  <c r="E156" i="3"/>
  <c r="B157" i="3"/>
  <c r="C157" i="3"/>
  <c r="D157" i="3"/>
  <c r="E157" i="3"/>
  <c r="B158" i="3"/>
  <c r="C158" i="3"/>
  <c r="D158" i="3"/>
  <c r="E158" i="3"/>
  <c r="B159" i="3"/>
  <c r="C159" i="3"/>
  <c r="D159" i="3"/>
  <c r="E159" i="3"/>
  <c r="B160" i="3"/>
  <c r="C160" i="3"/>
  <c r="D160" i="3"/>
  <c r="E160" i="3"/>
  <c r="B161" i="3"/>
  <c r="C161" i="3"/>
  <c r="D161" i="3"/>
  <c r="E161" i="3"/>
  <c r="B162" i="3"/>
  <c r="C162" i="3"/>
  <c r="D162" i="3"/>
  <c r="E162" i="3"/>
  <c r="B163" i="3"/>
  <c r="C163" i="3"/>
  <c r="D163" i="3"/>
  <c r="E163" i="3"/>
  <c r="B164" i="3"/>
  <c r="C164" i="3"/>
  <c r="D164" i="3"/>
  <c r="E164" i="3"/>
  <c r="B165" i="3"/>
  <c r="C165" i="3"/>
  <c r="D165" i="3"/>
  <c r="E165" i="3"/>
  <c r="B166" i="3"/>
  <c r="C166" i="3"/>
  <c r="D166" i="3"/>
  <c r="E166" i="3"/>
  <c r="B167" i="3"/>
  <c r="C167" i="3"/>
  <c r="D167" i="3"/>
  <c r="E167" i="3"/>
  <c r="B168" i="3"/>
  <c r="C168" i="3"/>
  <c r="D168" i="3"/>
  <c r="E168" i="3"/>
  <c r="B169" i="3"/>
  <c r="C169" i="3"/>
  <c r="D169" i="3"/>
  <c r="E169" i="3"/>
  <c r="B170" i="3"/>
  <c r="C170" i="3"/>
  <c r="D170" i="3"/>
  <c r="E170" i="3"/>
  <c r="B171" i="3"/>
  <c r="C171" i="3"/>
  <c r="D171" i="3"/>
  <c r="E171" i="3"/>
  <c r="B172" i="3"/>
  <c r="C172" i="3"/>
  <c r="D172" i="3"/>
  <c r="E172" i="3"/>
  <c r="B173" i="3"/>
  <c r="C173" i="3"/>
  <c r="D173" i="3"/>
  <c r="E173" i="3"/>
  <c r="B174" i="3"/>
  <c r="C174" i="3"/>
  <c r="D174" i="3"/>
  <c r="E174" i="3"/>
  <c r="B175" i="3"/>
  <c r="C175" i="3"/>
  <c r="D175" i="3"/>
  <c r="E175" i="3"/>
  <c r="B176" i="3"/>
  <c r="C176" i="3"/>
  <c r="D176" i="3"/>
  <c r="E176" i="3"/>
  <c r="B177" i="3"/>
  <c r="C177" i="3"/>
  <c r="D177" i="3"/>
  <c r="E177" i="3"/>
  <c r="B178" i="3"/>
  <c r="C178" i="3"/>
  <c r="D178" i="3"/>
  <c r="E178" i="3"/>
  <c r="B179" i="3"/>
  <c r="C179" i="3"/>
  <c r="D179" i="3"/>
  <c r="E179" i="3"/>
  <c r="B180" i="3"/>
  <c r="C180" i="3"/>
  <c r="D180" i="3"/>
  <c r="E180" i="3"/>
  <c r="B181" i="3"/>
  <c r="C181" i="3"/>
  <c r="D181" i="3"/>
  <c r="E181" i="3"/>
  <c r="B182" i="3"/>
  <c r="C182" i="3"/>
  <c r="D182" i="3"/>
  <c r="E182" i="3"/>
  <c r="B183" i="3"/>
  <c r="C183" i="3"/>
  <c r="D183" i="3"/>
  <c r="E183" i="3"/>
  <c r="B184" i="3"/>
  <c r="C184" i="3"/>
  <c r="D184" i="3"/>
  <c r="E184" i="3"/>
  <c r="B185" i="3"/>
  <c r="C185" i="3"/>
  <c r="D185" i="3"/>
  <c r="E185" i="3"/>
  <c r="B186" i="3"/>
  <c r="C186" i="3"/>
  <c r="D186" i="3"/>
  <c r="E186" i="3"/>
  <c r="B187" i="3"/>
  <c r="C187" i="3"/>
  <c r="D187" i="3"/>
  <c r="E187" i="3"/>
  <c r="B188" i="3"/>
  <c r="C188" i="3"/>
  <c r="D188" i="3"/>
  <c r="E188" i="3"/>
  <c r="B189" i="3"/>
  <c r="C189" i="3"/>
  <c r="D189" i="3"/>
  <c r="E189" i="3"/>
  <c r="B190" i="3"/>
  <c r="C190" i="3"/>
  <c r="D190" i="3"/>
  <c r="E190" i="3"/>
  <c r="B191" i="3"/>
  <c r="C191" i="3"/>
  <c r="D191" i="3"/>
  <c r="E191" i="3"/>
  <c r="B192" i="3"/>
  <c r="C192" i="3"/>
  <c r="D192" i="3"/>
  <c r="E192" i="3"/>
  <c r="B193" i="3"/>
  <c r="C193" i="3"/>
  <c r="D193" i="3"/>
  <c r="E193" i="3"/>
  <c r="B194" i="3"/>
  <c r="C194" i="3"/>
  <c r="D194" i="3"/>
  <c r="E194" i="3"/>
  <c r="B195" i="3"/>
  <c r="C195" i="3"/>
  <c r="D195" i="3"/>
  <c r="E195" i="3"/>
  <c r="B196" i="3"/>
  <c r="C196" i="3"/>
  <c r="D196" i="3"/>
  <c r="E196" i="3"/>
  <c r="B197" i="3"/>
  <c r="C197" i="3"/>
  <c r="D197" i="3"/>
  <c r="E197" i="3"/>
  <c r="B198" i="3"/>
  <c r="C198" i="3"/>
  <c r="D198" i="3"/>
  <c r="E198" i="3"/>
  <c r="B199" i="3"/>
  <c r="C199" i="3"/>
  <c r="D199" i="3"/>
  <c r="E199" i="3"/>
  <c r="B200" i="3"/>
  <c r="C200" i="3"/>
  <c r="D200" i="3"/>
  <c r="E200" i="3"/>
  <c r="B201" i="3"/>
  <c r="C201" i="3"/>
  <c r="D201" i="3"/>
  <c r="E201" i="3"/>
  <c r="B202" i="3"/>
  <c r="C202" i="3"/>
  <c r="D202" i="3"/>
  <c r="E202" i="3"/>
  <c r="B203" i="3"/>
  <c r="C203" i="3"/>
  <c r="D203" i="3"/>
  <c r="E203" i="3"/>
  <c r="B204" i="3"/>
  <c r="C204" i="3"/>
  <c r="D204" i="3"/>
  <c r="E204" i="3"/>
  <c r="B205" i="3"/>
  <c r="C205" i="3"/>
  <c r="D205" i="3"/>
  <c r="E205" i="3"/>
  <c r="B206" i="3"/>
  <c r="C206" i="3"/>
  <c r="D206" i="3"/>
  <c r="E206" i="3"/>
  <c r="B207" i="3"/>
  <c r="C207" i="3"/>
  <c r="D207" i="3"/>
  <c r="E207" i="3"/>
  <c r="B208" i="3"/>
  <c r="C208" i="3"/>
  <c r="D208" i="3"/>
  <c r="E208" i="3"/>
  <c r="B209" i="3"/>
  <c r="C209" i="3"/>
  <c r="D209" i="3"/>
  <c r="E209" i="3"/>
  <c r="B210" i="3"/>
  <c r="C210" i="3"/>
  <c r="D210" i="3"/>
  <c r="E210" i="3"/>
  <c r="B211" i="3"/>
  <c r="C211" i="3"/>
  <c r="D211" i="3"/>
  <c r="E211" i="3"/>
  <c r="B212" i="3"/>
  <c r="C212" i="3"/>
  <c r="D212" i="3"/>
  <c r="E212" i="3"/>
  <c r="B213" i="3"/>
  <c r="C213" i="3"/>
  <c r="D213" i="3"/>
  <c r="E213" i="3"/>
  <c r="B214" i="3"/>
  <c r="C214" i="3"/>
  <c r="D214" i="3"/>
  <c r="E214" i="3"/>
  <c r="B215" i="3"/>
  <c r="C215" i="3"/>
  <c r="D215" i="3"/>
  <c r="E215" i="3"/>
  <c r="B216" i="3"/>
  <c r="C216" i="3"/>
  <c r="D216" i="3"/>
  <c r="E216" i="3"/>
  <c r="B217" i="3"/>
  <c r="C217" i="3"/>
  <c r="D217" i="3"/>
  <c r="E217" i="3"/>
  <c r="B218" i="3"/>
  <c r="C218" i="3"/>
  <c r="D218" i="3"/>
  <c r="E218" i="3"/>
  <c r="B219" i="3"/>
  <c r="C219" i="3"/>
  <c r="D219" i="3"/>
  <c r="E219" i="3"/>
  <c r="B220" i="3"/>
  <c r="C220" i="3"/>
  <c r="D220" i="3"/>
  <c r="E220" i="3"/>
  <c r="B221" i="3"/>
  <c r="C221" i="3"/>
  <c r="D221" i="3"/>
  <c r="E221" i="3"/>
  <c r="B222" i="3"/>
  <c r="C222" i="3"/>
  <c r="D222" i="3"/>
  <c r="E222" i="3"/>
  <c r="B223" i="3"/>
  <c r="C223" i="3"/>
  <c r="D223" i="3"/>
  <c r="E223" i="3"/>
  <c r="B224" i="3"/>
  <c r="C224" i="3"/>
  <c r="D224" i="3"/>
  <c r="E224" i="3"/>
  <c r="B225" i="3"/>
  <c r="C225" i="3"/>
  <c r="D225" i="3"/>
  <c r="E225" i="3"/>
  <c r="B226" i="3"/>
  <c r="C226" i="3"/>
  <c r="D226" i="3"/>
  <c r="E226" i="3"/>
  <c r="B227" i="3"/>
  <c r="C227" i="3"/>
  <c r="D227" i="3"/>
  <c r="E227" i="3"/>
  <c r="B228" i="3"/>
  <c r="C228" i="3"/>
  <c r="D228" i="3"/>
  <c r="E228" i="3"/>
  <c r="B229" i="3"/>
  <c r="C229" i="3"/>
  <c r="D229" i="3"/>
  <c r="E229" i="3"/>
  <c r="B230" i="3"/>
  <c r="C230" i="3"/>
  <c r="D230" i="3"/>
  <c r="E230" i="3"/>
  <c r="B231" i="3"/>
  <c r="C231" i="3"/>
  <c r="D231" i="3"/>
  <c r="E231" i="3"/>
  <c r="B232" i="3"/>
  <c r="C232" i="3"/>
  <c r="D232" i="3"/>
  <c r="E232" i="3"/>
  <c r="B233" i="3"/>
  <c r="C233" i="3"/>
  <c r="D233" i="3"/>
  <c r="E233" i="3"/>
  <c r="B234" i="3"/>
  <c r="C234" i="3"/>
  <c r="D234" i="3"/>
  <c r="E234" i="3"/>
  <c r="B235" i="3"/>
  <c r="C235" i="3"/>
  <c r="D235" i="3"/>
  <c r="E235" i="3"/>
  <c r="B236" i="3"/>
  <c r="C236" i="3"/>
  <c r="D236" i="3"/>
  <c r="E236" i="3"/>
  <c r="B237" i="3"/>
  <c r="C237" i="3"/>
  <c r="D237" i="3"/>
  <c r="E237" i="3"/>
  <c r="B238" i="3"/>
  <c r="C238" i="3"/>
  <c r="D238" i="3"/>
  <c r="E238" i="3"/>
  <c r="B239" i="3"/>
  <c r="C239" i="3"/>
  <c r="D239" i="3"/>
  <c r="E239" i="3"/>
  <c r="B240" i="3"/>
  <c r="C240" i="3"/>
  <c r="D240" i="3"/>
  <c r="E240" i="3"/>
  <c r="B241" i="3"/>
  <c r="C241" i="3"/>
  <c r="D241" i="3"/>
  <c r="E241" i="3"/>
  <c r="B242" i="3"/>
  <c r="C242" i="3"/>
  <c r="D242" i="3"/>
  <c r="E242" i="3"/>
  <c r="B243" i="3"/>
  <c r="C243" i="3"/>
  <c r="D243" i="3"/>
  <c r="E243" i="3"/>
  <c r="B244" i="3"/>
  <c r="C244" i="3"/>
  <c r="D244" i="3"/>
  <c r="E244" i="3"/>
  <c r="B245" i="3"/>
  <c r="C245" i="3"/>
  <c r="D245" i="3"/>
  <c r="E245" i="3"/>
  <c r="B246" i="3"/>
  <c r="C246" i="3"/>
  <c r="D246" i="3"/>
  <c r="E246" i="3"/>
  <c r="B247" i="3"/>
  <c r="C247" i="3"/>
  <c r="D247" i="3"/>
  <c r="E247" i="3"/>
  <c r="B248" i="3"/>
  <c r="C248" i="3"/>
  <c r="D248" i="3"/>
  <c r="E248" i="3"/>
  <c r="B249" i="3"/>
  <c r="C249" i="3"/>
  <c r="D249" i="3"/>
  <c r="E249" i="3"/>
  <c r="B250" i="3"/>
  <c r="C250" i="3"/>
  <c r="D250" i="3"/>
  <c r="E250" i="3"/>
  <c r="B251" i="3"/>
  <c r="C251" i="3"/>
  <c r="D251" i="3"/>
  <c r="E251" i="3"/>
  <c r="B252" i="3"/>
  <c r="C252" i="3"/>
  <c r="D252" i="3"/>
  <c r="E252" i="3"/>
  <c r="B253" i="3"/>
  <c r="C253" i="3"/>
  <c r="D253" i="3"/>
  <c r="E253" i="3"/>
  <c r="B254" i="3"/>
  <c r="C254" i="3"/>
  <c r="D254" i="3"/>
  <c r="E254" i="3"/>
  <c r="B255" i="3"/>
  <c r="C255" i="3"/>
  <c r="D255" i="3"/>
  <c r="E255" i="3"/>
  <c r="B256" i="3"/>
  <c r="C256" i="3"/>
  <c r="D256" i="3"/>
  <c r="E256" i="3"/>
  <c r="B257" i="3"/>
  <c r="C257" i="3"/>
  <c r="D257" i="3"/>
  <c r="E257" i="3"/>
  <c r="B258" i="3"/>
  <c r="C258" i="3"/>
  <c r="D258" i="3"/>
  <c r="E258" i="3"/>
  <c r="B259" i="3"/>
  <c r="C259" i="3"/>
  <c r="D259" i="3"/>
  <c r="E259" i="3"/>
  <c r="B260" i="3"/>
  <c r="C260" i="3"/>
  <c r="D260" i="3"/>
  <c r="E260" i="3"/>
  <c r="B261" i="3"/>
  <c r="C261" i="3"/>
  <c r="D261" i="3"/>
  <c r="E261" i="3"/>
  <c r="B262" i="3"/>
  <c r="C262" i="3"/>
  <c r="D262" i="3"/>
  <c r="E262" i="3"/>
  <c r="B263" i="3"/>
  <c r="C263" i="3"/>
  <c r="D263" i="3"/>
  <c r="E263" i="3"/>
  <c r="B264" i="3"/>
  <c r="C264" i="3"/>
  <c r="D264" i="3"/>
  <c r="E264" i="3"/>
  <c r="B265" i="3"/>
  <c r="C265" i="3"/>
  <c r="D265" i="3"/>
  <c r="E265" i="3"/>
  <c r="B266" i="3"/>
  <c r="C266" i="3"/>
  <c r="D266" i="3"/>
  <c r="E266" i="3"/>
  <c r="B267" i="3"/>
  <c r="C267" i="3"/>
  <c r="D267" i="3"/>
  <c r="E267" i="3"/>
  <c r="B268" i="3"/>
  <c r="C268" i="3"/>
  <c r="D268" i="3"/>
  <c r="E268" i="3"/>
  <c r="B269" i="3"/>
  <c r="C269" i="3"/>
  <c r="D269" i="3"/>
  <c r="E269" i="3"/>
  <c r="B270" i="3"/>
  <c r="C270" i="3"/>
  <c r="D270" i="3"/>
  <c r="E270" i="3"/>
  <c r="B271" i="3"/>
  <c r="C271" i="3"/>
  <c r="D271" i="3"/>
  <c r="E271" i="3"/>
  <c r="B272" i="3"/>
  <c r="C272" i="3"/>
  <c r="D272" i="3"/>
  <c r="E272" i="3"/>
  <c r="B273" i="3"/>
  <c r="C273" i="3"/>
  <c r="D273" i="3"/>
  <c r="E273" i="3"/>
  <c r="B274" i="3"/>
  <c r="C274" i="3"/>
  <c r="D274" i="3"/>
  <c r="E274" i="3"/>
  <c r="B275" i="3"/>
  <c r="C275" i="3"/>
  <c r="D275" i="3"/>
  <c r="E275" i="3"/>
  <c r="B276" i="3"/>
  <c r="C276" i="3"/>
  <c r="D276" i="3"/>
  <c r="E276" i="3"/>
  <c r="B277" i="3"/>
  <c r="C277" i="3"/>
  <c r="D277" i="3"/>
  <c r="E277" i="3"/>
  <c r="B278" i="3"/>
  <c r="C278" i="3"/>
  <c r="D278" i="3"/>
  <c r="E278" i="3"/>
  <c r="B279" i="3"/>
  <c r="C279" i="3"/>
  <c r="D279" i="3"/>
  <c r="E279" i="3"/>
  <c r="B280" i="3"/>
  <c r="C280" i="3"/>
  <c r="D280" i="3"/>
  <c r="E280" i="3"/>
  <c r="B281" i="3"/>
  <c r="C281" i="3"/>
  <c r="D281" i="3"/>
  <c r="E281" i="3"/>
  <c r="B282" i="3"/>
  <c r="C282" i="3"/>
  <c r="D282" i="3"/>
  <c r="E282" i="3"/>
  <c r="B283" i="3"/>
  <c r="C283" i="3"/>
  <c r="D283" i="3"/>
  <c r="E283" i="3"/>
  <c r="B284" i="3"/>
  <c r="C284" i="3"/>
  <c r="D284" i="3"/>
  <c r="E284" i="3"/>
  <c r="B285" i="3"/>
  <c r="C285" i="3"/>
  <c r="D285" i="3"/>
  <c r="E285" i="3"/>
  <c r="B286" i="3"/>
  <c r="C286" i="3"/>
  <c r="D286" i="3"/>
  <c r="E286" i="3"/>
  <c r="B287" i="3"/>
  <c r="C287" i="3"/>
  <c r="D287" i="3"/>
  <c r="E287" i="3"/>
  <c r="B288" i="3"/>
  <c r="C288" i="3"/>
  <c r="D288" i="3"/>
  <c r="E288" i="3"/>
  <c r="B289" i="3"/>
  <c r="C289" i="3"/>
  <c r="D289" i="3"/>
  <c r="E289" i="3"/>
  <c r="B290" i="3"/>
  <c r="C290" i="3"/>
  <c r="D290" i="3"/>
  <c r="E290" i="3"/>
  <c r="B291" i="3"/>
  <c r="C291" i="3"/>
  <c r="D291" i="3"/>
  <c r="E291" i="3"/>
  <c r="B292" i="3"/>
  <c r="C292" i="3"/>
  <c r="D292" i="3"/>
  <c r="E292" i="3"/>
  <c r="B293" i="3"/>
  <c r="C293" i="3"/>
  <c r="D293" i="3"/>
  <c r="E293" i="3"/>
  <c r="B294" i="3"/>
  <c r="C294" i="3"/>
  <c r="D294" i="3"/>
  <c r="E294" i="3"/>
  <c r="B295" i="3"/>
  <c r="C295" i="3"/>
  <c r="D295" i="3"/>
  <c r="E295" i="3"/>
  <c r="B296" i="3"/>
  <c r="C296" i="3"/>
  <c r="D296" i="3"/>
  <c r="E296" i="3"/>
  <c r="B297" i="3"/>
  <c r="C297" i="3"/>
  <c r="D297" i="3"/>
  <c r="E297" i="3"/>
  <c r="B298" i="3"/>
  <c r="C298" i="3"/>
  <c r="D298" i="3"/>
  <c r="E298" i="3"/>
  <c r="B299" i="3"/>
  <c r="C299" i="3"/>
  <c r="D299" i="3"/>
  <c r="E299" i="3"/>
  <c r="B300" i="3"/>
  <c r="C300" i="3"/>
  <c r="D300" i="3"/>
  <c r="E300" i="3"/>
  <c r="B301" i="3"/>
  <c r="C301" i="3"/>
  <c r="D301" i="3"/>
  <c r="E301" i="3"/>
  <c r="B302" i="3"/>
  <c r="C302" i="3"/>
  <c r="D302" i="3"/>
  <c r="E302" i="3"/>
  <c r="B303" i="3"/>
  <c r="C303" i="3"/>
  <c r="D303" i="3"/>
  <c r="E303" i="3"/>
  <c r="B304" i="3"/>
  <c r="C304" i="3"/>
  <c r="D304" i="3"/>
  <c r="E304" i="3"/>
  <c r="B305" i="3"/>
  <c r="C305" i="3"/>
  <c r="D305" i="3"/>
  <c r="E305" i="3"/>
  <c r="B306" i="3"/>
  <c r="C306" i="3"/>
  <c r="D306" i="3"/>
  <c r="E306" i="3"/>
  <c r="B307" i="3"/>
  <c r="C307" i="3"/>
  <c r="D307" i="3"/>
  <c r="E307" i="3"/>
  <c r="B308" i="3"/>
  <c r="C308" i="3"/>
  <c r="D308" i="3"/>
  <c r="E308" i="3"/>
  <c r="B309" i="3"/>
  <c r="C309" i="3"/>
  <c r="D309" i="3"/>
  <c r="E309" i="3"/>
  <c r="B310" i="3"/>
  <c r="C310" i="3"/>
  <c r="D310" i="3"/>
  <c r="E310" i="3"/>
  <c r="B311" i="3"/>
  <c r="C311" i="3"/>
  <c r="D311" i="3"/>
  <c r="E311" i="3"/>
  <c r="B312" i="3"/>
  <c r="C312" i="3"/>
  <c r="D312" i="3"/>
  <c r="E312" i="3"/>
  <c r="B313" i="3"/>
  <c r="C313" i="3"/>
  <c r="D313" i="3"/>
  <c r="E313" i="3"/>
  <c r="B314" i="3"/>
  <c r="C314" i="3"/>
  <c r="D314" i="3"/>
  <c r="E314" i="3"/>
  <c r="B315" i="3"/>
  <c r="C315" i="3"/>
  <c r="D315" i="3"/>
  <c r="E315" i="3"/>
  <c r="B316" i="3"/>
  <c r="C316" i="3"/>
  <c r="D316" i="3"/>
  <c r="E316" i="3"/>
  <c r="B317" i="3"/>
  <c r="C317" i="3"/>
  <c r="D317" i="3"/>
  <c r="E317" i="3"/>
  <c r="B318" i="3"/>
  <c r="C318" i="3"/>
  <c r="D318" i="3"/>
  <c r="E318" i="3"/>
  <c r="B319" i="3"/>
  <c r="C319" i="3"/>
  <c r="D319" i="3"/>
  <c r="E319" i="3"/>
  <c r="B320" i="3"/>
  <c r="C320" i="3"/>
  <c r="D320" i="3"/>
  <c r="E320" i="3"/>
  <c r="B321" i="3"/>
  <c r="C321" i="3"/>
  <c r="D321" i="3"/>
  <c r="E321" i="3"/>
  <c r="B322" i="3"/>
  <c r="C322" i="3"/>
  <c r="D322" i="3"/>
  <c r="E322" i="3"/>
  <c r="B323" i="3"/>
  <c r="C323" i="3"/>
  <c r="D323" i="3"/>
  <c r="E323" i="3"/>
  <c r="B324" i="3"/>
  <c r="C324" i="3"/>
  <c r="D324" i="3"/>
  <c r="E324" i="3"/>
  <c r="B325" i="3"/>
  <c r="C325" i="3"/>
  <c r="D325" i="3"/>
  <c r="E325" i="3"/>
  <c r="B326" i="3"/>
  <c r="C326" i="3"/>
  <c r="D326" i="3"/>
  <c r="E326" i="3"/>
  <c r="B327" i="3"/>
  <c r="C327" i="3"/>
  <c r="D327" i="3"/>
  <c r="E327" i="3"/>
  <c r="B328" i="3"/>
  <c r="C328" i="3"/>
  <c r="D328" i="3"/>
  <c r="E328" i="3"/>
  <c r="B329" i="3"/>
  <c r="C329" i="3"/>
  <c r="D329" i="3"/>
  <c r="E329" i="3"/>
  <c r="B330" i="3"/>
  <c r="C330" i="3"/>
  <c r="D330" i="3"/>
  <c r="E330" i="3"/>
  <c r="B331" i="3"/>
  <c r="C331" i="3"/>
  <c r="D331" i="3"/>
  <c r="E331" i="3"/>
  <c r="B332" i="3"/>
  <c r="C332" i="3"/>
  <c r="D332" i="3"/>
  <c r="E332" i="3"/>
  <c r="B333" i="3"/>
  <c r="C333" i="3"/>
  <c r="D333" i="3"/>
  <c r="E333" i="3"/>
  <c r="B334" i="3"/>
  <c r="C334" i="3"/>
  <c r="D334" i="3"/>
  <c r="E334" i="3"/>
  <c r="B335" i="3"/>
  <c r="C335" i="3"/>
  <c r="D335" i="3"/>
  <c r="E335" i="3"/>
  <c r="B336" i="3"/>
  <c r="C336" i="3"/>
  <c r="D336" i="3"/>
  <c r="E336" i="3"/>
  <c r="B337" i="3"/>
  <c r="C337" i="3"/>
  <c r="D337" i="3"/>
  <c r="E337" i="3"/>
  <c r="B338" i="3"/>
  <c r="C338" i="3"/>
  <c r="D338" i="3"/>
  <c r="E338" i="3"/>
  <c r="B339" i="3"/>
  <c r="C339" i="3"/>
  <c r="D339" i="3"/>
  <c r="E339" i="3"/>
  <c r="B340" i="3"/>
  <c r="C340" i="3"/>
  <c r="D340" i="3"/>
  <c r="E340" i="3"/>
  <c r="B341" i="3"/>
  <c r="C341" i="3"/>
  <c r="D341" i="3"/>
  <c r="E341" i="3"/>
  <c r="B342" i="3"/>
  <c r="C342" i="3"/>
  <c r="D342" i="3"/>
  <c r="E342" i="3"/>
  <c r="B343" i="3"/>
  <c r="C343" i="3"/>
  <c r="D343" i="3"/>
  <c r="E343" i="3"/>
  <c r="B344" i="3"/>
  <c r="C344" i="3"/>
  <c r="D344" i="3"/>
  <c r="E344" i="3"/>
  <c r="B345" i="3"/>
  <c r="C345" i="3"/>
  <c r="D345" i="3"/>
  <c r="E345" i="3"/>
  <c r="B346" i="3"/>
  <c r="C346" i="3"/>
  <c r="D346" i="3"/>
  <c r="E346" i="3"/>
  <c r="B347" i="3"/>
  <c r="C347" i="3"/>
  <c r="D347" i="3"/>
  <c r="E347" i="3"/>
  <c r="B348" i="3"/>
  <c r="C348" i="3"/>
  <c r="D348" i="3"/>
  <c r="E348" i="3"/>
  <c r="B349" i="3"/>
  <c r="C349" i="3"/>
  <c r="D349" i="3"/>
  <c r="E349" i="3"/>
  <c r="B350" i="3"/>
  <c r="C350" i="3"/>
  <c r="D350" i="3"/>
  <c r="E350" i="3"/>
  <c r="B351" i="3"/>
  <c r="C351" i="3"/>
  <c r="D351" i="3"/>
  <c r="E351" i="3"/>
  <c r="B352" i="3"/>
  <c r="C352" i="3"/>
  <c r="D352" i="3"/>
  <c r="E352" i="3"/>
  <c r="B353" i="3"/>
  <c r="C353" i="3"/>
  <c r="D353" i="3"/>
  <c r="E353" i="3"/>
  <c r="B354" i="3"/>
  <c r="C354" i="3"/>
  <c r="D354" i="3"/>
  <c r="E354" i="3"/>
  <c r="B355" i="3"/>
  <c r="C355" i="3"/>
  <c r="D355" i="3"/>
  <c r="E355" i="3"/>
  <c r="B356" i="3"/>
  <c r="C356" i="3"/>
  <c r="D356" i="3"/>
  <c r="E356" i="3"/>
  <c r="B357" i="3"/>
  <c r="C357" i="3"/>
  <c r="D357" i="3"/>
  <c r="E357" i="3"/>
  <c r="B358" i="3"/>
  <c r="C358" i="3"/>
  <c r="D358" i="3"/>
  <c r="E358" i="3"/>
  <c r="B359" i="3"/>
  <c r="C359" i="3"/>
  <c r="D359" i="3"/>
  <c r="E359" i="3"/>
  <c r="B360" i="3"/>
  <c r="C360" i="3"/>
  <c r="D360" i="3"/>
  <c r="E360" i="3"/>
  <c r="B361" i="3"/>
  <c r="C361" i="3"/>
  <c r="D361" i="3"/>
  <c r="E361" i="3"/>
  <c r="B362" i="3"/>
  <c r="C362" i="3"/>
  <c r="D362" i="3"/>
  <c r="E362" i="3"/>
  <c r="B363" i="3"/>
  <c r="C363" i="3"/>
  <c r="D363" i="3"/>
  <c r="E363" i="3"/>
  <c r="B364" i="3"/>
  <c r="C364" i="3"/>
  <c r="D364" i="3"/>
  <c r="E364" i="3"/>
  <c r="B365" i="3"/>
  <c r="C365" i="3"/>
  <c r="D365" i="3"/>
  <c r="E365" i="3"/>
  <c r="B366" i="3"/>
  <c r="C366" i="3"/>
  <c r="D366" i="3"/>
  <c r="E366" i="3"/>
  <c r="B367" i="3"/>
  <c r="C367" i="3"/>
  <c r="D367" i="3"/>
  <c r="E367" i="3"/>
  <c r="B368" i="3"/>
  <c r="C368" i="3"/>
  <c r="D368" i="3"/>
  <c r="E368" i="3"/>
  <c r="B369" i="3"/>
  <c r="C369" i="3"/>
  <c r="D369" i="3"/>
  <c r="E369" i="3"/>
  <c r="B370" i="3"/>
  <c r="C370" i="3"/>
  <c r="D370" i="3"/>
  <c r="E370" i="3"/>
  <c r="B371" i="3"/>
  <c r="C371" i="3"/>
  <c r="D371" i="3"/>
  <c r="E371" i="3"/>
  <c r="B372" i="3"/>
  <c r="C372" i="3"/>
  <c r="D372" i="3"/>
  <c r="E372" i="3"/>
  <c r="B373" i="3"/>
  <c r="C373" i="3"/>
  <c r="D373" i="3"/>
  <c r="E373" i="3"/>
  <c r="B374" i="3"/>
  <c r="C374" i="3"/>
  <c r="D374" i="3"/>
  <c r="E374" i="3"/>
  <c r="B375" i="3"/>
  <c r="C375" i="3"/>
  <c r="D375" i="3"/>
  <c r="E375" i="3"/>
  <c r="B376" i="3"/>
  <c r="C376" i="3"/>
  <c r="D376" i="3"/>
  <c r="E376" i="3"/>
  <c r="B377" i="3"/>
  <c r="C377" i="3"/>
  <c r="D377" i="3"/>
  <c r="E377" i="3"/>
  <c r="B378" i="3"/>
  <c r="C378" i="3"/>
  <c r="D378" i="3"/>
  <c r="E378" i="3"/>
  <c r="B379" i="3"/>
  <c r="C379" i="3"/>
  <c r="D379" i="3"/>
  <c r="E379" i="3"/>
  <c r="B380" i="3"/>
  <c r="C380" i="3"/>
  <c r="D380" i="3"/>
  <c r="E380" i="3"/>
  <c r="B381" i="3"/>
  <c r="C381" i="3"/>
  <c r="D381" i="3"/>
  <c r="E381" i="3"/>
  <c r="B382" i="3"/>
  <c r="C382" i="3"/>
  <c r="D382" i="3"/>
  <c r="E382" i="3"/>
  <c r="B383" i="3"/>
  <c r="C383" i="3"/>
  <c r="D383" i="3"/>
  <c r="E383" i="3"/>
  <c r="B384" i="3"/>
  <c r="C384" i="3"/>
  <c r="D384" i="3"/>
  <c r="E384" i="3"/>
  <c r="B385" i="3"/>
  <c r="C385" i="3"/>
  <c r="D385" i="3"/>
  <c r="E385" i="3"/>
  <c r="B386" i="3"/>
  <c r="C386" i="3"/>
  <c r="D386" i="3"/>
  <c r="E386" i="3"/>
  <c r="B387" i="3"/>
  <c r="C387" i="3"/>
  <c r="D387" i="3"/>
  <c r="E387" i="3"/>
  <c r="B388" i="3"/>
  <c r="C388" i="3"/>
  <c r="D388" i="3"/>
  <c r="E388" i="3"/>
  <c r="B389" i="3"/>
  <c r="C389" i="3"/>
  <c r="D389" i="3"/>
  <c r="E389" i="3"/>
  <c r="B390" i="3"/>
  <c r="C390" i="3"/>
  <c r="D390" i="3"/>
  <c r="E390" i="3"/>
  <c r="B391" i="3"/>
  <c r="C391" i="3"/>
  <c r="D391" i="3"/>
  <c r="E391" i="3"/>
  <c r="B392" i="3"/>
  <c r="C392" i="3"/>
  <c r="D392" i="3"/>
  <c r="E392" i="3"/>
  <c r="B393" i="3"/>
  <c r="C393" i="3"/>
  <c r="D393" i="3"/>
  <c r="E393" i="3"/>
  <c r="B394" i="3"/>
  <c r="C394" i="3"/>
  <c r="D394" i="3"/>
  <c r="E394" i="3"/>
  <c r="B395" i="3"/>
  <c r="C395" i="3"/>
  <c r="D395" i="3"/>
  <c r="E395" i="3"/>
  <c r="B396" i="3"/>
  <c r="C396" i="3"/>
  <c r="D396" i="3"/>
  <c r="E396" i="3"/>
  <c r="B397" i="3"/>
  <c r="C397" i="3"/>
  <c r="D397" i="3"/>
  <c r="E397" i="3"/>
  <c r="B398" i="3"/>
  <c r="C398" i="3"/>
  <c r="D398" i="3"/>
  <c r="E398" i="3"/>
  <c r="B399" i="3"/>
  <c r="C399" i="3"/>
  <c r="D399" i="3"/>
  <c r="E399" i="3"/>
  <c r="B400" i="3"/>
  <c r="C400" i="3"/>
  <c r="D400" i="3"/>
  <c r="E400" i="3"/>
  <c r="B401" i="3"/>
  <c r="C401" i="3"/>
  <c r="D401" i="3"/>
  <c r="E401" i="3"/>
  <c r="B402" i="3"/>
  <c r="C402" i="3"/>
  <c r="D402" i="3"/>
  <c r="E402" i="3"/>
  <c r="B403" i="3"/>
  <c r="C403" i="3"/>
  <c r="D403" i="3"/>
  <c r="E403" i="3"/>
  <c r="B404" i="3"/>
  <c r="C404" i="3"/>
  <c r="D404" i="3"/>
  <c r="E404" i="3"/>
  <c r="B405" i="3"/>
  <c r="C405" i="3"/>
  <c r="D405" i="3"/>
  <c r="E405" i="3"/>
  <c r="B406" i="3"/>
  <c r="C406" i="3"/>
  <c r="D406" i="3"/>
  <c r="E406" i="3"/>
  <c r="B407" i="3"/>
  <c r="C407" i="3"/>
  <c r="D407" i="3"/>
  <c r="E407" i="3"/>
  <c r="B408" i="3"/>
  <c r="C408" i="3"/>
  <c r="D408" i="3"/>
  <c r="E408" i="3"/>
  <c r="B409" i="3"/>
  <c r="C409" i="3"/>
  <c r="D409" i="3"/>
  <c r="E409" i="3"/>
  <c r="B410" i="3"/>
  <c r="C410" i="3"/>
  <c r="D410" i="3"/>
  <c r="E410" i="3"/>
  <c r="B411" i="3"/>
  <c r="C411" i="3"/>
  <c r="D411" i="3"/>
  <c r="E411" i="3"/>
  <c r="B412" i="3"/>
  <c r="C412" i="3"/>
  <c r="D412" i="3"/>
  <c r="E412" i="3"/>
  <c r="B413" i="3"/>
  <c r="C413" i="3"/>
  <c r="D413" i="3"/>
  <c r="E413" i="3"/>
  <c r="B414" i="3"/>
  <c r="C414" i="3"/>
  <c r="D414" i="3"/>
  <c r="E414" i="3"/>
  <c r="B415" i="3"/>
  <c r="C415" i="3"/>
  <c r="D415" i="3"/>
  <c r="E415" i="3"/>
  <c r="B416" i="3"/>
  <c r="C416" i="3"/>
  <c r="D416" i="3"/>
  <c r="E416" i="3"/>
  <c r="B417" i="3"/>
  <c r="C417" i="3"/>
  <c r="D417" i="3"/>
  <c r="E417" i="3"/>
  <c r="B418" i="3"/>
  <c r="C418" i="3"/>
  <c r="D418" i="3"/>
  <c r="E418" i="3"/>
  <c r="B419" i="3"/>
  <c r="C419" i="3"/>
  <c r="D419" i="3"/>
  <c r="E419" i="3"/>
  <c r="B420" i="3"/>
  <c r="C420" i="3"/>
  <c r="D420" i="3"/>
  <c r="E420" i="3"/>
  <c r="B421" i="3"/>
  <c r="C421" i="3"/>
  <c r="D421" i="3"/>
  <c r="E421" i="3"/>
  <c r="B422" i="3"/>
  <c r="C422" i="3"/>
  <c r="D422" i="3"/>
  <c r="E422" i="3"/>
  <c r="B423" i="3"/>
  <c r="C423" i="3"/>
  <c r="D423" i="3"/>
  <c r="E423" i="3"/>
  <c r="B424" i="3"/>
  <c r="C424" i="3"/>
  <c r="D424" i="3"/>
  <c r="E424" i="3"/>
  <c r="B425" i="3"/>
  <c r="C425" i="3"/>
  <c r="D425" i="3"/>
  <c r="E425" i="3"/>
  <c r="B426" i="3"/>
  <c r="C426" i="3"/>
  <c r="D426" i="3"/>
  <c r="E426" i="3"/>
  <c r="B427" i="3"/>
  <c r="C427" i="3"/>
  <c r="D427" i="3"/>
  <c r="E427" i="3"/>
  <c r="B428" i="3"/>
  <c r="C428" i="3"/>
  <c r="D428" i="3"/>
  <c r="E428" i="3"/>
  <c r="B429" i="3"/>
  <c r="C429" i="3"/>
  <c r="D429" i="3"/>
  <c r="E429" i="3"/>
  <c r="B430" i="3"/>
  <c r="C430" i="3"/>
  <c r="D430" i="3"/>
  <c r="E430" i="3"/>
  <c r="B431" i="3"/>
  <c r="C431" i="3"/>
  <c r="D431" i="3"/>
  <c r="E431" i="3"/>
  <c r="B432" i="3"/>
  <c r="C432" i="3"/>
  <c r="D432" i="3"/>
  <c r="E432" i="3"/>
  <c r="B433" i="3"/>
  <c r="C433" i="3"/>
  <c r="D433" i="3"/>
  <c r="E433" i="3"/>
  <c r="B434" i="3"/>
  <c r="C434" i="3"/>
  <c r="D434" i="3"/>
  <c r="E434" i="3"/>
  <c r="B435" i="3"/>
  <c r="C435" i="3"/>
  <c r="D435" i="3"/>
  <c r="E435" i="3"/>
  <c r="B436" i="3"/>
  <c r="C436" i="3"/>
  <c r="D436" i="3"/>
  <c r="E436" i="3"/>
  <c r="B437" i="3"/>
  <c r="C437" i="3"/>
  <c r="D437" i="3"/>
  <c r="E437" i="3"/>
  <c r="B438" i="3"/>
  <c r="C438" i="3"/>
  <c r="D438" i="3"/>
  <c r="E438" i="3"/>
  <c r="B439" i="3"/>
  <c r="C439" i="3"/>
  <c r="D439" i="3"/>
  <c r="E439" i="3"/>
  <c r="B440" i="3"/>
  <c r="C440" i="3"/>
  <c r="D440" i="3"/>
  <c r="E440" i="3"/>
  <c r="B441" i="3"/>
  <c r="C441" i="3"/>
  <c r="D441" i="3"/>
  <c r="E441" i="3"/>
  <c r="B442" i="3"/>
  <c r="C442" i="3"/>
  <c r="D442" i="3"/>
  <c r="E442" i="3"/>
  <c r="B443" i="3"/>
  <c r="C443" i="3"/>
  <c r="D443" i="3"/>
  <c r="E443" i="3"/>
  <c r="B444" i="3"/>
  <c r="C444" i="3"/>
  <c r="D444" i="3"/>
  <c r="E444" i="3"/>
  <c r="B445" i="3"/>
  <c r="C445" i="3"/>
  <c r="D445" i="3"/>
  <c r="E445" i="3"/>
  <c r="B446" i="3"/>
  <c r="C446" i="3"/>
  <c r="D446" i="3"/>
  <c r="E446" i="3"/>
  <c r="B447" i="3"/>
  <c r="C447" i="3"/>
  <c r="D447" i="3"/>
  <c r="E447" i="3"/>
  <c r="B448" i="3"/>
  <c r="C448" i="3"/>
  <c r="D448" i="3"/>
  <c r="E448" i="3"/>
  <c r="B449" i="3"/>
  <c r="C449" i="3"/>
  <c r="D449" i="3"/>
  <c r="E449" i="3"/>
  <c r="B450" i="3"/>
  <c r="C450" i="3"/>
  <c r="D450" i="3"/>
  <c r="E450" i="3"/>
  <c r="B451" i="3"/>
  <c r="C451" i="3"/>
  <c r="D451" i="3"/>
  <c r="E451" i="3"/>
  <c r="B452" i="3"/>
  <c r="C452" i="3"/>
  <c r="D452" i="3"/>
  <c r="E452" i="3"/>
  <c r="B453" i="3"/>
  <c r="C453" i="3"/>
  <c r="D453" i="3"/>
  <c r="E453" i="3"/>
  <c r="B454" i="3"/>
  <c r="C454" i="3"/>
  <c r="D454" i="3"/>
  <c r="E454" i="3"/>
  <c r="B455" i="3"/>
  <c r="C455" i="3"/>
  <c r="D455" i="3"/>
  <c r="E455" i="3"/>
  <c r="B456" i="3"/>
  <c r="C456" i="3"/>
  <c r="D456" i="3"/>
  <c r="E456" i="3"/>
  <c r="B457" i="3"/>
  <c r="C457" i="3"/>
  <c r="D457" i="3"/>
  <c r="E457" i="3"/>
  <c r="B458" i="3"/>
  <c r="C458" i="3"/>
  <c r="D458" i="3"/>
  <c r="E458" i="3"/>
  <c r="B459" i="3"/>
  <c r="C459" i="3"/>
  <c r="D459" i="3"/>
  <c r="E459" i="3"/>
  <c r="B460" i="3"/>
  <c r="C460" i="3"/>
  <c r="D460" i="3"/>
  <c r="E460" i="3"/>
  <c r="B461" i="3"/>
  <c r="C461" i="3"/>
  <c r="D461" i="3"/>
  <c r="E461" i="3"/>
  <c r="B462" i="3"/>
  <c r="C462" i="3"/>
  <c r="D462" i="3"/>
  <c r="E462" i="3"/>
  <c r="B463" i="3"/>
  <c r="C463" i="3"/>
  <c r="D463" i="3"/>
  <c r="E463" i="3"/>
  <c r="B464" i="3"/>
  <c r="C464" i="3"/>
  <c r="D464" i="3"/>
  <c r="E464" i="3"/>
  <c r="B465" i="3"/>
  <c r="C465" i="3"/>
  <c r="D465" i="3"/>
  <c r="E465" i="3"/>
  <c r="B466" i="3"/>
  <c r="C466" i="3"/>
  <c r="D466" i="3"/>
  <c r="E466" i="3"/>
  <c r="B467" i="3"/>
  <c r="C467" i="3"/>
  <c r="D467" i="3"/>
  <c r="E467" i="3"/>
  <c r="B468" i="3"/>
  <c r="C468" i="3"/>
  <c r="D468" i="3"/>
  <c r="E468" i="3"/>
  <c r="B469" i="3"/>
  <c r="C469" i="3"/>
  <c r="D469" i="3"/>
  <c r="E469" i="3"/>
  <c r="B470" i="3"/>
  <c r="C470" i="3"/>
  <c r="D470" i="3"/>
  <c r="E470" i="3"/>
  <c r="B471" i="3"/>
  <c r="C471" i="3"/>
  <c r="D471" i="3"/>
  <c r="E471" i="3"/>
  <c r="B472" i="3"/>
  <c r="C472" i="3"/>
  <c r="D472" i="3"/>
  <c r="E472" i="3"/>
  <c r="B473" i="3"/>
  <c r="C473" i="3"/>
  <c r="D473" i="3"/>
  <c r="E473" i="3"/>
  <c r="B474" i="3"/>
  <c r="C474" i="3"/>
  <c r="D474" i="3"/>
  <c r="E474" i="3"/>
  <c r="B475" i="3"/>
  <c r="C475" i="3"/>
  <c r="D475" i="3"/>
  <c r="E475" i="3"/>
  <c r="B476" i="3"/>
  <c r="C476" i="3"/>
  <c r="D476" i="3"/>
  <c r="E476" i="3"/>
  <c r="B477" i="3"/>
  <c r="C477" i="3"/>
  <c r="D477" i="3"/>
  <c r="E477" i="3"/>
  <c r="B478" i="3"/>
  <c r="C478" i="3"/>
  <c r="D478" i="3"/>
  <c r="E478" i="3"/>
  <c r="B479" i="3"/>
  <c r="C479" i="3"/>
  <c r="D479" i="3"/>
  <c r="E479" i="3"/>
  <c r="B480" i="3"/>
  <c r="C480" i="3"/>
  <c r="D480" i="3"/>
  <c r="E480" i="3"/>
  <c r="B481" i="3"/>
  <c r="C481" i="3"/>
  <c r="D481" i="3"/>
  <c r="E481" i="3"/>
  <c r="B482" i="3"/>
  <c r="C482" i="3"/>
  <c r="D482" i="3"/>
  <c r="E482" i="3"/>
  <c r="B483" i="3"/>
  <c r="C483" i="3"/>
  <c r="D483" i="3"/>
  <c r="E483" i="3"/>
  <c r="B484" i="3"/>
  <c r="C484" i="3"/>
  <c r="D484" i="3"/>
  <c r="E484" i="3"/>
  <c r="B485" i="3"/>
  <c r="C485" i="3"/>
  <c r="D485" i="3"/>
  <c r="E485" i="3"/>
  <c r="B486" i="3"/>
  <c r="C486" i="3"/>
  <c r="D486" i="3"/>
  <c r="E486" i="3"/>
  <c r="B487" i="3"/>
  <c r="C487" i="3"/>
  <c r="D487" i="3"/>
  <c r="E487" i="3"/>
  <c r="B488" i="3"/>
  <c r="C488" i="3"/>
  <c r="D488" i="3"/>
  <c r="E488" i="3"/>
  <c r="B489" i="3"/>
  <c r="C489" i="3"/>
  <c r="D489" i="3"/>
  <c r="E489" i="3"/>
  <c r="B490" i="3"/>
  <c r="C490" i="3"/>
  <c r="D490" i="3"/>
  <c r="E490" i="3"/>
  <c r="B491" i="3"/>
  <c r="C491" i="3"/>
  <c r="D491" i="3"/>
  <c r="E491" i="3"/>
  <c r="B492" i="3"/>
  <c r="C492" i="3"/>
  <c r="D492" i="3"/>
  <c r="E492" i="3"/>
  <c r="B493" i="3"/>
  <c r="C493" i="3"/>
  <c r="D493" i="3"/>
  <c r="E493" i="3"/>
  <c r="B494" i="3"/>
  <c r="C494" i="3"/>
  <c r="D494" i="3"/>
  <c r="E494" i="3"/>
  <c r="B495" i="3"/>
  <c r="C495" i="3"/>
  <c r="D495" i="3"/>
  <c r="E495" i="3"/>
  <c r="B496" i="3"/>
  <c r="C496" i="3"/>
  <c r="D496" i="3"/>
  <c r="E496" i="3"/>
  <c r="B497" i="3"/>
  <c r="C497" i="3"/>
  <c r="D497" i="3"/>
  <c r="E497" i="3"/>
  <c r="B498" i="3"/>
  <c r="C498" i="3"/>
  <c r="D498" i="3"/>
  <c r="E498" i="3"/>
  <c r="B499" i="3"/>
  <c r="C499" i="3"/>
  <c r="D499" i="3"/>
  <c r="E499" i="3"/>
  <c r="B500" i="3"/>
  <c r="C500" i="3"/>
  <c r="D500" i="3"/>
  <c r="E500" i="3"/>
  <c r="B501" i="3"/>
  <c r="C501" i="3"/>
  <c r="D501" i="3"/>
  <c r="E501" i="3"/>
  <c r="B502" i="3"/>
  <c r="C502" i="3"/>
  <c r="D502" i="3"/>
  <c r="E502" i="3"/>
  <c r="B503" i="3"/>
  <c r="C503" i="3"/>
  <c r="D503" i="3"/>
  <c r="E503" i="3"/>
  <c r="B504" i="3"/>
  <c r="C504" i="3"/>
  <c r="D504" i="3"/>
  <c r="E504" i="3"/>
  <c r="B505" i="3"/>
  <c r="C505" i="3"/>
  <c r="D505" i="3"/>
  <c r="E505" i="3"/>
  <c r="B506" i="3"/>
  <c r="C506" i="3"/>
  <c r="D506" i="3"/>
  <c r="E506" i="3"/>
  <c r="B507" i="3"/>
  <c r="C507" i="3"/>
  <c r="D507" i="3"/>
  <c r="E507" i="3"/>
  <c r="B508" i="3"/>
  <c r="C508" i="3"/>
  <c r="D508" i="3"/>
  <c r="E508" i="3"/>
  <c r="B509" i="3"/>
  <c r="C509" i="3"/>
  <c r="D509" i="3"/>
  <c r="E509" i="3"/>
  <c r="B510" i="3"/>
  <c r="C510" i="3"/>
  <c r="D510" i="3"/>
  <c r="E510" i="3"/>
  <c r="B511" i="3"/>
  <c r="C511" i="3"/>
  <c r="D511" i="3"/>
  <c r="E511" i="3"/>
  <c r="B512" i="3"/>
  <c r="C512" i="3"/>
  <c r="D512" i="3"/>
  <c r="E512" i="3"/>
  <c r="B513" i="3"/>
  <c r="C513" i="3"/>
  <c r="D513" i="3"/>
  <c r="E513" i="3"/>
  <c r="B514" i="3"/>
  <c r="C514" i="3"/>
  <c r="D514" i="3"/>
  <c r="E514" i="3"/>
  <c r="B515" i="3"/>
  <c r="C515" i="3"/>
  <c r="D515" i="3"/>
  <c r="E515" i="3"/>
  <c r="B516" i="3"/>
  <c r="C516" i="3"/>
  <c r="D516" i="3"/>
  <c r="E516" i="3"/>
  <c r="B517" i="3"/>
  <c r="C517" i="3"/>
  <c r="D517" i="3"/>
  <c r="E517" i="3"/>
  <c r="B518" i="3"/>
  <c r="C518" i="3"/>
  <c r="D518" i="3"/>
  <c r="E518" i="3"/>
  <c r="B519" i="3"/>
  <c r="C519" i="3"/>
  <c r="D519" i="3"/>
  <c r="E519" i="3"/>
  <c r="B520" i="3"/>
  <c r="C520" i="3"/>
  <c r="D520" i="3"/>
  <c r="E520" i="3"/>
  <c r="B521" i="3"/>
  <c r="C521" i="3"/>
  <c r="D521" i="3"/>
  <c r="E521" i="3"/>
  <c r="B522" i="3"/>
  <c r="C522" i="3"/>
  <c r="D522" i="3"/>
  <c r="E522" i="3"/>
  <c r="B523" i="3"/>
  <c r="C523" i="3"/>
  <c r="D523" i="3"/>
  <c r="E523" i="3"/>
  <c r="B524" i="3"/>
  <c r="C524" i="3"/>
  <c r="D524" i="3"/>
  <c r="E524" i="3"/>
  <c r="B525" i="3"/>
  <c r="C525" i="3"/>
  <c r="D525" i="3"/>
  <c r="E525" i="3"/>
  <c r="B526" i="3"/>
  <c r="C526" i="3"/>
  <c r="D526" i="3"/>
  <c r="E526" i="3"/>
  <c r="B527" i="3"/>
  <c r="C527" i="3"/>
  <c r="D527" i="3"/>
  <c r="E527" i="3"/>
  <c r="B528" i="3"/>
  <c r="C528" i="3"/>
  <c r="D528" i="3"/>
  <c r="E528" i="3"/>
  <c r="B529" i="3"/>
  <c r="C529" i="3"/>
  <c r="D529" i="3"/>
  <c r="E529" i="3"/>
  <c r="B530" i="3"/>
  <c r="C530" i="3"/>
  <c r="D530" i="3"/>
  <c r="E530" i="3"/>
  <c r="B531" i="3"/>
  <c r="C531" i="3"/>
  <c r="D531" i="3"/>
  <c r="E531" i="3"/>
  <c r="B532" i="3"/>
  <c r="C532" i="3"/>
  <c r="D532" i="3"/>
  <c r="E532" i="3"/>
  <c r="B533" i="3"/>
  <c r="C533" i="3"/>
  <c r="D533" i="3"/>
  <c r="E533" i="3"/>
  <c r="B534" i="3"/>
  <c r="C534" i="3"/>
  <c r="D534" i="3"/>
  <c r="E534" i="3"/>
  <c r="B535" i="3"/>
  <c r="C535" i="3"/>
  <c r="D535" i="3"/>
  <c r="E535" i="3"/>
  <c r="B536" i="3"/>
  <c r="C536" i="3"/>
  <c r="D536" i="3"/>
  <c r="E536" i="3"/>
  <c r="B537" i="3"/>
  <c r="C537" i="3"/>
  <c r="D537" i="3"/>
  <c r="E537" i="3"/>
  <c r="B538" i="3"/>
  <c r="C538" i="3"/>
  <c r="D538" i="3"/>
  <c r="E538" i="3"/>
  <c r="B539" i="3"/>
  <c r="C539" i="3"/>
  <c r="D539" i="3"/>
  <c r="E539" i="3"/>
  <c r="B540" i="3"/>
  <c r="C540" i="3"/>
  <c r="D540" i="3"/>
  <c r="E540" i="3"/>
  <c r="B541" i="3"/>
  <c r="C541" i="3"/>
  <c r="D541" i="3"/>
  <c r="E541" i="3"/>
  <c r="B542" i="3"/>
  <c r="C542" i="3"/>
  <c r="D542" i="3"/>
  <c r="E542" i="3"/>
  <c r="B543" i="3"/>
  <c r="C543" i="3"/>
  <c r="D543" i="3"/>
  <c r="E543" i="3"/>
  <c r="B544" i="3"/>
  <c r="C544" i="3"/>
  <c r="D544" i="3"/>
  <c r="E544" i="3"/>
  <c r="B545" i="3"/>
  <c r="C545" i="3"/>
  <c r="D545" i="3"/>
  <c r="E545" i="3"/>
  <c r="B546" i="3"/>
  <c r="C546" i="3"/>
  <c r="D546" i="3"/>
  <c r="E546" i="3"/>
  <c r="B547" i="3"/>
  <c r="C547" i="3"/>
  <c r="D547" i="3"/>
  <c r="E547" i="3"/>
  <c r="B548" i="3"/>
  <c r="C548" i="3"/>
  <c r="D548" i="3"/>
  <c r="E548" i="3"/>
  <c r="B549" i="3"/>
  <c r="C549" i="3"/>
  <c r="D549" i="3"/>
  <c r="E549" i="3"/>
  <c r="B550" i="3"/>
  <c r="C550" i="3"/>
  <c r="D550" i="3"/>
  <c r="E550" i="3"/>
  <c r="B551" i="3"/>
  <c r="C551" i="3"/>
  <c r="D551" i="3"/>
  <c r="E551" i="3"/>
  <c r="B552" i="3"/>
  <c r="C552" i="3"/>
  <c r="D552" i="3"/>
  <c r="E552" i="3"/>
  <c r="B553" i="3"/>
  <c r="C553" i="3"/>
  <c r="D553" i="3"/>
  <c r="E553" i="3"/>
  <c r="B554" i="3"/>
  <c r="C554" i="3"/>
  <c r="D554" i="3"/>
  <c r="E554" i="3"/>
  <c r="B555" i="3"/>
  <c r="C555" i="3"/>
  <c r="D555" i="3"/>
  <c r="E555" i="3"/>
  <c r="B556" i="3"/>
  <c r="C556" i="3"/>
  <c r="D556" i="3"/>
  <c r="E556" i="3"/>
  <c r="B557" i="3"/>
  <c r="C557" i="3"/>
  <c r="D557" i="3"/>
  <c r="E557" i="3"/>
  <c r="B558" i="3"/>
  <c r="C558" i="3"/>
  <c r="D558" i="3"/>
  <c r="E558" i="3"/>
  <c r="B559" i="3"/>
  <c r="C559" i="3"/>
  <c r="D559" i="3"/>
  <c r="E559" i="3"/>
  <c r="B560" i="3"/>
  <c r="C560" i="3"/>
  <c r="D560" i="3"/>
  <c r="E560" i="3"/>
  <c r="B561" i="3"/>
  <c r="C561" i="3"/>
  <c r="D561" i="3"/>
  <c r="E561" i="3"/>
  <c r="B562" i="3"/>
  <c r="C562" i="3"/>
  <c r="D562" i="3"/>
  <c r="E562" i="3"/>
  <c r="B563" i="3"/>
  <c r="C563" i="3"/>
  <c r="D563" i="3"/>
  <c r="E563" i="3"/>
  <c r="B564" i="3"/>
  <c r="C564" i="3"/>
  <c r="D564" i="3"/>
  <c r="E564" i="3"/>
  <c r="B565" i="3"/>
  <c r="C565" i="3"/>
  <c r="D565" i="3"/>
  <c r="E565" i="3"/>
  <c r="B566" i="3"/>
  <c r="C566" i="3"/>
  <c r="D566" i="3"/>
  <c r="E566" i="3"/>
  <c r="B567" i="3"/>
  <c r="C567" i="3"/>
  <c r="D567" i="3"/>
  <c r="E567" i="3"/>
  <c r="B568" i="3"/>
  <c r="C568" i="3"/>
  <c r="D568" i="3"/>
  <c r="E568" i="3"/>
  <c r="B569" i="3"/>
  <c r="C569" i="3"/>
  <c r="D569" i="3"/>
  <c r="E569" i="3"/>
  <c r="B570" i="3"/>
  <c r="C570" i="3"/>
  <c r="D570" i="3"/>
  <c r="E570" i="3"/>
  <c r="B571" i="3"/>
  <c r="C571" i="3"/>
  <c r="D571" i="3"/>
  <c r="E571" i="3"/>
  <c r="B572" i="3"/>
  <c r="C572" i="3"/>
  <c r="D572" i="3"/>
  <c r="E572" i="3"/>
  <c r="B573" i="3"/>
  <c r="C573" i="3"/>
  <c r="D573" i="3"/>
  <c r="E573" i="3"/>
  <c r="B574" i="3"/>
  <c r="C574" i="3"/>
  <c r="D574" i="3"/>
  <c r="E574" i="3"/>
  <c r="B575" i="3"/>
  <c r="C575" i="3"/>
  <c r="D575" i="3"/>
  <c r="E575" i="3"/>
  <c r="B576" i="3"/>
  <c r="C576" i="3"/>
  <c r="D576" i="3"/>
  <c r="E576" i="3"/>
  <c r="B577" i="3"/>
  <c r="C577" i="3"/>
  <c r="D577" i="3"/>
  <c r="E577" i="3"/>
  <c r="B578" i="3"/>
  <c r="C578" i="3"/>
  <c r="D578" i="3"/>
  <c r="E578" i="3"/>
  <c r="B579" i="3"/>
  <c r="C579" i="3"/>
  <c r="D579" i="3"/>
  <c r="E579" i="3"/>
  <c r="B580" i="3"/>
  <c r="C580" i="3"/>
  <c r="D580" i="3"/>
  <c r="E580" i="3"/>
  <c r="B581" i="3"/>
  <c r="C581" i="3"/>
  <c r="D581" i="3"/>
  <c r="E581" i="3"/>
  <c r="B582" i="3"/>
  <c r="C582" i="3"/>
  <c r="D582" i="3"/>
  <c r="E582" i="3"/>
  <c r="B583" i="3"/>
  <c r="C583" i="3"/>
  <c r="D583" i="3"/>
  <c r="E583" i="3"/>
  <c r="B584" i="3"/>
  <c r="C584" i="3"/>
  <c r="D584" i="3"/>
  <c r="E584" i="3"/>
  <c r="B585" i="3"/>
  <c r="C585" i="3"/>
  <c r="D585" i="3"/>
  <c r="E585" i="3"/>
  <c r="B586" i="3"/>
  <c r="C586" i="3"/>
  <c r="D586" i="3"/>
  <c r="E586" i="3"/>
  <c r="B587" i="3"/>
  <c r="C587" i="3"/>
  <c r="D587" i="3"/>
  <c r="E587" i="3"/>
  <c r="B588" i="3"/>
  <c r="C588" i="3"/>
  <c r="D588" i="3"/>
  <c r="E588" i="3"/>
  <c r="B589" i="3"/>
  <c r="C589" i="3"/>
  <c r="D589" i="3"/>
  <c r="E589" i="3"/>
  <c r="B590" i="3"/>
  <c r="C590" i="3"/>
  <c r="D590" i="3"/>
  <c r="E590" i="3"/>
  <c r="B591" i="3"/>
  <c r="C591" i="3"/>
  <c r="D591" i="3"/>
  <c r="E591" i="3"/>
  <c r="B592" i="3"/>
  <c r="C592" i="3"/>
  <c r="D592" i="3"/>
  <c r="E592" i="3"/>
  <c r="B593" i="3"/>
  <c r="C593" i="3"/>
  <c r="D593" i="3"/>
  <c r="E593" i="3"/>
  <c r="B594" i="3"/>
  <c r="C594" i="3"/>
  <c r="D594" i="3"/>
  <c r="E594" i="3"/>
  <c r="B595" i="3"/>
  <c r="C595" i="3"/>
  <c r="D595" i="3"/>
  <c r="E595" i="3"/>
  <c r="B596" i="3"/>
  <c r="C596" i="3"/>
  <c r="D596" i="3"/>
  <c r="E596" i="3"/>
  <c r="B597" i="3"/>
  <c r="C597" i="3"/>
  <c r="D597" i="3"/>
  <c r="E597" i="3"/>
  <c r="B598" i="3"/>
  <c r="C598" i="3"/>
  <c r="D598" i="3"/>
  <c r="E598" i="3"/>
  <c r="B599" i="3"/>
  <c r="C599" i="3"/>
  <c r="D599" i="3"/>
  <c r="E599" i="3"/>
  <c r="B600" i="3"/>
  <c r="C600" i="3"/>
  <c r="D600" i="3"/>
  <c r="E600" i="3"/>
  <c r="B601" i="3"/>
  <c r="C601" i="3"/>
  <c r="D601" i="3"/>
  <c r="E601" i="3"/>
  <c r="B602" i="3"/>
  <c r="C602" i="3"/>
  <c r="D602" i="3"/>
  <c r="E602" i="3"/>
  <c r="B603" i="3"/>
  <c r="C603" i="3"/>
  <c r="D603" i="3"/>
  <c r="E603" i="3"/>
  <c r="B604" i="3"/>
  <c r="C604" i="3"/>
  <c r="D604" i="3"/>
  <c r="E604" i="3"/>
  <c r="B605" i="3"/>
  <c r="C605" i="3"/>
  <c r="D605" i="3"/>
  <c r="E605" i="3"/>
  <c r="B606" i="3"/>
  <c r="C606" i="3"/>
  <c r="D606" i="3"/>
  <c r="E606" i="3"/>
  <c r="B607" i="3"/>
  <c r="C607" i="3"/>
  <c r="D607" i="3"/>
  <c r="E607" i="3"/>
  <c r="B608" i="3"/>
  <c r="C608" i="3"/>
  <c r="D608" i="3"/>
  <c r="E608" i="3"/>
  <c r="B609" i="3"/>
  <c r="C609" i="3"/>
  <c r="D609" i="3"/>
  <c r="E609" i="3"/>
  <c r="B610" i="3"/>
  <c r="C610" i="3"/>
  <c r="D610" i="3"/>
  <c r="E610" i="3"/>
  <c r="B611" i="3"/>
  <c r="C611" i="3"/>
  <c r="D611" i="3"/>
  <c r="E611" i="3"/>
  <c r="B612" i="3"/>
  <c r="C612" i="3"/>
  <c r="D612" i="3"/>
  <c r="E612" i="3"/>
  <c r="B613" i="3"/>
  <c r="C613" i="3"/>
  <c r="D613" i="3"/>
  <c r="E613" i="3"/>
  <c r="B614" i="3"/>
  <c r="C614" i="3"/>
  <c r="D614" i="3"/>
  <c r="E614" i="3"/>
  <c r="B615" i="3"/>
  <c r="C615" i="3"/>
  <c r="D615" i="3"/>
  <c r="E615" i="3"/>
  <c r="B616" i="3"/>
  <c r="C616" i="3"/>
  <c r="D616" i="3"/>
  <c r="E616" i="3"/>
  <c r="B617" i="3"/>
  <c r="C617" i="3"/>
  <c r="D617" i="3"/>
  <c r="E617" i="3"/>
  <c r="B618" i="3"/>
  <c r="C618" i="3"/>
  <c r="D618" i="3"/>
  <c r="E618" i="3"/>
  <c r="B619" i="3"/>
  <c r="C619" i="3"/>
  <c r="D619" i="3"/>
  <c r="E619" i="3"/>
  <c r="B620" i="3"/>
  <c r="C620" i="3"/>
  <c r="D620" i="3"/>
  <c r="E620" i="3"/>
  <c r="B621" i="3"/>
  <c r="C621" i="3"/>
  <c r="D621" i="3"/>
  <c r="E621" i="3"/>
  <c r="B622" i="3"/>
  <c r="C622" i="3"/>
  <c r="D622" i="3"/>
  <c r="E622" i="3"/>
  <c r="B623" i="3"/>
  <c r="C623" i="3"/>
  <c r="D623" i="3"/>
  <c r="E623" i="3"/>
  <c r="B624" i="3"/>
  <c r="C624" i="3"/>
  <c r="D624" i="3"/>
  <c r="E624" i="3"/>
  <c r="B625" i="3"/>
  <c r="C625" i="3"/>
  <c r="D625" i="3"/>
  <c r="E625" i="3"/>
  <c r="B626" i="3"/>
  <c r="C626" i="3"/>
  <c r="D626" i="3"/>
  <c r="E626" i="3"/>
  <c r="B627" i="3"/>
  <c r="C627" i="3"/>
  <c r="D627" i="3"/>
  <c r="E627" i="3"/>
  <c r="B628" i="3"/>
  <c r="C628" i="3"/>
  <c r="D628" i="3"/>
  <c r="E628" i="3"/>
  <c r="B629" i="3"/>
  <c r="C629" i="3"/>
  <c r="D629" i="3"/>
  <c r="E629" i="3"/>
  <c r="B630" i="3"/>
  <c r="C630" i="3"/>
  <c r="D630" i="3"/>
  <c r="E630" i="3"/>
  <c r="B631" i="3"/>
  <c r="C631" i="3"/>
  <c r="D631" i="3"/>
  <c r="E631" i="3"/>
  <c r="B632" i="3"/>
  <c r="C632" i="3"/>
  <c r="D632" i="3"/>
  <c r="E632" i="3"/>
  <c r="B633" i="3"/>
  <c r="C633" i="3"/>
  <c r="D633" i="3"/>
  <c r="E633" i="3"/>
  <c r="B634" i="3"/>
  <c r="C634" i="3"/>
  <c r="D634" i="3"/>
  <c r="E634" i="3"/>
  <c r="B635" i="3"/>
  <c r="C635" i="3"/>
  <c r="D635" i="3"/>
  <c r="E635" i="3"/>
  <c r="B636" i="3"/>
  <c r="C636" i="3"/>
  <c r="D636" i="3"/>
  <c r="E636" i="3"/>
  <c r="B637" i="3"/>
  <c r="C637" i="3"/>
  <c r="D637" i="3"/>
  <c r="E637" i="3"/>
  <c r="B638" i="3"/>
  <c r="C638" i="3"/>
  <c r="D638" i="3"/>
  <c r="E638" i="3"/>
  <c r="B639" i="3"/>
  <c r="C639" i="3"/>
  <c r="D639" i="3"/>
  <c r="E639" i="3"/>
  <c r="B640" i="3"/>
  <c r="C640" i="3"/>
  <c r="D640" i="3"/>
  <c r="E640" i="3"/>
  <c r="B641" i="3"/>
  <c r="C641" i="3"/>
  <c r="D641" i="3"/>
  <c r="E641" i="3"/>
  <c r="B642" i="3"/>
  <c r="C642" i="3"/>
  <c r="D642" i="3"/>
  <c r="E642" i="3"/>
  <c r="B643" i="3"/>
  <c r="C643" i="3"/>
  <c r="D643" i="3"/>
  <c r="E643" i="3"/>
  <c r="B644" i="3"/>
  <c r="C644" i="3"/>
  <c r="D644" i="3"/>
  <c r="E644" i="3"/>
  <c r="B645" i="3"/>
  <c r="C645" i="3"/>
  <c r="D645" i="3"/>
  <c r="E645" i="3"/>
  <c r="B646" i="3"/>
  <c r="C646" i="3"/>
  <c r="D646" i="3"/>
  <c r="E646" i="3"/>
  <c r="B647" i="3"/>
  <c r="C647" i="3"/>
  <c r="D647" i="3"/>
  <c r="E647" i="3"/>
  <c r="B648" i="3"/>
  <c r="C648" i="3"/>
  <c r="D648" i="3"/>
  <c r="E648" i="3"/>
  <c r="B649" i="3"/>
  <c r="C649" i="3"/>
  <c r="D649" i="3"/>
  <c r="E649" i="3"/>
  <c r="B650" i="3"/>
  <c r="C650" i="3"/>
  <c r="D650" i="3"/>
  <c r="E650" i="3"/>
  <c r="B651" i="3"/>
  <c r="C651" i="3"/>
  <c r="D651" i="3"/>
  <c r="E651" i="3"/>
  <c r="B652" i="3"/>
  <c r="C652" i="3"/>
  <c r="D652" i="3"/>
  <c r="E652" i="3"/>
  <c r="B653" i="3"/>
  <c r="C653" i="3"/>
  <c r="D653" i="3"/>
  <c r="E653" i="3"/>
  <c r="B654" i="3"/>
  <c r="C654" i="3"/>
  <c r="D654" i="3"/>
  <c r="E654" i="3"/>
  <c r="B655" i="3"/>
  <c r="C655" i="3"/>
  <c r="D655" i="3"/>
  <c r="E655" i="3"/>
  <c r="B656" i="3"/>
  <c r="C656" i="3"/>
  <c r="D656" i="3"/>
  <c r="E656" i="3"/>
  <c r="B657" i="3"/>
  <c r="C657" i="3"/>
  <c r="D657" i="3"/>
  <c r="E657" i="3"/>
  <c r="B658" i="3"/>
  <c r="C658" i="3"/>
  <c r="D658" i="3"/>
  <c r="E658" i="3"/>
  <c r="B659" i="3"/>
  <c r="C659" i="3"/>
  <c r="D659" i="3"/>
  <c r="E659" i="3"/>
  <c r="B660" i="3"/>
  <c r="C660" i="3"/>
  <c r="D660" i="3"/>
  <c r="E660" i="3"/>
  <c r="B661" i="3"/>
  <c r="C661" i="3"/>
  <c r="D661" i="3"/>
  <c r="E661" i="3"/>
  <c r="B662" i="3"/>
  <c r="C662" i="3"/>
  <c r="D662" i="3"/>
  <c r="E662" i="3"/>
  <c r="B663" i="3"/>
  <c r="C663" i="3"/>
  <c r="D663" i="3"/>
  <c r="E663" i="3"/>
  <c r="B664" i="3"/>
  <c r="C664" i="3"/>
  <c r="D664" i="3"/>
  <c r="E664" i="3"/>
  <c r="B665" i="3"/>
  <c r="C665" i="3"/>
  <c r="D665" i="3"/>
  <c r="E665" i="3"/>
  <c r="B666" i="3"/>
  <c r="C666" i="3"/>
  <c r="D666" i="3"/>
  <c r="E666" i="3"/>
  <c r="B667" i="3"/>
  <c r="C667" i="3"/>
  <c r="D667" i="3"/>
  <c r="E667" i="3"/>
  <c r="B668" i="3"/>
  <c r="C668" i="3"/>
  <c r="D668" i="3"/>
  <c r="E668" i="3"/>
  <c r="B669" i="3"/>
  <c r="C669" i="3"/>
  <c r="D669" i="3"/>
  <c r="E669" i="3"/>
  <c r="B670" i="3"/>
  <c r="C670" i="3"/>
  <c r="D670" i="3"/>
  <c r="E670" i="3"/>
  <c r="B671" i="3"/>
  <c r="C671" i="3"/>
  <c r="D671" i="3"/>
  <c r="E671" i="3"/>
  <c r="B672" i="3"/>
  <c r="C672" i="3"/>
  <c r="D672" i="3"/>
  <c r="E672" i="3"/>
  <c r="B673" i="3"/>
  <c r="C673" i="3"/>
  <c r="D673" i="3"/>
  <c r="E673" i="3"/>
  <c r="B674" i="3"/>
  <c r="C674" i="3"/>
  <c r="D674" i="3"/>
  <c r="E674" i="3"/>
  <c r="B675" i="3"/>
  <c r="C675" i="3"/>
  <c r="D675" i="3"/>
  <c r="E675" i="3"/>
  <c r="B676" i="3"/>
  <c r="C676" i="3"/>
  <c r="D676" i="3"/>
  <c r="E676" i="3"/>
  <c r="B677" i="3"/>
  <c r="C677" i="3"/>
  <c r="D677" i="3"/>
  <c r="E677" i="3"/>
  <c r="B678" i="3"/>
  <c r="C678" i="3"/>
  <c r="D678" i="3"/>
  <c r="E678" i="3"/>
  <c r="B679" i="3"/>
  <c r="C679" i="3"/>
  <c r="D679" i="3"/>
  <c r="E679" i="3"/>
  <c r="B680" i="3"/>
  <c r="C680" i="3"/>
  <c r="D680" i="3"/>
  <c r="E680" i="3"/>
  <c r="B681" i="3"/>
  <c r="C681" i="3"/>
  <c r="D681" i="3"/>
  <c r="E681" i="3"/>
  <c r="B682" i="3"/>
  <c r="C682" i="3"/>
  <c r="D682" i="3"/>
  <c r="E682" i="3"/>
  <c r="B683" i="3"/>
  <c r="C683" i="3"/>
  <c r="D683" i="3"/>
  <c r="E683" i="3"/>
  <c r="B684" i="3"/>
  <c r="C684" i="3"/>
  <c r="D684" i="3"/>
  <c r="E684" i="3"/>
  <c r="B685" i="3"/>
  <c r="C685" i="3"/>
  <c r="D685" i="3"/>
  <c r="E685" i="3"/>
  <c r="B686" i="3"/>
  <c r="C686" i="3"/>
  <c r="D686" i="3"/>
  <c r="E686" i="3"/>
  <c r="B687" i="3"/>
  <c r="C687" i="3"/>
  <c r="D687" i="3"/>
  <c r="E687" i="3"/>
  <c r="B688" i="3"/>
  <c r="C688" i="3"/>
  <c r="D688" i="3"/>
  <c r="E688" i="3"/>
  <c r="B689" i="3"/>
  <c r="C689" i="3"/>
  <c r="D689" i="3"/>
  <c r="E689" i="3"/>
  <c r="B690" i="3"/>
  <c r="C690" i="3"/>
  <c r="D690" i="3"/>
  <c r="E690" i="3"/>
  <c r="B691" i="3"/>
  <c r="C691" i="3"/>
  <c r="D691" i="3"/>
  <c r="E691" i="3"/>
  <c r="B692" i="3"/>
  <c r="C692" i="3"/>
  <c r="D692" i="3"/>
  <c r="E692" i="3"/>
  <c r="B693" i="3"/>
  <c r="C693" i="3"/>
  <c r="D693" i="3"/>
  <c r="E693" i="3"/>
  <c r="B694" i="3"/>
  <c r="C694" i="3"/>
  <c r="D694" i="3"/>
  <c r="E694" i="3"/>
  <c r="B695" i="3"/>
  <c r="C695" i="3"/>
  <c r="D695" i="3"/>
  <c r="E695" i="3"/>
  <c r="B696" i="3"/>
  <c r="C696" i="3"/>
  <c r="D696" i="3"/>
  <c r="E696" i="3"/>
  <c r="B697" i="3"/>
  <c r="C697" i="3"/>
  <c r="D697" i="3"/>
  <c r="E697" i="3"/>
  <c r="B698" i="3"/>
  <c r="C698" i="3"/>
  <c r="D698" i="3"/>
  <c r="E698" i="3"/>
  <c r="B699" i="3"/>
  <c r="C699" i="3"/>
  <c r="D699" i="3"/>
  <c r="E699" i="3"/>
  <c r="B700" i="3"/>
  <c r="C700" i="3"/>
  <c r="D700" i="3"/>
  <c r="E700" i="3"/>
  <c r="B701" i="3"/>
  <c r="C701" i="3"/>
  <c r="D701" i="3"/>
  <c r="E701" i="3"/>
  <c r="B702" i="3"/>
  <c r="C702" i="3"/>
  <c r="D702" i="3"/>
  <c r="E702" i="3"/>
  <c r="B703" i="3"/>
  <c r="C703" i="3"/>
  <c r="D703" i="3"/>
  <c r="E703" i="3"/>
  <c r="B704" i="3"/>
  <c r="C704" i="3"/>
  <c r="D704" i="3"/>
  <c r="E704" i="3"/>
  <c r="B705" i="3"/>
  <c r="C705" i="3"/>
  <c r="D705" i="3"/>
  <c r="E705" i="3"/>
  <c r="B706" i="3"/>
  <c r="C706" i="3"/>
  <c r="D706" i="3"/>
  <c r="E706" i="3"/>
  <c r="B707" i="3"/>
  <c r="C707" i="3"/>
  <c r="D707" i="3"/>
  <c r="E707" i="3"/>
  <c r="B708" i="3"/>
  <c r="C708" i="3"/>
  <c r="D708" i="3"/>
  <c r="E708" i="3"/>
  <c r="B709" i="3"/>
  <c r="C709" i="3"/>
  <c r="D709" i="3"/>
  <c r="E709" i="3"/>
  <c r="B710" i="3"/>
  <c r="C710" i="3"/>
  <c r="D710" i="3"/>
  <c r="E710" i="3"/>
  <c r="B711" i="3"/>
  <c r="C711" i="3"/>
  <c r="D711" i="3"/>
  <c r="E711" i="3"/>
  <c r="B712" i="3"/>
  <c r="C712" i="3"/>
  <c r="D712" i="3"/>
  <c r="E712" i="3"/>
  <c r="B713" i="3"/>
  <c r="C713" i="3"/>
  <c r="D713" i="3"/>
  <c r="E713" i="3"/>
  <c r="B714" i="3"/>
  <c r="C714" i="3"/>
  <c r="D714" i="3"/>
  <c r="E714" i="3"/>
  <c r="B715" i="3"/>
  <c r="C715" i="3"/>
  <c r="D715" i="3"/>
  <c r="E715" i="3"/>
  <c r="B716" i="3"/>
  <c r="C716" i="3"/>
  <c r="D716" i="3"/>
  <c r="E716" i="3"/>
  <c r="B717" i="3"/>
  <c r="C717" i="3"/>
  <c r="D717" i="3"/>
  <c r="E717" i="3"/>
  <c r="B718" i="3"/>
  <c r="C718" i="3"/>
  <c r="D718" i="3"/>
  <c r="E718" i="3"/>
  <c r="B719" i="3"/>
  <c r="C719" i="3"/>
  <c r="D719" i="3"/>
  <c r="E719" i="3"/>
  <c r="B720" i="3"/>
  <c r="C720" i="3"/>
  <c r="D720" i="3"/>
  <c r="E720" i="3"/>
  <c r="B721" i="3"/>
  <c r="C721" i="3"/>
  <c r="D721" i="3"/>
  <c r="E721" i="3"/>
  <c r="B722" i="3"/>
  <c r="C722" i="3"/>
  <c r="D722" i="3"/>
  <c r="E722" i="3"/>
  <c r="B723" i="3"/>
  <c r="C723" i="3"/>
  <c r="D723" i="3"/>
  <c r="E723" i="3"/>
  <c r="B724" i="3"/>
  <c r="C724" i="3"/>
  <c r="D724" i="3"/>
  <c r="E724" i="3"/>
  <c r="B725" i="3"/>
  <c r="C725" i="3"/>
  <c r="D725" i="3"/>
  <c r="E725" i="3"/>
  <c r="B726" i="3"/>
  <c r="C726" i="3"/>
  <c r="D726" i="3"/>
  <c r="E726" i="3"/>
  <c r="B727" i="3"/>
  <c r="C727" i="3"/>
  <c r="D727" i="3"/>
  <c r="E727" i="3"/>
  <c r="B728" i="3"/>
  <c r="C728" i="3"/>
  <c r="D728" i="3"/>
  <c r="E728" i="3"/>
  <c r="B729" i="3"/>
  <c r="C729" i="3"/>
  <c r="D729" i="3"/>
  <c r="E729" i="3"/>
  <c r="B730" i="3"/>
  <c r="C730" i="3"/>
  <c r="D730" i="3"/>
  <c r="E730" i="3"/>
  <c r="B731" i="3"/>
  <c r="C731" i="3"/>
  <c r="D731" i="3"/>
  <c r="E731" i="3"/>
  <c r="B732" i="3"/>
  <c r="C732" i="3"/>
  <c r="D732" i="3"/>
  <c r="E732" i="3"/>
  <c r="B733" i="3"/>
  <c r="C733" i="3"/>
  <c r="D733" i="3"/>
  <c r="E733" i="3"/>
  <c r="B734" i="3"/>
  <c r="C734" i="3"/>
  <c r="D734" i="3"/>
  <c r="E734" i="3"/>
  <c r="B735" i="3"/>
  <c r="C735" i="3"/>
  <c r="D735" i="3"/>
  <c r="E735" i="3"/>
  <c r="B736" i="3"/>
  <c r="C736" i="3"/>
  <c r="D736" i="3"/>
  <c r="E736" i="3"/>
  <c r="B737" i="3"/>
  <c r="C737" i="3"/>
  <c r="D737" i="3"/>
  <c r="E737" i="3"/>
  <c r="B738" i="3"/>
  <c r="C738" i="3"/>
  <c r="D738" i="3"/>
  <c r="E738" i="3"/>
  <c r="B739" i="3"/>
  <c r="C739" i="3"/>
  <c r="D739" i="3"/>
  <c r="E739" i="3"/>
  <c r="B740" i="3"/>
  <c r="C740" i="3"/>
  <c r="D740" i="3"/>
  <c r="E740" i="3"/>
  <c r="B741" i="3"/>
  <c r="C741" i="3"/>
  <c r="D741" i="3"/>
  <c r="E741" i="3"/>
  <c r="B742" i="3"/>
  <c r="C742" i="3"/>
  <c r="D742" i="3"/>
  <c r="E742" i="3"/>
  <c r="B743" i="3"/>
  <c r="C743" i="3"/>
  <c r="D743" i="3"/>
  <c r="E743" i="3"/>
  <c r="B744" i="3"/>
  <c r="C744" i="3"/>
  <c r="D744" i="3"/>
  <c r="E744" i="3"/>
  <c r="B745" i="3"/>
  <c r="C745" i="3"/>
  <c r="D745" i="3"/>
  <c r="E745" i="3"/>
  <c r="B746" i="3"/>
  <c r="C746" i="3"/>
  <c r="D746" i="3"/>
  <c r="E746" i="3"/>
  <c r="B747" i="3"/>
  <c r="C747" i="3"/>
  <c r="D747" i="3"/>
  <c r="E747" i="3"/>
  <c r="B748" i="3"/>
  <c r="C748" i="3"/>
  <c r="D748" i="3"/>
  <c r="E748" i="3"/>
  <c r="B749" i="3"/>
  <c r="C749" i="3"/>
  <c r="D749" i="3"/>
  <c r="E749" i="3"/>
  <c r="B750" i="3"/>
  <c r="C750" i="3"/>
  <c r="D750" i="3"/>
  <c r="E750" i="3"/>
  <c r="B751" i="3"/>
  <c r="C751" i="3"/>
  <c r="D751" i="3"/>
  <c r="E751" i="3"/>
  <c r="B752" i="3"/>
  <c r="C752" i="3"/>
  <c r="D752" i="3"/>
  <c r="E752" i="3"/>
  <c r="B753" i="3"/>
  <c r="C753" i="3"/>
  <c r="D753" i="3"/>
  <c r="E753" i="3"/>
  <c r="B754" i="3"/>
  <c r="C754" i="3"/>
  <c r="D754" i="3"/>
  <c r="E754" i="3"/>
  <c r="B755" i="3"/>
  <c r="C755" i="3"/>
  <c r="D755" i="3"/>
  <c r="E755" i="3"/>
  <c r="B756" i="3"/>
  <c r="C756" i="3"/>
  <c r="D756" i="3"/>
  <c r="E756" i="3"/>
  <c r="B757" i="3"/>
  <c r="C757" i="3"/>
  <c r="D757" i="3"/>
  <c r="E757" i="3"/>
  <c r="B758" i="3"/>
  <c r="C758" i="3"/>
  <c r="D758" i="3"/>
  <c r="E758" i="3"/>
  <c r="B759" i="3"/>
  <c r="C759" i="3"/>
  <c r="D759" i="3"/>
  <c r="E759" i="3"/>
  <c r="B760" i="3"/>
  <c r="C760" i="3"/>
  <c r="D760" i="3"/>
  <c r="E760" i="3"/>
  <c r="B761" i="3"/>
  <c r="C761" i="3"/>
  <c r="D761" i="3"/>
  <c r="E761" i="3"/>
  <c r="B762" i="3"/>
  <c r="C762" i="3"/>
  <c r="D762" i="3"/>
  <c r="E762" i="3"/>
  <c r="B763" i="3"/>
  <c r="C763" i="3"/>
  <c r="D763" i="3"/>
  <c r="E763" i="3"/>
  <c r="B764" i="3"/>
  <c r="C764" i="3"/>
  <c r="D764" i="3"/>
  <c r="E764" i="3"/>
  <c r="B765" i="3"/>
  <c r="C765" i="3"/>
  <c r="D765" i="3"/>
  <c r="E765" i="3"/>
  <c r="B766" i="3"/>
  <c r="C766" i="3"/>
  <c r="D766" i="3"/>
  <c r="E766" i="3"/>
  <c r="B767" i="3"/>
  <c r="C767" i="3"/>
  <c r="D767" i="3"/>
  <c r="E767" i="3"/>
  <c r="B768" i="3"/>
  <c r="C768" i="3"/>
  <c r="D768" i="3"/>
  <c r="E768" i="3"/>
  <c r="B769" i="3"/>
  <c r="C769" i="3"/>
  <c r="D769" i="3"/>
  <c r="E769" i="3"/>
  <c r="B770" i="3"/>
  <c r="C770" i="3"/>
  <c r="D770" i="3"/>
  <c r="E770" i="3"/>
  <c r="B771" i="3"/>
  <c r="C771" i="3"/>
  <c r="D771" i="3"/>
  <c r="E771" i="3"/>
  <c r="B772" i="3"/>
  <c r="C772" i="3"/>
  <c r="D772" i="3"/>
  <c r="E772" i="3"/>
  <c r="B773" i="3"/>
  <c r="C773" i="3"/>
  <c r="D773" i="3"/>
  <c r="E773" i="3"/>
  <c r="B774" i="3"/>
  <c r="C774" i="3"/>
  <c r="D774" i="3"/>
  <c r="E774" i="3"/>
  <c r="B775" i="3"/>
  <c r="C775" i="3"/>
  <c r="D775" i="3"/>
  <c r="E775" i="3"/>
  <c r="B776" i="3"/>
  <c r="C776" i="3"/>
  <c r="D776" i="3"/>
  <c r="E776" i="3"/>
  <c r="B777" i="3"/>
  <c r="C777" i="3"/>
  <c r="D777" i="3"/>
  <c r="E777" i="3"/>
  <c r="B778" i="3"/>
  <c r="C778" i="3"/>
  <c r="D778" i="3"/>
  <c r="E778" i="3"/>
  <c r="B779" i="3"/>
  <c r="C779" i="3"/>
  <c r="D779" i="3"/>
  <c r="E779" i="3"/>
  <c r="B780" i="3"/>
  <c r="C780" i="3"/>
  <c r="D780" i="3"/>
  <c r="E780" i="3"/>
  <c r="B781" i="3"/>
  <c r="C781" i="3"/>
  <c r="D781" i="3"/>
  <c r="E781" i="3"/>
  <c r="B782" i="3"/>
  <c r="C782" i="3"/>
  <c r="D782" i="3"/>
  <c r="E782" i="3"/>
  <c r="B783" i="3"/>
  <c r="C783" i="3"/>
  <c r="D783" i="3"/>
  <c r="E783" i="3"/>
  <c r="B784" i="3"/>
  <c r="C784" i="3"/>
  <c r="D784" i="3"/>
  <c r="E784" i="3"/>
  <c r="B785" i="3"/>
  <c r="C785" i="3"/>
  <c r="D785" i="3"/>
  <c r="E785" i="3"/>
  <c r="B786" i="3"/>
  <c r="C786" i="3"/>
  <c r="D786" i="3"/>
  <c r="E786" i="3"/>
  <c r="B787" i="3"/>
  <c r="C787" i="3"/>
  <c r="D787" i="3"/>
  <c r="E787" i="3"/>
  <c r="B788" i="3"/>
  <c r="C788" i="3"/>
  <c r="D788" i="3"/>
  <c r="E788" i="3"/>
  <c r="B789" i="3"/>
  <c r="C789" i="3"/>
  <c r="D789" i="3"/>
  <c r="E789" i="3"/>
  <c r="B790" i="3"/>
  <c r="C790" i="3"/>
  <c r="D790" i="3"/>
  <c r="E790" i="3"/>
  <c r="B791" i="3"/>
  <c r="C791" i="3"/>
  <c r="D791" i="3"/>
  <c r="E791" i="3"/>
  <c r="B792" i="3"/>
  <c r="C792" i="3"/>
  <c r="D792" i="3"/>
  <c r="E792" i="3"/>
  <c r="B793" i="3"/>
  <c r="C793" i="3"/>
  <c r="D793" i="3"/>
  <c r="E793" i="3"/>
  <c r="B794" i="3"/>
  <c r="C794" i="3"/>
  <c r="D794" i="3"/>
  <c r="E794" i="3"/>
  <c r="B795" i="3"/>
  <c r="C795" i="3"/>
  <c r="D795" i="3"/>
  <c r="E795" i="3"/>
  <c r="B796" i="3"/>
  <c r="C796" i="3"/>
  <c r="D796" i="3"/>
  <c r="E796" i="3"/>
  <c r="B797" i="3"/>
  <c r="C797" i="3"/>
  <c r="D797" i="3"/>
  <c r="E797" i="3"/>
  <c r="B798" i="3"/>
  <c r="C798" i="3"/>
  <c r="D798" i="3"/>
  <c r="E798" i="3"/>
  <c r="B799" i="3"/>
  <c r="C799" i="3"/>
  <c r="D799" i="3"/>
  <c r="E799" i="3"/>
  <c r="B800" i="3"/>
  <c r="C800" i="3"/>
  <c r="D800" i="3"/>
  <c r="E800" i="3"/>
  <c r="B801" i="3"/>
  <c r="C801" i="3"/>
  <c r="D801" i="3"/>
  <c r="E801" i="3"/>
  <c r="B802" i="3"/>
  <c r="C802" i="3"/>
  <c r="D802" i="3"/>
  <c r="E802" i="3"/>
  <c r="B803" i="3"/>
  <c r="C803" i="3"/>
  <c r="D803" i="3"/>
  <c r="E803" i="3"/>
  <c r="B804" i="3"/>
  <c r="C804" i="3"/>
  <c r="D804" i="3"/>
  <c r="E804" i="3"/>
  <c r="B805" i="3"/>
  <c r="C805" i="3"/>
  <c r="D805" i="3"/>
  <c r="E805" i="3"/>
  <c r="B806" i="3"/>
  <c r="C806" i="3"/>
  <c r="D806" i="3"/>
  <c r="E806" i="3"/>
  <c r="B807" i="3"/>
  <c r="C807" i="3"/>
  <c r="D807" i="3"/>
  <c r="E807" i="3"/>
  <c r="B808" i="3"/>
  <c r="C808" i="3"/>
  <c r="D808" i="3"/>
  <c r="E808" i="3"/>
  <c r="B809" i="3"/>
  <c r="C809" i="3"/>
  <c r="D809" i="3"/>
  <c r="E809" i="3"/>
  <c r="B810" i="3"/>
  <c r="C810" i="3"/>
  <c r="D810" i="3"/>
  <c r="E810" i="3"/>
  <c r="B811" i="3"/>
  <c r="C811" i="3"/>
  <c r="D811" i="3"/>
  <c r="E811" i="3"/>
  <c r="B812" i="3"/>
  <c r="C812" i="3"/>
  <c r="D812" i="3"/>
  <c r="E812" i="3"/>
  <c r="B813" i="3"/>
  <c r="C813" i="3"/>
  <c r="D813" i="3"/>
  <c r="E813" i="3"/>
  <c r="B814" i="3"/>
  <c r="C814" i="3"/>
  <c r="D814" i="3"/>
  <c r="E814" i="3"/>
  <c r="B815" i="3"/>
  <c r="C815" i="3"/>
  <c r="D815" i="3"/>
  <c r="E815" i="3"/>
  <c r="B816" i="3"/>
  <c r="C816" i="3"/>
  <c r="D816" i="3"/>
  <c r="E816" i="3"/>
  <c r="B817" i="3"/>
  <c r="C817" i="3"/>
  <c r="D817" i="3"/>
  <c r="E817" i="3"/>
  <c r="B818" i="3"/>
  <c r="C818" i="3"/>
  <c r="D818" i="3"/>
  <c r="E818" i="3"/>
  <c r="B819" i="3"/>
  <c r="C819" i="3"/>
  <c r="D819" i="3"/>
  <c r="E819" i="3"/>
  <c r="B820" i="3"/>
  <c r="C820" i="3"/>
  <c r="D820" i="3"/>
  <c r="E820" i="3"/>
  <c r="B821" i="3"/>
  <c r="C821" i="3"/>
  <c r="D821" i="3"/>
  <c r="E821" i="3"/>
  <c r="B822" i="3"/>
  <c r="C822" i="3"/>
  <c r="D822" i="3"/>
  <c r="E822" i="3"/>
  <c r="B823" i="3"/>
  <c r="C823" i="3"/>
  <c r="D823" i="3"/>
  <c r="E823" i="3"/>
  <c r="B824" i="3"/>
  <c r="C824" i="3"/>
  <c r="D824" i="3"/>
  <c r="E824" i="3"/>
  <c r="B825" i="3"/>
  <c r="C825" i="3"/>
  <c r="D825" i="3"/>
  <c r="E825" i="3"/>
  <c r="B826" i="3"/>
  <c r="C826" i="3"/>
  <c r="D826" i="3"/>
  <c r="E826" i="3"/>
  <c r="B827" i="3"/>
  <c r="C827" i="3"/>
  <c r="D827" i="3"/>
  <c r="E827" i="3"/>
  <c r="B828" i="3"/>
  <c r="C828" i="3"/>
  <c r="D828" i="3"/>
  <c r="E828" i="3"/>
  <c r="B829" i="3"/>
  <c r="C829" i="3"/>
  <c r="D829" i="3"/>
  <c r="E829" i="3"/>
  <c r="B830" i="3"/>
  <c r="C830" i="3"/>
  <c r="D830" i="3"/>
  <c r="E830" i="3"/>
  <c r="B831" i="3"/>
  <c r="C831" i="3"/>
  <c r="D831" i="3"/>
  <c r="E831" i="3"/>
  <c r="B832" i="3"/>
  <c r="C832" i="3"/>
  <c r="D832" i="3"/>
  <c r="E832" i="3"/>
  <c r="B833" i="3"/>
  <c r="C833" i="3"/>
  <c r="D833" i="3"/>
  <c r="E833" i="3"/>
  <c r="B834" i="3"/>
  <c r="C834" i="3"/>
  <c r="D834" i="3"/>
  <c r="E834" i="3"/>
  <c r="B835" i="3"/>
  <c r="C835" i="3"/>
  <c r="D835" i="3"/>
  <c r="E835" i="3"/>
  <c r="B836" i="3"/>
  <c r="C836" i="3"/>
  <c r="D836" i="3"/>
  <c r="E836" i="3"/>
  <c r="B837" i="3"/>
  <c r="C837" i="3"/>
  <c r="D837" i="3"/>
  <c r="E837" i="3"/>
  <c r="B838" i="3"/>
  <c r="C838" i="3"/>
  <c r="D838" i="3"/>
  <c r="E838" i="3"/>
  <c r="B839" i="3"/>
  <c r="C839" i="3"/>
  <c r="D839" i="3"/>
  <c r="E839" i="3"/>
  <c r="B840" i="3"/>
  <c r="C840" i="3"/>
  <c r="D840" i="3"/>
  <c r="E840" i="3"/>
  <c r="B841" i="3"/>
  <c r="C841" i="3"/>
  <c r="D841" i="3"/>
  <c r="E841" i="3"/>
  <c r="B842" i="3"/>
  <c r="C842" i="3"/>
  <c r="D842" i="3"/>
  <c r="E842" i="3"/>
  <c r="B843" i="3"/>
  <c r="C843" i="3"/>
  <c r="D843" i="3"/>
  <c r="E843" i="3"/>
  <c r="B844" i="3"/>
  <c r="C844" i="3"/>
  <c r="D844" i="3"/>
  <c r="E844" i="3"/>
  <c r="B845" i="3"/>
  <c r="C845" i="3"/>
  <c r="D845" i="3"/>
  <c r="E845" i="3"/>
  <c r="B846" i="3"/>
  <c r="C846" i="3"/>
  <c r="D846" i="3"/>
  <c r="E846" i="3"/>
  <c r="B847" i="3"/>
  <c r="C847" i="3"/>
  <c r="D847" i="3"/>
  <c r="E847" i="3"/>
  <c r="B848" i="3"/>
  <c r="C848" i="3"/>
  <c r="D848" i="3"/>
  <c r="E848" i="3"/>
  <c r="B849" i="3"/>
  <c r="C849" i="3"/>
  <c r="D849" i="3"/>
  <c r="E849" i="3"/>
  <c r="B850" i="3"/>
  <c r="C850" i="3"/>
  <c r="D850" i="3"/>
  <c r="E850" i="3"/>
  <c r="B851" i="3"/>
  <c r="C851" i="3"/>
  <c r="D851" i="3"/>
  <c r="E851" i="3"/>
  <c r="B852" i="3"/>
  <c r="C852" i="3"/>
  <c r="D852" i="3"/>
  <c r="E852" i="3"/>
  <c r="B853" i="3"/>
  <c r="C853" i="3"/>
  <c r="D853" i="3"/>
  <c r="E853" i="3"/>
  <c r="B854" i="3"/>
  <c r="C854" i="3"/>
  <c r="D854" i="3"/>
  <c r="E854" i="3"/>
  <c r="B855" i="3"/>
  <c r="C855" i="3"/>
  <c r="D855" i="3"/>
  <c r="E855" i="3"/>
  <c r="B856" i="3"/>
  <c r="C856" i="3"/>
  <c r="D856" i="3"/>
  <c r="E856" i="3"/>
  <c r="B857" i="3"/>
  <c r="C857" i="3"/>
  <c r="D857" i="3"/>
  <c r="E857" i="3"/>
  <c r="B858" i="3"/>
  <c r="C858" i="3"/>
  <c r="D858" i="3"/>
  <c r="E858" i="3"/>
  <c r="B859" i="3"/>
  <c r="C859" i="3"/>
  <c r="D859" i="3"/>
  <c r="E859" i="3"/>
  <c r="B860" i="3"/>
  <c r="C860" i="3"/>
  <c r="D860" i="3"/>
  <c r="E860" i="3"/>
  <c r="B861" i="3"/>
  <c r="C861" i="3"/>
  <c r="D861" i="3"/>
  <c r="E861" i="3"/>
  <c r="B862" i="3"/>
  <c r="C862" i="3"/>
  <c r="D862" i="3"/>
  <c r="E862" i="3"/>
  <c r="B863" i="3"/>
  <c r="C863" i="3"/>
  <c r="D863" i="3"/>
  <c r="E863" i="3"/>
  <c r="B864" i="3"/>
  <c r="C864" i="3"/>
  <c r="D864" i="3"/>
  <c r="E864" i="3"/>
  <c r="B865" i="3"/>
  <c r="C865" i="3"/>
  <c r="D865" i="3"/>
  <c r="E865" i="3"/>
  <c r="B866" i="3"/>
  <c r="C866" i="3"/>
  <c r="D866" i="3"/>
  <c r="E866" i="3"/>
  <c r="B867" i="3"/>
  <c r="C867" i="3"/>
  <c r="D867" i="3"/>
  <c r="E867" i="3"/>
  <c r="B868" i="3"/>
  <c r="C868" i="3"/>
  <c r="D868" i="3"/>
  <c r="E868" i="3"/>
  <c r="B869" i="3"/>
  <c r="C869" i="3"/>
  <c r="D869" i="3"/>
  <c r="E869" i="3"/>
  <c r="B870" i="3"/>
  <c r="C870" i="3"/>
  <c r="D870" i="3"/>
  <c r="E870" i="3"/>
  <c r="B871" i="3"/>
  <c r="C871" i="3"/>
  <c r="D871" i="3"/>
  <c r="E871" i="3"/>
  <c r="B872" i="3"/>
  <c r="C872" i="3"/>
  <c r="D872" i="3"/>
  <c r="E872" i="3"/>
  <c r="B873" i="3"/>
  <c r="C873" i="3"/>
  <c r="D873" i="3"/>
  <c r="E873" i="3"/>
  <c r="B874" i="3"/>
  <c r="C874" i="3"/>
  <c r="D874" i="3"/>
  <c r="E874" i="3"/>
  <c r="B875" i="3"/>
  <c r="C875" i="3"/>
  <c r="D875" i="3"/>
  <c r="E875" i="3"/>
  <c r="B876" i="3"/>
  <c r="C876" i="3"/>
  <c r="D876" i="3"/>
  <c r="E876" i="3"/>
  <c r="B877" i="3"/>
  <c r="C877" i="3"/>
  <c r="D877" i="3"/>
  <c r="E877" i="3"/>
  <c r="B878" i="3"/>
  <c r="C878" i="3"/>
  <c r="D878" i="3"/>
  <c r="E878" i="3"/>
  <c r="B879" i="3"/>
  <c r="C879" i="3"/>
  <c r="D879" i="3"/>
  <c r="E879" i="3"/>
  <c r="B880" i="3"/>
  <c r="C880" i="3"/>
  <c r="D880" i="3"/>
  <c r="E880" i="3"/>
  <c r="B881" i="3"/>
  <c r="C881" i="3"/>
  <c r="D881" i="3"/>
  <c r="E881" i="3"/>
  <c r="B882" i="3"/>
  <c r="C882" i="3"/>
  <c r="D882" i="3"/>
  <c r="E882" i="3"/>
  <c r="B883" i="3"/>
  <c r="C883" i="3"/>
  <c r="D883" i="3"/>
  <c r="E883" i="3"/>
  <c r="B884" i="3"/>
  <c r="C884" i="3"/>
  <c r="D884" i="3"/>
  <c r="E884" i="3"/>
  <c r="B885" i="3"/>
  <c r="C885" i="3"/>
  <c r="D885" i="3"/>
  <c r="E885" i="3"/>
  <c r="B886" i="3"/>
  <c r="C886" i="3"/>
  <c r="D886" i="3"/>
  <c r="E886" i="3"/>
  <c r="B887" i="3"/>
  <c r="C887" i="3"/>
  <c r="D887" i="3"/>
  <c r="E887" i="3"/>
  <c r="B888" i="3"/>
  <c r="C888" i="3"/>
  <c r="D888" i="3"/>
  <c r="E888" i="3"/>
  <c r="B889" i="3"/>
  <c r="C889" i="3"/>
  <c r="D889" i="3"/>
  <c r="E889" i="3"/>
  <c r="B890" i="3"/>
  <c r="C890" i="3"/>
  <c r="D890" i="3"/>
  <c r="E890" i="3"/>
  <c r="B891" i="3"/>
  <c r="C891" i="3"/>
  <c r="D891" i="3"/>
  <c r="E891" i="3"/>
  <c r="B892" i="3"/>
  <c r="C892" i="3"/>
  <c r="D892" i="3"/>
  <c r="E892" i="3"/>
  <c r="B893" i="3"/>
  <c r="C893" i="3"/>
  <c r="D893" i="3"/>
  <c r="E893" i="3"/>
  <c r="B894" i="3"/>
  <c r="C894" i="3"/>
  <c r="D894" i="3"/>
  <c r="E894" i="3"/>
  <c r="B895" i="3"/>
  <c r="C895" i="3"/>
  <c r="D895" i="3"/>
  <c r="E895" i="3"/>
  <c r="B896" i="3"/>
  <c r="C896" i="3"/>
  <c r="D896" i="3"/>
  <c r="E896" i="3"/>
  <c r="B897" i="3"/>
  <c r="C897" i="3"/>
  <c r="D897" i="3"/>
  <c r="E897" i="3"/>
  <c r="B898" i="3"/>
  <c r="C898" i="3"/>
  <c r="D898" i="3"/>
  <c r="E898" i="3"/>
  <c r="B899" i="3"/>
  <c r="C899" i="3"/>
  <c r="D899" i="3"/>
  <c r="E899" i="3"/>
  <c r="B900" i="3"/>
  <c r="C900" i="3"/>
  <c r="D900" i="3"/>
  <c r="E900" i="3"/>
  <c r="B901" i="3"/>
  <c r="C901" i="3"/>
  <c r="D901" i="3"/>
  <c r="E901" i="3"/>
  <c r="B902" i="3"/>
  <c r="C902" i="3"/>
  <c r="D902" i="3"/>
  <c r="E902" i="3"/>
  <c r="B903" i="3"/>
  <c r="C903" i="3"/>
  <c r="D903" i="3"/>
  <c r="E903" i="3"/>
  <c r="B904" i="3"/>
  <c r="C904" i="3"/>
  <c r="D904" i="3"/>
  <c r="E904" i="3"/>
  <c r="B905" i="3"/>
  <c r="C905" i="3"/>
  <c r="D905" i="3"/>
  <c r="E905" i="3"/>
  <c r="B906" i="3"/>
  <c r="C906" i="3"/>
  <c r="D906" i="3"/>
  <c r="E906" i="3"/>
  <c r="B907" i="3"/>
  <c r="C907" i="3"/>
  <c r="D907" i="3"/>
  <c r="E907" i="3"/>
  <c r="B908" i="3"/>
  <c r="C908" i="3"/>
  <c r="D908" i="3"/>
  <c r="E908" i="3"/>
  <c r="B909" i="3"/>
  <c r="C909" i="3"/>
  <c r="D909" i="3"/>
  <c r="E909" i="3"/>
  <c r="B910" i="3"/>
  <c r="C910" i="3"/>
  <c r="D910" i="3"/>
  <c r="E910" i="3"/>
  <c r="B911" i="3"/>
  <c r="C911" i="3"/>
  <c r="D911" i="3"/>
  <c r="E911" i="3"/>
  <c r="B912" i="3"/>
  <c r="C912" i="3"/>
  <c r="D912" i="3"/>
  <c r="E912" i="3"/>
  <c r="B913" i="3"/>
  <c r="C913" i="3"/>
  <c r="D913" i="3"/>
  <c r="E913" i="3"/>
  <c r="B914" i="3"/>
  <c r="C914" i="3"/>
  <c r="D914" i="3"/>
  <c r="E914" i="3"/>
  <c r="B915" i="3"/>
  <c r="C915" i="3"/>
  <c r="D915" i="3"/>
  <c r="E915" i="3"/>
  <c r="B916" i="3"/>
  <c r="C916" i="3"/>
  <c r="D916" i="3"/>
  <c r="E916" i="3"/>
  <c r="B917" i="3"/>
  <c r="C917" i="3"/>
  <c r="D917" i="3"/>
  <c r="E917" i="3"/>
  <c r="B918" i="3"/>
  <c r="C918" i="3"/>
  <c r="D918" i="3"/>
  <c r="E918" i="3"/>
  <c r="B919" i="3"/>
  <c r="C919" i="3"/>
  <c r="D919" i="3"/>
  <c r="E919" i="3"/>
  <c r="B920" i="3"/>
  <c r="C920" i="3"/>
  <c r="D920" i="3"/>
  <c r="E920" i="3"/>
  <c r="B921" i="3"/>
  <c r="C921" i="3"/>
  <c r="D921" i="3"/>
  <c r="E921" i="3"/>
  <c r="B922" i="3"/>
  <c r="C922" i="3"/>
  <c r="D922" i="3"/>
  <c r="E922" i="3"/>
  <c r="B923" i="3"/>
  <c r="C923" i="3"/>
  <c r="D923" i="3"/>
  <c r="E923" i="3"/>
  <c r="B924" i="3"/>
  <c r="C924" i="3"/>
  <c r="D924" i="3"/>
  <c r="E924" i="3"/>
  <c r="B925" i="3"/>
  <c r="C925" i="3"/>
  <c r="D925" i="3"/>
  <c r="E925" i="3"/>
  <c r="B926" i="3"/>
  <c r="C926" i="3"/>
  <c r="D926" i="3"/>
  <c r="E926" i="3"/>
  <c r="B927" i="3"/>
  <c r="C927" i="3"/>
  <c r="D927" i="3"/>
  <c r="E927" i="3"/>
  <c r="B928" i="3"/>
  <c r="C928" i="3"/>
  <c r="D928" i="3"/>
  <c r="E928" i="3"/>
  <c r="B929" i="3"/>
  <c r="C929" i="3"/>
  <c r="D929" i="3"/>
  <c r="E929" i="3"/>
  <c r="B930" i="3"/>
  <c r="C930" i="3"/>
  <c r="D930" i="3"/>
  <c r="E930" i="3"/>
  <c r="B931" i="3"/>
  <c r="C931" i="3"/>
  <c r="D931" i="3"/>
  <c r="E931" i="3"/>
  <c r="B932" i="3"/>
  <c r="C932" i="3"/>
  <c r="D932" i="3"/>
  <c r="E932" i="3"/>
  <c r="B933" i="3"/>
  <c r="C933" i="3"/>
  <c r="D933" i="3"/>
  <c r="E933" i="3"/>
  <c r="B934" i="3"/>
  <c r="C934" i="3"/>
  <c r="D934" i="3"/>
  <c r="E934" i="3"/>
  <c r="B935" i="3"/>
  <c r="C935" i="3"/>
  <c r="D935" i="3"/>
  <c r="E935" i="3"/>
  <c r="B936" i="3"/>
  <c r="C936" i="3"/>
  <c r="D936" i="3"/>
  <c r="E936" i="3"/>
  <c r="B937" i="3"/>
  <c r="C937" i="3"/>
  <c r="D937" i="3"/>
  <c r="E937" i="3"/>
  <c r="B938" i="3"/>
  <c r="C938" i="3"/>
  <c r="D938" i="3"/>
  <c r="E938" i="3"/>
  <c r="B939" i="3"/>
  <c r="C939" i="3"/>
  <c r="D939" i="3"/>
  <c r="E939" i="3"/>
  <c r="B940" i="3"/>
  <c r="C940" i="3"/>
  <c r="D940" i="3"/>
  <c r="E940" i="3"/>
  <c r="B941" i="3"/>
  <c r="C941" i="3"/>
  <c r="D941" i="3"/>
  <c r="E941" i="3"/>
  <c r="B942" i="3"/>
  <c r="C942" i="3"/>
  <c r="D942" i="3"/>
  <c r="E942" i="3"/>
  <c r="B943" i="3"/>
  <c r="C943" i="3"/>
  <c r="D943" i="3"/>
  <c r="E943" i="3"/>
  <c r="B944" i="3"/>
  <c r="C944" i="3"/>
  <c r="D944" i="3"/>
  <c r="E944" i="3"/>
  <c r="B945" i="3"/>
  <c r="C945" i="3"/>
  <c r="D945" i="3"/>
  <c r="E945" i="3"/>
  <c r="B946" i="3"/>
  <c r="C946" i="3"/>
  <c r="D946" i="3"/>
  <c r="E946" i="3"/>
  <c r="B947" i="3"/>
  <c r="C947" i="3"/>
  <c r="D947" i="3"/>
  <c r="E947" i="3"/>
  <c r="B948" i="3"/>
  <c r="C948" i="3"/>
  <c r="D948" i="3"/>
  <c r="E948" i="3"/>
  <c r="B949" i="3"/>
  <c r="C949" i="3"/>
  <c r="D949" i="3"/>
  <c r="E949" i="3"/>
  <c r="B950" i="3"/>
  <c r="C950" i="3"/>
  <c r="D950" i="3"/>
  <c r="E950" i="3"/>
  <c r="B951" i="3"/>
  <c r="C951" i="3"/>
  <c r="D951" i="3"/>
  <c r="E951" i="3"/>
  <c r="B952" i="3"/>
  <c r="C952" i="3"/>
  <c r="D952" i="3"/>
  <c r="E952" i="3"/>
  <c r="B953" i="3"/>
  <c r="C953" i="3"/>
  <c r="D953" i="3"/>
  <c r="E953" i="3"/>
  <c r="B954" i="3"/>
  <c r="C954" i="3"/>
  <c r="D954" i="3"/>
  <c r="E954" i="3"/>
  <c r="B955" i="3"/>
  <c r="C955" i="3"/>
  <c r="D955" i="3"/>
  <c r="E955" i="3"/>
  <c r="B956" i="3"/>
  <c r="C956" i="3"/>
  <c r="D956" i="3"/>
  <c r="E956" i="3"/>
  <c r="B957" i="3"/>
  <c r="C957" i="3"/>
  <c r="D957" i="3"/>
  <c r="E957" i="3"/>
  <c r="B958" i="3"/>
  <c r="C958" i="3"/>
  <c r="D958" i="3"/>
  <c r="E958" i="3"/>
  <c r="B959" i="3"/>
  <c r="C959" i="3"/>
  <c r="D959" i="3"/>
  <c r="E959" i="3"/>
  <c r="B960" i="3"/>
  <c r="C960" i="3"/>
  <c r="D960" i="3"/>
  <c r="E960" i="3"/>
  <c r="B961" i="3"/>
  <c r="C961" i="3"/>
  <c r="D961" i="3"/>
  <c r="E961" i="3"/>
  <c r="B962" i="3"/>
  <c r="C962" i="3"/>
  <c r="D962" i="3"/>
  <c r="E962" i="3"/>
  <c r="B963" i="3"/>
  <c r="C963" i="3"/>
  <c r="D963" i="3"/>
  <c r="E963" i="3"/>
  <c r="B964" i="3"/>
  <c r="C964" i="3"/>
  <c r="D964" i="3"/>
  <c r="E964" i="3"/>
  <c r="B965" i="3"/>
  <c r="C965" i="3"/>
  <c r="D965" i="3"/>
  <c r="E965" i="3"/>
  <c r="B966" i="3"/>
  <c r="C966" i="3"/>
  <c r="D966" i="3"/>
  <c r="E966" i="3"/>
  <c r="B967" i="3"/>
  <c r="C967" i="3"/>
  <c r="D967" i="3"/>
  <c r="E967" i="3"/>
  <c r="B968" i="3"/>
  <c r="C968" i="3"/>
  <c r="D968" i="3"/>
  <c r="E968" i="3"/>
  <c r="B969" i="3"/>
  <c r="C969" i="3"/>
  <c r="D969" i="3"/>
  <c r="E969" i="3"/>
  <c r="B970" i="3"/>
  <c r="C970" i="3"/>
  <c r="D970" i="3"/>
  <c r="E970" i="3"/>
  <c r="B971" i="3"/>
  <c r="C971" i="3"/>
  <c r="D971" i="3"/>
  <c r="E971" i="3"/>
  <c r="B972" i="3"/>
  <c r="C972" i="3"/>
  <c r="D972" i="3"/>
  <c r="E972" i="3"/>
  <c r="B973" i="3"/>
  <c r="C973" i="3"/>
  <c r="D973" i="3"/>
  <c r="E973" i="3"/>
  <c r="B974" i="3"/>
  <c r="C974" i="3"/>
  <c r="D974" i="3"/>
  <c r="E974" i="3"/>
  <c r="B975" i="3"/>
  <c r="C975" i="3"/>
  <c r="D975" i="3"/>
  <c r="E975" i="3"/>
  <c r="B976" i="3"/>
  <c r="C976" i="3"/>
  <c r="D976" i="3"/>
  <c r="E976" i="3"/>
  <c r="B977" i="3"/>
  <c r="C977" i="3"/>
  <c r="D977" i="3"/>
  <c r="E977" i="3"/>
  <c r="B978" i="3"/>
  <c r="C978" i="3"/>
  <c r="D978" i="3"/>
  <c r="E978" i="3"/>
  <c r="B979" i="3"/>
  <c r="C979" i="3"/>
  <c r="D979" i="3"/>
  <c r="E979" i="3"/>
  <c r="B980" i="3"/>
  <c r="C980" i="3"/>
  <c r="D980" i="3"/>
  <c r="E980" i="3"/>
  <c r="B981" i="3"/>
  <c r="C981" i="3"/>
  <c r="D981" i="3"/>
  <c r="E981" i="3"/>
  <c r="B982" i="3"/>
  <c r="C982" i="3"/>
  <c r="D982" i="3"/>
  <c r="E982" i="3"/>
  <c r="B983" i="3"/>
  <c r="C983" i="3"/>
  <c r="D983" i="3"/>
  <c r="E983" i="3"/>
  <c r="B984" i="3"/>
  <c r="C984" i="3"/>
  <c r="D984" i="3"/>
  <c r="E984" i="3"/>
  <c r="B985" i="3"/>
  <c r="C985" i="3"/>
  <c r="D985" i="3"/>
  <c r="E985" i="3"/>
  <c r="B986" i="3"/>
  <c r="C986" i="3"/>
  <c r="D986" i="3"/>
  <c r="E986" i="3"/>
  <c r="B987" i="3"/>
  <c r="C987" i="3"/>
  <c r="D987" i="3"/>
  <c r="E987" i="3"/>
  <c r="B988" i="3"/>
  <c r="C988" i="3"/>
  <c r="D988" i="3"/>
  <c r="E988" i="3"/>
  <c r="B989" i="3"/>
  <c r="C989" i="3"/>
  <c r="D989" i="3"/>
  <c r="E989" i="3"/>
  <c r="B990" i="3"/>
  <c r="C990" i="3"/>
  <c r="D990" i="3"/>
  <c r="E990" i="3"/>
  <c r="B991" i="3"/>
  <c r="C991" i="3"/>
  <c r="D991" i="3"/>
  <c r="E991" i="3"/>
  <c r="B992" i="3"/>
  <c r="C992" i="3"/>
  <c r="D992" i="3"/>
  <c r="E992" i="3"/>
  <c r="B993" i="3"/>
  <c r="C993" i="3"/>
  <c r="D993" i="3"/>
  <c r="E993" i="3"/>
  <c r="B994" i="3"/>
  <c r="C994" i="3"/>
  <c r="D994" i="3"/>
  <c r="E994" i="3"/>
  <c r="B995" i="3"/>
  <c r="C995" i="3"/>
  <c r="D995" i="3"/>
  <c r="E995" i="3"/>
  <c r="B996" i="3"/>
  <c r="C996" i="3"/>
  <c r="D996" i="3"/>
  <c r="E996" i="3"/>
  <c r="B997" i="3"/>
  <c r="C997" i="3"/>
  <c r="D997" i="3"/>
  <c r="E997" i="3"/>
  <c r="B998" i="3"/>
  <c r="C998" i="3"/>
  <c r="D998" i="3"/>
  <c r="E998" i="3"/>
  <c r="B999" i="3"/>
  <c r="C999" i="3"/>
  <c r="D999" i="3"/>
  <c r="E999" i="3"/>
  <c r="B1000" i="3"/>
  <c r="C1000" i="3"/>
  <c r="D1000" i="3"/>
  <c r="E1000" i="3"/>
  <c r="B1001" i="3"/>
  <c r="C1001" i="3"/>
  <c r="D1001" i="3"/>
  <c r="E1001" i="3"/>
  <c r="B1002" i="3"/>
  <c r="C1002" i="3"/>
  <c r="D1002" i="3"/>
  <c r="E1002" i="3"/>
  <c r="B1003" i="3"/>
  <c r="C1003" i="3"/>
  <c r="D1003" i="3"/>
  <c r="E1003" i="3"/>
  <c r="B1004" i="3"/>
  <c r="C1004" i="3"/>
  <c r="D1004" i="3"/>
  <c r="E1004" i="3"/>
  <c r="B1005" i="3"/>
  <c r="C1005" i="3"/>
  <c r="D1005" i="3"/>
  <c r="E1005" i="3"/>
  <c r="B1006" i="3"/>
  <c r="C1006" i="3"/>
  <c r="D1006" i="3"/>
  <c r="E1006" i="3"/>
  <c r="B1007" i="3"/>
  <c r="C1007" i="3"/>
  <c r="D1007" i="3"/>
  <c r="E1007" i="3"/>
  <c r="B1008" i="3"/>
  <c r="C1008" i="3"/>
  <c r="D1008" i="3"/>
  <c r="E1008" i="3"/>
  <c r="B1009" i="3"/>
  <c r="C1009" i="3"/>
  <c r="D1009" i="3"/>
  <c r="E1009" i="3"/>
  <c r="B1010" i="3"/>
  <c r="C1010" i="3"/>
  <c r="D1010" i="3"/>
  <c r="E1010" i="3"/>
  <c r="B1011" i="3"/>
  <c r="C1011" i="3"/>
  <c r="D1011" i="3"/>
  <c r="E1011" i="3"/>
  <c r="B1012" i="3"/>
  <c r="C1012" i="3"/>
  <c r="D1012" i="3"/>
  <c r="E1012" i="3"/>
</calcChain>
</file>

<file path=xl/comments1.xml><?xml version="1.0" encoding="utf-8"?>
<comments xmlns="http://schemas.openxmlformats.org/spreadsheetml/2006/main">
  <authors>
    <author>Administrador</author>
  </authors>
  <commentList>
    <comment ref="C11" authorId="0" shapeId="0">
      <text>
        <r>
          <rPr>
            <b/>
            <sz val="8"/>
            <color indexed="81"/>
            <rFont val="Tahoma"/>
            <family val="2"/>
          </rPr>
          <t>=ODE_RK4(A10:C10;$F$7;$H$7;$I$7;$J$7;$K$7;$L$7)</t>
        </r>
      </text>
    </comment>
  </commentList>
</comments>
</file>

<file path=xl/sharedStrings.xml><?xml version="1.0" encoding="utf-8"?>
<sst xmlns="http://schemas.openxmlformats.org/spreadsheetml/2006/main" count="91" uniqueCount="66">
  <si>
    <t>q(exata)</t>
  </si>
  <si>
    <t>E(t)</t>
  </si>
  <si>
    <t>q</t>
  </si>
  <si>
    <t>i</t>
  </si>
  <si>
    <t>t</t>
  </si>
  <si>
    <t>h</t>
  </si>
  <si>
    <t xml:space="preserve"> E0/[ L.(p^2-w^2) ] = K =</t>
  </si>
  <si>
    <t>1/raiz(L.C) = p =</t>
  </si>
  <si>
    <t>q'</t>
  </si>
  <si>
    <t>1/(L)</t>
  </si>
  <si>
    <t xml:space="preserve"> -1/(C.L)</t>
  </si>
  <si>
    <t xml:space="preserve"> -R/L</t>
  </si>
  <si>
    <t>i'</t>
  </si>
  <si>
    <t>E(t) = E0.sen(w.t)</t>
  </si>
  <si>
    <t>q' = i</t>
  </si>
  <si>
    <t>1) Resolução teórica</t>
  </si>
  <si>
    <t>K = A2 =</t>
  </si>
  <si>
    <t>w</t>
  </si>
  <si>
    <t>w^2</t>
  </si>
  <si>
    <t>E0</t>
  </si>
  <si>
    <t>C</t>
  </si>
  <si>
    <t>L</t>
  </si>
  <si>
    <t>R</t>
  </si>
  <si>
    <t xml:space="preserve"> K . w/p = A1 =</t>
  </si>
  <si>
    <t>i' = -R/L*i-1/(L*C)*q+E0*sin(w*t)/L</t>
  </si>
  <si>
    <t>diff.equation</t>
  </si>
  <si>
    <t>f(t+h) = f(t) + h/6*( k1 + 2*k2 + 2*k3 + k4 )</t>
  </si>
  <si>
    <t>K4 = f(t+h ; y + h*k3)</t>
  </si>
  <si>
    <t>k3 = f(t+h/2 ; y + h/2*k2)</t>
  </si>
  <si>
    <t>k2 = f(t+h/2 ; y + h/2*k1)</t>
  </si>
  <si>
    <t>k1 = f'(t) = f(t,y)</t>
  </si>
  <si>
    <t>s</t>
  </si>
  <si>
    <t>Inicia?</t>
  </si>
  <si>
    <t xml:space="preserve">    --&gt; y(t+h) = h/2*[ y'(t+h) + y'(t) ] + y(t)</t>
  </si>
  <si>
    <t>[ y(t+h) - y(t) ]/h = [ y'(t+h) + y'(t) ]/2</t>
  </si>
  <si>
    <t>2) Resolução Numérica - via método de Euler</t>
  </si>
  <si>
    <t>[ y(t+h) - y(t) ]/h = y'(t)</t>
  </si>
  <si>
    <t>&lt;--Aplicando a Lei de Kirchoff das malhas</t>
  </si>
  <si>
    <t>&lt;--Isolando L.i'</t>
  </si>
  <si>
    <t>&lt;--Trocando a notação de derivada de di/dt para i'</t>
  </si>
  <si>
    <t>&lt;--Passando L para o outro lado dividindo</t>
  </si>
  <si>
    <t>&lt;--Passando E(t) para o outro lado subtraindo</t>
  </si>
  <si>
    <r>
      <t xml:space="preserve">&lt;--Segunda EDO de 1a ordem em </t>
    </r>
    <r>
      <rPr>
        <b/>
        <sz val="11"/>
        <color indexed="8"/>
        <rFont val="Calibri"/>
        <family val="2"/>
      </rPr>
      <t>q'</t>
    </r>
    <r>
      <rPr>
        <sz val="11"/>
        <color theme="1"/>
        <rFont val="Calibri"/>
        <family val="2"/>
        <scheme val="minor"/>
      </rPr>
      <t xml:space="preserve">, variáveis </t>
    </r>
    <r>
      <rPr>
        <b/>
        <sz val="11"/>
        <color indexed="8"/>
        <rFont val="Calibri"/>
        <family val="2"/>
      </rPr>
      <t xml:space="preserve">i </t>
    </r>
    <r>
      <rPr>
        <sz val="11"/>
        <color theme="1"/>
        <rFont val="Calibri"/>
        <family val="2"/>
        <scheme val="minor"/>
      </rPr>
      <t xml:space="preserve">e </t>
    </r>
    <r>
      <rPr>
        <b/>
        <sz val="11"/>
        <color indexed="8"/>
        <rFont val="Calibri"/>
        <family val="2"/>
      </rPr>
      <t>q</t>
    </r>
  </si>
  <si>
    <r>
      <t xml:space="preserve">&lt;--Primeira EDO de 1a ordem em </t>
    </r>
    <r>
      <rPr>
        <b/>
        <sz val="11"/>
        <color indexed="8"/>
        <rFont val="Calibri"/>
        <family val="2"/>
      </rPr>
      <t>i'</t>
    </r>
    <r>
      <rPr>
        <sz val="11"/>
        <color theme="1"/>
        <rFont val="Calibri"/>
        <family val="2"/>
        <scheme val="minor"/>
      </rPr>
      <t xml:space="preserve">, variáveis </t>
    </r>
    <r>
      <rPr>
        <b/>
        <sz val="11"/>
        <color indexed="8"/>
        <rFont val="Calibri"/>
        <family val="2"/>
      </rPr>
      <t xml:space="preserve">i </t>
    </r>
    <r>
      <rPr>
        <sz val="11"/>
        <color theme="1"/>
        <rFont val="Calibri"/>
        <family val="2"/>
        <scheme val="minor"/>
      </rPr>
      <t xml:space="preserve">e </t>
    </r>
    <r>
      <rPr>
        <b/>
        <sz val="11"/>
        <color indexed="8"/>
        <rFont val="Calibri"/>
        <family val="2"/>
      </rPr>
      <t>q</t>
    </r>
  </si>
  <si>
    <r>
      <t>L.</t>
    </r>
    <r>
      <rPr>
        <b/>
        <sz val="11"/>
        <color indexed="8"/>
        <rFont val="Calibri"/>
        <family val="2"/>
      </rPr>
      <t>di/dt</t>
    </r>
    <r>
      <rPr>
        <sz val="11"/>
        <color theme="1"/>
        <rFont val="Calibri"/>
        <family val="2"/>
        <scheme val="minor"/>
      </rPr>
      <t xml:space="preserve"> + R.</t>
    </r>
    <r>
      <rPr>
        <b/>
        <sz val="11"/>
        <color indexed="8"/>
        <rFont val="Calibri"/>
        <family val="2"/>
      </rPr>
      <t>i</t>
    </r>
    <r>
      <rPr>
        <sz val="11"/>
        <color theme="1"/>
        <rFont val="Calibri"/>
        <family val="2"/>
        <scheme val="minor"/>
      </rPr>
      <t xml:space="preserve"> + </t>
    </r>
    <r>
      <rPr>
        <b/>
        <sz val="11"/>
        <color indexed="8"/>
        <rFont val="Calibri"/>
        <family val="2"/>
      </rPr>
      <t>q</t>
    </r>
    <r>
      <rPr>
        <sz val="11"/>
        <color theme="1"/>
        <rFont val="Calibri"/>
        <family val="2"/>
        <scheme val="minor"/>
      </rPr>
      <t>/C - E(t) = 0</t>
    </r>
  </si>
  <si>
    <r>
      <t>L.</t>
    </r>
    <r>
      <rPr>
        <b/>
        <sz val="11"/>
        <color indexed="8"/>
        <rFont val="Calibri"/>
        <family val="2"/>
      </rPr>
      <t>di/dt</t>
    </r>
    <r>
      <rPr>
        <sz val="11"/>
        <color theme="1"/>
        <rFont val="Calibri"/>
        <family val="2"/>
        <scheme val="minor"/>
      </rPr>
      <t xml:space="preserve"> + R.</t>
    </r>
    <r>
      <rPr>
        <b/>
        <sz val="11"/>
        <color indexed="8"/>
        <rFont val="Calibri"/>
        <family val="2"/>
      </rPr>
      <t>i</t>
    </r>
    <r>
      <rPr>
        <sz val="11"/>
        <color theme="1"/>
        <rFont val="Calibri"/>
        <family val="2"/>
        <scheme val="minor"/>
      </rPr>
      <t xml:space="preserve"> + </t>
    </r>
    <r>
      <rPr>
        <b/>
        <sz val="11"/>
        <color indexed="8"/>
        <rFont val="Calibri"/>
        <family val="2"/>
      </rPr>
      <t>q</t>
    </r>
    <r>
      <rPr>
        <sz val="11"/>
        <color theme="1"/>
        <rFont val="Calibri"/>
        <family val="2"/>
        <scheme val="minor"/>
      </rPr>
      <t>/C = E(t)</t>
    </r>
  </si>
  <si>
    <r>
      <t>L.</t>
    </r>
    <r>
      <rPr>
        <b/>
        <sz val="11"/>
        <color indexed="8"/>
        <rFont val="Calibri"/>
        <family val="2"/>
      </rPr>
      <t>i'</t>
    </r>
    <r>
      <rPr>
        <sz val="11"/>
        <color theme="1"/>
        <rFont val="Calibri"/>
        <family val="2"/>
        <scheme val="minor"/>
      </rPr>
      <t xml:space="preserve"> + R.</t>
    </r>
    <r>
      <rPr>
        <b/>
        <sz val="11"/>
        <color indexed="8"/>
        <rFont val="Calibri"/>
        <family val="2"/>
      </rPr>
      <t>i</t>
    </r>
    <r>
      <rPr>
        <sz val="11"/>
        <color theme="1"/>
        <rFont val="Calibri"/>
        <family val="2"/>
        <scheme val="minor"/>
      </rPr>
      <t xml:space="preserve"> + q/C = E(t)</t>
    </r>
  </si>
  <si>
    <r>
      <t>L.</t>
    </r>
    <r>
      <rPr>
        <b/>
        <sz val="11"/>
        <color indexed="8"/>
        <rFont val="Calibri"/>
        <family val="2"/>
      </rPr>
      <t>i'</t>
    </r>
    <r>
      <rPr>
        <sz val="11"/>
        <color theme="1"/>
        <rFont val="Calibri"/>
        <family val="2"/>
        <scheme val="minor"/>
      </rPr>
      <t xml:space="preserve"> = -R.</t>
    </r>
    <r>
      <rPr>
        <b/>
        <sz val="11"/>
        <color indexed="8"/>
        <rFont val="Calibri"/>
        <family val="2"/>
      </rPr>
      <t>i</t>
    </r>
    <r>
      <rPr>
        <sz val="11"/>
        <color theme="1"/>
        <rFont val="Calibri"/>
        <family val="2"/>
        <scheme val="minor"/>
      </rPr>
      <t xml:space="preserve"> - </t>
    </r>
    <r>
      <rPr>
        <b/>
        <sz val="11"/>
        <color indexed="8"/>
        <rFont val="Calibri"/>
        <family val="2"/>
      </rPr>
      <t>q</t>
    </r>
    <r>
      <rPr>
        <sz val="11"/>
        <color theme="1"/>
        <rFont val="Calibri"/>
        <family val="2"/>
        <scheme val="minor"/>
      </rPr>
      <t>/C + E(t)</t>
    </r>
  </si>
  <si>
    <r>
      <rPr>
        <b/>
        <sz val="11"/>
        <color indexed="8"/>
        <rFont val="Calibri"/>
        <family val="2"/>
      </rPr>
      <t>i'</t>
    </r>
    <r>
      <rPr>
        <sz val="11"/>
        <color theme="1"/>
        <rFont val="Calibri"/>
        <family val="2"/>
        <scheme val="minor"/>
      </rPr>
      <t xml:space="preserve"> = -R/L.</t>
    </r>
    <r>
      <rPr>
        <b/>
        <sz val="11"/>
        <color indexed="8"/>
        <rFont val="Calibri"/>
        <family val="2"/>
      </rPr>
      <t>i</t>
    </r>
    <r>
      <rPr>
        <sz val="11"/>
        <color theme="1"/>
        <rFont val="Calibri"/>
        <family val="2"/>
        <scheme val="minor"/>
      </rPr>
      <t xml:space="preserve"> -[1/(C.L)].</t>
    </r>
    <r>
      <rPr>
        <b/>
        <sz val="11"/>
        <color indexed="8"/>
        <rFont val="Calibri"/>
        <family val="2"/>
      </rPr>
      <t>q</t>
    </r>
    <r>
      <rPr>
        <sz val="11"/>
        <color theme="1"/>
        <rFont val="Calibri"/>
        <family val="2"/>
        <scheme val="minor"/>
      </rPr>
      <t xml:space="preserve"> + E(t)/L</t>
    </r>
  </si>
  <si>
    <t>A partir da Lei de Kirchoff das malhas</t>
  </si>
  <si>
    <r>
      <t xml:space="preserve">     </t>
    </r>
    <r>
      <rPr>
        <b/>
        <sz val="11"/>
        <color indexed="8"/>
        <rFont val="Calibri"/>
        <family val="2"/>
      </rPr>
      <t>i'</t>
    </r>
    <r>
      <rPr>
        <sz val="11"/>
        <color theme="1"/>
        <rFont val="Calibri"/>
        <family val="2"/>
        <scheme val="minor"/>
      </rPr>
      <t xml:space="preserve"> = -R/L.</t>
    </r>
    <r>
      <rPr>
        <b/>
        <sz val="11"/>
        <color indexed="8"/>
        <rFont val="Calibri"/>
        <family val="2"/>
      </rPr>
      <t>i</t>
    </r>
    <r>
      <rPr>
        <sz val="11"/>
        <color theme="1"/>
        <rFont val="Calibri"/>
        <family val="2"/>
        <scheme val="minor"/>
      </rPr>
      <t xml:space="preserve"> -[1/(C.L)].</t>
    </r>
    <r>
      <rPr>
        <b/>
        <sz val="11"/>
        <color indexed="8"/>
        <rFont val="Calibri"/>
        <family val="2"/>
      </rPr>
      <t>q</t>
    </r>
    <r>
      <rPr>
        <sz val="11"/>
        <color theme="1"/>
        <rFont val="Calibri"/>
        <family val="2"/>
        <scheme val="minor"/>
      </rPr>
      <t xml:space="preserve"> + E(t)/L</t>
    </r>
  </si>
  <si>
    <r>
      <t xml:space="preserve">    </t>
    </r>
    <r>
      <rPr>
        <b/>
        <sz val="11"/>
        <color indexed="8"/>
        <rFont val="Calibri"/>
        <family val="2"/>
      </rPr>
      <t>q'</t>
    </r>
    <r>
      <rPr>
        <sz val="11"/>
        <color theme="1"/>
        <rFont val="Calibri"/>
        <family val="2"/>
        <scheme val="minor"/>
      </rPr>
      <t xml:space="preserve"> = </t>
    </r>
    <r>
      <rPr>
        <b/>
        <sz val="11"/>
        <color indexed="8"/>
        <rFont val="Calibri"/>
        <family val="2"/>
      </rPr>
      <t>i</t>
    </r>
  </si>
  <si>
    <t>+</t>
  </si>
  <si>
    <t>.</t>
  </si>
  <si>
    <t>Descrição do Método de Euler</t>
  </si>
  <si>
    <r>
      <rPr>
        <b/>
        <sz val="11"/>
        <color indexed="8"/>
        <rFont val="Calibri"/>
        <family val="2"/>
      </rPr>
      <t>y</t>
    </r>
    <r>
      <rPr>
        <sz val="11"/>
        <color theme="1"/>
        <rFont val="Calibri"/>
        <family val="2"/>
        <scheme val="minor"/>
      </rPr>
      <t xml:space="preserve">' = </t>
    </r>
    <r>
      <rPr>
        <sz val="11"/>
        <color indexed="8"/>
        <rFont val="Calibri"/>
        <family val="2"/>
      </rPr>
      <t>A</t>
    </r>
    <r>
      <rPr>
        <sz val="11"/>
        <color theme="1"/>
        <rFont val="Calibri"/>
        <family val="2"/>
        <scheme val="minor"/>
      </rPr>
      <t>.</t>
    </r>
    <r>
      <rPr>
        <b/>
        <sz val="11"/>
        <color indexed="8"/>
        <rFont val="Calibri"/>
        <family val="2"/>
      </rPr>
      <t>y</t>
    </r>
    <r>
      <rPr>
        <sz val="11"/>
        <color theme="1"/>
        <rFont val="Calibri"/>
        <family val="2"/>
        <scheme val="minor"/>
      </rPr>
      <t xml:space="preserve"> + </t>
    </r>
    <r>
      <rPr>
        <sz val="11"/>
        <color indexed="8"/>
        <rFont val="Calibri"/>
        <family val="2"/>
      </rPr>
      <t>B.</t>
    </r>
    <r>
      <rPr>
        <sz val="11"/>
        <color theme="1"/>
        <rFont val="Calibri"/>
        <family val="2"/>
        <scheme val="minor"/>
      </rPr>
      <t>E(t)</t>
    </r>
  </si>
  <si>
    <t xml:space="preserve">    --&gt; y(t+h) = y(t) + hy'(t)</t>
  </si>
  <si>
    <t>Descrição do Método das Diferenças Finitas</t>
  </si>
  <si>
    <t>Descrição do Método de Runge Kutta 4a Ordem</t>
  </si>
  <si>
    <t>1) Solução Exata</t>
  </si>
  <si>
    <t>3) Resolução Numérica - via diferenças finitas</t>
  </si>
  <si>
    <t>5) Resolução Numérica - via duas EDOs com Runge-Kutta 4a ordem</t>
  </si>
  <si>
    <t xml:space="preserve">     q = -A1.sin(p.t)+A2.sin(w.t)</t>
  </si>
  <si>
    <t>q(RK4)</t>
  </si>
  <si>
    <t>q (Dif.Fin.)</t>
  </si>
  <si>
    <t>q (Euler)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</si>
</sst>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3" formatCode="0.000"/>
  </numFmts>
  <fonts count="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8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8" tint="0.79998168889431442"/>
        <bgColor indexed="64"/>
      </patternFill>
    </fill>
  </fills>
  <borders count="28">
    <border>
      <left/>
      <right/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/>
      <top/>
      <bottom style="medium">
        <color indexed="64"/>
      </bottom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43" fontId="7" fillId="0" borderId="0" applyFont="0" applyFill="0" applyBorder="0" applyAlignment="0" applyProtection="0"/>
  </cellStyleXfs>
  <cellXfs count="64">
    <xf numFmtId="0" fontId="0" fillId="0" borderId="0" xfId="0"/>
    <xf numFmtId="2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applyFill="1" applyBorder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Fill="1" applyBorder="1" applyAlignment="1">
      <alignment horizontal="left"/>
    </xf>
    <xf numFmtId="0" fontId="0" fillId="0" borderId="0" xfId="0" applyBorder="1" applyAlignment="1">
      <alignment horizontal="center"/>
    </xf>
    <xf numFmtId="173" fontId="0" fillId="0" borderId="0" xfId="0" applyNumberFormat="1"/>
    <xf numFmtId="0" fontId="8" fillId="0" borderId="0" xfId="0" applyFont="1"/>
    <xf numFmtId="0" fontId="8" fillId="0" borderId="0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2" fontId="0" fillId="2" borderId="0" xfId="0" applyNumberFormat="1" applyFill="1"/>
    <xf numFmtId="2" fontId="0" fillId="2" borderId="0" xfId="0" applyNumberFormat="1" applyFill="1" applyAlignment="1">
      <alignment horizontal="left"/>
    </xf>
    <xf numFmtId="0" fontId="0" fillId="2" borderId="0" xfId="0" applyFill="1"/>
    <xf numFmtId="0" fontId="0" fillId="2" borderId="0" xfId="0" applyFill="1" applyAlignment="1">
      <alignment horizontal="center"/>
    </xf>
    <xf numFmtId="0" fontId="0" fillId="2" borderId="0" xfId="0" applyFont="1" applyFill="1" applyAlignment="1">
      <alignment horizontal="center"/>
    </xf>
    <xf numFmtId="2" fontId="0" fillId="2" borderId="0" xfId="0" applyNumberFormat="1" applyFont="1" applyFill="1" applyAlignment="1">
      <alignment horizontal="center"/>
    </xf>
    <xf numFmtId="0" fontId="0" fillId="0" borderId="8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2" fontId="0" fillId="2" borderId="12" xfId="0" applyNumberFormat="1" applyFill="1" applyBorder="1"/>
    <xf numFmtId="2" fontId="0" fillId="2" borderId="13" xfId="0" applyNumberFormat="1" applyFill="1" applyBorder="1"/>
    <xf numFmtId="2" fontId="0" fillId="0" borderId="12" xfId="0" applyNumberFormat="1" applyBorder="1"/>
    <xf numFmtId="2" fontId="0" fillId="0" borderId="13" xfId="0" applyNumberFormat="1" applyBorder="1"/>
    <xf numFmtId="0" fontId="0" fillId="0" borderId="9" xfId="0" applyBorder="1" applyAlignment="1">
      <alignment horizontal="center"/>
    </xf>
    <xf numFmtId="2" fontId="0" fillId="0" borderId="14" xfId="0" applyNumberFormat="1" applyBorder="1"/>
    <xf numFmtId="0" fontId="0" fillId="0" borderId="8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5" xfId="0" applyBorder="1" applyAlignment="1">
      <alignment horizontal="center"/>
    </xf>
    <xf numFmtId="2" fontId="0" fillId="0" borderId="16" xfId="0" applyNumberFormat="1" applyBorder="1"/>
    <xf numFmtId="0" fontId="0" fillId="0" borderId="9" xfId="0" applyBorder="1" applyAlignment="1">
      <alignment horizontal="center"/>
    </xf>
    <xf numFmtId="0" fontId="0" fillId="0" borderId="0" xfId="0" applyFont="1" applyFill="1" applyBorder="1" applyAlignment="1">
      <alignment horizontal="left"/>
    </xf>
    <xf numFmtId="0" fontId="0" fillId="2" borderId="17" xfId="0" applyFont="1" applyFill="1" applyBorder="1" applyAlignment="1">
      <alignment horizontal="center"/>
    </xf>
    <xf numFmtId="0" fontId="0" fillId="3" borderId="18" xfId="0" applyFill="1" applyBorder="1"/>
    <xf numFmtId="0" fontId="0" fillId="3" borderId="19" xfId="0" applyFill="1" applyBorder="1"/>
    <xf numFmtId="0" fontId="0" fillId="3" borderId="20" xfId="0" applyFill="1" applyBorder="1" applyAlignment="1">
      <alignment horizontal="right"/>
    </xf>
    <xf numFmtId="0" fontId="0" fillId="3" borderId="21" xfId="0" applyFill="1" applyBorder="1"/>
    <xf numFmtId="0" fontId="0" fillId="3" borderId="17" xfId="0" applyFill="1" applyBorder="1"/>
    <xf numFmtId="0" fontId="0" fillId="3" borderId="17" xfId="0" applyFont="1" applyFill="1" applyBorder="1" applyAlignment="1">
      <alignment horizontal="center"/>
    </xf>
    <xf numFmtId="0" fontId="0" fillId="3" borderId="22" xfId="0" applyFill="1" applyBorder="1" applyAlignment="1">
      <alignment horizontal="right"/>
    </xf>
    <xf numFmtId="0" fontId="8" fillId="0" borderId="23" xfId="0" applyFont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8" fillId="0" borderId="18" xfId="0" applyFont="1" applyFill="1" applyBorder="1" applyAlignment="1">
      <alignment horizontal="center"/>
    </xf>
    <xf numFmtId="0" fontId="8" fillId="0" borderId="19" xfId="0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2" fontId="0" fillId="2" borderId="22" xfId="0" applyNumberFormat="1" applyFont="1" applyFill="1" applyBorder="1" applyAlignment="1">
      <alignment horizontal="center"/>
    </xf>
    <xf numFmtId="2" fontId="0" fillId="0" borderId="25" xfId="0" applyNumberFormat="1" applyBorder="1"/>
    <xf numFmtId="2" fontId="0" fillId="0" borderId="26" xfId="0" applyNumberFormat="1" applyBorder="1"/>
    <xf numFmtId="2" fontId="0" fillId="0" borderId="27" xfId="0" applyNumberFormat="1" applyBorder="1"/>
  </cellXfs>
  <cellStyles count="3">
    <cellStyle name="Normal" xfId="0" builtinId="0"/>
    <cellStyle name="Normal 2" xfId="1"/>
    <cellStyle name="Separador de milhares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5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2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4.xml"/><Relationship Id="rId10" Type="http://schemas.openxmlformats.org/officeDocument/2006/relationships/styles" Target="styles.xml"/><Relationship Id="rId4" Type="http://schemas.openxmlformats.org/officeDocument/2006/relationships/chartsheet" Target="chartsheets/sheet1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2904009720534624E-2"/>
          <c:y val="3.2418952618453921E-2"/>
          <c:w val="0.89185905224787498"/>
          <c:h val="0.86533665835411544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'edo - i - euler'!$B$10</c:f>
              <c:strCache>
                <c:ptCount val="1"/>
                <c:pt idx="0">
                  <c:v>q (Euler)</c:v>
                </c:pt>
              </c:strCache>
            </c:strRef>
          </c:tx>
          <c:marker>
            <c:symbol val="none"/>
          </c:marker>
          <c:xVal>
            <c:numRef>
              <c:f>'edo - i - euler'!$A$11:$A$296</c:f>
              <c:numCache>
                <c:formatCode>0.00</c:formatCode>
                <c:ptCount val="286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  <c:pt idx="81">
                  <c:v>4.0499999999999936</c:v>
                </c:pt>
                <c:pt idx="82">
                  <c:v>4.0999999999999934</c:v>
                </c:pt>
                <c:pt idx="83">
                  <c:v>4.1499999999999932</c:v>
                </c:pt>
                <c:pt idx="84">
                  <c:v>4.1999999999999931</c:v>
                </c:pt>
                <c:pt idx="85">
                  <c:v>4.2499999999999929</c:v>
                </c:pt>
                <c:pt idx="86">
                  <c:v>4.2999999999999927</c:v>
                </c:pt>
                <c:pt idx="87">
                  <c:v>4.3499999999999925</c:v>
                </c:pt>
                <c:pt idx="88">
                  <c:v>4.3999999999999924</c:v>
                </c:pt>
                <c:pt idx="89">
                  <c:v>4.4499999999999922</c:v>
                </c:pt>
                <c:pt idx="90">
                  <c:v>4.499999999999992</c:v>
                </c:pt>
                <c:pt idx="91">
                  <c:v>4.5499999999999918</c:v>
                </c:pt>
                <c:pt idx="92">
                  <c:v>4.5999999999999917</c:v>
                </c:pt>
                <c:pt idx="93">
                  <c:v>4.6499999999999915</c:v>
                </c:pt>
                <c:pt idx="94">
                  <c:v>4.6999999999999913</c:v>
                </c:pt>
                <c:pt idx="95">
                  <c:v>4.7499999999999911</c:v>
                </c:pt>
                <c:pt idx="96">
                  <c:v>4.7999999999999909</c:v>
                </c:pt>
                <c:pt idx="97">
                  <c:v>4.8499999999999908</c:v>
                </c:pt>
                <c:pt idx="98">
                  <c:v>4.8999999999999906</c:v>
                </c:pt>
                <c:pt idx="99">
                  <c:v>4.9499999999999904</c:v>
                </c:pt>
                <c:pt idx="100">
                  <c:v>4.9999999999999902</c:v>
                </c:pt>
                <c:pt idx="101">
                  <c:v>5.0499999999999901</c:v>
                </c:pt>
                <c:pt idx="102">
                  <c:v>5.0999999999999899</c:v>
                </c:pt>
                <c:pt idx="103">
                  <c:v>5.1499999999999897</c:v>
                </c:pt>
                <c:pt idx="104">
                  <c:v>5.1999999999999895</c:v>
                </c:pt>
                <c:pt idx="105">
                  <c:v>5.2499999999999893</c:v>
                </c:pt>
                <c:pt idx="106">
                  <c:v>5.2999999999999892</c:v>
                </c:pt>
                <c:pt idx="107">
                  <c:v>5.349999999999989</c:v>
                </c:pt>
                <c:pt idx="108">
                  <c:v>5.3999999999999888</c:v>
                </c:pt>
                <c:pt idx="109">
                  <c:v>5.4499999999999886</c:v>
                </c:pt>
                <c:pt idx="110">
                  <c:v>5.4999999999999885</c:v>
                </c:pt>
                <c:pt idx="111">
                  <c:v>5.5499999999999883</c:v>
                </c:pt>
                <c:pt idx="112">
                  <c:v>5.5999999999999881</c:v>
                </c:pt>
                <c:pt idx="113">
                  <c:v>5.6499999999999879</c:v>
                </c:pt>
                <c:pt idx="114">
                  <c:v>5.6999999999999877</c:v>
                </c:pt>
                <c:pt idx="115">
                  <c:v>5.7499999999999876</c:v>
                </c:pt>
                <c:pt idx="116">
                  <c:v>5.7999999999999874</c:v>
                </c:pt>
                <c:pt idx="117">
                  <c:v>5.8499999999999872</c:v>
                </c:pt>
                <c:pt idx="118">
                  <c:v>5.899999999999987</c:v>
                </c:pt>
                <c:pt idx="119">
                  <c:v>5.9499999999999869</c:v>
                </c:pt>
                <c:pt idx="120">
                  <c:v>5.9999999999999867</c:v>
                </c:pt>
                <c:pt idx="121">
                  <c:v>6.0499999999999865</c:v>
                </c:pt>
                <c:pt idx="122">
                  <c:v>6.0999999999999863</c:v>
                </c:pt>
                <c:pt idx="123">
                  <c:v>6.1499999999999861</c:v>
                </c:pt>
                <c:pt idx="124">
                  <c:v>6.199999999999986</c:v>
                </c:pt>
                <c:pt idx="125">
                  <c:v>6.2499999999999858</c:v>
                </c:pt>
                <c:pt idx="126">
                  <c:v>6.2999999999999856</c:v>
                </c:pt>
                <c:pt idx="127">
                  <c:v>6.3499999999999854</c:v>
                </c:pt>
                <c:pt idx="128">
                  <c:v>6.3999999999999853</c:v>
                </c:pt>
                <c:pt idx="129">
                  <c:v>6.4499999999999851</c:v>
                </c:pt>
                <c:pt idx="130">
                  <c:v>6.4999999999999849</c:v>
                </c:pt>
                <c:pt idx="131">
                  <c:v>6.5499999999999847</c:v>
                </c:pt>
                <c:pt idx="132">
                  <c:v>6.5999999999999845</c:v>
                </c:pt>
                <c:pt idx="133">
                  <c:v>6.6499999999999844</c:v>
                </c:pt>
                <c:pt idx="134">
                  <c:v>6.6999999999999842</c:v>
                </c:pt>
                <c:pt idx="135">
                  <c:v>6.749999999999984</c:v>
                </c:pt>
                <c:pt idx="136">
                  <c:v>6.7999999999999838</c:v>
                </c:pt>
                <c:pt idx="137">
                  <c:v>6.8499999999999837</c:v>
                </c:pt>
                <c:pt idx="138">
                  <c:v>6.8999999999999835</c:v>
                </c:pt>
                <c:pt idx="139">
                  <c:v>6.9499999999999833</c:v>
                </c:pt>
                <c:pt idx="140">
                  <c:v>6.9999999999999831</c:v>
                </c:pt>
                <c:pt idx="141">
                  <c:v>7.0499999999999829</c:v>
                </c:pt>
                <c:pt idx="142">
                  <c:v>7.0999999999999828</c:v>
                </c:pt>
                <c:pt idx="143">
                  <c:v>7.1499999999999826</c:v>
                </c:pt>
                <c:pt idx="144">
                  <c:v>7.1999999999999824</c:v>
                </c:pt>
                <c:pt idx="145">
                  <c:v>7.2499999999999822</c:v>
                </c:pt>
                <c:pt idx="146">
                  <c:v>7.2999999999999821</c:v>
                </c:pt>
                <c:pt idx="147">
                  <c:v>7.3499999999999819</c:v>
                </c:pt>
                <c:pt idx="148">
                  <c:v>7.3999999999999817</c:v>
                </c:pt>
                <c:pt idx="149">
                  <c:v>7.4499999999999815</c:v>
                </c:pt>
                <c:pt idx="150">
                  <c:v>7.4999999999999813</c:v>
                </c:pt>
                <c:pt idx="151">
                  <c:v>7.5499999999999812</c:v>
                </c:pt>
                <c:pt idx="152">
                  <c:v>7.599999999999981</c:v>
                </c:pt>
                <c:pt idx="153">
                  <c:v>7.6499999999999808</c:v>
                </c:pt>
                <c:pt idx="154">
                  <c:v>7.6999999999999806</c:v>
                </c:pt>
                <c:pt idx="155">
                  <c:v>7.7499999999999805</c:v>
                </c:pt>
                <c:pt idx="156">
                  <c:v>7.7999999999999803</c:v>
                </c:pt>
                <c:pt idx="157">
                  <c:v>7.8499999999999801</c:v>
                </c:pt>
                <c:pt idx="158">
                  <c:v>7.8999999999999799</c:v>
                </c:pt>
                <c:pt idx="159">
                  <c:v>7.9499999999999797</c:v>
                </c:pt>
                <c:pt idx="160">
                  <c:v>7.9999999999999796</c:v>
                </c:pt>
                <c:pt idx="161">
                  <c:v>8.0499999999999794</c:v>
                </c:pt>
                <c:pt idx="162">
                  <c:v>8.0999999999999801</c:v>
                </c:pt>
                <c:pt idx="163">
                  <c:v>8.1499999999999808</c:v>
                </c:pt>
                <c:pt idx="164">
                  <c:v>8.1999999999999815</c:v>
                </c:pt>
                <c:pt idx="165">
                  <c:v>8.2499999999999822</c:v>
                </c:pt>
                <c:pt idx="166">
                  <c:v>8.2999999999999829</c:v>
                </c:pt>
                <c:pt idx="167">
                  <c:v>8.3499999999999837</c:v>
                </c:pt>
                <c:pt idx="168">
                  <c:v>8.3999999999999844</c:v>
                </c:pt>
                <c:pt idx="169">
                  <c:v>8.4499999999999851</c:v>
                </c:pt>
                <c:pt idx="170">
                  <c:v>8.4999999999999858</c:v>
                </c:pt>
                <c:pt idx="171">
                  <c:v>8.5499999999999865</c:v>
                </c:pt>
                <c:pt idx="172">
                  <c:v>8.5999999999999872</c:v>
                </c:pt>
                <c:pt idx="173">
                  <c:v>8.6499999999999879</c:v>
                </c:pt>
                <c:pt idx="174">
                  <c:v>8.6999999999999886</c:v>
                </c:pt>
                <c:pt idx="175">
                  <c:v>8.7499999999999893</c:v>
                </c:pt>
                <c:pt idx="176">
                  <c:v>8.7999999999999901</c:v>
                </c:pt>
                <c:pt idx="177">
                  <c:v>8.8499999999999908</c:v>
                </c:pt>
                <c:pt idx="178">
                  <c:v>8.8999999999999915</c:v>
                </c:pt>
                <c:pt idx="179">
                  <c:v>8.9499999999999922</c:v>
                </c:pt>
                <c:pt idx="180">
                  <c:v>8.9999999999999929</c:v>
                </c:pt>
                <c:pt idx="181">
                  <c:v>9.0499999999999936</c:v>
                </c:pt>
                <c:pt idx="182">
                  <c:v>9.0999999999999943</c:v>
                </c:pt>
                <c:pt idx="183">
                  <c:v>9.149999999999995</c:v>
                </c:pt>
                <c:pt idx="184">
                  <c:v>9.1999999999999957</c:v>
                </c:pt>
                <c:pt idx="185">
                  <c:v>9.2499999999999964</c:v>
                </c:pt>
                <c:pt idx="186">
                  <c:v>9.2999999999999972</c:v>
                </c:pt>
                <c:pt idx="187">
                  <c:v>9.3499999999999979</c:v>
                </c:pt>
                <c:pt idx="188">
                  <c:v>9.3999999999999986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9.6000000000000014</c:v>
                </c:pt>
                <c:pt idx="193">
                  <c:v>9.6500000000000021</c:v>
                </c:pt>
                <c:pt idx="194">
                  <c:v>9.7000000000000028</c:v>
                </c:pt>
                <c:pt idx="195">
                  <c:v>9.7500000000000036</c:v>
                </c:pt>
                <c:pt idx="196">
                  <c:v>9.8000000000000043</c:v>
                </c:pt>
                <c:pt idx="197">
                  <c:v>9.850000000000005</c:v>
                </c:pt>
                <c:pt idx="198">
                  <c:v>9.9000000000000057</c:v>
                </c:pt>
                <c:pt idx="199">
                  <c:v>9.9500000000000064</c:v>
                </c:pt>
                <c:pt idx="200">
                  <c:v>10.000000000000007</c:v>
                </c:pt>
                <c:pt idx="201">
                  <c:v>10.050000000000008</c:v>
                </c:pt>
                <c:pt idx="202">
                  <c:v>10.100000000000009</c:v>
                </c:pt>
                <c:pt idx="203">
                  <c:v>10.150000000000009</c:v>
                </c:pt>
                <c:pt idx="204">
                  <c:v>10.20000000000001</c:v>
                </c:pt>
                <c:pt idx="205">
                  <c:v>10.250000000000011</c:v>
                </c:pt>
                <c:pt idx="206">
                  <c:v>10.300000000000011</c:v>
                </c:pt>
                <c:pt idx="207">
                  <c:v>10.350000000000012</c:v>
                </c:pt>
                <c:pt idx="208">
                  <c:v>10.400000000000013</c:v>
                </c:pt>
                <c:pt idx="209">
                  <c:v>10.450000000000014</c:v>
                </c:pt>
                <c:pt idx="210">
                  <c:v>10.500000000000014</c:v>
                </c:pt>
                <c:pt idx="211">
                  <c:v>10.550000000000015</c:v>
                </c:pt>
                <c:pt idx="212">
                  <c:v>10.600000000000016</c:v>
                </c:pt>
                <c:pt idx="213">
                  <c:v>10.650000000000016</c:v>
                </c:pt>
                <c:pt idx="214">
                  <c:v>10.700000000000017</c:v>
                </c:pt>
                <c:pt idx="215">
                  <c:v>10.750000000000018</c:v>
                </c:pt>
                <c:pt idx="216">
                  <c:v>10.800000000000018</c:v>
                </c:pt>
                <c:pt idx="217">
                  <c:v>10.850000000000019</c:v>
                </c:pt>
                <c:pt idx="218">
                  <c:v>10.90000000000002</c:v>
                </c:pt>
                <c:pt idx="219">
                  <c:v>10.950000000000021</c:v>
                </c:pt>
                <c:pt idx="220">
                  <c:v>11.000000000000021</c:v>
                </c:pt>
                <c:pt idx="221">
                  <c:v>11.050000000000022</c:v>
                </c:pt>
                <c:pt idx="222">
                  <c:v>11.100000000000023</c:v>
                </c:pt>
                <c:pt idx="223">
                  <c:v>11.150000000000023</c:v>
                </c:pt>
                <c:pt idx="224">
                  <c:v>11.200000000000024</c:v>
                </c:pt>
                <c:pt idx="225">
                  <c:v>11.250000000000025</c:v>
                </c:pt>
                <c:pt idx="226">
                  <c:v>11.300000000000026</c:v>
                </c:pt>
                <c:pt idx="227">
                  <c:v>11.350000000000026</c:v>
                </c:pt>
                <c:pt idx="228">
                  <c:v>11.400000000000027</c:v>
                </c:pt>
                <c:pt idx="229">
                  <c:v>11.450000000000028</c:v>
                </c:pt>
                <c:pt idx="230">
                  <c:v>11.500000000000028</c:v>
                </c:pt>
                <c:pt idx="231">
                  <c:v>11.550000000000029</c:v>
                </c:pt>
                <c:pt idx="232">
                  <c:v>11.60000000000003</c:v>
                </c:pt>
                <c:pt idx="233">
                  <c:v>11.650000000000031</c:v>
                </c:pt>
                <c:pt idx="234">
                  <c:v>11.700000000000031</c:v>
                </c:pt>
                <c:pt idx="235">
                  <c:v>11.750000000000032</c:v>
                </c:pt>
                <c:pt idx="236">
                  <c:v>11.800000000000033</c:v>
                </c:pt>
                <c:pt idx="237">
                  <c:v>11.850000000000033</c:v>
                </c:pt>
                <c:pt idx="238">
                  <c:v>11.900000000000034</c:v>
                </c:pt>
                <c:pt idx="239">
                  <c:v>11.950000000000035</c:v>
                </c:pt>
                <c:pt idx="240">
                  <c:v>12.000000000000036</c:v>
                </c:pt>
                <c:pt idx="241">
                  <c:v>12.050000000000036</c:v>
                </c:pt>
                <c:pt idx="242">
                  <c:v>12.100000000000037</c:v>
                </c:pt>
                <c:pt idx="243">
                  <c:v>12.150000000000038</c:v>
                </c:pt>
                <c:pt idx="244">
                  <c:v>12.200000000000038</c:v>
                </c:pt>
                <c:pt idx="245">
                  <c:v>12.250000000000039</c:v>
                </c:pt>
                <c:pt idx="246">
                  <c:v>12.30000000000004</c:v>
                </c:pt>
                <c:pt idx="247">
                  <c:v>12.350000000000041</c:v>
                </c:pt>
                <c:pt idx="248">
                  <c:v>12.400000000000041</c:v>
                </c:pt>
                <c:pt idx="249">
                  <c:v>12.450000000000042</c:v>
                </c:pt>
                <c:pt idx="250">
                  <c:v>12.500000000000043</c:v>
                </c:pt>
                <c:pt idx="251">
                  <c:v>12.550000000000043</c:v>
                </c:pt>
                <c:pt idx="252">
                  <c:v>12.600000000000044</c:v>
                </c:pt>
                <c:pt idx="253">
                  <c:v>12.650000000000045</c:v>
                </c:pt>
                <c:pt idx="254">
                  <c:v>12.700000000000045</c:v>
                </c:pt>
                <c:pt idx="255">
                  <c:v>12.750000000000046</c:v>
                </c:pt>
                <c:pt idx="256">
                  <c:v>12.800000000000047</c:v>
                </c:pt>
                <c:pt idx="257">
                  <c:v>12.850000000000048</c:v>
                </c:pt>
                <c:pt idx="258">
                  <c:v>12.900000000000048</c:v>
                </c:pt>
                <c:pt idx="259">
                  <c:v>12.950000000000049</c:v>
                </c:pt>
                <c:pt idx="260">
                  <c:v>13.00000000000005</c:v>
                </c:pt>
                <c:pt idx="261">
                  <c:v>13.05000000000005</c:v>
                </c:pt>
                <c:pt idx="262">
                  <c:v>13.100000000000051</c:v>
                </c:pt>
                <c:pt idx="263">
                  <c:v>13.150000000000052</c:v>
                </c:pt>
                <c:pt idx="264">
                  <c:v>13.200000000000053</c:v>
                </c:pt>
                <c:pt idx="265">
                  <c:v>13.250000000000053</c:v>
                </c:pt>
                <c:pt idx="266">
                  <c:v>13.300000000000054</c:v>
                </c:pt>
                <c:pt idx="267">
                  <c:v>13.350000000000055</c:v>
                </c:pt>
                <c:pt idx="268">
                  <c:v>13.400000000000055</c:v>
                </c:pt>
                <c:pt idx="269">
                  <c:v>13.450000000000056</c:v>
                </c:pt>
                <c:pt idx="270">
                  <c:v>13.500000000000057</c:v>
                </c:pt>
                <c:pt idx="271">
                  <c:v>13.550000000000058</c:v>
                </c:pt>
                <c:pt idx="272">
                  <c:v>13.600000000000058</c:v>
                </c:pt>
                <c:pt idx="273">
                  <c:v>13.650000000000059</c:v>
                </c:pt>
                <c:pt idx="274">
                  <c:v>13.70000000000006</c:v>
                </c:pt>
                <c:pt idx="275">
                  <c:v>13.75000000000006</c:v>
                </c:pt>
                <c:pt idx="276">
                  <c:v>13.800000000000061</c:v>
                </c:pt>
                <c:pt idx="277">
                  <c:v>13.850000000000062</c:v>
                </c:pt>
                <c:pt idx="278">
                  <c:v>13.900000000000063</c:v>
                </c:pt>
                <c:pt idx="279">
                  <c:v>13.950000000000063</c:v>
                </c:pt>
                <c:pt idx="280">
                  <c:v>14.000000000000064</c:v>
                </c:pt>
                <c:pt idx="281">
                  <c:v>14.050000000000065</c:v>
                </c:pt>
                <c:pt idx="282">
                  <c:v>14.100000000000065</c:v>
                </c:pt>
                <c:pt idx="283">
                  <c:v>14.150000000000066</c:v>
                </c:pt>
                <c:pt idx="284">
                  <c:v>14.200000000000067</c:v>
                </c:pt>
                <c:pt idx="285">
                  <c:v>14.250000000000068</c:v>
                </c:pt>
              </c:numCache>
            </c:numRef>
          </c:xVal>
          <c:yVal>
            <c:numRef>
              <c:f>'edo - i - euler'!$B$11:$B$296</c:f>
              <c:numCache>
                <c:formatCode>0.00</c:formatCode>
                <c:ptCount val="28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2.33512699365186E-4</c:v>
                </c:pt>
                <c:pt idx="4">
                  <c:v>9.3200905076649466E-4</c:v>
                </c:pt>
                <c:pt idx="5">
                  <c:v>2.3205592387533164E-3</c:v>
                </c:pt>
                <c:pt idx="6">
                  <c:v>4.6135296242209353E-3</c:v>
                </c:pt>
                <c:pt idx="7">
                  <c:v>8.0103966303321748E-3</c:v>
                </c:pt>
                <c:pt idx="8">
                  <c:v>1.2691737522960871E-2</c:v>
                </c:pt>
                <c:pt idx="9">
                  <c:v>1.881545625851333E-2</c:v>
                </c:pt>
                <c:pt idx="10">
                  <c:v>2.6513300049618348E-2</c:v>
                </c:pt>
                <c:pt idx="11">
                  <c:v>3.5887719059046259E-2</c:v>
                </c:pt>
                <c:pt idx="12">
                  <c:v>4.7009117707323897E-2</c:v>
                </c:pt>
                <c:pt idx="13">
                  <c:v>5.9913541511154668E-2</c:v>
                </c:pt>
                <c:pt idx="14">
                  <c:v>7.4600838207122697E-2</c:v>
                </c:pt>
                <c:pt idx="15">
                  <c:v>9.1033326214839241E-2</c:v>
                </c:pt>
                <c:pt idx="16">
                  <c:v>0.10913499731906523</c:v>
                </c:pt>
                <c:pt idx="17">
                  <c:v>0.12879127387093758</c:v>
                </c:pt>
                <c:pt idx="18">
                  <c:v>0.14984933389915367</c:v>
                </c:pt>
                <c:pt idx="19">
                  <c:v>0.17211901036232302</c:v>
                </c:pt>
                <c:pt idx="20">
                  <c:v>0.19537426344688846</c:v>
                </c:pt>
                <c:pt idx="21">
                  <c:v>0.21935521740705186</c:v>
                </c:pt>
                <c:pt idx="22">
                  <c:v>0.24377074604185442</c:v>
                </c:pt>
                <c:pt idx="23">
                  <c:v>0.26830158359864503</c:v>
                </c:pt>
                <c:pt idx="24">
                  <c:v>0.29260393077015456</c:v>
                </c:pt>
                <c:pt idx="25">
                  <c:v>0.31631351860164125</c:v>
                </c:pt>
                <c:pt idx="26">
                  <c:v>0.33905008663025926</c:v>
                </c:pt>
                <c:pt idx="27">
                  <c:v>0.36042222552293324</c:v>
                </c:pt>
                <c:pt idx="28">
                  <c:v>0.38003252893945105</c:v>
                </c:pt>
                <c:pt idx="29">
                  <c:v>0.39748299439699036</c:v>
                </c:pt>
                <c:pt idx="30">
                  <c:v>0.4123806086176835</c:v>
                </c:pt>
                <c:pt idx="31">
                  <c:v>0.42434304926211613</c:v>
                </c:pt>
                <c:pt idx="32">
                  <c:v>0.43300443214131473</c:v>
                </c:pt>
                <c:pt idx="33">
                  <c:v>0.43802103100203499</c:v>
                </c:pt>
                <c:pt idx="34">
                  <c:v>0.4390768958304116</c:v>
                </c:pt>
                <c:pt idx="35">
                  <c:v>0.4358892953433241</c:v>
                </c:pt>
                <c:pt idx="36">
                  <c:v>0.42821390995148029</c:v>
                </c:pt>
                <c:pt idx="37">
                  <c:v>0.41584970298947249</c:v>
                </c:pt>
                <c:pt idx="38">
                  <c:v>0.39864340041193769</c:v>
                </c:pt>
                <c:pt idx="39">
                  <c:v>0.37649351243713214</c:v>
                </c:pt>
                <c:pt idx="40">
                  <c:v>0.34935383475511533</c:v>
                </c:pt>
                <c:pt idx="41">
                  <c:v>0.31723637187256992</c:v>
                </c:pt>
                <c:pt idx="42">
                  <c:v>0.2802136308954376</c:v>
                </c:pt>
                <c:pt idx="43">
                  <c:v>0.23842024049988486</c:v>
                </c:pt>
                <c:pt idx="44">
                  <c:v>0.19205385694847438</c:v>
                </c:pt>
                <c:pt idx="45">
                  <c:v>0.14137532670022274</c:v>
                </c:pt>
                <c:pt idx="46">
                  <c:v>8.6708083361159621E-2</c:v>
                </c:pt>
                <c:pt idx="47">
                  <c:v>2.8436765339808448E-2</c:v>
                </c:pt>
                <c:pt idx="48">
                  <c:v>-3.2994950482647112E-2</c:v>
                </c:pt>
                <c:pt idx="49">
                  <c:v>-9.7087294582308012E-2</c:v>
                </c:pt>
                <c:pt idx="50">
                  <c:v>-0.16328811633342241</c:v>
                </c:pt>
                <c:pt idx="51">
                  <c:v>-0.23099733814298529</c:v>
                </c:pt>
                <c:pt idx="52">
                  <c:v>-0.29957211981635506</c:v>
                </c:pt>
                <c:pt idx="53">
                  <c:v>-0.3683326917352438</c:v>
                </c:pt>
                <c:pt idx="54">
                  <c:v>-0.43656880666983799</c:v>
                </c:pt>
                <c:pt idx="55">
                  <c:v>-0.5035467516885801</c:v>
                </c:pt>
                <c:pt idx="56">
                  <c:v>-0.56851685377448691</c:v>
                </c:pt>
                <c:pt idx="57">
                  <c:v>-0.63072140550396882</c:v>
                </c:pt>
                <c:pt idx="58">
                  <c:v>-0.68940293058593127</c:v>
                </c:pt>
                <c:pt idx="59">
                  <c:v>-0.74381270328219751</c:v>
                </c:pt>
                <c:pt idx="60">
                  <c:v>-0.79321943081434143</c:v>
                </c:pt>
                <c:pt idx="61">
                  <c:v>-0.83691800387790816</c:v>
                </c:pt>
                <c:pt idx="62">
                  <c:v>-0.87423821739451335</c:v>
                </c:pt>
                <c:pt idx="63">
                  <c:v>-0.90455336168719669</c:v>
                </c:pt>
                <c:pt idx="64">
                  <c:v>-0.92728858340561049</c:v>
                </c:pt>
                <c:pt idx="65">
                  <c:v>-0.9419289157847206</c:v>
                </c:pt>
                <c:pt idx="66">
                  <c:v>-0.94802687921134676</c:v>
                </c:pt>
                <c:pt idx="67">
                  <c:v>-0.94520955560247866</c:v>
                </c:pt>
                <c:pt idx="68">
                  <c:v>-0.93318504376076095</c:v>
                </c:pt>
                <c:pt idx="69">
                  <c:v>-0.91174820764610254</c:v>
                </c:pt>
                <c:pt idx="70">
                  <c:v>-0.88078563535568888</c:v>
                </c:pt>
                <c:pt idx="71">
                  <c:v>-0.8402797334929728</c:v>
                </c:pt>
                <c:pt idx="72">
                  <c:v>-0.79031188947255016</c:v>
                </c:pt>
                <c:pt idx="73">
                  <c:v>-0.73106464308353925</c:v>
                </c:pt>
                <c:pt idx="74">
                  <c:v>-0.66282281823938827</c:v>
                </c:pt>
                <c:pt idx="75">
                  <c:v>-0.58597357618667634</c:v>
                </c:pt>
                <c:pt idx="76">
                  <c:v>-0.50100536242958416</c:v>
                </c:pt>
                <c:pt idx="77">
                  <c:v>-0.40850573114171485</c:v>
                </c:pt>
                <c:pt idx="78">
                  <c:v>-0.30915804276662556</c:v>
                </c:pt>
                <c:pt idx="79">
                  <c:v>-0.20373704273005677</c:v>
                </c:pt>
                <c:pt idx="80">
                  <c:v>-9.3103341572406448E-2</c:v>
                </c:pt>
                <c:pt idx="81">
                  <c:v>2.1803170772490568E-2</c:v>
                </c:pt>
                <c:pt idx="82">
                  <c:v>0.13997093151135759</c:v>
                </c:pt>
                <c:pt idx="83">
                  <c:v>0.26032527522090726</c:v>
                </c:pt>
                <c:pt idx="84">
                  <c:v>0.38173789895294502</c:v>
                </c:pt>
                <c:pt idx="85">
                  <c:v>0.50303714220077611</c:v>
                </c:pt>
                <c:pt idx="86">
                  <c:v>0.62301899115640713</c:v>
                </c:pt>
                <c:pt idx="87">
                  <c:v>0.74045870689635673</c:v>
                </c:pt>
                <c:pt idx="88">
                  <c:v>0.85412296822660871</c:v>
                </c:pt>
                <c:pt idx="89">
                  <c:v>0.96278241200681913</c:v>
                </c:pt>
                <c:pt idx="90">
                  <c:v>1.0652244469640146</c:v>
                </c:pt>
                <c:pt idx="91">
                  <c:v>1.1602662113903417</c:v>
                </c:pt>
                <c:pt idx="92">
                  <c:v>1.2467675407803824</c:v>
                </c:pt>
                <c:pt idx="93">
                  <c:v>1.3236438084713411</c:v>
                </c:pt>
                <c:pt idx="94">
                  <c:v>1.3898785007609777</c:v>
                </c:pt>
                <c:pt idx="95">
                  <c:v>1.4445353878364879</c:v>
                </c:pt>
                <c:pt idx="96">
                  <c:v>1.4867701531807997</c:v>
                </c:pt>
                <c:pt idx="97">
                  <c:v>1.5158413469439855</c:v>
                </c:pt>
                <c:pt idx="98">
                  <c:v>1.5311205330739825</c:v>
                </c:pt>
                <c:pt idx="99">
                  <c:v>1.5321015057740757</c:v>
                </c:pt>
                <c:pt idx="100">
                  <c:v>1.5184084580601909</c:v>
                </c:pt>
                <c:pt idx="101">
                  <c:v>1.4898029937787183</c:v>
                </c:pt>
                <c:pt idx="102">
                  <c:v>1.4461898843495826</c:v>
                </c:pt>
                <c:pt idx="103">
                  <c:v>1.3876214826387379</c:v>
                </c:pt>
                <c:pt idx="104">
                  <c:v>1.3143007186438851</c:v>
                </c:pt>
                <c:pt idx="105">
                  <c:v>1.2265826149879702</c:v>
                </c:pt>
                <c:pt idx="106">
                  <c:v>1.1249742744351667</c:v>
                </c:pt>
                <c:pt idx="107">
                  <c:v>1.0101333066401348</c:v>
                </c:pt>
                <c:pt idx="108">
                  <c:v>0.8828646769694678</c:v>
                </c:pt>
                <c:pt idx="109">
                  <c:v>0.74411597634140225</c:v>
                </c:pt>
                <c:pt idx="110">
                  <c:v>0.59497112745540748</c:v>
                </c:pt>
                <c:pt idx="111">
                  <c:v>0.43664255936047947</c:v>
                </c:pt>
                <c:pt idx="112">
                  <c:v>0.27046189886869154</c:v>
                </c:pt>
                <c:pt idx="113">
                  <c:v>9.7869243684978374E-2</c:v>
                </c:pt>
                <c:pt idx="114">
                  <c:v>-7.9598901879497613E-2</c:v>
                </c:pt>
                <c:pt idx="115">
                  <c:v>-0.26032293228854664</c:v>
                </c:pt>
                <c:pt idx="116">
                  <c:v>-0.44261457619332867</c:v>
                </c:pt>
                <c:pt idx="117">
                  <c:v>-0.62473233695043473</c:v>
                </c:pt>
                <c:pt idx="118">
                  <c:v>-0.80489780049767989</c:v>
                </c:pt>
                <c:pt idx="119">
                  <c:v>-0.98131266120859184</c:v>
                </c:pt>
                <c:pt idx="120">
                  <c:v>-1.1521763060490833</c:v>
                </c:pt>
                <c:pt idx="121">
                  <c:v>-1.3157037885263483</c:v>
                </c:pt>
                <c:pt idx="122">
                  <c:v>-1.4701440166680468</c:v>
                </c:pt>
                <c:pt idx="123">
                  <c:v>-1.6137979737022716</c:v>
                </c:pt>
                <c:pt idx="124">
                  <c:v>-1.7450367863127398</c:v>
                </c:pt>
                <c:pt idx="125">
                  <c:v>-1.8623194533892822</c:v>
                </c:pt>
                <c:pt idx="126">
                  <c:v>-1.9642100481331872</c:v>
                </c:pt>
                <c:pt idx="127">
                  <c:v>-2.0493942082437155</c:v>
                </c:pt>
                <c:pt idx="128">
                  <c:v>-2.1166947327200858</c:v>
                </c:pt>
                <c:pt idx="129">
                  <c:v>-2.1650861095565377</c:v>
                </c:pt>
                <c:pt idx="130">
                  <c:v>-2.193707806260651</c:v>
                </c:pt>
                <c:pt idx="131">
                  <c:v>-2.201876164640705</c:v>
                </c:pt>
                <c:pt idx="132">
                  <c:v>-2.1890947526202686</c:v>
                </c:pt>
                <c:pt idx="133">
                  <c:v>-2.1550630388615</c:v>
                </c:pt>
                <c:pt idx="134">
                  <c:v>-2.0996832706078701</c:v>
                </c:pt>
                <c:pt idx="135">
                  <c:v>-2.0230654512689696</c:v>
                </c:pt>
                <c:pt idx="136">
                  <c:v>-1.9255303317241739</c:v>
                </c:pt>
                <c:pt idx="137">
                  <c:v>-1.8076103479616197</c:v>
                </c:pt>
                <c:pt idx="138">
                  <c:v>-1.6700484573228191</c:v>
                </c:pt>
                <c:pt idx="139">
                  <c:v>-1.5137948461067112</c:v>
                </c:pt>
                <c:pt idx="140">
                  <c:v>-1.3400015024039824</c:v>
                </c:pt>
                <c:pt idx="141">
                  <c:v>-1.150014669577319</c:v>
                </c:pt>
                <c:pt idx="142">
                  <c:v>-0.94536521756246872</c:v>
                </c:pt>
                <c:pt idx="143">
                  <c:v>-0.72775699091952628</c:v>
                </c:pt>
                <c:pt idx="144">
                  <c:v>-0.49905321409123993</c:v>
                </c:pt>
                <c:pt idx="145">
                  <c:v>-0.26126105540162736</c:v>
                </c:pt>
                <c:pt idx="146">
                  <c:v>-1.6514471731152641E-2</c:v>
                </c:pt>
                <c:pt idx="147">
                  <c:v>0.23294452468514878</c:v>
                </c:pt>
                <c:pt idx="148">
                  <c:v>0.48478601748652306</c:v>
                </c:pt>
                <c:pt idx="149">
                  <c:v>0.7366135785007053</c:v>
                </c:pt>
                <c:pt idx="150">
                  <c:v>0.98598670861795756</c:v>
                </c:pt>
                <c:pt idx="151">
                  <c:v>1.2304441208063563</c:v>
                </c:pt>
                <c:pt idx="152">
                  <c:v>1.4675276468163232</c:v>
                </c:pt>
                <c:pt idx="153">
                  <c:v>1.694806539101076</c:v>
                </c:pt>
                <c:pt idx="154">
                  <c:v>1.9099019316047836</c:v>
                </c:pt>
                <c:pt idx="155">
                  <c:v>2.1105112174562728</c:v>
                </c:pt>
                <c:pt idx="156">
                  <c:v>2.2944320983464452</c:v>
                </c:pt>
                <c:pt idx="157">
                  <c:v>2.4595860595328576</c:v>
                </c:pt>
                <c:pt idx="158">
                  <c:v>2.6040410260523648</c:v>
                </c:pt>
                <c:pt idx="159">
                  <c:v>2.7260329598550612</c:v>
                </c:pt>
                <c:pt idx="160">
                  <c:v>2.8239861641976916</c:v>
                </c:pt>
                <c:pt idx="161">
                  <c:v>2.8965320707245805</c:v>
                </c:pt>
                <c:pt idx="162">
                  <c:v>2.9425262961658349</c:v>
                </c:pt>
                <c:pt idx="163">
                  <c:v>2.9610637694176538</c:v>
                </c:pt>
                <c:pt idx="164">
                  <c:v>2.9514917458347365</c:v>
                </c:pt>
                <c:pt idx="165">
                  <c:v>2.9134205437324794</c:v>
                </c:pt>
                <c:pt idx="166">
                  <c:v>2.8467318582161201</c:v>
                </c:pt>
                <c:pt idx="167">
                  <c:v>2.7515845293523484</c:v>
                </c:pt>
                <c:pt idx="168">
                  <c:v>2.6284176651826785</c:v>
                </c:pt>
                <c:pt idx="169">
                  <c:v>2.477951044934549</c:v>
                </c:pt>
                <c:pt idx="170">
                  <c:v>2.3011827537861178</c:v>
                </c:pt>
                <c:pt idx="171">
                  <c:v>2.0993840274394171</c:v>
                </c:pt>
                <c:pt idx="172">
                  <c:v>1.8740913122965499</c:v>
                </c:pt>
                <c:pt idx="173">
                  <c:v>1.6270955749472198</c:v>
                </c:pt>
                <c:pt idx="174">
                  <c:v>1.3604289226875887</c:v>
                </c:pt>
                <c:pt idx="175">
                  <c:v>1.0763486246196476</c:v>
                </c:pt>
                <c:pt idx="176">
                  <c:v>0.77731865024403102</c:v>
                </c:pt>
                <c:pt idx="177">
                  <c:v>0.46598886907506654</c:v>
                </c:pt>
                <c:pt idx="178">
                  <c:v>0.14517208039575957</c:v>
                </c:pt>
                <c:pt idx="179">
                  <c:v>-0.18218093344047814</c:v>
                </c:pt>
                <c:pt idx="180">
                  <c:v>-0.51300811402897883</c:v>
                </c:pt>
                <c:pt idx="181">
                  <c:v>-0.84416435721132121</c:v>
                </c:pt>
                <c:pt idx="182">
                  <c:v>-1.1724510107511983</c:v>
                </c:pt>
                <c:pt idx="183">
                  <c:v>-1.4946463669039598</c:v>
                </c:pt>
                <c:pt idx="184">
                  <c:v>-1.8075368632835862</c:v>
                </c:pt>
                <c:pt idx="185">
                  <c:v>-2.1079486939708749</c:v>
                </c:pt>
                <c:pt idx="186">
                  <c:v>-2.392779524152532</c:v>
                </c:pt>
                <c:pt idx="187">
                  <c:v>-2.6590299958610211</c:v>
                </c:pt>
                <c:pt idx="188">
                  <c:v>-2.9038347097000901</c:v>
                </c:pt>
                <c:pt idx="189">
                  <c:v>-3.1244923678625107</c:v>
                </c:pt>
                <c:pt idx="190">
                  <c:v>-3.3184947673161429</c:v>
                </c:pt>
                <c:pt idx="191">
                  <c:v>-3.4835543387623829</c:v>
                </c:pt>
                <c:pt idx="192">
                  <c:v>-3.617629936836158</c:v>
                </c:pt>
                <c:pt idx="193">
                  <c:v>-3.7189505999659174</c:v>
                </c:pt>
                <c:pt idx="194">
                  <c:v>-3.7860370142607982</c:v>
                </c:pt>
                <c:pt idx="195">
                  <c:v>-3.8177204346242832</c:v>
                </c:pt>
                <c:pt idx="196">
                  <c:v>-3.8131588378626016</c:v>
                </c:pt>
                <c:pt idx="197">
                  <c:v>-3.7718501066856773</c:v>
                </c:pt>
                <c:pt idx="198">
                  <c:v>-3.6936420699842727</c:v>
                </c:pt>
                <c:pt idx="199">
                  <c:v>-3.5787392533782576</c:v>
                </c:pt>
                <c:pt idx="200">
                  <c:v>-3.4277062245122267</c:v>
                </c:pt>
                <c:pt idx="201">
                  <c:v>-3.2414674496482498</c:v>
                </c:pt>
                <c:pt idx="202">
                  <c:v>-3.0213036114737526</c:v>
                </c:pt>
                <c:pt idx="203">
                  <c:v>-2.7688443723906335</c:v>
                </c:pt>
                <c:pt idx="204">
                  <c:v>-2.4860576025507708</c:v>
                </c:pt>
                <c:pt idx="205">
                  <c:v>-2.17523512721296</c:v>
                </c:pt>
                <c:pt idx="206">
                  <c:v>-1.8389750832691312</c:v>
                </c:pt>
                <c:pt idx="207">
                  <c:v>-1.4801610096710132</c:v>
                </c:pt>
                <c:pt idx="208">
                  <c:v>-1.1019378306288559</c:v>
                </c:pt>
                <c:pt idx="209">
                  <c:v>-0.70768492350050316</c:v>
                </c:pt>
                <c:pt idx="210">
                  <c:v>-0.30098649489728357</c:v>
                </c:pt>
                <c:pt idx="211">
                  <c:v>0.11440048163232436</c:v>
                </c:pt>
                <c:pt idx="212">
                  <c:v>0.53458048524151836</c:v>
                </c:pt>
                <c:pt idx="213">
                  <c:v>0.9555555183092177</c:v>
                </c:pt>
                <c:pt idx="214">
                  <c:v>1.373262698761476</c:v>
                </c:pt>
                <c:pt idx="215">
                  <c:v>1.7836130254015901</c:v>
                </c:pt>
                <c:pt idx="216">
                  <c:v>2.1825309509460968</c:v>
                </c:pt>
                <c:pt idx="217">
                  <c:v>2.5659943843447413</c:v>
                </c:pt>
                <c:pt idx="218">
                  <c:v>2.930074734415693</c:v>
                </c:pt>
                <c:pt idx="219">
                  <c:v>3.2709766009968582</c:v>
                </c:pt>
                <c:pt idx="220">
                  <c:v>3.585076717808942</c:v>
                </c:pt>
                <c:pt idx="221">
                  <c:v>3.8689617531182416</c:v>
                </c:pt>
                <c:pt idx="222">
                  <c:v>4.1194645801112726</c:v>
                </c:pt>
                <c:pt idx="223">
                  <c:v>4.3336986386448633</c:v>
                </c:pt>
                <c:pt idx="224">
                  <c:v>4.5090900236706446</c:v>
                </c:pt>
                <c:pt idx="225">
                  <c:v>4.6434069530689728</c:v>
                </c:pt>
                <c:pt idx="226">
                  <c:v>4.734786288742348</c:v>
                </c:pt>
                <c:pt idx="227">
                  <c:v>4.7817568094521068</c:v>
                </c:pt>
                <c:pt idx="228">
                  <c:v>4.7832589618371495</c:v>
                </c:pt>
                <c:pt idx="229">
                  <c:v>4.7386608470966589</c:v>
                </c:pt>
                <c:pt idx="230">
                  <c:v>4.6477702346831302</c:v>
                </c:pt>
                <c:pt idx="231">
                  <c:v>4.5108424307390322</c:v>
                </c:pt>
                <c:pt idx="232">
                  <c:v>4.3285838675923882</c:v>
                </c:pt>
                <c:pt idx="233">
                  <c:v>4.1021513210496163</c:v>
                </c:pt>
                <c:pt idx="234">
                  <c:v>3.8331467041113751</c:v>
                </c:pt>
                <c:pt idx="235">
                  <c:v>3.5236074286924928</c:v>
                </c:pt>
                <c:pt idx="236">
                  <c:v>3.1759923705381952</c:v>
                </c:pt>
                <c:pt idx="237">
                  <c:v>2.7931635163716826</c:v>
                </c:pt>
                <c:pt idx="238">
                  <c:v>2.3783634159507048</c:v>
                </c:pt>
                <c:pt idx="239">
                  <c:v>1.9351886047175493</c:v>
                </c:pt>
                <c:pt idx="240">
                  <c:v>1.4675592046628818</c:v>
                </c:pt>
                <c:pt idx="241">
                  <c:v>0.97968495145920009</c:v>
                </c:pt>
                <c:pt idx="242">
                  <c:v>0.47602793443370361</c:v>
                </c:pt>
                <c:pt idx="243">
                  <c:v>-3.8737627863811963E-2</c:v>
                </c:pt>
                <c:pt idx="244">
                  <c:v>-0.55976822027390671</c:v>
                </c:pt>
                <c:pt idx="245">
                  <c:v>-1.0820960852130224</c:v>
                </c:pt>
                <c:pt idx="246">
                  <c:v>-1.6006760848646833</c:v>
                </c:pt>
                <c:pt idx="247">
                  <c:v>-2.1104339345878911</c:v>
                </c:pt>
                <c:pt idx="248">
                  <c:v>-2.6063153515480502</c:v>
                </c:pt>
                <c:pt idx="249">
                  <c:v>-3.0833356476270741</c:v>
                </c:pt>
                <c:pt idx="250">
                  <c:v>-3.5366292851809682</c:v>
                </c:pt>
                <c:pt idx="251">
                  <c:v>-3.9614989083463605</c:v>
                </c:pt>
                <c:pt idx="252">
                  <c:v>-4.3534633614694842</c:v>
                </c:pt>
                <c:pt idx="253">
                  <c:v>-4.7083042099137709</c:v>
                </c:pt>
                <c:pt idx="254">
                  <c:v>-5.0221102870204506</c:v>
                </c:pt>
                <c:pt idx="255">
                  <c:v>-5.2913198043276086</c:v>
                </c:pt>
                <c:pt idx="256">
                  <c:v>-5.5127595802262324</c:v>
                </c:pt>
                <c:pt idx="257">
                  <c:v>-5.6836809649281523</c:v>
                </c:pt>
                <c:pt idx="258">
                  <c:v>-5.8017920667742855</c:v>
                </c:pt>
                <c:pt idx="259">
                  <c:v>-5.8652859163098636</c:v>
                </c:pt>
                <c:pt idx="260">
                  <c:v>-5.8728642399390703</c:v>
                </c:pt>
                <c:pt idx="261">
                  <c:v>-5.8237565540448371</c:v>
                </c:pt>
                <c:pt idx="262">
                  <c:v>-5.7177343328800641</c:v>
                </c:pt>
                <c:pt idx="263">
                  <c:v>-5.555120048926514</c:v>
                </c:pt>
                <c:pt idx="264">
                  <c:v>-5.336790932365167</c:v>
                </c:pt>
                <c:pt idx="265">
                  <c:v>-5.0641773463644837</c:v>
                </c:pt>
                <c:pt idx="266">
                  <c:v>-4.739255726601967</c:v>
                </c:pt>
                <c:pt idx="267">
                  <c:v>-4.3645360862986022</c:v>
                </c:pt>
                <c:pt idx="268">
                  <c:v>-3.9430441415566677</c:v>
                </c:pt>
                <c:pt idx="269">
                  <c:v>-3.4782981654277991</c:v>
                </c:pt>
                <c:pt idx="270">
                  <c:v>-2.9742807323711369</c:v>
                </c:pt>
                <c:pt idx="271">
                  <c:v>-2.4354055670594819</c:v>
                </c:pt>
                <c:pt idx="272">
                  <c:v>-1.8664797623258838</c:v>
                </c:pt>
                <c:pt idx="273">
                  <c:v>-1.272661679893341</c:v>
                </c:pt>
                <c:pt idx="274">
                  <c:v>-0.65941489388885255</c:v>
                </c:pt>
                <c:pt idx="275">
                  <c:v>-3.2458580521000147E-2</c:v>
                </c:pt>
                <c:pt idx="276">
                  <c:v>0.60228520276782171</c:v>
                </c:pt>
                <c:pt idx="277">
                  <c:v>1.2387468693144079</c:v>
                </c:pt>
                <c:pt idx="278">
                  <c:v>1.8707667752905692</c:v>
                </c:pt>
                <c:pt idx="279">
                  <c:v>2.4921542735700393</c:v>
                </c:pt>
                <c:pt idx="280">
                  <c:v>3.0967477890429258</c:v>
                </c:pt>
                <c:pt idx="281">
                  <c:v>3.6784753381391715</c:v>
                </c:pt>
                <c:pt idx="282">
                  <c:v>4.2314149039348239</c:v>
                </c:pt>
                <c:pt idx="283">
                  <c:v>4.7498540724936102</c:v>
                </c:pt>
                <c:pt idx="284">
                  <c:v>5.2283483361664169</c:v>
                </c:pt>
                <c:pt idx="285">
                  <c:v>5.6617774755020207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5D-4EA6-8AD8-5F7160FD110D}"/>
            </c:ext>
          </c:extLst>
        </c:ser>
        <c:ser>
          <c:idx val="0"/>
          <c:order val="1"/>
          <c:tx>
            <c:strRef>
              <c:f>'Solução Exata'!$B$7</c:f>
              <c:strCache>
                <c:ptCount val="1"/>
                <c:pt idx="0">
                  <c:v>q(exata)</c:v>
                </c:pt>
              </c:strCache>
            </c:strRef>
          </c:tx>
          <c:marker>
            <c:symbol val="none"/>
          </c:marker>
          <c:xVal>
            <c:numRef>
              <c:f>'Solução Exata'!$A$8:$A$2008</c:f>
              <c:numCache>
                <c:formatCode>0.00</c:formatCode>
                <c:ptCount val="200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  <c:pt idx="81">
                  <c:v>4.0499999999999936</c:v>
                </c:pt>
                <c:pt idx="82">
                  <c:v>4.0999999999999934</c:v>
                </c:pt>
                <c:pt idx="83">
                  <c:v>4.1499999999999932</c:v>
                </c:pt>
                <c:pt idx="84">
                  <c:v>4.1999999999999931</c:v>
                </c:pt>
                <c:pt idx="85">
                  <c:v>4.2499999999999929</c:v>
                </c:pt>
                <c:pt idx="86">
                  <c:v>4.2999999999999927</c:v>
                </c:pt>
                <c:pt idx="87">
                  <c:v>4.3499999999999925</c:v>
                </c:pt>
                <c:pt idx="88">
                  <c:v>4.3999999999999924</c:v>
                </c:pt>
                <c:pt idx="89">
                  <c:v>4.4499999999999922</c:v>
                </c:pt>
                <c:pt idx="90">
                  <c:v>4.499999999999992</c:v>
                </c:pt>
                <c:pt idx="91">
                  <c:v>4.5499999999999918</c:v>
                </c:pt>
                <c:pt idx="92">
                  <c:v>4.5999999999999917</c:v>
                </c:pt>
                <c:pt idx="93">
                  <c:v>4.6499999999999915</c:v>
                </c:pt>
                <c:pt idx="94">
                  <c:v>4.6999999999999913</c:v>
                </c:pt>
                <c:pt idx="95">
                  <c:v>4.7499999999999911</c:v>
                </c:pt>
                <c:pt idx="96">
                  <c:v>4.7999999999999909</c:v>
                </c:pt>
                <c:pt idx="97">
                  <c:v>4.8499999999999908</c:v>
                </c:pt>
                <c:pt idx="98">
                  <c:v>4.8999999999999906</c:v>
                </c:pt>
                <c:pt idx="99">
                  <c:v>4.9499999999999904</c:v>
                </c:pt>
                <c:pt idx="100">
                  <c:v>4.9999999999999902</c:v>
                </c:pt>
                <c:pt idx="101">
                  <c:v>5.0499999999999901</c:v>
                </c:pt>
                <c:pt idx="102">
                  <c:v>5.0999999999999899</c:v>
                </c:pt>
                <c:pt idx="103">
                  <c:v>5.1499999999999897</c:v>
                </c:pt>
                <c:pt idx="104">
                  <c:v>5.1999999999999895</c:v>
                </c:pt>
                <c:pt idx="105">
                  <c:v>5.2499999999999893</c:v>
                </c:pt>
                <c:pt idx="106">
                  <c:v>5.2999999999999892</c:v>
                </c:pt>
                <c:pt idx="107">
                  <c:v>5.349999999999989</c:v>
                </c:pt>
                <c:pt idx="108">
                  <c:v>5.3999999999999888</c:v>
                </c:pt>
                <c:pt idx="109">
                  <c:v>5.4499999999999886</c:v>
                </c:pt>
                <c:pt idx="110">
                  <c:v>5.4999999999999885</c:v>
                </c:pt>
                <c:pt idx="111">
                  <c:v>5.5499999999999883</c:v>
                </c:pt>
                <c:pt idx="112">
                  <c:v>5.5999999999999881</c:v>
                </c:pt>
                <c:pt idx="113">
                  <c:v>5.6499999999999879</c:v>
                </c:pt>
                <c:pt idx="114">
                  <c:v>5.6999999999999877</c:v>
                </c:pt>
                <c:pt idx="115">
                  <c:v>5.7499999999999876</c:v>
                </c:pt>
                <c:pt idx="116">
                  <c:v>5.7999999999999874</c:v>
                </c:pt>
                <c:pt idx="117">
                  <c:v>5.8499999999999872</c:v>
                </c:pt>
                <c:pt idx="118">
                  <c:v>5.899999999999987</c:v>
                </c:pt>
                <c:pt idx="119">
                  <c:v>5.9499999999999869</c:v>
                </c:pt>
                <c:pt idx="120">
                  <c:v>5.9999999999999867</c:v>
                </c:pt>
                <c:pt idx="121">
                  <c:v>6.0499999999999865</c:v>
                </c:pt>
                <c:pt idx="122">
                  <c:v>6.0999999999999863</c:v>
                </c:pt>
                <c:pt idx="123">
                  <c:v>6.1499999999999861</c:v>
                </c:pt>
                <c:pt idx="124">
                  <c:v>6.199999999999986</c:v>
                </c:pt>
                <c:pt idx="125">
                  <c:v>6.2499999999999858</c:v>
                </c:pt>
                <c:pt idx="126">
                  <c:v>6.2999999999999856</c:v>
                </c:pt>
                <c:pt idx="127">
                  <c:v>6.3499999999999854</c:v>
                </c:pt>
                <c:pt idx="128">
                  <c:v>6.3999999999999853</c:v>
                </c:pt>
                <c:pt idx="129">
                  <c:v>6.4499999999999851</c:v>
                </c:pt>
                <c:pt idx="130">
                  <c:v>6.4999999999999849</c:v>
                </c:pt>
                <c:pt idx="131">
                  <c:v>6.5499999999999847</c:v>
                </c:pt>
                <c:pt idx="132">
                  <c:v>6.5999999999999845</c:v>
                </c:pt>
                <c:pt idx="133">
                  <c:v>6.6499999999999844</c:v>
                </c:pt>
                <c:pt idx="134">
                  <c:v>6.6999999999999842</c:v>
                </c:pt>
                <c:pt idx="135">
                  <c:v>6.749999999999984</c:v>
                </c:pt>
                <c:pt idx="136">
                  <c:v>6.7999999999999838</c:v>
                </c:pt>
                <c:pt idx="137">
                  <c:v>6.8499999999999837</c:v>
                </c:pt>
                <c:pt idx="138">
                  <c:v>6.8999999999999835</c:v>
                </c:pt>
                <c:pt idx="139">
                  <c:v>6.9499999999999833</c:v>
                </c:pt>
                <c:pt idx="140">
                  <c:v>6.9999999999999831</c:v>
                </c:pt>
                <c:pt idx="141">
                  <c:v>7.0499999999999829</c:v>
                </c:pt>
                <c:pt idx="142">
                  <c:v>7.0999999999999828</c:v>
                </c:pt>
                <c:pt idx="143">
                  <c:v>7.1499999999999826</c:v>
                </c:pt>
                <c:pt idx="144">
                  <c:v>7.1999999999999824</c:v>
                </c:pt>
                <c:pt idx="145">
                  <c:v>7.2499999999999822</c:v>
                </c:pt>
                <c:pt idx="146">
                  <c:v>7.2999999999999821</c:v>
                </c:pt>
                <c:pt idx="147">
                  <c:v>7.3499999999999819</c:v>
                </c:pt>
                <c:pt idx="148">
                  <c:v>7.3999999999999817</c:v>
                </c:pt>
                <c:pt idx="149">
                  <c:v>7.4499999999999815</c:v>
                </c:pt>
                <c:pt idx="150">
                  <c:v>7.4999999999999813</c:v>
                </c:pt>
                <c:pt idx="151">
                  <c:v>7.5499999999999812</c:v>
                </c:pt>
                <c:pt idx="152">
                  <c:v>7.599999999999981</c:v>
                </c:pt>
                <c:pt idx="153">
                  <c:v>7.6499999999999808</c:v>
                </c:pt>
                <c:pt idx="154">
                  <c:v>7.6999999999999806</c:v>
                </c:pt>
                <c:pt idx="155">
                  <c:v>7.7499999999999805</c:v>
                </c:pt>
                <c:pt idx="156">
                  <c:v>7.7999999999999803</c:v>
                </c:pt>
                <c:pt idx="157">
                  <c:v>7.8499999999999801</c:v>
                </c:pt>
                <c:pt idx="158">
                  <c:v>7.8999999999999799</c:v>
                </c:pt>
                <c:pt idx="159">
                  <c:v>7.9499999999999797</c:v>
                </c:pt>
                <c:pt idx="160">
                  <c:v>7.9999999999999796</c:v>
                </c:pt>
                <c:pt idx="161">
                  <c:v>8.0499999999999794</c:v>
                </c:pt>
                <c:pt idx="162">
                  <c:v>8.0999999999999801</c:v>
                </c:pt>
                <c:pt idx="163">
                  <c:v>8.1499999999999808</c:v>
                </c:pt>
                <c:pt idx="164">
                  <c:v>8.1999999999999815</c:v>
                </c:pt>
                <c:pt idx="165">
                  <c:v>8.2499999999999822</c:v>
                </c:pt>
                <c:pt idx="166">
                  <c:v>8.2999999999999829</c:v>
                </c:pt>
                <c:pt idx="167">
                  <c:v>8.3499999999999837</c:v>
                </c:pt>
                <c:pt idx="168">
                  <c:v>8.3999999999999844</c:v>
                </c:pt>
                <c:pt idx="169">
                  <c:v>8.4499999999999851</c:v>
                </c:pt>
                <c:pt idx="170">
                  <c:v>8.4999999999999858</c:v>
                </c:pt>
                <c:pt idx="171">
                  <c:v>8.5499999999999865</c:v>
                </c:pt>
                <c:pt idx="172">
                  <c:v>8.5999999999999872</c:v>
                </c:pt>
                <c:pt idx="173">
                  <c:v>8.6499999999999879</c:v>
                </c:pt>
                <c:pt idx="174">
                  <c:v>8.6999999999999886</c:v>
                </c:pt>
                <c:pt idx="175">
                  <c:v>8.7499999999999893</c:v>
                </c:pt>
                <c:pt idx="176">
                  <c:v>8.7999999999999901</c:v>
                </c:pt>
                <c:pt idx="177">
                  <c:v>8.8499999999999908</c:v>
                </c:pt>
                <c:pt idx="178">
                  <c:v>8.8999999999999915</c:v>
                </c:pt>
                <c:pt idx="179">
                  <c:v>8.9499999999999922</c:v>
                </c:pt>
                <c:pt idx="180">
                  <c:v>8.9999999999999929</c:v>
                </c:pt>
                <c:pt idx="181">
                  <c:v>9.0499999999999936</c:v>
                </c:pt>
                <c:pt idx="182">
                  <c:v>9.0999999999999943</c:v>
                </c:pt>
                <c:pt idx="183">
                  <c:v>9.149999999999995</c:v>
                </c:pt>
                <c:pt idx="184">
                  <c:v>9.1999999999999957</c:v>
                </c:pt>
                <c:pt idx="185">
                  <c:v>9.2499999999999964</c:v>
                </c:pt>
                <c:pt idx="186">
                  <c:v>9.2999999999999972</c:v>
                </c:pt>
                <c:pt idx="187">
                  <c:v>9.3499999999999979</c:v>
                </c:pt>
                <c:pt idx="188">
                  <c:v>9.3999999999999986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9.6000000000000014</c:v>
                </c:pt>
                <c:pt idx="193">
                  <c:v>9.6500000000000021</c:v>
                </c:pt>
                <c:pt idx="194">
                  <c:v>9.7000000000000028</c:v>
                </c:pt>
                <c:pt idx="195">
                  <c:v>9.7500000000000036</c:v>
                </c:pt>
                <c:pt idx="196">
                  <c:v>9.8000000000000043</c:v>
                </c:pt>
                <c:pt idx="197">
                  <c:v>9.850000000000005</c:v>
                </c:pt>
                <c:pt idx="198">
                  <c:v>9.9000000000000057</c:v>
                </c:pt>
                <c:pt idx="199">
                  <c:v>9.9500000000000064</c:v>
                </c:pt>
                <c:pt idx="200">
                  <c:v>10.000000000000007</c:v>
                </c:pt>
                <c:pt idx="201">
                  <c:v>10.050000000000008</c:v>
                </c:pt>
                <c:pt idx="202">
                  <c:v>10.100000000000009</c:v>
                </c:pt>
                <c:pt idx="203">
                  <c:v>10.150000000000009</c:v>
                </c:pt>
                <c:pt idx="204">
                  <c:v>10.20000000000001</c:v>
                </c:pt>
                <c:pt idx="205">
                  <c:v>10.250000000000011</c:v>
                </c:pt>
                <c:pt idx="206">
                  <c:v>10.300000000000011</c:v>
                </c:pt>
                <c:pt idx="207">
                  <c:v>10.350000000000012</c:v>
                </c:pt>
                <c:pt idx="208">
                  <c:v>10.400000000000013</c:v>
                </c:pt>
                <c:pt idx="209">
                  <c:v>10.450000000000014</c:v>
                </c:pt>
                <c:pt idx="210">
                  <c:v>10.500000000000014</c:v>
                </c:pt>
                <c:pt idx="211">
                  <c:v>10.550000000000015</c:v>
                </c:pt>
                <c:pt idx="212">
                  <c:v>10.600000000000016</c:v>
                </c:pt>
                <c:pt idx="213">
                  <c:v>10.650000000000016</c:v>
                </c:pt>
                <c:pt idx="214">
                  <c:v>10.700000000000017</c:v>
                </c:pt>
                <c:pt idx="215">
                  <c:v>10.750000000000018</c:v>
                </c:pt>
                <c:pt idx="216">
                  <c:v>10.800000000000018</c:v>
                </c:pt>
                <c:pt idx="217">
                  <c:v>10.850000000000019</c:v>
                </c:pt>
                <c:pt idx="218">
                  <c:v>10.90000000000002</c:v>
                </c:pt>
                <c:pt idx="219">
                  <c:v>10.950000000000021</c:v>
                </c:pt>
                <c:pt idx="220">
                  <c:v>11.000000000000021</c:v>
                </c:pt>
                <c:pt idx="221">
                  <c:v>11.050000000000022</c:v>
                </c:pt>
                <c:pt idx="222">
                  <c:v>11.100000000000023</c:v>
                </c:pt>
                <c:pt idx="223">
                  <c:v>11.150000000000023</c:v>
                </c:pt>
                <c:pt idx="224">
                  <c:v>11.200000000000024</c:v>
                </c:pt>
                <c:pt idx="225">
                  <c:v>11.250000000000025</c:v>
                </c:pt>
                <c:pt idx="226">
                  <c:v>11.300000000000026</c:v>
                </c:pt>
                <c:pt idx="227">
                  <c:v>11.350000000000026</c:v>
                </c:pt>
                <c:pt idx="228">
                  <c:v>11.400000000000027</c:v>
                </c:pt>
                <c:pt idx="229">
                  <c:v>11.450000000000028</c:v>
                </c:pt>
                <c:pt idx="230">
                  <c:v>11.500000000000028</c:v>
                </c:pt>
                <c:pt idx="231">
                  <c:v>11.550000000000029</c:v>
                </c:pt>
                <c:pt idx="232">
                  <c:v>11.60000000000003</c:v>
                </c:pt>
                <c:pt idx="233">
                  <c:v>11.650000000000031</c:v>
                </c:pt>
                <c:pt idx="234">
                  <c:v>11.700000000000031</c:v>
                </c:pt>
                <c:pt idx="235">
                  <c:v>11.750000000000032</c:v>
                </c:pt>
                <c:pt idx="236">
                  <c:v>11.800000000000033</c:v>
                </c:pt>
                <c:pt idx="237">
                  <c:v>11.850000000000033</c:v>
                </c:pt>
                <c:pt idx="238">
                  <c:v>11.900000000000034</c:v>
                </c:pt>
                <c:pt idx="239">
                  <c:v>11.950000000000035</c:v>
                </c:pt>
                <c:pt idx="240">
                  <c:v>12.000000000000036</c:v>
                </c:pt>
                <c:pt idx="241">
                  <c:v>12.050000000000036</c:v>
                </c:pt>
                <c:pt idx="242">
                  <c:v>12.100000000000037</c:v>
                </c:pt>
                <c:pt idx="243">
                  <c:v>12.150000000000038</c:v>
                </c:pt>
                <c:pt idx="244">
                  <c:v>12.200000000000038</c:v>
                </c:pt>
                <c:pt idx="245">
                  <c:v>12.250000000000039</c:v>
                </c:pt>
                <c:pt idx="246">
                  <c:v>12.30000000000004</c:v>
                </c:pt>
                <c:pt idx="247">
                  <c:v>12.350000000000041</c:v>
                </c:pt>
                <c:pt idx="248">
                  <c:v>12.400000000000041</c:v>
                </c:pt>
                <c:pt idx="249">
                  <c:v>12.450000000000042</c:v>
                </c:pt>
                <c:pt idx="250">
                  <c:v>12.500000000000043</c:v>
                </c:pt>
                <c:pt idx="251">
                  <c:v>12.550000000000043</c:v>
                </c:pt>
                <c:pt idx="252">
                  <c:v>12.600000000000044</c:v>
                </c:pt>
                <c:pt idx="253">
                  <c:v>12.650000000000045</c:v>
                </c:pt>
                <c:pt idx="254">
                  <c:v>12.700000000000045</c:v>
                </c:pt>
                <c:pt idx="255">
                  <c:v>12.750000000000046</c:v>
                </c:pt>
                <c:pt idx="256">
                  <c:v>12.800000000000047</c:v>
                </c:pt>
                <c:pt idx="257">
                  <c:v>12.850000000000048</c:v>
                </c:pt>
                <c:pt idx="258">
                  <c:v>12.900000000000048</c:v>
                </c:pt>
                <c:pt idx="259">
                  <c:v>12.950000000000049</c:v>
                </c:pt>
                <c:pt idx="260">
                  <c:v>13.00000000000005</c:v>
                </c:pt>
                <c:pt idx="261">
                  <c:v>13.05000000000005</c:v>
                </c:pt>
                <c:pt idx="262">
                  <c:v>13.100000000000051</c:v>
                </c:pt>
                <c:pt idx="263">
                  <c:v>13.150000000000052</c:v>
                </c:pt>
                <c:pt idx="264">
                  <c:v>13.200000000000053</c:v>
                </c:pt>
                <c:pt idx="265">
                  <c:v>13.250000000000053</c:v>
                </c:pt>
                <c:pt idx="266">
                  <c:v>13.300000000000054</c:v>
                </c:pt>
                <c:pt idx="267">
                  <c:v>13.350000000000055</c:v>
                </c:pt>
                <c:pt idx="268">
                  <c:v>13.400000000000055</c:v>
                </c:pt>
                <c:pt idx="269">
                  <c:v>13.450000000000056</c:v>
                </c:pt>
                <c:pt idx="270">
                  <c:v>13.500000000000057</c:v>
                </c:pt>
                <c:pt idx="271">
                  <c:v>13.550000000000058</c:v>
                </c:pt>
                <c:pt idx="272">
                  <c:v>13.600000000000058</c:v>
                </c:pt>
                <c:pt idx="273">
                  <c:v>13.650000000000059</c:v>
                </c:pt>
                <c:pt idx="274">
                  <c:v>13.70000000000006</c:v>
                </c:pt>
                <c:pt idx="275">
                  <c:v>13.75000000000006</c:v>
                </c:pt>
                <c:pt idx="276">
                  <c:v>13.800000000000061</c:v>
                </c:pt>
                <c:pt idx="277">
                  <c:v>13.850000000000062</c:v>
                </c:pt>
                <c:pt idx="278">
                  <c:v>13.900000000000063</c:v>
                </c:pt>
                <c:pt idx="279">
                  <c:v>13.950000000000063</c:v>
                </c:pt>
                <c:pt idx="280">
                  <c:v>14.000000000000064</c:v>
                </c:pt>
                <c:pt idx="281">
                  <c:v>14.050000000000065</c:v>
                </c:pt>
                <c:pt idx="282">
                  <c:v>14.100000000000065</c:v>
                </c:pt>
                <c:pt idx="283">
                  <c:v>14.150000000000066</c:v>
                </c:pt>
                <c:pt idx="284">
                  <c:v>14.200000000000067</c:v>
                </c:pt>
                <c:pt idx="285">
                  <c:v>14.250000000000068</c:v>
                </c:pt>
                <c:pt idx="286">
                  <c:v>14.300000000000068</c:v>
                </c:pt>
                <c:pt idx="287">
                  <c:v>14.350000000000069</c:v>
                </c:pt>
                <c:pt idx="288">
                  <c:v>14.40000000000007</c:v>
                </c:pt>
                <c:pt idx="289">
                  <c:v>14.45000000000007</c:v>
                </c:pt>
                <c:pt idx="290">
                  <c:v>14.500000000000071</c:v>
                </c:pt>
                <c:pt idx="291">
                  <c:v>14.550000000000072</c:v>
                </c:pt>
                <c:pt idx="292">
                  <c:v>14.600000000000072</c:v>
                </c:pt>
                <c:pt idx="293">
                  <c:v>14.650000000000073</c:v>
                </c:pt>
                <c:pt idx="294">
                  <c:v>14.700000000000074</c:v>
                </c:pt>
                <c:pt idx="295">
                  <c:v>14.750000000000075</c:v>
                </c:pt>
                <c:pt idx="296">
                  <c:v>14.800000000000075</c:v>
                </c:pt>
                <c:pt idx="297">
                  <c:v>14.850000000000076</c:v>
                </c:pt>
                <c:pt idx="298">
                  <c:v>14.900000000000077</c:v>
                </c:pt>
                <c:pt idx="299">
                  <c:v>14.950000000000077</c:v>
                </c:pt>
                <c:pt idx="300">
                  <c:v>15.000000000000078</c:v>
                </c:pt>
                <c:pt idx="301">
                  <c:v>15.050000000000079</c:v>
                </c:pt>
                <c:pt idx="302">
                  <c:v>15.10000000000008</c:v>
                </c:pt>
                <c:pt idx="303">
                  <c:v>15.15000000000008</c:v>
                </c:pt>
                <c:pt idx="304">
                  <c:v>15.200000000000081</c:v>
                </c:pt>
                <c:pt idx="305">
                  <c:v>15.250000000000082</c:v>
                </c:pt>
                <c:pt idx="306">
                  <c:v>15.300000000000082</c:v>
                </c:pt>
                <c:pt idx="307">
                  <c:v>15.350000000000083</c:v>
                </c:pt>
                <c:pt idx="308">
                  <c:v>15.400000000000084</c:v>
                </c:pt>
                <c:pt idx="309">
                  <c:v>15.450000000000085</c:v>
                </c:pt>
                <c:pt idx="310">
                  <c:v>15.500000000000085</c:v>
                </c:pt>
                <c:pt idx="311">
                  <c:v>15.550000000000086</c:v>
                </c:pt>
                <c:pt idx="312">
                  <c:v>15.600000000000087</c:v>
                </c:pt>
                <c:pt idx="313">
                  <c:v>15.650000000000087</c:v>
                </c:pt>
                <c:pt idx="314">
                  <c:v>15.700000000000088</c:v>
                </c:pt>
                <c:pt idx="315">
                  <c:v>15.750000000000089</c:v>
                </c:pt>
                <c:pt idx="316">
                  <c:v>15.80000000000009</c:v>
                </c:pt>
                <c:pt idx="317">
                  <c:v>15.85000000000009</c:v>
                </c:pt>
                <c:pt idx="318">
                  <c:v>15.900000000000091</c:v>
                </c:pt>
                <c:pt idx="319">
                  <c:v>15.950000000000092</c:v>
                </c:pt>
                <c:pt idx="320">
                  <c:v>16.000000000000092</c:v>
                </c:pt>
                <c:pt idx="321">
                  <c:v>16.050000000000093</c:v>
                </c:pt>
                <c:pt idx="322">
                  <c:v>16.100000000000094</c:v>
                </c:pt>
                <c:pt idx="323">
                  <c:v>16.150000000000095</c:v>
                </c:pt>
                <c:pt idx="324">
                  <c:v>16.200000000000095</c:v>
                </c:pt>
                <c:pt idx="325">
                  <c:v>16.250000000000096</c:v>
                </c:pt>
                <c:pt idx="326">
                  <c:v>16.300000000000097</c:v>
                </c:pt>
                <c:pt idx="327">
                  <c:v>16.350000000000097</c:v>
                </c:pt>
                <c:pt idx="328">
                  <c:v>16.400000000000098</c:v>
                </c:pt>
                <c:pt idx="329">
                  <c:v>16.450000000000099</c:v>
                </c:pt>
                <c:pt idx="330">
                  <c:v>16.500000000000099</c:v>
                </c:pt>
                <c:pt idx="331">
                  <c:v>16.5500000000001</c:v>
                </c:pt>
                <c:pt idx="332">
                  <c:v>16.600000000000101</c:v>
                </c:pt>
                <c:pt idx="333">
                  <c:v>16.650000000000102</c:v>
                </c:pt>
                <c:pt idx="334">
                  <c:v>16.700000000000102</c:v>
                </c:pt>
                <c:pt idx="335">
                  <c:v>16.750000000000103</c:v>
                </c:pt>
                <c:pt idx="336">
                  <c:v>16.800000000000104</c:v>
                </c:pt>
                <c:pt idx="337">
                  <c:v>16.850000000000104</c:v>
                </c:pt>
                <c:pt idx="338">
                  <c:v>16.900000000000105</c:v>
                </c:pt>
                <c:pt idx="339">
                  <c:v>16.950000000000106</c:v>
                </c:pt>
                <c:pt idx="340">
                  <c:v>17.000000000000107</c:v>
                </c:pt>
                <c:pt idx="341">
                  <c:v>17.050000000000107</c:v>
                </c:pt>
                <c:pt idx="342">
                  <c:v>17.100000000000108</c:v>
                </c:pt>
                <c:pt idx="343">
                  <c:v>17.150000000000109</c:v>
                </c:pt>
                <c:pt idx="344">
                  <c:v>17.200000000000109</c:v>
                </c:pt>
                <c:pt idx="345">
                  <c:v>17.25000000000011</c:v>
                </c:pt>
                <c:pt idx="346">
                  <c:v>17.300000000000111</c:v>
                </c:pt>
                <c:pt idx="347">
                  <c:v>17.350000000000112</c:v>
                </c:pt>
                <c:pt idx="348">
                  <c:v>17.400000000000112</c:v>
                </c:pt>
                <c:pt idx="349">
                  <c:v>17.450000000000113</c:v>
                </c:pt>
                <c:pt idx="350">
                  <c:v>17.500000000000114</c:v>
                </c:pt>
                <c:pt idx="351">
                  <c:v>17.550000000000114</c:v>
                </c:pt>
                <c:pt idx="352">
                  <c:v>17.600000000000115</c:v>
                </c:pt>
                <c:pt idx="353">
                  <c:v>17.650000000000116</c:v>
                </c:pt>
                <c:pt idx="354">
                  <c:v>17.700000000000117</c:v>
                </c:pt>
                <c:pt idx="355">
                  <c:v>17.750000000000117</c:v>
                </c:pt>
                <c:pt idx="356">
                  <c:v>17.800000000000118</c:v>
                </c:pt>
                <c:pt idx="357">
                  <c:v>17.850000000000119</c:v>
                </c:pt>
                <c:pt idx="358">
                  <c:v>17.900000000000119</c:v>
                </c:pt>
                <c:pt idx="359">
                  <c:v>17.95000000000012</c:v>
                </c:pt>
                <c:pt idx="360">
                  <c:v>18.000000000000121</c:v>
                </c:pt>
                <c:pt idx="361">
                  <c:v>18.050000000000122</c:v>
                </c:pt>
                <c:pt idx="362">
                  <c:v>18.100000000000122</c:v>
                </c:pt>
                <c:pt idx="363">
                  <c:v>18.150000000000123</c:v>
                </c:pt>
                <c:pt idx="364">
                  <c:v>18.200000000000124</c:v>
                </c:pt>
                <c:pt idx="365">
                  <c:v>18.250000000000124</c:v>
                </c:pt>
                <c:pt idx="366">
                  <c:v>18.300000000000125</c:v>
                </c:pt>
                <c:pt idx="367">
                  <c:v>18.350000000000126</c:v>
                </c:pt>
                <c:pt idx="368">
                  <c:v>18.400000000000126</c:v>
                </c:pt>
                <c:pt idx="369">
                  <c:v>18.450000000000127</c:v>
                </c:pt>
                <c:pt idx="370">
                  <c:v>18.500000000000128</c:v>
                </c:pt>
                <c:pt idx="371">
                  <c:v>18.550000000000129</c:v>
                </c:pt>
                <c:pt idx="372">
                  <c:v>18.600000000000129</c:v>
                </c:pt>
                <c:pt idx="373">
                  <c:v>18.65000000000013</c:v>
                </c:pt>
                <c:pt idx="374">
                  <c:v>18.700000000000131</c:v>
                </c:pt>
                <c:pt idx="375">
                  <c:v>18.750000000000131</c:v>
                </c:pt>
                <c:pt idx="376">
                  <c:v>18.800000000000132</c:v>
                </c:pt>
                <c:pt idx="377">
                  <c:v>18.850000000000133</c:v>
                </c:pt>
                <c:pt idx="378">
                  <c:v>18.900000000000134</c:v>
                </c:pt>
                <c:pt idx="379">
                  <c:v>18.950000000000134</c:v>
                </c:pt>
                <c:pt idx="380">
                  <c:v>19.000000000000135</c:v>
                </c:pt>
                <c:pt idx="381">
                  <c:v>19.050000000000136</c:v>
                </c:pt>
                <c:pt idx="382">
                  <c:v>19.100000000000136</c:v>
                </c:pt>
                <c:pt idx="383">
                  <c:v>19.150000000000137</c:v>
                </c:pt>
                <c:pt idx="384">
                  <c:v>19.200000000000138</c:v>
                </c:pt>
                <c:pt idx="385">
                  <c:v>19.250000000000139</c:v>
                </c:pt>
                <c:pt idx="386">
                  <c:v>19.300000000000139</c:v>
                </c:pt>
                <c:pt idx="387">
                  <c:v>19.35000000000014</c:v>
                </c:pt>
                <c:pt idx="388">
                  <c:v>19.400000000000141</c:v>
                </c:pt>
                <c:pt idx="389">
                  <c:v>19.450000000000141</c:v>
                </c:pt>
                <c:pt idx="390">
                  <c:v>19.500000000000142</c:v>
                </c:pt>
                <c:pt idx="391">
                  <c:v>19.550000000000143</c:v>
                </c:pt>
                <c:pt idx="392">
                  <c:v>19.600000000000144</c:v>
                </c:pt>
                <c:pt idx="393">
                  <c:v>19.650000000000144</c:v>
                </c:pt>
                <c:pt idx="394">
                  <c:v>19.700000000000145</c:v>
                </c:pt>
                <c:pt idx="395">
                  <c:v>19.750000000000146</c:v>
                </c:pt>
                <c:pt idx="396">
                  <c:v>19.800000000000146</c:v>
                </c:pt>
                <c:pt idx="397">
                  <c:v>19.850000000000147</c:v>
                </c:pt>
                <c:pt idx="398">
                  <c:v>19.900000000000148</c:v>
                </c:pt>
                <c:pt idx="399">
                  <c:v>19.950000000000149</c:v>
                </c:pt>
                <c:pt idx="400">
                  <c:v>20.000000000000149</c:v>
                </c:pt>
                <c:pt idx="401">
                  <c:v>20.05000000000015</c:v>
                </c:pt>
                <c:pt idx="402">
                  <c:v>20.100000000000151</c:v>
                </c:pt>
                <c:pt idx="403">
                  <c:v>20.150000000000151</c:v>
                </c:pt>
                <c:pt idx="404">
                  <c:v>20.200000000000152</c:v>
                </c:pt>
                <c:pt idx="405">
                  <c:v>20.250000000000153</c:v>
                </c:pt>
                <c:pt idx="406">
                  <c:v>20.300000000000153</c:v>
                </c:pt>
                <c:pt idx="407">
                  <c:v>20.350000000000154</c:v>
                </c:pt>
                <c:pt idx="408">
                  <c:v>20.400000000000155</c:v>
                </c:pt>
                <c:pt idx="409">
                  <c:v>20.450000000000156</c:v>
                </c:pt>
                <c:pt idx="410">
                  <c:v>20.500000000000156</c:v>
                </c:pt>
                <c:pt idx="411">
                  <c:v>20.550000000000157</c:v>
                </c:pt>
                <c:pt idx="412">
                  <c:v>20.600000000000158</c:v>
                </c:pt>
                <c:pt idx="413">
                  <c:v>20.650000000000158</c:v>
                </c:pt>
                <c:pt idx="414">
                  <c:v>20.700000000000159</c:v>
                </c:pt>
                <c:pt idx="415">
                  <c:v>20.75000000000016</c:v>
                </c:pt>
                <c:pt idx="416">
                  <c:v>20.800000000000161</c:v>
                </c:pt>
                <c:pt idx="417">
                  <c:v>20.850000000000161</c:v>
                </c:pt>
                <c:pt idx="418">
                  <c:v>20.900000000000162</c:v>
                </c:pt>
                <c:pt idx="419">
                  <c:v>20.950000000000163</c:v>
                </c:pt>
                <c:pt idx="420">
                  <c:v>21.000000000000163</c:v>
                </c:pt>
                <c:pt idx="421">
                  <c:v>21.050000000000164</c:v>
                </c:pt>
                <c:pt idx="422">
                  <c:v>21.100000000000165</c:v>
                </c:pt>
                <c:pt idx="423">
                  <c:v>21.150000000000166</c:v>
                </c:pt>
                <c:pt idx="424">
                  <c:v>21.200000000000166</c:v>
                </c:pt>
                <c:pt idx="425">
                  <c:v>21.250000000000167</c:v>
                </c:pt>
                <c:pt idx="426">
                  <c:v>21.300000000000168</c:v>
                </c:pt>
                <c:pt idx="427">
                  <c:v>21.350000000000168</c:v>
                </c:pt>
                <c:pt idx="428">
                  <c:v>21.400000000000169</c:v>
                </c:pt>
                <c:pt idx="429">
                  <c:v>21.45000000000017</c:v>
                </c:pt>
                <c:pt idx="430">
                  <c:v>21.500000000000171</c:v>
                </c:pt>
                <c:pt idx="431">
                  <c:v>21.550000000000171</c:v>
                </c:pt>
                <c:pt idx="432">
                  <c:v>21.600000000000172</c:v>
                </c:pt>
                <c:pt idx="433">
                  <c:v>21.650000000000173</c:v>
                </c:pt>
                <c:pt idx="434">
                  <c:v>21.700000000000173</c:v>
                </c:pt>
                <c:pt idx="435">
                  <c:v>21.750000000000174</c:v>
                </c:pt>
                <c:pt idx="436">
                  <c:v>21.800000000000175</c:v>
                </c:pt>
                <c:pt idx="437">
                  <c:v>21.850000000000176</c:v>
                </c:pt>
                <c:pt idx="438">
                  <c:v>21.900000000000176</c:v>
                </c:pt>
                <c:pt idx="439">
                  <c:v>21.950000000000177</c:v>
                </c:pt>
                <c:pt idx="440">
                  <c:v>22.000000000000178</c:v>
                </c:pt>
                <c:pt idx="441">
                  <c:v>22.050000000000178</c:v>
                </c:pt>
                <c:pt idx="442">
                  <c:v>22.100000000000179</c:v>
                </c:pt>
                <c:pt idx="443">
                  <c:v>22.15000000000018</c:v>
                </c:pt>
                <c:pt idx="444">
                  <c:v>22.20000000000018</c:v>
                </c:pt>
                <c:pt idx="445">
                  <c:v>22.250000000000181</c:v>
                </c:pt>
                <c:pt idx="446">
                  <c:v>22.300000000000182</c:v>
                </c:pt>
                <c:pt idx="447">
                  <c:v>22.350000000000183</c:v>
                </c:pt>
                <c:pt idx="448">
                  <c:v>22.400000000000183</c:v>
                </c:pt>
                <c:pt idx="449">
                  <c:v>22.450000000000184</c:v>
                </c:pt>
                <c:pt idx="450">
                  <c:v>22.500000000000185</c:v>
                </c:pt>
                <c:pt idx="451">
                  <c:v>22.550000000000185</c:v>
                </c:pt>
                <c:pt idx="452">
                  <c:v>22.600000000000186</c:v>
                </c:pt>
                <c:pt idx="453">
                  <c:v>22.650000000000187</c:v>
                </c:pt>
                <c:pt idx="454">
                  <c:v>22.700000000000188</c:v>
                </c:pt>
                <c:pt idx="455">
                  <c:v>22.750000000000188</c:v>
                </c:pt>
                <c:pt idx="456">
                  <c:v>22.800000000000189</c:v>
                </c:pt>
                <c:pt idx="457">
                  <c:v>22.85000000000019</c:v>
                </c:pt>
                <c:pt idx="458">
                  <c:v>22.90000000000019</c:v>
                </c:pt>
                <c:pt idx="459">
                  <c:v>22.950000000000191</c:v>
                </c:pt>
                <c:pt idx="460">
                  <c:v>23.000000000000192</c:v>
                </c:pt>
                <c:pt idx="461">
                  <c:v>23.050000000000193</c:v>
                </c:pt>
                <c:pt idx="462">
                  <c:v>23.100000000000193</c:v>
                </c:pt>
                <c:pt idx="463">
                  <c:v>23.150000000000194</c:v>
                </c:pt>
                <c:pt idx="464">
                  <c:v>23.200000000000195</c:v>
                </c:pt>
                <c:pt idx="465">
                  <c:v>23.250000000000195</c:v>
                </c:pt>
                <c:pt idx="466">
                  <c:v>23.300000000000196</c:v>
                </c:pt>
                <c:pt idx="467">
                  <c:v>23.350000000000197</c:v>
                </c:pt>
                <c:pt idx="468">
                  <c:v>23.400000000000198</c:v>
                </c:pt>
                <c:pt idx="469">
                  <c:v>23.450000000000198</c:v>
                </c:pt>
                <c:pt idx="470">
                  <c:v>23.500000000000199</c:v>
                </c:pt>
                <c:pt idx="471">
                  <c:v>23.5500000000002</c:v>
                </c:pt>
                <c:pt idx="472">
                  <c:v>23.6000000000002</c:v>
                </c:pt>
                <c:pt idx="473">
                  <c:v>23.650000000000201</c:v>
                </c:pt>
                <c:pt idx="474">
                  <c:v>23.700000000000202</c:v>
                </c:pt>
                <c:pt idx="475">
                  <c:v>23.750000000000203</c:v>
                </c:pt>
                <c:pt idx="476">
                  <c:v>23.800000000000203</c:v>
                </c:pt>
                <c:pt idx="477">
                  <c:v>23.850000000000204</c:v>
                </c:pt>
                <c:pt idx="478">
                  <c:v>23.900000000000205</c:v>
                </c:pt>
                <c:pt idx="479">
                  <c:v>23.950000000000205</c:v>
                </c:pt>
                <c:pt idx="480">
                  <c:v>24.000000000000206</c:v>
                </c:pt>
                <c:pt idx="481">
                  <c:v>24.050000000000207</c:v>
                </c:pt>
                <c:pt idx="482">
                  <c:v>24.100000000000207</c:v>
                </c:pt>
                <c:pt idx="483">
                  <c:v>24.150000000000208</c:v>
                </c:pt>
                <c:pt idx="484">
                  <c:v>24.200000000000209</c:v>
                </c:pt>
                <c:pt idx="485">
                  <c:v>24.25000000000021</c:v>
                </c:pt>
                <c:pt idx="486">
                  <c:v>24.30000000000021</c:v>
                </c:pt>
                <c:pt idx="487">
                  <c:v>24.350000000000211</c:v>
                </c:pt>
                <c:pt idx="488">
                  <c:v>24.400000000000212</c:v>
                </c:pt>
                <c:pt idx="489">
                  <c:v>24.450000000000212</c:v>
                </c:pt>
                <c:pt idx="490">
                  <c:v>24.500000000000213</c:v>
                </c:pt>
                <c:pt idx="491">
                  <c:v>24.550000000000214</c:v>
                </c:pt>
                <c:pt idx="492">
                  <c:v>24.600000000000215</c:v>
                </c:pt>
                <c:pt idx="493">
                  <c:v>24.650000000000215</c:v>
                </c:pt>
                <c:pt idx="494">
                  <c:v>24.700000000000216</c:v>
                </c:pt>
                <c:pt idx="495">
                  <c:v>24.750000000000217</c:v>
                </c:pt>
                <c:pt idx="496">
                  <c:v>24.800000000000217</c:v>
                </c:pt>
                <c:pt idx="497">
                  <c:v>24.850000000000218</c:v>
                </c:pt>
                <c:pt idx="498">
                  <c:v>24.900000000000219</c:v>
                </c:pt>
                <c:pt idx="499">
                  <c:v>24.95000000000022</c:v>
                </c:pt>
                <c:pt idx="500">
                  <c:v>25.00000000000022</c:v>
                </c:pt>
                <c:pt idx="501">
                  <c:v>25.050000000000221</c:v>
                </c:pt>
                <c:pt idx="502">
                  <c:v>25.100000000000222</c:v>
                </c:pt>
                <c:pt idx="503">
                  <c:v>25.150000000000222</c:v>
                </c:pt>
                <c:pt idx="504">
                  <c:v>25.200000000000223</c:v>
                </c:pt>
                <c:pt idx="505">
                  <c:v>25.250000000000224</c:v>
                </c:pt>
                <c:pt idx="506">
                  <c:v>25.300000000000225</c:v>
                </c:pt>
                <c:pt idx="507">
                  <c:v>25.350000000000225</c:v>
                </c:pt>
                <c:pt idx="508">
                  <c:v>25.400000000000226</c:v>
                </c:pt>
                <c:pt idx="509">
                  <c:v>25.450000000000227</c:v>
                </c:pt>
                <c:pt idx="510">
                  <c:v>25.500000000000227</c:v>
                </c:pt>
                <c:pt idx="511">
                  <c:v>25.550000000000228</c:v>
                </c:pt>
                <c:pt idx="512">
                  <c:v>25.600000000000229</c:v>
                </c:pt>
                <c:pt idx="513">
                  <c:v>25.65000000000023</c:v>
                </c:pt>
                <c:pt idx="514">
                  <c:v>25.70000000000023</c:v>
                </c:pt>
                <c:pt idx="515">
                  <c:v>25.750000000000231</c:v>
                </c:pt>
                <c:pt idx="516">
                  <c:v>25.800000000000232</c:v>
                </c:pt>
                <c:pt idx="517">
                  <c:v>25.850000000000232</c:v>
                </c:pt>
                <c:pt idx="518">
                  <c:v>25.900000000000233</c:v>
                </c:pt>
                <c:pt idx="519">
                  <c:v>25.950000000000234</c:v>
                </c:pt>
                <c:pt idx="520">
                  <c:v>26.000000000000234</c:v>
                </c:pt>
                <c:pt idx="521">
                  <c:v>26.050000000000235</c:v>
                </c:pt>
                <c:pt idx="522">
                  <c:v>26.100000000000236</c:v>
                </c:pt>
                <c:pt idx="523">
                  <c:v>26.150000000000237</c:v>
                </c:pt>
                <c:pt idx="524">
                  <c:v>26.200000000000237</c:v>
                </c:pt>
                <c:pt idx="525">
                  <c:v>26.250000000000238</c:v>
                </c:pt>
                <c:pt idx="526">
                  <c:v>26.300000000000239</c:v>
                </c:pt>
                <c:pt idx="527">
                  <c:v>26.350000000000239</c:v>
                </c:pt>
                <c:pt idx="528">
                  <c:v>26.40000000000024</c:v>
                </c:pt>
                <c:pt idx="529">
                  <c:v>26.450000000000241</c:v>
                </c:pt>
                <c:pt idx="530">
                  <c:v>26.500000000000242</c:v>
                </c:pt>
                <c:pt idx="531">
                  <c:v>26.550000000000242</c:v>
                </c:pt>
                <c:pt idx="532">
                  <c:v>26.600000000000243</c:v>
                </c:pt>
                <c:pt idx="533">
                  <c:v>26.650000000000244</c:v>
                </c:pt>
                <c:pt idx="534">
                  <c:v>26.700000000000244</c:v>
                </c:pt>
                <c:pt idx="535">
                  <c:v>26.750000000000245</c:v>
                </c:pt>
                <c:pt idx="536">
                  <c:v>26.800000000000246</c:v>
                </c:pt>
                <c:pt idx="537">
                  <c:v>26.850000000000247</c:v>
                </c:pt>
                <c:pt idx="538">
                  <c:v>26.900000000000247</c:v>
                </c:pt>
                <c:pt idx="539">
                  <c:v>26.950000000000248</c:v>
                </c:pt>
                <c:pt idx="540">
                  <c:v>27.000000000000249</c:v>
                </c:pt>
                <c:pt idx="541">
                  <c:v>27.050000000000249</c:v>
                </c:pt>
                <c:pt idx="542">
                  <c:v>27.10000000000025</c:v>
                </c:pt>
                <c:pt idx="543">
                  <c:v>27.150000000000251</c:v>
                </c:pt>
                <c:pt idx="544">
                  <c:v>27.200000000000252</c:v>
                </c:pt>
                <c:pt idx="545">
                  <c:v>27.250000000000252</c:v>
                </c:pt>
                <c:pt idx="546">
                  <c:v>27.300000000000253</c:v>
                </c:pt>
                <c:pt idx="547">
                  <c:v>27.350000000000254</c:v>
                </c:pt>
                <c:pt idx="548">
                  <c:v>27.400000000000254</c:v>
                </c:pt>
                <c:pt idx="549">
                  <c:v>27.450000000000255</c:v>
                </c:pt>
                <c:pt idx="550">
                  <c:v>27.500000000000256</c:v>
                </c:pt>
                <c:pt idx="551">
                  <c:v>27.550000000000257</c:v>
                </c:pt>
                <c:pt idx="552">
                  <c:v>27.600000000000257</c:v>
                </c:pt>
                <c:pt idx="553">
                  <c:v>27.650000000000258</c:v>
                </c:pt>
                <c:pt idx="554">
                  <c:v>27.700000000000259</c:v>
                </c:pt>
                <c:pt idx="555">
                  <c:v>27.750000000000259</c:v>
                </c:pt>
                <c:pt idx="556">
                  <c:v>27.80000000000026</c:v>
                </c:pt>
                <c:pt idx="557">
                  <c:v>27.850000000000261</c:v>
                </c:pt>
                <c:pt idx="558">
                  <c:v>27.900000000000261</c:v>
                </c:pt>
                <c:pt idx="559">
                  <c:v>27.950000000000262</c:v>
                </c:pt>
                <c:pt idx="560">
                  <c:v>28.000000000000263</c:v>
                </c:pt>
                <c:pt idx="561">
                  <c:v>28.050000000000264</c:v>
                </c:pt>
                <c:pt idx="562">
                  <c:v>28.100000000000264</c:v>
                </c:pt>
                <c:pt idx="563">
                  <c:v>28.150000000000265</c:v>
                </c:pt>
                <c:pt idx="564">
                  <c:v>28.200000000000266</c:v>
                </c:pt>
                <c:pt idx="565">
                  <c:v>28.250000000000266</c:v>
                </c:pt>
                <c:pt idx="566">
                  <c:v>28.300000000000267</c:v>
                </c:pt>
                <c:pt idx="567">
                  <c:v>28.350000000000268</c:v>
                </c:pt>
                <c:pt idx="568">
                  <c:v>28.400000000000269</c:v>
                </c:pt>
                <c:pt idx="569">
                  <c:v>28.450000000000269</c:v>
                </c:pt>
                <c:pt idx="570">
                  <c:v>28.50000000000027</c:v>
                </c:pt>
                <c:pt idx="571">
                  <c:v>28.550000000000271</c:v>
                </c:pt>
                <c:pt idx="572">
                  <c:v>28.600000000000271</c:v>
                </c:pt>
                <c:pt idx="573">
                  <c:v>28.650000000000272</c:v>
                </c:pt>
                <c:pt idx="574">
                  <c:v>28.700000000000273</c:v>
                </c:pt>
                <c:pt idx="575">
                  <c:v>28.750000000000274</c:v>
                </c:pt>
                <c:pt idx="576">
                  <c:v>28.800000000000274</c:v>
                </c:pt>
                <c:pt idx="577">
                  <c:v>28.850000000000275</c:v>
                </c:pt>
                <c:pt idx="578">
                  <c:v>28.900000000000276</c:v>
                </c:pt>
                <c:pt idx="579">
                  <c:v>28.950000000000276</c:v>
                </c:pt>
                <c:pt idx="580">
                  <c:v>29.000000000000277</c:v>
                </c:pt>
                <c:pt idx="581">
                  <c:v>29.050000000000278</c:v>
                </c:pt>
                <c:pt idx="582">
                  <c:v>29.100000000000279</c:v>
                </c:pt>
                <c:pt idx="583">
                  <c:v>29.150000000000279</c:v>
                </c:pt>
                <c:pt idx="584">
                  <c:v>29.20000000000028</c:v>
                </c:pt>
                <c:pt idx="585">
                  <c:v>29.250000000000281</c:v>
                </c:pt>
                <c:pt idx="586">
                  <c:v>29.300000000000281</c:v>
                </c:pt>
                <c:pt idx="587">
                  <c:v>29.350000000000282</c:v>
                </c:pt>
                <c:pt idx="588">
                  <c:v>29.400000000000283</c:v>
                </c:pt>
                <c:pt idx="589">
                  <c:v>29.450000000000284</c:v>
                </c:pt>
                <c:pt idx="590">
                  <c:v>29.500000000000284</c:v>
                </c:pt>
                <c:pt idx="591">
                  <c:v>29.550000000000285</c:v>
                </c:pt>
                <c:pt idx="592">
                  <c:v>29.600000000000286</c:v>
                </c:pt>
                <c:pt idx="593">
                  <c:v>29.650000000000286</c:v>
                </c:pt>
                <c:pt idx="594">
                  <c:v>29.700000000000287</c:v>
                </c:pt>
                <c:pt idx="595">
                  <c:v>29.750000000000288</c:v>
                </c:pt>
                <c:pt idx="596">
                  <c:v>29.800000000000288</c:v>
                </c:pt>
                <c:pt idx="597">
                  <c:v>29.850000000000289</c:v>
                </c:pt>
                <c:pt idx="598">
                  <c:v>29.90000000000029</c:v>
                </c:pt>
                <c:pt idx="599">
                  <c:v>29.950000000000291</c:v>
                </c:pt>
                <c:pt idx="600">
                  <c:v>30.000000000000291</c:v>
                </c:pt>
                <c:pt idx="601">
                  <c:v>30.050000000000292</c:v>
                </c:pt>
                <c:pt idx="602">
                  <c:v>30.100000000000293</c:v>
                </c:pt>
                <c:pt idx="603">
                  <c:v>30.150000000000293</c:v>
                </c:pt>
                <c:pt idx="604">
                  <c:v>30.200000000000294</c:v>
                </c:pt>
                <c:pt idx="605">
                  <c:v>30.250000000000295</c:v>
                </c:pt>
                <c:pt idx="606">
                  <c:v>30.300000000000296</c:v>
                </c:pt>
                <c:pt idx="607">
                  <c:v>30.350000000000296</c:v>
                </c:pt>
                <c:pt idx="608">
                  <c:v>30.400000000000297</c:v>
                </c:pt>
                <c:pt idx="609">
                  <c:v>30.450000000000298</c:v>
                </c:pt>
                <c:pt idx="610">
                  <c:v>30.500000000000298</c:v>
                </c:pt>
                <c:pt idx="611">
                  <c:v>30.550000000000299</c:v>
                </c:pt>
                <c:pt idx="612">
                  <c:v>30.6000000000003</c:v>
                </c:pt>
                <c:pt idx="613">
                  <c:v>30.650000000000301</c:v>
                </c:pt>
                <c:pt idx="614">
                  <c:v>30.700000000000301</c:v>
                </c:pt>
                <c:pt idx="615">
                  <c:v>30.750000000000302</c:v>
                </c:pt>
                <c:pt idx="616">
                  <c:v>30.800000000000303</c:v>
                </c:pt>
                <c:pt idx="617">
                  <c:v>30.850000000000303</c:v>
                </c:pt>
                <c:pt idx="618">
                  <c:v>30.900000000000304</c:v>
                </c:pt>
                <c:pt idx="619">
                  <c:v>30.950000000000305</c:v>
                </c:pt>
                <c:pt idx="620">
                  <c:v>31.000000000000306</c:v>
                </c:pt>
                <c:pt idx="621">
                  <c:v>31.050000000000306</c:v>
                </c:pt>
                <c:pt idx="622">
                  <c:v>31.100000000000307</c:v>
                </c:pt>
                <c:pt idx="623">
                  <c:v>31.150000000000308</c:v>
                </c:pt>
                <c:pt idx="624">
                  <c:v>31.200000000000308</c:v>
                </c:pt>
                <c:pt idx="625">
                  <c:v>31.250000000000309</c:v>
                </c:pt>
                <c:pt idx="626">
                  <c:v>31.30000000000031</c:v>
                </c:pt>
                <c:pt idx="627">
                  <c:v>31.350000000000311</c:v>
                </c:pt>
                <c:pt idx="628">
                  <c:v>31.400000000000311</c:v>
                </c:pt>
                <c:pt idx="629">
                  <c:v>31.450000000000312</c:v>
                </c:pt>
                <c:pt idx="630">
                  <c:v>31.500000000000313</c:v>
                </c:pt>
                <c:pt idx="631">
                  <c:v>31.550000000000313</c:v>
                </c:pt>
                <c:pt idx="632">
                  <c:v>31.600000000000314</c:v>
                </c:pt>
                <c:pt idx="633">
                  <c:v>31.650000000000315</c:v>
                </c:pt>
                <c:pt idx="634">
                  <c:v>31.700000000000315</c:v>
                </c:pt>
                <c:pt idx="635">
                  <c:v>31.750000000000316</c:v>
                </c:pt>
                <c:pt idx="636">
                  <c:v>31.800000000000317</c:v>
                </c:pt>
                <c:pt idx="637">
                  <c:v>31.850000000000318</c:v>
                </c:pt>
                <c:pt idx="638">
                  <c:v>31.900000000000318</c:v>
                </c:pt>
                <c:pt idx="639">
                  <c:v>31.950000000000319</c:v>
                </c:pt>
                <c:pt idx="640">
                  <c:v>32.00000000000032</c:v>
                </c:pt>
                <c:pt idx="641">
                  <c:v>32.050000000000317</c:v>
                </c:pt>
                <c:pt idx="642">
                  <c:v>32.100000000000314</c:v>
                </c:pt>
                <c:pt idx="643">
                  <c:v>32.150000000000311</c:v>
                </c:pt>
                <c:pt idx="644">
                  <c:v>32.200000000000308</c:v>
                </c:pt>
                <c:pt idx="645">
                  <c:v>32.250000000000306</c:v>
                </c:pt>
                <c:pt idx="646">
                  <c:v>32.300000000000303</c:v>
                </c:pt>
                <c:pt idx="647">
                  <c:v>32.3500000000003</c:v>
                </c:pt>
                <c:pt idx="648">
                  <c:v>32.400000000000297</c:v>
                </c:pt>
                <c:pt idx="649">
                  <c:v>32.450000000000294</c:v>
                </c:pt>
                <c:pt idx="650">
                  <c:v>32.500000000000291</c:v>
                </c:pt>
                <c:pt idx="651">
                  <c:v>32.550000000000288</c:v>
                </c:pt>
                <c:pt idx="652">
                  <c:v>32.600000000000286</c:v>
                </c:pt>
                <c:pt idx="653">
                  <c:v>32.650000000000283</c:v>
                </c:pt>
                <c:pt idx="654">
                  <c:v>32.70000000000028</c:v>
                </c:pt>
                <c:pt idx="655">
                  <c:v>32.750000000000277</c:v>
                </c:pt>
                <c:pt idx="656">
                  <c:v>32.800000000000274</c:v>
                </c:pt>
                <c:pt idx="657">
                  <c:v>32.850000000000271</c:v>
                </c:pt>
                <c:pt idx="658">
                  <c:v>32.900000000000269</c:v>
                </c:pt>
                <c:pt idx="659">
                  <c:v>32.950000000000266</c:v>
                </c:pt>
                <c:pt idx="660">
                  <c:v>33.000000000000263</c:v>
                </c:pt>
                <c:pt idx="661">
                  <c:v>33.05000000000026</c:v>
                </c:pt>
                <c:pt idx="662">
                  <c:v>33.100000000000257</c:v>
                </c:pt>
                <c:pt idx="663">
                  <c:v>33.150000000000254</c:v>
                </c:pt>
                <c:pt idx="664">
                  <c:v>33.200000000000252</c:v>
                </c:pt>
                <c:pt idx="665">
                  <c:v>33.250000000000249</c:v>
                </c:pt>
                <c:pt idx="666">
                  <c:v>33.300000000000246</c:v>
                </c:pt>
                <c:pt idx="667">
                  <c:v>33.350000000000243</c:v>
                </c:pt>
                <c:pt idx="668">
                  <c:v>33.40000000000024</c:v>
                </c:pt>
                <c:pt idx="669">
                  <c:v>33.450000000000237</c:v>
                </c:pt>
                <c:pt idx="670">
                  <c:v>33.500000000000234</c:v>
                </c:pt>
                <c:pt idx="671">
                  <c:v>33.550000000000232</c:v>
                </c:pt>
                <c:pt idx="672">
                  <c:v>33.600000000000229</c:v>
                </c:pt>
                <c:pt idx="673">
                  <c:v>33.650000000000226</c:v>
                </c:pt>
                <c:pt idx="674">
                  <c:v>33.700000000000223</c:v>
                </c:pt>
                <c:pt idx="675">
                  <c:v>33.75000000000022</c:v>
                </c:pt>
                <c:pt idx="676">
                  <c:v>33.800000000000217</c:v>
                </c:pt>
                <c:pt idx="677">
                  <c:v>33.850000000000215</c:v>
                </c:pt>
                <c:pt idx="678">
                  <c:v>33.900000000000212</c:v>
                </c:pt>
                <c:pt idx="679">
                  <c:v>33.950000000000209</c:v>
                </c:pt>
                <c:pt idx="680">
                  <c:v>34.000000000000206</c:v>
                </c:pt>
                <c:pt idx="681">
                  <c:v>34.050000000000203</c:v>
                </c:pt>
                <c:pt idx="682">
                  <c:v>34.1000000000002</c:v>
                </c:pt>
                <c:pt idx="683">
                  <c:v>34.150000000000198</c:v>
                </c:pt>
                <c:pt idx="684">
                  <c:v>34.200000000000195</c:v>
                </c:pt>
                <c:pt idx="685">
                  <c:v>34.250000000000192</c:v>
                </c:pt>
                <c:pt idx="686">
                  <c:v>34.300000000000189</c:v>
                </c:pt>
                <c:pt idx="687">
                  <c:v>34.350000000000186</c:v>
                </c:pt>
                <c:pt idx="688">
                  <c:v>34.400000000000183</c:v>
                </c:pt>
                <c:pt idx="689">
                  <c:v>34.45000000000018</c:v>
                </c:pt>
                <c:pt idx="690">
                  <c:v>34.500000000000178</c:v>
                </c:pt>
                <c:pt idx="691">
                  <c:v>34.550000000000175</c:v>
                </c:pt>
                <c:pt idx="692">
                  <c:v>34.600000000000172</c:v>
                </c:pt>
                <c:pt idx="693">
                  <c:v>34.650000000000169</c:v>
                </c:pt>
                <c:pt idx="694">
                  <c:v>34.700000000000166</c:v>
                </c:pt>
                <c:pt idx="695">
                  <c:v>34.750000000000163</c:v>
                </c:pt>
                <c:pt idx="696">
                  <c:v>34.800000000000161</c:v>
                </c:pt>
                <c:pt idx="697">
                  <c:v>34.850000000000158</c:v>
                </c:pt>
                <c:pt idx="698">
                  <c:v>34.900000000000155</c:v>
                </c:pt>
                <c:pt idx="699">
                  <c:v>34.950000000000152</c:v>
                </c:pt>
                <c:pt idx="700">
                  <c:v>35.000000000000149</c:v>
                </c:pt>
                <c:pt idx="701">
                  <c:v>35.050000000000146</c:v>
                </c:pt>
                <c:pt idx="702">
                  <c:v>35.100000000000144</c:v>
                </c:pt>
                <c:pt idx="703">
                  <c:v>35.150000000000141</c:v>
                </c:pt>
                <c:pt idx="704">
                  <c:v>35.200000000000138</c:v>
                </c:pt>
                <c:pt idx="705">
                  <c:v>35.250000000000135</c:v>
                </c:pt>
                <c:pt idx="706">
                  <c:v>35.300000000000132</c:v>
                </c:pt>
                <c:pt idx="707">
                  <c:v>35.350000000000129</c:v>
                </c:pt>
                <c:pt idx="708">
                  <c:v>35.400000000000126</c:v>
                </c:pt>
                <c:pt idx="709">
                  <c:v>35.450000000000124</c:v>
                </c:pt>
                <c:pt idx="710">
                  <c:v>35.500000000000121</c:v>
                </c:pt>
                <c:pt idx="711">
                  <c:v>35.550000000000118</c:v>
                </c:pt>
                <c:pt idx="712">
                  <c:v>35.600000000000115</c:v>
                </c:pt>
                <c:pt idx="713">
                  <c:v>35.650000000000112</c:v>
                </c:pt>
                <c:pt idx="714">
                  <c:v>35.700000000000109</c:v>
                </c:pt>
                <c:pt idx="715">
                  <c:v>35.750000000000107</c:v>
                </c:pt>
                <c:pt idx="716">
                  <c:v>35.800000000000104</c:v>
                </c:pt>
                <c:pt idx="717">
                  <c:v>35.850000000000101</c:v>
                </c:pt>
                <c:pt idx="718">
                  <c:v>35.900000000000098</c:v>
                </c:pt>
                <c:pt idx="719">
                  <c:v>35.950000000000095</c:v>
                </c:pt>
                <c:pt idx="720">
                  <c:v>36.000000000000092</c:v>
                </c:pt>
                <c:pt idx="721">
                  <c:v>36.05000000000009</c:v>
                </c:pt>
                <c:pt idx="722">
                  <c:v>36.100000000000087</c:v>
                </c:pt>
                <c:pt idx="723">
                  <c:v>36.150000000000084</c:v>
                </c:pt>
                <c:pt idx="724">
                  <c:v>36.200000000000081</c:v>
                </c:pt>
                <c:pt idx="725">
                  <c:v>36.250000000000078</c:v>
                </c:pt>
                <c:pt idx="726">
                  <c:v>36.300000000000075</c:v>
                </c:pt>
                <c:pt idx="727">
                  <c:v>36.350000000000072</c:v>
                </c:pt>
                <c:pt idx="728">
                  <c:v>36.40000000000007</c:v>
                </c:pt>
                <c:pt idx="729">
                  <c:v>36.450000000000067</c:v>
                </c:pt>
                <c:pt idx="730">
                  <c:v>36.500000000000064</c:v>
                </c:pt>
                <c:pt idx="731">
                  <c:v>36.550000000000061</c:v>
                </c:pt>
                <c:pt idx="732">
                  <c:v>36.600000000000058</c:v>
                </c:pt>
                <c:pt idx="733">
                  <c:v>36.650000000000055</c:v>
                </c:pt>
                <c:pt idx="734">
                  <c:v>36.700000000000053</c:v>
                </c:pt>
                <c:pt idx="735">
                  <c:v>36.75000000000005</c:v>
                </c:pt>
                <c:pt idx="736">
                  <c:v>36.800000000000047</c:v>
                </c:pt>
                <c:pt idx="737">
                  <c:v>36.850000000000044</c:v>
                </c:pt>
                <c:pt idx="738">
                  <c:v>36.900000000000041</c:v>
                </c:pt>
                <c:pt idx="739">
                  <c:v>36.950000000000038</c:v>
                </c:pt>
                <c:pt idx="740">
                  <c:v>37.000000000000036</c:v>
                </c:pt>
                <c:pt idx="741">
                  <c:v>37.050000000000033</c:v>
                </c:pt>
                <c:pt idx="742">
                  <c:v>37.10000000000003</c:v>
                </c:pt>
                <c:pt idx="743">
                  <c:v>37.150000000000027</c:v>
                </c:pt>
                <c:pt idx="744">
                  <c:v>37.200000000000024</c:v>
                </c:pt>
                <c:pt idx="745">
                  <c:v>37.250000000000021</c:v>
                </c:pt>
                <c:pt idx="746">
                  <c:v>37.300000000000018</c:v>
                </c:pt>
                <c:pt idx="747">
                  <c:v>37.350000000000016</c:v>
                </c:pt>
                <c:pt idx="748">
                  <c:v>37.400000000000013</c:v>
                </c:pt>
                <c:pt idx="749">
                  <c:v>37.45000000000001</c:v>
                </c:pt>
                <c:pt idx="750">
                  <c:v>37.500000000000007</c:v>
                </c:pt>
                <c:pt idx="751">
                  <c:v>37.550000000000004</c:v>
                </c:pt>
                <c:pt idx="752">
                  <c:v>37.6</c:v>
                </c:pt>
                <c:pt idx="753">
                  <c:v>37.65</c:v>
                </c:pt>
                <c:pt idx="754">
                  <c:v>37.699999999999996</c:v>
                </c:pt>
                <c:pt idx="755">
                  <c:v>37.749999999999993</c:v>
                </c:pt>
                <c:pt idx="756">
                  <c:v>37.79999999999999</c:v>
                </c:pt>
                <c:pt idx="757">
                  <c:v>37.849999999999987</c:v>
                </c:pt>
                <c:pt idx="758">
                  <c:v>37.899999999999984</c:v>
                </c:pt>
                <c:pt idx="759">
                  <c:v>37.949999999999982</c:v>
                </c:pt>
                <c:pt idx="760">
                  <c:v>37.999999999999979</c:v>
                </c:pt>
                <c:pt idx="761">
                  <c:v>38.049999999999976</c:v>
                </c:pt>
                <c:pt idx="762">
                  <c:v>38.099999999999973</c:v>
                </c:pt>
                <c:pt idx="763">
                  <c:v>38.14999999999997</c:v>
                </c:pt>
                <c:pt idx="764">
                  <c:v>38.199999999999967</c:v>
                </c:pt>
                <c:pt idx="765">
                  <c:v>38.249999999999964</c:v>
                </c:pt>
                <c:pt idx="766">
                  <c:v>38.299999999999962</c:v>
                </c:pt>
                <c:pt idx="767">
                  <c:v>38.349999999999959</c:v>
                </c:pt>
                <c:pt idx="768">
                  <c:v>38.399999999999956</c:v>
                </c:pt>
                <c:pt idx="769">
                  <c:v>38.449999999999953</c:v>
                </c:pt>
                <c:pt idx="770">
                  <c:v>38.49999999999995</c:v>
                </c:pt>
                <c:pt idx="771">
                  <c:v>38.549999999999947</c:v>
                </c:pt>
                <c:pt idx="772">
                  <c:v>38.599999999999945</c:v>
                </c:pt>
                <c:pt idx="773">
                  <c:v>38.649999999999942</c:v>
                </c:pt>
                <c:pt idx="774">
                  <c:v>38.699999999999939</c:v>
                </c:pt>
                <c:pt idx="775">
                  <c:v>38.749999999999936</c:v>
                </c:pt>
                <c:pt idx="776">
                  <c:v>38.799999999999933</c:v>
                </c:pt>
                <c:pt idx="777">
                  <c:v>38.84999999999993</c:v>
                </c:pt>
                <c:pt idx="778">
                  <c:v>38.899999999999928</c:v>
                </c:pt>
                <c:pt idx="779">
                  <c:v>38.949999999999925</c:v>
                </c:pt>
                <c:pt idx="780">
                  <c:v>38.999999999999922</c:v>
                </c:pt>
                <c:pt idx="781">
                  <c:v>39.049999999999919</c:v>
                </c:pt>
                <c:pt idx="782">
                  <c:v>39.099999999999916</c:v>
                </c:pt>
                <c:pt idx="783">
                  <c:v>39.149999999999913</c:v>
                </c:pt>
                <c:pt idx="784">
                  <c:v>39.19999999999991</c:v>
                </c:pt>
                <c:pt idx="785">
                  <c:v>39.249999999999908</c:v>
                </c:pt>
                <c:pt idx="786">
                  <c:v>39.299999999999905</c:v>
                </c:pt>
                <c:pt idx="787">
                  <c:v>39.349999999999902</c:v>
                </c:pt>
                <c:pt idx="788">
                  <c:v>39.399999999999899</c:v>
                </c:pt>
                <c:pt idx="789">
                  <c:v>39.449999999999896</c:v>
                </c:pt>
                <c:pt idx="790">
                  <c:v>39.499999999999893</c:v>
                </c:pt>
                <c:pt idx="791">
                  <c:v>39.549999999999891</c:v>
                </c:pt>
                <c:pt idx="792">
                  <c:v>39.599999999999888</c:v>
                </c:pt>
                <c:pt idx="793">
                  <c:v>39.649999999999885</c:v>
                </c:pt>
                <c:pt idx="794">
                  <c:v>39.699999999999882</c:v>
                </c:pt>
                <c:pt idx="795">
                  <c:v>39.749999999999879</c:v>
                </c:pt>
                <c:pt idx="796">
                  <c:v>39.799999999999876</c:v>
                </c:pt>
                <c:pt idx="797">
                  <c:v>39.849999999999874</c:v>
                </c:pt>
                <c:pt idx="798">
                  <c:v>39.899999999999871</c:v>
                </c:pt>
                <c:pt idx="799">
                  <c:v>39.949999999999868</c:v>
                </c:pt>
                <c:pt idx="800">
                  <c:v>39.999999999999865</c:v>
                </c:pt>
                <c:pt idx="801">
                  <c:v>40.049999999999862</c:v>
                </c:pt>
                <c:pt idx="802">
                  <c:v>40.099999999999859</c:v>
                </c:pt>
                <c:pt idx="803">
                  <c:v>40.149999999999856</c:v>
                </c:pt>
                <c:pt idx="804">
                  <c:v>40.199999999999854</c:v>
                </c:pt>
                <c:pt idx="805">
                  <c:v>40.249999999999851</c:v>
                </c:pt>
                <c:pt idx="806">
                  <c:v>40.299999999999848</c:v>
                </c:pt>
                <c:pt idx="807">
                  <c:v>40.349999999999845</c:v>
                </c:pt>
                <c:pt idx="808">
                  <c:v>40.399999999999842</c:v>
                </c:pt>
                <c:pt idx="809">
                  <c:v>40.449999999999839</c:v>
                </c:pt>
                <c:pt idx="810">
                  <c:v>40.499999999999837</c:v>
                </c:pt>
                <c:pt idx="811">
                  <c:v>40.549999999999834</c:v>
                </c:pt>
                <c:pt idx="812">
                  <c:v>40.599999999999831</c:v>
                </c:pt>
                <c:pt idx="813">
                  <c:v>40.649999999999828</c:v>
                </c:pt>
                <c:pt idx="814">
                  <c:v>40.699999999999825</c:v>
                </c:pt>
                <c:pt idx="815">
                  <c:v>40.749999999999822</c:v>
                </c:pt>
                <c:pt idx="816">
                  <c:v>40.79999999999982</c:v>
                </c:pt>
                <c:pt idx="817">
                  <c:v>40.849999999999817</c:v>
                </c:pt>
                <c:pt idx="818">
                  <c:v>40.899999999999814</c:v>
                </c:pt>
                <c:pt idx="819">
                  <c:v>40.949999999999811</c:v>
                </c:pt>
                <c:pt idx="820">
                  <c:v>40.999999999999808</c:v>
                </c:pt>
                <c:pt idx="821">
                  <c:v>41.049999999999805</c:v>
                </c:pt>
                <c:pt idx="822">
                  <c:v>41.099999999999802</c:v>
                </c:pt>
                <c:pt idx="823">
                  <c:v>41.1499999999998</c:v>
                </c:pt>
                <c:pt idx="824">
                  <c:v>41.199999999999797</c:v>
                </c:pt>
                <c:pt idx="825">
                  <c:v>41.249999999999794</c:v>
                </c:pt>
                <c:pt idx="826">
                  <c:v>41.299999999999791</c:v>
                </c:pt>
                <c:pt idx="827">
                  <c:v>41.349999999999788</c:v>
                </c:pt>
                <c:pt idx="828">
                  <c:v>41.399999999999785</c:v>
                </c:pt>
                <c:pt idx="829">
                  <c:v>41.449999999999783</c:v>
                </c:pt>
                <c:pt idx="830">
                  <c:v>41.49999999999978</c:v>
                </c:pt>
                <c:pt idx="831">
                  <c:v>41.549999999999777</c:v>
                </c:pt>
                <c:pt idx="832">
                  <c:v>41.599999999999774</c:v>
                </c:pt>
                <c:pt idx="833">
                  <c:v>41.649999999999771</c:v>
                </c:pt>
                <c:pt idx="834">
                  <c:v>41.699999999999768</c:v>
                </c:pt>
                <c:pt idx="835">
                  <c:v>41.749999999999766</c:v>
                </c:pt>
                <c:pt idx="836">
                  <c:v>41.799999999999763</c:v>
                </c:pt>
                <c:pt idx="837">
                  <c:v>41.84999999999976</c:v>
                </c:pt>
                <c:pt idx="838">
                  <c:v>41.899999999999757</c:v>
                </c:pt>
                <c:pt idx="839">
                  <c:v>41.949999999999754</c:v>
                </c:pt>
                <c:pt idx="840">
                  <c:v>41.999999999999751</c:v>
                </c:pt>
                <c:pt idx="841">
                  <c:v>42.049999999999748</c:v>
                </c:pt>
                <c:pt idx="842">
                  <c:v>42.099999999999746</c:v>
                </c:pt>
                <c:pt idx="843">
                  <c:v>42.149999999999743</c:v>
                </c:pt>
                <c:pt idx="844">
                  <c:v>42.19999999999974</c:v>
                </c:pt>
                <c:pt idx="845">
                  <c:v>42.249999999999737</c:v>
                </c:pt>
                <c:pt idx="846">
                  <c:v>42.299999999999734</c:v>
                </c:pt>
                <c:pt idx="847">
                  <c:v>42.349999999999731</c:v>
                </c:pt>
                <c:pt idx="848">
                  <c:v>42.399999999999729</c:v>
                </c:pt>
                <c:pt idx="849">
                  <c:v>42.449999999999726</c:v>
                </c:pt>
                <c:pt idx="850">
                  <c:v>42.499999999999723</c:v>
                </c:pt>
                <c:pt idx="851">
                  <c:v>42.54999999999972</c:v>
                </c:pt>
                <c:pt idx="852">
                  <c:v>42.599999999999717</c:v>
                </c:pt>
                <c:pt idx="853">
                  <c:v>42.649999999999714</c:v>
                </c:pt>
                <c:pt idx="854">
                  <c:v>42.699999999999712</c:v>
                </c:pt>
                <c:pt idx="855">
                  <c:v>42.749999999999709</c:v>
                </c:pt>
                <c:pt idx="856">
                  <c:v>42.799999999999706</c:v>
                </c:pt>
                <c:pt idx="857">
                  <c:v>42.849999999999703</c:v>
                </c:pt>
                <c:pt idx="858">
                  <c:v>42.8999999999997</c:v>
                </c:pt>
                <c:pt idx="859">
                  <c:v>42.949999999999697</c:v>
                </c:pt>
                <c:pt idx="860">
                  <c:v>42.999999999999694</c:v>
                </c:pt>
                <c:pt idx="861">
                  <c:v>43.049999999999692</c:v>
                </c:pt>
                <c:pt idx="862">
                  <c:v>43.099999999999689</c:v>
                </c:pt>
                <c:pt idx="863">
                  <c:v>43.149999999999686</c:v>
                </c:pt>
                <c:pt idx="864">
                  <c:v>43.199999999999683</c:v>
                </c:pt>
                <c:pt idx="865">
                  <c:v>43.24999999999968</c:v>
                </c:pt>
                <c:pt idx="866">
                  <c:v>43.299999999999677</c:v>
                </c:pt>
                <c:pt idx="867">
                  <c:v>43.349999999999675</c:v>
                </c:pt>
                <c:pt idx="868">
                  <c:v>43.399999999999672</c:v>
                </c:pt>
                <c:pt idx="869">
                  <c:v>43.449999999999669</c:v>
                </c:pt>
                <c:pt idx="870">
                  <c:v>43.499999999999666</c:v>
                </c:pt>
                <c:pt idx="871">
                  <c:v>43.549999999999663</c:v>
                </c:pt>
                <c:pt idx="872">
                  <c:v>43.59999999999966</c:v>
                </c:pt>
                <c:pt idx="873">
                  <c:v>43.649999999999658</c:v>
                </c:pt>
                <c:pt idx="874">
                  <c:v>43.699999999999655</c:v>
                </c:pt>
                <c:pt idx="875">
                  <c:v>43.749999999999652</c:v>
                </c:pt>
                <c:pt idx="876">
                  <c:v>43.799999999999649</c:v>
                </c:pt>
                <c:pt idx="877">
                  <c:v>43.849999999999646</c:v>
                </c:pt>
                <c:pt idx="878">
                  <c:v>43.899999999999643</c:v>
                </c:pt>
                <c:pt idx="879">
                  <c:v>43.94999999999964</c:v>
                </c:pt>
                <c:pt idx="880">
                  <c:v>43.999999999999638</c:v>
                </c:pt>
                <c:pt idx="881">
                  <c:v>44.049999999999635</c:v>
                </c:pt>
                <c:pt idx="882">
                  <c:v>44.099999999999632</c:v>
                </c:pt>
                <c:pt idx="883">
                  <c:v>44.149999999999629</c:v>
                </c:pt>
                <c:pt idx="884">
                  <c:v>44.199999999999626</c:v>
                </c:pt>
                <c:pt idx="885">
                  <c:v>44.249999999999623</c:v>
                </c:pt>
                <c:pt idx="886">
                  <c:v>44.299999999999621</c:v>
                </c:pt>
                <c:pt idx="887">
                  <c:v>44.349999999999618</c:v>
                </c:pt>
                <c:pt idx="888">
                  <c:v>44.399999999999615</c:v>
                </c:pt>
                <c:pt idx="889">
                  <c:v>44.449999999999612</c:v>
                </c:pt>
                <c:pt idx="890">
                  <c:v>44.499999999999609</c:v>
                </c:pt>
                <c:pt idx="891">
                  <c:v>44.549999999999606</c:v>
                </c:pt>
                <c:pt idx="892">
                  <c:v>44.599999999999604</c:v>
                </c:pt>
                <c:pt idx="893">
                  <c:v>44.649999999999601</c:v>
                </c:pt>
                <c:pt idx="894">
                  <c:v>44.699999999999598</c:v>
                </c:pt>
                <c:pt idx="895">
                  <c:v>44.749999999999595</c:v>
                </c:pt>
                <c:pt idx="896">
                  <c:v>44.799999999999592</c:v>
                </c:pt>
                <c:pt idx="897">
                  <c:v>44.849999999999589</c:v>
                </c:pt>
                <c:pt idx="898">
                  <c:v>44.899999999999586</c:v>
                </c:pt>
                <c:pt idx="899">
                  <c:v>44.949999999999584</c:v>
                </c:pt>
                <c:pt idx="900">
                  <c:v>44.999999999999581</c:v>
                </c:pt>
                <c:pt idx="901">
                  <c:v>45.049999999999578</c:v>
                </c:pt>
                <c:pt idx="902">
                  <c:v>45.099999999999575</c:v>
                </c:pt>
                <c:pt idx="903">
                  <c:v>45.149999999999572</c:v>
                </c:pt>
                <c:pt idx="904">
                  <c:v>45.199999999999569</c:v>
                </c:pt>
                <c:pt idx="905">
                  <c:v>45.249999999999567</c:v>
                </c:pt>
                <c:pt idx="906">
                  <c:v>45.299999999999564</c:v>
                </c:pt>
                <c:pt idx="907">
                  <c:v>45.349999999999561</c:v>
                </c:pt>
                <c:pt idx="908">
                  <c:v>45.399999999999558</c:v>
                </c:pt>
                <c:pt idx="909">
                  <c:v>45.449999999999555</c:v>
                </c:pt>
                <c:pt idx="910">
                  <c:v>45.499999999999552</c:v>
                </c:pt>
                <c:pt idx="911">
                  <c:v>45.54999999999955</c:v>
                </c:pt>
                <c:pt idx="912">
                  <c:v>45.599999999999547</c:v>
                </c:pt>
                <c:pt idx="913">
                  <c:v>45.649999999999544</c:v>
                </c:pt>
                <c:pt idx="914">
                  <c:v>45.699999999999541</c:v>
                </c:pt>
                <c:pt idx="915">
                  <c:v>45.749999999999538</c:v>
                </c:pt>
                <c:pt idx="916">
                  <c:v>45.799999999999535</c:v>
                </c:pt>
                <c:pt idx="917">
                  <c:v>45.849999999999532</c:v>
                </c:pt>
                <c:pt idx="918">
                  <c:v>45.89999999999953</c:v>
                </c:pt>
                <c:pt idx="919">
                  <c:v>45.949999999999527</c:v>
                </c:pt>
                <c:pt idx="920">
                  <c:v>45.999999999999524</c:v>
                </c:pt>
                <c:pt idx="921">
                  <c:v>46.049999999999521</c:v>
                </c:pt>
                <c:pt idx="922">
                  <c:v>46.099999999999518</c:v>
                </c:pt>
                <c:pt idx="923">
                  <c:v>46.149999999999515</c:v>
                </c:pt>
                <c:pt idx="924">
                  <c:v>46.199999999999513</c:v>
                </c:pt>
                <c:pt idx="925">
                  <c:v>46.24999999999951</c:v>
                </c:pt>
                <c:pt idx="926">
                  <c:v>46.299999999999507</c:v>
                </c:pt>
                <c:pt idx="927">
                  <c:v>46.349999999999504</c:v>
                </c:pt>
                <c:pt idx="928">
                  <c:v>46.399999999999501</c:v>
                </c:pt>
                <c:pt idx="929">
                  <c:v>46.449999999999498</c:v>
                </c:pt>
                <c:pt idx="930">
                  <c:v>46.499999999999496</c:v>
                </c:pt>
                <c:pt idx="931">
                  <c:v>46.549999999999493</c:v>
                </c:pt>
                <c:pt idx="932">
                  <c:v>46.59999999999949</c:v>
                </c:pt>
                <c:pt idx="933">
                  <c:v>46.649999999999487</c:v>
                </c:pt>
                <c:pt idx="934">
                  <c:v>46.699999999999484</c:v>
                </c:pt>
                <c:pt idx="935">
                  <c:v>46.749999999999481</c:v>
                </c:pt>
                <c:pt idx="936">
                  <c:v>46.799999999999478</c:v>
                </c:pt>
                <c:pt idx="937">
                  <c:v>46.849999999999476</c:v>
                </c:pt>
                <c:pt idx="938">
                  <c:v>46.899999999999473</c:v>
                </c:pt>
                <c:pt idx="939">
                  <c:v>46.94999999999947</c:v>
                </c:pt>
                <c:pt idx="940">
                  <c:v>46.999999999999467</c:v>
                </c:pt>
                <c:pt idx="941">
                  <c:v>47.049999999999464</c:v>
                </c:pt>
                <c:pt idx="942">
                  <c:v>47.099999999999461</c:v>
                </c:pt>
                <c:pt idx="943">
                  <c:v>47.149999999999459</c:v>
                </c:pt>
                <c:pt idx="944">
                  <c:v>47.199999999999456</c:v>
                </c:pt>
                <c:pt idx="945">
                  <c:v>47.249999999999453</c:v>
                </c:pt>
                <c:pt idx="946">
                  <c:v>47.29999999999945</c:v>
                </c:pt>
                <c:pt idx="947">
                  <c:v>47.349999999999447</c:v>
                </c:pt>
                <c:pt idx="948">
                  <c:v>47.399999999999444</c:v>
                </c:pt>
                <c:pt idx="949">
                  <c:v>47.449999999999442</c:v>
                </c:pt>
                <c:pt idx="950">
                  <c:v>47.499999999999439</c:v>
                </c:pt>
                <c:pt idx="951">
                  <c:v>47.549999999999436</c:v>
                </c:pt>
                <c:pt idx="952">
                  <c:v>47.599999999999433</c:v>
                </c:pt>
                <c:pt idx="953">
                  <c:v>47.64999999999943</c:v>
                </c:pt>
                <c:pt idx="954">
                  <c:v>47.699999999999427</c:v>
                </c:pt>
                <c:pt idx="955">
                  <c:v>47.749999999999424</c:v>
                </c:pt>
                <c:pt idx="956">
                  <c:v>47.799999999999422</c:v>
                </c:pt>
                <c:pt idx="957">
                  <c:v>47.849999999999419</c:v>
                </c:pt>
                <c:pt idx="958">
                  <c:v>47.899999999999416</c:v>
                </c:pt>
                <c:pt idx="959">
                  <c:v>47.949999999999413</c:v>
                </c:pt>
                <c:pt idx="960">
                  <c:v>47.99999999999941</c:v>
                </c:pt>
                <c:pt idx="961">
                  <c:v>48.049999999999407</c:v>
                </c:pt>
                <c:pt idx="962">
                  <c:v>48.099999999999405</c:v>
                </c:pt>
                <c:pt idx="963">
                  <c:v>48.149999999999402</c:v>
                </c:pt>
                <c:pt idx="964">
                  <c:v>48.199999999999399</c:v>
                </c:pt>
                <c:pt idx="965">
                  <c:v>48.249999999999396</c:v>
                </c:pt>
                <c:pt idx="966">
                  <c:v>48.299999999999393</c:v>
                </c:pt>
                <c:pt idx="967">
                  <c:v>48.34999999999939</c:v>
                </c:pt>
                <c:pt idx="968">
                  <c:v>48.399999999999388</c:v>
                </c:pt>
                <c:pt idx="969">
                  <c:v>48.449999999999385</c:v>
                </c:pt>
                <c:pt idx="970">
                  <c:v>48.499999999999382</c:v>
                </c:pt>
                <c:pt idx="971">
                  <c:v>48.549999999999379</c:v>
                </c:pt>
                <c:pt idx="972">
                  <c:v>48.599999999999376</c:v>
                </c:pt>
                <c:pt idx="973">
                  <c:v>48.649999999999373</c:v>
                </c:pt>
                <c:pt idx="974">
                  <c:v>48.69999999999937</c:v>
                </c:pt>
                <c:pt idx="975">
                  <c:v>48.749999999999368</c:v>
                </c:pt>
                <c:pt idx="976">
                  <c:v>48.799999999999365</c:v>
                </c:pt>
                <c:pt idx="977">
                  <c:v>48.849999999999362</c:v>
                </c:pt>
                <c:pt idx="978">
                  <c:v>48.899999999999359</c:v>
                </c:pt>
                <c:pt idx="979">
                  <c:v>48.949999999999356</c:v>
                </c:pt>
                <c:pt idx="980">
                  <c:v>48.999999999999353</c:v>
                </c:pt>
                <c:pt idx="981">
                  <c:v>49.049999999999351</c:v>
                </c:pt>
                <c:pt idx="982">
                  <c:v>49.099999999999348</c:v>
                </c:pt>
                <c:pt idx="983">
                  <c:v>49.149999999999345</c:v>
                </c:pt>
                <c:pt idx="984">
                  <c:v>49.199999999999342</c:v>
                </c:pt>
                <c:pt idx="985">
                  <c:v>49.249999999999339</c:v>
                </c:pt>
                <c:pt idx="986">
                  <c:v>49.299999999999336</c:v>
                </c:pt>
                <c:pt idx="987">
                  <c:v>49.349999999999334</c:v>
                </c:pt>
                <c:pt idx="988">
                  <c:v>49.399999999999331</c:v>
                </c:pt>
                <c:pt idx="989">
                  <c:v>49.449999999999328</c:v>
                </c:pt>
                <c:pt idx="990">
                  <c:v>49.499999999999325</c:v>
                </c:pt>
                <c:pt idx="991">
                  <c:v>49.549999999999322</c:v>
                </c:pt>
                <c:pt idx="992">
                  <c:v>49.599999999999319</c:v>
                </c:pt>
                <c:pt idx="993">
                  <c:v>49.649999999999316</c:v>
                </c:pt>
                <c:pt idx="994">
                  <c:v>49.699999999999314</c:v>
                </c:pt>
                <c:pt idx="995">
                  <c:v>49.749999999999311</c:v>
                </c:pt>
                <c:pt idx="996">
                  <c:v>49.799999999999308</c:v>
                </c:pt>
                <c:pt idx="997">
                  <c:v>49.849999999999305</c:v>
                </c:pt>
                <c:pt idx="998">
                  <c:v>49.899999999999302</c:v>
                </c:pt>
                <c:pt idx="999">
                  <c:v>49.949999999999299</c:v>
                </c:pt>
                <c:pt idx="1000">
                  <c:v>49.999999999999297</c:v>
                </c:pt>
                <c:pt idx="1001">
                  <c:v>50.049999999999294</c:v>
                </c:pt>
                <c:pt idx="1002">
                  <c:v>50.099999999999291</c:v>
                </c:pt>
                <c:pt idx="1003">
                  <c:v>50.149999999999288</c:v>
                </c:pt>
                <c:pt idx="1004">
                  <c:v>50.199999999999285</c:v>
                </c:pt>
                <c:pt idx="1005">
                  <c:v>50.249999999999282</c:v>
                </c:pt>
                <c:pt idx="1006">
                  <c:v>50.29999999999928</c:v>
                </c:pt>
                <c:pt idx="1007">
                  <c:v>50.349999999999277</c:v>
                </c:pt>
                <c:pt idx="1008">
                  <c:v>50.399999999999274</c:v>
                </c:pt>
                <c:pt idx="1009">
                  <c:v>50.449999999999271</c:v>
                </c:pt>
                <c:pt idx="1010">
                  <c:v>50.499999999999268</c:v>
                </c:pt>
                <c:pt idx="1011">
                  <c:v>50.549999999999265</c:v>
                </c:pt>
                <c:pt idx="1012">
                  <c:v>50.599999999999262</c:v>
                </c:pt>
                <c:pt idx="1013">
                  <c:v>50.64999999999926</c:v>
                </c:pt>
                <c:pt idx="1014">
                  <c:v>50.699999999999257</c:v>
                </c:pt>
                <c:pt idx="1015">
                  <c:v>50.749999999999254</c:v>
                </c:pt>
                <c:pt idx="1016">
                  <c:v>50.799999999999251</c:v>
                </c:pt>
                <c:pt idx="1017">
                  <c:v>50.849999999999248</c:v>
                </c:pt>
                <c:pt idx="1018">
                  <c:v>50.899999999999245</c:v>
                </c:pt>
                <c:pt idx="1019">
                  <c:v>50.949999999999243</c:v>
                </c:pt>
                <c:pt idx="1020">
                  <c:v>50.99999999999924</c:v>
                </c:pt>
                <c:pt idx="1021">
                  <c:v>51.049999999999237</c:v>
                </c:pt>
                <c:pt idx="1022">
                  <c:v>51.099999999999234</c:v>
                </c:pt>
                <c:pt idx="1023">
                  <c:v>51.149999999999231</c:v>
                </c:pt>
                <c:pt idx="1024">
                  <c:v>51.199999999999228</c:v>
                </c:pt>
                <c:pt idx="1025">
                  <c:v>51.249999999999226</c:v>
                </c:pt>
                <c:pt idx="1026">
                  <c:v>51.299999999999223</c:v>
                </c:pt>
                <c:pt idx="1027">
                  <c:v>51.34999999999922</c:v>
                </c:pt>
                <c:pt idx="1028">
                  <c:v>51.399999999999217</c:v>
                </c:pt>
                <c:pt idx="1029">
                  <c:v>51.449999999999214</c:v>
                </c:pt>
                <c:pt idx="1030">
                  <c:v>51.499999999999211</c:v>
                </c:pt>
                <c:pt idx="1031">
                  <c:v>51.549999999999208</c:v>
                </c:pt>
                <c:pt idx="1032">
                  <c:v>51.599999999999206</c:v>
                </c:pt>
                <c:pt idx="1033">
                  <c:v>51.649999999999203</c:v>
                </c:pt>
                <c:pt idx="1034">
                  <c:v>51.6999999999992</c:v>
                </c:pt>
                <c:pt idx="1035">
                  <c:v>51.749999999999197</c:v>
                </c:pt>
                <c:pt idx="1036">
                  <c:v>51.799999999999194</c:v>
                </c:pt>
                <c:pt idx="1037">
                  <c:v>51.849999999999191</c:v>
                </c:pt>
                <c:pt idx="1038">
                  <c:v>51.899999999999189</c:v>
                </c:pt>
                <c:pt idx="1039">
                  <c:v>51.949999999999186</c:v>
                </c:pt>
                <c:pt idx="1040">
                  <c:v>51.999999999999183</c:v>
                </c:pt>
                <c:pt idx="1041">
                  <c:v>52.04999999999918</c:v>
                </c:pt>
                <c:pt idx="1042">
                  <c:v>52.099999999999177</c:v>
                </c:pt>
                <c:pt idx="1043">
                  <c:v>52.149999999999174</c:v>
                </c:pt>
                <c:pt idx="1044">
                  <c:v>52.199999999999172</c:v>
                </c:pt>
                <c:pt idx="1045">
                  <c:v>52.249999999999169</c:v>
                </c:pt>
                <c:pt idx="1046">
                  <c:v>52.299999999999166</c:v>
                </c:pt>
                <c:pt idx="1047">
                  <c:v>52.349999999999163</c:v>
                </c:pt>
                <c:pt idx="1048">
                  <c:v>52.39999999999916</c:v>
                </c:pt>
                <c:pt idx="1049">
                  <c:v>52.449999999999157</c:v>
                </c:pt>
                <c:pt idx="1050">
                  <c:v>52.499999999999154</c:v>
                </c:pt>
                <c:pt idx="1051">
                  <c:v>52.549999999999152</c:v>
                </c:pt>
                <c:pt idx="1052">
                  <c:v>52.599999999999149</c:v>
                </c:pt>
                <c:pt idx="1053">
                  <c:v>52.649999999999146</c:v>
                </c:pt>
                <c:pt idx="1054">
                  <c:v>52.699999999999143</c:v>
                </c:pt>
                <c:pt idx="1055">
                  <c:v>52.74999999999914</c:v>
                </c:pt>
                <c:pt idx="1056">
                  <c:v>52.799999999999137</c:v>
                </c:pt>
                <c:pt idx="1057">
                  <c:v>52.849999999999135</c:v>
                </c:pt>
                <c:pt idx="1058">
                  <c:v>52.899999999999132</c:v>
                </c:pt>
                <c:pt idx="1059">
                  <c:v>52.949999999999129</c:v>
                </c:pt>
                <c:pt idx="1060">
                  <c:v>52.999999999999126</c:v>
                </c:pt>
                <c:pt idx="1061">
                  <c:v>53.049999999999123</c:v>
                </c:pt>
                <c:pt idx="1062">
                  <c:v>53.09999999999912</c:v>
                </c:pt>
                <c:pt idx="1063">
                  <c:v>53.149999999999118</c:v>
                </c:pt>
                <c:pt idx="1064">
                  <c:v>53.199999999999115</c:v>
                </c:pt>
                <c:pt idx="1065">
                  <c:v>53.249999999999112</c:v>
                </c:pt>
                <c:pt idx="1066">
                  <c:v>53.299999999999109</c:v>
                </c:pt>
                <c:pt idx="1067">
                  <c:v>53.349999999999106</c:v>
                </c:pt>
                <c:pt idx="1068">
                  <c:v>53.399999999999103</c:v>
                </c:pt>
                <c:pt idx="1069">
                  <c:v>53.4499999999991</c:v>
                </c:pt>
                <c:pt idx="1070">
                  <c:v>53.499999999999098</c:v>
                </c:pt>
                <c:pt idx="1071">
                  <c:v>53.549999999999095</c:v>
                </c:pt>
                <c:pt idx="1072">
                  <c:v>53.599999999999092</c:v>
                </c:pt>
                <c:pt idx="1073">
                  <c:v>53.649999999999089</c:v>
                </c:pt>
                <c:pt idx="1074">
                  <c:v>53.699999999999086</c:v>
                </c:pt>
                <c:pt idx="1075">
                  <c:v>53.749999999999083</c:v>
                </c:pt>
                <c:pt idx="1076">
                  <c:v>53.799999999999081</c:v>
                </c:pt>
                <c:pt idx="1077">
                  <c:v>53.849999999999078</c:v>
                </c:pt>
                <c:pt idx="1078">
                  <c:v>53.899999999999075</c:v>
                </c:pt>
                <c:pt idx="1079">
                  <c:v>53.949999999999072</c:v>
                </c:pt>
                <c:pt idx="1080">
                  <c:v>53.999999999999069</c:v>
                </c:pt>
                <c:pt idx="1081">
                  <c:v>54.049999999999066</c:v>
                </c:pt>
                <c:pt idx="1082">
                  <c:v>54.099999999999064</c:v>
                </c:pt>
                <c:pt idx="1083">
                  <c:v>54.149999999999061</c:v>
                </c:pt>
                <c:pt idx="1084">
                  <c:v>54.199999999999058</c:v>
                </c:pt>
                <c:pt idx="1085">
                  <c:v>54.249999999999055</c:v>
                </c:pt>
                <c:pt idx="1086">
                  <c:v>54.299999999999052</c:v>
                </c:pt>
                <c:pt idx="1087">
                  <c:v>54.349999999999049</c:v>
                </c:pt>
                <c:pt idx="1088">
                  <c:v>54.399999999999046</c:v>
                </c:pt>
                <c:pt idx="1089">
                  <c:v>54.449999999999044</c:v>
                </c:pt>
                <c:pt idx="1090">
                  <c:v>54.499999999999041</c:v>
                </c:pt>
                <c:pt idx="1091">
                  <c:v>54.549999999999038</c:v>
                </c:pt>
                <c:pt idx="1092">
                  <c:v>54.599999999999035</c:v>
                </c:pt>
                <c:pt idx="1093">
                  <c:v>54.649999999999032</c:v>
                </c:pt>
                <c:pt idx="1094">
                  <c:v>54.699999999999029</c:v>
                </c:pt>
                <c:pt idx="1095">
                  <c:v>54.749999999999027</c:v>
                </c:pt>
                <c:pt idx="1096">
                  <c:v>54.799999999999024</c:v>
                </c:pt>
                <c:pt idx="1097">
                  <c:v>54.849999999999021</c:v>
                </c:pt>
                <c:pt idx="1098">
                  <c:v>54.899999999999018</c:v>
                </c:pt>
                <c:pt idx="1099">
                  <c:v>54.949999999999015</c:v>
                </c:pt>
                <c:pt idx="1100">
                  <c:v>54.999999999999012</c:v>
                </c:pt>
                <c:pt idx="1101">
                  <c:v>55.04999999999901</c:v>
                </c:pt>
                <c:pt idx="1102">
                  <c:v>55.099999999999007</c:v>
                </c:pt>
                <c:pt idx="1103">
                  <c:v>55.149999999999004</c:v>
                </c:pt>
                <c:pt idx="1104">
                  <c:v>55.199999999999001</c:v>
                </c:pt>
                <c:pt idx="1105">
                  <c:v>55.249999999998998</c:v>
                </c:pt>
                <c:pt idx="1106">
                  <c:v>55.299999999998995</c:v>
                </c:pt>
                <c:pt idx="1107">
                  <c:v>55.349999999998992</c:v>
                </c:pt>
                <c:pt idx="1108">
                  <c:v>55.39999999999899</c:v>
                </c:pt>
                <c:pt idx="1109">
                  <c:v>55.449999999998987</c:v>
                </c:pt>
                <c:pt idx="1110">
                  <c:v>55.499999999998984</c:v>
                </c:pt>
                <c:pt idx="1111">
                  <c:v>55.549999999998981</c:v>
                </c:pt>
                <c:pt idx="1112">
                  <c:v>55.599999999998978</c:v>
                </c:pt>
                <c:pt idx="1113">
                  <c:v>55.649999999998975</c:v>
                </c:pt>
                <c:pt idx="1114">
                  <c:v>55.699999999998973</c:v>
                </c:pt>
                <c:pt idx="1115">
                  <c:v>55.74999999999897</c:v>
                </c:pt>
                <c:pt idx="1116">
                  <c:v>55.799999999998967</c:v>
                </c:pt>
                <c:pt idx="1117">
                  <c:v>55.849999999998964</c:v>
                </c:pt>
                <c:pt idx="1118">
                  <c:v>55.899999999998961</c:v>
                </c:pt>
                <c:pt idx="1119">
                  <c:v>55.949999999998958</c:v>
                </c:pt>
                <c:pt idx="1120">
                  <c:v>55.999999999998956</c:v>
                </c:pt>
                <c:pt idx="1121">
                  <c:v>56.049999999998953</c:v>
                </c:pt>
                <c:pt idx="1122">
                  <c:v>56.09999999999895</c:v>
                </c:pt>
                <c:pt idx="1123">
                  <c:v>56.149999999998947</c:v>
                </c:pt>
                <c:pt idx="1124">
                  <c:v>56.199999999998944</c:v>
                </c:pt>
                <c:pt idx="1125">
                  <c:v>56.249999999998941</c:v>
                </c:pt>
                <c:pt idx="1126">
                  <c:v>56.299999999998938</c:v>
                </c:pt>
                <c:pt idx="1127">
                  <c:v>56.349999999998936</c:v>
                </c:pt>
                <c:pt idx="1128">
                  <c:v>56.399999999998933</c:v>
                </c:pt>
                <c:pt idx="1129">
                  <c:v>56.44999999999893</c:v>
                </c:pt>
                <c:pt idx="1130">
                  <c:v>56.499999999998927</c:v>
                </c:pt>
                <c:pt idx="1131">
                  <c:v>56.549999999998924</c:v>
                </c:pt>
                <c:pt idx="1132">
                  <c:v>56.599999999998921</c:v>
                </c:pt>
                <c:pt idx="1133">
                  <c:v>56.649999999998919</c:v>
                </c:pt>
                <c:pt idx="1134">
                  <c:v>56.699999999998916</c:v>
                </c:pt>
                <c:pt idx="1135">
                  <c:v>56.749999999998913</c:v>
                </c:pt>
                <c:pt idx="1136">
                  <c:v>56.79999999999891</c:v>
                </c:pt>
                <c:pt idx="1137">
                  <c:v>56.849999999998907</c:v>
                </c:pt>
                <c:pt idx="1138">
                  <c:v>56.899999999998904</c:v>
                </c:pt>
                <c:pt idx="1139">
                  <c:v>56.949999999998902</c:v>
                </c:pt>
                <c:pt idx="1140">
                  <c:v>56.999999999998899</c:v>
                </c:pt>
                <c:pt idx="1141">
                  <c:v>57.049999999998896</c:v>
                </c:pt>
                <c:pt idx="1142">
                  <c:v>57.099999999998893</c:v>
                </c:pt>
                <c:pt idx="1143">
                  <c:v>57.14999999999889</c:v>
                </c:pt>
                <c:pt idx="1144">
                  <c:v>57.199999999998887</c:v>
                </c:pt>
                <c:pt idx="1145">
                  <c:v>57.249999999998884</c:v>
                </c:pt>
                <c:pt idx="1146">
                  <c:v>57.299999999998882</c:v>
                </c:pt>
                <c:pt idx="1147">
                  <c:v>57.349999999998879</c:v>
                </c:pt>
                <c:pt idx="1148">
                  <c:v>57.399999999998876</c:v>
                </c:pt>
                <c:pt idx="1149">
                  <c:v>57.449999999998873</c:v>
                </c:pt>
                <c:pt idx="1150">
                  <c:v>57.49999999999887</c:v>
                </c:pt>
                <c:pt idx="1151">
                  <c:v>57.549999999998867</c:v>
                </c:pt>
                <c:pt idx="1152">
                  <c:v>57.599999999998865</c:v>
                </c:pt>
                <c:pt idx="1153">
                  <c:v>57.649999999998862</c:v>
                </c:pt>
                <c:pt idx="1154">
                  <c:v>57.699999999998859</c:v>
                </c:pt>
                <c:pt idx="1155">
                  <c:v>57.749999999998856</c:v>
                </c:pt>
                <c:pt idx="1156">
                  <c:v>57.799999999998853</c:v>
                </c:pt>
                <c:pt idx="1157">
                  <c:v>57.84999999999885</c:v>
                </c:pt>
                <c:pt idx="1158">
                  <c:v>57.899999999998847</c:v>
                </c:pt>
                <c:pt idx="1159">
                  <c:v>57.949999999998845</c:v>
                </c:pt>
                <c:pt idx="1160">
                  <c:v>57.999999999998842</c:v>
                </c:pt>
                <c:pt idx="1161">
                  <c:v>58.049999999998839</c:v>
                </c:pt>
                <c:pt idx="1162">
                  <c:v>58.099999999998836</c:v>
                </c:pt>
                <c:pt idx="1163">
                  <c:v>58.149999999998833</c:v>
                </c:pt>
                <c:pt idx="1164">
                  <c:v>58.19999999999883</c:v>
                </c:pt>
                <c:pt idx="1165">
                  <c:v>58.249999999998828</c:v>
                </c:pt>
                <c:pt idx="1166">
                  <c:v>58.299999999998825</c:v>
                </c:pt>
                <c:pt idx="1167">
                  <c:v>58.349999999998822</c:v>
                </c:pt>
                <c:pt idx="1168">
                  <c:v>58.399999999998819</c:v>
                </c:pt>
                <c:pt idx="1169">
                  <c:v>58.449999999998816</c:v>
                </c:pt>
                <c:pt idx="1170">
                  <c:v>58.499999999998813</c:v>
                </c:pt>
                <c:pt idx="1171">
                  <c:v>58.549999999998811</c:v>
                </c:pt>
                <c:pt idx="1172">
                  <c:v>58.599999999998808</c:v>
                </c:pt>
                <c:pt idx="1173">
                  <c:v>58.649999999998805</c:v>
                </c:pt>
                <c:pt idx="1174">
                  <c:v>58.699999999998802</c:v>
                </c:pt>
                <c:pt idx="1175">
                  <c:v>58.749999999998799</c:v>
                </c:pt>
                <c:pt idx="1176">
                  <c:v>58.799999999998796</c:v>
                </c:pt>
                <c:pt idx="1177">
                  <c:v>58.849999999998793</c:v>
                </c:pt>
                <c:pt idx="1178">
                  <c:v>58.899999999998791</c:v>
                </c:pt>
                <c:pt idx="1179">
                  <c:v>58.949999999998788</c:v>
                </c:pt>
                <c:pt idx="1180">
                  <c:v>58.999999999998785</c:v>
                </c:pt>
                <c:pt idx="1181">
                  <c:v>59.049999999998782</c:v>
                </c:pt>
                <c:pt idx="1182">
                  <c:v>59.099999999998779</c:v>
                </c:pt>
                <c:pt idx="1183">
                  <c:v>59.149999999998776</c:v>
                </c:pt>
                <c:pt idx="1184">
                  <c:v>59.199999999998774</c:v>
                </c:pt>
                <c:pt idx="1185">
                  <c:v>59.249999999998771</c:v>
                </c:pt>
                <c:pt idx="1186">
                  <c:v>59.299999999998768</c:v>
                </c:pt>
                <c:pt idx="1187">
                  <c:v>59.349999999998765</c:v>
                </c:pt>
                <c:pt idx="1188">
                  <c:v>59.399999999998762</c:v>
                </c:pt>
                <c:pt idx="1189">
                  <c:v>59.449999999998759</c:v>
                </c:pt>
                <c:pt idx="1190">
                  <c:v>59.499999999998757</c:v>
                </c:pt>
                <c:pt idx="1191">
                  <c:v>59.549999999998754</c:v>
                </c:pt>
                <c:pt idx="1192">
                  <c:v>59.599999999998751</c:v>
                </c:pt>
                <c:pt idx="1193">
                  <c:v>59.649999999998748</c:v>
                </c:pt>
                <c:pt idx="1194">
                  <c:v>59.699999999998745</c:v>
                </c:pt>
                <c:pt idx="1195">
                  <c:v>59.749999999998742</c:v>
                </c:pt>
                <c:pt idx="1196">
                  <c:v>59.799999999998739</c:v>
                </c:pt>
                <c:pt idx="1197">
                  <c:v>59.849999999998737</c:v>
                </c:pt>
                <c:pt idx="1198">
                  <c:v>59.899999999998734</c:v>
                </c:pt>
                <c:pt idx="1199">
                  <c:v>59.949999999998731</c:v>
                </c:pt>
                <c:pt idx="1200">
                  <c:v>59.999999999998728</c:v>
                </c:pt>
                <c:pt idx="1201">
                  <c:v>60.049999999998725</c:v>
                </c:pt>
                <c:pt idx="1202">
                  <c:v>60.099999999998722</c:v>
                </c:pt>
                <c:pt idx="1203">
                  <c:v>60.14999999999872</c:v>
                </c:pt>
                <c:pt idx="1204">
                  <c:v>60.199999999998717</c:v>
                </c:pt>
                <c:pt idx="1205">
                  <c:v>60.249999999998714</c:v>
                </c:pt>
                <c:pt idx="1206">
                  <c:v>60.299999999998711</c:v>
                </c:pt>
                <c:pt idx="1207">
                  <c:v>60.349999999998708</c:v>
                </c:pt>
                <c:pt idx="1208">
                  <c:v>60.399999999998705</c:v>
                </c:pt>
                <c:pt idx="1209">
                  <c:v>60.449999999998703</c:v>
                </c:pt>
                <c:pt idx="1210">
                  <c:v>60.4999999999987</c:v>
                </c:pt>
                <c:pt idx="1211">
                  <c:v>60.549999999998697</c:v>
                </c:pt>
                <c:pt idx="1212">
                  <c:v>60.599999999998694</c:v>
                </c:pt>
                <c:pt idx="1213">
                  <c:v>60.649999999998691</c:v>
                </c:pt>
                <c:pt idx="1214">
                  <c:v>60.699999999998688</c:v>
                </c:pt>
                <c:pt idx="1215">
                  <c:v>60.749999999998685</c:v>
                </c:pt>
                <c:pt idx="1216">
                  <c:v>60.799999999998683</c:v>
                </c:pt>
                <c:pt idx="1217">
                  <c:v>60.84999999999868</c:v>
                </c:pt>
                <c:pt idx="1218">
                  <c:v>60.899999999998677</c:v>
                </c:pt>
                <c:pt idx="1219">
                  <c:v>60.949999999998674</c:v>
                </c:pt>
                <c:pt idx="1220">
                  <c:v>60.999999999998671</c:v>
                </c:pt>
                <c:pt idx="1221">
                  <c:v>61.049999999998668</c:v>
                </c:pt>
                <c:pt idx="1222">
                  <c:v>61.099999999998666</c:v>
                </c:pt>
                <c:pt idx="1223">
                  <c:v>61.149999999998663</c:v>
                </c:pt>
                <c:pt idx="1224">
                  <c:v>61.19999999999866</c:v>
                </c:pt>
                <c:pt idx="1225">
                  <c:v>61.249999999998657</c:v>
                </c:pt>
                <c:pt idx="1226">
                  <c:v>61.299999999998654</c:v>
                </c:pt>
                <c:pt idx="1227">
                  <c:v>61.349999999998651</c:v>
                </c:pt>
                <c:pt idx="1228">
                  <c:v>61.399999999998649</c:v>
                </c:pt>
                <c:pt idx="1229">
                  <c:v>61.449999999998646</c:v>
                </c:pt>
                <c:pt idx="1230">
                  <c:v>61.499999999998643</c:v>
                </c:pt>
                <c:pt idx="1231">
                  <c:v>61.54999999999864</c:v>
                </c:pt>
                <c:pt idx="1232">
                  <c:v>61.599999999998637</c:v>
                </c:pt>
                <c:pt idx="1233">
                  <c:v>61.649999999998634</c:v>
                </c:pt>
                <c:pt idx="1234">
                  <c:v>61.699999999998631</c:v>
                </c:pt>
                <c:pt idx="1235">
                  <c:v>61.749999999998629</c:v>
                </c:pt>
                <c:pt idx="1236">
                  <c:v>61.799999999998626</c:v>
                </c:pt>
                <c:pt idx="1237">
                  <c:v>61.849999999998623</c:v>
                </c:pt>
                <c:pt idx="1238">
                  <c:v>61.89999999999862</c:v>
                </c:pt>
                <c:pt idx="1239">
                  <c:v>61.949999999998617</c:v>
                </c:pt>
                <c:pt idx="1240">
                  <c:v>61.999999999998614</c:v>
                </c:pt>
                <c:pt idx="1241">
                  <c:v>62.049999999998612</c:v>
                </c:pt>
                <c:pt idx="1242">
                  <c:v>62.099999999998609</c:v>
                </c:pt>
                <c:pt idx="1243">
                  <c:v>62.149999999998606</c:v>
                </c:pt>
                <c:pt idx="1244">
                  <c:v>62.199999999998603</c:v>
                </c:pt>
                <c:pt idx="1245">
                  <c:v>62.2499999999986</c:v>
                </c:pt>
                <c:pt idx="1246">
                  <c:v>62.299999999998597</c:v>
                </c:pt>
                <c:pt idx="1247">
                  <c:v>62.349999999998595</c:v>
                </c:pt>
                <c:pt idx="1248">
                  <c:v>62.399999999998592</c:v>
                </c:pt>
                <c:pt idx="1249">
                  <c:v>62.449999999998589</c:v>
                </c:pt>
                <c:pt idx="1250">
                  <c:v>62.499999999998586</c:v>
                </c:pt>
                <c:pt idx="1251">
                  <c:v>62.549999999998583</c:v>
                </c:pt>
                <c:pt idx="1252">
                  <c:v>62.59999999999858</c:v>
                </c:pt>
                <c:pt idx="1253">
                  <c:v>62.649999999998577</c:v>
                </c:pt>
                <c:pt idx="1254">
                  <c:v>62.699999999998575</c:v>
                </c:pt>
                <c:pt idx="1255">
                  <c:v>62.749999999998572</c:v>
                </c:pt>
                <c:pt idx="1256">
                  <c:v>62.799999999998569</c:v>
                </c:pt>
                <c:pt idx="1257">
                  <c:v>62.849999999998566</c:v>
                </c:pt>
                <c:pt idx="1258">
                  <c:v>62.899999999998563</c:v>
                </c:pt>
                <c:pt idx="1259">
                  <c:v>62.94999999999856</c:v>
                </c:pt>
                <c:pt idx="1260">
                  <c:v>62.999999999998558</c:v>
                </c:pt>
                <c:pt idx="1261">
                  <c:v>63.049999999998555</c:v>
                </c:pt>
                <c:pt idx="1262">
                  <c:v>63.099999999998552</c:v>
                </c:pt>
                <c:pt idx="1263">
                  <c:v>63.149999999998549</c:v>
                </c:pt>
                <c:pt idx="1264">
                  <c:v>63.199999999998546</c:v>
                </c:pt>
                <c:pt idx="1265">
                  <c:v>63.249999999998543</c:v>
                </c:pt>
                <c:pt idx="1266">
                  <c:v>63.299999999998541</c:v>
                </c:pt>
                <c:pt idx="1267">
                  <c:v>63.349999999998538</c:v>
                </c:pt>
                <c:pt idx="1268">
                  <c:v>63.399999999998535</c:v>
                </c:pt>
                <c:pt idx="1269">
                  <c:v>63.449999999998532</c:v>
                </c:pt>
                <c:pt idx="1270">
                  <c:v>63.499999999998529</c:v>
                </c:pt>
                <c:pt idx="1271">
                  <c:v>63.549999999998526</c:v>
                </c:pt>
                <c:pt idx="1272">
                  <c:v>63.599999999998523</c:v>
                </c:pt>
                <c:pt idx="1273">
                  <c:v>63.649999999998521</c:v>
                </c:pt>
                <c:pt idx="1274">
                  <c:v>63.699999999998518</c:v>
                </c:pt>
                <c:pt idx="1275">
                  <c:v>63.749999999998515</c:v>
                </c:pt>
                <c:pt idx="1276">
                  <c:v>63.799999999998512</c:v>
                </c:pt>
                <c:pt idx="1277">
                  <c:v>63.849999999998509</c:v>
                </c:pt>
                <c:pt idx="1278">
                  <c:v>63.899999999998506</c:v>
                </c:pt>
                <c:pt idx="1279">
                  <c:v>63.949999999998504</c:v>
                </c:pt>
                <c:pt idx="1280">
                  <c:v>63.999999999998501</c:v>
                </c:pt>
                <c:pt idx="1281">
                  <c:v>64.049999999998505</c:v>
                </c:pt>
                <c:pt idx="1282">
                  <c:v>64.099999999998502</c:v>
                </c:pt>
                <c:pt idx="1283">
                  <c:v>64.149999999998499</c:v>
                </c:pt>
                <c:pt idx="1284">
                  <c:v>64.199999999998496</c:v>
                </c:pt>
                <c:pt idx="1285">
                  <c:v>64.249999999998494</c:v>
                </c:pt>
                <c:pt idx="1286">
                  <c:v>64.299999999998491</c:v>
                </c:pt>
                <c:pt idx="1287">
                  <c:v>64.349999999998488</c:v>
                </c:pt>
                <c:pt idx="1288">
                  <c:v>64.399999999998485</c:v>
                </c:pt>
                <c:pt idx="1289">
                  <c:v>64.449999999998482</c:v>
                </c:pt>
                <c:pt idx="1290">
                  <c:v>64.499999999998479</c:v>
                </c:pt>
                <c:pt idx="1291">
                  <c:v>64.549999999998477</c:v>
                </c:pt>
                <c:pt idx="1292">
                  <c:v>64.599999999998474</c:v>
                </c:pt>
                <c:pt idx="1293">
                  <c:v>64.649999999998471</c:v>
                </c:pt>
                <c:pt idx="1294">
                  <c:v>64.699999999998468</c:v>
                </c:pt>
                <c:pt idx="1295">
                  <c:v>64.749999999998465</c:v>
                </c:pt>
                <c:pt idx="1296">
                  <c:v>64.799999999998462</c:v>
                </c:pt>
                <c:pt idx="1297">
                  <c:v>64.84999999999846</c:v>
                </c:pt>
                <c:pt idx="1298">
                  <c:v>64.899999999998457</c:v>
                </c:pt>
                <c:pt idx="1299">
                  <c:v>64.949999999998454</c:v>
                </c:pt>
                <c:pt idx="1300">
                  <c:v>64.999999999998451</c:v>
                </c:pt>
                <c:pt idx="1301">
                  <c:v>65.049999999998448</c:v>
                </c:pt>
                <c:pt idx="1302">
                  <c:v>65.099999999998445</c:v>
                </c:pt>
                <c:pt idx="1303">
                  <c:v>65.149999999998442</c:v>
                </c:pt>
                <c:pt idx="1304">
                  <c:v>65.19999999999844</c:v>
                </c:pt>
                <c:pt idx="1305">
                  <c:v>65.249999999998437</c:v>
                </c:pt>
                <c:pt idx="1306">
                  <c:v>65.299999999998434</c:v>
                </c:pt>
                <c:pt idx="1307">
                  <c:v>65.349999999998431</c:v>
                </c:pt>
                <c:pt idx="1308">
                  <c:v>65.399999999998428</c:v>
                </c:pt>
                <c:pt idx="1309">
                  <c:v>65.449999999998425</c:v>
                </c:pt>
                <c:pt idx="1310">
                  <c:v>65.499999999998423</c:v>
                </c:pt>
                <c:pt idx="1311">
                  <c:v>65.54999999999842</c:v>
                </c:pt>
                <c:pt idx="1312">
                  <c:v>65.599999999998417</c:v>
                </c:pt>
                <c:pt idx="1313">
                  <c:v>65.649999999998414</c:v>
                </c:pt>
                <c:pt idx="1314">
                  <c:v>65.699999999998411</c:v>
                </c:pt>
                <c:pt idx="1315">
                  <c:v>65.749999999998408</c:v>
                </c:pt>
                <c:pt idx="1316">
                  <c:v>65.799999999998406</c:v>
                </c:pt>
                <c:pt idx="1317">
                  <c:v>65.849999999998403</c:v>
                </c:pt>
                <c:pt idx="1318">
                  <c:v>65.8999999999984</c:v>
                </c:pt>
                <c:pt idx="1319">
                  <c:v>65.949999999998397</c:v>
                </c:pt>
                <c:pt idx="1320">
                  <c:v>65.999999999998394</c:v>
                </c:pt>
                <c:pt idx="1321">
                  <c:v>66.049999999998391</c:v>
                </c:pt>
                <c:pt idx="1322">
                  <c:v>66.099999999998388</c:v>
                </c:pt>
                <c:pt idx="1323">
                  <c:v>66.149999999998386</c:v>
                </c:pt>
                <c:pt idx="1324">
                  <c:v>66.199999999998383</c:v>
                </c:pt>
                <c:pt idx="1325">
                  <c:v>66.24999999999838</c:v>
                </c:pt>
                <c:pt idx="1326">
                  <c:v>66.299999999998377</c:v>
                </c:pt>
                <c:pt idx="1327">
                  <c:v>66.349999999998374</c:v>
                </c:pt>
                <c:pt idx="1328">
                  <c:v>66.399999999998371</c:v>
                </c:pt>
                <c:pt idx="1329">
                  <c:v>66.449999999998369</c:v>
                </c:pt>
                <c:pt idx="1330">
                  <c:v>66.499999999998366</c:v>
                </c:pt>
                <c:pt idx="1331">
                  <c:v>66.549999999998363</c:v>
                </c:pt>
                <c:pt idx="1332">
                  <c:v>66.59999999999836</c:v>
                </c:pt>
                <c:pt idx="1333">
                  <c:v>66.649999999998357</c:v>
                </c:pt>
                <c:pt idx="1334">
                  <c:v>66.699999999998354</c:v>
                </c:pt>
                <c:pt idx="1335">
                  <c:v>66.749999999998352</c:v>
                </c:pt>
                <c:pt idx="1336">
                  <c:v>66.799999999998349</c:v>
                </c:pt>
                <c:pt idx="1337">
                  <c:v>66.849999999998346</c:v>
                </c:pt>
                <c:pt idx="1338">
                  <c:v>66.899999999998343</c:v>
                </c:pt>
                <c:pt idx="1339">
                  <c:v>66.94999999999834</c:v>
                </c:pt>
                <c:pt idx="1340">
                  <c:v>66.999999999998337</c:v>
                </c:pt>
                <c:pt idx="1341">
                  <c:v>67.049999999998334</c:v>
                </c:pt>
                <c:pt idx="1342">
                  <c:v>67.099999999998332</c:v>
                </c:pt>
                <c:pt idx="1343">
                  <c:v>67.149999999998329</c:v>
                </c:pt>
                <c:pt idx="1344">
                  <c:v>67.199999999998326</c:v>
                </c:pt>
                <c:pt idx="1345">
                  <c:v>67.249999999998323</c:v>
                </c:pt>
                <c:pt idx="1346">
                  <c:v>67.29999999999832</c:v>
                </c:pt>
                <c:pt idx="1347">
                  <c:v>67.349999999998317</c:v>
                </c:pt>
                <c:pt idx="1348">
                  <c:v>67.399999999998315</c:v>
                </c:pt>
                <c:pt idx="1349">
                  <c:v>67.449999999998312</c:v>
                </c:pt>
                <c:pt idx="1350">
                  <c:v>67.499999999998309</c:v>
                </c:pt>
                <c:pt idx="1351">
                  <c:v>67.549999999998306</c:v>
                </c:pt>
                <c:pt idx="1352">
                  <c:v>67.599999999998303</c:v>
                </c:pt>
                <c:pt idx="1353">
                  <c:v>67.6499999999983</c:v>
                </c:pt>
                <c:pt idx="1354">
                  <c:v>67.699999999998298</c:v>
                </c:pt>
                <c:pt idx="1355">
                  <c:v>67.749999999998295</c:v>
                </c:pt>
                <c:pt idx="1356">
                  <c:v>67.799999999998292</c:v>
                </c:pt>
                <c:pt idx="1357">
                  <c:v>67.849999999998289</c:v>
                </c:pt>
                <c:pt idx="1358">
                  <c:v>67.899999999998286</c:v>
                </c:pt>
                <c:pt idx="1359">
                  <c:v>67.949999999998283</c:v>
                </c:pt>
                <c:pt idx="1360">
                  <c:v>67.99999999999828</c:v>
                </c:pt>
                <c:pt idx="1361">
                  <c:v>68.049999999998278</c:v>
                </c:pt>
                <c:pt idx="1362">
                  <c:v>68.099999999998275</c:v>
                </c:pt>
                <c:pt idx="1363">
                  <c:v>68.149999999998272</c:v>
                </c:pt>
                <c:pt idx="1364">
                  <c:v>68.199999999998269</c:v>
                </c:pt>
                <c:pt idx="1365">
                  <c:v>68.249999999998266</c:v>
                </c:pt>
                <c:pt idx="1366">
                  <c:v>68.299999999998263</c:v>
                </c:pt>
                <c:pt idx="1367">
                  <c:v>68.349999999998261</c:v>
                </c:pt>
                <c:pt idx="1368">
                  <c:v>68.399999999998258</c:v>
                </c:pt>
                <c:pt idx="1369">
                  <c:v>68.449999999998255</c:v>
                </c:pt>
                <c:pt idx="1370">
                  <c:v>68.499999999998252</c:v>
                </c:pt>
                <c:pt idx="1371">
                  <c:v>68.549999999998249</c:v>
                </c:pt>
                <c:pt idx="1372">
                  <c:v>68.599999999998246</c:v>
                </c:pt>
                <c:pt idx="1373">
                  <c:v>68.649999999998244</c:v>
                </c:pt>
                <c:pt idx="1374">
                  <c:v>68.699999999998241</c:v>
                </c:pt>
                <c:pt idx="1375">
                  <c:v>68.749999999998238</c:v>
                </c:pt>
                <c:pt idx="1376">
                  <c:v>68.799999999998235</c:v>
                </c:pt>
                <c:pt idx="1377">
                  <c:v>68.849999999998232</c:v>
                </c:pt>
                <c:pt idx="1378">
                  <c:v>68.899999999998229</c:v>
                </c:pt>
                <c:pt idx="1379">
                  <c:v>68.949999999998226</c:v>
                </c:pt>
                <c:pt idx="1380">
                  <c:v>68.999999999998224</c:v>
                </c:pt>
                <c:pt idx="1381">
                  <c:v>69.049999999998221</c:v>
                </c:pt>
                <c:pt idx="1382">
                  <c:v>69.099999999998218</c:v>
                </c:pt>
                <c:pt idx="1383">
                  <c:v>69.149999999998215</c:v>
                </c:pt>
                <c:pt idx="1384">
                  <c:v>69.199999999998212</c:v>
                </c:pt>
                <c:pt idx="1385">
                  <c:v>69.249999999998209</c:v>
                </c:pt>
                <c:pt idx="1386">
                  <c:v>69.299999999998207</c:v>
                </c:pt>
                <c:pt idx="1387">
                  <c:v>69.349999999998204</c:v>
                </c:pt>
                <c:pt idx="1388">
                  <c:v>69.399999999998201</c:v>
                </c:pt>
                <c:pt idx="1389">
                  <c:v>69.449999999998198</c:v>
                </c:pt>
                <c:pt idx="1390">
                  <c:v>69.499999999998195</c:v>
                </c:pt>
                <c:pt idx="1391">
                  <c:v>69.549999999998192</c:v>
                </c:pt>
                <c:pt idx="1392">
                  <c:v>69.59999999999819</c:v>
                </c:pt>
                <c:pt idx="1393">
                  <c:v>69.649999999998187</c:v>
                </c:pt>
                <c:pt idx="1394">
                  <c:v>69.699999999998184</c:v>
                </c:pt>
                <c:pt idx="1395">
                  <c:v>69.749999999998181</c:v>
                </c:pt>
                <c:pt idx="1396">
                  <c:v>69.799999999998178</c:v>
                </c:pt>
                <c:pt idx="1397">
                  <c:v>69.849999999998175</c:v>
                </c:pt>
                <c:pt idx="1398">
                  <c:v>69.899999999998172</c:v>
                </c:pt>
                <c:pt idx="1399">
                  <c:v>69.94999999999817</c:v>
                </c:pt>
                <c:pt idx="1400">
                  <c:v>69.999999999998167</c:v>
                </c:pt>
                <c:pt idx="1401">
                  <c:v>70.049999999998164</c:v>
                </c:pt>
                <c:pt idx="1402">
                  <c:v>70.099999999998161</c:v>
                </c:pt>
                <c:pt idx="1403">
                  <c:v>70.149999999998158</c:v>
                </c:pt>
                <c:pt idx="1404">
                  <c:v>70.199999999998155</c:v>
                </c:pt>
                <c:pt idx="1405">
                  <c:v>70.249999999998153</c:v>
                </c:pt>
                <c:pt idx="1406">
                  <c:v>70.29999999999815</c:v>
                </c:pt>
                <c:pt idx="1407">
                  <c:v>70.349999999998147</c:v>
                </c:pt>
                <c:pt idx="1408">
                  <c:v>70.399999999998144</c:v>
                </c:pt>
                <c:pt idx="1409">
                  <c:v>70.449999999998141</c:v>
                </c:pt>
                <c:pt idx="1410">
                  <c:v>70.499999999998138</c:v>
                </c:pt>
                <c:pt idx="1411">
                  <c:v>70.549999999998136</c:v>
                </c:pt>
                <c:pt idx="1412">
                  <c:v>70.599999999998133</c:v>
                </c:pt>
                <c:pt idx="1413">
                  <c:v>70.64999999999813</c:v>
                </c:pt>
                <c:pt idx="1414">
                  <c:v>70.699999999998127</c:v>
                </c:pt>
                <c:pt idx="1415">
                  <c:v>70.749999999998124</c:v>
                </c:pt>
                <c:pt idx="1416">
                  <c:v>70.799999999998121</c:v>
                </c:pt>
                <c:pt idx="1417">
                  <c:v>70.849999999998118</c:v>
                </c:pt>
                <c:pt idx="1418">
                  <c:v>70.899999999998116</c:v>
                </c:pt>
                <c:pt idx="1419">
                  <c:v>70.949999999998113</c:v>
                </c:pt>
                <c:pt idx="1420">
                  <c:v>70.99999999999811</c:v>
                </c:pt>
                <c:pt idx="1421">
                  <c:v>71.049999999998107</c:v>
                </c:pt>
                <c:pt idx="1422">
                  <c:v>71.099999999998104</c:v>
                </c:pt>
                <c:pt idx="1423">
                  <c:v>71.149999999998101</c:v>
                </c:pt>
                <c:pt idx="1424">
                  <c:v>71.199999999998099</c:v>
                </c:pt>
                <c:pt idx="1425">
                  <c:v>71.249999999998096</c:v>
                </c:pt>
                <c:pt idx="1426">
                  <c:v>71.299999999998093</c:v>
                </c:pt>
                <c:pt idx="1427">
                  <c:v>71.34999999999809</c:v>
                </c:pt>
                <c:pt idx="1428">
                  <c:v>71.399999999998087</c:v>
                </c:pt>
                <c:pt idx="1429">
                  <c:v>71.449999999998084</c:v>
                </c:pt>
                <c:pt idx="1430">
                  <c:v>71.499999999998082</c:v>
                </c:pt>
                <c:pt idx="1431">
                  <c:v>71.549999999998079</c:v>
                </c:pt>
                <c:pt idx="1432">
                  <c:v>71.599999999998076</c:v>
                </c:pt>
                <c:pt idx="1433">
                  <c:v>71.649999999998073</c:v>
                </c:pt>
                <c:pt idx="1434">
                  <c:v>71.69999999999807</c:v>
                </c:pt>
                <c:pt idx="1435">
                  <c:v>71.749999999998067</c:v>
                </c:pt>
                <c:pt idx="1436">
                  <c:v>71.799999999998064</c:v>
                </c:pt>
                <c:pt idx="1437">
                  <c:v>71.849999999998062</c:v>
                </c:pt>
                <c:pt idx="1438">
                  <c:v>71.899999999998059</c:v>
                </c:pt>
                <c:pt idx="1439">
                  <c:v>71.949999999998056</c:v>
                </c:pt>
                <c:pt idx="1440">
                  <c:v>71.999999999998053</c:v>
                </c:pt>
                <c:pt idx="1441">
                  <c:v>72.04999999999805</c:v>
                </c:pt>
                <c:pt idx="1442">
                  <c:v>72.099999999998047</c:v>
                </c:pt>
                <c:pt idx="1443">
                  <c:v>72.149999999998045</c:v>
                </c:pt>
                <c:pt idx="1444">
                  <c:v>72.199999999998042</c:v>
                </c:pt>
                <c:pt idx="1445">
                  <c:v>72.249999999998039</c:v>
                </c:pt>
                <c:pt idx="1446">
                  <c:v>72.299999999998036</c:v>
                </c:pt>
                <c:pt idx="1447">
                  <c:v>72.349999999998033</c:v>
                </c:pt>
                <c:pt idx="1448">
                  <c:v>72.39999999999803</c:v>
                </c:pt>
                <c:pt idx="1449">
                  <c:v>72.449999999998028</c:v>
                </c:pt>
                <c:pt idx="1450">
                  <c:v>72.499999999998025</c:v>
                </c:pt>
                <c:pt idx="1451">
                  <c:v>72.549999999998022</c:v>
                </c:pt>
                <c:pt idx="1452">
                  <c:v>72.599999999998019</c:v>
                </c:pt>
                <c:pt idx="1453">
                  <c:v>72.649999999998016</c:v>
                </c:pt>
                <c:pt idx="1454">
                  <c:v>72.699999999998013</c:v>
                </c:pt>
                <c:pt idx="1455">
                  <c:v>72.74999999999801</c:v>
                </c:pt>
                <c:pt idx="1456">
                  <c:v>72.799999999998008</c:v>
                </c:pt>
                <c:pt idx="1457">
                  <c:v>72.849999999998005</c:v>
                </c:pt>
                <c:pt idx="1458">
                  <c:v>72.899999999998002</c:v>
                </c:pt>
                <c:pt idx="1459">
                  <c:v>72.949999999997999</c:v>
                </c:pt>
                <c:pt idx="1460">
                  <c:v>72.999999999997996</c:v>
                </c:pt>
                <c:pt idx="1461">
                  <c:v>73.049999999997993</c:v>
                </c:pt>
                <c:pt idx="1462">
                  <c:v>73.099999999997991</c:v>
                </c:pt>
                <c:pt idx="1463">
                  <c:v>73.149999999997988</c:v>
                </c:pt>
                <c:pt idx="1464">
                  <c:v>73.199999999997985</c:v>
                </c:pt>
                <c:pt idx="1465">
                  <c:v>73.249999999997982</c:v>
                </c:pt>
                <c:pt idx="1466">
                  <c:v>73.299999999997979</c:v>
                </c:pt>
                <c:pt idx="1467">
                  <c:v>73.349999999997976</c:v>
                </c:pt>
                <c:pt idx="1468">
                  <c:v>73.399999999997974</c:v>
                </c:pt>
                <c:pt idx="1469">
                  <c:v>73.449999999997971</c:v>
                </c:pt>
                <c:pt idx="1470">
                  <c:v>73.499999999997968</c:v>
                </c:pt>
                <c:pt idx="1471">
                  <c:v>73.549999999997965</c:v>
                </c:pt>
                <c:pt idx="1472">
                  <c:v>73.599999999997962</c:v>
                </c:pt>
                <c:pt idx="1473">
                  <c:v>73.649999999997959</c:v>
                </c:pt>
                <c:pt idx="1474">
                  <c:v>73.699999999997956</c:v>
                </c:pt>
                <c:pt idx="1475">
                  <c:v>73.749999999997954</c:v>
                </c:pt>
                <c:pt idx="1476">
                  <c:v>73.799999999997951</c:v>
                </c:pt>
                <c:pt idx="1477">
                  <c:v>73.849999999997948</c:v>
                </c:pt>
                <c:pt idx="1478">
                  <c:v>73.899999999997945</c:v>
                </c:pt>
                <c:pt idx="1479">
                  <c:v>73.949999999997942</c:v>
                </c:pt>
                <c:pt idx="1480">
                  <c:v>73.999999999997939</c:v>
                </c:pt>
                <c:pt idx="1481">
                  <c:v>74.049999999997937</c:v>
                </c:pt>
                <c:pt idx="1482">
                  <c:v>74.099999999997934</c:v>
                </c:pt>
                <c:pt idx="1483">
                  <c:v>74.149999999997931</c:v>
                </c:pt>
                <c:pt idx="1484">
                  <c:v>74.199999999997928</c:v>
                </c:pt>
                <c:pt idx="1485">
                  <c:v>74.249999999997925</c:v>
                </c:pt>
                <c:pt idx="1486">
                  <c:v>74.299999999997922</c:v>
                </c:pt>
                <c:pt idx="1487">
                  <c:v>74.34999999999792</c:v>
                </c:pt>
                <c:pt idx="1488">
                  <c:v>74.399999999997917</c:v>
                </c:pt>
                <c:pt idx="1489">
                  <c:v>74.449999999997914</c:v>
                </c:pt>
                <c:pt idx="1490">
                  <c:v>74.499999999997911</c:v>
                </c:pt>
                <c:pt idx="1491">
                  <c:v>74.549999999997908</c:v>
                </c:pt>
                <c:pt idx="1492">
                  <c:v>74.599999999997905</c:v>
                </c:pt>
                <c:pt idx="1493">
                  <c:v>74.649999999997902</c:v>
                </c:pt>
                <c:pt idx="1494">
                  <c:v>74.6999999999979</c:v>
                </c:pt>
                <c:pt idx="1495">
                  <c:v>74.749999999997897</c:v>
                </c:pt>
                <c:pt idx="1496">
                  <c:v>74.799999999997894</c:v>
                </c:pt>
                <c:pt idx="1497">
                  <c:v>74.849999999997891</c:v>
                </c:pt>
                <c:pt idx="1498">
                  <c:v>74.899999999997888</c:v>
                </c:pt>
                <c:pt idx="1499">
                  <c:v>74.949999999997885</c:v>
                </c:pt>
                <c:pt idx="1500">
                  <c:v>74.999999999997883</c:v>
                </c:pt>
                <c:pt idx="1501">
                  <c:v>75.04999999999788</c:v>
                </c:pt>
                <c:pt idx="1502">
                  <c:v>75.099999999997877</c:v>
                </c:pt>
                <c:pt idx="1503">
                  <c:v>75.149999999997874</c:v>
                </c:pt>
                <c:pt idx="1504">
                  <c:v>75.199999999997871</c:v>
                </c:pt>
                <c:pt idx="1505">
                  <c:v>75.249999999997868</c:v>
                </c:pt>
                <c:pt idx="1506">
                  <c:v>75.299999999997866</c:v>
                </c:pt>
                <c:pt idx="1507">
                  <c:v>75.349999999997863</c:v>
                </c:pt>
                <c:pt idx="1508">
                  <c:v>75.39999999999786</c:v>
                </c:pt>
                <c:pt idx="1509">
                  <c:v>75.449999999997857</c:v>
                </c:pt>
                <c:pt idx="1510">
                  <c:v>75.499999999997854</c:v>
                </c:pt>
                <c:pt idx="1511">
                  <c:v>75.549999999997851</c:v>
                </c:pt>
                <c:pt idx="1512">
                  <c:v>75.599999999997848</c:v>
                </c:pt>
                <c:pt idx="1513">
                  <c:v>75.649999999997846</c:v>
                </c:pt>
                <c:pt idx="1514">
                  <c:v>75.699999999997843</c:v>
                </c:pt>
                <c:pt idx="1515">
                  <c:v>75.74999999999784</c:v>
                </c:pt>
                <c:pt idx="1516">
                  <c:v>75.799999999997837</c:v>
                </c:pt>
                <c:pt idx="1517">
                  <c:v>75.849999999997834</c:v>
                </c:pt>
                <c:pt idx="1518">
                  <c:v>75.899999999997831</c:v>
                </c:pt>
                <c:pt idx="1519">
                  <c:v>75.949999999997829</c:v>
                </c:pt>
                <c:pt idx="1520">
                  <c:v>75.999999999997826</c:v>
                </c:pt>
                <c:pt idx="1521">
                  <c:v>76.049999999997823</c:v>
                </c:pt>
                <c:pt idx="1522">
                  <c:v>76.09999999999782</c:v>
                </c:pt>
                <c:pt idx="1523">
                  <c:v>76.149999999997817</c:v>
                </c:pt>
                <c:pt idx="1524">
                  <c:v>76.199999999997814</c:v>
                </c:pt>
                <c:pt idx="1525">
                  <c:v>76.249999999997812</c:v>
                </c:pt>
                <c:pt idx="1526">
                  <c:v>76.299999999997809</c:v>
                </c:pt>
                <c:pt idx="1527">
                  <c:v>76.349999999997806</c:v>
                </c:pt>
                <c:pt idx="1528">
                  <c:v>76.399999999997803</c:v>
                </c:pt>
                <c:pt idx="1529">
                  <c:v>76.4499999999978</c:v>
                </c:pt>
                <c:pt idx="1530">
                  <c:v>76.499999999997797</c:v>
                </c:pt>
                <c:pt idx="1531">
                  <c:v>76.549999999997794</c:v>
                </c:pt>
                <c:pt idx="1532">
                  <c:v>76.599999999997792</c:v>
                </c:pt>
                <c:pt idx="1533">
                  <c:v>76.649999999997789</c:v>
                </c:pt>
                <c:pt idx="1534">
                  <c:v>76.699999999997786</c:v>
                </c:pt>
                <c:pt idx="1535">
                  <c:v>76.749999999997783</c:v>
                </c:pt>
                <c:pt idx="1536">
                  <c:v>76.79999999999778</c:v>
                </c:pt>
                <c:pt idx="1537">
                  <c:v>76.849999999997777</c:v>
                </c:pt>
                <c:pt idx="1538">
                  <c:v>76.899999999997775</c:v>
                </c:pt>
                <c:pt idx="1539">
                  <c:v>76.949999999997772</c:v>
                </c:pt>
                <c:pt idx="1540">
                  <c:v>76.999999999997769</c:v>
                </c:pt>
                <c:pt idx="1541">
                  <c:v>77.049999999997766</c:v>
                </c:pt>
                <c:pt idx="1542">
                  <c:v>77.099999999997763</c:v>
                </c:pt>
                <c:pt idx="1543">
                  <c:v>77.14999999999776</c:v>
                </c:pt>
                <c:pt idx="1544">
                  <c:v>77.199999999997758</c:v>
                </c:pt>
                <c:pt idx="1545">
                  <c:v>77.249999999997755</c:v>
                </c:pt>
                <c:pt idx="1546">
                  <c:v>77.299999999997752</c:v>
                </c:pt>
                <c:pt idx="1547">
                  <c:v>77.349999999997749</c:v>
                </c:pt>
                <c:pt idx="1548">
                  <c:v>77.399999999997746</c:v>
                </c:pt>
                <c:pt idx="1549">
                  <c:v>77.449999999997743</c:v>
                </c:pt>
                <c:pt idx="1550">
                  <c:v>77.49999999999774</c:v>
                </c:pt>
                <c:pt idx="1551">
                  <c:v>77.549999999997738</c:v>
                </c:pt>
                <c:pt idx="1552">
                  <c:v>77.599999999997735</c:v>
                </c:pt>
                <c:pt idx="1553">
                  <c:v>77.649999999997732</c:v>
                </c:pt>
                <c:pt idx="1554">
                  <c:v>77.699999999997729</c:v>
                </c:pt>
                <c:pt idx="1555">
                  <c:v>77.749999999997726</c:v>
                </c:pt>
                <c:pt idx="1556">
                  <c:v>77.799999999997723</c:v>
                </c:pt>
                <c:pt idx="1557">
                  <c:v>77.849999999997721</c:v>
                </c:pt>
                <c:pt idx="1558">
                  <c:v>77.899999999997718</c:v>
                </c:pt>
                <c:pt idx="1559">
                  <c:v>77.949999999997715</c:v>
                </c:pt>
                <c:pt idx="1560">
                  <c:v>77.999999999997712</c:v>
                </c:pt>
                <c:pt idx="1561">
                  <c:v>78.049999999997709</c:v>
                </c:pt>
                <c:pt idx="1562">
                  <c:v>78.099999999997706</c:v>
                </c:pt>
                <c:pt idx="1563">
                  <c:v>78.149999999997704</c:v>
                </c:pt>
                <c:pt idx="1564">
                  <c:v>78.199999999997701</c:v>
                </c:pt>
                <c:pt idx="1565">
                  <c:v>78.249999999997698</c:v>
                </c:pt>
                <c:pt idx="1566">
                  <c:v>78.299999999997695</c:v>
                </c:pt>
                <c:pt idx="1567">
                  <c:v>78.349999999997692</c:v>
                </c:pt>
                <c:pt idx="1568">
                  <c:v>78.399999999997689</c:v>
                </c:pt>
                <c:pt idx="1569">
                  <c:v>78.449999999997686</c:v>
                </c:pt>
                <c:pt idx="1570">
                  <c:v>78.499999999997684</c:v>
                </c:pt>
                <c:pt idx="1571">
                  <c:v>78.549999999997681</c:v>
                </c:pt>
                <c:pt idx="1572">
                  <c:v>78.599999999997678</c:v>
                </c:pt>
                <c:pt idx="1573">
                  <c:v>78.649999999997675</c:v>
                </c:pt>
                <c:pt idx="1574">
                  <c:v>78.699999999997672</c:v>
                </c:pt>
                <c:pt idx="1575">
                  <c:v>78.749999999997669</c:v>
                </c:pt>
                <c:pt idx="1576">
                  <c:v>78.799999999997667</c:v>
                </c:pt>
                <c:pt idx="1577">
                  <c:v>78.849999999997664</c:v>
                </c:pt>
                <c:pt idx="1578">
                  <c:v>78.899999999997661</c:v>
                </c:pt>
                <c:pt idx="1579">
                  <c:v>78.949999999997658</c:v>
                </c:pt>
                <c:pt idx="1580">
                  <c:v>78.999999999997655</c:v>
                </c:pt>
                <c:pt idx="1581">
                  <c:v>79.049999999997652</c:v>
                </c:pt>
                <c:pt idx="1582">
                  <c:v>79.09999999999765</c:v>
                </c:pt>
                <c:pt idx="1583">
                  <c:v>79.149999999997647</c:v>
                </c:pt>
                <c:pt idx="1584">
                  <c:v>79.199999999997644</c:v>
                </c:pt>
                <c:pt idx="1585">
                  <c:v>79.249999999997641</c:v>
                </c:pt>
                <c:pt idx="1586">
                  <c:v>79.299999999997638</c:v>
                </c:pt>
                <c:pt idx="1587">
                  <c:v>79.349999999997635</c:v>
                </c:pt>
                <c:pt idx="1588">
                  <c:v>79.399999999997632</c:v>
                </c:pt>
                <c:pt idx="1589">
                  <c:v>79.44999999999763</c:v>
                </c:pt>
                <c:pt idx="1590">
                  <c:v>79.499999999997627</c:v>
                </c:pt>
                <c:pt idx="1591">
                  <c:v>79.549999999997624</c:v>
                </c:pt>
                <c:pt idx="1592">
                  <c:v>79.599999999997621</c:v>
                </c:pt>
                <c:pt idx="1593">
                  <c:v>79.649999999997618</c:v>
                </c:pt>
                <c:pt idx="1594">
                  <c:v>79.699999999997615</c:v>
                </c:pt>
                <c:pt idx="1595">
                  <c:v>79.749999999997613</c:v>
                </c:pt>
                <c:pt idx="1596">
                  <c:v>79.79999999999761</c:v>
                </c:pt>
                <c:pt idx="1597">
                  <c:v>79.849999999997607</c:v>
                </c:pt>
                <c:pt idx="1598">
                  <c:v>79.899999999997604</c:v>
                </c:pt>
                <c:pt idx="1599">
                  <c:v>79.949999999997601</c:v>
                </c:pt>
                <c:pt idx="1600">
                  <c:v>79.999999999997598</c:v>
                </c:pt>
                <c:pt idx="1601">
                  <c:v>80.049999999997596</c:v>
                </c:pt>
                <c:pt idx="1602">
                  <c:v>80.099999999997593</c:v>
                </c:pt>
                <c:pt idx="1603">
                  <c:v>80.14999999999759</c:v>
                </c:pt>
                <c:pt idx="1604">
                  <c:v>80.199999999997587</c:v>
                </c:pt>
                <c:pt idx="1605">
                  <c:v>80.249999999997584</c:v>
                </c:pt>
                <c:pt idx="1606">
                  <c:v>80.299999999997581</c:v>
                </c:pt>
                <c:pt idx="1607">
                  <c:v>80.349999999997578</c:v>
                </c:pt>
                <c:pt idx="1608">
                  <c:v>80.399999999997576</c:v>
                </c:pt>
                <c:pt idx="1609">
                  <c:v>80.449999999997573</c:v>
                </c:pt>
                <c:pt idx="1610">
                  <c:v>80.49999999999757</c:v>
                </c:pt>
                <c:pt idx="1611">
                  <c:v>80.549999999997567</c:v>
                </c:pt>
                <c:pt idx="1612">
                  <c:v>80.599999999997564</c:v>
                </c:pt>
                <c:pt idx="1613">
                  <c:v>80.649999999997561</c:v>
                </c:pt>
                <c:pt idx="1614">
                  <c:v>80.699999999997559</c:v>
                </c:pt>
                <c:pt idx="1615">
                  <c:v>80.749999999997556</c:v>
                </c:pt>
                <c:pt idx="1616">
                  <c:v>80.799999999997553</c:v>
                </c:pt>
                <c:pt idx="1617">
                  <c:v>80.84999999999755</c:v>
                </c:pt>
                <c:pt idx="1618">
                  <c:v>80.899999999997547</c:v>
                </c:pt>
                <c:pt idx="1619">
                  <c:v>80.949999999997544</c:v>
                </c:pt>
                <c:pt idx="1620">
                  <c:v>80.999999999997542</c:v>
                </c:pt>
                <c:pt idx="1621">
                  <c:v>81.049999999997539</c:v>
                </c:pt>
                <c:pt idx="1622">
                  <c:v>81.099999999997536</c:v>
                </c:pt>
                <c:pt idx="1623">
                  <c:v>81.149999999997533</c:v>
                </c:pt>
                <c:pt idx="1624">
                  <c:v>81.19999999999753</c:v>
                </c:pt>
                <c:pt idx="1625">
                  <c:v>81.249999999997527</c:v>
                </c:pt>
                <c:pt idx="1626">
                  <c:v>81.299999999997524</c:v>
                </c:pt>
                <c:pt idx="1627">
                  <c:v>81.349999999997522</c:v>
                </c:pt>
                <c:pt idx="1628">
                  <c:v>81.399999999997519</c:v>
                </c:pt>
                <c:pt idx="1629">
                  <c:v>81.449999999997516</c:v>
                </c:pt>
                <c:pt idx="1630">
                  <c:v>81.499999999997513</c:v>
                </c:pt>
                <c:pt idx="1631">
                  <c:v>81.54999999999751</c:v>
                </c:pt>
                <c:pt idx="1632">
                  <c:v>81.599999999997507</c:v>
                </c:pt>
                <c:pt idx="1633">
                  <c:v>81.649999999997505</c:v>
                </c:pt>
                <c:pt idx="1634">
                  <c:v>81.699999999997502</c:v>
                </c:pt>
                <c:pt idx="1635">
                  <c:v>81.749999999997499</c:v>
                </c:pt>
                <c:pt idx="1636">
                  <c:v>81.799999999997496</c:v>
                </c:pt>
                <c:pt idx="1637">
                  <c:v>81.849999999997493</c:v>
                </c:pt>
                <c:pt idx="1638">
                  <c:v>81.89999999999749</c:v>
                </c:pt>
                <c:pt idx="1639">
                  <c:v>81.949999999997488</c:v>
                </c:pt>
                <c:pt idx="1640">
                  <c:v>81.999999999997485</c:v>
                </c:pt>
                <c:pt idx="1641">
                  <c:v>82.049999999997482</c:v>
                </c:pt>
                <c:pt idx="1642">
                  <c:v>82.099999999997479</c:v>
                </c:pt>
                <c:pt idx="1643">
                  <c:v>82.149999999997476</c:v>
                </c:pt>
                <c:pt idx="1644">
                  <c:v>82.199999999997473</c:v>
                </c:pt>
                <c:pt idx="1645">
                  <c:v>82.24999999999747</c:v>
                </c:pt>
                <c:pt idx="1646">
                  <c:v>82.299999999997468</c:v>
                </c:pt>
                <c:pt idx="1647">
                  <c:v>82.349999999997465</c:v>
                </c:pt>
                <c:pt idx="1648">
                  <c:v>82.399999999997462</c:v>
                </c:pt>
                <c:pt idx="1649">
                  <c:v>82.449999999997459</c:v>
                </c:pt>
                <c:pt idx="1650">
                  <c:v>82.499999999997456</c:v>
                </c:pt>
                <c:pt idx="1651">
                  <c:v>82.549999999997453</c:v>
                </c:pt>
                <c:pt idx="1652">
                  <c:v>82.599999999997451</c:v>
                </c:pt>
                <c:pt idx="1653">
                  <c:v>82.649999999997448</c:v>
                </c:pt>
                <c:pt idx="1654">
                  <c:v>82.699999999997445</c:v>
                </c:pt>
                <c:pt idx="1655">
                  <c:v>82.749999999997442</c:v>
                </c:pt>
                <c:pt idx="1656">
                  <c:v>82.799999999997439</c:v>
                </c:pt>
                <c:pt idx="1657">
                  <c:v>82.849999999997436</c:v>
                </c:pt>
                <c:pt idx="1658">
                  <c:v>82.899999999997434</c:v>
                </c:pt>
                <c:pt idx="1659">
                  <c:v>82.949999999997431</c:v>
                </c:pt>
                <c:pt idx="1660">
                  <c:v>82.999999999997428</c:v>
                </c:pt>
                <c:pt idx="1661">
                  <c:v>83.049999999997425</c:v>
                </c:pt>
                <c:pt idx="1662">
                  <c:v>83.099999999997422</c:v>
                </c:pt>
                <c:pt idx="1663">
                  <c:v>83.149999999997419</c:v>
                </c:pt>
                <c:pt idx="1664">
                  <c:v>83.199999999997416</c:v>
                </c:pt>
                <c:pt idx="1665">
                  <c:v>83.249999999997414</c:v>
                </c:pt>
                <c:pt idx="1666">
                  <c:v>83.299999999997411</c:v>
                </c:pt>
                <c:pt idx="1667">
                  <c:v>83.349999999997408</c:v>
                </c:pt>
                <c:pt idx="1668">
                  <c:v>83.399999999997405</c:v>
                </c:pt>
                <c:pt idx="1669">
                  <c:v>83.449999999997402</c:v>
                </c:pt>
                <c:pt idx="1670">
                  <c:v>83.499999999997399</c:v>
                </c:pt>
                <c:pt idx="1671">
                  <c:v>83.549999999997397</c:v>
                </c:pt>
                <c:pt idx="1672">
                  <c:v>83.599999999997394</c:v>
                </c:pt>
                <c:pt idx="1673">
                  <c:v>83.649999999997391</c:v>
                </c:pt>
                <c:pt idx="1674">
                  <c:v>83.699999999997388</c:v>
                </c:pt>
                <c:pt idx="1675">
                  <c:v>83.749999999997385</c:v>
                </c:pt>
                <c:pt idx="1676">
                  <c:v>83.799999999997382</c:v>
                </c:pt>
                <c:pt idx="1677">
                  <c:v>83.84999999999738</c:v>
                </c:pt>
                <c:pt idx="1678">
                  <c:v>83.899999999997377</c:v>
                </c:pt>
                <c:pt idx="1679">
                  <c:v>83.949999999997374</c:v>
                </c:pt>
                <c:pt idx="1680">
                  <c:v>83.999999999997371</c:v>
                </c:pt>
                <c:pt idx="1681">
                  <c:v>84.049999999997368</c:v>
                </c:pt>
                <c:pt idx="1682">
                  <c:v>84.099999999997365</c:v>
                </c:pt>
                <c:pt idx="1683">
                  <c:v>84.149999999997362</c:v>
                </c:pt>
                <c:pt idx="1684">
                  <c:v>84.19999999999736</c:v>
                </c:pt>
                <c:pt idx="1685">
                  <c:v>84.249999999997357</c:v>
                </c:pt>
                <c:pt idx="1686">
                  <c:v>84.299999999997354</c:v>
                </c:pt>
                <c:pt idx="1687">
                  <c:v>84.349999999997351</c:v>
                </c:pt>
                <c:pt idx="1688">
                  <c:v>84.399999999997348</c:v>
                </c:pt>
                <c:pt idx="1689">
                  <c:v>84.449999999997345</c:v>
                </c:pt>
                <c:pt idx="1690">
                  <c:v>84.499999999997343</c:v>
                </c:pt>
                <c:pt idx="1691">
                  <c:v>84.54999999999734</c:v>
                </c:pt>
                <c:pt idx="1692">
                  <c:v>84.599999999997337</c:v>
                </c:pt>
                <c:pt idx="1693">
                  <c:v>84.649999999997334</c:v>
                </c:pt>
                <c:pt idx="1694">
                  <c:v>84.699999999997331</c:v>
                </c:pt>
                <c:pt idx="1695">
                  <c:v>84.749999999997328</c:v>
                </c:pt>
                <c:pt idx="1696">
                  <c:v>84.799999999997326</c:v>
                </c:pt>
                <c:pt idx="1697">
                  <c:v>84.849999999997323</c:v>
                </c:pt>
                <c:pt idx="1698">
                  <c:v>84.89999999999732</c:v>
                </c:pt>
                <c:pt idx="1699">
                  <c:v>84.949999999997317</c:v>
                </c:pt>
                <c:pt idx="1700">
                  <c:v>84.999999999997314</c:v>
                </c:pt>
                <c:pt idx="1701">
                  <c:v>85.049999999997311</c:v>
                </c:pt>
                <c:pt idx="1702">
                  <c:v>85.099999999997308</c:v>
                </c:pt>
                <c:pt idx="1703">
                  <c:v>85.149999999997306</c:v>
                </c:pt>
                <c:pt idx="1704">
                  <c:v>85.199999999997303</c:v>
                </c:pt>
                <c:pt idx="1705">
                  <c:v>85.2499999999973</c:v>
                </c:pt>
                <c:pt idx="1706">
                  <c:v>85.299999999997297</c:v>
                </c:pt>
                <c:pt idx="1707">
                  <c:v>85.349999999997294</c:v>
                </c:pt>
                <c:pt idx="1708">
                  <c:v>85.399999999997291</c:v>
                </c:pt>
                <c:pt idx="1709">
                  <c:v>85.449999999997289</c:v>
                </c:pt>
                <c:pt idx="1710">
                  <c:v>85.499999999997286</c:v>
                </c:pt>
                <c:pt idx="1711">
                  <c:v>85.549999999997283</c:v>
                </c:pt>
                <c:pt idx="1712">
                  <c:v>85.59999999999728</c:v>
                </c:pt>
                <c:pt idx="1713">
                  <c:v>85.649999999997277</c:v>
                </c:pt>
                <c:pt idx="1714">
                  <c:v>85.699999999997274</c:v>
                </c:pt>
                <c:pt idx="1715">
                  <c:v>85.749999999997272</c:v>
                </c:pt>
                <c:pt idx="1716">
                  <c:v>85.799999999997269</c:v>
                </c:pt>
                <c:pt idx="1717">
                  <c:v>85.849999999997266</c:v>
                </c:pt>
                <c:pt idx="1718">
                  <c:v>85.899999999997263</c:v>
                </c:pt>
                <c:pt idx="1719">
                  <c:v>85.94999999999726</c:v>
                </c:pt>
                <c:pt idx="1720">
                  <c:v>85.999999999997257</c:v>
                </c:pt>
                <c:pt idx="1721">
                  <c:v>86.049999999997254</c:v>
                </c:pt>
                <c:pt idx="1722">
                  <c:v>86.099999999997252</c:v>
                </c:pt>
                <c:pt idx="1723">
                  <c:v>86.149999999997249</c:v>
                </c:pt>
                <c:pt idx="1724">
                  <c:v>86.199999999997246</c:v>
                </c:pt>
                <c:pt idx="1725">
                  <c:v>86.249999999997243</c:v>
                </c:pt>
                <c:pt idx="1726">
                  <c:v>86.29999999999724</c:v>
                </c:pt>
                <c:pt idx="1727">
                  <c:v>86.349999999997237</c:v>
                </c:pt>
                <c:pt idx="1728">
                  <c:v>86.399999999997235</c:v>
                </c:pt>
                <c:pt idx="1729">
                  <c:v>86.449999999997232</c:v>
                </c:pt>
                <c:pt idx="1730">
                  <c:v>86.499999999997229</c:v>
                </c:pt>
                <c:pt idx="1731">
                  <c:v>86.549999999997226</c:v>
                </c:pt>
                <c:pt idx="1732">
                  <c:v>86.599999999997223</c:v>
                </c:pt>
                <c:pt idx="1733">
                  <c:v>86.64999999999722</c:v>
                </c:pt>
                <c:pt idx="1734">
                  <c:v>86.699999999997218</c:v>
                </c:pt>
                <c:pt idx="1735">
                  <c:v>86.749999999997215</c:v>
                </c:pt>
                <c:pt idx="1736">
                  <c:v>86.799999999997212</c:v>
                </c:pt>
                <c:pt idx="1737">
                  <c:v>86.849999999997209</c:v>
                </c:pt>
                <c:pt idx="1738">
                  <c:v>86.899999999997206</c:v>
                </c:pt>
                <c:pt idx="1739">
                  <c:v>86.949999999997203</c:v>
                </c:pt>
                <c:pt idx="1740">
                  <c:v>86.9999999999972</c:v>
                </c:pt>
                <c:pt idx="1741">
                  <c:v>87.049999999997198</c:v>
                </c:pt>
                <c:pt idx="1742">
                  <c:v>87.099999999997195</c:v>
                </c:pt>
                <c:pt idx="1743">
                  <c:v>87.149999999997192</c:v>
                </c:pt>
                <c:pt idx="1744">
                  <c:v>87.199999999997189</c:v>
                </c:pt>
                <c:pt idx="1745">
                  <c:v>87.249999999997186</c:v>
                </c:pt>
                <c:pt idx="1746">
                  <c:v>87.299999999997183</c:v>
                </c:pt>
                <c:pt idx="1747">
                  <c:v>87.349999999997181</c:v>
                </c:pt>
                <c:pt idx="1748">
                  <c:v>87.399999999997178</c:v>
                </c:pt>
                <c:pt idx="1749">
                  <c:v>87.449999999997175</c:v>
                </c:pt>
                <c:pt idx="1750">
                  <c:v>87.499999999997172</c:v>
                </c:pt>
                <c:pt idx="1751">
                  <c:v>87.549999999997169</c:v>
                </c:pt>
                <c:pt idx="1752">
                  <c:v>87.599999999997166</c:v>
                </c:pt>
                <c:pt idx="1753">
                  <c:v>87.649999999997164</c:v>
                </c:pt>
                <c:pt idx="1754">
                  <c:v>87.699999999997161</c:v>
                </c:pt>
                <c:pt idx="1755">
                  <c:v>87.749999999997158</c:v>
                </c:pt>
                <c:pt idx="1756">
                  <c:v>87.799999999997155</c:v>
                </c:pt>
                <c:pt idx="1757">
                  <c:v>87.849999999997152</c:v>
                </c:pt>
                <c:pt idx="1758">
                  <c:v>87.899999999997149</c:v>
                </c:pt>
                <c:pt idx="1759">
                  <c:v>87.949999999997146</c:v>
                </c:pt>
                <c:pt idx="1760">
                  <c:v>87.999999999997144</c:v>
                </c:pt>
                <c:pt idx="1761">
                  <c:v>88.049999999997141</c:v>
                </c:pt>
                <c:pt idx="1762">
                  <c:v>88.099999999997138</c:v>
                </c:pt>
                <c:pt idx="1763">
                  <c:v>88.149999999997135</c:v>
                </c:pt>
                <c:pt idx="1764">
                  <c:v>88.199999999997132</c:v>
                </c:pt>
                <c:pt idx="1765">
                  <c:v>88.249999999997129</c:v>
                </c:pt>
                <c:pt idx="1766">
                  <c:v>88.299999999997127</c:v>
                </c:pt>
                <c:pt idx="1767">
                  <c:v>88.349999999997124</c:v>
                </c:pt>
                <c:pt idx="1768">
                  <c:v>88.399999999997121</c:v>
                </c:pt>
                <c:pt idx="1769">
                  <c:v>88.449999999997118</c:v>
                </c:pt>
                <c:pt idx="1770">
                  <c:v>88.499999999997115</c:v>
                </c:pt>
                <c:pt idx="1771">
                  <c:v>88.549999999997112</c:v>
                </c:pt>
                <c:pt idx="1772">
                  <c:v>88.59999999999711</c:v>
                </c:pt>
                <c:pt idx="1773">
                  <c:v>88.649999999997107</c:v>
                </c:pt>
                <c:pt idx="1774">
                  <c:v>88.699999999997104</c:v>
                </c:pt>
                <c:pt idx="1775">
                  <c:v>88.749999999997101</c:v>
                </c:pt>
                <c:pt idx="1776">
                  <c:v>88.799999999997098</c:v>
                </c:pt>
                <c:pt idx="1777">
                  <c:v>88.849999999997095</c:v>
                </c:pt>
                <c:pt idx="1778">
                  <c:v>88.899999999997092</c:v>
                </c:pt>
                <c:pt idx="1779">
                  <c:v>88.94999999999709</c:v>
                </c:pt>
                <c:pt idx="1780">
                  <c:v>88.999999999997087</c:v>
                </c:pt>
                <c:pt idx="1781">
                  <c:v>89.049999999997084</c:v>
                </c:pt>
                <c:pt idx="1782">
                  <c:v>89.099999999997081</c:v>
                </c:pt>
                <c:pt idx="1783">
                  <c:v>89.149999999997078</c:v>
                </c:pt>
                <c:pt idx="1784">
                  <c:v>89.199999999997075</c:v>
                </c:pt>
                <c:pt idx="1785">
                  <c:v>89.249999999997073</c:v>
                </c:pt>
                <c:pt idx="1786">
                  <c:v>89.29999999999707</c:v>
                </c:pt>
                <c:pt idx="1787">
                  <c:v>89.349999999997067</c:v>
                </c:pt>
                <c:pt idx="1788">
                  <c:v>89.399999999997064</c:v>
                </c:pt>
                <c:pt idx="1789">
                  <c:v>89.449999999997061</c:v>
                </c:pt>
                <c:pt idx="1790">
                  <c:v>89.499999999997058</c:v>
                </c:pt>
                <c:pt idx="1791">
                  <c:v>89.549999999997056</c:v>
                </c:pt>
                <c:pt idx="1792">
                  <c:v>89.599999999997053</c:v>
                </c:pt>
                <c:pt idx="1793">
                  <c:v>89.64999999999705</c:v>
                </c:pt>
                <c:pt idx="1794">
                  <c:v>89.699999999997047</c:v>
                </c:pt>
                <c:pt idx="1795">
                  <c:v>89.749999999997044</c:v>
                </c:pt>
                <c:pt idx="1796">
                  <c:v>89.799999999997041</c:v>
                </c:pt>
                <c:pt idx="1797">
                  <c:v>89.849999999997038</c:v>
                </c:pt>
                <c:pt idx="1798">
                  <c:v>89.899999999997036</c:v>
                </c:pt>
                <c:pt idx="1799">
                  <c:v>89.949999999997033</c:v>
                </c:pt>
                <c:pt idx="1800">
                  <c:v>89.99999999999703</c:v>
                </c:pt>
                <c:pt idx="1801">
                  <c:v>90.049999999997027</c:v>
                </c:pt>
                <c:pt idx="1802">
                  <c:v>90.099999999997024</c:v>
                </c:pt>
                <c:pt idx="1803">
                  <c:v>90.149999999997021</c:v>
                </c:pt>
                <c:pt idx="1804">
                  <c:v>90.199999999997019</c:v>
                </c:pt>
                <c:pt idx="1805">
                  <c:v>90.249999999997016</c:v>
                </c:pt>
                <c:pt idx="1806">
                  <c:v>90.299999999997013</c:v>
                </c:pt>
                <c:pt idx="1807">
                  <c:v>90.34999999999701</c:v>
                </c:pt>
                <c:pt idx="1808">
                  <c:v>90.399999999997007</c:v>
                </c:pt>
                <c:pt idx="1809">
                  <c:v>90.449999999997004</c:v>
                </c:pt>
                <c:pt idx="1810">
                  <c:v>90.499999999997002</c:v>
                </c:pt>
                <c:pt idx="1811">
                  <c:v>90.549999999996999</c:v>
                </c:pt>
                <c:pt idx="1812">
                  <c:v>90.599999999996996</c:v>
                </c:pt>
                <c:pt idx="1813">
                  <c:v>90.649999999996993</c:v>
                </c:pt>
                <c:pt idx="1814">
                  <c:v>90.69999999999699</c:v>
                </c:pt>
                <c:pt idx="1815">
                  <c:v>90.749999999996987</c:v>
                </c:pt>
                <c:pt idx="1816">
                  <c:v>90.799999999996984</c:v>
                </c:pt>
                <c:pt idx="1817">
                  <c:v>90.849999999996982</c:v>
                </c:pt>
                <c:pt idx="1818">
                  <c:v>90.899999999996979</c:v>
                </c:pt>
                <c:pt idx="1819">
                  <c:v>90.949999999996976</c:v>
                </c:pt>
                <c:pt idx="1820">
                  <c:v>90.999999999996973</c:v>
                </c:pt>
                <c:pt idx="1821">
                  <c:v>91.04999999999697</c:v>
                </c:pt>
                <c:pt idx="1822">
                  <c:v>91.099999999996967</c:v>
                </c:pt>
                <c:pt idx="1823">
                  <c:v>91.149999999996965</c:v>
                </c:pt>
                <c:pt idx="1824">
                  <c:v>91.199999999996962</c:v>
                </c:pt>
                <c:pt idx="1825">
                  <c:v>91.249999999996959</c:v>
                </c:pt>
                <c:pt idx="1826">
                  <c:v>91.299999999996956</c:v>
                </c:pt>
                <c:pt idx="1827">
                  <c:v>91.349999999996953</c:v>
                </c:pt>
                <c:pt idx="1828">
                  <c:v>91.39999999999695</c:v>
                </c:pt>
                <c:pt idx="1829">
                  <c:v>91.449999999996948</c:v>
                </c:pt>
                <c:pt idx="1830">
                  <c:v>91.499999999996945</c:v>
                </c:pt>
                <c:pt idx="1831">
                  <c:v>91.549999999996942</c:v>
                </c:pt>
                <c:pt idx="1832">
                  <c:v>91.599999999996939</c:v>
                </c:pt>
                <c:pt idx="1833">
                  <c:v>91.649999999996936</c:v>
                </c:pt>
                <c:pt idx="1834">
                  <c:v>91.699999999996933</c:v>
                </c:pt>
                <c:pt idx="1835">
                  <c:v>91.74999999999693</c:v>
                </c:pt>
                <c:pt idx="1836">
                  <c:v>91.799999999996928</c:v>
                </c:pt>
                <c:pt idx="1837">
                  <c:v>91.849999999996925</c:v>
                </c:pt>
                <c:pt idx="1838">
                  <c:v>91.899999999996922</c:v>
                </c:pt>
                <c:pt idx="1839">
                  <c:v>91.949999999996919</c:v>
                </c:pt>
                <c:pt idx="1840">
                  <c:v>91.999999999996916</c:v>
                </c:pt>
                <c:pt idx="1841">
                  <c:v>92.049999999996913</c:v>
                </c:pt>
                <c:pt idx="1842">
                  <c:v>92.099999999996911</c:v>
                </c:pt>
                <c:pt idx="1843">
                  <c:v>92.149999999996908</c:v>
                </c:pt>
                <c:pt idx="1844">
                  <c:v>92.199999999996905</c:v>
                </c:pt>
                <c:pt idx="1845">
                  <c:v>92.249999999996902</c:v>
                </c:pt>
                <c:pt idx="1846">
                  <c:v>92.299999999996899</c:v>
                </c:pt>
                <c:pt idx="1847">
                  <c:v>92.349999999996896</c:v>
                </c:pt>
                <c:pt idx="1848">
                  <c:v>92.399999999996894</c:v>
                </c:pt>
                <c:pt idx="1849">
                  <c:v>92.449999999996891</c:v>
                </c:pt>
                <c:pt idx="1850">
                  <c:v>92.499999999996888</c:v>
                </c:pt>
                <c:pt idx="1851">
                  <c:v>92.549999999996885</c:v>
                </c:pt>
                <c:pt idx="1852">
                  <c:v>92.599999999996882</c:v>
                </c:pt>
                <c:pt idx="1853">
                  <c:v>92.649999999996879</c:v>
                </c:pt>
                <c:pt idx="1854">
                  <c:v>92.699999999996876</c:v>
                </c:pt>
                <c:pt idx="1855">
                  <c:v>92.749999999996874</c:v>
                </c:pt>
                <c:pt idx="1856">
                  <c:v>92.799999999996871</c:v>
                </c:pt>
                <c:pt idx="1857">
                  <c:v>92.849999999996868</c:v>
                </c:pt>
                <c:pt idx="1858">
                  <c:v>92.899999999996865</c:v>
                </c:pt>
                <c:pt idx="1859">
                  <c:v>92.949999999996862</c:v>
                </c:pt>
                <c:pt idx="1860">
                  <c:v>92.999999999996859</c:v>
                </c:pt>
                <c:pt idx="1861">
                  <c:v>93.049999999996857</c:v>
                </c:pt>
                <c:pt idx="1862">
                  <c:v>93.099999999996854</c:v>
                </c:pt>
                <c:pt idx="1863">
                  <c:v>93.149999999996851</c:v>
                </c:pt>
                <c:pt idx="1864">
                  <c:v>93.199999999996848</c:v>
                </c:pt>
                <c:pt idx="1865">
                  <c:v>93.249999999996845</c:v>
                </c:pt>
                <c:pt idx="1866">
                  <c:v>93.299999999996842</c:v>
                </c:pt>
                <c:pt idx="1867">
                  <c:v>93.34999999999684</c:v>
                </c:pt>
                <c:pt idx="1868">
                  <c:v>93.399999999996837</c:v>
                </c:pt>
                <c:pt idx="1869">
                  <c:v>93.449999999996834</c:v>
                </c:pt>
                <c:pt idx="1870">
                  <c:v>93.499999999996831</c:v>
                </c:pt>
                <c:pt idx="1871">
                  <c:v>93.549999999996828</c:v>
                </c:pt>
                <c:pt idx="1872">
                  <c:v>93.599999999996825</c:v>
                </c:pt>
                <c:pt idx="1873">
                  <c:v>93.649999999996822</c:v>
                </c:pt>
                <c:pt idx="1874">
                  <c:v>93.69999999999682</c:v>
                </c:pt>
                <c:pt idx="1875">
                  <c:v>93.749999999996817</c:v>
                </c:pt>
                <c:pt idx="1876">
                  <c:v>93.799999999996814</c:v>
                </c:pt>
                <c:pt idx="1877">
                  <c:v>93.849999999996811</c:v>
                </c:pt>
                <c:pt idx="1878">
                  <c:v>93.899999999996808</c:v>
                </c:pt>
                <c:pt idx="1879">
                  <c:v>93.949999999996805</c:v>
                </c:pt>
                <c:pt idx="1880">
                  <c:v>93.999999999996803</c:v>
                </c:pt>
                <c:pt idx="1881">
                  <c:v>94.0499999999968</c:v>
                </c:pt>
                <c:pt idx="1882">
                  <c:v>94.099999999996797</c:v>
                </c:pt>
                <c:pt idx="1883">
                  <c:v>94.149999999996794</c:v>
                </c:pt>
                <c:pt idx="1884">
                  <c:v>94.199999999996791</c:v>
                </c:pt>
                <c:pt idx="1885">
                  <c:v>94.249999999996788</c:v>
                </c:pt>
                <c:pt idx="1886">
                  <c:v>94.299999999996786</c:v>
                </c:pt>
                <c:pt idx="1887">
                  <c:v>94.349999999996783</c:v>
                </c:pt>
                <c:pt idx="1888">
                  <c:v>94.39999999999678</c:v>
                </c:pt>
                <c:pt idx="1889">
                  <c:v>94.449999999996777</c:v>
                </c:pt>
                <c:pt idx="1890">
                  <c:v>94.499999999996774</c:v>
                </c:pt>
                <c:pt idx="1891">
                  <c:v>94.549999999996771</c:v>
                </c:pt>
                <c:pt idx="1892">
                  <c:v>94.599999999996768</c:v>
                </c:pt>
                <c:pt idx="1893">
                  <c:v>94.649999999996766</c:v>
                </c:pt>
                <c:pt idx="1894">
                  <c:v>94.699999999996763</c:v>
                </c:pt>
                <c:pt idx="1895">
                  <c:v>94.74999999999676</c:v>
                </c:pt>
                <c:pt idx="1896">
                  <c:v>94.799999999996757</c:v>
                </c:pt>
                <c:pt idx="1897">
                  <c:v>94.849999999996754</c:v>
                </c:pt>
                <c:pt idx="1898">
                  <c:v>94.899999999996751</c:v>
                </c:pt>
                <c:pt idx="1899">
                  <c:v>94.949999999996749</c:v>
                </c:pt>
                <c:pt idx="1900">
                  <c:v>94.999999999996746</c:v>
                </c:pt>
                <c:pt idx="1901">
                  <c:v>95.049999999996743</c:v>
                </c:pt>
                <c:pt idx="1902">
                  <c:v>95.09999999999674</c:v>
                </c:pt>
                <c:pt idx="1903">
                  <c:v>95.149999999996737</c:v>
                </c:pt>
                <c:pt idx="1904">
                  <c:v>95.199999999996734</c:v>
                </c:pt>
                <c:pt idx="1905">
                  <c:v>95.249999999996732</c:v>
                </c:pt>
                <c:pt idx="1906">
                  <c:v>95.299999999996729</c:v>
                </c:pt>
                <c:pt idx="1907">
                  <c:v>95.349999999996726</c:v>
                </c:pt>
                <c:pt idx="1908">
                  <c:v>95.399999999996723</c:v>
                </c:pt>
                <c:pt idx="1909">
                  <c:v>95.44999999999672</c:v>
                </c:pt>
                <c:pt idx="1910">
                  <c:v>95.499999999996717</c:v>
                </c:pt>
                <c:pt idx="1911">
                  <c:v>95.549999999996714</c:v>
                </c:pt>
                <c:pt idx="1912">
                  <c:v>95.599999999996712</c:v>
                </c:pt>
                <c:pt idx="1913">
                  <c:v>95.649999999996709</c:v>
                </c:pt>
                <c:pt idx="1914">
                  <c:v>95.699999999996706</c:v>
                </c:pt>
                <c:pt idx="1915">
                  <c:v>95.749999999996703</c:v>
                </c:pt>
                <c:pt idx="1916">
                  <c:v>95.7999999999967</c:v>
                </c:pt>
                <c:pt idx="1917">
                  <c:v>95.849999999996697</c:v>
                </c:pt>
                <c:pt idx="1918">
                  <c:v>95.899999999996695</c:v>
                </c:pt>
                <c:pt idx="1919">
                  <c:v>95.949999999996692</c:v>
                </c:pt>
                <c:pt idx="1920">
                  <c:v>95.999999999996689</c:v>
                </c:pt>
                <c:pt idx="1921">
                  <c:v>96.049999999996686</c:v>
                </c:pt>
                <c:pt idx="1922">
                  <c:v>96.099999999996683</c:v>
                </c:pt>
                <c:pt idx="1923">
                  <c:v>96.14999999999668</c:v>
                </c:pt>
                <c:pt idx="1924">
                  <c:v>96.199999999996678</c:v>
                </c:pt>
                <c:pt idx="1925">
                  <c:v>96.249999999996675</c:v>
                </c:pt>
                <c:pt idx="1926">
                  <c:v>96.299999999996672</c:v>
                </c:pt>
                <c:pt idx="1927">
                  <c:v>96.349999999996669</c:v>
                </c:pt>
                <c:pt idx="1928">
                  <c:v>96.399999999996666</c:v>
                </c:pt>
                <c:pt idx="1929">
                  <c:v>96.449999999996663</c:v>
                </c:pt>
                <c:pt idx="1930">
                  <c:v>96.49999999999666</c:v>
                </c:pt>
                <c:pt idx="1931">
                  <c:v>96.549999999996658</c:v>
                </c:pt>
                <c:pt idx="1932">
                  <c:v>96.599999999996655</c:v>
                </c:pt>
                <c:pt idx="1933">
                  <c:v>96.649999999996652</c:v>
                </c:pt>
                <c:pt idx="1934">
                  <c:v>96.699999999996649</c:v>
                </c:pt>
                <c:pt idx="1935">
                  <c:v>96.749999999996646</c:v>
                </c:pt>
                <c:pt idx="1936">
                  <c:v>96.799999999996643</c:v>
                </c:pt>
                <c:pt idx="1937">
                  <c:v>96.849999999996641</c:v>
                </c:pt>
                <c:pt idx="1938">
                  <c:v>96.899999999996638</c:v>
                </c:pt>
                <c:pt idx="1939">
                  <c:v>96.949999999996635</c:v>
                </c:pt>
                <c:pt idx="1940">
                  <c:v>96.999999999996632</c:v>
                </c:pt>
                <c:pt idx="1941">
                  <c:v>97.049999999996629</c:v>
                </c:pt>
                <c:pt idx="1942">
                  <c:v>97.099999999996626</c:v>
                </c:pt>
                <c:pt idx="1943">
                  <c:v>97.149999999996624</c:v>
                </c:pt>
                <c:pt idx="1944">
                  <c:v>97.199999999996621</c:v>
                </c:pt>
                <c:pt idx="1945">
                  <c:v>97.249999999996618</c:v>
                </c:pt>
                <c:pt idx="1946">
                  <c:v>97.299999999996615</c:v>
                </c:pt>
                <c:pt idx="1947">
                  <c:v>97.349999999996612</c:v>
                </c:pt>
                <c:pt idx="1948">
                  <c:v>97.399999999996609</c:v>
                </c:pt>
                <c:pt idx="1949">
                  <c:v>97.449999999996606</c:v>
                </c:pt>
                <c:pt idx="1950">
                  <c:v>97.499999999996604</c:v>
                </c:pt>
                <c:pt idx="1951">
                  <c:v>97.549999999996601</c:v>
                </c:pt>
                <c:pt idx="1952">
                  <c:v>97.599999999996598</c:v>
                </c:pt>
                <c:pt idx="1953">
                  <c:v>97.649999999996595</c:v>
                </c:pt>
                <c:pt idx="1954">
                  <c:v>97.699999999996592</c:v>
                </c:pt>
                <c:pt idx="1955">
                  <c:v>97.749999999996589</c:v>
                </c:pt>
                <c:pt idx="1956">
                  <c:v>97.799999999996587</c:v>
                </c:pt>
                <c:pt idx="1957">
                  <c:v>97.849999999996584</c:v>
                </c:pt>
                <c:pt idx="1958">
                  <c:v>97.899999999996581</c:v>
                </c:pt>
                <c:pt idx="1959">
                  <c:v>97.949999999996578</c:v>
                </c:pt>
                <c:pt idx="1960">
                  <c:v>97.999999999996575</c:v>
                </c:pt>
                <c:pt idx="1961">
                  <c:v>98.049999999996572</c:v>
                </c:pt>
                <c:pt idx="1962">
                  <c:v>98.099999999996569</c:v>
                </c:pt>
                <c:pt idx="1963">
                  <c:v>98.149999999996567</c:v>
                </c:pt>
                <c:pt idx="1964">
                  <c:v>98.199999999996564</c:v>
                </c:pt>
                <c:pt idx="1965">
                  <c:v>98.249999999996561</c:v>
                </c:pt>
                <c:pt idx="1966">
                  <c:v>98.299999999996558</c:v>
                </c:pt>
                <c:pt idx="1967">
                  <c:v>98.349999999996555</c:v>
                </c:pt>
                <c:pt idx="1968">
                  <c:v>98.399999999996552</c:v>
                </c:pt>
                <c:pt idx="1969">
                  <c:v>98.44999999999655</c:v>
                </c:pt>
                <c:pt idx="1970">
                  <c:v>98.499999999996547</c:v>
                </c:pt>
                <c:pt idx="1971">
                  <c:v>98.549999999996544</c:v>
                </c:pt>
                <c:pt idx="1972">
                  <c:v>98.599999999996541</c:v>
                </c:pt>
                <c:pt idx="1973">
                  <c:v>98.649999999996538</c:v>
                </c:pt>
                <c:pt idx="1974">
                  <c:v>98.699999999996535</c:v>
                </c:pt>
                <c:pt idx="1975">
                  <c:v>98.749999999996533</c:v>
                </c:pt>
                <c:pt idx="1976">
                  <c:v>98.79999999999653</c:v>
                </c:pt>
                <c:pt idx="1977">
                  <c:v>98.849999999996527</c:v>
                </c:pt>
                <c:pt idx="1978">
                  <c:v>98.899999999996524</c:v>
                </c:pt>
                <c:pt idx="1979">
                  <c:v>98.949999999996521</c:v>
                </c:pt>
                <c:pt idx="1980">
                  <c:v>98.999999999996518</c:v>
                </c:pt>
                <c:pt idx="1981">
                  <c:v>99.049999999996515</c:v>
                </c:pt>
                <c:pt idx="1982">
                  <c:v>99.099999999996513</c:v>
                </c:pt>
                <c:pt idx="1983">
                  <c:v>99.14999999999651</c:v>
                </c:pt>
                <c:pt idx="1984">
                  <c:v>99.199999999996507</c:v>
                </c:pt>
                <c:pt idx="1985">
                  <c:v>99.249999999996504</c:v>
                </c:pt>
                <c:pt idx="1986">
                  <c:v>99.299999999996501</c:v>
                </c:pt>
                <c:pt idx="1987">
                  <c:v>99.349999999996498</c:v>
                </c:pt>
                <c:pt idx="1988">
                  <c:v>99.399999999996496</c:v>
                </c:pt>
                <c:pt idx="1989">
                  <c:v>99.449999999996493</c:v>
                </c:pt>
                <c:pt idx="1990">
                  <c:v>99.49999999999649</c:v>
                </c:pt>
                <c:pt idx="1991">
                  <c:v>99.549999999996487</c:v>
                </c:pt>
                <c:pt idx="1992">
                  <c:v>99.599999999996484</c:v>
                </c:pt>
                <c:pt idx="1993">
                  <c:v>99.649999999996481</c:v>
                </c:pt>
                <c:pt idx="1994">
                  <c:v>99.699999999996479</c:v>
                </c:pt>
                <c:pt idx="1995">
                  <c:v>99.749999999996476</c:v>
                </c:pt>
                <c:pt idx="1996">
                  <c:v>99.799999999996473</c:v>
                </c:pt>
                <c:pt idx="1997">
                  <c:v>99.84999999999647</c:v>
                </c:pt>
                <c:pt idx="1998">
                  <c:v>99.899999999996467</c:v>
                </c:pt>
                <c:pt idx="1999">
                  <c:v>99.949999999996464</c:v>
                </c:pt>
                <c:pt idx="2000">
                  <c:v>99.999999999996461</c:v>
                </c:pt>
              </c:numCache>
            </c:numRef>
          </c:xVal>
          <c:yVal>
            <c:numRef>
              <c:f>'Solução Exata'!$B$8:$B$2008</c:f>
              <c:numCache>
                <c:formatCode>0.00</c:formatCode>
                <c:ptCount val="2001"/>
                <c:pt idx="0">
                  <c:v>0</c:v>
                </c:pt>
                <c:pt idx="1">
                  <c:v>3.8939070406224241E-5</c:v>
                </c:pt>
                <c:pt idx="2">
                  <c:v>3.106370815098014E-4</c:v>
                </c:pt>
                <c:pt idx="3">
                  <c:v>1.0434887656500802E-3</c:v>
                </c:pt>
                <c:pt idx="4">
                  <c:v>2.4572218685574576E-3</c:v>
                </c:pt>
                <c:pt idx="5">
                  <c:v>4.7587164616770261E-3</c:v>
                </c:pt>
                <c:pt idx="6">
                  <c:v>8.1380054753097397E-3</c:v>
                </c:pt>
                <c:pt idx="7">
                  <c:v>1.2764513310004277E-2</c:v>
                </c:pt>
                <c:pt idx="8">
                  <c:v>1.8783586394993446E-2</c:v>
                </c:pt>
                <c:pt idx="9">
                  <c:v>2.6313365893183116E-2</c:v>
                </c:pt>
                <c:pt idx="10">
                  <c:v>3.5442048445522012E-2</c:v>
                </c:pt>
                <c:pt idx="11">
                  <c:v>4.6225575954291998E-2</c:v>
                </c:pt>
                <c:pt idx="12">
                  <c:v>5.8685789982747094E-2</c:v>
                </c:pt>
                <c:pt idx="13">
                  <c:v>7.280908046168455E-2</c:v>
                </c:pt>
                <c:pt idx="14">
                  <c:v>8.8545552111675141E-2</c:v>
                </c:pt>
                <c:pt idx="15">
                  <c:v>0.10580872538729302</c:v>
                </c:pt>
                <c:pt idx="16">
                  <c:v>0.1244757819052611</c:v>
                </c:pt>
                <c:pt idx="17">
                  <c:v>0.1443883573134952</c:v>
                </c:pt>
                <c:pt idx="18">
                  <c:v>0.16535387747623909</c:v>
                </c:pt>
                <c:pt idx="19">
                  <c:v>0.18714742677671437</c:v>
                </c:pt>
                <c:pt idx="20">
                  <c:v>0.20951413035802657</c:v>
                </c:pt>
                <c:pt idx="21">
                  <c:v>0.23217202531973324</c:v>
                </c:pt>
                <c:pt idx="22">
                  <c:v>0.25481538934409542</c:v>
                </c:pt>
                <c:pt idx="23">
                  <c:v>0.27711848902247183</c:v>
                </c:pt>
                <c:pt idx="24">
                  <c:v>0.29873970436479169</c:v>
                </c:pt>
                <c:pt idx="25">
                  <c:v>0.31932598067540519</c:v>
                </c:pt>
                <c:pt idx="26">
                  <c:v>0.33851755423318197</c:v>
                </c:pt>
                <c:pt idx="27">
                  <c:v>0.35595289408293174</c:v>
                </c:pt>
                <c:pt idx="28">
                  <c:v>0.37127379878240463</c:v>
                </c:pt>
                <c:pt idx="29">
                  <c:v>0.38413058420041202</c:v>
                </c:pt>
                <c:pt idx="30">
                  <c:v>0.39418729646483747</c:v>
                </c:pt>
                <c:pt idx="31">
                  <c:v>0.40112688294403037</c:v>
                </c:pt>
                <c:pt idx="32">
                  <c:v>0.40465625373180508</c:v>
                </c:pt>
                <c:pt idx="33">
                  <c:v>0.40451116650643892</c:v>
                </c:pt>
                <c:pt idx="34">
                  <c:v>0.40046086884973764</c:v>
                </c:pt>
                <c:pt idx="35">
                  <c:v>0.39231243413607159</c:v>
                </c:pt>
                <c:pt idx="36">
                  <c:v>0.37991472991654923</c:v>
                </c:pt>
                <c:pt idx="37">
                  <c:v>0.36316196130421774</c:v>
                </c:pt>
                <c:pt idx="38">
                  <c:v>0.34199673617737747</c:v>
                </c:pt>
                <c:pt idx="39">
                  <c:v>0.31641260401613436</c:v>
                </c:pt>
                <c:pt idx="40">
                  <c:v>0.28645602582031526</c:v>
                </c:pt>
                <c:pt idx="41">
                  <c:v>0.25222773876530225</c:v>
                </c:pt>
                <c:pt idx="42">
                  <c:v>0.2138834859695713</c:v>
                </c:pt>
                <c:pt idx="43">
                  <c:v>0.17163408890078791</c:v>
                </c:pt>
                <c:pt idx="44">
                  <c:v>0.12574484745766412</c:v>
                </c:pt>
                <c:pt idx="45">
                  <c:v>7.6534260549146582E-2</c:v>
                </c:pt>
                <c:pt idx="46">
                  <c:v>2.4372067963753352E-2</c:v>
                </c:pt>
                <c:pt idx="47">
                  <c:v>-3.032337760991699E-2</c:v>
                </c:pt>
                <c:pt idx="48">
                  <c:v>-8.7088391477281535E-2</c:v>
                </c:pt>
                <c:pt idx="49">
                  <c:v>-0.14541786582665073</c:v>
                </c:pt>
                <c:pt idx="50">
                  <c:v>-0.20476977388779516</c:v>
                </c:pt>
                <c:pt idx="51">
                  <c:v>-0.26457022910139028</c:v>
                </c:pt>
                <c:pt idx="52">
                  <c:v>-0.32421905186762645</c:v>
                </c:pt>
                <c:pt idx="53">
                  <c:v>-0.3830957897159899</c:v>
                </c:pt>
                <c:pt idx="54">
                  <c:v>-0.44056613054029903</c:v>
                </c:pt>
                <c:pt idx="55">
                  <c:v>-0.49598864295000067</c:v>
                </c:pt>
                <c:pt idx="56">
                  <c:v>-0.54872177287091772</c:v>
                </c:pt>
                <c:pt idx="57">
                  <c:v>-0.59813102134972396</c:v>
                </c:pt>
                <c:pt idx="58">
                  <c:v>-0.64359622513220993</c:v>
                </c:pt>
                <c:pt idx="59">
                  <c:v>-0.68451885904355547</c:v>
                </c:pt>
                <c:pt idx="60">
                  <c:v>-0.72032927753796661</c:v>
                </c:pt>
                <c:pt idx="61">
                  <c:v>-0.75049381203427978</c:v>
                </c:pt>
                <c:pt idx="62">
                  <c:v>-0.77452164083308883</c:v>
                </c:pt>
                <c:pt idx="63">
                  <c:v>-0.7919713495285402</c:v>
                </c:pt>
                <c:pt idx="64">
                  <c:v>-0.80245710188345876</c:v>
                </c:pt>
                <c:pt idx="65">
                  <c:v>-0.80565434411807146</c:v>
                </c:pt>
                <c:pt idx="66">
                  <c:v>-0.80130496944882001</c:v>
                </c:pt>
                <c:pt idx="67">
                  <c:v>-0.78922187447219283</c:v>
                </c:pt>
                <c:pt idx="68">
                  <c:v>-0.769292844577528</c:v>
                </c:pt>
                <c:pt idx="69">
                  <c:v>-0.74148371194038143</c:v>
                </c:pt>
                <c:pt idx="70">
                  <c:v>-0.70584073673403369</c:v>
                </c:pt>
                <c:pt idx="71">
                  <c:v>-0.66249216993141813</c:v>
                </c:pt>
                <c:pt idx="72">
                  <c:v>-0.61164896437649685</c:v>
                </c:pt>
                <c:pt idx="73">
                  <c:v>-0.55360460959852853</c:v>
                </c:pt>
                <c:pt idx="74">
                  <c:v>-0.48873407503444133</c:v>
                </c:pt>
                <c:pt idx="75">
                  <c:v>-0.41749185581815818</c:v>
                </c:pt>
                <c:pt idx="76">
                  <c:v>-0.34040912499093579</c:v>
                </c:pt>
                <c:pt idx="77">
                  <c:v>-0.25809000578070185</c:v>
                </c:pt>
                <c:pt idx="78">
                  <c:v>-0.1712069873852069</c:v>
                </c:pt>
                <c:pt idx="79">
                  <c:v>-8.0495517367425773E-2</c:v>
                </c:pt>
                <c:pt idx="80">
                  <c:v>1.3252186774714625E-2</c:v>
                </c:pt>
                <c:pt idx="81">
                  <c:v>0.1091940551733801</c:v>
                </c:pt>
                <c:pt idx="82">
                  <c:v>0.20644575189888914</c:v>
                </c:pt>
                <c:pt idx="83">
                  <c:v>0.30408886144512692</c:v>
                </c:pt>
                <c:pt idx="84">
                  <c:v>0.40117959927473201</c:v>
                </c:pt>
                <c:pt idx="85">
                  <c:v>0.49675796346531342</c:v>
                </c:pt>
                <c:pt idx="86">
                  <c:v>0.58985723845016103</c:v>
                </c:pt>
                <c:pt idx="87">
                  <c:v>0.67951375666710168</c:v>
                </c:pt>
                <c:pt idx="88">
                  <c:v>0.76477681968371125</c:v>
                </c:pt>
                <c:pt idx="89">
                  <c:v>0.84471867711296345</c:v>
                </c:pt>
                <c:pt idx="90">
                  <c:v>0.91844445941764841</c:v>
                </c:pt>
                <c:pt idx="91">
                  <c:v>0.98510195956100244</c:v>
                </c:pt>
                <c:pt idx="92">
                  <c:v>1.0438911584202697</c:v>
                </c:pt>
                <c:pt idx="93">
                  <c:v>1.09407338995352</c:v>
                </c:pt>
                <c:pt idx="94">
                  <c:v>1.1349800443000049</c:v>
                </c:pt>
                <c:pt idx="95">
                  <c:v>1.1660207102913116</c:v>
                </c:pt>
                <c:pt idx="96">
                  <c:v>1.1866906632329746</c:v>
                </c:pt>
                <c:pt idx="97">
                  <c:v>1.1965776092511455</c:v>
                </c:pt>
                <c:pt idx="98">
                  <c:v>1.195367603941448</c:v>
                </c:pt>
                <c:pt idx="99">
                  <c:v>1.182850070451767</c:v>
                </c:pt>
                <c:pt idx="100">
                  <c:v>1.1589218504110361</c:v>
                </c:pt>
                <c:pt idx="101">
                  <c:v>1.1235902302053409</c:v>
                </c:pt>
                <c:pt idx="102">
                  <c:v>1.0769748949154854</c:v>
                </c:pt>
                <c:pt idx="103">
                  <c:v>1.0193087726718075</c:v>
                </c:pt>
                <c:pt idx="104">
                  <c:v>0.95093774315099211</c:v>
                </c:pt>
                <c:pt idx="105">
                  <c:v>0.87231919532683211</c:v>
                </c:pt>
                <c:pt idx="106">
                  <c:v>0.78401943127872031</c:v>
                </c:pt>
                <c:pt idx="107">
                  <c:v>0.68670992473917924</c:v>
                </c:pt>
                <c:pt idx="108">
                  <c:v>0.58116245500363606</c:v>
                </c:pt>
                <c:pt idx="109">
                  <c:v>0.46824314870778516</c:v>
                </c:pt>
                <c:pt idx="110">
                  <c:v>0.34890547367637637</c:v>
                </c:pt>
                <c:pt idx="111">
                  <c:v>0.22418224043790902</c:v>
                </c:pt>
                <c:pt idx="112">
                  <c:v>9.5176677961072764E-2</c:v>
                </c:pt>
                <c:pt idx="113">
                  <c:v>-3.6947339418240244E-2</c:v>
                </c:pt>
                <c:pt idx="114">
                  <c:v>-0.17097582715980142</c:v>
                </c:pt>
                <c:pt idx="115">
                  <c:v>-0.30565589207240662</c:v>
                </c:pt>
                <c:pt idx="116">
                  <c:v>-0.43970749645118401</c:v>
                </c:pt>
                <c:pt idx="117">
                  <c:v>-0.57183567385128264</c:v>
                </c:pt>
                <c:pt idx="118">
                  <c:v>-0.70074307946029224</c:v>
                </c:pt>
                <c:pt idx="119">
                  <c:v>-0.82514275306713691</c:v>
                </c:pt>
                <c:pt idx="120">
                  <c:v>-0.94377096884994893</c:v>
                </c:pt>
                <c:pt idx="121">
                  <c:v>-1.0554000436715891</c:v>
                </c:pt>
                <c:pt idx="122">
                  <c:v>-1.1588509743190185</c:v>
                </c:pt>
                <c:pt idx="123">
                  <c:v>-1.2530057741787168</c:v>
                </c:pt>
                <c:pt idx="124">
                  <c:v>-1.3368193812186513</c:v>
                </c:pt>
                <c:pt idx="125">
                  <c:v>-1.4093310118483453</c:v>
                </c:pt>
                <c:pt idx="126">
                  <c:v>-1.4696748392393588</c:v>
                </c:pt>
                <c:pt idx="127">
                  <c:v>-1.5170898799820096</c:v>
                </c:pt>
                <c:pt idx="128">
                  <c:v>-1.5509289794905237</c:v>
                </c:pt>
                <c:pt idx="129">
                  <c:v>-1.5706667942944739</c:v>
                </c:pt>
                <c:pt idx="130">
                  <c:v>-1.575906678203618</c:v>
                </c:pt>
                <c:pt idx="131">
                  <c:v>-1.5663863892275669</c:v>
                </c:pt>
                <c:pt idx="132">
                  <c:v>-1.5419825449818698</c:v>
                </c:pt>
                <c:pt idx="133">
                  <c:v>-1.5027137660174821</c:v>
                </c:pt>
                <c:pt idx="134">
                  <c:v>-1.448742458961588</c:v>
                </c:pt>
                <c:pt idx="135">
                  <c:v>-1.3803752044353097</c:v>
                </c:pt>
                <c:pt idx="136">
                  <c:v>-1.2980617282922016</c:v>
                </c:pt>
                <c:pt idx="137">
                  <c:v>-1.2023924486677007</c:v>
                </c:pt>
                <c:pt idx="138">
                  <c:v>-1.0940946055067746</c:v>
                </c:pt>
                <c:pt idx="139">
                  <c:v>-0.97402699350323663</c:v>
                </c:pt>
                <c:pt idx="140">
                  <c:v>-0.84317333359647662</c:v>
                </c:pt>
                <c:pt idx="141">
                  <c:v>-0.7026343321854065</c:v>
                </c:pt>
                <c:pt idx="142">
                  <c:v>-0.5536184908913182</c:v>
                </c:pt>
                <c:pt idx="143">
                  <c:v>-0.39743174289003647</c:v>
                </c:pt>
                <c:pt idx="144">
                  <c:v>-0.23546600440086318</c:v>
                </c:pt>
                <c:pt idx="145">
                  <c:v>-6.9186741732835344E-2</c:v>
                </c:pt>
                <c:pt idx="146">
                  <c:v>9.9880334779253177E-2</c:v>
                </c:pt>
                <c:pt idx="147">
                  <c:v>0.27016332868413384</c:v>
                </c:pt>
                <c:pt idx="148">
                  <c:v>0.44005883708086979</c:v>
                </c:pt>
                <c:pt idx="149">
                  <c:v>0.60794711434149873</c:v>
                </c:pt>
                <c:pt idx="150">
                  <c:v>0.77220757587147371</c:v>
                </c:pt>
                <c:pt idx="151">
                  <c:v>0.93123449294688365</c:v>
                </c:pt>
                <c:pt idx="152">
                  <c:v>1.0834527261608389</c:v>
                </c:pt>
                <c:pt idx="153">
                  <c:v>1.2273333429902209</c:v>
                </c:pt>
                <c:pt idx="154">
                  <c:v>1.3614089644926313</c:v>
                </c:pt>
                <c:pt idx="155">
                  <c:v>1.4842886871814118</c:v>
                </c:pt>
                <c:pt idx="156">
                  <c:v>1.594672428708247</c:v>
                </c:pt>
                <c:pt idx="157">
                  <c:v>1.6913645500968328</c:v>
                </c:pt>
                <c:pt idx="158">
                  <c:v>1.7732866128906919</c:v>
                </c:pt>
                <c:pt idx="159">
                  <c:v>1.8394891366612931</c:v>
                </c:pt>
                <c:pt idx="160">
                  <c:v>1.8891622308121969</c:v>
                </c:pt>
                <c:pt idx="161">
                  <c:v>1.9216449844390686</c:v>
                </c:pt>
                <c:pt idx="162">
                  <c:v>1.9364335090786056</c:v>
                </c:pt>
                <c:pt idx="163">
                  <c:v>1.9331875414024995</c:v>
                </c:pt>
                <c:pt idx="164">
                  <c:v>1.9117355261744964</c:v>
                </c:pt>
                <c:pt idx="165">
                  <c:v>1.8720781139663787</c:v>
                </c:pt>
                <c:pt idx="166">
                  <c:v>1.8143900230898271</c:v>
                </c:pt>
                <c:pt idx="167">
                  <c:v>1.7390202308034357</c:v>
                </c:pt>
                <c:pt idx="168">
                  <c:v>1.64649047494865</c:v>
                </c:pt>
                <c:pt idx="169">
                  <c:v>1.5374920635990259</c:v>
                </c:pt>
                <c:pt idx="170">
                  <c:v>1.4128810069142048</c:v>
                </c:pt>
                <c:pt idx="171">
                  <c:v>1.2736715020097382</c:v>
                </c:pt>
                <c:pt idx="172">
                  <c:v>1.1210278181216355</c:v>
                </c:pt>
                <c:pt idx="173">
                  <c:v>0.95625464549584471</c:v>
                </c:pt>
                <c:pt idx="174">
                  <c:v>0.78078598710440805</c:v>
                </c:pt>
                <c:pt idx="175">
                  <c:v>0.59617268732324691</c:v>
                </c:pt>
                <c:pt idx="176">
                  <c:v>0.40406870594588962</c:v>
                </c:pt>
                <c:pt idx="177">
                  <c:v>0.20621625920668163</c:v>
                </c:pt>
                <c:pt idx="178">
                  <c:v>4.4299617050678197E-3</c:v>
                </c:pt>
                <c:pt idx="179">
                  <c:v>-0.19941988586921378</c:v>
                </c:pt>
                <c:pt idx="180">
                  <c:v>-0.40342470863152169</c:v>
                </c:pt>
                <c:pt idx="181">
                  <c:v>-0.60565560619723979</c:v>
                </c:pt>
                <c:pt idx="182">
                  <c:v>-0.80418166864165275</c:v>
                </c:pt>
                <c:pt idx="183">
                  <c:v>-0.99708848508527637</c:v>
                </c:pt>
                <c:pt idx="184">
                  <c:v>-1.1824966668316668</c:v>
                </c:pt>
                <c:pt idx="185">
                  <c:v>-1.3585802052707354</c:v>
                </c:pt>
                <c:pt idx="186">
                  <c:v>-1.5235844847966771</c:v>
                </c:pt>
                <c:pt idx="187">
                  <c:v>-1.6758437727894961</c:v>
                </c:pt>
                <c:pt idx="188">
                  <c:v>-1.8137980122694111</c:v>
                </c:pt>
                <c:pt idx="189">
                  <c:v>-1.9360087481328632</c:v>
                </c:pt>
                <c:pt idx="190">
                  <c:v>-2.0411740248793535</c:v>
                </c:pt>
                <c:pt idx="191">
                  <c:v>-2.1281421023840918</c:v>
                </c:pt>
                <c:pt idx="192">
                  <c:v>-2.1959238464907718</c:v>
                </c:pt>
                <c:pt idx="193">
                  <c:v>-2.2437036629029499</c:v>
                </c:pt>
                <c:pt idx="194">
                  <c:v>-2.2708488559385018</c:v>
                </c:pt>
                <c:pt idx="195">
                  <c:v>-2.2769173080613117</c:v>
                </c:pt>
                <c:pt idx="196">
                  <c:v>-2.2616633915862252</c:v>
                </c:pt>
                <c:pt idx="197">
                  <c:v>-2.2250420404248015</c:v>
                </c:pt>
                <c:pt idx="198">
                  <c:v>-2.1672109270452395</c:v>
                </c:pt>
                <c:pt idx="199">
                  <c:v>-2.0885307077976876</c:v>
                </c:pt>
                <c:pt idx="200">
                  <c:v>-1.9895633182339627</c:v>
                </c:pt>
                <c:pt idx="201">
                  <c:v>-1.8710683188510333</c:v>
                </c:pt>
                <c:pt idx="202">
                  <c:v>-1.7339973106294475</c:v>
                </c:pt>
                <c:pt idx="203">
                  <c:v>-1.5794864586352715</c:v>
                </c:pt>
                <c:pt idx="204">
                  <c:v>-1.4088471806230303</c:v>
                </c:pt>
                <c:pt idx="205">
                  <c:v>-1.2235550758322344</c:v>
                </c:pt>
                <c:pt idx="206">
                  <c:v>-1.0252371868296581</c:v>
                </c:pt>
                <c:pt idx="207">
                  <c:v>-0.81565770413733218</c:v>
                </c:pt>
                <c:pt idx="208">
                  <c:v>-0.59670223933010358</c:v>
                </c:pt>
                <c:pt idx="209">
                  <c:v>-0.37036080712528974</c:v>
                </c:pt>
                <c:pt idx="210">
                  <c:v>-0.13870967056658534</c:v>
                </c:pt>
                <c:pt idx="211">
                  <c:v>9.6107784416557429E-2</c:v>
                </c:pt>
                <c:pt idx="212">
                  <c:v>0.33190096814257042</c:v>
                </c:pt>
                <c:pt idx="213">
                  <c:v>0.56645261406722747</c:v>
                </c:pt>
                <c:pt idx="214">
                  <c:v>0.79753972022892516</c:v>
                </c:pt>
                <c:pt idx="215">
                  <c:v>1.0229547066135787</c:v>
                </c:pt>
                <c:pt idx="216">
                  <c:v>1.2405265862587866</c:v>
                </c:pt>
                <c:pt idx="217">
                  <c:v>1.4481419463120142</c:v>
                </c:pt>
                <c:pt idx="218">
                  <c:v>1.6437655356213943</c:v>
                </c:pt>
                <c:pt idx="219">
                  <c:v>1.8254602577794767</c:v>
                </c:pt>
                <c:pt idx="220">
                  <c:v>1.9914063728508626</c:v>
                </c:pt>
                <c:pt idx="221">
                  <c:v>2.1399197172650473</c:v>
                </c:pt>
                <c:pt idx="222">
                  <c:v>2.2694687594981104</c:v>
                </c:pt>
                <c:pt idx="223">
                  <c:v>2.3786903191342996</c:v>
                </c:pt>
                <c:pt idx="224">
                  <c:v>2.4664037886060703</c:v>
                </c:pt>
                <c:pt idx="225">
                  <c:v>2.5316237102562313</c:v>
                </c:pt>
                <c:pt idx="226">
                  <c:v>2.5735705762290628</c:v>
                </c:pt>
                <c:pt idx="227">
                  <c:v>2.5916797349443064</c:v>
                </c:pt>
                <c:pt idx="228">
                  <c:v>2.5856083053890062</c:v>
                </c:pt>
                <c:pt idx="229">
                  <c:v>2.5552400190158084</c:v>
                </c:pt>
                <c:pt idx="230">
                  <c:v>2.5006879284886754</c:v>
                </c:pt>
                <c:pt idx="231">
                  <c:v>2.4222949426843288</c:v>
                </c:pt>
                <c:pt idx="232">
                  <c:v>2.320632168049535</c:v>
                </c:pt>
                <c:pt idx="233">
                  <c:v>2.1964950574315565</c:v>
                </c:pt>
                <c:pt idx="234">
                  <c:v>2.0508973886408186</c:v>
                </c:pt>
                <c:pt idx="235">
                  <c:v>1.8850631160658062</c:v>
                </c:pt>
                <c:pt idx="236">
                  <c:v>1.7004161594353202</c:v>
                </c:pt>
                <c:pt idx="237">
                  <c:v>1.4985682141100358</c:v>
                </c:pt>
                <c:pt idx="238">
                  <c:v>1.281304686882476</c:v>
                </c:pt>
                <c:pt idx="239">
                  <c:v>1.0505688799792114</c:v>
                </c:pt>
                <c:pt idx="240">
                  <c:v>0.80844456360350936</c:v>
                </c:pt>
                <c:pt idx="241">
                  <c:v>0.5571370937532929</c:v>
                </c:pt>
                <c:pt idx="242">
                  <c:v>0.29895324703260306</c:v>
                </c:pt>
                <c:pt idx="243">
                  <c:v>3.6279957589709033E-2</c:v>
                </c:pt>
                <c:pt idx="244">
                  <c:v>-0.22843784697618896</c:v>
                </c:pt>
                <c:pt idx="245">
                  <c:v>-0.49272010401951349</c:v>
                </c:pt>
                <c:pt idx="246">
                  <c:v>-0.75407495390251345</c:v>
                </c:pt>
                <c:pt idx="247">
                  <c:v>-1.0100223371203834</c:v>
                </c:pt>
                <c:pt idx="248">
                  <c:v>-1.2581176260956797</c:v>
                </c:pt>
                <c:pt idx="249">
                  <c:v>-1.4959750655598045</c:v>
                </c:pt>
                <c:pt idx="250">
                  <c:v>-1.7212907959300954</c:v>
                </c:pt>
                <c:pt idx="251">
                  <c:v>-1.9318652367605398</c:v>
                </c:pt>
                <c:pt idx="252">
                  <c:v>-2.1256246121785507</c:v>
                </c:pt>
                <c:pt idx="253">
                  <c:v>-2.3006414071852874</c:v>
                </c:pt>
                <c:pt idx="254">
                  <c:v>-2.4551535527368338</c:v>
                </c:pt>
                <c:pt idx="255">
                  <c:v>-2.5875821485623733</c:v>
                </c:pt>
                <c:pt idx="256">
                  <c:v>-2.6965475456175021</c:v>
                </c:pt>
                <c:pt idx="257">
                  <c:v>-2.7808836248013096</c:v>
                </c:pt>
                <c:pt idx="258">
                  <c:v>-2.8396501249520973</c:v>
                </c:pt>
                <c:pt idx="259">
                  <c:v>-2.8721428910292248</c:v>
                </c:pt>
                <c:pt idx="260">
                  <c:v>-2.8779019326228727</c:v>
                </c:pt>
                <c:pt idx="261">
                  <c:v>-2.8567172033304811</c:v>
                </c:pt>
                <c:pt idx="262">
                  <c:v>-2.8086320329079033</c:v>
                </c:pt>
                <c:pt idx="263">
                  <c:v>-2.7339441662433543</c:v>
                </c:pt>
                <c:pt idx="264">
                  <c:v>-2.6332043859030945</c:v>
                </c:pt>
                <c:pt idx="265">
                  <c:v>-2.5072127180440398</c:v>
                </c:pt>
                <c:pt idx="266">
                  <c:v>-2.3570122446582462</c:v>
                </c:pt>
                <c:pt idx="267">
                  <c:v>-2.1838805681857463</c:v>
                </c:pt>
                <c:pt idx="268">
                  <c:v>-1.9893189972816028</c:v>
                </c:pt>
                <c:pt idx="269">
                  <c:v>-1.775039544729148</c:v>
                </c:pt>
                <c:pt idx="270">
                  <c:v>-1.5429498499381031</c:v>
                </c:pt>
                <c:pt idx="271">
                  <c:v>-1.2951361589415686</c:v>
                </c:pt>
                <c:pt idx="272">
                  <c:v>-1.0338445141088455</c:v>
                </c:pt>
                <c:pt idx="273">
                  <c:v>-0.76146032372886741</c:v>
                </c:pt>
                <c:pt idx="274">
                  <c:v>-0.48048649801201737</c:v>
                </c:pt>
                <c:pt idx="275">
                  <c:v>-0.19352035274159118</c:v>
                </c:pt>
                <c:pt idx="276">
                  <c:v>9.6770505371148952E-2</c:v>
                </c:pt>
                <c:pt idx="277">
                  <c:v>0.38767308674363554</c:v>
                </c:pt>
                <c:pt idx="278">
                  <c:v>0.67645448678176634</c:v>
                </c:pt>
                <c:pt idx="279">
                  <c:v>0.96038767341108355</c:v>
                </c:pt>
                <c:pt idx="280">
                  <c:v>1.2367773498980741</c:v>
                </c:pt>
                <c:pt idx="281">
                  <c:v>1.5029856466569731</c:v>
                </c:pt>
                <c:pt idx="282">
                  <c:v>1.7564573961687449</c:v>
                </c:pt>
                <c:pt idx="283">
                  <c:v>1.9947447479324645</c:v>
                </c:pt>
                <c:pt idx="284">
                  <c:v>2.2155308855089473</c:v>
                </c:pt>
                <c:pt idx="285">
                  <c:v>2.4166526151633207</c:v>
                </c:pt>
                <c:pt idx="286">
                  <c:v>2.5961216053067178</c:v>
                </c:pt>
                <c:pt idx="287">
                  <c:v>2.7521440677938362</c:v>
                </c:pt>
                <c:pt idx="288">
                  <c:v>2.883138686048909</c:v>
                </c:pt>
                <c:pt idx="289">
                  <c:v>2.987752610842807</c:v>
                </c:pt>
                <c:pt idx="290">
                  <c:v>3.0648753621849023</c:v>
                </c:pt>
                <c:pt idx="291">
                  <c:v>3.1136504950631694</c:v>
                </c:pt>
                <c:pt idx="292">
                  <c:v>3.1334849074867566</c:v>
                </c:pt>
                <c:pt idx="293">
                  <c:v>3.1240556912641209</c:v>
                </c:pt>
                <c:pt idx="294">
                  <c:v>3.0853144489807098</c:v>
                </c:pt>
                <c:pt idx="295">
                  <c:v>3.017489024506812</c:v>
                </c:pt>
                <c:pt idx="296">
                  <c:v>2.9210826188420835</c:v>
                </c:pt>
                <c:pt idx="297">
                  <c:v>2.7968702879564606</c:v>
                </c:pt>
                <c:pt idx="298">
                  <c:v>2.6458928442801875</c:v>
                </c:pt>
                <c:pt idx="299">
                  <c:v>2.4694482083886329</c:v>
                </c:pt>
                <c:pt idx="300">
                  <c:v>2.2690802819819118</c:v>
                </c:pt>
                <c:pt idx="301">
                  <c:v>2.0465654372363873</c:v>
                </c:pt>
                <c:pt idx="302">
                  <c:v>1.8038967407735806</c:v>
                </c:pt>
                <c:pt idx="303">
                  <c:v>1.5432660526252289</c:v>
                </c:pt>
                <c:pt idx="304">
                  <c:v>1.2670441614543759</c:v>
                </c:pt>
                <c:pt idx="305">
                  <c:v>0.97775913671683601</c:v>
                </c:pt>
                <c:pt idx="306">
                  <c:v>0.67807309622129952</c:v>
                </c:pt>
                <c:pt idx="307">
                  <c:v>0.37075760349399733</c:v>
                </c:pt>
                <c:pt idx="308">
                  <c:v>5.8667923313917125E-2</c:v>
                </c:pt>
                <c:pt idx="309">
                  <c:v>-0.25528362438470209</c:v>
                </c:pt>
                <c:pt idx="310">
                  <c:v>-0.56815496246557862</c:v>
                </c:pt>
                <c:pt idx="311">
                  <c:v>-0.87700194939447274</c:v>
                </c:pt>
                <c:pt idx="312">
                  <c:v>-1.1789062050911188</c:v>
                </c:pt>
                <c:pt idx="313">
                  <c:v>-1.4710028057136793</c:v>
                </c:pt>
                <c:pt idx="314">
                  <c:v>-1.7505075834655306</c:v>
                </c:pt>
                <c:pt idx="315">
                  <c:v>-2.0147437702438382</c:v>
                </c:pt>
                <c:pt idx="316">
                  <c:v>-2.2611677291878207</c:v>
                </c:pt>
                <c:pt idx="317">
                  <c:v>-2.487393525890103</c:v>
                </c:pt>
                <c:pt idx="318">
                  <c:v>-2.6912161011430644</c:v>
                </c:pt>
                <c:pt idx="319">
                  <c:v>-2.8706328195153565</c:v>
                </c:pt>
                <c:pt idx="320">
                  <c:v>-3.0238631826811218</c:v>
                </c:pt>
                <c:pt idx="321">
                  <c:v>-3.1493665131239679</c:v>
                </c:pt>
                <c:pt idx="322">
                  <c:v>-3.2458574324566882</c:v>
                </c:pt>
                <c:pt idx="323">
                  <c:v>-3.3123189789647158</c:v>
                </c:pt>
                <c:pt idx="324">
                  <c:v>-3.3480132309072732</c:v>
                </c:pt>
                <c:pt idx="325">
                  <c:v>-3.3524893253908448</c:v>
                </c:pt>
                <c:pt idx="326">
                  <c:v>-3.3255887870463265</c:v>
                </c:pt>
                <c:pt idx="327">
                  <c:v>-3.2674481060644536</c:v>
                </c:pt>
                <c:pt idx="328">
                  <c:v>-3.1784985311342533</c:v>
                </c:pt>
                <c:pt idx="329">
                  <c:v>-3.0594630692395359</c:v>
                </c:pt>
                <c:pt idx="330">
                  <c:v>-2.911350710847894</c:v>
                </c:pt>
                <c:pt idx="331">
                  <c:v>-2.7354479255205382</c:v>
                </c:pt>
                <c:pt idx="332">
                  <c:v>-2.533307499126404</c:v>
                </c:pt>
                <c:pt idx="333">
                  <c:v>-2.3067348094083386</c:v>
                </c:pt>
                <c:pt idx="334">
                  <c:v>-2.0577716613758295</c:v>
                </c:pt>
                <c:pt idx="335">
                  <c:v>-1.7886778276492161</c:v>
                </c:pt>
                <c:pt idx="336">
                  <c:v>-1.5019104612232501</c:v>
                </c:pt>
                <c:pt idx="337">
                  <c:v>-1.2001015689365704</c:v>
                </c:pt>
                <c:pt idx="338">
                  <c:v>-0.88603375302309306</c:v>
                </c:pt>
                <c:pt idx="339">
                  <c:v>-0.56261444529322413</c:v>
                </c:pt>
                <c:pt idx="340">
                  <c:v>-0.23284887357769501</c:v>
                </c:pt>
                <c:pt idx="341">
                  <c:v>0.10018798708767274</c:v>
                </c:pt>
                <c:pt idx="342">
                  <c:v>0.43338021558033579</c:v>
                </c:pt>
                <c:pt idx="343">
                  <c:v>0.76360022715534437</c:v>
                </c:pt>
                <c:pt idx="344">
                  <c:v>1.0877382608576187</c:v>
                </c:pt>
                <c:pt idx="345">
                  <c:v>1.4027317926632308</c:v>
                </c:pt>
                <c:pt idx="346">
                  <c:v>1.7055945949651405</c:v>
                </c:pt>
                <c:pt idx="347">
                  <c:v>1.9934451655179004</c:v>
                </c:pt>
                <c:pt idx="348">
                  <c:v>2.2635342541038064</c:v>
                </c:pt>
                <c:pt idx="349">
                  <c:v>2.5132712229379917</c:v>
                </c:pt>
                <c:pt idx="350">
                  <c:v>2.7402489871264928</c:v>
                </c:pt>
                <c:pt idx="351">
                  <c:v>2.9422672942374297</c:v>
                </c:pt>
                <c:pt idx="352">
                  <c:v>3.1173541171267312</c:v>
                </c:pt>
                <c:pt idx="353">
                  <c:v>3.2637849514391499</c:v>
                </c:pt>
                <c:pt idx="354">
                  <c:v>3.3800998285231856</c:v>
                </c:pt>
                <c:pt idx="355">
                  <c:v>3.4651178756765426</c:v>
                </c:pt>
                <c:pt idx="356">
                  <c:v>3.5179492784794544</c:v>
                </c:pt>
                <c:pt idx="357">
                  <c:v>3.5380045242631457</c:v>
                </c:pt>
                <c:pt idx="358">
                  <c:v>3.5250008312714902</c:v>
                </c:pt>
                <c:pt idx="359">
                  <c:v>3.4789656945655305</c:v>
                </c:pt>
                <c:pt idx="360">
                  <c:v>3.4002375069420676</c:v>
                </c:pt>
                <c:pt idx="361">
                  <c:v>3.2894632408310835</c:v>
                </c:pt>
                <c:pt idx="362">
                  <c:v>3.1475932050393185</c:v>
                </c:pt>
                <c:pt idx="363">
                  <c:v>2.9758729180521346</c:v>
                </c:pt>
                <c:pt idx="364">
                  <c:v>2.7758321671276347</c:v>
                </c:pt>
                <c:pt idx="365">
                  <c:v>2.5492713493512182</c:v>
                </c:pt>
                <c:pt idx="366">
                  <c:v>2.2982452169077283</c:v>
                </c:pt>
                <c:pt idx="367">
                  <c:v>2.0250441738193805</c:v>
                </c:pt>
                <c:pt idx="368">
                  <c:v>1.7321732950503208</c:v>
                </c:pt>
                <c:pt idx="369">
                  <c:v>1.4223292609637956</c:v>
                </c:pt>
                <c:pt idx="370">
                  <c:v>1.0983754204196756</c:v>
                </c:pt>
                <c:pt idx="371">
                  <c:v>0.76331521412122483</c:v>
                </c:pt>
                <c:pt idx="372">
                  <c:v>0.42026420598088671</c:v>
                </c:pt>
                <c:pt idx="373">
                  <c:v>7.2420984114646814E-2</c:v>
                </c:pt>
                <c:pt idx="374">
                  <c:v>-0.27696279554270875</c:v>
                </c:pt>
                <c:pt idx="375">
                  <c:v>-0.6246129411995256</c:v>
                </c:pt>
                <c:pt idx="376">
                  <c:v>-0.96726354479660004</c:v>
                </c:pt>
                <c:pt idx="377">
                  <c:v>-1.301687797854485</c:v>
                </c:pt>
                <c:pt idx="378">
                  <c:v>-1.6247285115557764</c:v>
                </c:pt>
                <c:pt idx="379">
                  <c:v>-1.9333280511644162</c:v>
                </c:pt>
                <c:pt idx="380">
                  <c:v>-2.2245573997747634</c:v>
                </c:pt>
                <c:pt idx="381">
                  <c:v>-2.4956440739979917</c:v>
                </c:pt>
                <c:pt idx="382">
                  <c:v>-2.743998624465938</c:v>
                </c:pt>
                <c:pt idx="383">
                  <c:v>-2.9672394668714102</c:v>
                </c:pt>
                <c:pt idx="384">
                  <c:v>-3.1632158045511396</c:v>
                </c:pt>
                <c:pt idx="385">
                  <c:v>-3.3300284212134406</c:v>
                </c:pt>
                <c:pt idx="386">
                  <c:v>-3.4660481421535438</c:v>
                </c:pt>
                <c:pt idx="387">
                  <c:v>-3.5699317840023714</c:v>
                </c:pt>
                <c:pt idx="388">
                  <c:v>-3.6406354365157592</c:v>
                </c:pt>
                <c:pt idx="389">
                  <c:v>-3.6774249449109502</c:v>
                </c:pt>
                <c:pt idx="390">
                  <c:v>-3.6798834875603088</c:v>
                </c:pt>
                <c:pt idx="391">
                  <c:v>-3.6479161712101256</c:v>
                </c:pt>
                <c:pt idx="392">
                  <c:v>-3.5817515940467626</c:v>
                </c:pt>
                <c:pt idx="393">
                  <c:v>-3.481940355615837</c:v>
                </c:pt>
                <c:pt idx="394">
                  <c:v>-3.3493505215403294</c:v>
                </c:pt>
                <c:pt idx="395">
                  <c:v>-3.1851600799053559</c:v>
                </c:pt>
                <c:pt idx="396">
                  <c:v>-2.9908464548041689</c:v>
                </c:pt>
                <c:pt idx="397">
                  <c:v>-2.7681731705992392</c:v>
                </c:pt>
                <c:pt idx="398">
                  <c:v>-2.5191737876744482</c:v>
                </c:pt>
                <c:pt idx="399">
                  <c:v>-2.2461332565795065</c:v>
                </c:pt>
                <c:pt idx="400">
                  <c:v>-1.95156686224334</c:v>
                </c:pt>
                <c:pt idx="401">
                  <c:v>-1.6381969531216145</c:v>
                </c:pt>
                <c:pt idx="402">
                  <c:v>-1.308927671521037</c:v>
                </c:pt>
                <c:pt idx="403">
                  <c:v>-0.96681792070149908</c:v>
                </c:pt>
                <c:pt idx="404">
                  <c:v>-0.61505282150946483</c:v>
                </c:pt>
                <c:pt idx="405">
                  <c:v>-0.25691392607502644</c:v>
                </c:pt>
                <c:pt idx="406">
                  <c:v>0.10425153163544765</c:v>
                </c:pt>
                <c:pt idx="407">
                  <c:v>0.46506205899854153</c:v>
                </c:pt>
                <c:pt idx="408">
                  <c:v>0.82213370534836594</c:v>
                </c:pt>
                <c:pt idx="409">
                  <c:v>1.1721119396510626</c:v>
                </c:pt>
                <c:pt idx="410">
                  <c:v>1.5117033036352201</c:v>
                </c:pt>
                <c:pt idx="411">
                  <c:v>1.8377065404108477</c:v>
                </c:pt>
                <c:pt idx="412">
                  <c:v>2.1470429031005867</c:v>
                </c:pt>
                <c:pt idx="413">
                  <c:v>2.4367853553148686</c:v>
                </c:pt>
                <c:pt idx="414">
                  <c:v>2.7041863853614201</c:v>
                </c:pt>
                <c:pt idx="415">
                  <c:v>2.9467041687973965</c:v>
                </c:pt>
                <c:pt idx="416">
                  <c:v>3.1620268291931719</c:v>
                </c:pt>
                <c:pt idx="417">
                  <c:v>3.3480945646375937</c:v>
                </c:pt>
                <c:pt idx="418">
                  <c:v>3.5031194274115993</c:v>
                </c:pt>
                <c:pt idx="419">
                  <c:v>3.6256025662034026</c:v>
                </c:pt>
                <c:pt idx="420">
                  <c:v>3.7143487640285566</c:v>
                </c:pt>
                <c:pt idx="421">
                  <c:v>3.7684781304274209</c:v>
                </c:pt>
                <c:pt idx="422">
                  <c:v>3.787434833301484</c:v>
                </c:pt>
                <c:pt idx="423">
                  <c:v>3.7709927836652799</c:v>
                </c:pt>
                <c:pt idx="424">
                  <c:v>3.7192582153677485</c:v>
                </c:pt>
                <c:pt idx="425">
                  <c:v>3.6326691312031425</c:v>
                </c:pt>
                <c:pt idx="426">
                  <c:v>3.5119916165077787</c:v>
                </c:pt>
                <c:pt idx="427">
                  <c:v>3.3583130510431132</c:v>
                </c:pt>
                <c:pt idx="428">
                  <c:v>3.1730322794145858</c:v>
                </c:pt>
                <c:pt idx="429">
                  <c:v>2.9578468291892488</c:v>
                </c:pt>
                <c:pt idx="430">
                  <c:v>2.7147372939766501</c:v>
                </c:pt>
                <c:pt idx="431">
                  <c:v>2.445949025758626</c:v>
                </c:pt>
                <c:pt idx="432">
                  <c:v>2.1539713064363863</c:v>
                </c:pt>
                <c:pt idx="433">
                  <c:v>1.8415141926604011</c:v>
                </c:pt>
                <c:pt idx="434">
                  <c:v>1.5114832502897477</c:v>
                </c:pt>
                <c:pt idx="435">
                  <c:v>1.1669524150787085</c:v>
                </c:pt>
                <c:pt idx="436">
                  <c:v>0.81113523421331535</c:v>
                </c:pt>
                <c:pt idx="437">
                  <c:v>0.44735475894676718</c:v>
                </c:pt>
                <c:pt idx="438">
                  <c:v>7.9012371657409874E-2</c:v>
                </c:pt>
                <c:pt idx="439">
                  <c:v>-0.29044415894929709</c:v>
                </c:pt>
                <c:pt idx="440">
                  <c:v>-0.6575530931561151</c:v>
                </c:pt>
                <c:pt idx="441">
                  <c:v>-1.0188712999651353</c:v>
                </c:pt>
                <c:pt idx="442">
                  <c:v>-1.3710066932829359</c:v>
                </c:pt>
                <c:pt idx="443">
                  <c:v>-1.7106502176621072</c:v>
                </c:pt>
                <c:pt idx="444">
                  <c:v>-2.0346070806811629</c:v>
                </c:pt>
                <c:pt idx="445">
                  <c:v>-2.3398269359051316</c:v>
                </c:pt>
                <c:pt idx="446">
                  <c:v>-2.6234327300483335</c:v>
                </c:pt>
                <c:pt idx="447">
                  <c:v>-2.8827479403677803</c:v>
                </c:pt>
                <c:pt idx="448">
                  <c:v>-3.1153219433359487</c:v>
                </c:pt>
                <c:pt idx="449">
                  <c:v>-3.3189532731333511</c:v>
                </c:pt>
                <c:pt idx="450">
                  <c:v>-3.491710548301115</c:v>
                </c:pt>
                <c:pt idx="451">
                  <c:v>-3.6319508668141776</c:v>
                </c:pt>
                <c:pt idx="452">
                  <c:v>-3.7383354936699305</c:v>
                </c:pt>
                <c:pt idx="453">
                  <c:v>-3.8098426906103406</c:v>
                </c:pt>
                <c:pt idx="454">
                  <c:v>-3.8457775645653527</c:v>
                </c:pt>
                <c:pt idx="455">
                  <c:v>-3.8457788395666048</c:v>
                </c:pt>
                <c:pt idx="456">
                  <c:v>-3.8098224859659107</c:v>
                </c:pt>
                <c:pt idx="457">
                  <c:v>-3.738222170526333</c:v>
                </c:pt>
                <c:pt idx="458">
                  <c:v>-3.6316265210525449</c:v>
                </c:pt>
                <c:pt idx="459">
                  <c:v>-3.4910132294054663</c:v>
                </c:pt>
                <c:pt idx="460">
                  <c:v>-3.3176800467166179</c:v>
                </c:pt>
                <c:pt idx="461">
                  <c:v>-3.1132327540949118</c:v>
                </c:pt>
                <c:pt idx="462">
                  <c:v>-2.8795702208223908</c:v>
                </c:pt>
                <c:pt idx="463">
                  <c:v>-2.6188666896914712</c:v>
                </c:pt>
                <c:pt idx="464">
                  <c:v>-2.3335514554813086</c:v>
                </c:pt>
                <c:pt idx="465">
                  <c:v>-2.0262861273539401</c:v>
                </c:pt>
                <c:pt idx="466">
                  <c:v>-1.6999396889342826</c:v>
                </c:pt>
                <c:pt idx="467">
                  <c:v>-1.3575615908036096</c:v>
                </c:pt>
                <c:pt idx="468">
                  <c:v>-1.0023531288821792</c:v>
                </c:pt>
                <c:pt idx="469">
                  <c:v>-0.63763737852528324</c:v>
                </c:pt>
                <c:pt idx="470">
                  <c:v>-0.26682796795005059</c:v>
                </c:pt>
                <c:pt idx="471">
                  <c:v>0.10660301428327522</c:v>
                </c:pt>
                <c:pt idx="472">
                  <c:v>0.47915767469874304</c:v>
                </c:pt>
                <c:pt idx="473">
                  <c:v>0.8473452247653539</c:v>
                </c:pt>
                <c:pt idx="474">
                  <c:v>1.207714834203069</c:v>
                </c:pt>
                <c:pt idx="475">
                  <c:v>1.5568881171847224</c:v>
                </c:pt>
                <c:pt idx="476">
                  <c:v>1.8915909442718011</c:v>
                </c:pt>
                <c:pt idx="477">
                  <c:v>2.2086842792252508</c:v>
                </c:pt>
                <c:pt idx="478">
                  <c:v>2.5051937489938876</c:v>
                </c:pt>
                <c:pt idx="479">
                  <c:v>2.7783376671146414</c:v>
                </c:pt>
                <c:pt idx="480">
                  <c:v>3.0255532453494762</c:v>
                </c:pt>
                <c:pt idx="481">
                  <c:v>3.244520745493932</c:v>
                </c:pt>
                <c:pt idx="482">
                  <c:v>3.4331853427597849</c:v>
                </c:pt>
                <c:pt idx="483">
                  <c:v>3.5897764937752603</c:v>
                </c:pt>
                <c:pt idx="484">
                  <c:v>3.7128246258541502</c:v>
                </c:pt>
                <c:pt idx="485">
                  <c:v>3.8011749895360429</c:v>
                </c:pt>
                <c:pt idx="486">
                  <c:v>3.8539985432532178</c:v>
                </c:pt>
                <c:pt idx="487">
                  <c:v>3.870799767079605</c:v>
                </c:pt>
                <c:pt idx="488">
                  <c:v>3.8514213315967814</c:v>
                </c:pt>
                <c:pt idx="489">
                  <c:v>3.7960455776947675</c:v>
                </c:pt>
                <c:pt idx="490">
                  <c:v>3.7051927933279512</c:v>
                </c:pt>
                <c:pt idx="491">
                  <c:v>3.5797163035816792</c:v>
                </c:pt>
                <c:pt idx="492">
                  <c:v>3.420794420584464</c:v>
                </c:pt>
                <c:pt idx="493">
                  <c:v>3.2299193295371875</c:v>
                </c:pt>
                <c:pt idx="494">
                  <c:v>3.0088830161413886</c:v>
                </c:pt>
                <c:pt idx="495">
                  <c:v>2.7597603687181058</c:v>
                </c:pt>
                <c:pt idx="496">
                  <c:v>2.4848896150500694</c:v>
                </c:pt>
                <c:pt idx="497">
                  <c:v>2.1868502791993265</c:v>
                </c:pt>
                <c:pt idx="498">
                  <c:v>1.8684388670104408</c:v>
                </c:pt>
                <c:pt idx="499">
                  <c:v>1.53264251048237</c:v>
                </c:pt>
                <c:pt idx="500">
                  <c:v>1.1826108204773091</c:v>
                </c:pt>
                <c:pt idx="501">
                  <c:v>0.82162621414806214</c:v>
                </c:pt>
                <c:pt idx="502">
                  <c:v>0.45307299784781663</c:v>
                </c:pt>
                <c:pt idx="503">
                  <c:v>8.0405497999863365E-2</c:v>
                </c:pt>
                <c:pt idx="504">
                  <c:v>-0.29288445865988211</c:v>
                </c:pt>
                <c:pt idx="505">
                  <c:v>-0.6633004079817989</c:v>
                </c:pt>
                <c:pt idx="506">
                  <c:v>-1.0273741438048458</c:v>
                </c:pt>
                <c:pt idx="507">
                  <c:v>-1.3816983350203185</c:v>
                </c:pt>
                <c:pt idx="508">
                  <c:v>-1.722958556200832</c:v>
                </c:pt>
                <c:pt idx="509">
                  <c:v>-2.0479644293675436</c:v>
                </c:pt>
                <c:pt idx="510">
                  <c:v>-2.3536795830047863</c:v>
                </c:pt>
                <c:pt idx="511">
                  <c:v>-2.6372501457536477</c:v>
                </c:pt>
                <c:pt idx="512">
                  <c:v>-2.8960315062142765</c:v>
                </c:pt>
                <c:pt idx="513">
                  <c:v>-3.1276130868282062</c:v>
                </c:pt>
                <c:pt idx="514">
                  <c:v>-3.3298408987370545</c:v>
                </c:pt>
                <c:pt idx="515">
                  <c:v>-3.5008376656417663</c:v>
                </c:pt>
                <c:pt idx="516">
                  <c:v>-3.6390203278158975</c:v>
                </c:pt>
                <c:pt idx="517">
                  <c:v>-3.7431147623353915</c:v>
                </c:pt>
                <c:pt idx="518">
                  <c:v>-3.8121675820383745</c:v>
                </c:pt>
                <c:pt idx="519">
                  <c:v>-3.8455549034698127</c:v>
                </c:pt>
                <c:pt idx="520">
                  <c:v>-3.8429880028321026</c:v>
                </c:pt>
                <c:pt idx="521">
                  <c:v>-3.8045158084803221</c:v>
                </c:pt>
                <c:pt idx="522">
                  <c:v>-3.7305242084883496</c:v>
                </c:pt>
                <c:pt idx="523">
                  <c:v>-3.6217321819843127</c:v>
                </c:pt>
                <c:pt idx="524">
                  <c:v>-3.4791847930233848</c:v>
                </c:pt>
                <c:pt idx="525">
                  <c:v>-3.3042431154473562</c:v>
                </c:pt>
                <c:pt idx="526">
                  <c:v>-3.0985711861913501</c:v>
                </c:pt>
                <c:pt idx="527">
                  <c:v>-2.8641201125631968</c:v>
                </c:pt>
                <c:pt idx="528">
                  <c:v>-2.6031094858744388</c:v>
                </c:pt>
                <c:pt idx="529">
                  <c:v>-2.318006279188578</c:v>
                </c:pt>
                <c:pt idx="530">
                  <c:v>-2.011501430632503</c:v>
                </c:pt>
                <c:pt idx="531">
                  <c:v>-1.6864843354663139</c:v>
                </c:pt>
                <c:pt idx="532">
                  <c:v>-1.3460154897207857</c:v>
                </c:pt>
                <c:pt idx="533">
                  <c:v>-0.99329754550448146</c:v>
                </c:pt>
                <c:pt idx="534">
                  <c:v>-0.63164505289237571</c:v>
                </c:pt>
                <c:pt idx="535">
                  <c:v>-0.26445317549621727</c:v>
                </c:pt>
                <c:pt idx="536">
                  <c:v>0.10483432373085122</c:v>
                </c:pt>
                <c:pt idx="537">
                  <c:v>0.47275752327324522</c:v>
                </c:pt>
                <c:pt idx="538">
                  <c:v>0.83587290348652421</c:v>
                </c:pt>
                <c:pt idx="539">
                  <c:v>1.1907857189270574</c:v>
                </c:pt>
                <c:pt idx="540">
                  <c:v>1.5341818769100888</c:v>
                </c:pt>
                <c:pt idx="541">
                  <c:v>1.8628590216187892</c:v>
                </c:pt>
                <c:pt idx="542">
                  <c:v>2.1737565309245248</c:v>
                </c:pt>
                <c:pt idx="543">
                  <c:v>2.4639841436879326</c:v>
                </c:pt>
                <c:pt idx="544">
                  <c:v>2.7308489485863863</c:v>
                </c:pt>
                <c:pt idx="545">
                  <c:v>2.9718804813270432</c:v>
                </c:pt>
                <c:pt idx="546">
                  <c:v>3.1848536953038491</c:v>
                </c:pt>
                <c:pt idx="547">
                  <c:v>3.3678095911647361</c:v>
                </c:pt>
                <c:pt idx="548">
                  <c:v>3.5190733131754497</c:v>
                </c:pt>
                <c:pt idx="549">
                  <c:v>3.6372695444843357</c:v>
                </c:pt>
                <c:pt idx="550">
                  <c:v>3.7213350591742604</c:v>
                </c:pt>
                <c:pt idx="551">
                  <c:v>3.770528316087761</c:v>
                </c:pt>
                <c:pt idx="552">
                  <c:v>3.7844360075691892</c:v>
                </c:pt>
                <c:pt idx="553">
                  <c:v>3.7629765052148789</c:v>
                </c:pt>
                <c:pt idx="554">
                  <c:v>3.7064001741821779</c:v>
                </c:pt>
                <c:pt idx="555">
                  <c:v>3.6152865572999247</c:v>
                </c:pt>
                <c:pt idx="556">
                  <c:v>3.4905384598642124</c:v>
                </c:pt>
                <c:pt idx="557">
                  <c:v>3.3333729953116462</c:v>
                </c:pt>
                <c:pt idx="558">
                  <c:v>3.1453096806599148</c:v>
                </c:pt>
                <c:pt idx="559">
                  <c:v>2.9281556984199115</c:v>
                </c:pt>
                <c:pt idx="560">
                  <c:v>2.6839884683516626</c:v>
                </c:pt>
                <c:pt idx="561">
                  <c:v>2.4151356977056428</c:v>
                </c:pt>
                <c:pt idx="562">
                  <c:v>2.1241531022237052</c:v>
                </c:pt>
                <c:pt idx="563">
                  <c:v>1.8138000119467683</c:v>
                </c:pt>
                <c:pt idx="564">
                  <c:v>1.4870130955854903</c:v>
                </c:pt>
                <c:pt idx="565">
                  <c:v>1.1468784546712636</c:v>
                </c:pt>
                <c:pt idx="566">
                  <c:v>0.79660235375437916</c:v>
                </c:pt>
                <c:pt idx="567">
                  <c:v>0.43948086541523973</c:v>
                </c:pt>
                <c:pt idx="568">
                  <c:v>7.8868718688284933E-2</c:v>
                </c:pt>
                <c:pt idx="569">
                  <c:v>-0.28185235342365</c:v>
                </c:pt>
                <c:pt idx="570">
                  <c:v>-0.63930546740660155</c:v>
                </c:pt>
                <c:pt idx="571">
                  <c:v>-0.99015034231993737</c:v>
                </c:pt>
                <c:pt idx="572">
                  <c:v>-1.3311146526208872</c:v>
                </c:pt>
                <c:pt idx="573">
                  <c:v>-1.6590246851429142</c:v>
                </c:pt>
                <c:pt idx="574">
                  <c:v>-1.9708350117421474</c:v>
                </c:pt>
                <c:pt idx="575">
                  <c:v>-2.2636568989522354</c:v>
                </c:pt>
                <c:pt idx="576">
                  <c:v>-2.5347851884434931</c:v>
                </c:pt>
                <c:pt idx="577">
                  <c:v>-2.78172339704274</c:v>
                </c:pt>
                <c:pt idx="578">
                  <c:v>-3.0022068023891713</c:v>
                </c:pt>
                <c:pt idx="579">
                  <c:v>-3.194223299811124</c:v>
                </c:pt>
                <c:pt idx="580">
                  <c:v>-3.3560318375179583</c:v>
                </c:pt>
                <c:pt idx="581">
                  <c:v>-3.4861782605024088</c:v>
                </c:pt>
                <c:pt idx="582">
                  <c:v>-3.5835084184176385</c:v>
                </c:pt>
                <c:pt idx="583">
                  <c:v>-3.6471784188888678</c:v>
                </c:pt>
                <c:pt idx="584">
                  <c:v>-3.6766619349914098</c:v>
                </c:pt>
                <c:pt idx="585">
                  <c:v>-3.6717545037125152</c:v>
                </c:pt>
                <c:pt idx="586">
                  <c:v>-3.6325747808458857</c:v>
                </c:pt>
                <c:pt idx="587">
                  <c:v>-3.5595627466706317</c:v>
                </c:pt>
                <c:pt idx="588">
                  <c:v>-3.4534748856655644</c:v>
                </c:pt>
                <c:pt idx="589">
                  <c:v>-3.3153763921301631</c:v>
                </c:pt>
                <c:pt idx="590">
                  <c:v>-3.1466304816531343</c:v>
                </c:pt>
                <c:pt idx="591">
                  <c:v>-2.9488849156223189</c:v>
                </c:pt>
                <c:pt idx="592">
                  <c:v>-2.7240558721480741</c:v>
                </c:pt>
                <c:pt idx="593">
                  <c:v>-2.4743093216290979</c:v>
                </c:pt>
                <c:pt idx="594">
                  <c:v>-2.2020400884910249</c:v>
                </c:pt>
                <c:pt idx="595">
                  <c:v>-1.9098488021558178</c:v>
                </c:pt>
                <c:pt idx="596">
                  <c:v>-1.6005169598522839</c:v>
                </c:pt>
                <c:pt idx="597">
                  <c:v>-1.2769803412733494</c:v>
                </c:pt>
                <c:pt idx="598">
                  <c:v>-0.94230103016338607</c:v>
                </c:pt>
                <c:pt idx="599">
                  <c:v>-0.59963831053961503</c:v>
                </c:pt>
                <c:pt idx="600">
                  <c:v>-0.25221871530124873</c:v>
                </c:pt>
                <c:pt idx="601">
                  <c:v>9.6694487631103887E-2</c:v>
                </c:pt>
                <c:pt idx="602">
                  <c:v>0.44383208184070272</c:v>
                </c:pt>
                <c:pt idx="603">
                  <c:v>0.78594966990005499</c:v>
                </c:pt>
                <c:pt idx="604">
                  <c:v>1.1198581309886191</c:v>
                </c:pt>
                <c:pt idx="605">
                  <c:v>1.4424534814517511</c:v>
                </c:pt>
                <c:pt idx="606">
                  <c:v>1.7507458574671269</c:v>
                </c:pt>
                <c:pt idx="607">
                  <c:v>2.0418873479945563</c:v>
                </c:pt>
                <c:pt idx="608">
                  <c:v>2.3131984177551352</c:v>
                </c:pt>
                <c:pt idx="609">
                  <c:v>2.5621926740007743</c:v>
                </c:pt>
                <c:pt idx="610">
                  <c:v>2.7865997471548454</c:v>
                </c:pt>
                <c:pt idx="611">
                  <c:v>2.9843860738678876</c:v>
                </c:pt>
                <c:pt idx="612">
                  <c:v>3.1537733914591497</c:v>
                </c:pt>
                <c:pt idx="613">
                  <c:v>3.2932547749040295</c:v>
                </c:pt>
                <c:pt idx="614">
                  <c:v>3.4016080712650032</c:v>
                </c:pt>
                <c:pt idx="615">
                  <c:v>3.4779066115179083</c:v>
                </c:pt>
                <c:pt idx="616">
                  <c:v>3.5215271058559292</c:v>
                </c:pt>
                <c:pt idx="617">
                  <c:v>3.5321546555074592</c:v>
                </c:pt>
                <c:pt idx="618">
                  <c:v>3.5097848416225119</c:v>
                </c:pt>
                <c:pt idx="619">
                  <c:v>3.4547228796025298</c:v>
                </c:pt>
                <c:pt idx="620">
                  <c:v>3.3675798551035045</c:v>
                </c:pt>
                <c:pt idx="621">
                  <c:v>3.2492660855672728</c:v>
                </c:pt>
                <c:pt idx="622">
                  <c:v>3.1009816782681847</c:v>
                </c:pt>
                <c:pt idx="623">
                  <c:v>2.9242043822444614</c:v>
                </c:pt>
                <c:pt idx="624">
                  <c:v>2.7206748568664159</c:v>
                </c:pt>
                <c:pt idx="625">
                  <c:v>2.4923795039380563</c:v>
                </c:pt>
                <c:pt idx="626">
                  <c:v>2.2415310329077873</c:v>
                </c:pt>
                <c:pt idx="627">
                  <c:v>1.9705469497658099</c:v>
                </c:pt>
                <c:pt idx="628">
                  <c:v>1.6820261793352931</c:v>
                </c:pt>
                <c:pt idx="629">
                  <c:v>1.3787240477439986</c:v>
                </c:pt>
                <c:pt idx="630">
                  <c:v>1.0635258667360905</c:v>
                </c:pt>
                <c:pt idx="631">
                  <c:v>0.7394193740152899</c:v>
                </c:pt>
                <c:pt idx="632">
                  <c:v>0.40946629388686662</c:v>
                </c:pt>
                <c:pt idx="633">
                  <c:v>7.6773289999377936E-2</c:v>
                </c:pt>
                <c:pt idx="634">
                  <c:v>-0.25553741308776745</c:v>
                </c:pt>
                <c:pt idx="635">
                  <c:v>-0.58435746050584392</c:v>
                </c:pt>
                <c:pt idx="636">
                  <c:v>-0.90662157122473053</c:v>
                </c:pt>
                <c:pt idx="637">
                  <c:v>-1.2193362401555177</c:v>
                </c:pt>
                <c:pt idx="638">
                  <c:v>-1.5196076682586157</c:v>
                </c:pt>
                <c:pt idx="639">
                  <c:v>-1.8046686589014835</c:v>
                </c:pt>
                <c:pt idx="640">
                  <c:v>-2.0719042293670831</c:v>
                </c:pt>
                <c:pt idx="641">
                  <c:v>-2.3188756994253552</c:v>
                </c:pt>
                <c:pt idx="642">
                  <c:v>-2.5433430341152694</c:v>
                </c:pt>
                <c:pt idx="643">
                  <c:v>-2.7432852351901866</c:v>
                </c:pt>
                <c:pt idx="644">
                  <c:v>-2.9169185948838443</c:v>
                </c:pt>
                <c:pt idx="645">
                  <c:v>-3.0627126465686021</c:v>
                </c:pt>
                <c:pt idx="646">
                  <c:v>-3.1794036692965841</c:v>
                </c:pt>
                <c:pt idx="647">
                  <c:v>-3.266005626918719</c:v>
                </c:pt>
                <c:pt idx="648">
                  <c:v>-3.3218184472371504</c:v>
                </c:pt>
                <c:pt idx="649">
                  <c:v>-3.3464335722222147</c:v>
                </c:pt>
                <c:pt idx="650">
                  <c:v>-3.3397367364695452</c:v>
                </c:pt>
                <c:pt idx="651">
                  <c:v>-3.3019079575352124</c:v>
                </c:pt>
                <c:pt idx="652">
                  <c:v>-3.2334187483126482</c:v>
                </c:pt>
                <c:pt idx="653">
                  <c:v>-3.1350265879511694</c:v>
                </c:pt>
                <c:pt idx="654">
                  <c:v>-3.0077667137122788</c:v>
                </c:pt>
                <c:pt idx="655">
                  <c:v>-2.8529413213696215</c:v>
                </c:pt>
                <c:pt idx="656">
                  <c:v>-2.6721062860445191</c:v>
                </c:pt>
                <c:pt idx="657">
                  <c:v>-2.4670555385018269</c:v>
                </c:pt>
                <c:pt idx="658">
                  <c:v>-2.2398032536942609</c:v>
                </c:pt>
                <c:pt idx="659">
                  <c:v>-1.9925640285341775</c:v>
                </c:pt>
                <c:pt idx="660">
                  <c:v>-1.7277312443028301</c:v>
                </c:pt>
                <c:pt idx="661">
                  <c:v>-1.4478538256091089</c:v>
                </c:pt>
                <c:pt idx="662">
                  <c:v>-1.155611622231419</c:v>
                </c:pt>
                <c:pt idx="663">
                  <c:v>-0.85378965238852611</c:v>
                </c:pt>
                <c:pt idx="664">
                  <c:v>-0.5452514558784276</c:v>
                </c:pt>
                <c:pt idx="665">
                  <c:v>-0.2329118130132416</c:v>
                </c:pt>
                <c:pt idx="666">
                  <c:v>8.0290909699527013E-2</c:v>
                </c:pt>
                <c:pt idx="667">
                  <c:v>0.3914225236627501</c:v>
                </c:pt>
                <c:pt idx="668">
                  <c:v>0.69758062861961179</c:v>
                </c:pt>
                <c:pt idx="669">
                  <c:v>0.99592180845868705</c:v>
                </c:pt>
                <c:pt idx="670">
                  <c:v>1.2836881564364193</c:v>
                </c:pt>
                <c:pt idx="671">
                  <c:v>1.5582328812698159</c:v>
                </c:pt>
                <c:pt idx="672">
                  <c:v>1.8170447553014655</c:v>
                </c:pt>
                <c:pt idx="673">
                  <c:v>2.0577711779264276</c:v>
                </c:pt>
                <c:pt idx="674">
                  <c:v>2.2782396415699573</c:v>
                </c:pt>
                <c:pt idx="675">
                  <c:v>2.476477403576002</c:v>
                </c:pt>
                <c:pt idx="676">
                  <c:v>2.6507291852456332</c:v>
                </c:pt>
                <c:pt idx="677">
                  <c:v>2.7994727387739871</c:v>
                </c:pt>
                <c:pt idx="678">
                  <c:v>2.9214321437818263</c:v>
                </c:pt>
                <c:pt idx="679">
                  <c:v>3.0155887173161515</c:v>
                </c:pt>
                <c:pt idx="680">
                  <c:v>3.0811894443863039</c:v>
                </c:pt>
                <c:pt idx="681">
                  <c:v>3.1177528600827298</c:v>
                </c:pt>
                <c:pt idx="682">
                  <c:v>3.1250723388612123</c:v>
                </c:pt>
                <c:pt idx="683">
                  <c:v>3.1032167714290391</c:v>
                </c:pt>
                <c:pt idx="684">
                  <c:v>3.0525286346032168</c:v>
                </c:pt>
                <c:pt idx="685">
                  <c:v>2.973619484283764</c:v>
                </c:pt>
                <c:pt idx="686">
                  <c:v>2.8673629260627354</c:v>
                </c:pt>
                <c:pt idx="687">
                  <c:v>2.7348851417390092</c:v>
                </c:pt>
                <c:pt idx="688">
                  <c:v>2.5775530729062588</c:v>
                </c:pt>
                <c:pt idx="689">
                  <c:v>2.3969603846109391</c:v>
                </c:pt>
                <c:pt idx="690">
                  <c:v>2.1949113526346058</c:v>
                </c:pt>
                <c:pt idx="691">
                  <c:v>1.9734028370491141</c:v>
                </c:pt>
                <c:pt idx="692">
                  <c:v>1.734604522147678</c:v>
                </c:pt>
                <c:pt idx="693">
                  <c:v>1.4808376185101022</c:v>
                </c:pt>
                <c:pt idx="694">
                  <c:v>1.2145522366741512</c:v>
                </c:pt>
                <c:pt idx="695">
                  <c:v>0.93830365353510292</c:v>
                </c:pt>
                <c:pt idx="696">
                  <c:v>0.6547277020796437</c:v>
                </c:pt>
                <c:pt idx="697">
                  <c:v>0.36651552229672468</c:v>
                </c:pt>
                <c:pt idx="698">
                  <c:v>7.6387916039364123E-2</c:v>
                </c:pt>
                <c:pt idx="699">
                  <c:v>-0.2129304488007715</c:v>
                </c:pt>
                <c:pt idx="700">
                  <c:v>-0.49873673921180073</c:v>
                </c:pt>
                <c:pt idx="701">
                  <c:v>-0.77837531959548178</c:v>
                </c:pt>
                <c:pt idx="702">
                  <c:v>-1.0492625368704918</c:v>
                </c:pt>
                <c:pt idx="703">
                  <c:v>-1.3089106957940411</c:v>
                </c:pt>
                <c:pt idx="704">
                  <c:v>-1.5549510010343104</c:v>
                </c:pt>
                <c:pt idx="705">
                  <c:v>-1.7851552535005586</c:v>
                </c:pt>
                <c:pt idx="706">
                  <c:v>-1.9974561013895205</c:v>
                </c:pt>
                <c:pt idx="707">
                  <c:v>-2.1899656612023639</c:v>
                </c:pt>
                <c:pt idx="708">
                  <c:v>-2.3609923404726043</c:v>
                </c:pt>
                <c:pt idx="709">
                  <c:v>-2.5090557119579073</c:v>
                </c:pt>
                <c:pt idx="710">
                  <c:v>-2.6328993084071985</c:v>
                </c:pt>
                <c:pt idx="711">
                  <c:v>-2.7315012275242543</c:v>
                </c:pt>
                <c:pt idx="712">
                  <c:v>-2.8040824582096953</c:v>
                </c:pt>
                <c:pt idx="713">
                  <c:v>-2.8501128613641216</c:v>
                </c:pt>
                <c:pt idx="714">
                  <c:v>-2.8693147612570851</c:v>
                </c:pt>
                <c:pt idx="715">
                  <c:v>-2.8616641264911138</c:v>
                </c:pt>
                <c:pt idx="716">
                  <c:v>-2.8273893426941932</c:v>
                </c:pt>
                <c:pt idx="717">
                  <c:v>-2.7669676020338714</c:v>
                </c:pt>
                <c:pt idx="718">
                  <c:v>-2.681118957243867</c:v>
                </c:pt>
                <c:pt idx="719">
                  <c:v>-2.5707981098738872</c:v>
                </c:pt>
                <c:pt idx="720">
                  <c:v>-2.4371840237057079</c:v>
                </c:pt>
                <c:pt idx="721">
                  <c:v>-2.2816674745253662</c:v>
                </c:pt>
                <c:pt idx="722">
                  <c:v>-2.105836666511741</c:v>
                </c:pt>
                <c:pt idx="723">
                  <c:v>-1.9114610632199347</c:v>
                </c:pt>
                <c:pt idx="724">
                  <c:v>-1.7004735973396881</c:v>
                </c:pt>
                <c:pt idx="725">
                  <c:v>-1.4749514379479427</c:v>
                </c:pt>
                <c:pt idx="726">
                  <c:v>-1.2370955067191238</c:v>
                </c:pt>
                <c:pt idx="727">
                  <c:v>-0.98920894539434778</c:v>
                </c:pt>
                <c:pt idx="728">
                  <c:v>-0.7336747456479833</c:v>
                </c:pt>
                <c:pt idx="729">
                  <c:v>-0.47293275925211775</c:v>
                </c:pt>
                <c:pt idx="730">
                  <c:v>-0.20945631107402085</c:v>
                </c:pt>
                <c:pt idx="731">
                  <c:v>5.4271360084589437E-2</c:v>
                </c:pt>
                <c:pt idx="732">
                  <c:v>0.31578060749704862</c:v>
                </c:pt>
                <c:pt idx="733">
                  <c:v>0.57263860592210913</c:v>
                </c:pt>
                <c:pt idx="734">
                  <c:v>0.82247208496184554</c:v>
                </c:pt>
                <c:pt idx="735">
                  <c:v>1.0629893529912398</c:v>
                </c:pt>
                <c:pt idx="736">
                  <c:v>1.2920014063714733</c:v>
                </c:pt>
                <c:pt idx="737">
                  <c:v>1.507441928669325</c:v>
                </c:pt>
                <c:pt idx="738">
                  <c:v>1.7073859964307203</c:v>
                </c:pt>
                <c:pt idx="739">
                  <c:v>1.8900673215702961</c:v>
                </c:pt>
                <c:pt idx="740">
                  <c:v>2.0538938755039231</c:v>
                </c:pt>
                <c:pt idx="741">
                  <c:v>2.1974617566099601</c:v>
                </c:pt>
                <c:pt idx="742">
                  <c:v>2.319567180293852</c:v>
                </c:pt>
                <c:pt idx="743">
                  <c:v>2.4192164896680399</c:v>
                </c:pt>
                <c:pt idx="744">
                  <c:v>2.4956341044606383</c:v>
                </c:pt>
                <c:pt idx="745">
                  <c:v>2.5482683460374709</c:v>
                </c:pt>
                <c:pt idx="746">
                  <c:v>2.5767950971610305</c:v>
                </c:pt>
                <c:pt idx="747">
                  <c:v>2.5811192761160182</c:v>
                </c:pt>
                <c:pt idx="748">
                  <c:v>2.5613741258997198</c:v>
                </c:pt>
                <c:pt idx="749">
                  <c:v>2.517918340100838</c:v>
                </c:pt>
                <c:pt idx="750">
                  <c:v>2.451331067673582</c:v>
                </c:pt>
                <c:pt idx="751">
                  <c:v>2.3624048588577047</c:v>
                </c:pt>
                <c:pt idx="752">
                  <c:v>2.2521366338080826</c:v>
                </c:pt>
                <c:pt idx="753">
                  <c:v>2.1217167738992702</c:v>
                </c:pt>
                <c:pt idx="754">
                  <c:v>1.9725164529885293</c:v>
                </c:pt>
                <c:pt idx="755">
                  <c:v>1.806073341993905</c:v>
                </c:pt>
                <c:pt idx="756">
                  <c:v>1.6240758348258579</c:v>
                </c:pt>
                <c:pt idx="757">
                  <c:v>1.4283459568681995</c:v>
                </c:pt>
                <c:pt idx="758">
                  <c:v>1.2208211287190089</c:v>
                </c:pt>
                <c:pt idx="759">
                  <c:v>1.0035349676749403</c:v>
                </c:pt>
                <c:pt idx="760">
                  <c:v>0.77859731738904503</c:v>
                </c:pt>
                <c:pt idx="761">
                  <c:v>0.54817370218864503</c:v>
                </c:pt>
                <c:pt idx="762">
                  <c:v>0.3144644066594442</c:v>
                </c:pt>
                <c:pt idx="763">
                  <c:v>7.9683383258625007E-2</c:v>
                </c:pt>
                <c:pt idx="764">
                  <c:v>-0.15396280909557536</c:v>
                </c:pt>
                <c:pt idx="765">
                  <c:v>-0.38429583428445535</c:v>
                </c:pt>
                <c:pt idx="766">
                  <c:v>-0.60918597862957058</c:v>
                </c:pt>
                <c:pt idx="767">
                  <c:v>-0.82657192902751797</c:v>
                </c:pt>
                <c:pt idx="768">
                  <c:v>-1.034479745088517</c:v>
                </c:pt>
                <c:pt idx="769">
                  <c:v>-1.2310408499132728</c:v>
                </c:pt>
                <c:pt idx="770">
                  <c:v>-1.4145088748962102</c:v>
                </c:pt>
                <c:pt idx="771">
                  <c:v>-1.5832752062077855</c:v>
                </c:pt>
                <c:pt idx="772">
                  <c:v>-1.735883094256393</c:v>
                </c:pt>
                <c:pt idx="773">
                  <c:v>-1.871040202319421</c:v>
                </c:pt>
                <c:pt idx="774">
                  <c:v>-1.9876294865075295</c:v>
                </c:pt>
                <c:pt idx="775">
                  <c:v>-2.0847183161254899</c:v>
                </c:pt>
                <c:pt idx="776">
                  <c:v>-2.1615657611462065</c:v>
                </c:pt>
                <c:pt idx="777">
                  <c:v>-2.2176279917424861</c:v>
                </c:pt>
                <c:pt idx="778">
                  <c:v>-2.2525617534446583</c:v>
                </c:pt>
                <c:pt idx="779">
                  <c:v>-2.2662259003272922</c:v>
                </c:pt>
                <c:pt idx="780">
                  <c:v>-2.258680987487744</c:v>
                </c:pt>
                <c:pt idx="781">
                  <c:v>-2.2301869427828462</c:v>
                </c:pt>
                <c:pt idx="782">
                  <c:v>-2.1811988561537827</c:v>
                </c:pt>
                <c:pt idx="783">
                  <c:v>-2.1123609427196159</c:v>
                </c:pt>
                <c:pt idx="784">
                  <c:v>-2.0244987529842411</c:v>
                </c:pt>
                <c:pt idx="785">
                  <c:v>-1.9186097198198837</c:v>
                </c:pt>
                <c:pt idx="786">
                  <c:v>-1.7958521472095814</c:v>
                </c:pt>
                <c:pt idx="787">
                  <c:v>-1.6575327599084579</c:v>
                </c:pt>
                <c:pt idx="788">
                  <c:v>-1.5050929460911264</c:v>
                </c:pt>
                <c:pt idx="789">
                  <c:v>-1.3400938365735162</c:v>
                </c:pt>
                <c:pt idx="790">
                  <c:v>-1.1642003742295595</c:v>
                </c:pt>
                <c:pt idx="791">
                  <c:v>-0.97916453568123596</c:v>
                </c:pt>
                <c:pt idx="792">
                  <c:v>-0.78680787415349829</c:v>
                </c:pt>
                <c:pt idx="793">
                  <c:v>-0.58900355750010114</c:v>
                </c:pt>
                <c:pt idx="794">
                  <c:v>-0.38765807878622005</c:v>
                </c:pt>
                <c:pt idx="795">
                  <c:v>-0.18469281843904239</c:v>
                </c:pt>
                <c:pt idx="796">
                  <c:v>1.797436315287082E-2</c:v>
                </c:pt>
                <c:pt idx="797">
                  <c:v>0.21844732558155067</c:v>
                </c:pt>
                <c:pt idx="798">
                  <c:v>0.4148694674727007</c:v>
                </c:pt>
                <c:pt idx="799">
                  <c:v>0.6054409964579115</c:v>
                </c:pt>
                <c:pt idx="800">
                  <c:v>0.78843548870678504</c:v>
                </c:pt>
                <c:pt idx="801">
                  <c:v>0.96221558500764237</c:v>
                </c:pt>
                <c:pt idx="802">
                  <c:v>1.1252476801520692</c:v>
                </c:pt>
                <c:pt idx="803">
                  <c:v>1.2761154734589077</c:v>
                </c:pt>
                <c:pt idx="804">
                  <c:v>1.413532260545205</c:v>
                </c:pt>
                <c:pt idx="805">
                  <c:v>1.5363518597875065</c:v>
                </c:pt>
                <c:pt idx="806">
                  <c:v>1.6435780811736931</c:v>
                </c:pt>
                <c:pt idx="807">
                  <c:v>1.7343726602776879</c:v>
                </c:pt>
                <c:pt idx="808">
                  <c:v>1.8080615957427455</c:v>
                </c:pt>
                <c:pt idx="809">
                  <c:v>1.8641398447720827</c:v>
                </c:pt>
                <c:pt idx="810">
                  <c:v>1.9022743475382518</c:v>
                </c:pt>
                <c:pt idx="811">
                  <c:v>1.9223053679708211</c:v>
                </c:pt>
                <c:pt idx="812">
                  <c:v>1.9242461548992731</c:v>
                </c:pt>
                <c:pt idx="813">
                  <c:v>1.9082809438545771</c:v>
                </c:pt>
                <c:pt idx="814">
                  <c:v>1.8747613358092701</c:v>
                </c:pt>
                <c:pt idx="815">
                  <c:v>1.8242011046056992</c:v>
                </c:pt>
                <c:pt idx="816">
                  <c:v>1.7572694996395639</c:v>
                </c:pt>
                <c:pt idx="817">
                  <c:v>1.6747831243902984</c:v>
                </c:pt>
                <c:pt idx="818">
                  <c:v>1.5776964844882719</c:v>
                </c:pt>
                <c:pt idx="819">
                  <c:v>1.4670913110621768</c:v>
                </c:pt>
                <c:pt idx="820">
                  <c:v>1.3441647760082631</c:v>
                </c:pt>
                <c:pt idx="821">
                  <c:v>1.2102167254678431</c:v>
                </c:pt>
                <c:pt idx="822">
                  <c:v>1.0666360661087384</c:v>
                </c:pt>
                <c:pt idx="823">
                  <c:v>0.91488644570859301</c:v>
                </c:pt>
                <c:pt idx="824">
                  <c:v>0.75649137497904029</c:v>
                </c:pt>
                <c:pt idx="825">
                  <c:v>0.59301894150835954</c:v>
                </c:pt>
                <c:pt idx="826">
                  <c:v>0.42606626911237777</c:v>
                </c:pt>
                <c:pt idx="827">
                  <c:v>0.2572438767587546</c:v>
                </c:pt>
                <c:pt idx="828">
                  <c:v>8.8160090574574745E-2</c:v>
                </c:pt>
                <c:pt idx="829">
                  <c:v>-7.9594339717405482E-2</c:v>
                </c:pt>
                <c:pt idx="830">
                  <c:v>-0.24446127222728586</c:v>
                </c:pt>
                <c:pt idx="831">
                  <c:v>-0.40492970954637353</c:v>
                </c:pt>
                <c:pt idx="832">
                  <c:v>-0.55954970439135243</c:v>
                </c:pt>
                <c:pt idx="833">
                  <c:v>-0.70694550572411896</c:v>
                </c:pt>
                <c:pt idx="834">
                  <c:v>-0.84582782572308535</c:v>
                </c:pt>
                <c:pt idx="835">
                  <c:v>-0.97500511797068645</c:v>
                </c:pt>
                <c:pt idx="836">
                  <c:v>-1.0933937681939083</c:v>
                </c:pt>
                <c:pt idx="837">
                  <c:v>-1.2000271107286924</c:v>
                </c:pt>
                <c:pt idx="838">
                  <c:v>-1.2940631964500693</c:v>
                </c:pt>
                <c:pt idx="839">
                  <c:v>-1.374791251085246</c:v>
                </c:pt>
                <c:pt idx="840">
                  <c:v>-1.4416367764665587</c:v>
                </c:pt>
                <c:pt idx="841">
                  <c:v>-1.494165261246216</c:v>
                </c:pt>
                <c:pt idx="842">
                  <c:v>-1.5320844817421411</c:v>
                </c:pt>
                <c:pt idx="843">
                  <c:v>-1.5552453877678327</c:v>
                </c:pt>
                <c:pt idx="844">
                  <c:v>-1.5636415823799377</c:v>
                </c:pt>
                <c:pt idx="845">
                  <c:v>-1.5574074183117126</c:v>
                </c:pt>
                <c:pt idx="846">
                  <c:v>-1.5368147473156237</c:v>
                </c:pt>
                <c:pt idx="847">
                  <c:v>-1.5022683715793264</c:v>
                </c:pt>
                <c:pt idx="848">
                  <c:v>-1.4543002586839826</c:v>
                </c:pt>
                <c:pt idx="849">
                  <c:v>-1.3935625931249127</c:v>
                </c:pt>
                <c:pt idx="850">
                  <c:v>-1.32081974810162</c:v>
                </c:pt>
                <c:pt idx="851">
                  <c:v>-1.2369392710108702</c:v>
                </c:pt>
                <c:pt idx="852">
                  <c:v>-1.142881984754357</c:v>
                </c:pt>
                <c:pt idx="853">
                  <c:v>-1.0396913145237385</c:v>
                </c:pt>
                <c:pt idx="854">
                  <c:v>-0.92848195608804907</c:v>
                </c:pt>
                <c:pt idx="855">
                  <c:v>-0.81042800672948623</c:v>
                </c:pt>
                <c:pt idx="856">
                  <c:v>-0.68675068381419657</c:v>
                </c:pt>
                <c:pt idx="857">
                  <c:v>-0.55870575852111815</c:v>
                </c:pt>
                <c:pt idx="858">
                  <c:v>-0.42757083347204472</c:v>
                </c:pt>
                <c:pt idx="859">
                  <c:v>-0.29463259291169774</c:v>
                </c:pt>
                <c:pt idx="860">
                  <c:v>-0.16117415269380531</c:v>
                </c:pt>
                <c:pt idx="861">
                  <c:v>-2.8462634665727959E-2</c:v>
                </c:pt>
                <c:pt idx="862">
                  <c:v>0.10226291384812281</c:v>
                </c:pt>
                <c:pt idx="863">
                  <c:v>0.22980313983222422</c:v>
                </c:pt>
                <c:pt idx="864">
                  <c:v>0.35300943418232</c:v>
                </c:pt>
                <c:pt idx="865">
                  <c:v>0.4707943088864921</c:v>
                </c:pt>
                <c:pt idx="866">
                  <c:v>0.58214100771171573</c:v>
                </c:pt>
                <c:pt idx="867">
                  <c:v>0.68611226534329517</c:v>
                </c:pt>
                <c:pt idx="868">
                  <c:v>0.78185813969976126</c:v>
                </c:pt>
                <c:pt idx="869">
                  <c:v>0.86862285256505201</c:v>
                </c:pt>
                <c:pt idx="870">
                  <c:v>0.94575058463030548</c:v>
                </c:pt>
                <c:pt idx="871">
                  <c:v>1.0126901824012389</c:v>
                </c:pt>
                <c:pt idx="872">
                  <c:v>1.068998746080235</c:v>
                </c:pt>
                <c:pt idx="873">
                  <c:v>1.1143440793534742</c:v>
                </c:pt>
                <c:pt idx="874">
                  <c:v>1.1485059938793647</c:v>
                </c:pt>
                <c:pt idx="875">
                  <c:v>1.1713764730598428</c:v>
                </c:pt>
                <c:pt idx="876">
                  <c:v>1.1829587112623852</c:v>
                </c:pt>
                <c:pt idx="877">
                  <c:v>1.1833650559303885</c:v>
                </c:pt>
                <c:pt idx="878">
                  <c:v>1.1728138908577461</c:v>
                </c:pt>
                <c:pt idx="879">
                  <c:v>1.1516255092050955</c:v>
                </c:pt>
                <c:pt idx="880">
                  <c:v>1.1202170344997175</c:v>
                </c:pt>
                <c:pt idx="881">
                  <c:v>1.079096456793476</c:v>
                </c:pt>
                <c:pt idx="882">
                  <c:v>1.0288558592716064</c:v>
                </c:pt>
                <c:pt idx="883">
                  <c:v>0.97016391783452804</c:v>
                </c:pt>
                <c:pt idx="884">
                  <c:v>0.90375776244843808</c:v>
                </c:pt>
                <c:pt idx="885">
                  <c:v>0.83043429432710425</c:v>
                </c:pt>
                <c:pt idx="886">
                  <c:v>0.75104105722156178</c:v>
                </c:pt>
                <c:pt idx="887">
                  <c:v>0.66646676422709006</c:v>
                </c:pt>
                <c:pt idx="888">
                  <c:v>0.57763158354601374</c:v>
                </c:pt>
                <c:pt idx="889">
                  <c:v>0.4854772875643909</c:v>
                </c:pt>
                <c:pt idx="890">
                  <c:v>0.39095736941365833</c:v>
                </c:pt>
                <c:pt idx="891">
                  <c:v>0.29502722990977626</c:v>
                </c:pt>
                <c:pt idx="892">
                  <c:v>0.19863453542009202</c:v>
                </c:pt>
                <c:pt idx="893">
                  <c:v>0.10270984383907278</c:v>
                </c:pt>
                <c:pt idx="894">
                  <c:v>8.1575915065750237E-3</c:v>
                </c:pt>
                <c:pt idx="895">
                  <c:v>-8.4152471365197545E-2</c:v>
                </c:pt>
                <c:pt idx="896">
                  <c:v>-0.17339331531101587</c:v>
                </c:pt>
                <c:pt idx="897">
                  <c:v>-0.25878806173160385</c:v>
                </c:pt>
                <c:pt idx="898">
                  <c:v>-0.33961674155873789</c:v>
                </c:pt>
                <c:pt idx="899">
                  <c:v>-0.41522232371190504</c:v>
                </c:pt>
                <c:pt idx="900">
                  <c:v>-0.48501596330047003</c:v>
                </c:pt>
                <c:pt idx="901">
                  <c:v>-0.54848142864499483</c:v>
                </c:pt>
                <c:pt idx="902">
                  <c:v>-0.60517867562003536</c:v>
                </c:pt>
                <c:pt idx="903">
                  <c:v>-0.65474654745148708</c:v>
                </c:pt>
                <c:pt idx="904">
                  <c:v>-0.69690458783100662</c:v>
                </c:pt>
                <c:pt idx="905">
                  <c:v>-0.73145396492974213</c:v>
                </c:pt>
                <c:pt idx="906">
                  <c:v>-0.75827751350181449</c:v>
                </c:pt>
                <c:pt idx="907">
                  <c:v>-0.77733891165912505</c:v>
                </c:pt>
                <c:pt idx="908">
                  <c:v>-0.78868101797654033</c:v>
                </c:pt>
                <c:pt idx="909">
                  <c:v>-0.79242340325598026</c:v>
                </c:pt>
                <c:pt idx="910">
                  <c:v>-0.78875911944800814</c:v>
                </c:pt>
                <c:pt idx="911">
                  <c:v>-0.7779507558197557</c:v>
                </c:pt>
                <c:pt idx="912">
                  <c:v>-0.76032583939285947</c:v>
                </c:pt>
                <c:pt idx="913">
                  <c:v>-0.73627164288459257</c:v>
                </c:pt>
                <c:pt idx="914">
                  <c:v>-0.70622946881284199</c:v>
                </c:pt>
                <c:pt idx="915">
                  <c:v>-0.670688483020903</c:v>
                </c:pt>
                <c:pt idx="916">
                  <c:v>-0.63017917459885586</c:v>
                </c:pt>
                <c:pt idx="917">
                  <c:v>-0.58526652199646345</c:v>
                </c:pt>
                <c:pt idx="918">
                  <c:v>-0.53654294701751959</c:v>
                </c:pt>
                <c:pt idx="919">
                  <c:v>-0.48462113934595585</c:v>
                </c:pt>
                <c:pt idx="920">
                  <c:v>-0.43012683428223109</c:v>
                </c:pt>
                <c:pt idx="921">
                  <c:v>-0.37369162547486057</c:v>
                </c:pt>
                <c:pt idx="922">
                  <c:v>-0.31594589263610273</c:v>
                </c:pt>
                <c:pt idx="923">
                  <c:v>-0.25751192156493907</c:v>
                </c:pt>
                <c:pt idx="924">
                  <c:v>-0.19899729030376601</c:v>
                </c:pt>
                <c:pt idx="925">
                  <c:v>-0.1409885909759625</c:v>
                </c:pt>
                <c:pt idx="926">
                  <c:v>-8.4045551847499844E-2</c:v>
                </c:pt>
                <c:pt idx="927">
                  <c:v>-2.8695618490842234E-2</c:v>
                </c:pt>
                <c:pt idx="928">
                  <c:v>2.4570953325171452E-2</c:v>
                </c:pt>
                <c:pt idx="929">
                  <c:v>7.5305447162802963E-2</c:v>
                </c:pt>
                <c:pt idx="930">
                  <c:v>0.12310443920082204</c:v>
                </c:pt>
                <c:pt idx="931">
                  <c:v>0.16761292416052553</c:v>
                </c:pt>
                <c:pt idx="932">
                  <c:v>0.20852679055166079</c:v>
                </c:pt>
                <c:pt idx="933">
                  <c:v>0.24559462987805469</c:v>
                </c:pt>
                <c:pt idx="934">
                  <c:v>0.27861887247546924</c:v>
                </c:pt>
                <c:pt idx="935">
                  <c:v>0.3074562506652182</c:v>
                </c:pt>
                <c:pt idx="936">
                  <c:v>0.33201759780632867</c:v>
                </c:pt>
                <c:pt idx="937">
                  <c:v>0.35226699952782803</c:v>
                </c:pt>
                <c:pt idx="938">
                  <c:v>0.36822032083278572</c:v>
                </c:pt>
                <c:pt idx="939">
                  <c:v>0.37994313980658162</c:v>
                </c:pt>
                <c:pt idx="940">
                  <c:v>0.38754812525643517</c:v>
                </c:pt>
                <c:pt idx="941">
                  <c:v>0.39119190168353485</c:v>
                </c:pt>
                <c:pt idx="942">
                  <c:v>0.39107145048003306</c:v>
                </c:pt>
                <c:pt idx="943">
                  <c:v>0.38742010109282154</c:v>
                </c:pt>
                <c:pt idx="944">
                  <c:v>0.38050317005139178</c:v>
                </c:pt>
                <c:pt idx="945">
                  <c:v>0.37061330917974367</c:v>
                </c:pt>
                <c:pt idx="946">
                  <c:v>0.35806562696556743</c:v>
                </c:pt>
                <c:pt idx="947">
                  <c:v>0.3431926489227316</c:v>
                </c:pt>
                <c:pt idx="948">
                  <c:v>0.32633918383694693</c:v>
                </c:pt>
                <c:pt idx="949">
                  <c:v>0.30785716302624189</c:v>
                </c:pt>
                <c:pt idx="950">
                  <c:v>0.28810051918098067</c:v>
                </c:pt>
                <c:pt idx="951">
                  <c:v>0.26742016998368934</c:v>
                </c:pt>
                <c:pt idx="952">
                  <c:v>0.24615916957113759</c:v>
                </c:pt>
                <c:pt idx="953">
                  <c:v>0.22464808802044134</c:v>
                </c:pt>
                <c:pt idx="954">
                  <c:v>0.2032006754552671</c:v>
                </c:pt>
                <c:pt idx="955">
                  <c:v>0.18210986312659561</c:v>
                </c:pt>
                <c:pt idx="956">
                  <c:v>0.16164414897890489</c:v>
                </c:pt>
                <c:pt idx="957">
                  <c:v>0.14204440982762034</c:v>
                </c:pt>
                <c:pt idx="958">
                  <c:v>0.12352117641573801</c:v>
                </c:pt>
                <c:pt idx="959">
                  <c:v>0.10625240135850289</c:v>
                </c:pt>
                <c:pt idx="960">
                  <c:v>9.0381743401566572E-2</c:v>
                </c:pt>
                <c:pt idx="961">
                  <c:v>7.6017384591100523E-2</c:v>
                </c:pt>
                <c:pt idx="962">
                  <c:v>6.3231389965950902E-2</c:v>
                </c:pt>
                <c:pt idx="963">
                  <c:v>5.2059612317010284E-2</c:v>
                </c:pt>
                <c:pt idx="964">
                  <c:v>4.2502137502483883E-2</c:v>
                </c:pt>
                <c:pt idx="965">
                  <c:v>3.4524258843493305E-2</c:v>
                </c:pt>
                <c:pt idx="966">
                  <c:v>2.8057962337119324E-2</c:v>
                </c:pt>
                <c:pt idx="967">
                  <c:v>2.3003897892885039E-2</c:v>
                </c:pt>
                <c:pt idx="968">
                  <c:v>1.9233805603243281E-2</c:v>
                </c:pt>
                <c:pt idx="969">
                  <c:v>1.6593360270366952E-2</c:v>
                </c:pt>
                <c:pt idx="970">
                  <c:v>1.4905392101567494E-2</c:v>
                </c:pt>
                <c:pt idx="971">
                  <c:v>1.3973436715304266E-2</c:v>
                </c:pt>
                <c:pt idx="972">
                  <c:v>1.3585563425093483E-2</c:v>
                </c:pt>
                <c:pt idx="973">
                  <c:v>1.3518427241294734E-2</c:v>
                </c:pt>
                <c:pt idx="974">
                  <c:v>1.3541487190592769E-2</c:v>
                </c:pt>
                <c:pt idx="975">
                  <c:v>1.342133143340446E-2</c:v>
                </c:pt>
                <c:pt idx="976">
                  <c:v>1.2926048287958014E-2</c:v>
                </c:pt>
                <c:pt idx="977">
                  <c:v>1.1829581660541821E-2</c:v>
                </c:pt>
                <c:pt idx="978">
                  <c:v>9.9160095417458738E-3</c:v>
                </c:pt>
                <c:pt idx="979">
                  <c:v>6.98368515911163E-3</c:v>
                </c:pt>
                <c:pt idx="980">
                  <c:v>2.8491820643965493E-3</c:v>
                </c:pt>
                <c:pt idx="981">
                  <c:v>-2.6490131408478668E-3</c:v>
                </c:pt>
                <c:pt idx="982">
                  <c:v>-9.6471136006499592E-3</c:v>
                </c:pt>
                <c:pt idx="983">
                  <c:v>-1.8252999870672415E-2</c:v>
                </c:pt>
                <c:pt idx="984">
                  <c:v>-2.8543587366985479E-2</c:v>
                </c:pt>
                <c:pt idx="985">
                  <c:v>-4.05626334941116E-2</c:v>
                </c:pt>
                <c:pt idx="986">
                  <c:v>-5.4319018816731512E-2</c:v>
                </c:pt>
                <c:pt idx="987">
                  <c:v>-6.9785530655329886E-2</c:v>
                </c:pt>
                <c:pt idx="988">
                  <c:v>-8.6898171119360601E-2</c:v>
                </c:pt>
                <c:pt idx="989">
                  <c:v>-0.10555600491967909</c:v>
                </c:pt>
                <c:pt idx="990">
                  <c:v>-0.12562155540244824</c:v>
                </c:pt>
                <c:pt idx="991">
                  <c:v>-0.14692175020293208</c:v>
                </c:pt>
                <c:pt idx="992">
                  <c:v>-0.16924941081236233</c:v>
                </c:pt>
                <c:pt idx="993">
                  <c:v>-0.1923652732706489</c:v>
                </c:pt>
                <c:pt idx="994">
                  <c:v>-0.21600052022649852</c:v>
                </c:pt>
                <c:pt idx="995">
                  <c:v>-0.23985979782889566</c:v>
                </c:pt>
                <c:pt idx="996">
                  <c:v>-0.26362468441252362</c:v>
                </c:pt>
                <c:pt idx="997">
                  <c:v>-0.28695757179327397</c:v>
                </c:pt>
                <c:pt idx="998">
                  <c:v>-0.30950591427504492</c:v>
                </c:pt>
                <c:pt idx="999">
                  <c:v>-0.33090679525622635</c:v>
                </c:pt>
                <c:pt idx="1000">
                  <c:v>-0.35079175667848783</c:v>
                </c:pt>
                <c:pt idx="1001">
                  <c:v>-0.36879183254244874</c:v>
                </c:pt>
                <c:pt idx="1002">
                  <c:v>-0.3845427243758176</c:v>
                </c:pt>
                <c:pt idx="1003">
                  <c:v>-0.39769005392384232</c:v>
                </c:pt>
                <c:pt idx="1004">
                  <c:v>-0.40789462647788277</c:v>
                </c:pt>
                <c:pt idx="1005">
                  <c:v>-0.4148376371920553</c:v>
                </c:pt>
                <c:pt idx="1006">
                  <c:v>-0.41822575247880145</c:v>
                </c:pt>
                <c:pt idx="1007">
                  <c:v>-0.41779599913422705</c:v>
                </c:pt>
                <c:pt idx="1008">
                  <c:v>-0.41332039522032143</c:v>
                </c:pt>
                <c:pt idx="1009">
                  <c:v>-0.40461025891780272</c:v>
                </c:pt>
                <c:pt idx="1010">
                  <c:v>-0.39152013453871526</c:v>
                </c:pt>
                <c:pt idx="1011">
                  <c:v>-0.37395127862792654</c:v>
                </c:pt>
                <c:pt idx="1012">
                  <c:v>-0.35185465354814416</c:v>
                </c:pt>
                <c:pt idx="1013">
                  <c:v>-0.32523338108882749</c:v>
                </c:pt>
                <c:pt idx="1014">
                  <c:v>-0.29414461441427253</c:v>
                </c:pt>
                <c:pt idx="1015">
                  <c:v>-0.25870079300686522</c:v>
                </c:pt>
                <c:pt idx="1016">
                  <c:v>-0.21907025210021835</c:v>
                </c:pt>
                <c:pt idx="1017">
                  <c:v>-0.1754771653614533</c:v>
                </c:pt>
                <c:pt idx="1018">
                  <c:v>-0.12820080719031468</c:v>
                </c:pt>
                <c:pt idx="1019">
                  <c:v>-7.7574128871206849E-2</c:v>
                </c:pt>
                <c:pt idx="1020">
                  <c:v>-2.3981650856241155E-2</c:v>
                </c:pt>
                <c:pt idx="1021">
                  <c:v>3.2143318419679101E-2</c:v>
                </c:pt>
                <c:pt idx="1022">
                  <c:v>9.032211867870088E-2</c:v>
                </c:pt>
                <c:pt idx="1023">
                  <c:v>0.15003480237280509</c:v>
                </c:pt>
                <c:pt idx="1024">
                  <c:v>0.2107247933559544</c:v>
                </c:pt>
                <c:pt idx="1025">
                  <c:v>0.2718040977985241</c:v>
                </c:pt>
                <c:pt idx="1026">
                  <c:v>0.33265901834027023</c:v>
                </c:pt>
                <c:pt idx="1027">
                  <c:v>0.39265631579470228</c:v>
                </c:pt>
                <c:pt idx="1028">
                  <c:v>0.45114975657819367</c:v>
                </c:pt>
                <c:pt idx="1029">
                  <c:v>0.50748697851776359</c:v>
                </c:pt>
                <c:pt idx="1030">
                  <c:v>0.56101660286170629</c:v>
                </c:pt>
                <c:pt idx="1031">
                  <c:v>0.61109551624020741</c:v>
                </c:pt>
                <c:pt idx="1032">
                  <c:v>0.65709624305274461</c:v>
                </c:pt>
                <c:pt idx="1033">
                  <c:v>0.69841432634305312</c:v>
                </c:pt>
                <c:pt idx="1034">
                  <c:v>0.73447563369740942</c:v>
                </c:pt>
                <c:pt idx="1035">
                  <c:v>0.76474350409518554</c:v>
                </c:pt>
                <c:pt idx="1036">
                  <c:v>0.78872565197161493</c:v>
                </c:pt>
                <c:pt idx="1037">
                  <c:v>0.80598074602790593</c:v>
                </c:pt>
                <c:pt idx="1038">
                  <c:v>0.81612458254009901</c:v>
                </c:pt>
                <c:pt idx="1039">
                  <c:v>0.81883577606429692</c:v>
                </c:pt>
                <c:pt idx="1040">
                  <c:v>0.81386089448685461</c:v>
                </c:pt>
                <c:pt idx="1041">
                  <c:v>0.8010189702897007</c:v>
                </c:pt>
                <c:pt idx="1042">
                  <c:v>0.78020532565183753</c:v>
                </c:pt>
                <c:pt idx="1043">
                  <c:v>0.75139465553282592</c:v>
                </c:pt>
                <c:pt idx="1044">
                  <c:v>0.71464332012028875</c:v>
                </c:pt>
                <c:pt idx="1045">
                  <c:v>0.67009080590275161</c:v>
                </c:pt>
                <c:pt idx="1046">
                  <c:v>0.61796032307062354</c:v>
                </c:pt>
                <c:pt idx="1047">
                  <c:v>0.5585585158663009</c:v>
                </c:pt>
                <c:pt idx="1048">
                  <c:v>0.49227427181011585</c:v>
                </c:pt>
                <c:pt idx="1049">
                  <c:v>0.41957662532183893</c:v>
                </c:pt>
                <c:pt idx="1050">
                  <c:v>0.34101176103985642</c:v>
                </c:pt>
                <c:pt idx="1051">
                  <c:v>0.25719913200481503</c:v>
                </c:pt>
                <c:pt idx="1052">
                  <c:v>0.16882671771842017</c:v>
                </c:pt>
                <c:pt idx="1053">
                  <c:v>7.6645456801646139E-2</c:v>
                </c:pt>
                <c:pt idx="1054">
                  <c:v>-1.8537101546419965E-2</c:v>
                </c:pt>
                <c:pt idx="1055">
                  <c:v>-0.11586387395164111</c:v>
                </c:pt>
                <c:pt idx="1056">
                  <c:v>-0.21443598510151629</c:v>
                </c:pt>
                <c:pt idx="1057">
                  <c:v>-0.31332110564032556</c:v>
                </c:pt>
                <c:pt idx="1058">
                  <c:v>-0.41156230803846916</c:v>
                </c:pt>
                <c:pt idx="1059">
                  <c:v>-0.50818735597017684</c:v>
                </c:pt>
                <c:pt idx="1060">
                  <c:v>-0.60221833676087777</c:v>
                </c:pt>
                <c:pt idx="1061">
                  <c:v>-0.69268154137528204</c:v>
                </c:pt>
                <c:pt idx="1062">
                  <c:v>-0.77861749227557375</c:v>
                </c:pt>
                <c:pt idx="1063">
                  <c:v>-0.8590910163413038</c:v>
                </c:pt>
                <c:pt idx="1064">
                  <c:v>-0.93320125795508113</c:v>
                </c:pt>
                <c:pt idx="1065">
                  <c:v>-1.0000915263560226</c:v>
                </c:pt>
                <c:pt idx="1066">
                  <c:v>-1.0589588714695171</c:v>
                </c:pt>
                <c:pt idx="1067">
                  <c:v>-1.1090632836507839</c:v>
                </c:pt>
                <c:pt idx="1068">
                  <c:v>-1.1497364151310148</c:v>
                </c:pt>
                <c:pt idx="1069">
                  <c:v>-1.1803897244166364</c:v>
                </c:pt>
                <c:pt idx="1070">
                  <c:v>-1.200521949443428</c:v>
                </c:pt>
                <c:pt idx="1071">
                  <c:v>-1.2097258208904837</c:v>
                </c:pt>
                <c:pt idx="1072">
                  <c:v>-1.2076939336704742</c:v>
                </c:pt>
                <c:pt idx="1073">
                  <c:v>-1.1942237021720761</c:v>
                </c:pt>
                <c:pt idx="1074">
                  <c:v>-1.1692213332728172</c:v>
                </c:pt>
                <c:pt idx="1075">
                  <c:v>-1.1327047603856095</c:v>
                </c:pt>
                <c:pt idx="1076">
                  <c:v>-1.0848054917623449</c:v>
                </c:pt>
                <c:pt idx="1077">
                  <c:v>-1.0257693368595624</c:v>
                </c:pt>
                <c:pt idx="1078">
                  <c:v>-0.9559559856687726</c:v>
                </c:pt>
                <c:pt idx="1079">
                  <c:v>-0.87583742741754944</c:v>
                </c:pt>
                <c:pt idx="1080">
                  <c:v>-0.78599520684402058</c:v>
                </c:pt>
                <c:pt idx="1081">
                  <c:v>-0.68711652821490565</c:v>
                </c:pt>
                <c:pt idx="1082">
                  <c:v>-0.57998922927326313</c:v>
                </c:pt>
                <c:pt idx="1083">
                  <c:v>-0.46549565924428449</c:v>
                </c:pt>
                <c:pt idx="1084">
                  <c:v>-0.34460550676848123</c:v>
                </c:pt>
                <c:pt idx="1085">
                  <c:v>-0.21836763504761314</c:v>
                </c:pt>
                <c:pt idx="1086">
                  <c:v>-8.7900992459242877E-2</c:v>
                </c:pt>
                <c:pt idx="1087">
                  <c:v>4.5615322699922745E-2</c:v>
                </c:pt>
                <c:pt idx="1088">
                  <c:v>0.1809527549574006</c:v>
                </c:pt>
                <c:pt idx="1089">
                  <c:v>0.31684464457309836</c:v>
                </c:pt>
                <c:pt idx="1090">
                  <c:v>0.45199813524313348</c:v>
                </c:pt>
                <c:pt idx="1091">
                  <c:v>0.5851065241645661</c:v>
                </c:pt>
                <c:pt idx="1092">
                  <c:v>0.71486193602742132</c:v>
                </c:pt>
                <c:pt idx="1093">
                  <c:v>0.83996819764092923</c:v>
                </c:pt>
                <c:pt idx="1094">
                  <c:v>0.95915378624455994</c:v>
                </c:pt>
                <c:pt idx="1095">
                  <c:v>1.0711847221515565</c:v>
                </c:pt>
                <c:pt idx="1096">
                  <c:v>1.1748772752619907</c:v>
                </c:pt>
                <c:pt idx="1097">
                  <c:v>1.2691103551898917</c:v>
                </c:pt>
                <c:pt idx="1098">
                  <c:v>1.3528374562863177</c:v>
                </c:pt>
                <c:pt idx="1099">
                  <c:v>1.4250980317071542</c:v>
                </c:pt>
                <c:pt idx="1100">
                  <c:v>1.4850281748556153</c:v>
                </c:pt>
                <c:pt idx="1101">
                  <c:v>1.5318704919958661</c:v>
                </c:pt>
                <c:pt idx="1102">
                  <c:v>1.5649830565453577</c:v>
                </c:pt>
                <c:pt idx="1103">
                  <c:v>1.5838473434533158</c:v>
                </c:pt>
                <c:pt idx="1104">
                  <c:v>1.5880750510929802</c:v>
                </c:pt>
                <c:pt idx="1105">
                  <c:v>1.5774137281577185</c:v>
                </c:pt>
                <c:pt idx="1106">
                  <c:v>1.5517511340630783</c:v>
                </c:pt>
                <c:pt idx="1107">
                  <c:v>1.5111182732159161</c:v>
                </c:pt>
                <c:pt idx="1108">
                  <c:v>1.4556910561086107</c:v>
                </c:pt>
                <c:pt idx="1109">
                  <c:v>1.3857905534089041</c:v>
                </c:pt>
                <c:pt idx="1110">
                  <c:v>1.3018818229162457</c:v>
                </c:pt>
                <c:pt idx="1111">
                  <c:v>1.2045713033125911</c:v>
                </c:pt>
                <c:pt idx="1112">
                  <c:v>1.0946027829071308</c:v>
                </c:pt>
                <c:pt idx="1113">
                  <c:v>0.97285196592161027</c:v>
                </c:pt>
                <c:pt idx="1114">
                  <c:v>0.84031967313807265</c:v>
                </c:pt>
                <c:pt idx="1115">
                  <c:v>0.69812372779266041</c:v>
                </c:pt>
                <c:pt idx="1116">
                  <c:v>0.54748959130074093</c:v>
                </c:pt>
                <c:pt idx="1117">
                  <c:v>0.38973982659850193</c:v>
                </c:pt>
                <c:pt idx="1118">
                  <c:v>0.22628247944819613</c:v>
                </c:pt>
                <c:pt idx="1119">
                  <c:v>5.8598479843241069E-2</c:v>
                </c:pt>
                <c:pt idx="1120">
                  <c:v>-0.11177182346048009</c:v>
                </c:pt>
                <c:pt idx="1121">
                  <c:v>-0.28324287238645973</c:v>
                </c:pt>
                <c:pt idx="1122">
                  <c:v>-0.45419872130450756</c:v>
                </c:pt>
                <c:pt idx="1123">
                  <c:v>-0.62300833195263827</c:v>
                </c:pt>
                <c:pt idx="1124">
                  <c:v>-0.78804119613337886</c:v>
                </c:pt>
                <c:pt idx="1125">
                  <c:v>-0.94768313598173859</c:v>
                </c:pt>
                <c:pt idx="1126">
                  <c:v>-1.1003521282290405</c:v>
                </c:pt>
                <c:pt idx="1127">
                  <c:v>-1.2445139970103467</c:v>
                </c:pt>
                <c:pt idx="1128">
                  <c:v>-1.3786978194171144</c:v>
                </c:pt>
                <c:pt idx="1129">
                  <c:v>-1.5015108891983329</c:v>
                </c:pt>
                <c:pt idx="1130">
                  <c:v>-1.6116530867656571</c:v>
                </c:pt>
                <c:pt idx="1131">
                  <c:v>-1.7079305079477556</c:v>
                </c:pt>
                <c:pt idx="1132">
                  <c:v>-1.7892682097382064</c:v>
                </c:pt>
                <c:pt idx="1133">
                  <c:v>-1.8547219385449409</c:v>
                </c:pt>
                <c:pt idx="1134">
                  <c:v>-1.9034887151197644</c:v>
                </c:pt>
                <c:pt idx="1135">
                  <c:v>-1.9349161603496188</c:v>
                </c:pt>
                <c:pt idx="1136">
                  <c:v>-1.9485104573388252</c:v>
                </c:pt>
                <c:pt idx="1137">
                  <c:v>-1.943942857604537</c:v>
                </c:pt>
                <c:pt idx="1138">
                  <c:v>-1.9210546526317098</c:v>
                </c:pt>
                <c:pt idx="1139">
                  <c:v>-1.8798605463642022</c:v>
                </c:pt>
                <c:pt idx="1140">
                  <c:v>-1.8205503793129092</c:v>
                </c:pt>
                <c:pt idx="1141">
                  <c:v>-1.7434891706949378</c:v>
                </c:pt>
                <c:pt idx="1142">
                  <c:v>-1.6492154612287417</c:v>
                </c:pt>
                <c:pt idx="1143">
                  <c:v>-1.5384379557443506</c:v>
                </c:pt>
                <c:pt idx="1144">
                  <c:v>-1.4120304814618969</c:v>
                </c:pt>
                <c:pt idx="1145">
                  <c:v>-1.2710252944811993</c:v>
                </c:pt>
                <c:pt idx="1146">
                  <c:v>-1.1166047835470347</c:v>
                </c:pt>
                <c:pt idx="1147">
                  <c:v>-0.9500916363413312</c:v>
                </c:pt>
                <c:pt idx="1148">
                  <c:v>-0.77293754924168923</c:v>
                </c:pt>
                <c:pt idx="1149">
                  <c:v>-0.58671057651799829</c:v>
                </c:pt>
                <c:pt idx="1150">
                  <c:v>-0.39308122915873422</c:v>
                </c:pt>
                <c:pt idx="1151">
                  <c:v>-0.19380744677848982</c:v>
                </c:pt>
                <c:pt idx="1152">
                  <c:v>9.2814217786632014E-3</c:v>
                </c:pt>
                <c:pt idx="1153">
                  <c:v>0.214301482591718</c:v>
                </c:pt>
                <c:pt idx="1154">
                  <c:v>0.41933184943418467</c:v>
                </c:pt>
                <c:pt idx="1155">
                  <c:v>0.62243272089184298</c:v>
                </c:pt>
                <c:pt idx="1156">
                  <c:v>0.82166381096163432</c:v>
                </c:pt>
                <c:pt idx="1157">
                  <c:v>1.0151029572966126</c:v>
                </c:pt>
                <c:pt idx="1158">
                  <c:v>1.2008647279762017</c:v>
                </c:pt>
                <c:pt idx="1159">
                  <c:v>1.3771188461249433</c:v>
                </c:pt>
                <c:pt idx="1160">
                  <c:v>1.5421082519068694</c:v>
                </c:pt>
                <c:pt idx="1161">
                  <c:v>1.6941666233979973</c:v>
                </c:pt>
                <c:pt idx="1162">
                  <c:v>1.8317351815809066</c:v>
                </c:pt>
                <c:pt idx="1163">
                  <c:v>1.9533786101905328</c:v>
                </c:pt>
                <c:pt idx="1164">
                  <c:v>2.057799928328353</c:v>
                </c:pt>
                <c:pt idx="1165">
                  <c:v>2.1438541625962699</c:v>
                </c:pt>
                <c:pt idx="1166">
                  <c:v>2.2105606759075829</c:v>
                </c:pt>
                <c:pt idx="1167">
                  <c:v>2.2571140220197035</c:v>
                </c:pt>
                <c:pt idx="1168">
                  <c:v>2.2828932080976152</c:v>
                </c:pt>
                <c:pt idx="1169">
                  <c:v>2.2874692621379809</c:v>
                </c:pt>
                <c:pt idx="1170">
                  <c:v>2.2706110177276626</c:v>
                </c:pt>
                <c:pt idx="1171">
                  <c:v>2.2322890452342721</c:v>
                </c:pt>
                <c:pt idx="1172">
                  <c:v>2.1726776759719657</c:v>
                </c:pt>
                <c:pt idx="1173">
                  <c:v>2.0921550839906171</c:v>
                </c:pt>
                <c:pt idx="1174">
                  <c:v>1.9913014087253844</c:v>
                </c:pt>
                <c:pt idx="1175">
                  <c:v>1.8708949206410082</c:v>
                </c:pt>
                <c:pt idx="1176">
                  <c:v>1.7319062510259553</c:v>
                </c:pt>
                <c:pt idx="1177">
                  <c:v>1.5754907260500475</c:v>
                </c:pt>
                <c:pt idx="1178">
                  <c:v>1.4029788639118559</c:v>
                </c:pt>
                <c:pt idx="1179">
                  <c:v>1.2158651121816333</c:v>
                </c:pt>
                <c:pt idx="1180">
                  <c:v>1.0157949201098706</c:v>
                </c:pt>
                <c:pt idx="1181">
                  <c:v>0.80455025754581744</c:v>
                </c:pt>
                <c:pt idx="1182">
                  <c:v>0.58403370802146504</c:v>
                </c:pt>
                <c:pt idx="1183">
                  <c:v>0.35625127834231085</c:v>
                </c:pt>
                <c:pt idx="1184">
                  <c:v>0.12329408053637114</c:v>
                </c:pt>
                <c:pt idx="1185">
                  <c:v>-0.11268094589589994</c:v>
                </c:pt>
                <c:pt idx="1186">
                  <c:v>-0.34947109294353851</c:v>
                </c:pt>
                <c:pt idx="1187">
                  <c:v>-0.58484853688563287</c:v>
                </c:pt>
                <c:pt idx="1188">
                  <c:v>-0.81658139043018885</c:v>
                </c:pt>
                <c:pt idx="1189">
                  <c:v>-1.0424549544038593</c:v>
                </c:pt>
                <c:pt idx="1190">
                  <c:v>-1.260292965820951</c:v>
                </c:pt>
                <c:pt idx="1191">
                  <c:v>-1.467978637726514</c:v>
                </c:pt>
                <c:pt idx="1192">
                  <c:v>-1.6634752867517939</c:v>
                </c:pt>
                <c:pt idx="1193">
                  <c:v>-1.8448463468482936</c:v>
                </c:pt>
                <c:pt idx="1194">
                  <c:v>-2.0102745721689068</c:v>
                </c:pt>
                <c:pt idx="1195">
                  <c:v>-2.1580802385095055</c:v>
                </c:pt>
                <c:pt idx="1196">
                  <c:v>-2.2867381610624138</c:v>
                </c:pt>
                <c:pt idx="1197">
                  <c:v>-2.3948933563955226</c:v>
                </c:pt>
                <c:pt idx="1198">
                  <c:v>-2.4813751884707433</c:v>
                </c:pt>
                <c:pt idx="1199">
                  <c:v>-2.5452098520477966</c:v>
                </c:pt>
                <c:pt idx="1200">
                  <c:v>-2.58563106186388</c:v>
                </c:pt>
                <c:pt idx="1201">
                  <c:v>-2.6020888323994225</c:v>
                </c:pt>
                <c:pt idx="1202">
                  <c:v>-2.5942562506834523</c:v>
                </c:pt>
                <c:pt idx="1203">
                  <c:v>-2.5620341632967802</c:v>
                </c:pt>
                <c:pt idx="1204">
                  <c:v>-2.505553718321095</c:v>
                </c:pt>
                <c:pt idx="1205">
                  <c:v>-2.4251767232717882</c:v>
                </c:pt>
                <c:pt idx="1206">
                  <c:v>-2.321493800851183</c:v>
                </c:pt>
                <c:pt idx="1207">
                  <c:v>-2.1953203454661692</c:v>
                </c:pt>
                <c:pt idx="1208">
                  <c:v>-2.047690304666832</c:v>
                </c:pt>
                <c:pt idx="1209">
                  <c:v>-1.8798478307772213</c:v>
                </c:pt>
                <c:pt idx="1210">
                  <c:v>-1.6932368687985162</c:v>
                </c:pt>
                <c:pt idx="1211">
                  <c:v>-1.4894887669643593</c:v>
                </c:pt>
                <c:pt idx="1212">
                  <c:v>-1.270408015920756</c:v>
                </c:pt>
                <c:pt idx="1213">
                  <c:v>-1.0379562411907219</c:v>
                </c:pt>
                <c:pt idx="1214">
                  <c:v>-0.79423459118356632</c:v>
                </c:pt>
                <c:pt idx="1215">
                  <c:v>-0.54146467933981723</c:v>
                </c:pt>
                <c:pt idx="1216">
                  <c:v>-0.28196825390310365</c:v>
                </c:pt>
                <c:pt idx="1217">
                  <c:v>-1.814578212428497E-2</c:v>
                </c:pt>
                <c:pt idx="1218">
                  <c:v>0.24754585270722074</c:v>
                </c:pt>
                <c:pt idx="1219">
                  <c:v>0.51261633326496625</c:v>
                </c:pt>
                <c:pt idx="1220">
                  <c:v>0.77456535328685072</c:v>
                </c:pt>
                <c:pt idx="1221">
                  <c:v>1.0309063040884374</c:v>
                </c:pt>
                <c:pt idx="1222">
                  <c:v>1.2791899771494624</c:v>
                </c:pt>
                <c:pt idx="1223">
                  <c:v>1.5170280559371345</c:v>
                </c:pt>
                <c:pt idx="1224">
                  <c:v>1.742116170811455</c:v>
                </c:pt>
                <c:pt idx="1225">
                  <c:v>1.9522562937234111</c:v>
                </c:pt>
                <c:pt idx="1226">
                  <c:v>2.1453782544523716</c:v>
                </c:pt>
                <c:pt idx="1227">
                  <c:v>2.3195601672969755</c:v>
                </c:pt>
                <c:pt idx="1228">
                  <c:v>2.4730475663764677</c:v>
                </c:pt>
                <c:pt idx="1229">
                  <c:v>2.6042710589395321</c:v>
                </c:pt>
                <c:pt idx="1230">
                  <c:v>2.711862319216785</c:v>
                </c:pt>
                <c:pt idx="1231">
                  <c:v>2.7946682602748458</c:v>
                </c:pt>
                <c:pt idx="1232">
                  <c:v>2.8517632378998874</c:v>
                </c:pt>
                <c:pt idx="1233">
                  <c:v>2.8824591586047257</c:v>
                </c:pt>
                <c:pt idx="1234">
                  <c:v>2.8863133832505614</c:v>
                </c:pt>
                <c:pt idx="1235">
                  <c:v>2.8631343383207182</c:v>
                </c:pt>
                <c:pt idx="1236">
                  <c:v>2.8129847683882692</c:v>
                </c:pt>
                <c:pt idx="1237">
                  <c:v>2.7361825855778008</c:v>
                </c:pt>
                <c:pt idx="1238">
                  <c:v>2.6332992946249325</c:v>
                </c:pt>
                <c:pt idx="1239">
                  <c:v>2.5051559952669495</c:v>
                </c:pt>
                <c:pt idx="1240">
                  <c:v>2.3528169869319044</c:v>
                </c:pt>
                <c:pt idx="1241">
                  <c:v>2.1775810238103408</c:v>
                </c:pt>
                <c:pt idx="1242">
                  <c:v>1.9809702911678972</c:v>
                </c:pt>
                <c:pt idx="1243">
                  <c:v>1.7647171959667338</c:v>
                </c:pt>
                <c:pt idx="1244">
                  <c:v>1.5307490862943285</c:v>
                </c:pt>
                <c:pt idx="1245">
                  <c:v>1.2811710345369307</c:v>
                </c:pt>
                <c:pt idx="1246">
                  <c:v>1.0182468384797796</c:v>
                </c:pt>
                <c:pt idx="1247">
                  <c:v>0.74437841237803548</c:v>
                </c:pt>
                <c:pt idx="1248">
                  <c:v>0.46208375633992227</c:v>
                </c:pt>
                <c:pt idx="1249">
                  <c:v>0.17397370693227288</c:v>
                </c:pt>
                <c:pt idx="1250">
                  <c:v>-0.11727231538808014</c:v>
                </c:pt>
                <c:pt idx="1251">
                  <c:v>-0.40893133572943929</c:v>
                </c:pt>
                <c:pt idx="1252">
                  <c:v>-0.69826239625645148</c:v>
                </c:pt>
                <c:pt idx="1253">
                  <c:v>-0.98253242851595912</c:v>
                </c:pt>
                <c:pt idx="1254">
                  <c:v>-1.2590421813315202</c:v>
                </c:pt>
                <c:pt idx="1255">
                  <c:v>-1.5251519572697552</c:v>
                </c:pt>
                <c:pt idx="1256">
                  <c:v>-1.7783069113143708</c:v>
                </c:pt>
                <c:pt idx="1257">
                  <c:v>-2.0160616683825077</c:v>
                </c:pt>
                <c:pt idx="1258">
                  <c:v>-2.2361040216669332</c:v>
                </c:pt>
                <c:pt idx="1259">
                  <c:v>-2.4362774814451473</c:v>
                </c:pt>
                <c:pt idx="1260">
                  <c:v>-2.6146024538989447</c:v>
                </c:pt>
                <c:pt idx="1261">
                  <c:v>-2.7692958415513456</c:v>
                </c:pt>
                <c:pt idx="1262">
                  <c:v>-2.8987888710450505</c:v>
                </c:pt>
                <c:pt idx="1263">
                  <c:v>-3.0017429700311338</c:v>
                </c:pt>
                <c:pt idx="1264">
                  <c:v>-3.0770635327632956</c:v>
                </c:pt>
                <c:pt idx="1265">
                  <c:v>-3.1239114334373568</c:v>
                </c:pt>
                <c:pt idx="1266">
                  <c:v>-3.1417121671986732</c:v>
                </c:pt>
                <c:pt idx="1267">
                  <c:v>-3.1301625208670831</c:v>
                </c:pt>
                <c:pt idx="1268">
                  <c:v>-3.0892346985918517</c:v>
                </c:pt>
                <c:pt idx="1269">
                  <c:v>-3.0191778516310661</c:v>
                </c:pt>
                <c:pt idx="1270">
                  <c:v>-2.9205169860231872</c:v>
                </c:pt>
                <c:pt idx="1271">
                  <c:v>-2.7940492468487919</c:v>
                </c:pt>
                <c:pt idx="1272">
                  <c:v>-2.6408376028317884</c:v>
                </c:pt>
                <c:pt idx="1273">
                  <c:v>-2.4622019799599082</c:v>
                </c:pt>
                <c:pt idx="1274">
                  <c:v>-2.2597079173736634</c:v>
                </c:pt>
                <c:pt idx="1275">
                  <c:v>-2.0351528427462009</c:v>
                </c:pt>
                <c:pt idx="1276">
                  <c:v>-1.7905500875176954</c:v>
                </c:pt>
                <c:pt idx="1277">
                  <c:v>-1.5281107844346222</c:v>
                </c:pt>
                <c:pt idx="1278">
                  <c:v>-1.2502238106568058</c:v>
                </c:pt>
                <c:pt idx="1279">
                  <c:v>-0.95943395903220685</c:v>
                </c:pt>
                <c:pt idx="1280">
                  <c:v>-0.6584185378068379</c:v>
                </c:pt>
                <c:pt idx="1281">
                  <c:v>-0.34996261485880864</c:v>
                </c:pt>
                <c:pt idx="1282">
                  <c:v>-3.6933136364827535E-2</c:v>
                </c:pt>
                <c:pt idx="1283">
                  <c:v>0.27774783851991502</c:v>
                </c:pt>
                <c:pt idx="1284">
                  <c:v>0.59113053597809051</c:v>
                </c:pt>
                <c:pt idx="1285">
                  <c:v>0.90026524080873793</c:v>
                </c:pt>
                <c:pt idx="1286">
                  <c:v>1.2022301820292363</c:v>
                </c:pt>
                <c:pt idx="1287">
                  <c:v>1.494159266053404</c:v>
                </c:pt>
                <c:pt idx="1288">
                  <c:v>1.7732693931120949</c:v>
                </c:pt>
                <c:pt idx="1289">
                  <c:v>2.0368870955267164</c:v>
                </c:pt>
                <c:pt idx="1290">
                  <c:v>2.2824742419011472</c:v>
                </c:pt>
                <c:pt idx="1291">
                  <c:v>2.507652559219502</c:v>
                </c:pt>
                <c:pt idx="1292">
                  <c:v>2.7102267351608105</c:v>
                </c:pt>
                <c:pt idx="1293">
                  <c:v>2.8882058755761424</c:v>
                </c:pt>
                <c:pt idx="1294">
                  <c:v>3.0398231069058594</c:v>
                </c:pt>
                <c:pt idx="1295">
                  <c:v>3.1635531302112834</c:v>
                </c:pt>
                <c:pt idx="1296">
                  <c:v>3.2581275523009499</c:v>
                </c:pt>
                <c:pt idx="1297">
                  <c:v>3.322547839973538</c:v>
                </c:pt>
                <c:pt idx="1298">
                  <c:v>3.3560957654871855</c:v>
                </c:pt>
                <c:pt idx="1299">
                  <c:v>3.3583412347913839</c:v>
                </c:pt>
                <c:pt idx="1300">
                  <c:v>3.3291474146041624</c:v>
                </c:pt>
                <c:pt idx="1301">
                  <c:v>3.2686730998516111</c:v>
                </c:pt>
                <c:pt idx="1302">
                  <c:v>3.1773722890695368</c:v>
                </c:pt>
                <c:pt idx="1303">
                  <c:v>3.0559909618490746</c:v>
                </c:pt>
                <c:pt idx="1304">
                  <c:v>2.9055610790390043</c:v>
                </c:pt>
                <c:pt idx="1305">
                  <c:v>2.7273918529416634</c:v>
                </c:pt>
                <c:pt idx="1306">
                  <c:v>2.5230583609019055</c:v>
                </c:pt>
                <c:pt idx="1307">
                  <c:v>2.2943876012397828</c:v>
                </c:pt>
                <c:pt idx="1308">
                  <c:v>2.0434421151693032</c:v>
                </c:pt>
                <c:pt idx="1309">
                  <c:v>1.7725013219381625</c:v>
                </c:pt>
                <c:pt idx="1310">
                  <c:v>1.4840407366897044</c:v>
                </c:pt>
                <c:pt idx="1311">
                  <c:v>1.1807092612690058</c:v>
                </c:pt>
                <c:pt idx="1312">
                  <c:v>0.86530475716658328</c:v>
                </c:pt>
                <c:pt idx="1313">
                  <c:v>0.54074812683097051</c:v>
                </c:pt>
                <c:pt idx="1314">
                  <c:v>0.21005614451393939</c:v>
                </c:pt>
                <c:pt idx="1315">
                  <c:v>-0.12368670951001559</c:v>
                </c:pt>
                <c:pt idx="1316">
                  <c:v>-0.45735714721115572</c:v>
                </c:pt>
                <c:pt idx="1317">
                  <c:v>-0.78782243161188437</c:v>
                </c:pt>
                <c:pt idx="1318">
                  <c:v>-1.1119699189497125</c:v>
                </c:pt>
                <c:pt idx="1319">
                  <c:v>-1.4267365044008606</c:v>
                </c:pt>
                <c:pt idx="1320">
                  <c:v>-1.7291376916216321</c:v>
                </c:pt>
                <c:pt idx="1321">
                  <c:v>-2.0162960090841069</c:v>
                </c:pt>
                <c:pt idx="1322">
                  <c:v>-2.285468501553892</c:v>
                </c:pt>
                <c:pt idx="1323">
                  <c:v>-2.5340730330345029</c:v>
                </c:pt>
                <c:pt idx="1324">
                  <c:v>-2.7597131480188111</c:v>
                </c:pt>
                <c:pt idx="1325">
                  <c:v>-2.9602012508491375</c:v>
                </c:pt>
                <c:pt idx="1326">
                  <c:v>-3.1335798782762128</c:v>
                </c:pt>
                <c:pt idx="1327">
                  <c:v>-3.2781408577851541</c:v>
                </c:pt>
                <c:pt idx="1328">
                  <c:v>-3.3924421637623619</c:v>
                </c:pt>
                <c:pt idx="1329">
                  <c:v>-3.4753223049297448</c:v>
                </c:pt>
                <c:pt idx="1330">
                  <c:v>-3.5259120994738185</c:v>
                </c:pt>
                <c:pt idx="1331">
                  <c:v>-3.5436437187309533</c:v>
                </c:pt>
                <c:pt idx="1332">
                  <c:v>-3.5282569059273348</c:v>
                </c:pt>
                <c:pt idx="1333">
                  <c:v>-3.4798023030712955</c:v>
                </c:pt>
                <c:pt idx="1334">
                  <c:v>-3.3986418464044625</c:v>
                </c:pt>
                <c:pt idx="1335">
                  <c:v>-3.2854462185785978</c:v>
                </c:pt>
                <c:pt idx="1336">
                  <c:v>-3.1411893736725878</c:v>
                </c:pt>
                <c:pt idx="1337">
                  <c:v>-2.9671401790315568</c:v>
                </c:pt>
                <c:pt idx="1338">
                  <c:v>-2.764851245432888</c:v>
                </c:pt>
                <c:pt idx="1339">
                  <c:v>-2.5361450439969433</c:v>
                </c:pt>
                <c:pt idx="1340">
                  <c:v>-2.2830974343044499</c:v>
                </c:pt>
                <c:pt idx="1341">
                  <c:v>-2.0080187531091918</c:v>
                </c:pt>
                <c:pt idx="1342">
                  <c:v>-1.71343263660009</c:v>
                </c:pt>
                <c:pt idx="1343">
                  <c:v>-1.4020527711453541</c:v>
                </c:pt>
                <c:pt idx="1344">
                  <c:v>-1.0767577876263914</c:v>
                </c:pt>
                <c:pt idx="1345">
                  <c:v>-0.74056453264686661</c:v>
                </c:pt>
                <c:pt idx="1346">
                  <c:v>-0.39659996590193547</c:v>
                </c:pt>
                <c:pt idx="1347">
                  <c:v>-4.8071946656201847E-2</c:v>
                </c:pt>
                <c:pt idx="1348">
                  <c:v>0.30176081652726072</c:v>
                </c:pt>
                <c:pt idx="1349">
                  <c:v>0.64961937005543047</c:v>
                </c:pt>
                <c:pt idx="1350">
                  <c:v>0.99223538488380014</c:v>
                </c:pt>
                <c:pt idx="1351">
                  <c:v>1.3263819995144353</c:v>
                </c:pt>
                <c:pt idx="1352">
                  <c:v>1.648904344093151</c:v>
                </c:pt>
                <c:pt idx="1353">
                  <c:v>1.9567494556379159</c:v>
                </c:pt>
                <c:pt idx="1354">
                  <c:v>2.2469952995478</c:v>
                </c:pt>
                <c:pt idx="1355">
                  <c:v>2.5168786203830749</c:v>
                </c:pt>
                <c:pt idx="1356">
                  <c:v>2.7638213554031505</c:v>
                </c:pt>
                <c:pt idx="1357">
                  <c:v>2.985455357404124</c:v>
                </c:pt>
                <c:pt idx="1358">
                  <c:v>3.1796451888946047</c:v>
                </c:pt>
                <c:pt idx="1359">
                  <c:v>3.3445087674438438</c:v>
                </c:pt>
                <c:pt idx="1360">
                  <c:v>3.4784356619644159</c:v>
                </c:pt>
                <c:pt idx="1361">
                  <c:v>3.5801028615684176</c:v>
                </c:pt>
                <c:pt idx="1362">
                  <c:v>3.6484878622557551</c:v>
                </c:pt>
                <c:pt idx="1363">
                  <c:v>3.682878941834328</c:v>
                </c:pt>
                <c:pt idx="1364">
                  <c:v>3.6828825198978352</c:v>
                </c:pt>
                <c:pt idx="1365">
                  <c:v>3.6484275271484314</c:v>
                </c:pt>
                <c:pt idx="1366">
                  <c:v>3.5797667365881098</c:v>
                </c:pt>
                <c:pt idx="1367">
                  <c:v>3.4774750378474106</c:v>
                </c:pt>
                <c:pt idx="1368">
                  <c:v>3.3424446648994746</c:v>
                </c:pt>
                <c:pt idx="1369">
                  <c:v>3.1758774163450516</c:v>
                </c:pt>
                <c:pt idx="1370">
                  <c:v>2.9792739360753275</c:v>
                </c:pt>
                <c:pt idx="1371">
                  <c:v>2.754420150149107</c:v>
                </c:pt>
                <c:pt idx="1372">
                  <c:v>2.5033709828922617</c:v>
                </c:pt>
                <c:pt idx="1373">
                  <c:v>2.228431501278616</c:v>
                </c:pt>
                <c:pt idx="1374">
                  <c:v>1.9321356613320224</c:v>
                </c:pt>
                <c:pt idx="1375">
                  <c:v>1.6172228533644331</c:v>
                </c:pt>
                <c:pt idx="1376">
                  <c:v>1.2866124641064061</c:v>
                </c:pt>
                <c:pt idx="1377">
                  <c:v>0.94337669299301319</c:v>
                </c:pt>
                <c:pt idx="1378">
                  <c:v>0.59071187685345516</c:v>
                </c:pt>
                <c:pt idx="1379">
                  <c:v>0.23190859184646795</c:v>
                </c:pt>
                <c:pt idx="1380">
                  <c:v>-0.12967918645283483</c:v>
                </c:pt>
                <c:pt idx="1381">
                  <c:v>-0.49066557449475545</c:v>
                </c:pt>
                <c:pt idx="1382">
                  <c:v>-0.84766462673927767</c:v>
                </c:pt>
                <c:pt idx="1383">
                  <c:v>-1.1973222353417003</c:v>
                </c:pt>
                <c:pt idx="1384">
                  <c:v>-1.5363477816964106</c:v>
                </c:pt>
                <c:pt idx="1385">
                  <c:v>-1.8615452398646357</c:v>
                </c:pt>
                <c:pt idx="1386">
                  <c:v>-2.169843436634316</c:v>
                </c:pt>
                <c:pt idx="1387">
                  <c:v>-2.4583251804958541</c:v>
                </c:pt>
                <c:pt idx="1388">
                  <c:v>-2.7242549821024546</c:v>
                </c:pt>
                <c:pt idx="1389">
                  <c:v>-2.9651051017201135</c:v>
                </c:pt>
                <c:pt idx="1390">
                  <c:v>-3.1785796746416271</c:v>
                </c:pt>
                <c:pt idx="1391">
                  <c:v>-3.3626366834002881</c:v>
                </c:pt>
                <c:pt idx="1392">
                  <c:v>-3.5155075657020274</c:v>
                </c:pt>
                <c:pt idx="1393">
                  <c:v>-3.6357142691127837</c:v>
                </c:pt>
                <c:pt idx="1394">
                  <c:v>-3.7220835874846405</c:v>
                </c:pt>
                <c:pt idx="1395">
                  <c:v>-3.7737586396508758</c:v>
                </c:pt>
                <c:pt idx="1396">
                  <c:v>-3.7902073778287484</c:v>
                </c:pt>
                <c:pt idx="1397">
                  <c:v>-3.7712280411824803</c:v>
                </c:pt>
                <c:pt idx="1398">
                  <c:v>-3.7169514988539158</c:v>
                </c:pt>
                <c:pt idx="1399">
                  <c:v>-3.6278404561900821</c:v>
                </c:pt>
                <c:pt idx="1400">
                  <c:v>-3.5046855276057531</c:v>
                </c:pt>
                <c:pt idx="1401">
                  <c:v>-3.3485982092339182</c:v>
                </c:pt>
                <c:pt idx="1402">
                  <c:v>-3.1610008139527941</c:v>
                </c:pt>
                <c:pt idx="1403">
                  <c:v>-2.9436134602551043</c:v>
                </c:pt>
                <c:pt idx="1404">
                  <c:v>-2.6984382344695046</c:v>
                </c:pt>
                <c:pt idx="1405">
                  <c:v>-2.4277406727839672</c:v>
                </c:pt>
                <c:pt idx="1406">
                  <c:v>-2.1340287351012948</c:v>
                </c:pt>
                <c:pt idx="1407">
                  <c:v>-1.8200294667336179</c:v>
                </c:pt>
                <c:pt idx="1408">
                  <c:v>-1.488663566081637</c:v>
                </c:pt>
                <c:pt idx="1409">
                  <c:v>-1.143018096536119</c:v>
                </c:pt>
                <c:pt idx="1410">
                  <c:v>-0.78631759869098861</c:v>
                </c:pt>
                <c:pt idx="1411">
                  <c:v>-0.42189387439239012</c:v>
                </c:pt>
                <c:pt idx="1412">
                  <c:v>-5.3154727021061277E-2</c:v>
                </c:pt>
                <c:pt idx="1413">
                  <c:v>0.31644804740851462</c:v>
                </c:pt>
                <c:pt idx="1414">
                  <c:v>0.68345111635382449</c:v>
                </c:pt>
                <c:pt idx="1415">
                  <c:v>1.0444122075413755</c:v>
                </c:pt>
                <c:pt idx="1416">
                  <c:v>1.3959425383120183</c:v>
                </c:pt>
                <c:pt idx="1417">
                  <c:v>1.734738770670385</c:v>
                </c:pt>
                <c:pt idx="1418">
                  <c:v>2.05761418940721</c:v>
                </c:pt>
                <c:pt idx="1419">
                  <c:v>2.3615288077531789</c:v>
                </c:pt>
                <c:pt idx="1420">
                  <c:v>2.6436181149288407</c:v>
                </c:pt>
                <c:pt idx="1421">
                  <c:v>2.9012201925806957</c:v>
                </c:pt>
                <c:pt idx="1422">
                  <c:v>3.1319009423217041</c:v>
                </c:pt>
                <c:pt idx="1423">
                  <c:v>3.3334771842855533</c:v>
                </c:pt>
                <c:pt idx="1424">
                  <c:v>3.5040374065877709</c:v>
                </c:pt>
                <c:pt idx="1425">
                  <c:v>3.6419599676759287</c:v>
                </c:pt>
                <c:pt idx="1426">
                  <c:v>3.7459285775390985</c:v>
                </c:pt>
                <c:pt idx="1427">
                  <c:v>3.8149449094037298</c:v>
                </c:pt>
                <c:pt idx="1428">
                  <c:v>3.8483382206273982</c:v>
                </c:pt>
                <c:pt idx="1429">
                  <c:v>3.8457718897576494</c:v>
                </c:pt>
                <c:pt idx="1430">
                  <c:v>3.8072468058804478</c:v>
                </c:pt>
                <c:pt idx="1431">
                  <c:v>3.7331015761662036</c:v>
                </c:pt>
                <c:pt idx="1432">
                  <c:v>3.6240095476473773</c:v>
                </c:pt>
                <c:pt idx="1433">
                  <c:v>3.4809726694433687</c:v>
                </c:pt>
                <c:pt idx="1434">
                  <c:v>3.3053122516003208</c:v>
                </c:pt>
                <c:pt idx="1435">
                  <c:v>3.0986567061473611</c:v>
                </c:pt>
                <c:pt idx="1436">
                  <c:v>2.8629263846106294</c:v>
                </c:pt>
                <c:pt idx="1437">
                  <c:v>2.6003156537949526</c:v>
                </c:pt>
                <c:pt idx="1438">
                  <c:v>2.3132723778797706</c:v>
                </c:pt>
                <c:pt idx="1439">
                  <c:v>2.0044749995316291</c:v>
                </c:pt>
                <c:pt idx="1440">
                  <c:v>1.676807435571309</c:v>
                </c:pt>
                <c:pt idx="1441">
                  <c:v>1.3333320235342749</c:v>
                </c:pt>
                <c:pt idx="1442">
                  <c:v>0.97726077403066469</c:v>
                </c:pt>
                <c:pt idx="1443">
                  <c:v>0.61192519996368921</c:v>
                </c:pt>
                <c:pt idx="1444">
                  <c:v>0.24074500725218553</c:v>
                </c:pt>
                <c:pt idx="1445">
                  <c:v>-0.13280405740547879</c:v>
                </c:pt>
                <c:pt idx="1446">
                  <c:v>-0.50522289810218579</c:v>
                </c:pt>
                <c:pt idx="1447">
                  <c:v>-0.87302199179492646</c:v>
                </c:pt>
                <c:pt idx="1448">
                  <c:v>-1.2327542297669347</c:v>
                </c:pt>
                <c:pt idx="1449">
                  <c:v>-1.5810473680417891</c:v>
                </c:pt>
                <c:pt idx="1450">
                  <c:v>-1.9146357799330516</c:v>
                </c:pt>
                <c:pt idx="1451">
                  <c:v>-2.2303912104458297</c:v>
                </c:pt>
                <c:pt idx="1452">
                  <c:v>-2.5253522416343124</c:v>
                </c:pt>
                <c:pt idx="1453">
                  <c:v>-2.7967521901685126</c:v>
                </c:pt>
                <c:pt idx="1454">
                  <c:v>-3.0420451731598188</c:v>
                </c:pt>
                <c:pt idx="1455">
                  <c:v>-3.2589300956018139</c:v>
                </c:pt>
                <c:pt idx="1456">
                  <c:v>-3.4453723324318588</c:v>
                </c:pt>
                <c:pt idx="1457">
                  <c:v>-3.5996229000244742</c:v>
                </c:pt>
                <c:pt idx="1458">
                  <c:v>-3.7202349356851618</c:v>
                </c:pt>
                <c:pt idx="1459">
                  <c:v>-3.8060773291937617</c:v>
                </c:pt>
                <c:pt idx="1460">
                  <c:v>-3.8563453774088217</c:v>
                </c:pt>
                <c:pt idx="1461">
                  <c:v>-3.8705683611337873</c:v>
                </c:pt>
                <c:pt idx="1462">
                  <c:v>-3.8486139725917572</c:v>
                </c:pt>
                <c:pt idx="1463">
                  <c:v>-3.7906895516822559</c:v>
                </c:pt>
                <c:pt idx="1464">
                  <c:v>-3.6973401194174409</c:v>
                </c:pt>
                <c:pt idx="1465">
                  <c:v>-3.5694432272677741</c:v>
                </c:pt>
                <c:pt idx="1466">
                  <c:v>-3.4082006713014428</c:v>
                </c:pt>
                <c:pt idx="1467">
                  <c:v>-3.2151271496897227</c:v>
                </c:pt>
                <c:pt idx="1468">
                  <c:v>-2.9920359710899245</c:v>
                </c:pt>
                <c:pt idx="1469">
                  <c:v>-2.74102194933482</c:v>
                </c:pt>
                <c:pt idx="1470">
                  <c:v>-2.4644416464846248</c:v>
                </c:pt>
                <c:pt idx="1471">
                  <c:v>-2.1648911513832849</c:v>
                </c:pt>
                <c:pt idx="1472">
                  <c:v>-1.8451816041677171</c:v>
                </c:pt>
                <c:pt idx="1473">
                  <c:v>-1.5083126984821096</c:v>
                </c:pt>
                <c:pt idx="1474">
                  <c:v>-1.1574444122497589</c:v>
                </c:pt>
                <c:pt idx="1475">
                  <c:v>-0.79586723457252351</c:v>
                </c:pt>
                <c:pt idx="1476">
                  <c:v>-0.42697117049776101</c:v>
                </c:pt>
                <c:pt idx="1477">
                  <c:v>-5.4213816890492955E-2</c:v>
                </c:pt>
                <c:pt idx="1478">
                  <c:v>0.31891218864415283</c:v>
                </c:pt>
                <c:pt idx="1479">
                  <c:v>0.68891203800218392</c:v>
                </c:pt>
                <c:pt idx="1480">
                  <c:v>1.0523216312797288</c:v>
                </c:pt>
                <c:pt idx="1481">
                  <c:v>1.4057401532565184</c:v>
                </c:pt>
                <c:pt idx="1482">
                  <c:v>1.7458620399699272</c:v>
                </c:pt>
                <c:pt idx="1483">
                  <c:v>2.0695080335821991</c:v>
                </c:pt>
                <c:pt idx="1484">
                  <c:v>2.3736550325046482</c:v>
                </c:pt>
                <c:pt idx="1485">
                  <c:v>2.6554644552791919</c:v>
                </c:pt>
                <c:pt idx="1486">
                  <c:v>2.9123088509190849</c:v>
                </c:pt>
                <c:pt idx="1487">
                  <c:v>3.1417965051449555</c:v>
                </c:pt>
                <c:pt idx="1488">
                  <c:v>3.3417938110544618</c:v>
                </c:pt>
                <c:pt idx="1489">
                  <c:v>3.5104451940520263</c:v>
                </c:pt>
                <c:pt idx="1490">
                  <c:v>3.6461904041388697</c:v>
                </c:pt>
                <c:pt idx="1491">
                  <c:v>3.7477790136966975</c:v>
                </c:pt>
                <c:pt idx="1492">
                  <c:v>3.8142819854530092</c:v>
                </c:pt>
                <c:pt idx="1493">
                  <c:v>3.8451002031407819</c:v>
                </c:pt>
                <c:pt idx="1494">
                  <c:v>3.8399698861920228</c:v>
                </c:pt>
                <c:pt idx="1495">
                  <c:v>3.7989648393598374</c:v>
                </c:pt>
                <c:pt idx="1496">
                  <c:v>3.7224955181667432</c:v>
                </c:pt>
                <c:pt idx="1497">
                  <c:v>3.6113049212403432</c:v>
                </c:pt>
                <c:pt idx="1498">
                  <c:v>3.4664613506358943</c:v>
                </c:pt>
                <c:pt idx="1499">
                  <c:v>3.2893481108724605</c:v>
                </c:pt>
                <c:pt idx="1500">
                  <c:v>3.0816502463434894</c:v>
                </c:pt>
                <c:pt idx="1501">
                  <c:v>2.8453384447304044</c:v>
                </c:pt>
                <c:pt idx="1502">
                  <c:v>2.5826502607822448</c:v>
                </c:pt>
                <c:pt idx="1503">
                  <c:v>2.2960688400730045</c:v>
                </c:pt>
                <c:pt idx="1504">
                  <c:v>1.9882993458734637</c:v>
                </c:pt>
                <c:pt idx="1505">
                  <c:v>1.662243313850774</c:v>
                </c:pt>
                <c:pt idx="1506">
                  <c:v>1.3209711787352985</c:v>
                </c:pt>
                <c:pt idx="1507">
                  <c:v>0.96769323418840136</c:v>
                </c:pt>
                <c:pt idx="1508">
                  <c:v>0.60572930170266392</c:v>
                </c:pt>
                <c:pt idx="1509">
                  <c:v>0.23847739633388668</c:v>
                </c:pt>
                <c:pt idx="1510">
                  <c:v>-0.1306183137083855</c:v>
                </c:pt>
                <c:pt idx="1511">
                  <c:v>-0.49809995018790887</c:v>
                </c:pt>
                <c:pt idx="1512">
                  <c:v>-0.86052846374963388</c:v>
                </c:pt>
                <c:pt idx="1513">
                  <c:v>-1.214515961073444</c:v>
                </c:pt>
                <c:pt idx="1514">
                  <c:v>-1.5567575150625694</c:v>
                </c:pt>
                <c:pt idx="1515">
                  <c:v>-1.8840621580719037</c:v>
                </c:pt>
                <c:pt idx="1516">
                  <c:v>-2.1933827662372649</c:v>
                </c:pt>
                <c:pt idx="1517">
                  <c:v>-2.4818445537893634</c:v>
                </c:pt>
                <c:pt idx="1518">
                  <c:v>-2.7467719097088592</c:v>
                </c:pt>
                <c:pt idx="1519">
                  <c:v>-2.9857133250815595</c:v>
                </c:pt>
                <c:pt idx="1520">
                  <c:v>-3.1964641778832839</c:v>
                </c:pt>
                <c:pt idx="1521">
                  <c:v>-3.3770871624860659</c:v>
                </c:pt>
                <c:pt idx="1522">
                  <c:v>-3.5259301737366693</c:v>
                </c:pt>
                <c:pt idx="1523">
                  <c:v>-3.6416414797938321</c:v>
                </c:pt>
                <c:pt idx="1524">
                  <c:v>-3.7231820437895093</c:v>
                </c:pt>
                <c:pt idx="1525">
                  <c:v>-3.7698348815565224</c:v>
                </c:pt>
                <c:pt idx="1526">
                  <c:v>-3.781211370876723</c:v>
                </c:pt>
                <c:pt idx="1527">
                  <c:v>-3.7572544566818209</c:v>
                </c:pt>
                <c:pt idx="1528">
                  <c:v>-3.6982387261081588</c:v>
                </c:pt>
                <c:pt idx="1529">
                  <c:v>-3.6047673569837722</c:v>
                </c:pt>
                <c:pt idx="1530">
                  <c:v>-3.4777659729296815</c:v>
                </c:pt>
                <c:pt idx="1531">
                  <c:v>-3.3184734675064416</c:v>
                </c:pt>
                <c:pt idx="1532">
                  <c:v>-3.1284298884524335</c:v>
                </c:pt>
                <c:pt idx="1533">
                  <c:v>-2.9094615007724354</c:v>
                </c:pt>
                <c:pt idx="1534">
                  <c:v>-2.6636631739801286</c:v>
                </c:pt>
                <c:pt idx="1535">
                  <c:v>-2.3933782639256815</c:v>
                </c:pt>
                <c:pt idx="1536">
                  <c:v>-2.1011761831137643</c:v>
                </c:pt>
                <c:pt idx="1537">
                  <c:v>-1.7898278750150292</c:v>
                </c:pt>
                <c:pt idx="1538">
                  <c:v>-1.4622794273939923</c:v>
                </c:pt>
                <c:pt idx="1539">
                  <c:v>-1.1216240769369716</c:v>
                </c:pt>
                <c:pt idx="1540">
                  <c:v>-0.77107287230110599</c:v>
                </c:pt>
                <c:pt idx="1541">
                  <c:v>-0.41392427498466872</c:v>
                </c:pt>
                <c:pt idx="1542">
                  <c:v>-5.3532987028007073E-2</c:v>
                </c:pt>
                <c:pt idx="1543">
                  <c:v>0.30672169859789566</c:v>
                </c:pt>
                <c:pt idx="1544">
                  <c:v>0.66346772502919105</c:v>
                </c:pt>
                <c:pt idx="1545">
                  <c:v>1.0133719749099248</c:v>
                </c:pt>
                <c:pt idx="1546">
                  <c:v>1.3531715507780795</c:v>
                </c:pt>
                <c:pt idx="1547">
                  <c:v>1.6797043375826841</c:v>
                </c:pt>
                <c:pt idx="1548">
                  <c:v>1.9899385597910504</c:v>
                </c:pt>
                <c:pt idx="1549">
                  <c:v>2.2810010555787037</c:v>
                </c:pt>
                <c:pt idx="1550">
                  <c:v>2.5502040032434565</c:v>
                </c:pt>
                <c:pt idx="1551">
                  <c:v>2.7950698501246034</c:v>
                </c:pt>
                <c:pt idx="1552">
                  <c:v>3.0133542117944057</c:v>
                </c:pt>
                <c:pt idx="1553">
                  <c:v>3.2030665289466009</c:v>
                </c:pt>
                <c:pt idx="1554">
                  <c:v>3.3624882910452447</c:v>
                </c:pt>
                <c:pt idx="1555">
                  <c:v>3.490188659211011</c:v>
                </c:pt>
                <c:pt idx="1556">
                  <c:v>3.5850373457808189</c:v>
                </c:pt>
                <c:pt idx="1557">
                  <c:v>3.6462146342405015</c:v>
                </c:pt>
                <c:pt idx="1558">
                  <c:v>3.6732184505509475</c:v>
                </c:pt>
                <c:pt idx="1559">
                  <c:v>3.6658684249967335</c:v>
                </c:pt>
                <c:pt idx="1560">
                  <c:v>3.6243069123206215</c:v>
                </c:pt>
                <c:pt idx="1561">
                  <c:v>3.5489969667891721</c:v>
                </c:pt>
                <c:pt idx="1562">
                  <c:v>3.4407172976903073</c:v>
                </c:pt>
                <c:pt idx="1563">
                  <c:v>3.3005542593193256</c:v>
                </c:pt>
                <c:pt idx="1564">
                  <c:v>3.1298909574925387</c:v>
                </c:pt>
                <c:pt idx="1565">
                  <c:v>2.9303935817735614</c:v>
                </c:pt>
                <c:pt idx="1566">
                  <c:v>2.7039950986493118</c:v>
                </c:pt>
                <c:pt idx="1567">
                  <c:v>2.452876465604616</c:v>
                </c:pt>
                <c:pt idx="1568">
                  <c:v>2.1794455491849809</c:v>
                </c:pt>
                <c:pt idx="1569">
                  <c:v>1.8863139514879381</c:v>
                </c:pt>
                <c:pt idx="1570">
                  <c:v>1.5762719688856586</c:v>
                </c:pt>
                <c:pt idx="1571">
                  <c:v>1.2522619239766097</c:v>
                </c:pt>
                <c:pt idx="1572">
                  <c:v>0.9173501266300188</c:v>
                </c:pt>
                <c:pt idx="1573">
                  <c:v>0.574697732389434</c:v>
                </c:pt>
                <c:pt idx="1574">
                  <c:v>0.22753077632923646</c:v>
                </c:pt>
                <c:pt idx="1575">
                  <c:v>-0.12089033238100122</c:v>
                </c:pt>
                <c:pt idx="1576">
                  <c:v>-0.46730156551393726</c:v>
                </c:pt>
                <c:pt idx="1577">
                  <c:v>-0.80846598905852618</c:v>
                </c:pt>
                <c:pt idx="1578">
                  <c:v>-1.1412041444655414</c:v>
                </c:pt>
                <c:pt idx="1579">
                  <c:v>-1.4624238114531056</c:v>
                </c:pt>
                <c:pt idx="1580">
                  <c:v>-1.7691488725246272</c:v>
                </c:pt>
                <c:pt idx="1581">
                  <c:v>-2.0585470085613076</c:v>
                </c:pt>
                <c:pt idx="1582">
                  <c:v>-2.3279559666084109</c:v>
                </c:pt>
                <c:pt idx="1583">
                  <c:v>-2.5749081551606205</c:v>
                </c:pt>
                <c:pt idx="1584">
                  <c:v>-2.7971533387306011</c:v>
                </c:pt>
                <c:pt idx="1585">
                  <c:v>-2.9926792220889809</c:v>
                </c:pt>
                <c:pt idx="1586">
                  <c:v>-3.1597297351112519</c:v>
                </c:pt>
                <c:pt idx="1587">
                  <c:v>-3.2968208514610993</c:v>
                </c:pt>
                <c:pt idx="1588">
                  <c:v>-3.402753798159079</c:v>
                </c:pt>
                <c:pt idx="1589">
                  <c:v>-3.4766255382002718</c:v>
                </c:pt>
                <c:pt idx="1590">
                  <c:v>-3.5178364345553703</c:v>
                </c:pt>
                <c:pt idx="1591">
                  <c:v>-3.5260950308604788</c:v>
                </c:pt>
                <c:pt idx="1592">
                  <c:v>-3.5014199116137226</c:v>
                </c:pt>
                <c:pt idx="1593">
                  <c:v>-3.4441386324903673</c:v>
                </c:pt>
                <c:pt idx="1594">
                  <c:v>-3.3548837391937578</c:v>
                </c:pt>
                <c:pt idx="1595">
                  <c:v>-3.2345859208133563</c:v>
                </c:pt>
                <c:pt idx="1596">
                  <c:v>-3.0844643707026584</c:v>
                </c:pt>
                <c:pt idx="1597">
                  <c:v>-2.9060144541605233</c:v>
                </c:pt>
                <c:pt idx="1598">
                  <c:v>-2.7009928074526361</c:v>
                </c:pt>
                <c:pt idx="1599">
                  <c:v>-2.471400016707074</c:v>
                </c:pt>
                <c:pt idx="1600">
                  <c:v>-2.2194610477343057</c:v>
                </c:pt>
                <c:pt idx="1601">
                  <c:v>-1.9476036186467427</c:v>
                </c:pt>
                <c:pt idx="1602">
                  <c:v>-1.658434726092272</c:v>
                </c:pt>
                <c:pt idx="1603">
                  <c:v>-1.3547155527963661</c:v>
                </c:pt>
                <c:pt idx="1604">
                  <c:v>-1.0393349987711373</c:v>
                </c:pt>
                <c:pt idx="1605">
                  <c:v>-0.71528209086517835</c:v>
                </c:pt>
                <c:pt idx="1606">
                  <c:v>-0.38561753518588182</c:v>
                </c:pt>
                <c:pt idx="1607">
                  <c:v>-5.3444684236168216E-2</c:v>
                </c:pt>
                <c:pt idx="1608">
                  <c:v>0.27811980468934905</c:v>
                </c:pt>
                <c:pt idx="1609">
                  <c:v>0.60597534124379471</c:v>
                </c:pt>
                <c:pt idx="1610">
                  <c:v>0.9270665258970372</c:v>
                </c:pt>
                <c:pt idx="1611">
                  <c:v>1.2384117511686832</c:v>
                </c:pt>
                <c:pt idx="1612">
                  <c:v>1.5371310113016927</c:v>
                </c:pt>
                <c:pt idx="1613">
                  <c:v>1.8204726598380387</c:v>
                </c:pt>
                <c:pt idx="1614">
                  <c:v>2.0858388653930025</c:v>
                </c:pt>
                <c:pt idx="1615">
                  <c:v>2.3308095290988726</c:v>
                </c:pt>
                <c:pt idx="1616">
                  <c:v>2.5531644425736104</c:v>
                </c:pt>
                <c:pt idx="1617">
                  <c:v>2.7509034827069971</c:v>
                </c:pt>
                <c:pt idx="1618">
                  <c:v>2.9222646588729564</c:v>
                </c:pt>
                <c:pt idx="1619">
                  <c:v>3.0657398491863379</c:v>
                </c:pt>
                <c:pt idx="1620">
                  <c:v>3.1800880849146509</c:v>
                </c:pt>
                <c:pt idx="1621">
                  <c:v>3.2643462659111657</c:v>
                </c:pt>
                <c:pt idx="1622">
                  <c:v>3.3178372147283506</c:v>
                </c:pt>
                <c:pt idx="1623">
                  <c:v>3.3401750026554575</c:v>
                </c:pt>
                <c:pt idx="1624">
                  <c:v>3.3312675070551792</c:v>
                </c:pt>
                <c:pt idx="1625">
                  <c:v>3.2913161858034203</c:v>
                </c:pt>
                <c:pt idx="1626">
                  <c:v>3.2208130811064066</c:v>
                </c:pt>
                <c:pt idx="1627">
                  <c:v>3.120535091228974</c:v>
                </c:pt>
                <c:pt idx="1628">
                  <c:v>2.9915355744687382</c:v>
                </c:pt>
                <c:pt idx="1629">
                  <c:v>2.8351333748057059</c:v>
                </c:pt>
                <c:pt idx="1630">
                  <c:v>2.6528993828097871</c:v>
                </c:pt>
                <c:pt idx="1631">
                  <c:v>2.4466407683730993</c:v>
                </c:pt>
                <c:pt idx="1632">
                  <c:v>2.2183830434329592</c:v>
                </c:pt>
                <c:pt idx="1633">
                  <c:v>1.9703501328652564</c:v>
                </c:pt>
                <c:pt idx="1634">
                  <c:v>1.7049426499703508</c:v>
                </c:pt>
                <c:pt idx="1635">
                  <c:v>1.4247145892767148</c:v>
                </c:pt>
                <c:pt idx="1636">
                  <c:v>1.1323486636040845</c:v>
                </c:pt>
                <c:pt idx="1637">
                  <c:v>0.83063052432776752</c:v>
                </c:pt>
                <c:pt idx="1638">
                  <c:v>0.52242211346366629</c:v>
                </c:pt>
                <c:pt idx="1639">
                  <c:v>0.21063440346744178</c:v>
                </c:pt>
                <c:pt idx="1640">
                  <c:v>-0.10180021455440946</c:v>
                </c:pt>
                <c:pt idx="1641">
                  <c:v>-0.41195563121809164</c:v>
                </c:pt>
                <c:pt idx="1642">
                  <c:v>-0.71693954503001733</c:v>
                </c:pt>
                <c:pt idx="1643">
                  <c:v>-1.013920554272842</c:v>
                </c:pt>
                <c:pt idx="1644">
                  <c:v>-1.300154559715978</c:v>
                </c:pt>
                <c:pt idx="1645">
                  <c:v>-1.5730102308493432</c:v>
                </c:pt>
                <c:pt idx="1646">
                  <c:v>-1.8299932982573568</c:v>
                </c:pt>
                <c:pt idx="1647">
                  <c:v>-2.0687694468894078</c:v>
                </c:pt>
                <c:pt idx="1648">
                  <c:v>-2.2871855992229899</c:v>
                </c:pt>
                <c:pt idx="1649">
                  <c:v>-2.4832893935074161</c:v>
                </c:pt>
                <c:pt idx="1650">
                  <c:v>-2.6553466802566463</c:v>
                </c:pt>
                <c:pt idx="1651">
                  <c:v>-2.8018568797547916</c:v>
                </c:pt>
                <c:pt idx="1652">
                  <c:v>-2.921566064348561</c:v>
                </c:pt>
                <c:pt idx="1653">
                  <c:v>-3.0134776515208568</c:v>
                </c:pt>
                <c:pt idx="1654">
                  <c:v>-3.0768606169555484</c:v>
                </c:pt>
                <c:pt idx="1655">
                  <c:v>-3.1112551607844399</c:v>
                </c:pt>
                <c:pt idx="1656">
                  <c:v>-3.1164757847215681</c:v>
                </c:pt>
                <c:pt idx="1657">
                  <c:v>-3.0926117626039966</c:v>
                </c:pt>
                <c:pt idx="1658">
                  <c:v>-3.040025011729353</c:v>
                </c:pt>
                <c:pt idx="1659">
                  <c:v>-2.9593453970713548</c:v>
                </c:pt>
                <c:pt idx="1660">
                  <c:v>-2.8514635247322895</c:v>
                </c:pt>
                <c:pt idx="1661">
                  <c:v>-2.7175211046221741</c:v>
                </c:pt>
                <c:pt idx="1662">
                  <c:v>-2.5588989851158761</c:v>
                </c:pt>
                <c:pt idx="1663">
                  <c:v>-2.3772029841190414</c:v>
                </c:pt>
                <c:pt idx="1664">
                  <c:v>-2.1742476613662896</c:v>
                </c:pt>
                <c:pt idx="1665">
                  <c:v>-1.9520381956926214</c:v>
                </c:pt>
                <c:pt idx="1666">
                  <c:v>-1.7127505482867367</c:v>
                </c:pt>
                <c:pt idx="1667">
                  <c:v>-1.4587101083940741</c:v>
                </c:pt>
                <c:pt idx="1668">
                  <c:v>-1.1923690314494153</c:v>
                </c:pt>
                <c:pt idx="1669">
                  <c:v>-0.91628249106190118</c:v>
                </c:pt>
                <c:pt idx="1670">
                  <c:v>-0.6330840755494993</c:v>
                </c:pt>
                <c:pt idx="1671">
                  <c:v>-0.34546056674789272</c:v>
                </c:pt>
                <c:pt idx="1672">
                  <c:v>-5.612634354083279E-2</c:v>
                </c:pt>
                <c:pt idx="1673">
                  <c:v>0.23220234505750681</c:v>
                </c:pt>
                <c:pt idx="1674">
                  <c:v>0.51683299240349367</c:v>
                </c:pt>
                <c:pt idx="1675">
                  <c:v>0.79512208975161824</c:v>
                </c:pt>
                <c:pt idx="1676">
                  <c:v>1.0644997868660133</c:v>
                </c:pt>
                <c:pt idx="1677">
                  <c:v>1.3224937266371535</c:v>
                </c:pt>
                <c:pt idx="1678">
                  <c:v>1.5667518316664355</c:v>
                </c:pt>
                <c:pt idx="1679">
                  <c:v>1.7950638318994077</c:v>
                </c:pt>
                <c:pt idx="1680">
                  <c:v>2.0053813354652101</c:v>
                </c:pt>
                <c:pt idx="1681">
                  <c:v>2.1958362597875323</c:v>
                </c:pt>
                <c:pt idx="1682">
                  <c:v>2.3647574566078844</c:v>
                </c:pt>
                <c:pt idx="1683">
                  <c:v>2.5106853826491111</c:v>
                </c:pt>
                <c:pt idx="1684">
                  <c:v>2.6323846870576375</c:v>
                </c:pt>
                <c:pt idx="1685">
                  <c:v>2.728854607304684</c:v>
                </c:pt>
                <c:pt idx="1686">
                  <c:v>2.7993370867011711</c:v>
                </c:pt>
                <c:pt idx="1687">
                  <c:v>2.8433225488727185</c:v>
                </c:pt>
                <c:pt idx="1688">
                  <c:v>2.8605532872337491</c:v>
                </c:pt>
                <c:pt idx="1689">
                  <c:v>2.851024450476753</c:v>
                </c:pt>
                <c:pt idx="1690">
                  <c:v>2.8149826281276948</c:v>
                </c:pt>
                <c:pt idx="1691">
                  <c:v>2.7529220630906814</c:v>
                </c:pt>
                <c:pt idx="1692">
                  <c:v>2.6655785405985428</c:v>
                </c:pt>
                <c:pt idx="1693">
                  <c:v>2.5539210248830346</c:v>
                </c:pt>
                <c:pt idx="1694">
                  <c:v>2.4191411359729003</c:v>
                </c:pt>
                <c:pt idx="1695">
                  <c:v>2.2626405791234099</c:v>
                </c:pt>
                <c:pt idx="1696">
                  <c:v>2.0860166582867392</c:v>
                </c:pt>
                <c:pt idx="1697">
                  <c:v>1.8910460225745866</c:v>
                </c:pt>
                <c:pt idx="1698">
                  <c:v>1.6796668106821553</c:v>
                </c:pt>
                <c:pt idx="1699">
                  <c:v>1.4539593725887088</c:v>
                </c:pt>
                <c:pt idx="1700">
                  <c:v>1.2161257603969509</c:v>
                </c:pt>
                <c:pt idx="1701">
                  <c:v>0.96846819081002133</c:v>
                </c:pt>
                <c:pt idx="1702">
                  <c:v>0.71336669037888434</c:v>
                </c:pt>
                <c:pt idx="1703">
                  <c:v>0.45325614121380098</c:v>
                </c:pt>
                <c:pt idx="1704">
                  <c:v>0.19060294928795773</c:v>
                </c:pt>
                <c:pt idx="1705">
                  <c:v>-7.2118440260552141E-2</c:v>
                </c:pt>
                <c:pt idx="1706">
                  <c:v>-0.33244895630870852</c:v>
                </c:pt>
                <c:pt idx="1707">
                  <c:v>-0.5879680209338578</c:v>
                </c:pt>
                <c:pt idx="1708">
                  <c:v>-0.83631615629287814</c:v>
                </c:pt>
                <c:pt idx="1709">
                  <c:v>-1.0752168671178435</c:v>
                </c:pt>
                <c:pt idx="1710">
                  <c:v>-1.3024975949855271</c:v>
                </c:pt>
                <c:pt idx="1711">
                  <c:v>-1.5161095506592615</c:v>
                </c:pt>
                <c:pt idx="1712">
                  <c:v>-1.7141462427395524</c:v>
                </c:pt>
                <c:pt idx="1713">
                  <c:v>-1.8948605344733715</c:v>
                </c:pt>
                <c:pt idx="1714">
                  <c:v>-2.0566800757158941</c:v>
                </c:pt>
                <c:pt idx="1715">
                  <c:v>-2.198220973557151</c:v>
                </c:pt>
                <c:pt idx="1716">
                  <c:v>-2.3182995828567408</c:v>
                </c:pt>
                <c:pt idx="1717">
                  <c:v>-2.4159423166895628</c:v>
                </c:pt>
                <c:pt idx="1718">
                  <c:v>-2.4903933963072462</c:v>
                </c:pt>
                <c:pt idx="1719">
                  <c:v>-2.5411204804738605</c:v>
                </c:pt>
                <c:pt idx="1720">
                  <c:v>-2.5678181347365276</c:v>
                </c:pt>
                <c:pt idx="1721">
                  <c:v>-2.5704091221390266</c:v>
                </c:pt>
                <c:pt idx="1722">
                  <c:v>-2.5490435178817359</c:v>
                </c:pt>
                <c:pt idx="1723">
                  <c:v>-2.5040956712615072</c:v>
                </c:pt>
                <c:pt idx="1724">
                  <c:v>-2.4361590586998725</c:v>
                </c:pt>
                <c:pt idx="1725">
                  <c:v>-2.3460390915854195</c:v>
                </c:pt>
                <c:pt idx="1726">
                  <c:v>-2.2347439618287686</c:v>
                </c:pt>
                <c:pt idx="1727">
                  <c:v>-2.1034736262782867</c:v>
                </c:pt>
                <c:pt idx="1728">
                  <c:v>-1.9536070482977728</c:v>
                </c:pt>
                <c:pt idx="1729">
                  <c:v>-1.7866878307061915</c:v>
                </c:pt>
                <c:pt idx="1730">
                  <c:v>-1.6044083887799219</c:v>
                </c:pt>
                <c:pt idx="1731">
                  <c:v>-1.4085928249865196</c:v>
                </c:pt>
                <c:pt idx="1732">
                  <c:v>-1.2011786784416136</c:v>
                </c:pt>
                <c:pt idx="1733">
                  <c:v>-0.9841977316585977</c:v>
                </c:pt>
                <c:pt idx="1734">
                  <c:v>-0.75975606491207803</c:v>
                </c:pt>
                <c:pt idx="1735">
                  <c:v>-0.53001355439918374</c:v>
                </c:pt>
                <c:pt idx="1736">
                  <c:v>-0.29716301431239045</c:v>
                </c:pt>
                <c:pt idx="1737">
                  <c:v>-6.3409184908780336E-2</c:v>
                </c:pt>
                <c:pt idx="1738">
                  <c:v>0.16905223133082314</c:v>
                </c:pt>
                <c:pt idx="1739">
                  <c:v>0.39805528530287027</c:v>
                </c:pt>
                <c:pt idx="1740">
                  <c:v>0.62148405235385407</c:v>
                </c:pt>
                <c:pt idx="1741">
                  <c:v>0.83729226826432868</c:v>
                </c:pt>
                <c:pt idx="1742">
                  <c:v>1.0435221471128853</c:v>
                </c:pt>
                <c:pt idx="1743">
                  <c:v>1.2383222072309952</c:v>
                </c:pt>
                <c:pt idx="1744">
                  <c:v>1.4199639423121786</c:v>
                </c:pt>
                <c:pt idx="1745">
                  <c:v>1.586857187089497</c:v>
                </c:pt>
                <c:pt idx="1746">
                  <c:v>1.737564040709614</c:v>
                </c:pt>
                <c:pt idx="1747">
                  <c:v>1.8708112258661782</c:v>
                </c:pt>
                <c:pt idx="1748">
                  <c:v>1.9855007777609175</c:v>
                </c:pt>
                <c:pt idx="1749">
                  <c:v>2.0807189738699798</c:v>
                </c:pt>
                <c:pt idx="1750">
                  <c:v>2.1557434331346306</c:v>
                </c:pt>
                <c:pt idx="1751">
                  <c:v>2.210048331397318</c:v>
                </c:pt>
                <c:pt idx="1752">
                  <c:v>2.2433076984805194</c:v>
                </c:pt>
                <c:pt idx="1753">
                  <c:v>2.2553967810734141</c:v>
                </c:pt>
                <c:pt idx="1754">
                  <c:v>2.2463914743707094</c:v>
                </c:pt>
                <c:pt idx="1755">
                  <c:v>2.2165658440112788</c:v>
                </c:pt>
                <c:pt idx="1756">
                  <c:v>2.1663877781124863</c:v>
                </c:pt>
                <c:pt idx="1757">
                  <c:v>2.096512826917809</c:v>
                </c:pt>
                <c:pt idx="1758">
                  <c:v>2.0077763045977237</c:v>
                </c:pt>
                <c:pt idx="1759">
                  <c:v>1.9011837439071602</c:v>
                </c:pt>
                <c:pt idx="1760">
                  <c:v>1.7778998095588567</c:v>
                </c:pt>
                <c:pt idx="1761">
                  <c:v>1.6392357901771903</c:v>
                </c:pt>
                <c:pt idx="1762">
                  <c:v>1.4866358014248058</c:v>
                </c:pt>
                <c:pt idx="1763">
                  <c:v>1.3216618442324524</c:v>
                </c:pt>
                <c:pt idx="1764">
                  <c:v>1.1459778719071809</c:v>
                </c:pt>
                <c:pt idx="1765">
                  <c:v>0.96133302816485799</c:v>
                </c:pt>
                <c:pt idx="1766">
                  <c:v>0.76954422475863149</c:v>
                </c:pt>
                <c:pt idx="1767">
                  <c:v>0.57247823230546668</c:v>
                </c:pt>
                <c:pt idx="1768">
                  <c:v>0.37203346111289703</c:v>
                </c:pt>
                <c:pt idx="1769">
                  <c:v>0.1701216102598393</c:v>
                </c:pt>
                <c:pt idx="1770">
                  <c:v>-3.1350637109937907E-2</c:v>
                </c:pt>
                <c:pt idx="1771">
                  <c:v>-0.23049969635021772</c:v>
                </c:pt>
                <c:pt idx="1772">
                  <c:v>-0.42548276952321462</c:v>
                </c:pt>
                <c:pt idx="1773">
                  <c:v>-0.61451497242089448</c:v>
                </c:pt>
                <c:pt idx="1774">
                  <c:v>-0.79588574051024996</c:v>
                </c:pt>
                <c:pt idx="1775">
                  <c:v>-0.96797436236636336</c:v>
                </c:pt>
                <c:pt idx="1776">
                  <c:v>-1.1292644990097749</c:v>
                </c:pt>
                <c:pt idx="1777">
                  <c:v>-1.2783575587152998</c:v>
                </c:pt>
                <c:pt idx="1778">
                  <c:v>-1.4139848091843699</c:v>
                </c:pt>
                <c:pt idx="1779">
                  <c:v>-1.5350181223405976</c:v>
                </c:pt>
                <c:pt idx="1780">
                  <c:v>-1.6404792612828536</c:v>
                </c:pt>
                <c:pt idx="1781">
                  <c:v>-1.7295476339597018</c:v>
                </c:pt>
                <c:pt idx="1782">
                  <c:v>-1.8015664537589178</c:v>
                </c:pt>
                <c:pt idx="1783">
                  <c:v>-1.8560472632818406</c:v>
                </c:pt>
                <c:pt idx="1784">
                  <c:v>-1.8926727939279369</c:v>
                </c:pt>
                <c:pt idx="1785">
                  <c:v>-1.9112981503866928</c:v>
                </c:pt>
                <c:pt idx="1786">
                  <c:v>-1.9119503255632364</c:v>
                </c:pt>
                <c:pt idx="1787">
                  <c:v>-1.8948260676846693</c:v>
                </c:pt>
                <c:pt idx="1788">
                  <c:v>-1.8602881371883644</c:v>
                </c:pt>
                <c:pt idx="1789">
                  <c:v>-1.8088600063324598</c:v>
                </c:pt>
                <c:pt idx="1790">
                  <c:v>-1.7412190691412337</c:v>
                </c:pt>
                <c:pt idx="1791">
                  <c:v>-1.6581884431659248</c:v>
                </c:pt>
                <c:pt idx="1792">
                  <c:v>-1.5607274574784442</c:v>
                </c:pt>
                <c:pt idx="1793">
                  <c:v>-1.4499209331980474</c:v>
                </c:pt>
                <c:pt idx="1794">
                  <c:v>-1.3269673735726264</c:v>
                </c:pt>
                <c:pt idx="1795">
                  <c:v>-1.1931661901036383</c:v>
                </c:pt>
                <c:pt idx="1796">
                  <c:v>-1.0499040993316939</c:v>
                </c:pt>
                <c:pt idx="1797">
                  <c:v>-0.89864083162169961</c:v>
                </c:pt>
                <c:pt idx="1798">
                  <c:v>-0.74089429854965538</c:v>
                </c:pt>
                <c:pt idx="1799">
                  <c:v>-0.57822536925735735</c:v>
                </c:pt>
                <c:pt idx="1800">
                  <c:v>-0.41222240838452051</c:v>
                </c:pt>
                <c:pt idx="1801">
                  <c:v>-0.24448572890199483</c:v>
                </c:pt>
                <c:pt idx="1802">
                  <c:v>-7.6612112361603923E-2</c:v>
                </c:pt>
                <c:pt idx="1803">
                  <c:v>8.9820453228077746E-2</c:v>
                </c:pt>
                <c:pt idx="1804">
                  <c:v>0.25326767146047025</c:v>
                </c:pt>
                <c:pt idx="1805">
                  <c:v>0.41223333026262843</c:v>
                </c:pt>
                <c:pt idx="1806">
                  <c:v>0.56528305456284622</c:v>
                </c:pt>
                <c:pt idx="1807">
                  <c:v>0.71105729194856382</c:v>
                </c:pt>
                <c:pt idx="1808">
                  <c:v>0.84828341333567114</c:v>
                </c:pt>
                <c:pt idx="1809">
                  <c:v>0.97578682071499956</c:v>
                </c:pt>
                <c:pt idx="1810">
                  <c:v>1.0925009650508135</c:v>
                </c:pt>
                <c:pt idx="1811">
                  <c:v>1.1974761892590435</c:v>
                </c:pt>
                <c:pt idx="1812">
                  <c:v>1.2898873237672015</c:v>
                </c:pt>
                <c:pt idx="1813">
                  <c:v>1.3690399753167295</c:v>
                </c:pt>
                <c:pt idx="1814">
                  <c:v>1.4343754632738659</c:v>
                </c:pt>
                <c:pt idx="1815">
                  <c:v>1.4854743716308154</c:v>
                </c:pt>
                <c:pt idx="1816">
                  <c:v>1.5220586989581983</c:v>
                </c:pt>
                <c:pt idx="1817">
                  <c:v>1.5439926026693749</c:v>
                </c:pt>
                <c:pt idx="1818">
                  <c:v>1.5512817479402961</c:v>
                </c:pt>
                <c:pt idx="1819">
                  <c:v>1.5440712853512057</c:v>
                </c:pt>
                <c:pt idx="1820">
                  <c:v>1.5226424946437449</c:v>
                </c:pt>
                <c:pt idx="1821">
                  <c:v>1.4874081447933429</c:v>
                </c:pt>
                <c:pt idx="1822">
                  <c:v>1.438906632754122</c:v>
                </c:pt>
                <c:pt idx="1823">
                  <c:v>1.3777949746268792</c:v>
                </c:pt>
                <c:pt idx="1824">
                  <c:v>1.3048407335269763</c:v>
                </c:pt>
                <c:pt idx="1825">
                  <c:v>1.2209129779870171</c:v>
                </c:pt>
                <c:pt idx="1826">
                  <c:v>1.1269723732336607</c:v>
                </c:pt>
                <c:pt idx="1827">
                  <c:v>1.0240605150570716</c:v>
                </c:pt>
                <c:pt idx="1828">
                  <c:v>0.91328862217923312</c:v>
                </c:pt>
                <c:pt idx="1829">
                  <c:v>0.79582570797511587</c:v>
                </c:pt>
                <c:pt idx="1830">
                  <c:v>0.67288635607346503</c:v>
                </c:pt>
                <c:pt idx="1831">
                  <c:v>0.54571822673590775</c:v>
                </c:pt>
                <c:pt idx="1832">
                  <c:v>0.41558942197569215</c:v>
                </c:pt>
                <c:pt idx="1833">
                  <c:v>0.28377583713463328</c:v>
                </c:pt>
                <c:pt idx="1834">
                  <c:v>0.151548625104309</c:v>
                </c:pt>
                <c:pt idx="1835">
                  <c:v>2.0161896586545769E-2</c:v>
                </c:pt>
                <c:pt idx="1836">
                  <c:v>-0.10915922421974544</c:v>
                </c:pt>
                <c:pt idx="1837">
                  <c:v>-0.23523007428885911</c:v>
                </c:pt>
                <c:pt idx="1838">
                  <c:v>-0.35691734884501969</c:v>
                </c:pt>
                <c:pt idx="1839">
                  <c:v>-0.47314932018189149</c:v>
                </c:pt>
                <c:pt idx="1840">
                  <c:v>-0.58292528578206371</c:v>
                </c:pt>
                <c:pt idx="1841">
                  <c:v>-0.6853241623523616</c:v>
                </c:pt>
                <c:pt idx="1842">
                  <c:v>-0.7795121521882139</c:v>
                </c:pt>
                <c:pt idx="1843">
                  <c:v>-0.86474941870500133</c:v>
                </c:pt>
                <c:pt idx="1844">
                  <c:v>-0.94039571891055562</c:v>
                </c:pt>
                <c:pt idx="1845">
                  <c:v>-1.0059149519288653</c:v>
                </c:pt>
                <c:pt idx="1846">
                  <c:v>-1.0608785942896344</c:v>
                </c:pt>
                <c:pt idx="1847">
                  <c:v>-1.1049680044585906</c:v>
                </c:pt>
                <c:pt idx="1848">
                  <c:v>-1.1379755908702953</c:v>
                </c:pt>
                <c:pt idx="1849">
                  <c:v>-1.1598048494166113</c:v>
                </c:pt>
                <c:pt idx="1850">
                  <c:v>-1.1704692878248641</c:v>
                </c:pt>
                <c:pt idx="1851">
                  <c:v>-1.1700902655092271</c:v>
                </c:pt>
                <c:pt idx="1852">
                  <c:v>-1.1588937881852384</c:v>
                </c:pt>
                <c:pt idx="1853">
                  <c:v>-1.1372063066994504</c:v>
                </c:pt>
                <c:pt idx="1854">
                  <c:v>-1.105449579040177</c:v>
                </c:pt>
                <c:pt idx="1855">
                  <c:v>-1.0641346632702691</c:v>
                </c:pt>
                <c:pt idx="1856">
                  <c:v>-1.0138551170804018</c:v>
                </c:pt>
                <c:pt idx="1857">
                  <c:v>-0.95527948672379348</c:v>
                </c:pt>
                <c:pt idx="1858">
                  <c:v>-0.88914317419835709</c:v>
                </c:pt>
                <c:pt idx="1859">
                  <c:v>-0.81623977664101055</c:v>
                </c:pt>
                <c:pt idx="1860">
                  <c:v>-0.73741199594612339</c:v>
                </c:pt>
                <c:pt idx="1861">
                  <c:v>-0.65354221958712433</c:v>
                </c:pt>
                <c:pt idx="1862">
                  <c:v>-0.56554287549144266</c:v>
                </c:pt>
                <c:pt idx="1863">
                  <c:v>-0.47434666458470565</c:v>
                </c:pt>
                <c:pt idx="1864">
                  <c:v>-0.38089677428721447</c:v>
                </c:pt>
                <c:pt idx="1865">
                  <c:v>-0.28613717483206313</c:v>
                </c:pt>
                <c:pt idx="1866">
                  <c:v>-0.19100309780607416</c:v>
                </c:pt>
                <c:pt idx="1867">
                  <c:v>-9.6411792832386656E-2</c:v>
                </c:pt>
                <c:pt idx="1868">
                  <c:v>-3.2536538660834502E-3</c:v>
                </c:pt>
                <c:pt idx="1869">
                  <c:v>8.7616198779957966E-2</c:v>
                </c:pt>
                <c:pt idx="1870">
                  <c:v>0.17538580075339261</c:v>
                </c:pt>
                <c:pt idx="1871">
                  <c:v>0.2592936173535807</c:v>
                </c:pt>
                <c:pt idx="1872">
                  <c:v>0.3386351432571999</c:v>
                </c:pt>
                <c:pt idx="1873">
                  <c:v>0.41276877116025279</c:v>
                </c:pt>
                <c:pt idx="1874">
                  <c:v>0.48112088093387317</c:v>
                </c:pt>
                <c:pt idx="1875">
                  <c:v>0.54319011000055872</c:v>
                </c:pt>
                <c:pt idx="1876">
                  <c:v>0.59855077503674214</c:v>
                </c:pt>
                <c:pt idx="1877">
                  <c:v>0.64685542469613311</c:v>
                </c:pt>
                <c:pt idx="1878">
                  <c:v>0.68783651271746449</c:v>
                </c:pt>
                <c:pt idx="1879">
                  <c:v>0.72130719042410618</c:v>
                </c:pt>
                <c:pt idx="1880">
                  <c:v>0.7471612271419823</c:v>
                </c:pt>
                <c:pt idx="1881">
                  <c:v>0.76537207635106186</c:v>
                </c:pt>
                <c:pt idx="1882">
                  <c:v>0.77599111434601076</c:v>
                </c:pt>
                <c:pt idx="1883">
                  <c:v>0.77914508672489458</c:v>
                </c:pt>
                <c:pt idx="1884">
                  <c:v>0.77503280605887381</c:v>
                </c:pt>
                <c:pt idx="1885">
                  <c:v>0.76392115153868634</c:v>
                </c:pt>
                <c:pt idx="1886">
                  <c:v>0.74614042817843473</c:v>
                </c:pt>
                <c:pt idx="1887">
                  <c:v>0.72207914920648875</c:v>
                </c:pt>
                <c:pt idx="1888">
                  <c:v>0.6921783105409649</c:v>
                </c:pt>
                <c:pt idx="1889">
                  <c:v>0.65692523067771236</c:v>
                </c:pt>
                <c:pt idx="1890">
                  <c:v>0.61684703287452658</c:v>
                </c:pt>
                <c:pt idx="1891">
                  <c:v>0.57250384917148667</c:v>
                </c:pt>
                <c:pt idx="1892">
                  <c:v>0.52448182752107919</c:v>
                </c:pt>
                <c:pt idx="1893">
                  <c:v>0.47338602410583785</c:v>
                </c:pt>
                <c:pt idx="1894">
                  <c:v>0.41983326280056965</c:v>
                </c:pt>
                <c:pt idx="1895">
                  <c:v>0.36444504269961442</c:v>
                </c:pt>
                <c:pt idx="1896">
                  <c:v>0.30784057270038612</c:v>
                </c:pt>
                <c:pt idx="1897">
                  <c:v>0.25063000934639001</c:v>
                </c:pt>
                <c:pt idx="1898">
                  <c:v>0.19340797052450198</c:v>
                </c:pt>
                <c:pt idx="1899">
                  <c:v>0.13674739323373974</c:v>
                </c:pt>
                <c:pt idx="1900">
                  <c:v>8.1193798554414665E-2</c:v>
                </c:pt>
                <c:pt idx="1901">
                  <c:v>2.7260021211252372E-2</c:v>
                </c:pt>
                <c:pt idx="1902">
                  <c:v>-2.4578545184814615E-2</c:v>
                </c:pt>
                <c:pt idx="1903">
                  <c:v>-7.3888142937310164E-2</c:v>
                </c:pt>
                <c:pt idx="1904">
                  <c:v>-0.12028024804881077</c:v>
                </c:pt>
                <c:pt idx="1905">
                  <c:v>-0.16341454147810297</c:v>
                </c:pt>
                <c:pt idx="1906">
                  <c:v>-0.20300123214537935</c:v>
                </c:pt>
                <c:pt idx="1907">
                  <c:v>-0.23880271789513241</c:v>
                </c:pt>
                <c:pt idx="1908">
                  <c:v>-0.27063457861462292</c:v>
                </c:pt>
                <c:pt idx="1909">
                  <c:v>-0.29836590365951565</c:v>
                </c:pt>
                <c:pt idx="1910">
                  <c:v>-0.32191896356432559</c:v>
                </c:pt>
                <c:pt idx="1911">
                  <c:v>-0.34126824362424113</c:v>
                </c:pt>
                <c:pt idx="1912">
                  <c:v>-0.35643886424551807</c:v>
                </c:pt>
                <c:pt idx="1913">
                  <c:v>-0.36750441988921928</c:v>
                </c:pt>
                <c:pt idx="1914">
                  <c:v>-0.37458427490075741</c:v>
                </c:pt>
                <c:pt idx="1915">
                  <c:v>-0.37784036045964986</c:v>
                </c:pt>
                <c:pt idx="1916">
                  <c:v>-0.37747352223202757</c:v>
                </c:pt>
                <c:pt idx="1917">
                  <c:v>-0.37371947300581276</c:v>
                </c:pt>
                <c:pt idx="1918">
                  <c:v>-0.36684440859108391</c:v>
                </c:pt>
                <c:pt idx="1919">
                  <c:v>-0.35714034853083743</c:v>
                </c:pt>
                <c:pt idx="1920">
                  <c:v>-0.34492026565851586</c:v>
                </c:pt>
                <c:pt idx="1921">
                  <c:v>-0.33051307024018628</c:v>
                </c:pt>
                <c:pt idx="1922">
                  <c:v>-0.31425851533297322</c:v>
                </c:pt>
                <c:pt idx="1923">
                  <c:v>-0.29650209007371586</c:v>
                </c:pt>
                <c:pt idx="1924">
                  <c:v>-0.27758996689212534</c:v>
                </c:pt>
                <c:pt idx="1925">
                  <c:v>-0.25786406713109877</c:v>
                </c:pt>
                <c:pt idx="1926">
                  <c:v>-0.23765730727748746</c:v>
                </c:pt>
                <c:pt idx="1927">
                  <c:v>-0.21728908499626676</c:v>
                </c:pt>
                <c:pt idx="1928">
                  <c:v>-0.19706106045297411</c:v>
                </c:pt>
                <c:pt idx="1929">
                  <c:v>-0.1772532840593477</c:v>
                </c:pt>
                <c:pt idx="1930">
                  <c:v>-0.15812071683599438</c:v>
                </c:pt>
                <c:pt idx="1931">
                  <c:v>-0.13989018411761189</c:v>
                </c:pt>
                <c:pt idx="1932">
                  <c:v>-0.12275779740001957</c:v>
                </c:pt>
                <c:pt idx="1933">
                  <c:v>-0.10688687281512332</c:v>
                </c:pt>
                <c:pt idx="1934">
                  <c:v>-9.2406368098775227E-2</c:v>
                </c:pt>
                <c:pt idx="1935">
                  <c:v>-7.9409853067686553E-2</c:v>
                </c:pt>
                <c:pt idx="1936">
                  <c:v>-6.7955021627396528E-2</c:v>
                </c:pt>
                <c:pt idx="1937">
                  <c:v>-5.80637462796183E-2</c:v>
                </c:pt>
                <c:pt idx="1938">
                  <c:v>-4.9722669067417513E-2</c:v>
                </c:pt>
                <c:pt idx="1939">
                  <c:v>-4.2884315975479925E-2</c:v>
                </c:pt>
                <c:pt idx="1940">
                  <c:v>-3.7468715074346681E-2</c:v>
                </c:pt>
                <c:pt idx="1941">
                  <c:v>-3.3365492239550543E-2</c:v>
                </c:pt>
                <c:pt idx="1942">
                  <c:v>-3.0436412167914817E-2</c:v>
                </c:pt>
                <c:pt idx="1943">
                  <c:v>-2.8518326727706156E-2</c:v>
                </c:pt>
                <c:pt idx="1944">
                  <c:v>-2.7426487480864403E-2</c:v>
                </c:pt>
                <c:pt idx="1945">
                  <c:v>-2.6958174568895155E-2</c:v>
                </c:pt>
                <c:pt idx="1946">
                  <c:v>-2.6896590115332908E-2</c:v>
                </c:pt>
                <c:pt idx="1947">
                  <c:v>-2.7014960910636349E-2</c:v>
                </c:pt>
                <c:pt idx="1948">
                  <c:v>-2.7080792454177889E-2</c:v>
                </c:pt>
                <c:pt idx="1949">
                  <c:v>-2.6860214465281085E-2</c:v>
                </c:pt>
                <c:pt idx="1950">
                  <c:v>-2.6122356759913257E-2</c:v>
                </c:pt>
                <c:pt idx="1951">
                  <c:v>-2.4643693940888056E-2</c:v>
                </c:pt>
                <c:pt idx="1952">
                  <c:v>-2.2212297673163239E-2</c:v>
                </c:pt>
                <c:pt idx="1953">
                  <c:v>-1.8631936404023608E-2</c:v>
                </c:pt>
                <c:pt idx="1954">
                  <c:v>-1.3725964233010979E-2</c:v>
                </c:pt>
                <c:pt idx="1955">
                  <c:v>-7.3409432169138089E-3</c:v>
                </c:pt>
                <c:pt idx="1956">
                  <c:v>6.5005332327494614E-4</c:v>
                </c:pt>
                <c:pt idx="1957">
                  <c:v>1.0344504977358948E-2</c:v>
                </c:pt>
                <c:pt idx="1958">
                  <c:v>2.1807919816844379E-2</c:v>
                </c:pt>
                <c:pt idx="1959">
                  <c:v>3.5071760142024955E-2</c:v>
                </c:pt>
                <c:pt idx="1960">
                  <c:v>5.0131851544204853E-2</c:v>
                </c:pt>
                <c:pt idx="1961">
                  <c:v>6.6947302340446768E-2</c:v>
                </c:pt>
                <c:pt idx="1962">
                  <c:v>8.5439953990662731E-2</c:v>
                </c:pt>
                <c:pt idx="1963">
                  <c:v>0.10549437636617442</c:v>
                </c:pt>
                <c:pt idx="1964">
                  <c:v>0.12695841478618242</c:v>
                </c:pt>
                <c:pt idx="1965">
                  <c:v>0.14964428865793811</c:v>
                </c:pt>
                <c:pt idx="1966">
                  <c:v>0.17333023442995654</c:v>
                </c:pt>
                <c:pt idx="1967">
                  <c:v>0.19776267848214024</c:v>
                </c:pt>
                <c:pt idx="1968">
                  <c:v>0.22265891861713438</c:v>
                </c:pt>
                <c:pt idx="1969">
                  <c:v>0.24771028606744783</c:v>
                </c:pt>
                <c:pt idx="1970">
                  <c:v>0.27258575347512548</c:v>
                </c:pt>
                <c:pt idx="1971">
                  <c:v>0.29693594821347902</c:v>
                </c:pt>
                <c:pt idx="1972">
                  <c:v>0.32039752478013961</c:v>
                </c:pt>
                <c:pt idx="1973">
                  <c:v>0.34259784486568723</c:v>
                </c:pt>
                <c:pt idx="1974">
                  <c:v>0.36315990915808194</c:v>
                </c:pt>
                <c:pt idx="1975">
                  <c:v>0.38170748103966301</c:v>
                </c:pt>
                <c:pt idx="1976">
                  <c:v>0.39787033911847258</c:v>
                </c:pt>
                <c:pt idx="1977">
                  <c:v>0.41128959305501456</c:v>
                </c:pt>
                <c:pt idx="1978">
                  <c:v>0.42162299543549053</c:v>
                </c:pt>
                <c:pt idx="1979">
                  <c:v>0.4285501815255493</c:v>
                </c:pt>
                <c:pt idx="1980">
                  <c:v>0.43177776863559475</c:v>
                </c:pt>
                <c:pt idx="1981">
                  <c:v>0.43104424754865855</c:v>
                </c:pt>
                <c:pt idx="1982">
                  <c:v>0.42612459999896773</c:v>
                </c:pt>
                <c:pt idx="1983">
                  <c:v>0.41683457853719758</c:v>
                </c:pt>
                <c:pt idx="1984">
                  <c:v>0.40303458825726296</c:v>
                </c:pt>
                <c:pt idx="1985">
                  <c:v>0.38463311375533538</c:v>
                </c:pt>
                <c:pt idx="1986">
                  <c:v>0.36158963931099664</c:v>
                </c:pt>
                <c:pt idx="1987">
                  <c:v>0.3339170155761888</c:v>
                </c:pt>
                <c:pt idx="1988">
                  <c:v>0.30168323197040525</c:v>
                </c:pt>
                <c:pt idx="1989">
                  <c:v>0.26501256045268939</c:v>
                </c:pt>
                <c:pt idx="1990">
                  <c:v>0.22408604330267035</c:v>
                </c:pt>
                <c:pt idx="1991">
                  <c:v>0.17914130491457647</c:v>
                </c:pt>
                <c:pt idx="1992">
                  <c:v>0.13047167531354553</c:v>
                </c:pt>
                <c:pt idx="1993">
                  <c:v>7.8424621056500055E-2</c:v>
                </c:pt>
                <c:pt idx="1994">
                  <c:v>2.3399487288335852E-2</c:v>
                </c:pt>
                <c:pt idx="1995">
                  <c:v>-3.4155437099350427E-2</c:v>
                </c:pt>
                <c:pt idx="1996">
                  <c:v>-9.3746511109509933E-2</c:v>
                </c:pt>
                <c:pt idx="1997">
                  <c:v>-0.15483896195482183</c:v>
                </c:pt>
                <c:pt idx="1998">
                  <c:v>-0.21686169810414024</c:v>
                </c:pt>
                <c:pt idx="1999">
                  <c:v>-0.27921267160567331</c:v>
                </c:pt>
                <c:pt idx="2000">
                  <c:v>-0.34126473911493882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15D-4EA6-8AD8-5F7160FD11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0919096"/>
        <c:axId val="1"/>
      </c:scatterChart>
      <c:valAx>
        <c:axId val="520919096"/>
        <c:scaling>
          <c:orientation val="minMax"/>
          <c:max val="5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6"/>
          <c:min val="-6"/>
        </c:scaling>
        <c:delete val="0"/>
        <c:axPos val="l"/>
        <c:majorGridlines/>
        <c:numFmt formatCode="0.0" sourceLinked="0"/>
        <c:majorTickMark val="out"/>
        <c:minorTickMark val="none"/>
        <c:tickLblPos val="nextTo"/>
        <c:crossAx val="52091909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2904009720534624E-2"/>
          <c:y val="3.2418952618453921E-2"/>
          <c:w val="0.89064398541919865"/>
          <c:h val="0.86533665835411544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'edo - i - dif.finita'!$B$11</c:f>
              <c:strCache>
                <c:ptCount val="1"/>
                <c:pt idx="0">
                  <c:v>q (Dif.Fin.)</c:v>
                </c:pt>
              </c:strCache>
            </c:strRef>
          </c:tx>
          <c:marker>
            <c:symbol val="none"/>
          </c:marker>
          <c:xVal>
            <c:numRef>
              <c:f>'edo - i - dif.finita'!$A$12:$A$612</c:f>
              <c:numCache>
                <c:formatCode>0.00</c:formatCode>
                <c:ptCount val="6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</c:numCache>
            </c:numRef>
          </c:xVal>
          <c:yVal>
            <c:numRef>
              <c:f>'edo - i - dif.finita'!$B$12:$B$612</c:f>
              <c:numCache>
                <c:formatCode>0.00</c:formatCode>
                <c:ptCount val="601"/>
                <c:pt idx="0">
                  <c:v>0</c:v>
                </c:pt>
                <c:pt idx="1">
                  <c:v>4.6037985350111138E-4</c:v>
                </c:pt>
                <c:pt idx="2">
                  <c:v>2.7279799029632755E-3</c:v>
                </c:pt>
                <c:pt idx="3">
                  <c:v>8.4747425411919562E-3</c:v>
                </c:pt>
                <c:pt idx="4">
                  <c:v>1.9109635261244675E-2</c:v>
                </c:pt>
                <c:pt idx="5">
                  <c:v>3.5665737162703451E-2</c:v>
                </c:pt>
                <c:pt idx="6">
                  <c:v>5.8708574006911082E-2</c:v>
                </c:pt>
                <c:pt idx="7">
                  <c:v>8.827110322346636E-2</c:v>
                </c:pt>
                <c:pt idx="8">
                  <c:v>0.12381941100137564</c:v>
                </c:pt>
                <c:pt idx="9">
                  <c:v>0.16425163154956415</c:v>
                </c:pt>
                <c:pt idx="10">
                  <c:v>0.2079309069665003</c:v>
                </c:pt>
                <c:pt idx="11">
                  <c:v>0.25275145503203167</c:v>
                </c:pt>
                <c:pt idx="12">
                  <c:v>0.29623508504106266</c:v>
                </c:pt>
                <c:pt idx="13">
                  <c:v>0.33565388145930863</c:v>
                </c:pt>
                <c:pt idx="14">
                  <c:v>0.36817334033230875</c:v>
                </c:pt>
                <c:pt idx="15">
                  <c:v>0.39100906475272823</c:v>
                </c:pt>
                <c:pt idx="16">
                  <c:v>0.40158926282997381</c:v>
                </c:pt>
                <c:pt idx="17">
                  <c:v>0.39771479005517046</c:v>
                </c:pt>
                <c:pt idx="18">
                  <c:v>0.3777083670605117</c:v>
                </c:pt>
                <c:pt idx="19">
                  <c:v>0.34054489519061626</c:v>
                </c:pt>
                <c:pt idx="20">
                  <c:v>0.28595547928422932</c:v>
                </c:pt>
                <c:pt idx="21">
                  <c:v>0.21449882455067809</c:v>
                </c:pt>
                <c:pt idx="22">
                  <c:v>0.1275950599713879</c:v>
                </c:pt>
                <c:pt idx="23">
                  <c:v>2.7518696128825293E-2</c:v>
                </c:pt>
                <c:pt idx="24">
                  <c:v>-8.2650720642198014E-2</c:v>
                </c:pt>
                <c:pt idx="25">
                  <c:v>-0.19911972501867276</c:v>
                </c:pt>
                <c:pt idx="26">
                  <c:v>-0.31751128823047847</c:v>
                </c:pt>
                <c:pt idx="27">
                  <c:v>-0.43302994358042585</c:v>
                </c:pt>
                <c:pt idx="28">
                  <c:v>-0.54065542925572352</c:v>
                </c:pt>
                <c:pt idx="29">
                  <c:v>-0.63535704947143912</c:v>
                </c:pt>
                <c:pt idx="30">
                  <c:v>-0.71231972211886141</c:v>
                </c:pt>
                <c:pt idx="31">
                  <c:v>-0.76717182484452318</c:v>
                </c:pt>
                <c:pt idx="32">
                  <c:v>-0.79620451949921889</c:v>
                </c:pt>
                <c:pt idx="33">
                  <c:v>-0.79657225686887989</c:v>
                </c:pt>
                <c:pt idx="34">
                  <c:v>-0.76646464967140915</c:v>
                </c:pt>
                <c:pt idx="35">
                  <c:v>-0.70524084177291091</c:v>
                </c:pt>
                <c:pt idx="36">
                  <c:v>-0.61351886498552333</c:v>
                </c:pt>
                <c:pt idx="37">
                  <c:v>-0.49321421191458503</c:v>
                </c:pt>
                <c:pt idx="38">
                  <c:v>-0.34752389691899832</c:v>
                </c:pt>
                <c:pt idx="39">
                  <c:v>-0.18085454527191669</c:v>
                </c:pt>
                <c:pt idx="40">
                  <c:v>1.304550572073182E-3</c:v>
                </c:pt>
                <c:pt idx="41">
                  <c:v>0.1925600404404452</c:v>
                </c:pt>
                <c:pt idx="42">
                  <c:v>0.3858390716287784</c:v>
                </c:pt>
                <c:pt idx="43">
                  <c:v>0.57365189625174096</c:v>
                </c:pt>
                <c:pt idx="44">
                  <c:v>0.74838274137989558</c:v>
                </c:pt>
                <c:pt idx="45">
                  <c:v>0.90259762314025516</c:v>
                </c:pt>
                <c:pt idx="46">
                  <c:v>1.029356697778665</c:v>
                </c:pt>
                <c:pt idx="47">
                  <c:v>1.1225181534186417</c:v>
                </c:pt>
                <c:pt idx="48">
                  <c:v>1.1770205935350322</c:v>
                </c:pt>
                <c:pt idx="49">
                  <c:v>1.1891313626108384</c:v>
                </c:pt>
                <c:pt idx="50">
                  <c:v>1.1566493085783751</c:v>
                </c:pt>
                <c:pt idx="51">
                  <c:v>1.0790520347429338</c:v>
                </c:pt>
                <c:pt idx="52">
                  <c:v>0.95757971283991539</c:v>
                </c:pt>
                <c:pt idx="53">
                  <c:v>0.79524993499007379</c:v>
                </c:pt>
                <c:pt idx="54">
                  <c:v>0.59680078401067371</c:v>
                </c:pt>
                <c:pt idx="55">
                  <c:v>0.36856219284267433</c:v>
                </c:pt>
                <c:pt idx="56">
                  <c:v>0.11825862856712138</c:v>
                </c:pt>
                <c:pt idx="57">
                  <c:v>-0.14525094715761033</c:v>
                </c:pt>
                <c:pt idx="58">
                  <c:v>-0.41228714376046094</c:v>
                </c:pt>
                <c:pt idx="59">
                  <c:v>-0.67270707897995585</c:v>
                </c:pt>
                <c:pt idx="60">
                  <c:v>-0.91629097299837281</c:v>
                </c:pt>
                <c:pt idx="61">
                  <c:v>-1.1331436159350017</c:v>
                </c:pt>
                <c:pt idx="62">
                  <c:v>-1.3140949233309003</c:v>
                </c:pt>
                <c:pt idx="63">
                  <c:v>-1.4510834136157511</c:v>
                </c:pt>
                <c:pt idx="64">
                  <c:v>-1.5375067116977006</c:v>
                </c:pt>
                <c:pt idx="65">
                  <c:v>-1.5685241072361904</c:v>
                </c:pt>
                <c:pt idx="66">
                  <c:v>-1.541297751547936</c:v>
                </c:pt>
                <c:pt idx="67">
                  <c:v>-1.4551612138429142</c:v>
                </c:pt>
                <c:pt idx="68">
                  <c:v>-1.3117067612061961</c:v>
                </c:pt>
                <c:pt idx="69">
                  <c:v>-1.1147857808670356</c:v>
                </c:pt>
                <c:pt idx="70">
                  <c:v>-0.87042011262231189</c:v>
                </c:pt>
                <c:pt idx="71">
                  <c:v>-0.5866255743218467</c:v>
                </c:pt>
                <c:pt idx="72">
                  <c:v>-0.27315250533186725</c:v>
                </c:pt>
                <c:pt idx="73">
                  <c:v>5.8848420658760614E-2</c:v>
                </c:pt>
                <c:pt idx="74">
                  <c:v>0.39722369182469291</c:v>
                </c:pt>
                <c:pt idx="75">
                  <c:v>0.72926356047418162</c:v>
                </c:pt>
                <c:pt idx="76">
                  <c:v>1.0421812760163252</c:v>
                </c:pt>
                <c:pt idx="77">
                  <c:v>1.3236068109605099</c:v>
                </c:pt>
                <c:pt idx="78">
                  <c:v>1.5620759689489709</c:v>
                </c:pt>
                <c:pt idx="79">
                  <c:v>1.7474955319179746</c:v>
                </c:pt>
                <c:pt idx="80">
                  <c:v>1.8715656366662827</c:v>
                </c:pt>
                <c:pt idx="81">
                  <c:v>1.9281418627744058</c:v>
                </c:pt>
                <c:pt idx="82">
                  <c:v>1.9135215268463457</c:v>
                </c:pt>
                <c:pt idx="83">
                  <c:v>1.8266413457874155</c:v>
                </c:pt>
                <c:pt idx="84">
                  <c:v>1.6691768602896733</c:v>
                </c:pt>
                <c:pt idx="85">
                  <c:v>1.4455376808408624</c:v>
                </c:pt>
                <c:pt idx="86">
                  <c:v>1.1627565946731846</c:v>
                </c:pt>
                <c:pt idx="87">
                  <c:v>0.83027470088104804</c:v>
                </c:pt>
                <c:pt idx="88">
                  <c:v>0.45962886155219973</c:v>
                </c:pt>
                <c:pt idx="89">
                  <c:v>6.40517058797897E-2</c:v>
                </c:pt>
                <c:pt idx="90">
                  <c:v>-0.34200195735453015</c:v>
                </c:pt>
                <c:pt idx="91">
                  <c:v>-0.74338532453355322</c:v>
                </c:pt>
                <c:pt idx="92">
                  <c:v>-1.1248268573684579</c:v>
                </c:pt>
                <c:pt idx="93">
                  <c:v>-1.4715132908629196</c:v>
                </c:pt>
                <c:pt idx="94">
                  <c:v>-1.7696660606198673</c:v>
                </c:pt>
                <c:pt idx="95">
                  <c:v>-2.0070886779257577</c:v>
                </c:pt>
                <c:pt idx="96">
                  <c:v>-2.1736633154356664</c:v>
                </c:pt>
                <c:pt idx="97">
                  <c:v>-2.2617764636066418</c:v>
                </c:pt>
                <c:pt idx="98">
                  <c:v>-2.2666559294788509</c:v>
                </c:pt>
                <c:pt idx="99">
                  <c:v>-2.1866045933574028</c:v>
                </c:pt>
                <c:pt idx="100">
                  <c:v>-2.0231201037053661</c:v>
                </c:pt>
                <c:pt idx="101">
                  <c:v>-1.7808939383293791</c:v>
                </c:pt>
                <c:pt idx="102">
                  <c:v>-1.4676878319008226</c:v>
                </c:pt>
                <c:pt idx="103">
                  <c:v>-1.094090292115427</c:v>
                </c:pt>
                <c:pt idx="104">
                  <c:v>-0.67316061702666363</c:v>
                </c:pt>
                <c:pt idx="105">
                  <c:v>-0.21997230059118356</c:v>
                </c:pt>
                <c:pt idx="106">
                  <c:v>0.24892820563679724</c:v>
                </c:pt>
                <c:pt idx="107">
                  <c:v>0.71612788441041841</c:v>
                </c:pt>
                <c:pt idx="108">
                  <c:v>1.1639963897447732</c:v>
                </c:pt>
                <c:pt idx="109">
                  <c:v>1.5753538260106419</c:v>
                </c:pt>
                <c:pt idx="110">
                  <c:v>1.9341316852005843</c:v>
                </c:pt>
                <c:pt idx="111">
                  <c:v>2.2260014455628006</c:v>
                </c:pt>
                <c:pt idx="112">
                  <c:v>2.4389462080415214</c:v>
                </c:pt>
                <c:pt idx="113">
                  <c:v>2.5637525859240631</c:v>
                </c:pt>
                <c:pt idx="114">
                  <c:v>2.594402809495258</c:v>
                </c:pt>
                <c:pt idx="115">
                  <c:v>2.5283505669455111</c:v>
                </c:pt>
                <c:pt idx="116">
                  <c:v>2.3666683479962973</c:v>
                </c:pt>
                <c:pt idx="117">
                  <c:v>2.1140588321075207</c:v>
                </c:pt>
                <c:pt idx="118">
                  <c:v>1.7787279905340589</c:v>
                </c:pt>
                <c:pt idx="119">
                  <c:v>1.3721228568063055</c:v>
                </c:pt>
                <c:pt idx="120">
                  <c:v>0.90854216078099737</c:v>
                </c:pt>
                <c:pt idx="121">
                  <c:v>0.40463301385285944</c:v>
                </c:pt>
                <c:pt idx="122">
                  <c:v>-0.1212086189971282</c:v>
                </c:pt>
                <c:pt idx="123">
                  <c:v>-0.64951200226743622</c:v>
                </c:pt>
                <c:pt idx="124">
                  <c:v>-1.1604554726527276</c:v>
                </c:pt>
                <c:pt idx="125">
                  <c:v>-1.6346130241961681</c:v>
                </c:pt>
                <c:pt idx="126">
                  <c:v>-2.0536954093224535</c:v>
                </c:pt>
                <c:pt idx="127">
                  <c:v>-2.4012573909363528</c:v>
                </c:pt>
                <c:pt idx="128">
                  <c:v>-2.6633437314705009</c:v>
                </c:pt>
                <c:pt idx="129">
                  <c:v>-2.8290485203780884</c:v>
                </c:pt>
                <c:pt idx="130">
                  <c:v>-2.8909654565955241</c:v>
                </c:pt>
                <c:pt idx="131">
                  <c:v>-2.8455106120963825</c:v>
                </c:pt>
                <c:pt idx="132">
                  <c:v>-2.6931038662594413</c:v>
                </c:pt>
                <c:pt idx="133">
                  <c:v>-2.4382004471766723</c:v>
                </c:pt>
                <c:pt idx="134">
                  <c:v>-2.0891696496953158</c:v>
                </c:pt>
                <c:pt idx="135">
                  <c:v>-1.6580236083693594</c:v>
                </c:pt>
                <c:pt idx="136">
                  <c:v>-1.1600047650709768</c:v>
                </c:pt>
                <c:pt idx="137">
                  <c:v>-0.61304616377207555</c:v>
                </c:pt>
                <c:pt idx="138">
                  <c:v>-3.712371502665579E-2</c:v>
                </c:pt>
                <c:pt idx="139">
                  <c:v>0.54647609752467963</c:v>
                </c:pt>
                <c:pt idx="140">
                  <c:v>1.1159461200153673</c:v>
                </c:pt>
                <c:pt idx="141">
                  <c:v>1.6497766112968941</c:v>
                </c:pt>
                <c:pt idx="142">
                  <c:v>2.1275706968304773</c:v>
                </c:pt>
                <c:pt idx="143">
                  <c:v>2.5308261692061143</c:v>
                </c:pt>
                <c:pt idx="144">
                  <c:v>2.8436535801187288</c:v>
                </c:pt>
                <c:pt idx="145">
                  <c:v>3.0534026964245093</c:v>
                </c:pt>
                <c:pt idx="146">
                  <c:v>3.1511726088640142</c:v>
                </c:pt>
                <c:pt idx="147">
                  <c:v>3.1321849732265332</c:v>
                </c:pt>
                <c:pt idx="148">
                  <c:v>2.996004878694396</c:v>
                </c:pt>
                <c:pt idx="149">
                  <c:v>2.7465994923862613</c:v>
                </c:pt>
                <c:pt idx="150">
                  <c:v>2.3922307120542747</c:v>
                </c:pt>
                <c:pt idx="151">
                  <c:v>1.9451843415000818</c:v>
                </c:pt>
                <c:pt idx="152">
                  <c:v>1.4213445469094075</c:v>
                </c:pt>
                <c:pt idx="153">
                  <c:v>0.83962831774306346</c:v>
                </c:pt>
                <c:pt idx="154">
                  <c:v>0.22130011246405823</c:v>
                </c:pt>
                <c:pt idx="155">
                  <c:v>-0.41080839581697692</c:v>
                </c:pt>
                <c:pt idx="156">
                  <c:v>-1.0331447328882191</c:v>
                </c:pt>
                <c:pt idx="157">
                  <c:v>-1.6223166923412919</c:v>
                </c:pt>
                <c:pt idx="158">
                  <c:v>-2.1559749703266045</c:v>
                </c:pt>
                <c:pt idx="159">
                  <c:v>-2.6136639384866838</c:v>
                </c:pt>
                <c:pt idx="160">
                  <c:v>-2.9776080597680643</c:v>
                </c:pt>
                <c:pt idx="161">
                  <c:v>-3.23340362929661</c:v>
                </c:pt>
                <c:pt idx="162">
                  <c:v>-3.3705888718175649</c:v>
                </c:pt>
                <c:pt idx="163">
                  <c:v>-3.3830698296696968</c:v>
                </c:pt>
                <c:pt idx="164">
                  <c:v>-3.2693847710133546</c:v>
                </c:pt>
                <c:pt idx="165">
                  <c:v>-3.0327958418331313</c:v>
                </c:pt>
                <c:pt idx="166">
                  <c:v>-2.6812031537181884</c:v>
                </c:pt>
                <c:pt idx="167">
                  <c:v>-2.2268831994387428</c:v>
                </c:pt>
                <c:pt idx="168">
                  <c:v>-1.6860601661328456</c:v>
                </c:pt>
                <c:pt idx="169">
                  <c:v>-1.0783251167808765</c:v>
                </c:pt>
                <c:pt idx="170">
                  <c:v>-0.42592388865135444</c:v>
                </c:pt>
                <c:pt idx="171">
                  <c:v>0.24706031511116777</c:v>
                </c:pt>
                <c:pt idx="172">
                  <c:v>0.91559948817891756</c:v>
                </c:pt>
                <c:pt idx="173">
                  <c:v>1.5546553257174371</c:v>
                </c:pt>
                <c:pt idx="174">
                  <c:v>2.1401206398002284</c:v>
                </c:pt>
                <c:pt idx="175">
                  <c:v>2.6497321536856813</c:v>
                </c:pt>
                <c:pt idx="176">
                  <c:v>3.0639199885152819</c:v>
                </c:pt>
                <c:pt idx="177">
                  <c:v>3.3665613240626389</c:v>
                </c:pt>
                <c:pt idx="178">
                  <c:v>3.5456091318410157</c:v>
                </c:pt>
                <c:pt idx="179">
                  <c:v>3.5935714220545094</c:v>
                </c:pt>
                <c:pt idx="180">
                  <c:v>3.5078219497415679</c:v>
                </c:pt>
                <c:pt idx="181">
                  <c:v>3.2907295865652277</c:v>
                </c:pt>
                <c:pt idx="182">
                  <c:v>2.949600349527731</c:v>
                </c:pt>
                <c:pt idx="183">
                  <c:v>2.4964331315674757</c:v>
                </c:pt>
                <c:pt idx="184">
                  <c:v>1.9474972349472139</c:v>
                </c:pt>
                <c:pt idx="185">
                  <c:v>1.3227465983643474</c:v>
                </c:pt>
                <c:pt idx="186">
                  <c:v>0.64509187322331063</c:v>
                </c:pt>
                <c:pt idx="187">
                  <c:v>-6.0442997506371055E-2</c:v>
                </c:pt>
                <c:pt idx="188">
                  <c:v>-0.76764852610874235</c:v>
                </c:pt>
                <c:pt idx="189">
                  <c:v>-1.4501072192291147</c:v>
                </c:pt>
                <c:pt idx="190">
                  <c:v>-2.082184304800093</c:v>
                </c:pt>
                <c:pt idx="191">
                  <c:v>-2.6399943472811156</c:v>
                </c:pt>
                <c:pt idx="192">
                  <c:v>-3.1023071662760442</c:v>
                </c:pt>
                <c:pt idx="193">
                  <c:v>-3.4513585778540712</c:v>
                </c:pt>
                <c:pt idx="194">
                  <c:v>-3.6735348989685459</c:v>
                </c:pt>
                <c:pt idx="195">
                  <c:v>-3.7599047699143116</c:v>
                </c:pt>
                <c:pt idx="196">
                  <c:v>-3.7065774884660305</c:v>
                </c:pt>
                <c:pt idx="197">
                  <c:v>-3.514873503124945</c:v>
                </c:pt>
                <c:pt idx="198">
                  <c:v>-3.1912997407280743</c:v>
                </c:pt>
                <c:pt idx="199">
                  <c:v>-2.7473297815697704</c:v>
                </c:pt>
                <c:pt idx="200">
                  <c:v>-2.198996266201533</c:v>
                </c:pt>
                <c:pt idx="201">
                  <c:v>-1.5663100427769074</c:v>
                </c:pt>
                <c:pt idx="202">
                  <c:v>-0.87252717090440624</c:v>
                </c:pt>
                <c:pt idx="203">
                  <c:v>-0.14329073468283138</c:v>
                </c:pt>
                <c:pt idx="204">
                  <c:v>0.59432074064895046</c:v>
                </c:pt>
                <c:pt idx="205">
                  <c:v>1.3128028149061346</c:v>
                </c:pt>
                <c:pt idx="206">
                  <c:v>1.9852548155206402</c:v>
                </c:pt>
                <c:pt idx="207">
                  <c:v>2.5863909769644784</c:v>
                </c:pt>
                <c:pt idx="208">
                  <c:v>3.0934948845594081</c:v>
                </c:pt>
                <c:pt idx="209">
                  <c:v>3.4872810621711525</c:v>
                </c:pt>
                <c:pt idx="210">
                  <c:v>3.7526309101514945</c:v>
                </c:pt>
                <c:pt idx="211">
                  <c:v>3.8791748191473019</c:v>
                </c:pt>
                <c:pt idx="212">
                  <c:v>3.8616979865587338</c:v>
                </c:pt>
                <c:pt idx="213">
                  <c:v>3.7003540333519274</c:v>
                </c:pt>
                <c:pt idx="214">
                  <c:v>3.4006777137280979</c:v>
                </c:pt>
                <c:pt idx="215">
                  <c:v>2.9733955584337375</c:v>
                </c:pt>
                <c:pt idx="216">
                  <c:v>2.4340409095771482</c:v>
                </c:pt>
                <c:pt idx="217">
                  <c:v>1.8023872024832133</c:v>
                </c:pt>
                <c:pt idx="218">
                  <c:v>1.1017202475807446</c:v>
                </c:pt>
                <c:pt idx="219">
                  <c:v>0.35797639990104957</c:v>
                </c:pt>
                <c:pt idx="220">
                  <c:v>-0.40122135904808898</c:v>
                </c:pt>
                <c:pt idx="221">
                  <c:v>-1.1475934598558375</c:v>
                </c:pt>
                <c:pt idx="222">
                  <c:v>-1.8532613420338104</c:v>
                </c:pt>
                <c:pt idx="223">
                  <c:v>-2.4917929012239468</c:v>
                </c:pt>
                <c:pt idx="224">
                  <c:v>-3.0391964298552256</c:v>
                </c:pt>
                <c:pt idx="225">
                  <c:v>-3.4748255325089321</c:v>
                </c:pt>
                <c:pt idx="226">
                  <c:v>-3.7821607569406597</c:v>
                </c:pt>
                <c:pt idx="227">
                  <c:v>-3.9494382430795589</c:v>
                </c:pt>
                <c:pt idx="228">
                  <c:v>-3.9701013859414895</c:v>
                </c:pt>
                <c:pt idx="229">
                  <c:v>-3.8430581215034749</c:v>
                </c:pt>
                <c:pt idx="230">
                  <c:v>-3.5727337291147703</c:v>
                </c:pt>
                <c:pt idx="231">
                  <c:v>-3.1689167259016693</c:v>
                </c:pt>
                <c:pt idx="232">
                  <c:v>-2.6464032181600396</c:v>
                </c:pt>
                <c:pt idx="233">
                  <c:v>-2.0244526775530818</c:v>
                </c:pt>
                <c:pt idx="234">
                  <c:v>-1.3260752381691225</c:v>
                </c:pt>
                <c:pt idx="235">
                  <c:v>-0.57717699370731168</c:v>
                </c:pt>
                <c:pt idx="236">
                  <c:v>0.19440483045911583</c:v>
                </c:pt>
                <c:pt idx="237">
                  <c:v>0.95994075355791419</c:v>
                </c:pt>
                <c:pt idx="238">
                  <c:v>1.6908830395160335</c:v>
                </c:pt>
                <c:pt idx="239">
                  <c:v>2.3599345127573832</c:v>
                </c:pt>
                <c:pt idx="240">
                  <c:v>2.9420720166278844</c:v>
                </c:pt>
                <c:pt idx="241">
                  <c:v>3.4154859921901517</c:v>
                </c:pt>
                <c:pt idx="242">
                  <c:v>3.7624007614075281</c:v>
                </c:pt>
                <c:pt idx="243">
                  <c:v>3.969744544983548</c:v>
                </c:pt>
                <c:pt idx="244">
                  <c:v>4.0296438649625124</c:v>
                </c:pt>
                <c:pt idx="245">
                  <c:v>3.9397235646222657</c:v>
                </c:pt>
                <c:pt idx="246">
                  <c:v>3.7032009755155104</c:v>
                </c:pt>
                <c:pt idx="247">
                  <c:v>3.3287704987322302</c:v>
                </c:pt>
                <c:pt idx="248">
                  <c:v>2.8302827526342531</c:v>
                </c:pt>
                <c:pt idx="249">
                  <c:v>2.2262301746607522</c:v>
                </c:pt>
                <c:pt idx="250">
                  <c:v>1.5390582579514556</c:v>
                </c:pt>
                <c:pt idx="251">
                  <c:v>0.79432817862835281</c:v>
                </c:pt>
                <c:pt idx="252">
                  <c:v>1.9762177749308441E-2</c:v>
                </c:pt>
                <c:pt idx="253">
                  <c:v>-0.75579250922880192</c:v>
                </c:pt>
                <c:pt idx="254">
                  <c:v>-1.5034423010754541</c:v>
                </c:pt>
                <c:pt idx="255">
                  <c:v>-2.1953280058010076</c:v>
                </c:pt>
                <c:pt idx="256">
                  <c:v>-2.8056670589754384</c:v>
                </c:pt>
                <c:pt idx="257">
                  <c:v>-3.3117181207171713</c:v>
                </c:pt>
                <c:pt idx="258">
                  <c:v>-3.6946318010441397</c:v>
                </c:pt>
                <c:pt idx="259">
                  <c:v>-3.9401555636657752</c:v>
                </c:pt>
                <c:pt idx="260">
                  <c:v>-4.0391663432262526</c:v>
                </c:pt>
                <c:pt idx="261">
                  <c:v>-3.9880108933876564</c:v>
                </c:pt>
                <c:pt idx="262">
                  <c:v>-3.7886411181340014</c:v>
                </c:pt>
                <c:pt idx="263">
                  <c:v>-3.448539352997134</c:v>
                </c:pt>
                <c:pt idx="264">
                  <c:v>-2.9804364651750093</c:v>
                </c:pt>
                <c:pt idx="265">
                  <c:v>-2.401833433307119</c:v>
                </c:pt>
                <c:pt idx="266">
                  <c:v>-1.7343444548318296</c:v>
                </c:pt>
                <c:pt idx="267">
                  <c:v>-1.0028863326287292</c:v>
                </c:pt>
                <c:pt idx="268">
                  <c:v>-0.23474466026775875</c:v>
                </c:pt>
                <c:pt idx="269">
                  <c:v>0.54144806059576966</c:v>
                </c:pt>
                <c:pt idx="270">
                  <c:v>1.2967839498168563</c:v>
                </c:pt>
                <c:pt idx="271">
                  <c:v>2.0031606672461142</c:v>
                </c:pt>
                <c:pt idx="272">
                  <c:v>2.634331143113311</c:v>
                </c:pt>
                <c:pt idx="273">
                  <c:v>3.1668827535564477</c:v>
                </c:pt>
                <c:pt idx="274">
                  <c:v>3.5811092668511773</c:v>
                </c:pt>
                <c:pt idx="275">
                  <c:v>3.8617429572033455</c:v>
                </c:pt>
                <c:pt idx="276">
                  <c:v>3.9985195781569551</c:v>
                </c:pt>
                <c:pt idx="277">
                  <c:v>3.9865552055012121</c:v>
                </c:pt>
                <c:pt idx="278">
                  <c:v>3.8265210603472357</c:v>
                </c:pt>
                <c:pt idx="279">
                  <c:v>3.5246100377799778</c:v>
                </c:pt>
                <c:pt idx="280">
                  <c:v>3.0922965070726129</c:v>
                </c:pt>
                <c:pt idx="281">
                  <c:v>2.5458987196239673</c:v>
                </c:pt>
                <c:pt idx="282">
                  <c:v>1.9059605673704898</c:v>
                </c:pt>
                <c:pt idx="283">
                  <c:v>1.1964761984429697</c:v>
                </c:pt>
                <c:pt idx="284">
                  <c:v>0.44398686402756493</c:v>
                </c:pt>
                <c:pt idx="285">
                  <c:v>-0.32341587917952119</c:v>
                </c:pt>
                <c:pt idx="286">
                  <c:v>-1.0771430301913982</c:v>
                </c:pt>
                <c:pt idx="287">
                  <c:v>-1.7891774537138396</c:v>
                </c:pt>
                <c:pt idx="288">
                  <c:v>-2.4331194860348</c:v>
                </c:pt>
                <c:pt idx="289">
                  <c:v>-2.9851696595887618</c:v>
                </c:pt>
                <c:pt idx="290">
                  <c:v>-3.4250118182406579</c:v>
                </c:pt>
                <c:pt idx="291">
                  <c:v>-3.7365637226921424</c:v>
                </c:pt>
                <c:pt idx="292">
                  <c:v>-3.9085673033771644</c:v>
                </c:pt>
                <c:pt idx="293">
                  <c:v>-3.9349968130976714</c:v>
                </c:pt>
                <c:pt idx="294">
                  <c:v>-3.8152700309960892</c:v>
                </c:pt>
                <c:pt idx="295">
                  <c:v>-3.5542551109348008</c:v>
                </c:pt>
                <c:pt idx="296">
                  <c:v>-3.1620733687523752</c:v>
                </c:pt>
                <c:pt idx="297">
                  <c:v>-2.6537059728620993</c:v>
                </c:pt>
                <c:pt idx="298">
                  <c:v>-2.0484198518533923</c:v>
                </c:pt>
                <c:pt idx="299">
                  <c:v>-1.3690348846465321</c:v>
                </c:pt>
                <c:pt idx="300">
                  <c:v>-0.64106034016675739</c:v>
                </c:pt>
                <c:pt idx="301">
                  <c:v>0.10826663585855512</c:v>
                </c:pt>
                <c:pt idx="302">
                  <c:v>0.85100410869814125</c:v>
                </c:pt>
                <c:pt idx="303">
                  <c:v>1.5595514393980308</c:v>
                </c:pt>
                <c:pt idx="304">
                  <c:v>2.2076790497012082</c:v>
                </c:pt>
                <c:pt idx="305">
                  <c:v>2.7715032944185207</c:v>
                </c:pt>
                <c:pt idx="306">
                  <c:v>3.2303700632244854</c:v>
                </c:pt>
                <c:pt idx="307">
                  <c:v>3.5676142913765934</c:v>
                </c:pt>
                <c:pt idx="308">
                  <c:v>3.7711673403480939</c:v>
                </c:pt>
                <c:pt idx="309">
                  <c:v>3.8339900300977723</c:v>
                </c:pt>
                <c:pt idx="310">
                  <c:v>3.7543157412786696</c:v>
                </c:pt>
                <c:pt idx="311">
                  <c:v>3.535695204639655</c:v>
                </c:pt>
                <c:pt idx="312">
                  <c:v>3.1868420823653794</c:v>
                </c:pt>
                <c:pt idx="313">
                  <c:v>2.7212859383865444</c:v>
                </c:pt>
                <c:pt idx="314">
                  <c:v>2.1568464089088808</c:v>
                </c:pt>
                <c:pt idx="315">
                  <c:v>1.5149490492899864</c:v>
                </c:pt>
                <c:pt idx="316">
                  <c:v>0.81980919951058917</c:v>
                </c:pt>
                <c:pt idx="317">
                  <c:v>9.7515059622567679E-2</c:v>
                </c:pt>
                <c:pt idx="318">
                  <c:v>-0.62495518014852858</c:v>
                </c:pt>
                <c:pt idx="319">
                  <c:v>-1.320744985389537</c:v>
                </c:pt>
                <c:pt idx="320">
                  <c:v>-1.9641218164971606</c:v>
                </c:pt>
                <c:pt idx="321">
                  <c:v>-2.5314326028583798</c:v>
                </c:pt>
                <c:pt idx="322">
                  <c:v>-3.0019767324340285</c:v>
                </c:pt>
                <c:pt idx="323">
                  <c:v>-3.3587642081979068</c:v>
                </c:pt>
                <c:pt idx="324">
                  <c:v>-3.5891310975880297</c:v>
                </c:pt>
                <c:pt idx="325">
                  <c:v>-3.6851899046394903</c:v>
                </c:pt>
                <c:pt idx="326">
                  <c:v>-3.6440988140026103</c:v>
                </c:pt>
                <c:pt idx="327">
                  <c:v>-3.4681406489411057</c:v>
                </c:pt>
                <c:pt idx="328">
                  <c:v>-3.164609588455995</c:v>
                </c:pt>
                <c:pt idx="329">
                  <c:v>-2.7455109282446402</c:v>
                </c:pt>
                <c:pt idx="330">
                  <c:v>-2.2270861726148916</c:v>
                </c:pt>
                <c:pt idx="331">
                  <c:v>-1.629182246430424</c:v>
                </c:pt>
                <c:pt idx="332">
                  <c:v>-0.97448937466646091</c:v>
                </c:pt>
                <c:pt idx="333">
                  <c:v>-0.28767697862699182</c:v>
                </c:pt>
                <c:pt idx="334">
                  <c:v>0.40553939388942395</c:v>
                </c:pt>
                <c:pt idx="335">
                  <c:v>1.0793646845277569</c:v>
                </c:pt>
                <c:pt idx="336">
                  <c:v>1.7088880130711748</c:v>
                </c:pt>
                <c:pt idx="337">
                  <c:v>2.2710072935219907</c:v>
                </c:pt>
                <c:pt idx="338">
                  <c:v>2.7452803211633459</c:v>
                </c:pt>
                <c:pt idx="339">
                  <c:v>3.1146708523195201</c:v>
                </c:pt>
                <c:pt idx="340">
                  <c:v>3.3661623455632905</c:v>
                </c:pt>
                <c:pt idx="341">
                  <c:v>3.4912171852248961</c:v>
                </c:pt>
                <c:pt idx="342">
                  <c:v>3.4860651643019676</c:v>
                </c:pt>
                <c:pt idx="343">
                  <c:v>3.3518115340600207</c:v>
                </c:pt>
                <c:pt idx="344">
                  <c:v>3.094361781217299</c:v>
                </c:pt>
                <c:pt idx="345">
                  <c:v>2.7241672093956</c:v>
                </c:pt>
                <c:pt idx="346">
                  <c:v>2.2558021175511502</c:v>
                </c:pt>
                <c:pt idx="347">
                  <c:v>1.7073896316852548</c:v>
                </c:pt>
                <c:pt idx="348">
                  <c:v>1.0998988233736087</c:v>
                </c:pt>
                <c:pt idx="349">
                  <c:v>0.45634043320673079</c:v>
                </c:pt>
                <c:pt idx="350">
                  <c:v>-0.1991078620120893</c:v>
                </c:pt>
                <c:pt idx="351">
                  <c:v>-0.84201327212585009</c:v>
                </c:pt>
                <c:pt idx="352">
                  <c:v>-1.4486022898941697</c:v>
                </c:pt>
                <c:pt idx="353">
                  <c:v>-1.9966433048971588</c:v>
                </c:pt>
                <c:pt idx="354">
                  <c:v>-2.4662645359496431</c:v>
                </c:pt>
                <c:pt idx="355">
                  <c:v>-2.8406770707463878</c:v>
                </c:pt>
                <c:pt idx="356">
                  <c:v>-3.106776609638692</c:v>
                </c:pt>
                <c:pt idx="357">
                  <c:v>-3.2556022863926706</c:v>
                </c:pt>
                <c:pt idx="358">
                  <c:v>-3.2826364943249797</c:v>
                </c:pt>
                <c:pt idx="359">
                  <c:v>-3.1879357649874089</c:v>
                </c:pt>
                <c:pt idx="360">
                  <c:v>-2.9760891924632022</c:v>
                </c:pt>
                <c:pt idx="361">
                  <c:v>-2.6560074226157413</c:v>
                </c:pt>
                <c:pt idx="362">
                  <c:v>-2.2405515854228817</c:v>
                </c:pt>
                <c:pt idx="363">
                  <c:v>-1.7460175002712996</c:v>
                </c:pt>
                <c:pt idx="364">
                  <c:v>-1.1914958065728012</c:v>
                </c:pt>
                <c:pt idx="365">
                  <c:v>-0.59813316879003986</c:v>
                </c:pt>
                <c:pt idx="366">
                  <c:v>1.1676787608886019E-2</c:v>
                </c:pt>
                <c:pt idx="367">
                  <c:v>0.6151417591945213</c:v>
                </c:pt>
                <c:pt idx="368">
                  <c:v>1.1899260180780358</c:v>
                </c:pt>
                <c:pt idx="369">
                  <c:v>1.714980419030262</c:v>
                </c:pt>
                <c:pt idx="370">
                  <c:v>2.1713161932496274</c:v>
                </c:pt>
                <c:pt idx="371">
                  <c:v>2.542693971631242</c:v>
                </c:pt>
                <c:pt idx="372">
                  <c:v>2.8162029483136455</c:v>
                </c:pt>
                <c:pt idx="373">
                  <c:v>2.9827094801018368</c:v>
                </c:pt>
                <c:pt idx="374">
                  <c:v>3.0371595442443731</c:v>
                </c:pt>
                <c:pt idx="375">
                  <c:v>2.9787251444685388</c:v>
                </c:pt>
                <c:pt idx="376">
                  <c:v>2.8107907428987122</c:v>
                </c:pt>
                <c:pt idx="377">
                  <c:v>2.5407818730810923</c:v>
                </c:pt>
                <c:pt idx="378">
                  <c:v>2.1798440251200093</c:v>
                </c:pt>
                <c:pt idx="379">
                  <c:v>1.7423854637910843</c:v>
                </c:pt>
                <c:pt idx="380">
                  <c:v>1.2455026364077848</c:v>
                </c:pt>
                <c:pt idx="381">
                  <c:v>0.7083110650334089</c:v>
                </c:pt>
                <c:pt idx="382">
                  <c:v>0.15120794389723347</c:v>
                </c:pt>
                <c:pt idx="383">
                  <c:v>-0.40490503959189739</c:v>
                </c:pt>
                <c:pt idx="384">
                  <c:v>-0.93940894981951695</c:v>
                </c:pt>
                <c:pt idx="385">
                  <c:v>-1.432735150836064</c:v>
                </c:pt>
                <c:pt idx="386">
                  <c:v>-1.8670844707151903</c:v>
                </c:pt>
                <c:pt idx="387">
                  <c:v>-2.2270714490396708</c:v>
                </c:pt>
                <c:pt idx="388">
                  <c:v>-2.5002702700342967</c:v>
                </c:pt>
                <c:pt idx="389">
                  <c:v>-2.677642972488977</c:v>
                </c:pt>
                <c:pt idx="390">
                  <c:v>-2.7538352077032813</c:v>
                </c:pt>
                <c:pt idx="391">
                  <c:v>-2.7273300022652061</c:v>
                </c:pt>
                <c:pt idx="392">
                  <c:v>-2.6004554702778333</c:v>
                </c:pt>
                <c:pt idx="393">
                  <c:v>-2.3792479970671918</c:v>
                </c:pt>
                <c:pt idx="394">
                  <c:v>-2.0731778697706993</c:v>
                </c:pt>
                <c:pt idx="395">
                  <c:v>-1.6947494529842935</c:v>
                </c:pt>
                <c:pt idx="396">
                  <c:v>-1.2589926082927638</c:v>
                </c:pt>
                <c:pt idx="397">
                  <c:v>-0.78286596565584277</c:v>
                </c:pt>
                <c:pt idx="398">
                  <c:v>-0.28459573134485477</c:v>
                </c:pt>
                <c:pt idx="399">
                  <c:v>0.21702414597120873</c:v>
                </c:pt>
                <c:pt idx="400">
                  <c:v>0.70334350241407462</c:v>
                </c:pt>
                <c:pt idx="401">
                  <c:v>1.1565521442876439</c:v>
                </c:pt>
                <c:pt idx="402">
                  <c:v>1.5603346008705974</c:v>
                </c:pt>
                <c:pt idx="403">
                  <c:v>1.9004592796964106</c:v>
                </c:pt>
                <c:pt idx="404">
                  <c:v>2.1652806806953997</c:v>
                </c:pt>
                <c:pt idx="405">
                  <c:v>2.3461369227327289</c:v>
                </c:pt>
                <c:pt idx="406">
                  <c:v>2.4376290612723768</c:v>
                </c:pt>
                <c:pt idx="407">
                  <c:v>2.4377733590331361</c:v>
                </c:pt>
                <c:pt idx="408">
                  <c:v>2.3480226270523601</c:v>
                </c:pt>
                <c:pt idx="409">
                  <c:v>2.1731577879297443</c:v>
                </c:pt>
                <c:pt idx="410">
                  <c:v>1.9210557320751775</c:v>
                </c:pt>
                <c:pt idx="411">
                  <c:v>1.6023441544184325</c:v>
                </c:pt>
                <c:pt idx="412">
                  <c:v>1.2299582002812239</c:v>
                </c:pt>
                <c:pt idx="413">
                  <c:v>0.81861726263748125</c:v>
                </c:pt>
                <c:pt idx="414">
                  <c:v>0.38424303274047378</c:v>
                </c:pt>
                <c:pt idx="415">
                  <c:v>-5.6658183172568544E-2</c:v>
                </c:pt>
                <c:pt idx="416">
                  <c:v>-0.48762486783610925</c:v>
                </c:pt>
                <c:pt idx="417">
                  <c:v>-0.89285733909402998</c:v>
                </c:pt>
                <c:pt idx="418">
                  <c:v>-1.2577992185204709</c:v>
                </c:pt>
                <c:pt idx="419">
                  <c:v>-1.5696618386982704</c:v>
                </c:pt>
                <c:pt idx="420">
                  <c:v>-1.8178726381427799</c:v>
                </c:pt>
                <c:pt idx="421">
                  <c:v>-1.9944318127768512</c:v>
                </c:pt>
                <c:pt idx="422">
                  <c:v>-2.0941652650519016</c:v>
                </c:pt>
                <c:pt idx="423">
                  <c:v>-2.1148660620332307</c:v>
                </c:pt>
                <c:pt idx="424">
                  <c:v>-2.0573210146622873</c:v>
                </c:pt>
                <c:pt idx="425">
                  <c:v>-1.9252234481907258</c:v>
                </c:pt>
                <c:pt idx="426">
                  <c:v>-1.7249775751113057</c:v>
                </c:pt>
                <c:pt idx="427">
                  <c:v>-1.4654039406463673</c:v>
                </c:pt>
                <c:pt idx="428">
                  <c:v>-1.1573590344281535</c:v>
                </c:pt>
                <c:pt idx="429">
                  <c:v>-0.81328521718078872</c:v>
                </c:pt>
                <c:pt idx="430">
                  <c:v>-0.44670948900557517</c:v>
                </c:pt>
                <c:pt idx="431">
                  <c:v>-7.1711245440823079E-2</c:v>
                </c:pt>
                <c:pt idx="432">
                  <c:v>0.29762002114040875</c:v>
                </c:pt>
                <c:pt idx="433">
                  <c:v>0.64771613160485986</c:v>
                </c:pt>
                <c:pt idx="434">
                  <c:v>0.96603062358798963</c:v>
                </c:pt>
                <c:pt idx="435">
                  <c:v>1.2414896200016514</c:v>
                </c:pt>
                <c:pt idx="436">
                  <c:v>1.4648769123876832</c:v>
                </c:pt>
                <c:pt idx="437">
                  <c:v>1.6291398748491339</c:v>
                </c:pt>
                <c:pt idx="438">
                  <c:v>1.7296061550862436</c:v>
                </c:pt>
                <c:pt idx="439">
                  <c:v>1.7641047460597181</c:v>
                </c:pt>
                <c:pt idx="440">
                  <c:v>1.7329888758608203</c:v>
                </c:pt>
                <c:pt idx="441">
                  <c:v>1.6390620109970349</c:v>
                </c:pt>
                <c:pt idx="442">
                  <c:v>1.4874119977995564</c:v>
                </c:pt>
                <c:pt idx="443">
                  <c:v>1.2851618240765856</c:v>
                </c:pt>
                <c:pt idx="444">
                  <c:v>1.0411485378522245</c:v>
                </c:pt>
                <c:pt idx="445">
                  <c:v>0.76554439970138821</c:v>
                </c:pt>
                <c:pt idx="446">
                  <c:v>0.46943627990021392</c:v>
                </c:pt>
                <c:pt idx="447">
                  <c:v>0.16438057705820225</c:v>
                </c:pt>
                <c:pt idx="448">
                  <c:v>-0.13804850548565056</c:v>
                </c:pt>
                <c:pt idx="449">
                  <c:v>-0.42669964329594123</c:v>
                </c:pt>
                <c:pt idx="450">
                  <c:v>-0.69125719940416452</c:v>
                </c:pt>
                <c:pt idx="451">
                  <c:v>-0.92261081499046038</c:v>
                </c:pt>
                <c:pt idx="452">
                  <c:v>-1.1131685041864769</c:v>
                </c:pt>
                <c:pt idx="453">
                  <c:v>-1.2571025182423354</c:v>
                </c:pt>
                <c:pt idx="454">
                  <c:v>-1.3505201545733705</c:v>
                </c:pt>
                <c:pt idx="455">
                  <c:v>-1.3915548396057364</c:v>
                </c:pt>
                <c:pt idx="456">
                  <c:v>-1.3803760796729929</c:v>
                </c:pt>
                <c:pt idx="457">
                  <c:v>-1.3191201183941932</c:v>
                </c:pt>
                <c:pt idx="458">
                  <c:v>-1.2117462324225374</c:v>
                </c:pt>
                <c:pt idx="459">
                  <c:v>-1.0638264193150857</c:v>
                </c:pt>
                <c:pt idx="460">
                  <c:v>-0.88227867407928962</c:v>
                </c:pt>
                <c:pt idx="461">
                  <c:v>-0.67505602476610393</c:v>
                </c:pt>
                <c:pt idx="462">
                  <c:v>-0.4508049332152172</c:v>
                </c:pt>
                <c:pt idx="463">
                  <c:v>-0.21850751889575318</c:v>
                </c:pt>
                <c:pt idx="464">
                  <c:v>1.2877689397536696E-2</c:v>
                </c:pt>
                <c:pt idx="465">
                  <c:v>0.23476212346726585</c:v>
                </c:pt>
                <c:pt idx="466">
                  <c:v>0.43924724359048456</c:v>
                </c:pt>
                <c:pt idx="467">
                  <c:v>0.6194063289167373</c:v>
                </c:pt>
                <c:pt idx="468">
                  <c:v>0.76951791301370864</c:v>
                </c:pt>
                <c:pt idx="469">
                  <c:v>0.8852430465685206</c:v>
                </c:pt>
                <c:pt idx="470">
                  <c:v>0.96374108845879436</c:v>
                </c:pt>
                <c:pt idx="471">
                  <c:v>1.0037213953888615</c:v>
                </c:pt>
                <c:pt idx="472">
                  <c:v>1.0054309851585297</c:v>
                </c:pt>
                <c:pt idx="473">
                  <c:v>0.97058087647082769</c:v>
                </c:pt>
                <c:pt idx="474">
                  <c:v>0.90221625170278941</c:v>
                </c:pt>
                <c:pt idx="475">
                  <c:v>0.80453775096782187</c:v>
                </c:pt>
                <c:pt idx="476">
                  <c:v>0.68268300266564674</c:v>
                </c:pt>
                <c:pt idx="477">
                  <c:v>0.54247886121745814</c:v>
                </c:pt>
                <c:pt idx="478">
                  <c:v>0.39017571004437424</c:v>
                </c:pt>
                <c:pt idx="479">
                  <c:v>0.23217557144197762</c:v>
                </c:pt>
                <c:pt idx="480">
                  <c:v>7.4765641041803693E-2</c:v>
                </c:pt>
                <c:pt idx="481">
                  <c:v>-7.6131749173017738E-2</c:v>
                </c:pt>
                <c:pt idx="482">
                  <c:v>-0.21518280058980535</c:v>
                </c:pt>
                <c:pt idx="483">
                  <c:v>-0.33783107185426686</c:v>
                </c:pt>
                <c:pt idx="484">
                  <c:v>-0.44044476102534408</c:v>
                </c:pt>
                <c:pt idx="485">
                  <c:v>-0.52041777065487604</c:v>
                </c:pt>
                <c:pt idx="486">
                  <c:v>-0.57622204577025926</c:v>
                </c:pt>
                <c:pt idx="487">
                  <c:v>-0.60741088737776316</c:v>
                </c:pt>
                <c:pt idx="488">
                  <c:v>-0.61457510656240688</c:v>
                </c:pt>
                <c:pt idx="489">
                  <c:v>-0.59925590318646194</c:v>
                </c:pt>
                <c:pt idx="490">
                  <c:v>-0.56382014334752628</c:v>
                </c:pt>
                <c:pt idx="491">
                  <c:v>-0.51130519758901916</c:v>
                </c:pt>
                <c:pt idx="492">
                  <c:v>-0.44524162848284432</c:v>
                </c:pt>
                <c:pt idx="493">
                  <c:v>-0.3694627397596586</c:v>
                </c:pt>
                <c:pt idx="494">
                  <c:v>-0.28791029635432031</c:v>
                </c:pt>
                <c:pt idx="495">
                  <c:v>-0.20444559157945288</c:v>
                </c:pt>
                <c:pt idx="496">
                  <c:v>-0.12267448935055908</c:v>
                </c:pt>
                <c:pt idx="497">
                  <c:v>-4.5794139419509938E-2</c:v>
                </c:pt>
                <c:pt idx="498">
                  <c:v>2.3532198101790247E-2</c:v>
                </c:pt>
                <c:pt idx="499">
                  <c:v>8.3267311987015896E-2</c:v>
                </c:pt>
                <c:pt idx="500">
                  <c:v>0.1320559978891058</c:v>
                </c:pt>
                <c:pt idx="501">
                  <c:v>0.16924346190467043</c:v>
                </c:pt>
                <c:pt idx="502">
                  <c:v>0.19485667185910252</c:v>
                </c:pt>
                <c:pt idx="503">
                  <c:v>0.20955095095295886</c:v>
                </c:pt>
                <c:pt idx="504">
                  <c:v>0.214525755731372</c:v>
                </c:pt>
                <c:pt idx="505">
                  <c:v>0.21141500780151137</c:v>
                </c:pt>
                <c:pt idx="506">
                  <c:v>0.20215849257169888</c:v>
                </c:pt>
                <c:pt idx="507">
                  <c:v>0.18886164847182127</c:v>
                </c:pt>
                <c:pt idx="508">
                  <c:v>0.17365151244689239</c:v>
                </c:pt>
                <c:pt idx="509">
                  <c:v>0.15853664508683088</c:v>
                </c:pt>
                <c:pt idx="510">
                  <c:v>0.14527853259087459</c:v>
                </c:pt>
                <c:pt idx="511">
                  <c:v>0.13528127166597728</c:v>
                </c:pt>
                <c:pt idx="512">
                  <c:v>0.12950532305266471</c:v>
                </c:pt>
                <c:pt idx="513">
                  <c:v>0.12840982041371532</c:v>
                </c:pt>
                <c:pt idx="514">
                  <c:v>0.13192640732093164</c:v>
                </c:pt>
                <c:pt idx="515">
                  <c:v>0.13946591936255986</c:v>
                </c:pt>
                <c:pt idx="516">
                  <c:v>0.14995751074612382</c:v>
                </c:pt>
                <c:pt idx="517">
                  <c:v>0.161918127758652</c:v>
                </c:pt>
                <c:pt idx="518">
                  <c:v>0.17354863665303213</c:v>
                </c:pt>
                <c:pt idx="519">
                  <c:v>0.18285149782121732</c:v>
                </c:pt>
                <c:pt idx="520">
                  <c:v>0.18776371011595558</c:v>
                </c:pt>
                <c:pt idx="521">
                  <c:v>0.18629788611766868</c:v>
                </c:pt>
                <c:pt idx="522">
                  <c:v>0.17668380418845148</c:v>
                </c:pt>
                <c:pt idx="523">
                  <c:v>0.15750264341368875</c:v>
                </c:pt>
                <c:pt idx="524">
                  <c:v>0.12780635272396029</c:v>
                </c:pt>
                <c:pt idx="525">
                  <c:v>8.7215227421393204E-2</c:v>
                </c:pt>
                <c:pt idx="526">
                  <c:v>3.5987739166263029E-2</c:v>
                </c:pt>
                <c:pt idx="527">
                  <c:v>-2.4942053208921983E-2</c:v>
                </c:pt>
                <c:pt idx="528">
                  <c:v>-9.3962652087240514E-2</c:v>
                </c:pt>
                <c:pt idx="529">
                  <c:v>-0.16882025425915087</c:v>
                </c:pt>
                <c:pt idx="530">
                  <c:v>-0.24669047696261487</c:v>
                </c:pt>
                <c:pt idx="531">
                  <c:v>-0.32428444855652494</c:v>
                </c:pt>
                <c:pt idx="532">
                  <c:v>-0.39798526704039761</c:v>
                </c:pt>
                <c:pt idx="533">
                  <c:v>-0.46400921320326638</c:v>
                </c:pt>
                <c:pt idx="534">
                  <c:v>-0.51858471957282115</c:v>
                </c:pt>
                <c:pt idx="535">
                  <c:v>-0.55814101081623202</c:v>
                </c:pt>
                <c:pt idx="536">
                  <c:v>-0.57949760244681403</c:v>
                </c:pt>
                <c:pt idx="537">
                  <c:v>-0.58004551388688486</c:v>
                </c:pt>
                <c:pt idx="538">
                  <c:v>-0.55791114297531808</c:v>
                </c:pt>
                <c:pt idx="539">
                  <c:v>-0.51209426699800831</c:v>
                </c:pt>
                <c:pt idx="540">
                  <c:v>-0.44257256612769091</c:v>
                </c:pt>
                <c:pt idx="541">
                  <c:v>-0.35036637574929658</c:v>
                </c:pt>
                <c:pt idx="542">
                  <c:v>-0.23755901375244776</c:v>
                </c:pt>
                <c:pt idx="543">
                  <c:v>-0.10726993096824403</c:v>
                </c:pt>
                <c:pt idx="544">
                  <c:v>3.6419982086364128E-2</c:v>
                </c:pt>
                <c:pt idx="545">
                  <c:v>0.18858942049636124</c:v>
                </c:pt>
                <c:pt idx="546">
                  <c:v>0.34364033399569893</c:v>
                </c:pt>
                <c:pt idx="547">
                  <c:v>0.49549847410437464</c:v>
                </c:pt>
                <c:pt idx="548">
                  <c:v>0.63784317055739903</c:v>
                </c:pt>
                <c:pt idx="549">
                  <c:v>0.76435708795917034</c:v>
                </c:pt>
                <c:pt idx="550">
                  <c:v>0.868985474371611</c:v>
                </c:pt>
                <c:pt idx="551">
                  <c:v>0.94619359957885296</c:v>
                </c:pt>
                <c:pt idx="552">
                  <c:v>0.99121073931761616</c:v>
                </c:pt>
                <c:pt idx="553">
                  <c:v>1.0002492208061096</c:v>
                </c:pt>
                <c:pt idx="554">
                  <c:v>0.9706877116657715</c:v>
                </c:pt>
                <c:pt idx="555">
                  <c:v>0.90120909464914767</c:v>
                </c:pt>
                <c:pt idx="556">
                  <c:v>0.79188488922910738</c:v>
                </c:pt>
                <c:pt idx="557">
                  <c:v>0.64420020299169201</c:v>
                </c:pt>
                <c:pt idx="558">
                  <c:v>0.46101554810447426</c:v>
                </c:pt>
                <c:pt idx="559">
                  <c:v>0.24646445330682393</c:v>
                </c:pt>
                <c:pt idx="560">
                  <c:v>5.7885411265905518E-3</c:v>
                </c:pt>
                <c:pt idx="561">
                  <c:v>-0.25488548236562975</c:v>
                </c:pt>
                <c:pt idx="562">
                  <c:v>-0.5288197701259747</c:v>
                </c:pt>
                <c:pt idx="563">
                  <c:v>-0.80898052157889111</c:v>
                </c:pt>
                <c:pt idx="564">
                  <c:v>-1.0883824692338135</c:v>
                </c:pt>
                <c:pt idx="565">
                  <c:v>-1.3604488213811665</c:v>
                </c:pt>
                <c:pt idx="566">
                  <c:v>-1.6193713520289288</c:v>
                </c:pt>
                <c:pt idx="567">
                  <c:v>-1.8604543463810188</c:v>
                </c:pt>
                <c:pt idx="568">
                  <c:v>-2.0804256389642193</c:v>
                </c:pt>
                <c:pt idx="569">
                  <c:v>-2.2776980263465694</c:v>
                </c:pt>
                <c:pt idx="570">
                  <c:v>-2.4525648762318637</c:v>
                </c:pt>
                <c:pt idx="571">
                  <c:v>-2.607314743244554</c:v>
                </c:pt>
                <c:pt idx="572">
                  <c:v>-2.7462511685314799</c:v>
                </c:pt>
                <c:pt idx="573">
                  <c:v>-2.8756054932132855</c:v>
                </c:pt>
                <c:pt idx="574">
                  <c:v>-3.0033323441113526</c:v>
                </c:pt>
                <c:pt idx="575">
                  <c:v>-3.1387793293697177</c:v>
                </c:pt>
                <c:pt idx="576">
                  <c:v>-3.2922242780320805</c:v>
                </c:pt>
                <c:pt idx="577">
                  <c:v>-3.4742749348435082</c:v>
                </c:pt>
                <c:pt idx="578">
                  <c:v>-3.6951272466456819</c:v>
                </c:pt>
                <c:pt idx="579">
                  <c:v>-3.963679127384494</c:v>
                </c:pt>
                <c:pt idx="580">
                  <c:v>-4.2864967603461492</c:v>
                </c:pt>
                <c:pt idx="581">
                  <c:v>-4.6666300092115236</c:v>
                </c:pt>
                <c:pt idx="582">
                  <c:v>-5.1022723165917432</c:v>
                </c:pt>
                <c:pt idx="583">
                  <c:v>-5.585258562018792</c:v>
                </c:pt>
                <c:pt idx="584">
                  <c:v>-6.0993917693723789</c:v>
                </c:pt>
                <c:pt idx="585">
                  <c:v>-6.618586387870713</c:v>
                </c:pt>
                <c:pt idx="586">
                  <c:v>-7.1048122719003546</c:v>
                </c:pt>
                <c:pt idx="587">
                  <c:v>-7.5058196696695365</c:v>
                </c:pt>
                <c:pt idx="588">
                  <c:v>-7.7526217874388621</c:v>
                </c:pt>
                <c:pt idx="589">
                  <c:v>-7.7567081917192722</c:v>
                </c:pt>
                <c:pt idx="590">
                  <c:v>-7.4069598981542715</c:v>
                </c:pt>
                <c:pt idx="591">
                  <c:v>-6.5662360169659761</c:v>
                </c:pt>
                <c:pt idx="592">
                  <c:v>-5.0676029254703208</c:v>
                </c:pt>
                <c:pt idx="593">
                  <c:v>-2.7101808726755663</c:v>
                </c:pt>
                <c:pt idx="594">
                  <c:v>0.74540943569094953</c:v>
                </c:pt>
                <c:pt idx="595">
                  <c:v>5.5820053633845834</c:v>
                </c:pt>
                <c:pt idx="596">
                  <c:v>12.131252841080359</c:v>
                </c:pt>
                <c:pt idx="597">
                  <c:v>20.779310273453007</c:v>
                </c:pt>
                <c:pt idx="598">
                  <c:v>31.9728331830622</c:v>
                </c:pt>
                <c:pt idx="599">
                  <c:v>46.225122416398676</c:v>
                </c:pt>
                <c:pt idx="600">
                  <c:v>64.122261921807535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75-4D86-B51E-2616D41D24D9}"/>
            </c:ext>
          </c:extLst>
        </c:ser>
        <c:ser>
          <c:idx val="0"/>
          <c:order val="1"/>
          <c:tx>
            <c:strRef>
              <c:f>'Solução Exata'!$B$7</c:f>
              <c:strCache>
                <c:ptCount val="1"/>
                <c:pt idx="0">
                  <c:v>q(exata)</c:v>
                </c:pt>
              </c:strCache>
            </c:strRef>
          </c:tx>
          <c:marker>
            <c:symbol val="none"/>
          </c:marker>
          <c:xVal>
            <c:numRef>
              <c:f>'Solução Exata'!$A$8:$A$2008</c:f>
              <c:numCache>
                <c:formatCode>0.00</c:formatCode>
                <c:ptCount val="200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  <c:pt idx="81">
                  <c:v>4.0499999999999936</c:v>
                </c:pt>
                <c:pt idx="82">
                  <c:v>4.0999999999999934</c:v>
                </c:pt>
                <c:pt idx="83">
                  <c:v>4.1499999999999932</c:v>
                </c:pt>
                <c:pt idx="84">
                  <c:v>4.1999999999999931</c:v>
                </c:pt>
                <c:pt idx="85">
                  <c:v>4.2499999999999929</c:v>
                </c:pt>
                <c:pt idx="86">
                  <c:v>4.2999999999999927</c:v>
                </c:pt>
                <c:pt idx="87">
                  <c:v>4.3499999999999925</c:v>
                </c:pt>
                <c:pt idx="88">
                  <c:v>4.3999999999999924</c:v>
                </c:pt>
                <c:pt idx="89">
                  <c:v>4.4499999999999922</c:v>
                </c:pt>
                <c:pt idx="90">
                  <c:v>4.499999999999992</c:v>
                </c:pt>
                <c:pt idx="91">
                  <c:v>4.5499999999999918</c:v>
                </c:pt>
                <c:pt idx="92">
                  <c:v>4.5999999999999917</c:v>
                </c:pt>
                <c:pt idx="93">
                  <c:v>4.6499999999999915</c:v>
                </c:pt>
                <c:pt idx="94">
                  <c:v>4.6999999999999913</c:v>
                </c:pt>
                <c:pt idx="95">
                  <c:v>4.7499999999999911</c:v>
                </c:pt>
                <c:pt idx="96">
                  <c:v>4.7999999999999909</c:v>
                </c:pt>
                <c:pt idx="97">
                  <c:v>4.8499999999999908</c:v>
                </c:pt>
                <c:pt idx="98">
                  <c:v>4.8999999999999906</c:v>
                </c:pt>
                <c:pt idx="99">
                  <c:v>4.9499999999999904</c:v>
                </c:pt>
                <c:pt idx="100">
                  <c:v>4.9999999999999902</c:v>
                </c:pt>
                <c:pt idx="101">
                  <c:v>5.0499999999999901</c:v>
                </c:pt>
                <c:pt idx="102">
                  <c:v>5.0999999999999899</c:v>
                </c:pt>
                <c:pt idx="103">
                  <c:v>5.1499999999999897</c:v>
                </c:pt>
                <c:pt idx="104">
                  <c:v>5.1999999999999895</c:v>
                </c:pt>
                <c:pt idx="105">
                  <c:v>5.2499999999999893</c:v>
                </c:pt>
                <c:pt idx="106">
                  <c:v>5.2999999999999892</c:v>
                </c:pt>
                <c:pt idx="107">
                  <c:v>5.349999999999989</c:v>
                </c:pt>
                <c:pt idx="108">
                  <c:v>5.3999999999999888</c:v>
                </c:pt>
                <c:pt idx="109">
                  <c:v>5.4499999999999886</c:v>
                </c:pt>
                <c:pt idx="110">
                  <c:v>5.4999999999999885</c:v>
                </c:pt>
                <c:pt idx="111">
                  <c:v>5.5499999999999883</c:v>
                </c:pt>
                <c:pt idx="112">
                  <c:v>5.5999999999999881</c:v>
                </c:pt>
                <c:pt idx="113">
                  <c:v>5.6499999999999879</c:v>
                </c:pt>
                <c:pt idx="114">
                  <c:v>5.6999999999999877</c:v>
                </c:pt>
                <c:pt idx="115">
                  <c:v>5.7499999999999876</c:v>
                </c:pt>
                <c:pt idx="116">
                  <c:v>5.7999999999999874</c:v>
                </c:pt>
                <c:pt idx="117">
                  <c:v>5.8499999999999872</c:v>
                </c:pt>
                <c:pt idx="118">
                  <c:v>5.899999999999987</c:v>
                </c:pt>
                <c:pt idx="119">
                  <c:v>5.9499999999999869</c:v>
                </c:pt>
                <c:pt idx="120">
                  <c:v>5.9999999999999867</c:v>
                </c:pt>
                <c:pt idx="121">
                  <c:v>6.0499999999999865</c:v>
                </c:pt>
                <c:pt idx="122">
                  <c:v>6.0999999999999863</c:v>
                </c:pt>
                <c:pt idx="123">
                  <c:v>6.1499999999999861</c:v>
                </c:pt>
                <c:pt idx="124">
                  <c:v>6.199999999999986</c:v>
                </c:pt>
                <c:pt idx="125">
                  <c:v>6.2499999999999858</c:v>
                </c:pt>
                <c:pt idx="126">
                  <c:v>6.2999999999999856</c:v>
                </c:pt>
                <c:pt idx="127">
                  <c:v>6.3499999999999854</c:v>
                </c:pt>
                <c:pt idx="128">
                  <c:v>6.3999999999999853</c:v>
                </c:pt>
                <c:pt idx="129">
                  <c:v>6.4499999999999851</c:v>
                </c:pt>
                <c:pt idx="130">
                  <c:v>6.4999999999999849</c:v>
                </c:pt>
                <c:pt idx="131">
                  <c:v>6.5499999999999847</c:v>
                </c:pt>
                <c:pt idx="132">
                  <c:v>6.5999999999999845</c:v>
                </c:pt>
                <c:pt idx="133">
                  <c:v>6.6499999999999844</c:v>
                </c:pt>
                <c:pt idx="134">
                  <c:v>6.6999999999999842</c:v>
                </c:pt>
                <c:pt idx="135">
                  <c:v>6.749999999999984</c:v>
                </c:pt>
                <c:pt idx="136">
                  <c:v>6.7999999999999838</c:v>
                </c:pt>
                <c:pt idx="137">
                  <c:v>6.8499999999999837</c:v>
                </c:pt>
                <c:pt idx="138">
                  <c:v>6.8999999999999835</c:v>
                </c:pt>
                <c:pt idx="139">
                  <c:v>6.9499999999999833</c:v>
                </c:pt>
                <c:pt idx="140">
                  <c:v>6.9999999999999831</c:v>
                </c:pt>
                <c:pt idx="141">
                  <c:v>7.0499999999999829</c:v>
                </c:pt>
                <c:pt idx="142">
                  <c:v>7.0999999999999828</c:v>
                </c:pt>
                <c:pt idx="143">
                  <c:v>7.1499999999999826</c:v>
                </c:pt>
                <c:pt idx="144">
                  <c:v>7.1999999999999824</c:v>
                </c:pt>
                <c:pt idx="145">
                  <c:v>7.2499999999999822</c:v>
                </c:pt>
                <c:pt idx="146">
                  <c:v>7.2999999999999821</c:v>
                </c:pt>
                <c:pt idx="147">
                  <c:v>7.3499999999999819</c:v>
                </c:pt>
                <c:pt idx="148">
                  <c:v>7.3999999999999817</c:v>
                </c:pt>
                <c:pt idx="149">
                  <c:v>7.4499999999999815</c:v>
                </c:pt>
                <c:pt idx="150">
                  <c:v>7.4999999999999813</c:v>
                </c:pt>
                <c:pt idx="151">
                  <c:v>7.5499999999999812</c:v>
                </c:pt>
                <c:pt idx="152">
                  <c:v>7.599999999999981</c:v>
                </c:pt>
                <c:pt idx="153">
                  <c:v>7.6499999999999808</c:v>
                </c:pt>
                <c:pt idx="154">
                  <c:v>7.6999999999999806</c:v>
                </c:pt>
                <c:pt idx="155">
                  <c:v>7.7499999999999805</c:v>
                </c:pt>
                <c:pt idx="156">
                  <c:v>7.7999999999999803</c:v>
                </c:pt>
                <c:pt idx="157">
                  <c:v>7.8499999999999801</c:v>
                </c:pt>
                <c:pt idx="158">
                  <c:v>7.8999999999999799</c:v>
                </c:pt>
                <c:pt idx="159">
                  <c:v>7.9499999999999797</c:v>
                </c:pt>
                <c:pt idx="160">
                  <c:v>7.9999999999999796</c:v>
                </c:pt>
                <c:pt idx="161">
                  <c:v>8.0499999999999794</c:v>
                </c:pt>
                <c:pt idx="162">
                  <c:v>8.0999999999999801</c:v>
                </c:pt>
                <c:pt idx="163">
                  <c:v>8.1499999999999808</c:v>
                </c:pt>
                <c:pt idx="164">
                  <c:v>8.1999999999999815</c:v>
                </c:pt>
                <c:pt idx="165">
                  <c:v>8.2499999999999822</c:v>
                </c:pt>
                <c:pt idx="166">
                  <c:v>8.2999999999999829</c:v>
                </c:pt>
                <c:pt idx="167">
                  <c:v>8.3499999999999837</c:v>
                </c:pt>
                <c:pt idx="168">
                  <c:v>8.3999999999999844</c:v>
                </c:pt>
                <c:pt idx="169">
                  <c:v>8.4499999999999851</c:v>
                </c:pt>
                <c:pt idx="170">
                  <c:v>8.4999999999999858</c:v>
                </c:pt>
                <c:pt idx="171">
                  <c:v>8.5499999999999865</c:v>
                </c:pt>
                <c:pt idx="172">
                  <c:v>8.5999999999999872</c:v>
                </c:pt>
                <c:pt idx="173">
                  <c:v>8.6499999999999879</c:v>
                </c:pt>
                <c:pt idx="174">
                  <c:v>8.6999999999999886</c:v>
                </c:pt>
                <c:pt idx="175">
                  <c:v>8.7499999999999893</c:v>
                </c:pt>
                <c:pt idx="176">
                  <c:v>8.7999999999999901</c:v>
                </c:pt>
                <c:pt idx="177">
                  <c:v>8.8499999999999908</c:v>
                </c:pt>
                <c:pt idx="178">
                  <c:v>8.8999999999999915</c:v>
                </c:pt>
                <c:pt idx="179">
                  <c:v>8.9499999999999922</c:v>
                </c:pt>
                <c:pt idx="180">
                  <c:v>8.9999999999999929</c:v>
                </c:pt>
                <c:pt idx="181">
                  <c:v>9.0499999999999936</c:v>
                </c:pt>
                <c:pt idx="182">
                  <c:v>9.0999999999999943</c:v>
                </c:pt>
                <c:pt idx="183">
                  <c:v>9.149999999999995</c:v>
                </c:pt>
                <c:pt idx="184">
                  <c:v>9.1999999999999957</c:v>
                </c:pt>
                <c:pt idx="185">
                  <c:v>9.2499999999999964</c:v>
                </c:pt>
                <c:pt idx="186">
                  <c:v>9.2999999999999972</c:v>
                </c:pt>
                <c:pt idx="187">
                  <c:v>9.3499999999999979</c:v>
                </c:pt>
                <c:pt idx="188">
                  <c:v>9.3999999999999986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9.6000000000000014</c:v>
                </c:pt>
                <c:pt idx="193">
                  <c:v>9.6500000000000021</c:v>
                </c:pt>
                <c:pt idx="194">
                  <c:v>9.7000000000000028</c:v>
                </c:pt>
                <c:pt idx="195">
                  <c:v>9.7500000000000036</c:v>
                </c:pt>
                <c:pt idx="196">
                  <c:v>9.8000000000000043</c:v>
                </c:pt>
                <c:pt idx="197">
                  <c:v>9.850000000000005</c:v>
                </c:pt>
                <c:pt idx="198">
                  <c:v>9.9000000000000057</c:v>
                </c:pt>
                <c:pt idx="199">
                  <c:v>9.9500000000000064</c:v>
                </c:pt>
                <c:pt idx="200">
                  <c:v>10.000000000000007</c:v>
                </c:pt>
                <c:pt idx="201">
                  <c:v>10.050000000000008</c:v>
                </c:pt>
                <c:pt idx="202">
                  <c:v>10.100000000000009</c:v>
                </c:pt>
                <c:pt idx="203">
                  <c:v>10.150000000000009</c:v>
                </c:pt>
                <c:pt idx="204">
                  <c:v>10.20000000000001</c:v>
                </c:pt>
                <c:pt idx="205">
                  <c:v>10.250000000000011</c:v>
                </c:pt>
                <c:pt idx="206">
                  <c:v>10.300000000000011</c:v>
                </c:pt>
                <c:pt idx="207">
                  <c:v>10.350000000000012</c:v>
                </c:pt>
                <c:pt idx="208">
                  <c:v>10.400000000000013</c:v>
                </c:pt>
                <c:pt idx="209">
                  <c:v>10.450000000000014</c:v>
                </c:pt>
                <c:pt idx="210">
                  <c:v>10.500000000000014</c:v>
                </c:pt>
                <c:pt idx="211">
                  <c:v>10.550000000000015</c:v>
                </c:pt>
                <c:pt idx="212">
                  <c:v>10.600000000000016</c:v>
                </c:pt>
                <c:pt idx="213">
                  <c:v>10.650000000000016</c:v>
                </c:pt>
                <c:pt idx="214">
                  <c:v>10.700000000000017</c:v>
                </c:pt>
                <c:pt idx="215">
                  <c:v>10.750000000000018</c:v>
                </c:pt>
                <c:pt idx="216">
                  <c:v>10.800000000000018</c:v>
                </c:pt>
                <c:pt idx="217">
                  <c:v>10.850000000000019</c:v>
                </c:pt>
                <c:pt idx="218">
                  <c:v>10.90000000000002</c:v>
                </c:pt>
                <c:pt idx="219">
                  <c:v>10.950000000000021</c:v>
                </c:pt>
                <c:pt idx="220">
                  <c:v>11.000000000000021</c:v>
                </c:pt>
                <c:pt idx="221">
                  <c:v>11.050000000000022</c:v>
                </c:pt>
                <c:pt idx="222">
                  <c:v>11.100000000000023</c:v>
                </c:pt>
                <c:pt idx="223">
                  <c:v>11.150000000000023</c:v>
                </c:pt>
                <c:pt idx="224">
                  <c:v>11.200000000000024</c:v>
                </c:pt>
                <c:pt idx="225">
                  <c:v>11.250000000000025</c:v>
                </c:pt>
                <c:pt idx="226">
                  <c:v>11.300000000000026</c:v>
                </c:pt>
                <c:pt idx="227">
                  <c:v>11.350000000000026</c:v>
                </c:pt>
                <c:pt idx="228">
                  <c:v>11.400000000000027</c:v>
                </c:pt>
                <c:pt idx="229">
                  <c:v>11.450000000000028</c:v>
                </c:pt>
                <c:pt idx="230">
                  <c:v>11.500000000000028</c:v>
                </c:pt>
                <c:pt idx="231">
                  <c:v>11.550000000000029</c:v>
                </c:pt>
                <c:pt idx="232">
                  <c:v>11.60000000000003</c:v>
                </c:pt>
                <c:pt idx="233">
                  <c:v>11.650000000000031</c:v>
                </c:pt>
                <c:pt idx="234">
                  <c:v>11.700000000000031</c:v>
                </c:pt>
                <c:pt idx="235">
                  <c:v>11.750000000000032</c:v>
                </c:pt>
                <c:pt idx="236">
                  <c:v>11.800000000000033</c:v>
                </c:pt>
                <c:pt idx="237">
                  <c:v>11.850000000000033</c:v>
                </c:pt>
                <c:pt idx="238">
                  <c:v>11.900000000000034</c:v>
                </c:pt>
                <c:pt idx="239">
                  <c:v>11.950000000000035</c:v>
                </c:pt>
                <c:pt idx="240">
                  <c:v>12.000000000000036</c:v>
                </c:pt>
                <c:pt idx="241">
                  <c:v>12.050000000000036</c:v>
                </c:pt>
                <c:pt idx="242">
                  <c:v>12.100000000000037</c:v>
                </c:pt>
                <c:pt idx="243">
                  <c:v>12.150000000000038</c:v>
                </c:pt>
                <c:pt idx="244">
                  <c:v>12.200000000000038</c:v>
                </c:pt>
                <c:pt idx="245">
                  <c:v>12.250000000000039</c:v>
                </c:pt>
                <c:pt idx="246">
                  <c:v>12.30000000000004</c:v>
                </c:pt>
                <c:pt idx="247">
                  <c:v>12.350000000000041</c:v>
                </c:pt>
                <c:pt idx="248">
                  <c:v>12.400000000000041</c:v>
                </c:pt>
                <c:pt idx="249">
                  <c:v>12.450000000000042</c:v>
                </c:pt>
                <c:pt idx="250">
                  <c:v>12.500000000000043</c:v>
                </c:pt>
                <c:pt idx="251">
                  <c:v>12.550000000000043</c:v>
                </c:pt>
                <c:pt idx="252">
                  <c:v>12.600000000000044</c:v>
                </c:pt>
                <c:pt idx="253">
                  <c:v>12.650000000000045</c:v>
                </c:pt>
                <c:pt idx="254">
                  <c:v>12.700000000000045</c:v>
                </c:pt>
                <c:pt idx="255">
                  <c:v>12.750000000000046</c:v>
                </c:pt>
                <c:pt idx="256">
                  <c:v>12.800000000000047</c:v>
                </c:pt>
                <c:pt idx="257">
                  <c:v>12.850000000000048</c:v>
                </c:pt>
                <c:pt idx="258">
                  <c:v>12.900000000000048</c:v>
                </c:pt>
                <c:pt idx="259">
                  <c:v>12.950000000000049</c:v>
                </c:pt>
                <c:pt idx="260">
                  <c:v>13.00000000000005</c:v>
                </c:pt>
                <c:pt idx="261">
                  <c:v>13.05000000000005</c:v>
                </c:pt>
                <c:pt idx="262">
                  <c:v>13.100000000000051</c:v>
                </c:pt>
                <c:pt idx="263">
                  <c:v>13.150000000000052</c:v>
                </c:pt>
                <c:pt idx="264">
                  <c:v>13.200000000000053</c:v>
                </c:pt>
                <c:pt idx="265">
                  <c:v>13.250000000000053</c:v>
                </c:pt>
                <c:pt idx="266">
                  <c:v>13.300000000000054</c:v>
                </c:pt>
                <c:pt idx="267">
                  <c:v>13.350000000000055</c:v>
                </c:pt>
                <c:pt idx="268">
                  <c:v>13.400000000000055</c:v>
                </c:pt>
                <c:pt idx="269">
                  <c:v>13.450000000000056</c:v>
                </c:pt>
                <c:pt idx="270">
                  <c:v>13.500000000000057</c:v>
                </c:pt>
                <c:pt idx="271">
                  <c:v>13.550000000000058</c:v>
                </c:pt>
                <c:pt idx="272">
                  <c:v>13.600000000000058</c:v>
                </c:pt>
                <c:pt idx="273">
                  <c:v>13.650000000000059</c:v>
                </c:pt>
                <c:pt idx="274">
                  <c:v>13.70000000000006</c:v>
                </c:pt>
                <c:pt idx="275">
                  <c:v>13.75000000000006</c:v>
                </c:pt>
                <c:pt idx="276">
                  <c:v>13.800000000000061</c:v>
                </c:pt>
                <c:pt idx="277">
                  <c:v>13.850000000000062</c:v>
                </c:pt>
                <c:pt idx="278">
                  <c:v>13.900000000000063</c:v>
                </c:pt>
                <c:pt idx="279">
                  <c:v>13.950000000000063</c:v>
                </c:pt>
                <c:pt idx="280">
                  <c:v>14.000000000000064</c:v>
                </c:pt>
                <c:pt idx="281">
                  <c:v>14.050000000000065</c:v>
                </c:pt>
                <c:pt idx="282">
                  <c:v>14.100000000000065</c:v>
                </c:pt>
                <c:pt idx="283">
                  <c:v>14.150000000000066</c:v>
                </c:pt>
                <c:pt idx="284">
                  <c:v>14.200000000000067</c:v>
                </c:pt>
                <c:pt idx="285">
                  <c:v>14.250000000000068</c:v>
                </c:pt>
                <c:pt idx="286">
                  <c:v>14.300000000000068</c:v>
                </c:pt>
                <c:pt idx="287">
                  <c:v>14.350000000000069</c:v>
                </c:pt>
                <c:pt idx="288">
                  <c:v>14.40000000000007</c:v>
                </c:pt>
                <c:pt idx="289">
                  <c:v>14.45000000000007</c:v>
                </c:pt>
                <c:pt idx="290">
                  <c:v>14.500000000000071</c:v>
                </c:pt>
                <c:pt idx="291">
                  <c:v>14.550000000000072</c:v>
                </c:pt>
                <c:pt idx="292">
                  <c:v>14.600000000000072</c:v>
                </c:pt>
                <c:pt idx="293">
                  <c:v>14.650000000000073</c:v>
                </c:pt>
                <c:pt idx="294">
                  <c:v>14.700000000000074</c:v>
                </c:pt>
                <c:pt idx="295">
                  <c:v>14.750000000000075</c:v>
                </c:pt>
                <c:pt idx="296">
                  <c:v>14.800000000000075</c:v>
                </c:pt>
                <c:pt idx="297">
                  <c:v>14.850000000000076</c:v>
                </c:pt>
                <c:pt idx="298">
                  <c:v>14.900000000000077</c:v>
                </c:pt>
                <c:pt idx="299">
                  <c:v>14.950000000000077</c:v>
                </c:pt>
                <c:pt idx="300">
                  <c:v>15.000000000000078</c:v>
                </c:pt>
                <c:pt idx="301">
                  <c:v>15.050000000000079</c:v>
                </c:pt>
                <c:pt idx="302">
                  <c:v>15.10000000000008</c:v>
                </c:pt>
                <c:pt idx="303">
                  <c:v>15.15000000000008</c:v>
                </c:pt>
                <c:pt idx="304">
                  <c:v>15.200000000000081</c:v>
                </c:pt>
                <c:pt idx="305">
                  <c:v>15.250000000000082</c:v>
                </c:pt>
                <c:pt idx="306">
                  <c:v>15.300000000000082</c:v>
                </c:pt>
                <c:pt idx="307">
                  <c:v>15.350000000000083</c:v>
                </c:pt>
                <c:pt idx="308">
                  <c:v>15.400000000000084</c:v>
                </c:pt>
                <c:pt idx="309">
                  <c:v>15.450000000000085</c:v>
                </c:pt>
                <c:pt idx="310">
                  <c:v>15.500000000000085</c:v>
                </c:pt>
                <c:pt idx="311">
                  <c:v>15.550000000000086</c:v>
                </c:pt>
                <c:pt idx="312">
                  <c:v>15.600000000000087</c:v>
                </c:pt>
                <c:pt idx="313">
                  <c:v>15.650000000000087</c:v>
                </c:pt>
                <c:pt idx="314">
                  <c:v>15.700000000000088</c:v>
                </c:pt>
                <c:pt idx="315">
                  <c:v>15.750000000000089</c:v>
                </c:pt>
                <c:pt idx="316">
                  <c:v>15.80000000000009</c:v>
                </c:pt>
                <c:pt idx="317">
                  <c:v>15.85000000000009</c:v>
                </c:pt>
                <c:pt idx="318">
                  <c:v>15.900000000000091</c:v>
                </c:pt>
                <c:pt idx="319">
                  <c:v>15.950000000000092</c:v>
                </c:pt>
                <c:pt idx="320">
                  <c:v>16.000000000000092</c:v>
                </c:pt>
                <c:pt idx="321">
                  <c:v>16.050000000000093</c:v>
                </c:pt>
                <c:pt idx="322">
                  <c:v>16.100000000000094</c:v>
                </c:pt>
                <c:pt idx="323">
                  <c:v>16.150000000000095</c:v>
                </c:pt>
                <c:pt idx="324">
                  <c:v>16.200000000000095</c:v>
                </c:pt>
                <c:pt idx="325">
                  <c:v>16.250000000000096</c:v>
                </c:pt>
                <c:pt idx="326">
                  <c:v>16.300000000000097</c:v>
                </c:pt>
                <c:pt idx="327">
                  <c:v>16.350000000000097</c:v>
                </c:pt>
                <c:pt idx="328">
                  <c:v>16.400000000000098</c:v>
                </c:pt>
                <c:pt idx="329">
                  <c:v>16.450000000000099</c:v>
                </c:pt>
                <c:pt idx="330">
                  <c:v>16.500000000000099</c:v>
                </c:pt>
                <c:pt idx="331">
                  <c:v>16.5500000000001</c:v>
                </c:pt>
                <c:pt idx="332">
                  <c:v>16.600000000000101</c:v>
                </c:pt>
                <c:pt idx="333">
                  <c:v>16.650000000000102</c:v>
                </c:pt>
                <c:pt idx="334">
                  <c:v>16.700000000000102</c:v>
                </c:pt>
                <c:pt idx="335">
                  <c:v>16.750000000000103</c:v>
                </c:pt>
                <c:pt idx="336">
                  <c:v>16.800000000000104</c:v>
                </c:pt>
                <c:pt idx="337">
                  <c:v>16.850000000000104</c:v>
                </c:pt>
                <c:pt idx="338">
                  <c:v>16.900000000000105</c:v>
                </c:pt>
                <c:pt idx="339">
                  <c:v>16.950000000000106</c:v>
                </c:pt>
                <c:pt idx="340">
                  <c:v>17.000000000000107</c:v>
                </c:pt>
                <c:pt idx="341">
                  <c:v>17.050000000000107</c:v>
                </c:pt>
                <c:pt idx="342">
                  <c:v>17.100000000000108</c:v>
                </c:pt>
                <c:pt idx="343">
                  <c:v>17.150000000000109</c:v>
                </c:pt>
                <c:pt idx="344">
                  <c:v>17.200000000000109</c:v>
                </c:pt>
                <c:pt idx="345">
                  <c:v>17.25000000000011</c:v>
                </c:pt>
                <c:pt idx="346">
                  <c:v>17.300000000000111</c:v>
                </c:pt>
                <c:pt idx="347">
                  <c:v>17.350000000000112</c:v>
                </c:pt>
                <c:pt idx="348">
                  <c:v>17.400000000000112</c:v>
                </c:pt>
                <c:pt idx="349">
                  <c:v>17.450000000000113</c:v>
                </c:pt>
                <c:pt idx="350">
                  <c:v>17.500000000000114</c:v>
                </c:pt>
                <c:pt idx="351">
                  <c:v>17.550000000000114</c:v>
                </c:pt>
                <c:pt idx="352">
                  <c:v>17.600000000000115</c:v>
                </c:pt>
                <c:pt idx="353">
                  <c:v>17.650000000000116</c:v>
                </c:pt>
                <c:pt idx="354">
                  <c:v>17.700000000000117</c:v>
                </c:pt>
                <c:pt idx="355">
                  <c:v>17.750000000000117</c:v>
                </c:pt>
                <c:pt idx="356">
                  <c:v>17.800000000000118</c:v>
                </c:pt>
                <c:pt idx="357">
                  <c:v>17.850000000000119</c:v>
                </c:pt>
                <c:pt idx="358">
                  <c:v>17.900000000000119</c:v>
                </c:pt>
                <c:pt idx="359">
                  <c:v>17.95000000000012</c:v>
                </c:pt>
                <c:pt idx="360">
                  <c:v>18.000000000000121</c:v>
                </c:pt>
                <c:pt idx="361">
                  <c:v>18.050000000000122</c:v>
                </c:pt>
                <c:pt idx="362">
                  <c:v>18.100000000000122</c:v>
                </c:pt>
                <c:pt idx="363">
                  <c:v>18.150000000000123</c:v>
                </c:pt>
                <c:pt idx="364">
                  <c:v>18.200000000000124</c:v>
                </c:pt>
                <c:pt idx="365">
                  <c:v>18.250000000000124</c:v>
                </c:pt>
                <c:pt idx="366">
                  <c:v>18.300000000000125</c:v>
                </c:pt>
                <c:pt idx="367">
                  <c:v>18.350000000000126</c:v>
                </c:pt>
                <c:pt idx="368">
                  <c:v>18.400000000000126</c:v>
                </c:pt>
                <c:pt idx="369">
                  <c:v>18.450000000000127</c:v>
                </c:pt>
                <c:pt idx="370">
                  <c:v>18.500000000000128</c:v>
                </c:pt>
                <c:pt idx="371">
                  <c:v>18.550000000000129</c:v>
                </c:pt>
                <c:pt idx="372">
                  <c:v>18.600000000000129</c:v>
                </c:pt>
                <c:pt idx="373">
                  <c:v>18.65000000000013</c:v>
                </c:pt>
                <c:pt idx="374">
                  <c:v>18.700000000000131</c:v>
                </c:pt>
                <c:pt idx="375">
                  <c:v>18.750000000000131</c:v>
                </c:pt>
                <c:pt idx="376">
                  <c:v>18.800000000000132</c:v>
                </c:pt>
                <c:pt idx="377">
                  <c:v>18.850000000000133</c:v>
                </c:pt>
                <c:pt idx="378">
                  <c:v>18.900000000000134</c:v>
                </c:pt>
                <c:pt idx="379">
                  <c:v>18.950000000000134</c:v>
                </c:pt>
                <c:pt idx="380">
                  <c:v>19.000000000000135</c:v>
                </c:pt>
                <c:pt idx="381">
                  <c:v>19.050000000000136</c:v>
                </c:pt>
                <c:pt idx="382">
                  <c:v>19.100000000000136</c:v>
                </c:pt>
                <c:pt idx="383">
                  <c:v>19.150000000000137</c:v>
                </c:pt>
                <c:pt idx="384">
                  <c:v>19.200000000000138</c:v>
                </c:pt>
                <c:pt idx="385">
                  <c:v>19.250000000000139</c:v>
                </c:pt>
                <c:pt idx="386">
                  <c:v>19.300000000000139</c:v>
                </c:pt>
                <c:pt idx="387">
                  <c:v>19.35000000000014</c:v>
                </c:pt>
                <c:pt idx="388">
                  <c:v>19.400000000000141</c:v>
                </c:pt>
                <c:pt idx="389">
                  <c:v>19.450000000000141</c:v>
                </c:pt>
                <c:pt idx="390">
                  <c:v>19.500000000000142</c:v>
                </c:pt>
                <c:pt idx="391">
                  <c:v>19.550000000000143</c:v>
                </c:pt>
                <c:pt idx="392">
                  <c:v>19.600000000000144</c:v>
                </c:pt>
                <c:pt idx="393">
                  <c:v>19.650000000000144</c:v>
                </c:pt>
                <c:pt idx="394">
                  <c:v>19.700000000000145</c:v>
                </c:pt>
                <c:pt idx="395">
                  <c:v>19.750000000000146</c:v>
                </c:pt>
                <c:pt idx="396">
                  <c:v>19.800000000000146</c:v>
                </c:pt>
                <c:pt idx="397">
                  <c:v>19.850000000000147</c:v>
                </c:pt>
                <c:pt idx="398">
                  <c:v>19.900000000000148</c:v>
                </c:pt>
                <c:pt idx="399">
                  <c:v>19.950000000000149</c:v>
                </c:pt>
                <c:pt idx="400">
                  <c:v>20.000000000000149</c:v>
                </c:pt>
                <c:pt idx="401">
                  <c:v>20.05000000000015</c:v>
                </c:pt>
                <c:pt idx="402">
                  <c:v>20.100000000000151</c:v>
                </c:pt>
                <c:pt idx="403">
                  <c:v>20.150000000000151</c:v>
                </c:pt>
                <c:pt idx="404">
                  <c:v>20.200000000000152</c:v>
                </c:pt>
                <c:pt idx="405">
                  <c:v>20.250000000000153</c:v>
                </c:pt>
                <c:pt idx="406">
                  <c:v>20.300000000000153</c:v>
                </c:pt>
                <c:pt idx="407">
                  <c:v>20.350000000000154</c:v>
                </c:pt>
                <c:pt idx="408">
                  <c:v>20.400000000000155</c:v>
                </c:pt>
                <c:pt idx="409">
                  <c:v>20.450000000000156</c:v>
                </c:pt>
                <c:pt idx="410">
                  <c:v>20.500000000000156</c:v>
                </c:pt>
                <c:pt idx="411">
                  <c:v>20.550000000000157</c:v>
                </c:pt>
                <c:pt idx="412">
                  <c:v>20.600000000000158</c:v>
                </c:pt>
                <c:pt idx="413">
                  <c:v>20.650000000000158</c:v>
                </c:pt>
                <c:pt idx="414">
                  <c:v>20.700000000000159</c:v>
                </c:pt>
                <c:pt idx="415">
                  <c:v>20.75000000000016</c:v>
                </c:pt>
                <c:pt idx="416">
                  <c:v>20.800000000000161</c:v>
                </c:pt>
                <c:pt idx="417">
                  <c:v>20.850000000000161</c:v>
                </c:pt>
                <c:pt idx="418">
                  <c:v>20.900000000000162</c:v>
                </c:pt>
                <c:pt idx="419">
                  <c:v>20.950000000000163</c:v>
                </c:pt>
                <c:pt idx="420">
                  <c:v>21.000000000000163</c:v>
                </c:pt>
                <c:pt idx="421">
                  <c:v>21.050000000000164</c:v>
                </c:pt>
                <c:pt idx="422">
                  <c:v>21.100000000000165</c:v>
                </c:pt>
                <c:pt idx="423">
                  <c:v>21.150000000000166</c:v>
                </c:pt>
                <c:pt idx="424">
                  <c:v>21.200000000000166</c:v>
                </c:pt>
                <c:pt idx="425">
                  <c:v>21.250000000000167</c:v>
                </c:pt>
                <c:pt idx="426">
                  <c:v>21.300000000000168</c:v>
                </c:pt>
                <c:pt idx="427">
                  <c:v>21.350000000000168</c:v>
                </c:pt>
                <c:pt idx="428">
                  <c:v>21.400000000000169</c:v>
                </c:pt>
                <c:pt idx="429">
                  <c:v>21.45000000000017</c:v>
                </c:pt>
                <c:pt idx="430">
                  <c:v>21.500000000000171</c:v>
                </c:pt>
                <c:pt idx="431">
                  <c:v>21.550000000000171</c:v>
                </c:pt>
                <c:pt idx="432">
                  <c:v>21.600000000000172</c:v>
                </c:pt>
                <c:pt idx="433">
                  <c:v>21.650000000000173</c:v>
                </c:pt>
                <c:pt idx="434">
                  <c:v>21.700000000000173</c:v>
                </c:pt>
                <c:pt idx="435">
                  <c:v>21.750000000000174</c:v>
                </c:pt>
                <c:pt idx="436">
                  <c:v>21.800000000000175</c:v>
                </c:pt>
                <c:pt idx="437">
                  <c:v>21.850000000000176</c:v>
                </c:pt>
                <c:pt idx="438">
                  <c:v>21.900000000000176</c:v>
                </c:pt>
                <c:pt idx="439">
                  <c:v>21.950000000000177</c:v>
                </c:pt>
                <c:pt idx="440">
                  <c:v>22.000000000000178</c:v>
                </c:pt>
                <c:pt idx="441">
                  <c:v>22.050000000000178</c:v>
                </c:pt>
                <c:pt idx="442">
                  <c:v>22.100000000000179</c:v>
                </c:pt>
                <c:pt idx="443">
                  <c:v>22.15000000000018</c:v>
                </c:pt>
                <c:pt idx="444">
                  <c:v>22.20000000000018</c:v>
                </c:pt>
                <c:pt idx="445">
                  <c:v>22.250000000000181</c:v>
                </c:pt>
                <c:pt idx="446">
                  <c:v>22.300000000000182</c:v>
                </c:pt>
                <c:pt idx="447">
                  <c:v>22.350000000000183</c:v>
                </c:pt>
                <c:pt idx="448">
                  <c:v>22.400000000000183</c:v>
                </c:pt>
                <c:pt idx="449">
                  <c:v>22.450000000000184</c:v>
                </c:pt>
                <c:pt idx="450">
                  <c:v>22.500000000000185</c:v>
                </c:pt>
                <c:pt idx="451">
                  <c:v>22.550000000000185</c:v>
                </c:pt>
                <c:pt idx="452">
                  <c:v>22.600000000000186</c:v>
                </c:pt>
                <c:pt idx="453">
                  <c:v>22.650000000000187</c:v>
                </c:pt>
                <c:pt idx="454">
                  <c:v>22.700000000000188</c:v>
                </c:pt>
                <c:pt idx="455">
                  <c:v>22.750000000000188</c:v>
                </c:pt>
                <c:pt idx="456">
                  <c:v>22.800000000000189</c:v>
                </c:pt>
                <c:pt idx="457">
                  <c:v>22.85000000000019</c:v>
                </c:pt>
                <c:pt idx="458">
                  <c:v>22.90000000000019</c:v>
                </c:pt>
                <c:pt idx="459">
                  <c:v>22.950000000000191</c:v>
                </c:pt>
                <c:pt idx="460">
                  <c:v>23.000000000000192</c:v>
                </c:pt>
                <c:pt idx="461">
                  <c:v>23.050000000000193</c:v>
                </c:pt>
                <c:pt idx="462">
                  <c:v>23.100000000000193</c:v>
                </c:pt>
                <c:pt idx="463">
                  <c:v>23.150000000000194</c:v>
                </c:pt>
                <c:pt idx="464">
                  <c:v>23.200000000000195</c:v>
                </c:pt>
                <c:pt idx="465">
                  <c:v>23.250000000000195</c:v>
                </c:pt>
                <c:pt idx="466">
                  <c:v>23.300000000000196</c:v>
                </c:pt>
                <c:pt idx="467">
                  <c:v>23.350000000000197</c:v>
                </c:pt>
                <c:pt idx="468">
                  <c:v>23.400000000000198</c:v>
                </c:pt>
                <c:pt idx="469">
                  <c:v>23.450000000000198</c:v>
                </c:pt>
                <c:pt idx="470">
                  <c:v>23.500000000000199</c:v>
                </c:pt>
                <c:pt idx="471">
                  <c:v>23.5500000000002</c:v>
                </c:pt>
                <c:pt idx="472">
                  <c:v>23.6000000000002</c:v>
                </c:pt>
                <c:pt idx="473">
                  <c:v>23.650000000000201</c:v>
                </c:pt>
                <c:pt idx="474">
                  <c:v>23.700000000000202</c:v>
                </c:pt>
                <c:pt idx="475">
                  <c:v>23.750000000000203</c:v>
                </c:pt>
                <c:pt idx="476">
                  <c:v>23.800000000000203</c:v>
                </c:pt>
                <c:pt idx="477">
                  <c:v>23.850000000000204</c:v>
                </c:pt>
                <c:pt idx="478">
                  <c:v>23.900000000000205</c:v>
                </c:pt>
                <c:pt idx="479">
                  <c:v>23.950000000000205</c:v>
                </c:pt>
                <c:pt idx="480">
                  <c:v>24.000000000000206</c:v>
                </c:pt>
                <c:pt idx="481">
                  <c:v>24.050000000000207</c:v>
                </c:pt>
                <c:pt idx="482">
                  <c:v>24.100000000000207</c:v>
                </c:pt>
                <c:pt idx="483">
                  <c:v>24.150000000000208</c:v>
                </c:pt>
                <c:pt idx="484">
                  <c:v>24.200000000000209</c:v>
                </c:pt>
                <c:pt idx="485">
                  <c:v>24.25000000000021</c:v>
                </c:pt>
                <c:pt idx="486">
                  <c:v>24.30000000000021</c:v>
                </c:pt>
                <c:pt idx="487">
                  <c:v>24.350000000000211</c:v>
                </c:pt>
                <c:pt idx="488">
                  <c:v>24.400000000000212</c:v>
                </c:pt>
                <c:pt idx="489">
                  <c:v>24.450000000000212</c:v>
                </c:pt>
                <c:pt idx="490">
                  <c:v>24.500000000000213</c:v>
                </c:pt>
                <c:pt idx="491">
                  <c:v>24.550000000000214</c:v>
                </c:pt>
                <c:pt idx="492">
                  <c:v>24.600000000000215</c:v>
                </c:pt>
                <c:pt idx="493">
                  <c:v>24.650000000000215</c:v>
                </c:pt>
                <c:pt idx="494">
                  <c:v>24.700000000000216</c:v>
                </c:pt>
                <c:pt idx="495">
                  <c:v>24.750000000000217</c:v>
                </c:pt>
                <c:pt idx="496">
                  <c:v>24.800000000000217</c:v>
                </c:pt>
                <c:pt idx="497">
                  <c:v>24.850000000000218</c:v>
                </c:pt>
                <c:pt idx="498">
                  <c:v>24.900000000000219</c:v>
                </c:pt>
                <c:pt idx="499">
                  <c:v>24.95000000000022</c:v>
                </c:pt>
                <c:pt idx="500">
                  <c:v>25.00000000000022</c:v>
                </c:pt>
                <c:pt idx="501">
                  <c:v>25.050000000000221</c:v>
                </c:pt>
                <c:pt idx="502">
                  <c:v>25.100000000000222</c:v>
                </c:pt>
                <c:pt idx="503">
                  <c:v>25.150000000000222</c:v>
                </c:pt>
                <c:pt idx="504">
                  <c:v>25.200000000000223</c:v>
                </c:pt>
                <c:pt idx="505">
                  <c:v>25.250000000000224</c:v>
                </c:pt>
                <c:pt idx="506">
                  <c:v>25.300000000000225</c:v>
                </c:pt>
                <c:pt idx="507">
                  <c:v>25.350000000000225</c:v>
                </c:pt>
                <c:pt idx="508">
                  <c:v>25.400000000000226</c:v>
                </c:pt>
                <c:pt idx="509">
                  <c:v>25.450000000000227</c:v>
                </c:pt>
                <c:pt idx="510">
                  <c:v>25.500000000000227</c:v>
                </c:pt>
                <c:pt idx="511">
                  <c:v>25.550000000000228</c:v>
                </c:pt>
                <c:pt idx="512">
                  <c:v>25.600000000000229</c:v>
                </c:pt>
                <c:pt idx="513">
                  <c:v>25.65000000000023</c:v>
                </c:pt>
                <c:pt idx="514">
                  <c:v>25.70000000000023</c:v>
                </c:pt>
                <c:pt idx="515">
                  <c:v>25.750000000000231</c:v>
                </c:pt>
                <c:pt idx="516">
                  <c:v>25.800000000000232</c:v>
                </c:pt>
                <c:pt idx="517">
                  <c:v>25.850000000000232</c:v>
                </c:pt>
                <c:pt idx="518">
                  <c:v>25.900000000000233</c:v>
                </c:pt>
                <c:pt idx="519">
                  <c:v>25.950000000000234</c:v>
                </c:pt>
                <c:pt idx="520">
                  <c:v>26.000000000000234</c:v>
                </c:pt>
                <c:pt idx="521">
                  <c:v>26.050000000000235</c:v>
                </c:pt>
                <c:pt idx="522">
                  <c:v>26.100000000000236</c:v>
                </c:pt>
                <c:pt idx="523">
                  <c:v>26.150000000000237</c:v>
                </c:pt>
                <c:pt idx="524">
                  <c:v>26.200000000000237</c:v>
                </c:pt>
                <c:pt idx="525">
                  <c:v>26.250000000000238</c:v>
                </c:pt>
                <c:pt idx="526">
                  <c:v>26.300000000000239</c:v>
                </c:pt>
                <c:pt idx="527">
                  <c:v>26.350000000000239</c:v>
                </c:pt>
                <c:pt idx="528">
                  <c:v>26.40000000000024</c:v>
                </c:pt>
                <c:pt idx="529">
                  <c:v>26.450000000000241</c:v>
                </c:pt>
                <c:pt idx="530">
                  <c:v>26.500000000000242</c:v>
                </c:pt>
                <c:pt idx="531">
                  <c:v>26.550000000000242</c:v>
                </c:pt>
                <c:pt idx="532">
                  <c:v>26.600000000000243</c:v>
                </c:pt>
                <c:pt idx="533">
                  <c:v>26.650000000000244</c:v>
                </c:pt>
                <c:pt idx="534">
                  <c:v>26.700000000000244</c:v>
                </c:pt>
                <c:pt idx="535">
                  <c:v>26.750000000000245</c:v>
                </c:pt>
                <c:pt idx="536">
                  <c:v>26.800000000000246</c:v>
                </c:pt>
                <c:pt idx="537">
                  <c:v>26.850000000000247</c:v>
                </c:pt>
                <c:pt idx="538">
                  <c:v>26.900000000000247</c:v>
                </c:pt>
                <c:pt idx="539">
                  <c:v>26.950000000000248</c:v>
                </c:pt>
                <c:pt idx="540">
                  <c:v>27.000000000000249</c:v>
                </c:pt>
                <c:pt idx="541">
                  <c:v>27.050000000000249</c:v>
                </c:pt>
                <c:pt idx="542">
                  <c:v>27.10000000000025</c:v>
                </c:pt>
                <c:pt idx="543">
                  <c:v>27.150000000000251</c:v>
                </c:pt>
                <c:pt idx="544">
                  <c:v>27.200000000000252</c:v>
                </c:pt>
                <c:pt idx="545">
                  <c:v>27.250000000000252</c:v>
                </c:pt>
                <c:pt idx="546">
                  <c:v>27.300000000000253</c:v>
                </c:pt>
                <c:pt idx="547">
                  <c:v>27.350000000000254</c:v>
                </c:pt>
                <c:pt idx="548">
                  <c:v>27.400000000000254</c:v>
                </c:pt>
                <c:pt idx="549">
                  <c:v>27.450000000000255</c:v>
                </c:pt>
                <c:pt idx="550">
                  <c:v>27.500000000000256</c:v>
                </c:pt>
                <c:pt idx="551">
                  <c:v>27.550000000000257</c:v>
                </c:pt>
                <c:pt idx="552">
                  <c:v>27.600000000000257</c:v>
                </c:pt>
                <c:pt idx="553">
                  <c:v>27.650000000000258</c:v>
                </c:pt>
                <c:pt idx="554">
                  <c:v>27.700000000000259</c:v>
                </c:pt>
                <c:pt idx="555">
                  <c:v>27.750000000000259</c:v>
                </c:pt>
                <c:pt idx="556">
                  <c:v>27.80000000000026</c:v>
                </c:pt>
                <c:pt idx="557">
                  <c:v>27.850000000000261</c:v>
                </c:pt>
                <c:pt idx="558">
                  <c:v>27.900000000000261</c:v>
                </c:pt>
                <c:pt idx="559">
                  <c:v>27.950000000000262</c:v>
                </c:pt>
                <c:pt idx="560">
                  <c:v>28.000000000000263</c:v>
                </c:pt>
                <c:pt idx="561">
                  <c:v>28.050000000000264</c:v>
                </c:pt>
                <c:pt idx="562">
                  <c:v>28.100000000000264</c:v>
                </c:pt>
                <c:pt idx="563">
                  <c:v>28.150000000000265</c:v>
                </c:pt>
                <c:pt idx="564">
                  <c:v>28.200000000000266</c:v>
                </c:pt>
                <c:pt idx="565">
                  <c:v>28.250000000000266</c:v>
                </c:pt>
                <c:pt idx="566">
                  <c:v>28.300000000000267</c:v>
                </c:pt>
                <c:pt idx="567">
                  <c:v>28.350000000000268</c:v>
                </c:pt>
                <c:pt idx="568">
                  <c:v>28.400000000000269</c:v>
                </c:pt>
                <c:pt idx="569">
                  <c:v>28.450000000000269</c:v>
                </c:pt>
                <c:pt idx="570">
                  <c:v>28.50000000000027</c:v>
                </c:pt>
                <c:pt idx="571">
                  <c:v>28.550000000000271</c:v>
                </c:pt>
                <c:pt idx="572">
                  <c:v>28.600000000000271</c:v>
                </c:pt>
                <c:pt idx="573">
                  <c:v>28.650000000000272</c:v>
                </c:pt>
                <c:pt idx="574">
                  <c:v>28.700000000000273</c:v>
                </c:pt>
                <c:pt idx="575">
                  <c:v>28.750000000000274</c:v>
                </c:pt>
                <c:pt idx="576">
                  <c:v>28.800000000000274</c:v>
                </c:pt>
                <c:pt idx="577">
                  <c:v>28.850000000000275</c:v>
                </c:pt>
                <c:pt idx="578">
                  <c:v>28.900000000000276</c:v>
                </c:pt>
                <c:pt idx="579">
                  <c:v>28.950000000000276</c:v>
                </c:pt>
                <c:pt idx="580">
                  <c:v>29.000000000000277</c:v>
                </c:pt>
                <c:pt idx="581">
                  <c:v>29.050000000000278</c:v>
                </c:pt>
                <c:pt idx="582">
                  <c:v>29.100000000000279</c:v>
                </c:pt>
                <c:pt idx="583">
                  <c:v>29.150000000000279</c:v>
                </c:pt>
                <c:pt idx="584">
                  <c:v>29.20000000000028</c:v>
                </c:pt>
                <c:pt idx="585">
                  <c:v>29.250000000000281</c:v>
                </c:pt>
                <c:pt idx="586">
                  <c:v>29.300000000000281</c:v>
                </c:pt>
                <c:pt idx="587">
                  <c:v>29.350000000000282</c:v>
                </c:pt>
                <c:pt idx="588">
                  <c:v>29.400000000000283</c:v>
                </c:pt>
                <c:pt idx="589">
                  <c:v>29.450000000000284</c:v>
                </c:pt>
                <c:pt idx="590">
                  <c:v>29.500000000000284</c:v>
                </c:pt>
                <c:pt idx="591">
                  <c:v>29.550000000000285</c:v>
                </c:pt>
                <c:pt idx="592">
                  <c:v>29.600000000000286</c:v>
                </c:pt>
                <c:pt idx="593">
                  <c:v>29.650000000000286</c:v>
                </c:pt>
                <c:pt idx="594">
                  <c:v>29.700000000000287</c:v>
                </c:pt>
                <c:pt idx="595">
                  <c:v>29.750000000000288</c:v>
                </c:pt>
                <c:pt idx="596">
                  <c:v>29.800000000000288</c:v>
                </c:pt>
                <c:pt idx="597">
                  <c:v>29.850000000000289</c:v>
                </c:pt>
                <c:pt idx="598">
                  <c:v>29.90000000000029</c:v>
                </c:pt>
                <c:pt idx="599">
                  <c:v>29.950000000000291</c:v>
                </c:pt>
                <c:pt idx="600">
                  <c:v>30.000000000000291</c:v>
                </c:pt>
                <c:pt idx="601">
                  <c:v>30.050000000000292</c:v>
                </c:pt>
                <c:pt idx="602">
                  <c:v>30.100000000000293</c:v>
                </c:pt>
                <c:pt idx="603">
                  <c:v>30.150000000000293</c:v>
                </c:pt>
                <c:pt idx="604">
                  <c:v>30.200000000000294</c:v>
                </c:pt>
                <c:pt idx="605">
                  <c:v>30.250000000000295</c:v>
                </c:pt>
                <c:pt idx="606">
                  <c:v>30.300000000000296</c:v>
                </c:pt>
                <c:pt idx="607">
                  <c:v>30.350000000000296</c:v>
                </c:pt>
                <c:pt idx="608">
                  <c:v>30.400000000000297</c:v>
                </c:pt>
                <c:pt idx="609">
                  <c:v>30.450000000000298</c:v>
                </c:pt>
                <c:pt idx="610">
                  <c:v>30.500000000000298</c:v>
                </c:pt>
                <c:pt idx="611">
                  <c:v>30.550000000000299</c:v>
                </c:pt>
                <c:pt idx="612">
                  <c:v>30.6000000000003</c:v>
                </c:pt>
                <c:pt idx="613">
                  <c:v>30.650000000000301</c:v>
                </c:pt>
                <c:pt idx="614">
                  <c:v>30.700000000000301</c:v>
                </c:pt>
                <c:pt idx="615">
                  <c:v>30.750000000000302</c:v>
                </c:pt>
                <c:pt idx="616">
                  <c:v>30.800000000000303</c:v>
                </c:pt>
                <c:pt idx="617">
                  <c:v>30.850000000000303</c:v>
                </c:pt>
                <c:pt idx="618">
                  <c:v>30.900000000000304</c:v>
                </c:pt>
                <c:pt idx="619">
                  <c:v>30.950000000000305</c:v>
                </c:pt>
                <c:pt idx="620">
                  <c:v>31.000000000000306</c:v>
                </c:pt>
                <c:pt idx="621">
                  <c:v>31.050000000000306</c:v>
                </c:pt>
                <c:pt idx="622">
                  <c:v>31.100000000000307</c:v>
                </c:pt>
                <c:pt idx="623">
                  <c:v>31.150000000000308</c:v>
                </c:pt>
                <c:pt idx="624">
                  <c:v>31.200000000000308</c:v>
                </c:pt>
                <c:pt idx="625">
                  <c:v>31.250000000000309</c:v>
                </c:pt>
                <c:pt idx="626">
                  <c:v>31.30000000000031</c:v>
                </c:pt>
                <c:pt idx="627">
                  <c:v>31.350000000000311</c:v>
                </c:pt>
                <c:pt idx="628">
                  <c:v>31.400000000000311</c:v>
                </c:pt>
                <c:pt idx="629">
                  <c:v>31.450000000000312</c:v>
                </c:pt>
                <c:pt idx="630">
                  <c:v>31.500000000000313</c:v>
                </c:pt>
                <c:pt idx="631">
                  <c:v>31.550000000000313</c:v>
                </c:pt>
                <c:pt idx="632">
                  <c:v>31.600000000000314</c:v>
                </c:pt>
                <c:pt idx="633">
                  <c:v>31.650000000000315</c:v>
                </c:pt>
                <c:pt idx="634">
                  <c:v>31.700000000000315</c:v>
                </c:pt>
                <c:pt idx="635">
                  <c:v>31.750000000000316</c:v>
                </c:pt>
                <c:pt idx="636">
                  <c:v>31.800000000000317</c:v>
                </c:pt>
                <c:pt idx="637">
                  <c:v>31.850000000000318</c:v>
                </c:pt>
                <c:pt idx="638">
                  <c:v>31.900000000000318</c:v>
                </c:pt>
                <c:pt idx="639">
                  <c:v>31.950000000000319</c:v>
                </c:pt>
                <c:pt idx="640">
                  <c:v>32.00000000000032</c:v>
                </c:pt>
                <c:pt idx="641">
                  <c:v>32.050000000000317</c:v>
                </c:pt>
                <c:pt idx="642">
                  <c:v>32.100000000000314</c:v>
                </c:pt>
                <c:pt idx="643">
                  <c:v>32.150000000000311</c:v>
                </c:pt>
                <c:pt idx="644">
                  <c:v>32.200000000000308</c:v>
                </c:pt>
                <c:pt idx="645">
                  <c:v>32.250000000000306</c:v>
                </c:pt>
                <c:pt idx="646">
                  <c:v>32.300000000000303</c:v>
                </c:pt>
                <c:pt idx="647">
                  <c:v>32.3500000000003</c:v>
                </c:pt>
                <c:pt idx="648">
                  <c:v>32.400000000000297</c:v>
                </c:pt>
                <c:pt idx="649">
                  <c:v>32.450000000000294</c:v>
                </c:pt>
                <c:pt idx="650">
                  <c:v>32.500000000000291</c:v>
                </c:pt>
                <c:pt idx="651">
                  <c:v>32.550000000000288</c:v>
                </c:pt>
                <c:pt idx="652">
                  <c:v>32.600000000000286</c:v>
                </c:pt>
                <c:pt idx="653">
                  <c:v>32.650000000000283</c:v>
                </c:pt>
                <c:pt idx="654">
                  <c:v>32.70000000000028</c:v>
                </c:pt>
                <c:pt idx="655">
                  <c:v>32.750000000000277</c:v>
                </c:pt>
                <c:pt idx="656">
                  <c:v>32.800000000000274</c:v>
                </c:pt>
                <c:pt idx="657">
                  <c:v>32.850000000000271</c:v>
                </c:pt>
                <c:pt idx="658">
                  <c:v>32.900000000000269</c:v>
                </c:pt>
                <c:pt idx="659">
                  <c:v>32.950000000000266</c:v>
                </c:pt>
                <c:pt idx="660">
                  <c:v>33.000000000000263</c:v>
                </c:pt>
                <c:pt idx="661">
                  <c:v>33.05000000000026</c:v>
                </c:pt>
                <c:pt idx="662">
                  <c:v>33.100000000000257</c:v>
                </c:pt>
                <c:pt idx="663">
                  <c:v>33.150000000000254</c:v>
                </c:pt>
                <c:pt idx="664">
                  <c:v>33.200000000000252</c:v>
                </c:pt>
                <c:pt idx="665">
                  <c:v>33.250000000000249</c:v>
                </c:pt>
                <c:pt idx="666">
                  <c:v>33.300000000000246</c:v>
                </c:pt>
                <c:pt idx="667">
                  <c:v>33.350000000000243</c:v>
                </c:pt>
                <c:pt idx="668">
                  <c:v>33.40000000000024</c:v>
                </c:pt>
                <c:pt idx="669">
                  <c:v>33.450000000000237</c:v>
                </c:pt>
                <c:pt idx="670">
                  <c:v>33.500000000000234</c:v>
                </c:pt>
                <c:pt idx="671">
                  <c:v>33.550000000000232</c:v>
                </c:pt>
                <c:pt idx="672">
                  <c:v>33.600000000000229</c:v>
                </c:pt>
                <c:pt idx="673">
                  <c:v>33.650000000000226</c:v>
                </c:pt>
                <c:pt idx="674">
                  <c:v>33.700000000000223</c:v>
                </c:pt>
                <c:pt idx="675">
                  <c:v>33.75000000000022</c:v>
                </c:pt>
                <c:pt idx="676">
                  <c:v>33.800000000000217</c:v>
                </c:pt>
                <c:pt idx="677">
                  <c:v>33.850000000000215</c:v>
                </c:pt>
                <c:pt idx="678">
                  <c:v>33.900000000000212</c:v>
                </c:pt>
                <c:pt idx="679">
                  <c:v>33.950000000000209</c:v>
                </c:pt>
                <c:pt idx="680">
                  <c:v>34.000000000000206</c:v>
                </c:pt>
                <c:pt idx="681">
                  <c:v>34.050000000000203</c:v>
                </c:pt>
                <c:pt idx="682">
                  <c:v>34.1000000000002</c:v>
                </c:pt>
                <c:pt idx="683">
                  <c:v>34.150000000000198</c:v>
                </c:pt>
                <c:pt idx="684">
                  <c:v>34.200000000000195</c:v>
                </c:pt>
                <c:pt idx="685">
                  <c:v>34.250000000000192</c:v>
                </c:pt>
                <c:pt idx="686">
                  <c:v>34.300000000000189</c:v>
                </c:pt>
                <c:pt idx="687">
                  <c:v>34.350000000000186</c:v>
                </c:pt>
                <c:pt idx="688">
                  <c:v>34.400000000000183</c:v>
                </c:pt>
                <c:pt idx="689">
                  <c:v>34.45000000000018</c:v>
                </c:pt>
                <c:pt idx="690">
                  <c:v>34.500000000000178</c:v>
                </c:pt>
                <c:pt idx="691">
                  <c:v>34.550000000000175</c:v>
                </c:pt>
                <c:pt idx="692">
                  <c:v>34.600000000000172</c:v>
                </c:pt>
                <c:pt idx="693">
                  <c:v>34.650000000000169</c:v>
                </c:pt>
                <c:pt idx="694">
                  <c:v>34.700000000000166</c:v>
                </c:pt>
                <c:pt idx="695">
                  <c:v>34.750000000000163</c:v>
                </c:pt>
                <c:pt idx="696">
                  <c:v>34.800000000000161</c:v>
                </c:pt>
                <c:pt idx="697">
                  <c:v>34.850000000000158</c:v>
                </c:pt>
                <c:pt idx="698">
                  <c:v>34.900000000000155</c:v>
                </c:pt>
                <c:pt idx="699">
                  <c:v>34.950000000000152</c:v>
                </c:pt>
                <c:pt idx="700">
                  <c:v>35.000000000000149</c:v>
                </c:pt>
                <c:pt idx="701">
                  <c:v>35.050000000000146</c:v>
                </c:pt>
                <c:pt idx="702">
                  <c:v>35.100000000000144</c:v>
                </c:pt>
                <c:pt idx="703">
                  <c:v>35.150000000000141</c:v>
                </c:pt>
                <c:pt idx="704">
                  <c:v>35.200000000000138</c:v>
                </c:pt>
                <c:pt idx="705">
                  <c:v>35.250000000000135</c:v>
                </c:pt>
                <c:pt idx="706">
                  <c:v>35.300000000000132</c:v>
                </c:pt>
                <c:pt idx="707">
                  <c:v>35.350000000000129</c:v>
                </c:pt>
                <c:pt idx="708">
                  <c:v>35.400000000000126</c:v>
                </c:pt>
                <c:pt idx="709">
                  <c:v>35.450000000000124</c:v>
                </c:pt>
                <c:pt idx="710">
                  <c:v>35.500000000000121</c:v>
                </c:pt>
                <c:pt idx="711">
                  <c:v>35.550000000000118</c:v>
                </c:pt>
                <c:pt idx="712">
                  <c:v>35.600000000000115</c:v>
                </c:pt>
                <c:pt idx="713">
                  <c:v>35.650000000000112</c:v>
                </c:pt>
                <c:pt idx="714">
                  <c:v>35.700000000000109</c:v>
                </c:pt>
                <c:pt idx="715">
                  <c:v>35.750000000000107</c:v>
                </c:pt>
                <c:pt idx="716">
                  <c:v>35.800000000000104</c:v>
                </c:pt>
                <c:pt idx="717">
                  <c:v>35.850000000000101</c:v>
                </c:pt>
                <c:pt idx="718">
                  <c:v>35.900000000000098</c:v>
                </c:pt>
                <c:pt idx="719">
                  <c:v>35.950000000000095</c:v>
                </c:pt>
                <c:pt idx="720">
                  <c:v>36.000000000000092</c:v>
                </c:pt>
                <c:pt idx="721">
                  <c:v>36.05000000000009</c:v>
                </c:pt>
                <c:pt idx="722">
                  <c:v>36.100000000000087</c:v>
                </c:pt>
                <c:pt idx="723">
                  <c:v>36.150000000000084</c:v>
                </c:pt>
                <c:pt idx="724">
                  <c:v>36.200000000000081</c:v>
                </c:pt>
                <c:pt idx="725">
                  <c:v>36.250000000000078</c:v>
                </c:pt>
                <c:pt idx="726">
                  <c:v>36.300000000000075</c:v>
                </c:pt>
                <c:pt idx="727">
                  <c:v>36.350000000000072</c:v>
                </c:pt>
                <c:pt idx="728">
                  <c:v>36.40000000000007</c:v>
                </c:pt>
                <c:pt idx="729">
                  <c:v>36.450000000000067</c:v>
                </c:pt>
                <c:pt idx="730">
                  <c:v>36.500000000000064</c:v>
                </c:pt>
                <c:pt idx="731">
                  <c:v>36.550000000000061</c:v>
                </c:pt>
                <c:pt idx="732">
                  <c:v>36.600000000000058</c:v>
                </c:pt>
                <c:pt idx="733">
                  <c:v>36.650000000000055</c:v>
                </c:pt>
                <c:pt idx="734">
                  <c:v>36.700000000000053</c:v>
                </c:pt>
                <c:pt idx="735">
                  <c:v>36.75000000000005</c:v>
                </c:pt>
                <c:pt idx="736">
                  <c:v>36.800000000000047</c:v>
                </c:pt>
                <c:pt idx="737">
                  <c:v>36.850000000000044</c:v>
                </c:pt>
                <c:pt idx="738">
                  <c:v>36.900000000000041</c:v>
                </c:pt>
                <c:pt idx="739">
                  <c:v>36.950000000000038</c:v>
                </c:pt>
                <c:pt idx="740">
                  <c:v>37.000000000000036</c:v>
                </c:pt>
                <c:pt idx="741">
                  <c:v>37.050000000000033</c:v>
                </c:pt>
                <c:pt idx="742">
                  <c:v>37.10000000000003</c:v>
                </c:pt>
                <c:pt idx="743">
                  <c:v>37.150000000000027</c:v>
                </c:pt>
                <c:pt idx="744">
                  <c:v>37.200000000000024</c:v>
                </c:pt>
                <c:pt idx="745">
                  <c:v>37.250000000000021</c:v>
                </c:pt>
                <c:pt idx="746">
                  <c:v>37.300000000000018</c:v>
                </c:pt>
                <c:pt idx="747">
                  <c:v>37.350000000000016</c:v>
                </c:pt>
                <c:pt idx="748">
                  <c:v>37.400000000000013</c:v>
                </c:pt>
                <c:pt idx="749">
                  <c:v>37.45000000000001</c:v>
                </c:pt>
                <c:pt idx="750">
                  <c:v>37.500000000000007</c:v>
                </c:pt>
                <c:pt idx="751">
                  <c:v>37.550000000000004</c:v>
                </c:pt>
                <c:pt idx="752">
                  <c:v>37.6</c:v>
                </c:pt>
                <c:pt idx="753">
                  <c:v>37.65</c:v>
                </c:pt>
                <c:pt idx="754">
                  <c:v>37.699999999999996</c:v>
                </c:pt>
                <c:pt idx="755">
                  <c:v>37.749999999999993</c:v>
                </c:pt>
                <c:pt idx="756">
                  <c:v>37.79999999999999</c:v>
                </c:pt>
                <c:pt idx="757">
                  <c:v>37.849999999999987</c:v>
                </c:pt>
                <c:pt idx="758">
                  <c:v>37.899999999999984</c:v>
                </c:pt>
                <c:pt idx="759">
                  <c:v>37.949999999999982</c:v>
                </c:pt>
                <c:pt idx="760">
                  <c:v>37.999999999999979</c:v>
                </c:pt>
                <c:pt idx="761">
                  <c:v>38.049999999999976</c:v>
                </c:pt>
                <c:pt idx="762">
                  <c:v>38.099999999999973</c:v>
                </c:pt>
                <c:pt idx="763">
                  <c:v>38.14999999999997</c:v>
                </c:pt>
                <c:pt idx="764">
                  <c:v>38.199999999999967</c:v>
                </c:pt>
                <c:pt idx="765">
                  <c:v>38.249999999999964</c:v>
                </c:pt>
                <c:pt idx="766">
                  <c:v>38.299999999999962</c:v>
                </c:pt>
                <c:pt idx="767">
                  <c:v>38.349999999999959</c:v>
                </c:pt>
                <c:pt idx="768">
                  <c:v>38.399999999999956</c:v>
                </c:pt>
                <c:pt idx="769">
                  <c:v>38.449999999999953</c:v>
                </c:pt>
                <c:pt idx="770">
                  <c:v>38.49999999999995</c:v>
                </c:pt>
                <c:pt idx="771">
                  <c:v>38.549999999999947</c:v>
                </c:pt>
                <c:pt idx="772">
                  <c:v>38.599999999999945</c:v>
                </c:pt>
                <c:pt idx="773">
                  <c:v>38.649999999999942</c:v>
                </c:pt>
                <c:pt idx="774">
                  <c:v>38.699999999999939</c:v>
                </c:pt>
                <c:pt idx="775">
                  <c:v>38.749999999999936</c:v>
                </c:pt>
                <c:pt idx="776">
                  <c:v>38.799999999999933</c:v>
                </c:pt>
                <c:pt idx="777">
                  <c:v>38.84999999999993</c:v>
                </c:pt>
                <c:pt idx="778">
                  <c:v>38.899999999999928</c:v>
                </c:pt>
                <c:pt idx="779">
                  <c:v>38.949999999999925</c:v>
                </c:pt>
                <c:pt idx="780">
                  <c:v>38.999999999999922</c:v>
                </c:pt>
                <c:pt idx="781">
                  <c:v>39.049999999999919</c:v>
                </c:pt>
                <c:pt idx="782">
                  <c:v>39.099999999999916</c:v>
                </c:pt>
                <c:pt idx="783">
                  <c:v>39.149999999999913</c:v>
                </c:pt>
                <c:pt idx="784">
                  <c:v>39.19999999999991</c:v>
                </c:pt>
                <c:pt idx="785">
                  <c:v>39.249999999999908</c:v>
                </c:pt>
                <c:pt idx="786">
                  <c:v>39.299999999999905</c:v>
                </c:pt>
                <c:pt idx="787">
                  <c:v>39.349999999999902</c:v>
                </c:pt>
                <c:pt idx="788">
                  <c:v>39.399999999999899</c:v>
                </c:pt>
                <c:pt idx="789">
                  <c:v>39.449999999999896</c:v>
                </c:pt>
                <c:pt idx="790">
                  <c:v>39.499999999999893</c:v>
                </c:pt>
                <c:pt idx="791">
                  <c:v>39.549999999999891</c:v>
                </c:pt>
                <c:pt idx="792">
                  <c:v>39.599999999999888</c:v>
                </c:pt>
                <c:pt idx="793">
                  <c:v>39.649999999999885</c:v>
                </c:pt>
                <c:pt idx="794">
                  <c:v>39.699999999999882</c:v>
                </c:pt>
                <c:pt idx="795">
                  <c:v>39.749999999999879</c:v>
                </c:pt>
                <c:pt idx="796">
                  <c:v>39.799999999999876</c:v>
                </c:pt>
                <c:pt idx="797">
                  <c:v>39.849999999999874</c:v>
                </c:pt>
                <c:pt idx="798">
                  <c:v>39.899999999999871</c:v>
                </c:pt>
                <c:pt idx="799">
                  <c:v>39.949999999999868</c:v>
                </c:pt>
                <c:pt idx="800">
                  <c:v>39.999999999999865</c:v>
                </c:pt>
                <c:pt idx="801">
                  <c:v>40.049999999999862</c:v>
                </c:pt>
                <c:pt idx="802">
                  <c:v>40.099999999999859</c:v>
                </c:pt>
                <c:pt idx="803">
                  <c:v>40.149999999999856</c:v>
                </c:pt>
                <c:pt idx="804">
                  <c:v>40.199999999999854</c:v>
                </c:pt>
                <c:pt idx="805">
                  <c:v>40.249999999999851</c:v>
                </c:pt>
                <c:pt idx="806">
                  <c:v>40.299999999999848</c:v>
                </c:pt>
                <c:pt idx="807">
                  <c:v>40.349999999999845</c:v>
                </c:pt>
                <c:pt idx="808">
                  <c:v>40.399999999999842</c:v>
                </c:pt>
                <c:pt idx="809">
                  <c:v>40.449999999999839</c:v>
                </c:pt>
                <c:pt idx="810">
                  <c:v>40.499999999999837</c:v>
                </c:pt>
                <c:pt idx="811">
                  <c:v>40.549999999999834</c:v>
                </c:pt>
                <c:pt idx="812">
                  <c:v>40.599999999999831</c:v>
                </c:pt>
                <c:pt idx="813">
                  <c:v>40.649999999999828</c:v>
                </c:pt>
                <c:pt idx="814">
                  <c:v>40.699999999999825</c:v>
                </c:pt>
                <c:pt idx="815">
                  <c:v>40.749999999999822</c:v>
                </c:pt>
                <c:pt idx="816">
                  <c:v>40.79999999999982</c:v>
                </c:pt>
                <c:pt idx="817">
                  <c:v>40.849999999999817</c:v>
                </c:pt>
                <c:pt idx="818">
                  <c:v>40.899999999999814</c:v>
                </c:pt>
                <c:pt idx="819">
                  <c:v>40.949999999999811</c:v>
                </c:pt>
                <c:pt idx="820">
                  <c:v>40.999999999999808</c:v>
                </c:pt>
                <c:pt idx="821">
                  <c:v>41.049999999999805</c:v>
                </c:pt>
                <c:pt idx="822">
                  <c:v>41.099999999999802</c:v>
                </c:pt>
                <c:pt idx="823">
                  <c:v>41.1499999999998</c:v>
                </c:pt>
                <c:pt idx="824">
                  <c:v>41.199999999999797</c:v>
                </c:pt>
                <c:pt idx="825">
                  <c:v>41.249999999999794</c:v>
                </c:pt>
                <c:pt idx="826">
                  <c:v>41.299999999999791</c:v>
                </c:pt>
                <c:pt idx="827">
                  <c:v>41.349999999999788</c:v>
                </c:pt>
                <c:pt idx="828">
                  <c:v>41.399999999999785</c:v>
                </c:pt>
                <c:pt idx="829">
                  <c:v>41.449999999999783</c:v>
                </c:pt>
                <c:pt idx="830">
                  <c:v>41.49999999999978</c:v>
                </c:pt>
                <c:pt idx="831">
                  <c:v>41.549999999999777</c:v>
                </c:pt>
                <c:pt idx="832">
                  <c:v>41.599999999999774</c:v>
                </c:pt>
                <c:pt idx="833">
                  <c:v>41.649999999999771</c:v>
                </c:pt>
                <c:pt idx="834">
                  <c:v>41.699999999999768</c:v>
                </c:pt>
                <c:pt idx="835">
                  <c:v>41.749999999999766</c:v>
                </c:pt>
                <c:pt idx="836">
                  <c:v>41.799999999999763</c:v>
                </c:pt>
                <c:pt idx="837">
                  <c:v>41.84999999999976</c:v>
                </c:pt>
                <c:pt idx="838">
                  <c:v>41.899999999999757</c:v>
                </c:pt>
                <c:pt idx="839">
                  <c:v>41.949999999999754</c:v>
                </c:pt>
                <c:pt idx="840">
                  <c:v>41.999999999999751</c:v>
                </c:pt>
                <c:pt idx="841">
                  <c:v>42.049999999999748</c:v>
                </c:pt>
                <c:pt idx="842">
                  <c:v>42.099999999999746</c:v>
                </c:pt>
                <c:pt idx="843">
                  <c:v>42.149999999999743</c:v>
                </c:pt>
                <c:pt idx="844">
                  <c:v>42.19999999999974</c:v>
                </c:pt>
                <c:pt idx="845">
                  <c:v>42.249999999999737</c:v>
                </c:pt>
                <c:pt idx="846">
                  <c:v>42.299999999999734</c:v>
                </c:pt>
                <c:pt idx="847">
                  <c:v>42.349999999999731</c:v>
                </c:pt>
                <c:pt idx="848">
                  <c:v>42.399999999999729</c:v>
                </c:pt>
                <c:pt idx="849">
                  <c:v>42.449999999999726</c:v>
                </c:pt>
                <c:pt idx="850">
                  <c:v>42.499999999999723</c:v>
                </c:pt>
                <c:pt idx="851">
                  <c:v>42.54999999999972</c:v>
                </c:pt>
                <c:pt idx="852">
                  <c:v>42.599999999999717</c:v>
                </c:pt>
                <c:pt idx="853">
                  <c:v>42.649999999999714</c:v>
                </c:pt>
                <c:pt idx="854">
                  <c:v>42.699999999999712</c:v>
                </c:pt>
                <c:pt idx="855">
                  <c:v>42.749999999999709</c:v>
                </c:pt>
                <c:pt idx="856">
                  <c:v>42.799999999999706</c:v>
                </c:pt>
                <c:pt idx="857">
                  <c:v>42.849999999999703</c:v>
                </c:pt>
                <c:pt idx="858">
                  <c:v>42.8999999999997</c:v>
                </c:pt>
                <c:pt idx="859">
                  <c:v>42.949999999999697</c:v>
                </c:pt>
                <c:pt idx="860">
                  <c:v>42.999999999999694</c:v>
                </c:pt>
                <c:pt idx="861">
                  <c:v>43.049999999999692</c:v>
                </c:pt>
                <c:pt idx="862">
                  <c:v>43.099999999999689</c:v>
                </c:pt>
                <c:pt idx="863">
                  <c:v>43.149999999999686</c:v>
                </c:pt>
                <c:pt idx="864">
                  <c:v>43.199999999999683</c:v>
                </c:pt>
                <c:pt idx="865">
                  <c:v>43.24999999999968</c:v>
                </c:pt>
                <c:pt idx="866">
                  <c:v>43.299999999999677</c:v>
                </c:pt>
                <c:pt idx="867">
                  <c:v>43.349999999999675</c:v>
                </c:pt>
                <c:pt idx="868">
                  <c:v>43.399999999999672</c:v>
                </c:pt>
                <c:pt idx="869">
                  <c:v>43.449999999999669</c:v>
                </c:pt>
                <c:pt idx="870">
                  <c:v>43.499999999999666</c:v>
                </c:pt>
                <c:pt idx="871">
                  <c:v>43.549999999999663</c:v>
                </c:pt>
                <c:pt idx="872">
                  <c:v>43.59999999999966</c:v>
                </c:pt>
                <c:pt idx="873">
                  <c:v>43.649999999999658</c:v>
                </c:pt>
                <c:pt idx="874">
                  <c:v>43.699999999999655</c:v>
                </c:pt>
                <c:pt idx="875">
                  <c:v>43.749999999999652</c:v>
                </c:pt>
                <c:pt idx="876">
                  <c:v>43.799999999999649</c:v>
                </c:pt>
                <c:pt idx="877">
                  <c:v>43.849999999999646</c:v>
                </c:pt>
                <c:pt idx="878">
                  <c:v>43.899999999999643</c:v>
                </c:pt>
                <c:pt idx="879">
                  <c:v>43.94999999999964</c:v>
                </c:pt>
                <c:pt idx="880">
                  <c:v>43.999999999999638</c:v>
                </c:pt>
                <c:pt idx="881">
                  <c:v>44.049999999999635</c:v>
                </c:pt>
                <c:pt idx="882">
                  <c:v>44.099999999999632</c:v>
                </c:pt>
                <c:pt idx="883">
                  <c:v>44.149999999999629</c:v>
                </c:pt>
                <c:pt idx="884">
                  <c:v>44.199999999999626</c:v>
                </c:pt>
                <c:pt idx="885">
                  <c:v>44.249999999999623</c:v>
                </c:pt>
                <c:pt idx="886">
                  <c:v>44.299999999999621</c:v>
                </c:pt>
                <c:pt idx="887">
                  <c:v>44.349999999999618</c:v>
                </c:pt>
                <c:pt idx="888">
                  <c:v>44.399999999999615</c:v>
                </c:pt>
                <c:pt idx="889">
                  <c:v>44.449999999999612</c:v>
                </c:pt>
                <c:pt idx="890">
                  <c:v>44.499999999999609</c:v>
                </c:pt>
                <c:pt idx="891">
                  <c:v>44.549999999999606</c:v>
                </c:pt>
                <c:pt idx="892">
                  <c:v>44.599999999999604</c:v>
                </c:pt>
                <c:pt idx="893">
                  <c:v>44.649999999999601</c:v>
                </c:pt>
                <c:pt idx="894">
                  <c:v>44.699999999999598</c:v>
                </c:pt>
                <c:pt idx="895">
                  <c:v>44.749999999999595</c:v>
                </c:pt>
                <c:pt idx="896">
                  <c:v>44.799999999999592</c:v>
                </c:pt>
                <c:pt idx="897">
                  <c:v>44.849999999999589</c:v>
                </c:pt>
                <c:pt idx="898">
                  <c:v>44.899999999999586</c:v>
                </c:pt>
                <c:pt idx="899">
                  <c:v>44.949999999999584</c:v>
                </c:pt>
                <c:pt idx="900">
                  <c:v>44.999999999999581</c:v>
                </c:pt>
                <c:pt idx="901">
                  <c:v>45.049999999999578</c:v>
                </c:pt>
                <c:pt idx="902">
                  <c:v>45.099999999999575</c:v>
                </c:pt>
                <c:pt idx="903">
                  <c:v>45.149999999999572</c:v>
                </c:pt>
                <c:pt idx="904">
                  <c:v>45.199999999999569</c:v>
                </c:pt>
                <c:pt idx="905">
                  <c:v>45.249999999999567</c:v>
                </c:pt>
                <c:pt idx="906">
                  <c:v>45.299999999999564</c:v>
                </c:pt>
                <c:pt idx="907">
                  <c:v>45.349999999999561</c:v>
                </c:pt>
                <c:pt idx="908">
                  <c:v>45.399999999999558</c:v>
                </c:pt>
                <c:pt idx="909">
                  <c:v>45.449999999999555</c:v>
                </c:pt>
                <c:pt idx="910">
                  <c:v>45.499999999999552</c:v>
                </c:pt>
                <c:pt idx="911">
                  <c:v>45.54999999999955</c:v>
                </c:pt>
                <c:pt idx="912">
                  <c:v>45.599999999999547</c:v>
                </c:pt>
                <c:pt idx="913">
                  <c:v>45.649999999999544</c:v>
                </c:pt>
                <c:pt idx="914">
                  <c:v>45.699999999999541</c:v>
                </c:pt>
                <c:pt idx="915">
                  <c:v>45.749999999999538</c:v>
                </c:pt>
                <c:pt idx="916">
                  <c:v>45.799999999999535</c:v>
                </c:pt>
                <c:pt idx="917">
                  <c:v>45.849999999999532</c:v>
                </c:pt>
                <c:pt idx="918">
                  <c:v>45.89999999999953</c:v>
                </c:pt>
                <c:pt idx="919">
                  <c:v>45.949999999999527</c:v>
                </c:pt>
                <c:pt idx="920">
                  <c:v>45.999999999999524</c:v>
                </c:pt>
                <c:pt idx="921">
                  <c:v>46.049999999999521</c:v>
                </c:pt>
                <c:pt idx="922">
                  <c:v>46.099999999999518</c:v>
                </c:pt>
                <c:pt idx="923">
                  <c:v>46.149999999999515</c:v>
                </c:pt>
                <c:pt idx="924">
                  <c:v>46.199999999999513</c:v>
                </c:pt>
                <c:pt idx="925">
                  <c:v>46.24999999999951</c:v>
                </c:pt>
                <c:pt idx="926">
                  <c:v>46.299999999999507</c:v>
                </c:pt>
                <c:pt idx="927">
                  <c:v>46.349999999999504</c:v>
                </c:pt>
                <c:pt idx="928">
                  <c:v>46.399999999999501</c:v>
                </c:pt>
                <c:pt idx="929">
                  <c:v>46.449999999999498</c:v>
                </c:pt>
                <c:pt idx="930">
                  <c:v>46.499999999999496</c:v>
                </c:pt>
                <c:pt idx="931">
                  <c:v>46.549999999999493</c:v>
                </c:pt>
                <c:pt idx="932">
                  <c:v>46.59999999999949</c:v>
                </c:pt>
                <c:pt idx="933">
                  <c:v>46.649999999999487</c:v>
                </c:pt>
                <c:pt idx="934">
                  <c:v>46.699999999999484</c:v>
                </c:pt>
                <c:pt idx="935">
                  <c:v>46.749999999999481</c:v>
                </c:pt>
                <c:pt idx="936">
                  <c:v>46.799999999999478</c:v>
                </c:pt>
                <c:pt idx="937">
                  <c:v>46.849999999999476</c:v>
                </c:pt>
                <c:pt idx="938">
                  <c:v>46.899999999999473</c:v>
                </c:pt>
                <c:pt idx="939">
                  <c:v>46.94999999999947</c:v>
                </c:pt>
                <c:pt idx="940">
                  <c:v>46.999999999999467</c:v>
                </c:pt>
                <c:pt idx="941">
                  <c:v>47.049999999999464</c:v>
                </c:pt>
                <c:pt idx="942">
                  <c:v>47.099999999999461</c:v>
                </c:pt>
                <c:pt idx="943">
                  <c:v>47.149999999999459</c:v>
                </c:pt>
                <c:pt idx="944">
                  <c:v>47.199999999999456</c:v>
                </c:pt>
                <c:pt idx="945">
                  <c:v>47.249999999999453</c:v>
                </c:pt>
                <c:pt idx="946">
                  <c:v>47.29999999999945</c:v>
                </c:pt>
                <c:pt idx="947">
                  <c:v>47.349999999999447</c:v>
                </c:pt>
                <c:pt idx="948">
                  <c:v>47.399999999999444</c:v>
                </c:pt>
                <c:pt idx="949">
                  <c:v>47.449999999999442</c:v>
                </c:pt>
                <c:pt idx="950">
                  <c:v>47.499999999999439</c:v>
                </c:pt>
                <c:pt idx="951">
                  <c:v>47.549999999999436</c:v>
                </c:pt>
                <c:pt idx="952">
                  <c:v>47.599999999999433</c:v>
                </c:pt>
                <c:pt idx="953">
                  <c:v>47.64999999999943</c:v>
                </c:pt>
                <c:pt idx="954">
                  <c:v>47.699999999999427</c:v>
                </c:pt>
                <c:pt idx="955">
                  <c:v>47.749999999999424</c:v>
                </c:pt>
                <c:pt idx="956">
                  <c:v>47.799999999999422</c:v>
                </c:pt>
                <c:pt idx="957">
                  <c:v>47.849999999999419</c:v>
                </c:pt>
                <c:pt idx="958">
                  <c:v>47.899999999999416</c:v>
                </c:pt>
                <c:pt idx="959">
                  <c:v>47.949999999999413</c:v>
                </c:pt>
                <c:pt idx="960">
                  <c:v>47.99999999999941</c:v>
                </c:pt>
                <c:pt idx="961">
                  <c:v>48.049999999999407</c:v>
                </c:pt>
                <c:pt idx="962">
                  <c:v>48.099999999999405</c:v>
                </c:pt>
                <c:pt idx="963">
                  <c:v>48.149999999999402</c:v>
                </c:pt>
                <c:pt idx="964">
                  <c:v>48.199999999999399</c:v>
                </c:pt>
                <c:pt idx="965">
                  <c:v>48.249999999999396</c:v>
                </c:pt>
                <c:pt idx="966">
                  <c:v>48.299999999999393</c:v>
                </c:pt>
                <c:pt idx="967">
                  <c:v>48.34999999999939</c:v>
                </c:pt>
                <c:pt idx="968">
                  <c:v>48.399999999999388</c:v>
                </c:pt>
                <c:pt idx="969">
                  <c:v>48.449999999999385</c:v>
                </c:pt>
                <c:pt idx="970">
                  <c:v>48.499999999999382</c:v>
                </c:pt>
                <c:pt idx="971">
                  <c:v>48.549999999999379</c:v>
                </c:pt>
                <c:pt idx="972">
                  <c:v>48.599999999999376</c:v>
                </c:pt>
                <c:pt idx="973">
                  <c:v>48.649999999999373</c:v>
                </c:pt>
                <c:pt idx="974">
                  <c:v>48.69999999999937</c:v>
                </c:pt>
                <c:pt idx="975">
                  <c:v>48.749999999999368</c:v>
                </c:pt>
                <c:pt idx="976">
                  <c:v>48.799999999999365</c:v>
                </c:pt>
                <c:pt idx="977">
                  <c:v>48.849999999999362</c:v>
                </c:pt>
                <c:pt idx="978">
                  <c:v>48.899999999999359</c:v>
                </c:pt>
                <c:pt idx="979">
                  <c:v>48.949999999999356</c:v>
                </c:pt>
                <c:pt idx="980">
                  <c:v>48.999999999999353</c:v>
                </c:pt>
                <c:pt idx="981">
                  <c:v>49.049999999999351</c:v>
                </c:pt>
                <c:pt idx="982">
                  <c:v>49.099999999999348</c:v>
                </c:pt>
                <c:pt idx="983">
                  <c:v>49.149999999999345</c:v>
                </c:pt>
                <c:pt idx="984">
                  <c:v>49.199999999999342</c:v>
                </c:pt>
                <c:pt idx="985">
                  <c:v>49.249999999999339</c:v>
                </c:pt>
                <c:pt idx="986">
                  <c:v>49.299999999999336</c:v>
                </c:pt>
                <c:pt idx="987">
                  <c:v>49.349999999999334</c:v>
                </c:pt>
                <c:pt idx="988">
                  <c:v>49.399999999999331</c:v>
                </c:pt>
                <c:pt idx="989">
                  <c:v>49.449999999999328</c:v>
                </c:pt>
                <c:pt idx="990">
                  <c:v>49.499999999999325</c:v>
                </c:pt>
                <c:pt idx="991">
                  <c:v>49.549999999999322</c:v>
                </c:pt>
                <c:pt idx="992">
                  <c:v>49.599999999999319</c:v>
                </c:pt>
                <c:pt idx="993">
                  <c:v>49.649999999999316</c:v>
                </c:pt>
                <c:pt idx="994">
                  <c:v>49.699999999999314</c:v>
                </c:pt>
                <c:pt idx="995">
                  <c:v>49.749999999999311</c:v>
                </c:pt>
                <c:pt idx="996">
                  <c:v>49.799999999999308</c:v>
                </c:pt>
                <c:pt idx="997">
                  <c:v>49.849999999999305</c:v>
                </c:pt>
                <c:pt idx="998">
                  <c:v>49.899999999999302</c:v>
                </c:pt>
                <c:pt idx="999">
                  <c:v>49.949999999999299</c:v>
                </c:pt>
                <c:pt idx="1000">
                  <c:v>49.999999999999297</c:v>
                </c:pt>
                <c:pt idx="1001">
                  <c:v>50.049999999999294</c:v>
                </c:pt>
                <c:pt idx="1002">
                  <c:v>50.099999999999291</c:v>
                </c:pt>
                <c:pt idx="1003">
                  <c:v>50.149999999999288</c:v>
                </c:pt>
                <c:pt idx="1004">
                  <c:v>50.199999999999285</c:v>
                </c:pt>
                <c:pt idx="1005">
                  <c:v>50.249999999999282</c:v>
                </c:pt>
                <c:pt idx="1006">
                  <c:v>50.29999999999928</c:v>
                </c:pt>
                <c:pt idx="1007">
                  <c:v>50.349999999999277</c:v>
                </c:pt>
                <c:pt idx="1008">
                  <c:v>50.399999999999274</c:v>
                </c:pt>
                <c:pt idx="1009">
                  <c:v>50.449999999999271</c:v>
                </c:pt>
                <c:pt idx="1010">
                  <c:v>50.499999999999268</c:v>
                </c:pt>
                <c:pt idx="1011">
                  <c:v>50.549999999999265</c:v>
                </c:pt>
                <c:pt idx="1012">
                  <c:v>50.599999999999262</c:v>
                </c:pt>
                <c:pt idx="1013">
                  <c:v>50.64999999999926</c:v>
                </c:pt>
                <c:pt idx="1014">
                  <c:v>50.699999999999257</c:v>
                </c:pt>
                <c:pt idx="1015">
                  <c:v>50.749999999999254</c:v>
                </c:pt>
                <c:pt idx="1016">
                  <c:v>50.799999999999251</c:v>
                </c:pt>
                <c:pt idx="1017">
                  <c:v>50.849999999999248</c:v>
                </c:pt>
                <c:pt idx="1018">
                  <c:v>50.899999999999245</c:v>
                </c:pt>
                <c:pt idx="1019">
                  <c:v>50.949999999999243</c:v>
                </c:pt>
                <c:pt idx="1020">
                  <c:v>50.99999999999924</c:v>
                </c:pt>
                <c:pt idx="1021">
                  <c:v>51.049999999999237</c:v>
                </c:pt>
                <c:pt idx="1022">
                  <c:v>51.099999999999234</c:v>
                </c:pt>
                <c:pt idx="1023">
                  <c:v>51.149999999999231</c:v>
                </c:pt>
                <c:pt idx="1024">
                  <c:v>51.199999999999228</c:v>
                </c:pt>
                <c:pt idx="1025">
                  <c:v>51.249999999999226</c:v>
                </c:pt>
                <c:pt idx="1026">
                  <c:v>51.299999999999223</c:v>
                </c:pt>
                <c:pt idx="1027">
                  <c:v>51.34999999999922</c:v>
                </c:pt>
                <c:pt idx="1028">
                  <c:v>51.399999999999217</c:v>
                </c:pt>
                <c:pt idx="1029">
                  <c:v>51.449999999999214</c:v>
                </c:pt>
                <c:pt idx="1030">
                  <c:v>51.499999999999211</c:v>
                </c:pt>
                <c:pt idx="1031">
                  <c:v>51.549999999999208</c:v>
                </c:pt>
                <c:pt idx="1032">
                  <c:v>51.599999999999206</c:v>
                </c:pt>
                <c:pt idx="1033">
                  <c:v>51.649999999999203</c:v>
                </c:pt>
                <c:pt idx="1034">
                  <c:v>51.6999999999992</c:v>
                </c:pt>
                <c:pt idx="1035">
                  <c:v>51.749999999999197</c:v>
                </c:pt>
                <c:pt idx="1036">
                  <c:v>51.799999999999194</c:v>
                </c:pt>
                <c:pt idx="1037">
                  <c:v>51.849999999999191</c:v>
                </c:pt>
                <c:pt idx="1038">
                  <c:v>51.899999999999189</c:v>
                </c:pt>
                <c:pt idx="1039">
                  <c:v>51.949999999999186</c:v>
                </c:pt>
                <c:pt idx="1040">
                  <c:v>51.999999999999183</c:v>
                </c:pt>
                <c:pt idx="1041">
                  <c:v>52.04999999999918</c:v>
                </c:pt>
                <c:pt idx="1042">
                  <c:v>52.099999999999177</c:v>
                </c:pt>
                <c:pt idx="1043">
                  <c:v>52.149999999999174</c:v>
                </c:pt>
                <c:pt idx="1044">
                  <c:v>52.199999999999172</c:v>
                </c:pt>
                <c:pt idx="1045">
                  <c:v>52.249999999999169</c:v>
                </c:pt>
                <c:pt idx="1046">
                  <c:v>52.299999999999166</c:v>
                </c:pt>
                <c:pt idx="1047">
                  <c:v>52.349999999999163</c:v>
                </c:pt>
                <c:pt idx="1048">
                  <c:v>52.39999999999916</c:v>
                </c:pt>
                <c:pt idx="1049">
                  <c:v>52.449999999999157</c:v>
                </c:pt>
                <c:pt idx="1050">
                  <c:v>52.499999999999154</c:v>
                </c:pt>
                <c:pt idx="1051">
                  <c:v>52.549999999999152</c:v>
                </c:pt>
                <c:pt idx="1052">
                  <c:v>52.599999999999149</c:v>
                </c:pt>
                <c:pt idx="1053">
                  <c:v>52.649999999999146</c:v>
                </c:pt>
                <c:pt idx="1054">
                  <c:v>52.699999999999143</c:v>
                </c:pt>
                <c:pt idx="1055">
                  <c:v>52.74999999999914</c:v>
                </c:pt>
                <c:pt idx="1056">
                  <c:v>52.799999999999137</c:v>
                </c:pt>
                <c:pt idx="1057">
                  <c:v>52.849999999999135</c:v>
                </c:pt>
                <c:pt idx="1058">
                  <c:v>52.899999999999132</c:v>
                </c:pt>
                <c:pt idx="1059">
                  <c:v>52.949999999999129</c:v>
                </c:pt>
                <c:pt idx="1060">
                  <c:v>52.999999999999126</c:v>
                </c:pt>
                <c:pt idx="1061">
                  <c:v>53.049999999999123</c:v>
                </c:pt>
                <c:pt idx="1062">
                  <c:v>53.09999999999912</c:v>
                </c:pt>
                <c:pt idx="1063">
                  <c:v>53.149999999999118</c:v>
                </c:pt>
                <c:pt idx="1064">
                  <c:v>53.199999999999115</c:v>
                </c:pt>
                <c:pt idx="1065">
                  <c:v>53.249999999999112</c:v>
                </c:pt>
                <c:pt idx="1066">
                  <c:v>53.299999999999109</c:v>
                </c:pt>
                <c:pt idx="1067">
                  <c:v>53.349999999999106</c:v>
                </c:pt>
                <c:pt idx="1068">
                  <c:v>53.399999999999103</c:v>
                </c:pt>
                <c:pt idx="1069">
                  <c:v>53.4499999999991</c:v>
                </c:pt>
                <c:pt idx="1070">
                  <c:v>53.499999999999098</c:v>
                </c:pt>
                <c:pt idx="1071">
                  <c:v>53.549999999999095</c:v>
                </c:pt>
                <c:pt idx="1072">
                  <c:v>53.599999999999092</c:v>
                </c:pt>
                <c:pt idx="1073">
                  <c:v>53.649999999999089</c:v>
                </c:pt>
                <c:pt idx="1074">
                  <c:v>53.699999999999086</c:v>
                </c:pt>
                <c:pt idx="1075">
                  <c:v>53.749999999999083</c:v>
                </c:pt>
                <c:pt idx="1076">
                  <c:v>53.799999999999081</c:v>
                </c:pt>
                <c:pt idx="1077">
                  <c:v>53.849999999999078</c:v>
                </c:pt>
                <c:pt idx="1078">
                  <c:v>53.899999999999075</c:v>
                </c:pt>
                <c:pt idx="1079">
                  <c:v>53.949999999999072</c:v>
                </c:pt>
                <c:pt idx="1080">
                  <c:v>53.999999999999069</c:v>
                </c:pt>
                <c:pt idx="1081">
                  <c:v>54.049999999999066</c:v>
                </c:pt>
                <c:pt idx="1082">
                  <c:v>54.099999999999064</c:v>
                </c:pt>
                <c:pt idx="1083">
                  <c:v>54.149999999999061</c:v>
                </c:pt>
                <c:pt idx="1084">
                  <c:v>54.199999999999058</c:v>
                </c:pt>
                <c:pt idx="1085">
                  <c:v>54.249999999999055</c:v>
                </c:pt>
                <c:pt idx="1086">
                  <c:v>54.299999999999052</c:v>
                </c:pt>
                <c:pt idx="1087">
                  <c:v>54.349999999999049</c:v>
                </c:pt>
                <c:pt idx="1088">
                  <c:v>54.399999999999046</c:v>
                </c:pt>
                <c:pt idx="1089">
                  <c:v>54.449999999999044</c:v>
                </c:pt>
                <c:pt idx="1090">
                  <c:v>54.499999999999041</c:v>
                </c:pt>
                <c:pt idx="1091">
                  <c:v>54.549999999999038</c:v>
                </c:pt>
                <c:pt idx="1092">
                  <c:v>54.599999999999035</c:v>
                </c:pt>
                <c:pt idx="1093">
                  <c:v>54.649999999999032</c:v>
                </c:pt>
                <c:pt idx="1094">
                  <c:v>54.699999999999029</c:v>
                </c:pt>
                <c:pt idx="1095">
                  <c:v>54.749999999999027</c:v>
                </c:pt>
                <c:pt idx="1096">
                  <c:v>54.799999999999024</c:v>
                </c:pt>
                <c:pt idx="1097">
                  <c:v>54.849999999999021</c:v>
                </c:pt>
                <c:pt idx="1098">
                  <c:v>54.899999999999018</c:v>
                </c:pt>
                <c:pt idx="1099">
                  <c:v>54.949999999999015</c:v>
                </c:pt>
                <c:pt idx="1100">
                  <c:v>54.999999999999012</c:v>
                </c:pt>
                <c:pt idx="1101">
                  <c:v>55.04999999999901</c:v>
                </c:pt>
                <c:pt idx="1102">
                  <c:v>55.099999999999007</c:v>
                </c:pt>
                <c:pt idx="1103">
                  <c:v>55.149999999999004</c:v>
                </c:pt>
                <c:pt idx="1104">
                  <c:v>55.199999999999001</c:v>
                </c:pt>
                <c:pt idx="1105">
                  <c:v>55.249999999998998</c:v>
                </c:pt>
                <c:pt idx="1106">
                  <c:v>55.299999999998995</c:v>
                </c:pt>
                <c:pt idx="1107">
                  <c:v>55.349999999998992</c:v>
                </c:pt>
                <c:pt idx="1108">
                  <c:v>55.39999999999899</c:v>
                </c:pt>
                <c:pt idx="1109">
                  <c:v>55.449999999998987</c:v>
                </c:pt>
                <c:pt idx="1110">
                  <c:v>55.499999999998984</c:v>
                </c:pt>
                <c:pt idx="1111">
                  <c:v>55.549999999998981</c:v>
                </c:pt>
                <c:pt idx="1112">
                  <c:v>55.599999999998978</c:v>
                </c:pt>
                <c:pt idx="1113">
                  <c:v>55.649999999998975</c:v>
                </c:pt>
                <c:pt idx="1114">
                  <c:v>55.699999999998973</c:v>
                </c:pt>
                <c:pt idx="1115">
                  <c:v>55.74999999999897</c:v>
                </c:pt>
                <c:pt idx="1116">
                  <c:v>55.799999999998967</c:v>
                </c:pt>
                <c:pt idx="1117">
                  <c:v>55.849999999998964</c:v>
                </c:pt>
                <c:pt idx="1118">
                  <c:v>55.899999999998961</c:v>
                </c:pt>
                <c:pt idx="1119">
                  <c:v>55.949999999998958</c:v>
                </c:pt>
                <c:pt idx="1120">
                  <c:v>55.999999999998956</c:v>
                </c:pt>
                <c:pt idx="1121">
                  <c:v>56.049999999998953</c:v>
                </c:pt>
                <c:pt idx="1122">
                  <c:v>56.09999999999895</c:v>
                </c:pt>
                <c:pt idx="1123">
                  <c:v>56.149999999998947</c:v>
                </c:pt>
                <c:pt idx="1124">
                  <c:v>56.199999999998944</c:v>
                </c:pt>
                <c:pt idx="1125">
                  <c:v>56.249999999998941</c:v>
                </c:pt>
                <c:pt idx="1126">
                  <c:v>56.299999999998938</c:v>
                </c:pt>
                <c:pt idx="1127">
                  <c:v>56.349999999998936</c:v>
                </c:pt>
                <c:pt idx="1128">
                  <c:v>56.399999999998933</c:v>
                </c:pt>
                <c:pt idx="1129">
                  <c:v>56.44999999999893</c:v>
                </c:pt>
                <c:pt idx="1130">
                  <c:v>56.499999999998927</c:v>
                </c:pt>
                <c:pt idx="1131">
                  <c:v>56.549999999998924</c:v>
                </c:pt>
                <c:pt idx="1132">
                  <c:v>56.599999999998921</c:v>
                </c:pt>
                <c:pt idx="1133">
                  <c:v>56.649999999998919</c:v>
                </c:pt>
                <c:pt idx="1134">
                  <c:v>56.699999999998916</c:v>
                </c:pt>
                <c:pt idx="1135">
                  <c:v>56.749999999998913</c:v>
                </c:pt>
                <c:pt idx="1136">
                  <c:v>56.79999999999891</c:v>
                </c:pt>
                <c:pt idx="1137">
                  <c:v>56.849999999998907</c:v>
                </c:pt>
                <c:pt idx="1138">
                  <c:v>56.899999999998904</c:v>
                </c:pt>
                <c:pt idx="1139">
                  <c:v>56.949999999998902</c:v>
                </c:pt>
                <c:pt idx="1140">
                  <c:v>56.999999999998899</c:v>
                </c:pt>
                <c:pt idx="1141">
                  <c:v>57.049999999998896</c:v>
                </c:pt>
                <c:pt idx="1142">
                  <c:v>57.099999999998893</c:v>
                </c:pt>
                <c:pt idx="1143">
                  <c:v>57.14999999999889</c:v>
                </c:pt>
                <c:pt idx="1144">
                  <c:v>57.199999999998887</c:v>
                </c:pt>
                <c:pt idx="1145">
                  <c:v>57.249999999998884</c:v>
                </c:pt>
                <c:pt idx="1146">
                  <c:v>57.299999999998882</c:v>
                </c:pt>
                <c:pt idx="1147">
                  <c:v>57.349999999998879</c:v>
                </c:pt>
                <c:pt idx="1148">
                  <c:v>57.399999999998876</c:v>
                </c:pt>
                <c:pt idx="1149">
                  <c:v>57.449999999998873</c:v>
                </c:pt>
                <c:pt idx="1150">
                  <c:v>57.49999999999887</c:v>
                </c:pt>
                <c:pt idx="1151">
                  <c:v>57.549999999998867</c:v>
                </c:pt>
                <c:pt idx="1152">
                  <c:v>57.599999999998865</c:v>
                </c:pt>
                <c:pt idx="1153">
                  <c:v>57.649999999998862</c:v>
                </c:pt>
                <c:pt idx="1154">
                  <c:v>57.699999999998859</c:v>
                </c:pt>
                <c:pt idx="1155">
                  <c:v>57.749999999998856</c:v>
                </c:pt>
                <c:pt idx="1156">
                  <c:v>57.799999999998853</c:v>
                </c:pt>
                <c:pt idx="1157">
                  <c:v>57.84999999999885</c:v>
                </c:pt>
                <c:pt idx="1158">
                  <c:v>57.899999999998847</c:v>
                </c:pt>
                <c:pt idx="1159">
                  <c:v>57.949999999998845</c:v>
                </c:pt>
                <c:pt idx="1160">
                  <c:v>57.999999999998842</c:v>
                </c:pt>
                <c:pt idx="1161">
                  <c:v>58.049999999998839</c:v>
                </c:pt>
                <c:pt idx="1162">
                  <c:v>58.099999999998836</c:v>
                </c:pt>
                <c:pt idx="1163">
                  <c:v>58.149999999998833</c:v>
                </c:pt>
                <c:pt idx="1164">
                  <c:v>58.19999999999883</c:v>
                </c:pt>
                <c:pt idx="1165">
                  <c:v>58.249999999998828</c:v>
                </c:pt>
                <c:pt idx="1166">
                  <c:v>58.299999999998825</c:v>
                </c:pt>
                <c:pt idx="1167">
                  <c:v>58.349999999998822</c:v>
                </c:pt>
                <c:pt idx="1168">
                  <c:v>58.399999999998819</c:v>
                </c:pt>
                <c:pt idx="1169">
                  <c:v>58.449999999998816</c:v>
                </c:pt>
                <c:pt idx="1170">
                  <c:v>58.499999999998813</c:v>
                </c:pt>
                <c:pt idx="1171">
                  <c:v>58.549999999998811</c:v>
                </c:pt>
                <c:pt idx="1172">
                  <c:v>58.599999999998808</c:v>
                </c:pt>
                <c:pt idx="1173">
                  <c:v>58.649999999998805</c:v>
                </c:pt>
                <c:pt idx="1174">
                  <c:v>58.699999999998802</c:v>
                </c:pt>
                <c:pt idx="1175">
                  <c:v>58.749999999998799</c:v>
                </c:pt>
                <c:pt idx="1176">
                  <c:v>58.799999999998796</c:v>
                </c:pt>
                <c:pt idx="1177">
                  <c:v>58.849999999998793</c:v>
                </c:pt>
                <c:pt idx="1178">
                  <c:v>58.899999999998791</c:v>
                </c:pt>
                <c:pt idx="1179">
                  <c:v>58.949999999998788</c:v>
                </c:pt>
                <c:pt idx="1180">
                  <c:v>58.999999999998785</c:v>
                </c:pt>
                <c:pt idx="1181">
                  <c:v>59.049999999998782</c:v>
                </c:pt>
                <c:pt idx="1182">
                  <c:v>59.099999999998779</c:v>
                </c:pt>
                <c:pt idx="1183">
                  <c:v>59.149999999998776</c:v>
                </c:pt>
                <c:pt idx="1184">
                  <c:v>59.199999999998774</c:v>
                </c:pt>
                <c:pt idx="1185">
                  <c:v>59.249999999998771</c:v>
                </c:pt>
                <c:pt idx="1186">
                  <c:v>59.299999999998768</c:v>
                </c:pt>
                <c:pt idx="1187">
                  <c:v>59.349999999998765</c:v>
                </c:pt>
                <c:pt idx="1188">
                  <c:v>59.399999999998762</c:v>
                </c:pt>
                <c:pt idx="1189">
                  <c:v>59.449999999998759</c:v>
                </c:pt>
                <c:pt idx="1190">
                  <c:v>59.499999999998757</c:v>
                </c:pt>
                <c:pt idx="1191">
                  <c:v>59.549999999998754</c:v>
                </c:pt>
                <c:pt idx="1192">
                  <c:v>59.599999999998751</c:v>
                </c:pt>
                <c:pt idx="1193">
                  <c:v>59.649999999998748</c:v>
                </c:pt>
                <c:pt idx="1194">
                  <c:v>59.699999999998745</c:v>
                </c:pt>
                <c:pt idx="1195">
                  <c:v>59.749999999998742</c:v>
                </c:pt>
                <c:pt idx="1196">
                  <c:v>59.799999999998739</c:v>
                </c:pt>
                <c:pt idx="1197">
                  <c:v>59.849999999998737</c:v>
                </c:pt>
                <c:pt idx="1198">
                  <c:v>59.899999999998734</c:v>
                </c:pt>
                <c:pt idx="1199">
                  <c:v>59.949999999998731</c:v>
                </c:pt>
                <c:pt idx="1200">
                  <c:v>59.999999999998728</c:v>
                </c:pt>
                <c:pt idx="1201">
                  <c:v>60.049999999998725</c:v>
                </c:pt>
                <c:pt idx="1202">
                  <c:v>60.099999999998722</c:v>
                </c:pt>
                <c:pt idx="1203">
                  <c:v>60.14999999999872</c:v>
                </c:pt>
                <c:pt idx="1204">
                  <c:v>60.199999999998717</c:v>
                </c:pt>
                <c:pt idx="1205">
                  <c:v>60.249999999998714</c:v>
                </c:pt>
                <c:pt idx="1206">
                  <c:v>60.299999999998711</c:v>
                </c:pt>
                <c:pt idx="1207">
                  <c:v>60.349999999998708</c:v>
                </c:pt>
                <c:pt idx="1208">
                  <c:v>60.399999999998705</c:v>
                </c:pt>
                <c:pt idx="1209">
                  <c:v>60.449999999998703</c:v>
                </c:pt>
                <c:pt idx="1210">
                  <c:v>60.4999999999987</c:v>
                </c:pt>
                <c:pt idx="1211">
                  <c:v>60.549999999998697</c:v>
                </c:pt>
                <c:pt idx="1212">
                  <c:v>60.599999999998694</c:v>
                </c:pt>
                <c:pt idx="1213">
                  <c:v>60.649999999998691</c:v>
                </c:pt>
                <c:pt idx="1214">
                  <c:v>60.699999999998688</c:v>
                </c:pt>
                <c:pt idx="1215">
                  <c:v>60.749999999998685</c:v>
                </c:pt>
                <c:pt idx="1216">
                  <c:v>60.799999999998683</c:v>
                </c:pt>
                <c:pt idx="1217">
                  <c:v>60.84999999999868</c:v>
                </c:pt>
                <c:pt idx="1218">
                  <c:v>60.899999999998677</c:v>
                </c:pt>
                <c:pt idx="1219">
                  <c:v>60.949999999998674</c:v>
                </c:pt>
                <c:pt idx="1220">
                  <c:v>60.999999999998671</c:v>
                </c:pt>
                <c:pt idx="1221">
                  <c:v>61.049999999998668</c:v>
                </c:pt>
                <c:pt idx="1222">
                  <c:v>61.099999999998666</c:v>
                </c:pt>
                <c:pt idx="1223">
                  <c:v>61.149999999998663</c:v>
                </c:pt>
                <c:pt idx="1224">
                  <c:v>61.19999999999866</c:v>
                </c:pt>
                <c:pt idx="1225">
                  <c:v>61.249999999998657</c:v>
                </c:pt>
                <c:pt idx="1226">
                  <c:v>61.299999999998654</c:v>
                </c:pt>
                <c:pt idx="1227">
                  <c:v>61.349999999998651</c:v>
                </c:pt>
                <c:pt idx="1228">
                  <c:v>61.399999999998649</c:v>
                </c:pt>
                <c:pt idx="1229">
                  <c:v>61.449999999998646</c:v>
                </c:pt>
                <c:pt idx="1230">
                  <c:v>61.499999999998643</c:v>
                </c:pt>
                <c:pt idx="1231">
                  <c:v>61.54999999999864</c:v>
                </c:pt>
                <c:pt idx="1232">
                  <c:v>61.599999999998637</c:v>
                </c:pt>
                <c:pt idx="1233">
                  <c:v>61.649999999998634</c:v>
                </c:pt>
                <c:pt idx="1234">
                  <c:v>61.699999999998631</c:v>
                </c:pt>
                <c:pt idx="1235">
                  <c:v>61.749999999998629</c:v>
                </c:pt>
                <c:pt idx="1236">
                  <c:v>61.799999999998626</c:v>
                </c:pt>
                <c:pt idx="1237">
                  <c:v>61.849999999998623</c:v>
                </c:pt>
                <c:pt idx="1238">
                  <c:v>61.89999999999862</c:v>
                </c:pt>
                <c:pt idx="1239">
                  <c:v>61.949999999998617</c:v>
                </c:pt>
                <c:pt idx="1240">
                  <c:v>61.999999999998614</c:v>
                </c:pt>
                <c:pt idx="1241">
                  <c:v>62.049999999998612</c:v>
                </c:pt>
                <c:pt idx="1242">
                  <c:v>62.099999999998609</c:v>
                </c:pt>
                <c:pt idx="1243">
                  <c:v>62.149999999998606</c:v>
                </c:pt>
                <c:pt idx="1244">
                  <c:v>62.199999999998603</c:v>
                </c:pt>
                <c:pt idx="1245">
                  <c:v>62.2499999999986</c:v>
                </c:pt>
                <c:pt idx="1246">
                  <c:v>62.299999999998597</c:v>
                </c:pt>
                <c:pt idx="1247">
                  <c:v>62.349999999998595</c:v>
                </c:pt>
                <c:pt idx="1248">
                  <c:v>62.399999999998592</c:v>
                </c:pt>
                <c:pt idx="1249">
                  <c:v>62.449999999998589</c:v>
                </c:pt>
                <c:pt idx="1250">
                  <c:v>62.499999999998586</c:v>
                </c:pt>
                <c:pt idx="1251">
                  <c:v>62.549999999998583</c:v>
                </c:pt>
                <c:pt idx="1252">
                  <c:v>62.59999999999858</c:v>
                </c:pt>
                <c:pt idx="1253">
                  <c:v>62.649999999998577</c:v>
                </c:pt>
                <c:pt idx="1254">
                  <c:v>62.699999999998575</c:v>
                </c:pt>
                <c:pt idx="1255">
                  <c:v>62.749999999998572</c:v>
                </c:pt>
                <c:pt idx="1256">
                  <c:v>62.799999999998569</c:v>
                </c:pt>
                <c:pt idx="1257">
                  <c:v>62.849999999998566</c:v>
                </c:pt>
                <c:pt idx="1258">
                  <c:v>62.899999999998563</c:v>
                </c:pt>
                <c:pt idx="1259">
                  <c:v>62.94999999999856</c:v>
                </c:pt>
                <c:pt idx="1260">
                  <c:v>62.999999999998558</c:v>
                </c:pt>
                <c:pt idx="1261">
                  <c:v>63.049999999998555</c:v>
                </c:pt>
                <c:pt idx="1262">
                  <c:v>63.099999999998552</c:v>
                </c:pt>
                <c:pt idx="1263">
                  <c:v>63.149999999998549</c:v>
                </c:pt>
                <c:pt idx="1264">
                  <c:v>63.199999999998546</c:v>
                </c:pt>
                <c:pt idx="1265">
                  <c:v>63.249999999998543</c:v>
                </c:pt>
                <c:pt idx="1266">
                  <c:v>63.299999999998541</c:v>
                </c:pt>
                <c:pt idx="1267">
                  <c:v>63.349999999998538</c:v>
                </c:pt>
                <c:pt idx="1268">
                  <c:v>63.399999999998535</c:v>
                </c:pt>
                <c:pt idx="1269">
                  <c:v>63.449999999998532</c:v>
                </c:pt>
                <c:pt idx="1270">
                  <c:v>63.499999999998529</c:v>
                </c:pt>
                <c:pt idx="1271">
                  <c:v>63.549999999998526</c:v>
                </c:pt>
                <c:pt idx="1272">
                  <c:v>63.599999999998523</c:v>
                </c:pt>
                <c:pt idx="1273">
                  <c:v>63.649999999998521</c:v>
                </c:pt>
                <c:pt idx="1274">
                  <c:v>63.699999999998518</c:v>
                </c:pt>
                <c:pt idx="1275">
                  <c:v>63.749999999998515</c:v>
                </c:pt>
                <c:pt idx="1276">
                  <c:v>63.799999999998512</c:v>
                </c:pt>
                <c:pt idx="1277">
                  <c:v>63.849999999998509</c:v>
                </c:pt>
                <c:pt idx="1278">
                  <c:v>63.899999999998506</c:v>
                </c:pt>
                <c:pt idx="1279">
                  <c:v>63.949999999998504</c:v>
                </c:pt>
                <c:pt idx="1280">
                  <c:v>63.999999999998501</c:v>
                </c:pt>
                <c:pt idx="1281">
                  <c:v>64.049999999998505</c:v>
                </c:pt>
                <c:pt idx="1282">
                  <c:v>64.099999999998502</c:v>
                </c:pt>
                <c:pt idx="1283">
                  <c:v>64.149999999998499</c:v>
                </c:pt>
                <c:pt idx="1284">
                  <c:v>64.199999999998496</c:v>
                </c:pt>
                <c:pt idx="1285">
                  <c:v>64.249999999998494</c:v>
                </c:pt>
                <c:pt idx="1286">
                  <c:v>64.299999999998491</c:v>
                </c:pt>
                <c:pt idx="1287">
                  <c:v>64.349999999998488</c:v>
                </c:pt>
                <c:pt idx="1288">
                  <c:v>64.399999999998485</c:v>
                </c:pt>
                <c:pt idx="1289">
                  <c:v>64.449999999998482</c:v>
                </c:pt>
                <c:pt idx="1290">
                  <c:v>64.499999999998479</c:v>
                </c:pt>
                <c:pt idx="1291">
                  <c:v>64.549999999998477</c:v>
                </c:pt>
                <c:pt idx="1292">
                  <c:v>64.599999999998474</c:v>
                </c:pt>
                <c:pt idx="1293">
                  <c:v>64.649999999998471</c:v>
                </c:pt>
                <c:pt idx="1294">
                  <c:v>64.699999999998468</c:v>
                </c:pt>
                <c:pt idx="1295">
                  <c:v>64.749999999998465</c:v>
                </c:pt>
                <c:pt idx="1296">
                  <c:v>64.799999999998462</c:v>
                </c:pt>
                <c:pt idx="1297">
                  <c:v>64.84999999999846</c:v>
                </c:pt>
                <c:pt idx="1298">
                  <c:v>64.899999999998457</c:v>
                </c:pt>
                <c:pt idx="1299">
                  <c:v>64.949999999998454</c:v>
                </c:pt>
                <c:pt idx="1300">
                  <c:v>64.999999999998451</c:v>
                </c:pt>
                <c:pt idx="1301">
                  <c:v>65.049999999998448</c:v>
                </c:pt>
                <c:pt idx="1302">
                  <c:v>65.099999999998445</c:v>
                </c:pt>
                <c:pt idx="1303">
                  <c:v>65.149999999998442</c:v>
                </c:pt>
                <c:pt idx="1304">
                  <c:v>65.19999999999844</c:v>
                </c:pt>
                <c:pt idx="1305">
                  <c:v>65.249999999998437</c:v>
                </c:pt>
                <c:pt idx="1306">
                  <c:v>65.299999999998434</c:v>
                </c:pt>
                <c:pt idx="1307">
                  <c:v>65.349999999998431</c:v>
                </c:pt>
                <c:pt idx="1308">
                  <c:v>65.399999999998428</c:v>
                </c:pt>
                <c:pt idx="1309">
                  <c:v>65.449999999998425</c:v>
                </c:pt>
                <c:pt idx="1310">
                  <c:v>65.499999999998423</c:v>
                </c:pt>
                <c:pt idx="1311">
                  <c:v>65.54999999999842</c:v>
                </c:pt>
                <c:pt idx="1312">
                  <c:v>65.599999999998417</c:v>
                </c:pt>
                <c:pt idx="1313">
                  <c:v>65.649999999998414</c:v>
                </c:pt>
                <c:pt idx="1314">
                  <c:v>65.699999999998411</c:v>
                </c:pt>
                <c:pt idx="1315">
                  <c:v>65.749999999998408</c:v>
                </c:pt>
                <c:pt idx="1316">
                  <c:v>65.799999999998406</c:v>
                </c:pt>
                <c:pt idx="1317">
                  <c:v>65.849999999998403</c:v>
                </c:pt>
                <c:pt idx="1318">
                  <c:v>65.8999999999984</c:v>
                </c:pt>
                <c:pt idx="1319">
                  <c:v>65.949999999998397</c:v>
                </c:pt>
                <c:pt idx="1320">
                  <c:v>65.999999999998394</c:v>
                </c:pt>
                <c:pt idx="1321">
                  <c:v>66.049999999998391</c:v>
                </c:pt>
                <c:pt idx="1322">
                  <c:v>66.099999999998388</c:v>
                </c:pt>
                <c:pt idx="1323">
                  <c:v>66.149999999998386</c:v>
                </c:pt>
                <c:pt idx="1324">
                  <c:v>66.199999999998383</c:v>
                </c:pt>
                <c:pt idx="1325">
                  <c:v>66.24999999999838</c:v>
                </c:pt>
                <c:pt idx="1326">
                  <c:v>66.299999999998377</c:v>
                </c:pt>
                <c:pt idx="1327">
                  <c:v>66.349999999998374</c:v>
                </c:pt>
                <c:pt idx="1328">
                  <c:v>66.399999999998371</c:v>
                </c:pt>
                <c:pt idx="1329">
                  <c:v>66.449999999998369</c:v>
                </c:pt>
                <c:pt idx="1330">
                  <c:v>66.499999999998366</c:v>
                </c:pt>
                <c:pt idx="1331">
                  <c:v>66.549999999998363</c:v>
                </c:pt>
                <c:pt idx="1332">
                  <c:v>66.59999999999836</c:v>
                </c:pt>
                <c:pt idx="1333">
                  <c:v>66.649999999998357</c:v>
                </c:pt>
                <c:pt idx="1334">
                  <c:v>66.699999999998354</c:v>
                </c:pt>
                <c:pt idx="1335">
                  <c:v>66.749999999998352</c:v>
                </c:pt>
                <c:pt idx="1336">
                  <c:v>66.799999999998349</c:v>
                </c:pt>
                <c:pt idx="1337">
                  <c:v>66.849999999998346</c:v>
                </c:pt>
                <c:pt idx="1338">
                  <c:v>66.899999999998343</c:v>
                </c:pt>
                <c:pt idx="1339">
                  <c:v>66.94999999999834</c:v>
                </c:pt>
                <c:pt idx="1340">
                  <c:v>66.999999999998337</c:v>
                </c:pt>
                <c:pt idx="1341">
                  <c:v>67.049999999998334</c:v>
                </c:pt>
                <c:pt idx="1342">
                  <c:v>67.099999999998332</c:v>
                </c:pt>
                <c:pt idx="1343">
                  <c:v>67.149999999998329</c:v>
                </c:pt>
                <c:pt idx="1344">
                  <c:v>67.199999999998326</c:v>
                </c:pt>
                <c:pt idx="1345">
                  <c:v>67.249999999998323</c:v>
                </c:pt>
                <c:pt idx="1346">
                  <c:v>67.29999999999832</c:v>
                </c:pt>
                <c:pt idx="1347">
                  <c:v>67.349999999998317</c:v>
                </c:pt>
                <c:pt idx="1348">
                  <c:v>67.399999999998315</c:v>
                </c:pt>
                <c:pt idx="1349">
                  <c:v>67.449999999998312</c:v>
                </c:pt>
                <c:pt idx="1350">
                  <c:v>67.499999999998309</c:v>
                </c:pt>
                <c:pt idx="1351">
                  <c:v>67.549999999998306</c:v>
                </c:pt>
                <c:pt idx="1352">
                  <c:v>67.599999999998303</c:v>
                </c:pt>
                <c:pt idx="1353">
                  <c:v>67.6499999999983</c:v>
                </c:pt>
                <c:pt idx="1354">
                  <c:v>67.699999999998298</c:v>
                </c:pt>
                <c:pt idx="1355">
                  <c:v>67.749999999998295</c:v>
                </c:pt>
                <c:pt idx="1356">
                  <c:v>67.799999999998292</c:v>
                </c:pt>
                <c:pt idx="1357">
                  <c:v>67.849999999998289</c:v>
                </c:pt>
                <c:pt idx="1358">
                  <c:v>67.899999999998286</c:v>
                </c:pt>
                <c:pt idx="1359">
                  <c:v>67.949999999998283</c:v>
                </c:pt>
                <c:pt idx="1360">
                  <c:v>67.99999999999828</c:v>
                </c:pt>
                <c:pt idx="1361">
                  <c:v>68.049999999998278</c:v>
                </c:pt>
                <c:pt idx="1362">
                  <c:v>68.099999999998275</c:v>
                </c:pt>
                <c:pt idx="1363">
                  <c:v>68.149999999998272</c:v>
                </c:pt>
                <c:pt idx="1364">
                  <c:v>68.199999999998269</c:v>
                </c:pt>
                <c:pt idx="1365">
                  <c:v>68.249999999998266</c:v>
                </c:pt>
                <c:pt idx="1366">
                  <c:v>68.299999999998263</c:v>
                </c:pt>
                <c:pt idx="1367">
                  <c:v>68.349999999998261</c:v>
                </c:pt>
                <c:pt idx="1368">
                  <c:v>68.399999999998258</c:v>
                </c:pt>
                <c:pt idx="1369">
                  <c:v>68.449999999998255</c:v>
                </c:pt>
                <c:pt idx="1370">
                  <c:v>68.499999999998252</c:v>
                </c:pt>
                <c:pt idx="1371">
                  <c:v>68.549999999998249</c:v>
                </c:pt>
                <c:pt idx="1372">
                  <c:v>68.599999999998246</c:v>
                </c:pt>
                <c:pt idx="1373">
                  <c:v>68.649999999998244</c:v>
                </c:pt>
                <c:pt idx="1374">
                  <c:v>68.699999999998241</c:v>
                </c:pt>
                <c:pt idx="1375">
                  <c:v>68.749999999998238</c:v>
                </c:pt>
                <c:pt idx="1376">
                  <c:v>68.799999999998235</c:v>
                </c:pt>
                <c:pt idx="1377">
                  <c:v>68.849999999998232</c:v>
                </c:pt>
                <c:pt idx="1378">
                  <c:v>68.899999999998229</c:v>
                </c:pt>
                <c:pt idx="1379">
                  <c:v>68.949999999998226</c:v>
                </c:pt>
                <c:pt idx="1380">
                  <c:v>68.999999999998224</c:v>
                </c:pt>
                <c:pt idx="1381">
                  <c:v>69.049999999998221</c:v>
                </c:pt>
                <c:pt idx="1382">
                  <c:v>69.099999999998218</c:v>
                </c:pt>
                <c:pt idx="1383">
                  <c:v>69.149999999998215</c:v>
                </c:pt>
                <c:pt idx="1384">
                  <c:v>69.199999999998212</c:v>
                </c:pt>
                <c:pt idx="1385">
                  <c:v>69.249999999998209</c:v>
                </c:pt>
                <c:pt idx="1386">
                  <c:v>69.299999999998207</c:v>
                </c:pt>
                <c:pt idx="1387">
                  <c:v>69.349999999998204</c:v>
                </c:pt>
                <c:pt idx="1388">
                  <c:v>69.399999999998201</c:v>
                </c:pt>
                <c:pt idx="1389">
                  <c:v>69.449999999998198</c:v>
                </c:pt>
                <c:pt idx="1390">
                  <c:v>69.499999999998195</c:v>
                </c:pt>
                <c:pt idx="1391">
                  <c:v>69.549999999998192</c:v>
                </c:pt>
                <c:pt idx="1392">
                  <c:v>69.59999999999819</c:v>
                </c:pt>
                <c:pt idx="1393">
                  <c:v>69.649999999998187</c:v>
                </c:pt>
                <c:pt idx="1394">
                  <c:v>69.699999999998184</c:v>
                </c:pt>
                <c:pt idx="1395">
                  <c:v>69.749999999998181</c:v>
                </c:pt>
                <c:pt idx="1396">
                  <c:v>69.799999999998178</c:v>
                </c:pt>
                <c:pt idx="1397">
                  <c:v>69.849999999998175</c:v>
                </c:pt>
                <c:pt idx="1398">
                  <c:v>69.899999999998172</c:v>
                </c:pt>
                <c:pt idx="1399">
                  <c:v>69.94999999999817</c:v>
                </c:pt>
                <c:pt idx="1400">
                  <c:v>69.999999999998167</c:v>
                </c:pt>
                <c:pt idx="1401">
                  <c:v>70.049999999998164</c:v>
                </c:pt>
                <c:pt idx="1402">
                  <c:v>70.099999999998161</c:v>
                </c:pt>
                <c:pt idx="1403">
                  <c:v>70.149999999998158</c:v>
                </c:pt>
                <c:pt idx="1404">
                  <c:v>70.199999999998155</c:v>
                </c:pt>
                <c:pt idx="1405">
                  <c:v>70.249999999998153</c:v>
                </c:pt>
                <c:pt idx="1406">
                  <c:v>70.29999999999815</c:v>
                </c:pt>
                <c:pt idx="1407">
                  <c:v>70.349999999998147</c:v>
                </c:pt>
                <c:pt idx="1408">
                  <c:v>70.399999999998144</c:v>
                </c:pt>
                <c:pt idx="1409">
                  <c:v>70.449999999998141</c:v>
                </c:pt>
                <c:pt idx="1410">
                  <c:v>70.499999999998138</c:v>
                </c:pt>
                <c:pt idx="1411">
                  <c:v>70.549999999998136</c:v>
                </c:pt>
                <c:pt idx="1412">
                  <c:v>70.599999999998133</c:v>
                </c:pt>
                <c:pt idx="1413">
                  <c:v>70.64999999999813</c:v>
                </c:pt>
                <c:pt idx="1414">
                  <c:v>70.699999999998127</c:v>
                </c:pt>
                <c:pt idx="1415">
                  <c:v>70.749999999998124</c:v>
                </c:pt>
                <c:pt idx="1416">
                  <c:v>70.799999999998121</c:v>
                </c:pt>
                <c:pt idx="1417">
                  <c:v>70.849999999998118</c:v>
                </c:pt>
                <c:pt idx="1418">
                  <c:v>70.899999999998116</c:v>
                </c:pt>
                <c:pt idx="1419">
                  <c:v>70.949999999998113</c:v>
                </c:pt>
                <c:pt idx="1420">
                  <c:v>70.99999999999811</c:v>
                </c:pt>
                <c:pt idx="1421">
                  <c:v>71.049999999998107</c:v>
                </c:pt>
                <c:pt idx="1422">
                  <c:v>71.099999999998104</c:v>
                </c:pt>
                <c:pt idx="1423">
                  <c:v>71.149999999998101</c:v>
                </c:pt>
                <c:pt idx="1424">
                  <c:v>71.199999999998099</c:v>
                </c:pt>
                <c:pt idx="1425">
                  <c:v>71.249999999998096</c:v>
                </c:pt>
                <c:pt idx="1426">
                  <c:v>71.299999999998093</c:v>
                </c:pt>
                <c:pt idx="1427">
                  <c:v>71.34999999999809</c:v>
                </c:pt>
                <c:pt idx="1428">
                  <c:v>71.399999999998087</c:v>
                </c:pt>
                <c:pt idx="1429">
                  <c:v>71.449999999998084</c:v>
                </c:pt>
                <c:pt idx="1430">
                  <c:v>71.499999999998082</c:v>
                </c:pt>
                <c:pt idx="1431">
                  <c:v>71.549999999998079</c:v>
                </c:pt>
                <c:pt idx="1432">
                  <c:v>71.599999999998076</c:v>
                </c:pt>
                <c:pt idx="1433">
                  <c:v>71.649999999998073</c:v>
                </c:pt>
                <c:pt idx="1434">
                  <c:v>71.69999999999807</c:v>
                </c:pt>
                <c:pt idx="1435">
                  <c:v>71.749999999998067</c:v>
                </c:pt>
                <c:pt idx="1436">
                  <c:v>71.799999999998064</c:v>
                </c:pt>
                <c:pt idx="1437">
                  <c:v>71.849999999998062</c:v>
                </c:pt>
                <c:pt idx="1438">
                  <c:v>71.899999999998059</c:v>
                </c:pt>
                <c:pt idx="1439">
                  <c:v>71.949999999998056</c:v>
                </c:pt>
                <c:pt idx="1440">
                  <c:v>71.999999999998053</c:v>
                </c:pt>
                <c:pt idx="1441">
                  <c:v>72.04999999999805</c:v>
                </c:pt>
                <c:pt idx="1442">
                  <c:v>72.099999999998047</c:v>
                </c:pt>
                <c:pt idx="1443">
                  <c:v>72.149999999998045</c:v>
                </c:pt>
                <c:pt idx="1444">
                  <c:v>72.199999999998042</c:v>
                </c:pt>
                <c:pt idx="1445">
                  <c:v>72.249999999998039</c:v>
                </c:pt>
                <c:pt idx="1446">
                  <c:v>72.299999999998036</c:v>
                </c:pt>
                <c:pt idx="1447">
                  <c:v>72.349999999998033</c:v>
                </c:pt>
                <c:pt idx="1448">
                  <c:v>72.39999999999803</c:v>
                </c:pt>
                <c:pt idx="1449">
                  <c:v>72.449999999998028</c:v>
                </c:pt>
                <c:pt idx="1450">
                  <c:v>72.499999999998025</c:v>
                </c:pt>
                <c:pt idx="1451">
                  <c:v>72.549999999998022</c:v>
                </c:pt>
                <c:pt idx="1452">
                  <c:v>72.599999999998019</c:v>
                </c:pt>
                <c:pt idx="1453">
                  <c:v>72.649999999998016</c:v>
                </c:pt>
                <c:pt idx="1454">
                  <c:v>72.699999999998013</c:v>
                </c:pt>
                <c:pt idx="1455">
                  <c:v>72.74999999999801</c:v>
                </c:pt>
                <c:pt idx="1456">
                  <c:v>72.799999999998008</c:v>
                </c:pt>
                <c:pt idx="1457">
                  <c:v>72.849999999998005</c:v>
                </c:pt>
                <c:pt idx="1458">
                  <c:v>72.899999999998002</c:v>
                </c:pt>
                <c:pt idx="1459">
                  <c:v>72.949999999997999</c:v>
                </c:pt>
                <c:pt idx="1460">
                  <c:v>72.999999999997996</c:v>
                </c:pt>
                <c:pt idx="1461">
                  <c:v>73.049999999997993</c:v>
                </c:pt>
                <c:pt idx="1462">
                  <c:v>73.099999999997991</c:v>
                </c:pt>
                <c:pt idx="1463">
                  <c:v>73.149999999997988</c:v>
                </c:pt>
                <c:pt idx="1464">
                  <c:v>73.199999999997985</c:v>
                </c:pt>
                <c:pt idx="1465">
                  <c:v>73.249999999997982</c:v>
                </c:pt>
                <c:pt idx="1466">
                  <c:v>73.299999999997979</c:v>
                </c:pt>
                <c:pt idx="1467">
                  <c:v>73.349999999997976</c:v>
                </c:pt>
                <c:pt idx="1468">
                  <c:v>73.399999999997974</c:v>
                </c:pt>
                <c:pt idx="1469">
                  <c:v>73.449999999997971</c:v>
                </c:pt>
                <c:pt idx="1470">
                  <c:v>73.499999999997968</c:v>
                </c:pt>
                <c:pt idx="1471">
                  <c:v>73.549999999997965</c:v>
                </c:pt>
                <c:pt idx="1472">
                  <c:v>73.599999999997962</c:v>
                </c:pt>
                <c:pt idx="1473">
                  <c:v>73.649999999997959</c:v>
                </c:pt>
                <c:pt idx="1474">
                  <c:v>73.699999999997956</c:v>
                </c:pt>
                <c:pt idx="1475">
                  <c:v>73.749999999997954</c:v>
                </c:pt>
                <c:pt idx="1476">
                  <c:v>73.799999999997951</c:v>
                </c:pt>
                <c:pt idx="1477">
                  <c:v>73.849999999997948</c:v>
                </c:pt>
                <c:pt idx="1478">
                  <c:v>73.899999999997945</c:v>
                </c:pt>
                <c:pt idx="1479">
                  <c:v>73.949999999997942</c:v>
                </c:pt>
                <c:pt idx="1480">
                  <c:v>73.999999999997939</c:v>
                </c:pt>
                <c:pt idx="1481">
                  <c:v>74.049999999997937</c:v>
                </c:pt>
                <c:pt idx="1482">
                  <c:v>74.099999999997934</c:v>
                </c:pt>
                <c:pt idx="1483">
                  <c:v>74.149999999997931</c:v>
                </c:pt>
                <c:pt idx="1484">
                  <c:v>74.199999999997928</c:v>
                </c:pt>
                <c:pt idx="1485">
                  <c:v>74.249999999997925</c:v>
                </c:pt>
                <c:pt idx="1486">
                  <c:v>74.299999999997922</c:v>
                </c:pt>
                <c:pt idx="1487">
                  <c:v>74.34999999999792</c:v>
                </c:pt>
                <c:pt idx="1488">
                  <c:v>74.399999999997917</c:v>
                </c:pt>
                <c:pt idx="1489">
                  <c:v>74.449999999997914</c:v>
                </c:pt>
                <c:pt idx="1490">
                  <c:v>74.499999999997911</c:v>
                </c:pt>
                <c:pt idx="1491">
                  <c:v>74.549999999997908</c:v>
                </c:pt>
                <c:pt idx="1492">
                  <c:v>74.599999999997905</c:v>
                </c:pt>
                <c:pt idx="1493">
                  <c:v>74.649999999997902</c:v>
                </c:pt>
                <c:pt idx="1494">
                  <c:v>74.6999999999979</c:v>
                </c:pt>
                <c:pt idx="1495">
                  <c:v>74.749999999997897</c:v>
                </c:pt>
                <c:pt idx="1496">
                  <c:v>74.799999999997894</c:v>
                </c:pt>
                <c:pt idx="1497">
                  <c:v>74.849999999997891</c:v>
                </c:pt>
                <c:pt idx="1498">
                  <c:v>74.899999999997888</c:v>
                </c:pt>
                <c:pt idx="1499">
                  <c:v>74.949999999997885</c:v>
                </c:pt>
                <c:pt idx="1500">
                  <c:v>74.999999999997883</c:v>
                </c:pt>
                <c:pt idx="1501">
                  <c:v>75.04999999999788</c:v>
                </c:pt>
                <c:pt idx="1502">
                  <c:v>75.099999999997877</c:v>
                </c:pt>
                <c:pt idx="1503">
                  <c:v>75.149999999997874</c:v>
                </c:pt>
                <c:pt idx="1504">
                  <c:v>75.199999999997871</c:v>
                </c:pt>
                <c:pt idx="1505">
                  <c:v>75.249999999997868</c:v>
                </c:pt>
                <c:pt idx="1506">
                  <c:v>75.299999999997866</c:v>
                </c:pt>
                <c:pt idx="1507">
                  <c:v>75.349999999997863</c:v>
                </c:pt>
                <c:pt idx="1508">
                  <c:v>75.39999999999786</c:v>
                </c:pt>
                <c:pt idx="1509">
                  <c:v>75.449999999997857</c:v>
                </c:pt>
                <c:pt idx="1510">
                  <c:v>75.499999999997854</c:v>
                </c:pt>
                <c:pt idx="1511">
                  <c:v>75.549999999997851</c:v>
                </c:pt>
                <c:pt idx="1512">
                  <c:v>75.599999999997848</c:v>
                </c:pt>
                <c:pt idx="1513">
                  <c:v>75.649999999997846</c:v>
                </c:pt>
                <c:pt idx="1514">
                  <c:v>75.699999999997843</c:v>
                </c:pt>
                <c:pt idx="1515">
                  <c:v>75.74999999999784</c:v>
                </c:pt>
                <c:pt idx="1516">
                  <c:v>75.799999999997837</c:v>
                </c:pt>
                <c:pt idx="1517">
                  <c:v>75.849999999997834</c:v>
                </c:pt>
                <c:pt idx="1518">
                  <c:v>75.899999999997831</c:v>
                </c:pt>
                <c:pt idx="1519">
                  <c:v>75.949999999997829</c:v>
                </c:pt>
                <c:pt idx="1520">
                  <c:v>75.999999999997826</c:v>
                </c:pt>
                <c:pt idx="1521">
                  <c:v>76.049999999997823</c:v>
                </c:pt>
                <c:pt idx="1522">
                  <c:v>76.09999999999782</c:v>
                </c:pt>
                <c:pt idx="1523">
                  <c:v>76.149999999997817</c:v>
                </c:pt>
                <c:pt idx="1524">
                  <c:v>76.199999999997814</c:v>
                </c:pt>
                <c:pt idx="1525">
                  <c:v>76.249999999997812</c:v>
                </c:pt>
                <c:pt idx="1526">
                  <c:v>76.299999999997809</c:v>
                </c:pt>
                <c:pt idx="1527">
                  <c:v>76.349999999997806</c:v>
                </c:pt>
                <c:pt idx="1528">
                  <c:v>76.399999999997803</c:v>
                </c:pt>
                <c:pt idx="1529">
                  <c:v>76.4499999999978</c:v>
                </c:pt>
                <c:pt idx="1530">
                  <c:v>76.499999999997797</c:v>
                </c:pt>
                <c:pt idx="1531">
                  <c:v>76.549999999997794</c:v>
                </c:pt>
                <c:pt idx="1532">
                  <c:v>76.599999999997792</c:v>
                </c:pt>
                <c:pt idx="1533">
                  <c:v>76.649999999997789</c:v>
                </c:pt>
                <c:pt idx="1534">
                  <c:v>76.699999999997786</c:v>
                </c:pt>
                <c:pt idx="1535">
                  <c:v>76.749999999997783</c:v>
                </c:pt>
                <c:pt idx="1536">
                  <c:v>76.79999999999778</c:v>
                </c:pt>
                <c:pt idx="1537">
                  <c:v>76.849999999997777</c:v>
                </c:pt>
                <c:pt idx="1538">
                  <c:v>76.899999999997775</c:v>
                </c:pt>
                <c:pt idx="1539">
                  <c:v>76.949999999997772</c:v>
                </c:pt>
                <c:pt idx="1540">
                  <c:v>76.999999999997769</c:v>
                </c:pt>
                <c:pt idx="1541">
                  <c:v>77.049999999997766</c:v>
                </c:pt>
                <c:pt idx="1542">
                  <c:v>77.099999999997763</c:v>
                </c:pt>
                <c:pt idx="1543">
                  <c:v>77.14999999999776</c:v>
                </c:pt>
                <c:pt idx="1544">
                  <c:v>77.199999999997758</c:v>
                </c:pt>
                <c:pt idx="1545">
                  <c:v>77.249999999997755</c:v>
                </c:pt>
                <c:pt idx="1546">
                  <c:v>77.299999999997752</c:v>
                </c:pt>
                <c:pt idx="1547">
                  <c:v>77.349999999997749</c:v>
                </c:pt>
                <c:pt idx="1548">
                  <c:v>77.399999999997746</c:v>
                </c:pt>
                <c:pt idx="1549">
                  <c:v>77.449999999997743</c:v>
                </c:pt>
                <c:pt idx="1550">
                  <c:v>77.49999999999774</c:v>
                </c:pt>
                <c:pt idx="1551">
                  <c:v>77.549999999997738</c:v>
                </c:pt>
                <c:pt idx="1552">
                  <c:v>77.599999999997735</c:v>
                </c:pt>
                <c:pt idx="1553">
                  <c:v>77.649999999997732</c:v>
                </c:pt>
                <c:pt idx="1554">
                  <c:v>77.699999999997729</c:v>
                </c:pt>
                <c:pt idx="1555">
                  <c:v>77.749999999997726</c:v>
                </c:pt>
                <c:pt idx="1556">
                  <c:v>77.799999999997723</c:v>
                </c:pt>
                <c:pt idx="1557">
                  <c:v>77.849999999997721</c:v>
                </c:pt>
                <c:pt idx="1558">
                  <c:v>77.899999999997718</c:v>
                </c:pt>
                <c:pt idx="1559">
                  <c:v>77.949999999997715</c:v>
                </c:pt>
                <c:pt idx="1560">
                  <c:v>77.999999999997712</c:v>
                </c:pt>
                <c:pt idx="1561">
                  <c:v>78.049999999997709</c:v>
                </c:pt>
                <c:pt idx="1562">
                  <c:v>78.099999999997706</c:v>
                </c:pt>
                <c:pt idx="1563">
                  <c:v>78.149999999997704</c:v>
                </c:pt>
                <c:pt idx="1564">
                  <c:v>78.199999999997701</c:v>
                </c:pt>
                <c:pt idx="1565">
                  <c:v>78.249999999997698</c:v>
                </c:pt>
                <c:pt idx="1566">
                  <c:v>78.299999999997695</c:v>
                </c:pt>
                <c:pt idx="1567">
                  <c:v>78.349999999997692</c:v>
                </c:pt>
                <c:pt idx="1568">
                  <c:v>78.399999999997689</c:v>
                </c:pt>
                <c:pt idx="1569">
                  <c:v>78.449999999997686</c:v>
                </c:pt>
                <c:pt idx="1570">
                  <c:v>78.499999999997684</c:v>
                </c:pt>
                <c:pt idx="1571">
                  <c:v>78.549999999997681</c:v>
                </c:pt>
                <c:pt idx="1572">
                  <c:v>78.599999999997678</c:v>
                </c:pt>
                <c:pt idx="1573">
                  <c:v>78.649999999997675</c:v>
                </c:pt>
                <c:pt idx="1574">
                  <c:v>78.699999999997672</c:v>
                </c:pt>
                <c:pt idx="1575">
                  <c:v>78.749999999997669</c:v>
                </c:pt>
                <c:pt idx="1576">
                  <c:v>78.799999999997667</c:v>
                </c:pt>
                <c:pt idx="1577">
                  <c:v>78.849999999997664</c:v>
                </c:pt>
                <c:pt idx="1578">
                  <c:v>78.899999999997661</c:v>
                </c:pt>
                <c:pt idx="1579">
                  <c:v>78.949999999997658</c:v>
                </c:pt>
                <c:pt idx="1580">
                  <c:v>78.999999999997655</c:v>
                </c:pt>
                <c:pt idx="1581">
                  <c:v>79.049999999997652</c:v>
                </c:pt>
                <c:pt idx="1582">
                  <c:v>79.09999999999765</c:v>
                </c:pt>
                <c:pt idx="1583">
                  <c:v>79.149999999997647</c:v>
                </c:pt>
                <c:pt idx="1584">
                  <c:v>79.199999999997644</c:v>
                </c:pt>
                <c:pt idx="1585">
                  <c:v>79.249999999997641</c:v>
                </c:pt>
                <c:pt idx="1586">
                  <c:v>79.299999999997638</c:v>
                </c:pt>
                <c:pt idx="1587">
                  <c:v>79.349999999997635</c:v>
                </c:pt>
                <c:pt idx="1588">
                  <c:v>79.399999999997632</c:v>
                </c:pt>
                <c:pt idx="1589">
                  <c:v>79.44999999999763</c:v>
                </c:pt>
                <c:pt idx="1590">
                  <c:v>79.499999999997627</c:v>
                </c:pt>
                <c:pt idx="1591">
                  <c:v>79.549999999997624</c:v>
                </c:pt>
                <c:pt idx="1592">
                  <c:v>79.599999999997621</c:v>
                </c:pt>
                <c:pt idx="1593">
                  <c:v>79.649999999997618</c:v>
                </c:pt>
                <c:pt idx="1594">
                  <c:v>79.699999999997615</c:v>
                </c:pt>
                <c:pt idx="1595">
                  <c:v>79.749999999997613</c:v>
                </c:pt>
                <c:pt idx="1596">
                  <c:v>79.79999999999761</c:v>
                </c:pt>
                <c:pt idx="1597">
                  <c:v>79.849999999997607</c:v>
                </c:pt>
                <c:pt idx="1598">
                  <c:v>79.899999999997604</c:v>
                </c:pt>
                <c:pt idx="1599">
                  <c:v>79.949999999997601</c:v>
                </c:pt>
                <c:pt idx="1600">
                  <c:v>79.999999999997598</c:v>
                </c:pt>
                <c:pt idx="1601">
                  <c:v>80.049999999997596</c:v>
                </c:pt>
                <c:pt idx="1602">
                  <c:v>80.099999999997593</c:v>
                </c:pt>
                <c:pt idx="1603">
                  <c:v>80.14999999999759</c:v>
                </c:pt>
                <c:pt idx="1604">
                  <c:v>80.199999999997587</c:v>
                </c:pt>
                <c:pt idx="1605">
                  <c:v>80.249999999997584</c:v>
                </c:pt>
                <c:pt idx="1606">
                  <c:v>80.299999999997581</c:v>
                </c:pt>
                <c:pt idx="1607">
                  <c:v>80.349999999997578</c:v>
                </c:pt>
                <c:pt idx="1608">
                  <c:v>80.399999999997576</c:v>
                </c:pt>
                <c:pt idx="1609">
                  <c:v>80.449999999997573</c:v>
                </c:pt>
                <c:pt idx="1610">
                  <c:v>80.49999999999757</c:v>
                </c:pt>
                <c:pt idx="1611">
                  <c:v>80.549999999997567</c:v>
                </c:pt>
                <c:pt idx="1612">
                  <c:v>80.599999999997564</c:v>
                </c:pt>
                <c:pt idx="1613">
                  <c:v>80.649999999997561</c:v>
                </c:pt>
                <c:pt idx="1614">
                  <c:v>80.699999999997559</c:v>
                </c:pt>
                <c:pt idx="1615">
                  <c:v>80.749999999997556</c:v>
                </c:pt>
                <c:pt idx="1616">
                  <c:v>80.799999999997553</c:v>
                </c:pt>
                <c:pt idx="1617">
                  <c:v>80.84999999999755</c:v>
                </c:pt>
                <c:pt idx="1618">
                  <c:v>80.899999999997547</c:v>
                </c:pt>
                <c:pt idx="1619">
                  <c:v>80.949999999997544</c:v>
                </c:pt>
                <c:pt idx="1620">
                  <c:v>80.999999999997542</c:v>
                </c:pt>
                <c:pt idx="1621">
                  <c:v>81.049999999997539</c:v>
                </c:pt>
                <c:pt idx="1622">
                  <c:v>81.099999999997536</c:v>
                </c:pt>
                <c:pt idx="1623">
                  <c:v>81.149999999997533</c:v>
                </c:pt>
                <c:pt idx="1624">
                  <c:v>81.19999999999753</c:v>
                </c:pt>
                <c:pt idx="1625">
                  <c:v>81.249999999997527</c:v>
                </c:pt>
                <c:pt idx="1626">
                  <c:v>81.299999999997524</c:v>
                </c:pt>
                <c:pt idx="1627">
                  <c:v>81.349999999997522</c:v>
                </c:pt>
                <c:pt idx="1628">
                  <c:v>81.399999999997519</c:v>
                </c:pt>
                <c:pt idx="1629">
                  <c:v>81.449999999997516</c:v>
                </c:pt>
                <c:pt idx="1630">
                  <c:v>81.499999999997513</c:v>
                </c:pt>
                <c:pt idx="1631">
                  <c:v>81.54999999999751</c:v>
                </c:pt>
                <c:pt idx="1632">
                  <c:v>81.599999999997507</c:v>
                </c:pt>
                <c:pt idx="1633">
                  <c:v>81.649999999997505</c:v>
                </c:pt>
                <c:pt idx="1634">
                  <c:v>81.699999999997502</c:v>
                </c:pt>
                <c:pt idx="1635">
                  <c:v>81.749999999997499</c:v>
                </c:pt>
                <c:pt idx="1636">
                  <c:v>81.799999999997496</c:v>
                </c:pt>
                <c:pt idx="1637">
                  <c:v>81.849999999997493</c:v>
                </c:pt>
                <c:pt idx="1638">
                  <c:v>81.89999999999749</c:v>
                </c:pt>
                <c:pt idx="1639">
                  <c:v>81.949999999997488</c:v>
                </c:pt>
                <c:pt idx="1640">
                  <c:v>81.999999999997485</c:v>
                </c:pt>
                <c:pt idx="1641">
                  <c:v>82.049999999997482</c:v>
                </c:pt>
                <c:pt idx="1642">
                  <c:v>82.099999999997479</c:v>
                </c:pt>
                <c:pt idx="1643">
                  <c:v>82.149999999997476</c:v>
                </c:pt>
                <c:pt idx="1644">
                  <c:v>82.199999999997473</c:v>
                </c:pt>
                <c:pt idx="1645">
                  <c:v>82.24999999999747</c:v>
                </c:pt>
                <c:pt idx="1646">
                  <c:v>82.299999999997468</c:v>
                </c:pt>
                <c:pt idx="1647">
                  <c:v>82.349999999997465</c:v>
                </c:pt>
                <c:pt idx="1648">
                  <c:v>82.399999999997462</c:v>
                </c:pt>
                <c:pt idx="1649">
                  <c:v>82.449999999997459</c:v>
                </c:pt>
                <c:pt idx="1650">
                  <c:v>82.499999999997456</c:v>
                </c:pt>
                <c:pt idx="1651">
                  <c:v>82.549999999997453</c:v>
                </c:pt>
                <c:pt idx="1652">
                  <c:v>82.599999999997451</c:v>
                </c:pt>
                <c:pt idx="1653">
                  <c:v>82.649999999997448</c:v>
                </c:pt>
                <c:pt idx="1654">
                  <c:v>82.699999999997445</c:v>
                </c:pt>
                <c:pt idx="1655">
                  <c:v>82.749999999997442</c:v>
                </c:pt>
                <c:pt idx="1656">
                  <c:v>82.799999999997439</c:v>
                </c:pt>
                <c:pt idx="1657">
                  <c:v>82.849999999997436</c:v>
                </c:pt>
                <c:pt idx="1658">
                  <c:v>82.899999999997434</c:v>
                </c:pt>
                <c:pt idx="1659">
                  <c:v>82.949999999997431</c:v>
                </c:pt>
                <c:pt idx="1660">
                  <c:v>82.999999999997428</c:v>
                </c:pt>
                <c:pt idx="1661">
                  <c:v>83.049999999997425</c:v>
                </c:pt>
                <c:pt idx="1662">
                  <c:v>83.099999999997422</c:v>
                </c:pt>
                <c:pt idx="1663">
                  <c:v>83.149999999997419</c:v>
                </c:pt>
                <c:pt idx="1664">
                  <c:v>83.199999999997416</c:v>
                </c:pt>
                <c:pt idx="1665">
                  <c:v>83.249999999997414</c:v>
                </c:pt>
                <c:pt idx="1666">
                  <c:v>83.299999999997411</c:v>
                </c:pt>
                <c:pt idx="1667">
                  <c:v>83.349999999997408</c:v>
                </c:pt>
                <c:pt idx="1668">
                  <c:v>83.399999999997405</c:v>
                </c:pt>
                <c:pt idx="1669">
                  <c:v>83.449999999997402</c:v>
                </c:pt>
                <c:pt idx="1670">
                  <c:v>83.499999999997399</c:v>
                </c:pt>
                <c:pt idx="1671">
                  <c:v>83.549999999997397</c:v>
                </c:pt>
                <c:pt idx="1672">
                  <c:v>83.599999999997394</c:v>
                </c:pt>
                <c:pt idx="1673">
                  <c:v>83.649999999997391</c:v>
                </c:pt>
                <c:pt idx="1674">
                  <c:v>83.699999999997388</c:v>
                </c:pt>
                <c:pt idx="1675">
                  <c:v>83.749999999997385</c:v>
                </c:pt>
                <c:pt idx="1676">
                  <c:v>83.799999999997382</c:v>
                </c:pt>
                <c:pt idx="1677">
                  <c:v>83.84999999999738</c:v>
                </c:pt>
                <c:pt idx="1678">
                  <c:v>83.899999999997377</c:v>
                </c:pt>
                <c:pt idx="1679">
                  <c:v>83.949999999997374</c:v>
                </c:pt>
                <c:pt idx="1680">
                  <c:v>83.999999999997371</c:v>
                </c:pt>
                <c:pt idx="1681">
                  <c:v>84.049999999997368</c:v>
                </c:pt>
                <c:pt idx="1682">
                  <c:v>84.099999999997365</c:v>
                </c:pt>
                <c:pt idx="1683">
                  <c:v>84.149999999997362</c:v>
                </c:pt>
                <c:pt idx="1684">
                  <c:v>84.19999999999736</c:v>
                </c:pt>
                <c:pt idx="1685">
                  <c:v>84.249999999997357</c:v>
                </c:pt>
                <c:pt idx="1686">
                  <c:v>84.299999999997354</c:v>
                </c:pt>
                <c:pt idx="1687">
                  <c:v>84.349999999997351</c:v>
                </c:pt>
                <c:pt idx="1688">
                  <c:v>84.399999999997348</c:v>
                </c:pt>
                <c:pt idx="1689">
                  <c:v>84.449999999997345</c:v>
                </c:pt>
                <c:pt idx="1690">
                  <c:v>84.499999999997343</c:v>
                </c:pt>
                <c:pt idx="1691">
                  <c:v>84.54999999999734</c:v>
                </c:pt>
                <c:pt idx="1692">
                  <c:v>84.599999999997337</c:v>
                </c:pt>
                <c:pt idx="1693">
                  <c:v>84.649999999997334</c:v>
                </c:pt>
                <c:pt idx="1694">
                  <c:v>84.699999999997331</c:v>
                </c:pt>
                <c:pt idx="1695">
                  <c:v>84.749999999997328</c:v>
                </c:pt>
                <c:pt idx="1696">
                  <c:v>84.799999999997326</c:v>
                </c:pt>
                <c:pt idx="1697">
                  <c:v>84.849999999997323</c:v>
                </c:pt>
                <c:pt idx="1698">
                  <c:v>84.89999999999732</c:v>
                </c:pt>
                <c:pt idx="1699">
                  <c:v>84.949999999997317</c:v>
                </c:pt>
                <c:pt idx="1700">
                  <c:v>84.999999999997314</c:v>
                </c:pt>
                <c:pt idx="1701">
                  <c:v>85.049999999997311</c:v>
                </c:pt>
                <c:pt idx="1702">
                  <c:v>85.099999999997308</c:v>
                </c:pt>
                <c:pt idx="1703">
                  <c:v>85.149999999997306</c:v>
                </c:pt>
                <c:pt idx="1704">
                  <c:v>85.199999999997303</c:v>
                </c:pt>
                <c:pt idx="1705">
                  <c:v>85.2499999999973</c:v>
                </c:pt>
                <c:pt idx="1706">
                  <c:v>85.299999999997297</c:v>
                </c:pt>
                <c:pt idx="1707">
                  <c:v>85.349999999997294</c:v>
                </c:pt>
                <c:pt idx="1708">
                  <c:v>85.399999999997291</c:v>
                </c:pt>
                <c:pt idx="1709">
                  <c:v>85.449999999997289</c:v>
                </c:pt>
                <c:pt idx="1710">
                  <c:v>85.499999999997286</c:v>
                </c:pt>
                <c:pt idx="1711">
                  <c:v>85.549999999997283</c:v>
                </c:pt>
                <c:pt idx="1712">
                  <c:v>85.59999999999728</c:v>
                </c:pt>
                <c:pt idx="1713">
                  <c:v>85.649999999997277</c:v>
                </c:pt>
                <c:pt idx="1714">
                  <c:v>85.699999999997274</c:v>
                </c:pt>
                <c:pt idx="1715">
                  <c:v>85.749999999997272</c:v>
                </c:pt>
                <c:pt idx="1716">
                  <c:v>85.799999999997269</c:v>
                </c:pt>
                <c:pt idx="1717">
                  <c:v>85.849999999997266</c:v>
                </c:pt>
                <c:pt idx="1718">
                  <c:v>85.899999999997263</c:v>
                </c:pt>
                <c:pt idx="1719">
                  <c:v>85.94999999999726</c:v>
                </c:pt>
                <c:pt idx="1720">
                  <c:v>85.999999999997257</c:v>
                </c:pt>
                <c:pt idx="1721">
                  <c:v>86.049999999997254</c:v>
                </c:pt>
                <c:pt idx="1722">
                  <c:v>86.099999999997252</c:v>
                </c:pt>
                <c:pt idx="1723">
                  <c:v>86.149999999997249</c:v>
                </c:pt>
                <c:pt idx="1724">
                  <c:v>86.199999999997246</c:v>
                </c:pt>
                <c:pt idx="1725">
                  <c:v>86.249999999997243</c:v>
                </c:pt>
                <c:pt idx="1726">
                  <c:v>86.29999999999724</c:v>
                </c:pt>
                <c:pt idx="1727">
                  <c:v>86.349999999997237</c:v>
                </c:pt>
                <c:pt idx="1728">
                  <c:v>86.399999999997235</c:v>
                </c:pt>
                <c:pt idx="1729">
                  <c:v>86.449999999997232</c:v>
                </c:pt>
                <c:pt idx="1730">
                  <c:v>86.499999999997229</c:v>
                </c:pt>
                <c:pt idx="1731">
                  <c:v>86.549999999997226</c:v>
                </c:pt>
                <c:pt idx="1732">
                  <c:v>86.599999999997223</c:v>
                </c:pt>
                <c:pt idx="1733">
                  <c:v>86.64999999999722</c:v>
                </c:pt>
                <c:pt idx="1734">
                  <c:v>86.699999999997218</c:v>
                </c:pt>
                <c:pt idx="1735">
                  <c:v>86.749999999997215</c:v>
                </c:pt>
                <c:pt idx="1736">
                  <c:v>86.799999999997212</c:v>
                </c:pt>
                <c:pt idx="1737">
                  <c:v>86.849999999997209</c:v>
                </c:pt>
                <c:pt idx="1738">
                  <c:v>86.899999999997206</c:v>
                </c:pt>
                <c:pt idx="1739">
                  <c:v>86.949999999997203</c:v>
                </c:pt>
                <c:pt idx="1740">
                  <c:v>86.9999999999972</c:v>
                </c:pt>
                <c:pt idx="1741">
                  <c:v>87.049999999997198</c:v>
                </c:pt>
                <c:pt idx="1742">
                  <c:v>87.099999999997195</c:v>
                </c:pt>
                <c:pt idx="1743">
                  <c:v>87.149999999997192</c:v>
                </c:pt>
                <c:pt idx="1744">
                  <c:v>87.199999999997189</c:v>
                </c:pt>
                <c:pt idx="1745">
                  <c:v>87.249999999997186</c:v>
                </c:pt>
                <c:pt idx="1746">
                  <c:v>87.299999999997183</c:v>
                </c:pt>
                <c:pt idx="1747">
                  <c:v>87.349999999997181</c:v>
                </c:pt>
                <c:pt idx="1748">
                  <c:v>87.399999999997178</c:v>
                </c:pt>
                <c:pt idx="1749">
                  <c:v>87.449999999997175</c:v>
                </c:pt>
                <c:pt idx="1750">
                  <c:v>87.499999999997172</c:v>
                </c:pt>
                <c:pt idx="1751">
                  <c:v>87.549999999997169</c:v>
                </c:pt>
                <c:pt idx="1752">
                  <c:v>87.599999999997166</c:v>
                </c:pt>
                <c:pt idx="1753">
                  <c:v>87.649999999997164</c:v>
                </c:pt>
                <c:pt idx="1754">
                  <c:v>87.699999999997161</c:v>
                </c:pt>
                <c:pt idx="1755">
                  <c:v>87.749999999997158</c:v>
                </c:pt>
                <c:pt idx="1756">
                  <c:v>87.799999999997155</c:v>
                </c:pt>
                <c:pt idx="1757">
                  <c:v>87.849999999997152</c:v>
                </c:pt>
                <c:pt idx="1758">
                  <c:v>87.899999999997149</c:v>
                </c:pt>
                <c:pt idx="1759">
                  <c:v>87.949999999997146</c:v>
                </c:pt>
                <c:pt idx="1760">
                  <c:v>87.999999999997144</c:v>
                </c:pt>
                <c:pt idx="1761">
                  <c:v>88.049999999997141</c:v>
                </c:pt>
                <c:pt idx="1762">
                  <c:v>88.099999999997138</c:v>
                </c:pt>
                <c:pt idx="1763">
                  <c:v>88.149999999997135</c:v>
                </c:pt>
                <c:pt idx="1764">
                  <c:v>88.199999999997132</c:v>
                </c:pt>
                <c:pt idx="1765">
                  <c:v>88.249999999997129</c:v>
                </c:pt>
                <c:pt idx="1766">
                  <c:v>88.299999999997127</c:v>
                </c:pt>
                <c:pt idx="1767">
                  <c:v>88.349999999997124</c:v>
                </c:pt>
                <c:pt idx="1768">
                  <c:v>88.399999999997121</c:v>
                </c:pt>
                <c:pt idx="1769">
                  <c:v>88.449999999997118</c:v>
                </c:pt>
                <c:pt idx="1770">
                  <c:v>88.499999999997115</c:v>
                </c:pt>
                <c:pt idx="1771">
                  <c:v>88.549999999997112</c:v>
                </c:pt>
                <c:pt idx="1772">
                  <c:v>88.59999999999711</c:v>
                </c:pt>
                <c:pt idx="1773">
                  <c:v>88.649999999997107</c:v>
                </c:pt>
                <c:pt idx="1774">
                  <c:v>88.699999999997104</c:v>
                </c:pt>
                <c:pt idx="1775">
                  <c:v>88.749999999997101</c:v>
                </c:pt>
                <c:pt idx="1776">
                  <c:v>88.799999999997098</c:v>
                </c:pt>
                <c:pt idx="1777">
                  <c:v>88.849999999997095</c:v>
                </c:pt>
                <c:pt idx="1778">
                  <c:v>88.899999999997092</c:v>
                </c:pt>
                <c:pt idx="1779">
                  <c:v>88.94999999999709</c:v>
                </c:pt>
                <c:pt idx="1780">
                  <c:v>88.999999999997087</c:v>
                </c:pt>
                <c:pt idx="1781">
                  <c:v>89.049999999997084</c:v>
                </c:pt>
                <c:pt idx="1782">
                  <c:v>89.099999999997081</c:v>
                </c:pt>
                <c:pt idx="1783">
                  <c:v>89.149999999997078</c:v>
                </c:pt>
                <c:pt idx="1784">
                  <c:v>89.199999999997075</c:v>
                </c:pt>
                <c:pt idx="1785">
                  <c:v>89.249999999997073</c:v>
                </c:pt>
                <c:pt idx="1786">
                  <c:v>89.29999999999707</c:v>
                </c:pt>
                <c:pt idx="1787">
                  <c:v>89.349999999997067</c:v>
                </c:pt>
                <c:pt idx="1788">
                  <c:v>89.399999999997064</c:v>
                </c:pt>
                <c:pt idx="1789">
                  <c:v>89.449999999997061</c:v>
                </c:pt>
                <c:pt idx="1790">
                  <c:v>89.499999999997058</c:v>
                </c:pt>
                <c:pt idx="1791">
                  <c:v>89.549999999997056</c:v>
                </c:pt>
                <c:pt idx="1792">
                  <c:v>89.599999999997053</c:v>
                </c:pt>
                <c:pt idx="1793">
                  <c:v>89.64999999999705</c:v>
                </c:pt>
                <c:pt idx="1794">
                  <c:v>89.699999999997047</c:v>
                </c:pt>
                <c:pt idx="1795">
                  <c:v>89.749999999997044</c:v>
                </c:pt>
                <c:pt idx="1796">
                  <c:v>89.799999999997041</c:v>
                </c:pt>
                <c:pt idx="1797">
                  <c:v>89.849999999997038</c:v>
                </c:pt>
                <c:pt idx="1798">
                  <c:v>89.899999999997036</c:v>
                </c:pt>
                <c:pt idx="1799">
                  <c:v>89.949999999997033</c:v>
                </c:pt>
                <c:pt idx="1800">
                  <c:v>89.99999999999703</c:v>
                </c:pt>
                <c:pt idx="1801">
                  <c:v>90.049999999997027</c:v>
                </c:pt>
                <c:pt idx="1802">
                  <c:v>90.099999999997024</c:v>
                </c:pt>
                <c:pt idx="1803">
                  <c:v>90.149999999997021</c:v>
                </c:pt>
                <c:pt idx="1804">
                  <c:v>90.199999999997019</c:v>
                </c:pt>
                <c:pt idx="1805">
                  <c:v>90.249999999997016</c:v>
                </c:pt>
                <c:pt idx="1806">
                  <c:v>90.299999999997013</c:v>
                </c:pt>
                <c:pt idx="1807">
                  <c:v>90.34999999999701</c:v>
                </c:pt>
                <c:pt idx="1808">
                  <c:v>90.399999999997007</c:v>
                </c:pt>
                <c:pt idx="1809">
                  <c:v>90.449999999997004</c:v>
                </c:pt>
                <c:pt idx="1810">
                  <c:v>90.499999999997002</c:v>
                </c:pt>
                <c:pt idx="1811">
                  <c:v>90.549999999996999</c:v>
                </c:pt>
                <c:pt idx="1812">
                  <c:v>90.599999999996996</c:v>
                </c:pt>
                <c:pt idx="1813">
                  <c:v>90.649999999996993</c:v>
                </c:pt>
                <c:pt idx="1814">
                  <c:v>90.69999999999699</c:v>
                </c:pt>
                <c:pt idx="1815">
                  <c:v>90.749999999996987</c:v>
                </c:pt>
                <c:pt idx="1816">
                  <c:v>90.799999999996984</c:v>
                </c:pt>
                <c:pt idx="1817">
                  <c:v>90.849999999996982</c:v>
                </c:pt>
                <c:pt idx="1818">
                  <c:v>90.899999999996979</c:v>
                </c:pt>
                <c:pt idx="1819">
                  <c:v>90.949999999996976</c:v>
                </c:pt>
                <c:pt idx="1820">
                  <c:v>90.999999999996973</c:v>
                </c:pt>
                <c:pt idx="1821">
                  <c:v>91.04999999999697</c:v>
                </c:pt>
                <c:pt idx="1822">
                  <c:v>91.099999999996967</c:v>
                </c:pt>
                <c:pt idx="1823">
                  <c:v>91.149999999996965</c:v>
                </c:pt>
                <c:pt idx="1824">
                  <c:v>91.199999999996962</c:v>
                </c:pt>
                <c:pt idx="1825">
                  <c:v>91.249999999996959</c:v>
                </c:pt>
                <c:pt idx="1826">
                  <c:v>91.299999999996956</c:v>
                </c:pt>
                <c:pt idx="1827">
                  <c:v>91.349999999996953</c:v>
                </c:pt>
                <c:pt idx="1828">
                  <c:v>91.39999999999695</c:v>
                </c:pt>
                <c:pt idx="1829">
                  <c:v>91.449999999996948</c:v>
                </c:pt>
                <c:pt idx="1830">
                  <c:v>91.499999999996945</c:v>
                </c:pt>
                <c:pt idx="1831">
                  <c:v>91.549999999996942</c:v>
                </c:pt>
                <c:pt idx="1832">
                  <c:v>91.599999999996939</c:v>
                </c:pt>
                <c:pt idx="1833">
                  <c:v>91.649999999996936</c:v>
                </c:pt>
                <c:pt idx="1834">
                  <c:v>91.699999999996933</c:v>
                </c:pt>
                <c:pt idx="1835">
                  <c:v>91.74999999999693</c:v>
                </c:pt>
                <c:pt idx="1836">
                  <c:v>91.799999999996928</c:v>
                </c:pt>
                <c:pt idx="1837">
                  <c:v>91.849999999996925</c:v>
                </c:pt>
                <c:pt idx="1838">
                  <c:v>91.899999999996922</c:v>
                </c:pt>
                <c:pt idx="1839">
                  <c:v>91.949999999996919</c:v>
                </c:pt>
                <c:pt idx="1840">
                  <c:v>91.999999999996916</c:v>
                </c:pt>
                <c:pt idx="1841">
                  <c:v>92.049999999996913</c:v>
                </c:pt>
                <c:pt idx="1842">
                  <c:v>92.099999999996911</c:v>
                </c:pt>
                <c:pt idx="1843">
                  <c:v>92.149999999996908</c:v>
                </c:pt>
                <c:pt idx="1844">
                  <c:v>92.199999999996905</c:v>
                </c:pt>
                <c:pt idx="1845">
                  <c:v>92.249999999996902</c:v>
                </c:pt>
                <c:pt idx="1846">
                  <c:v>92.299999999996899</c:v>
                </c:pt>
                <c:pt idx="1847">
                  <c:v>92.349999999996896</c:v>
                </c:pt>
                <c:pt idx="1848">
                  <c:v>92.399999999996894</c:v>
                </c:pt>
                <c:pt idx="1849">
                  <c:v>92.449999999996891</c:v>
                </c:pt>
                <c:pt idx="1850">
                  <c:v>92.499999999996888</c:v>
                </c:pt>
                <c:pt idx="1851">
                  <c:v>92.549999999996885</c:v>
                </c:pt>
                <c:pt idx="1852">
                  <c:v>92.599999999996882</c:v>
                </c:pt>
                <c:pt idx="1853">
                  <c:v>92.649999999996879</c:v>
                </c:pt>
                <c:pt idx="1854">
                  <c:v>92.699999999996876</c:v>
                </c:pt>
                <c:pt idx="1855">
                  <c:v>92.749999999996874</c:v>
                </c:pt>
                <c:pt idx="1856">
                  <c:v>92.799999999996871</c:v>
                </c:pt>
                <c:pt idx="1857">
                  <c:v>92.849999999996868</c:v>
                </c:pt>
                <c:pt idx="1858">
                  <c:v>92.899999999996865</c:v>
                </c:pt>
                <c:pt idx="1859">
                  <c:v>92.949999999996862</c:v>
                </c:pt>
                <c:pt idx="1860">
                  <c:v>92.999999999996859</c:v>
                </c:pt>
                <c:pt idx="1861">
                  <c:v>93.049999999996857</c:v>
                </c:pt>
                <c:pt idx="1862">
                  <c:v>93.099999999996854</c:v>
                </c:pt>
                <c:pt idx="1863">
                  <c:v>93.149999999996851</c:v>
                </c:pt>
                <c:pt idx="1864">
                  <c:v>93.199999999996848</c:v>
                </c:pt>
                <c:pt idx="1865">
                  <c:v>93.249999999996845</c:v>
                </c:pt>
                <c:pt idx="1866">
                  <c:v>93.299999999996842</c:v>
                </c:pt>
                <c:pt idx="1867">
                  <c:v>93.34999999999684</c:v>
                </c:pt>
                <c:pt idx="1868">
                  <c:v>93.399999999996837</c:v>
                </c:pt>
                <c:pt idx="1869">
                  <c:v>93.449999999996834</c:v>
                </c:pt>
                <c:pt idx="1870">
                  <c:v>93.499999999996831</c:v>
                </c:pt>
                <c:pt idx="1871">
                  <c:v>93.549999999996828</c:v>
                </c:pt>
                <c:pt idx="1872">
                  <c:v>93.599999999996825</c:v>
                </c:pt>
                <c:pt idx="1873">
                  <c:v>93.649999999996822</c:v>
                </c:pt>
                <c:pt idx="1874">
                  <c:v>93.69999999999682</c:v>
                </c:pt>
                <c:pt idx="1875">
                  <c:v>93.749999999996817</c:v>
                </c:pt>
                <c:pt idx="1876">
                  <c:v>93.799999999996814</c:v>
                </c:pt>
                <c:pt idx="1877">
                  <c:v>93.849999999996811</c:v>
                </c:pt>
                <c:pt idx="1878">
                  <c:v>93.899999999996808</c:v>
                </c:pt>
                <c:pt idx="1879">
                  <c:v>93.949999999996805</c:v>
                </c:pt>
                <c:pt idx="1880">
                  <c:v>93.999999999996803</c:v>
                </c:pt>
                <c:pt idx="1881">
                  <c:v>94.0499999999968</c:v>
                </c:pt>
                <c:pt idx="1882">
                  <c:v>94.099999999996797</c:v>
                </c:pt>
                <c:pt idx="1883">
                  <c:v>94.149999999996794</c:v>
                </c:pt>
                <c:pt idx="1884">
                  <c:v>94.199999999996791</c:v>
                </c:pt>
                <c:pt idx="1885">
                  <c:v>94.249999999996788</c:v>
                </c:pt>
                <c:pt idx="1886">
                  <c:v>94.299999999996786</c:v>
                </c:pt>
                <c:pt idx="1887">
                  <c:v>94.349999999996783</c:v>
                </c:pt>
                <c:pt idx="1888">
                  <c:v>94.39999999999678</c:v>
                </c:pt>
                <c:pt idx="1889">
                  <c:v>94.449999999996777</c:v>
                </c:pt>
                <c:pt idx="1890">
                  <c:v>94.499999999996774</c:v>
                </c:pt>
                <c:pt idx="1891">
                  <c:v>94.549999999996771</c:v>
                </c:pt>
                <c:pt idx="1892">
                  <c:v>94.599999999996768</c:v>
                </c:pt>
                <c:pt idx="1893">
                  <c:v>94.649999999996766</c:v>
                </c:pt>
                <c:pt idx="1894">
                  <c:v>94.699999999996763</c:v>
                </c:pt>
                <c:pt idx="1895">
                  <c:v>94.74999999999676</c:v>
                </c:pt>
                <c:pt idx="1896">
                  <c:v>94.799999999996757</c:v>
                </c:pt>
                <c:pt idx="1897">
                  <c:v>94.849999999996754</c:v>
                </c:pt>
                <c:pt idx="1898">
                  <c:v>94.899999999996751</c:v>
                </c:pt>
                <c:pt idx="1899">
                  <c:v>94.949999999996749</c:v>
                </c:pt>
                <c:pt idx="1900">
                  <c:v>94.999999999996746</c:v>
                </c:pt>
                <c:pt idx="1901">
                  <c:v>95.049999999996743</c:v>
                </c:pt>
                <c:pt idx="1902">
                  <c:v>95.09999999999674</c:v>
                </c:pt>
                <c:pt idx="1903">
                  <c:v>95.149999999996737</c:v>
                </c:pt>
                <c:pt idx="1904">
                  <c:v>95.199999999996734</c:v>
                </c:pt>
                <c:pt idx="1905">
                  <c:v>95.249999999996732</c:v>
                </c:pt>
                <c:pt idx="1906">
                  <c:v>95.299999999996729</c:v>
                </c:pt>
                <c:pt idx="1907">
                  <c:v>95.349999999996726</c:v>
                </c:pt>
                <c:pt idx="1908">
                  <c:v>95.399999999996723</c:v>
                </c:pt>
                <c:pt idx="1909">
                  <c:v>95.44999999999672</c:v>
                </c:pt>
                <c:pt idx="1910">
                  <c:v>95.499999999996717</c:v>
                </c:pt>
                <c:pt idx="1911">
                  <c:v>95.549999999996714</c:v>
                </c:pt>
                <c:pt idx="1912">
                  <c:v>95.599999999996712</c:v>
                </c:pt>
                <c:pt idx="1913">
                  <c:v>95.649999999996709</c:v>
                </c:pt>
                <c:pt idx="1914">
                  <c:v>95.699999999996706</c:v>
                </c:pt>
                <c:pt idx="1915">
                  <c:v>95.749999999996703</c:v>
                </c:pt>
                <c:pt idx="1916">
                  <c:v>95.7999999999967</c:v>
                </c:pt>
                <c:pt idx="1917">
                  <c:v>95.849999999996697</c:v>
                </c:pt>
                <c:pt idx="1918">
                  <c:v>95.899999999996695</c:v>
                </c:pt>
                <c:pt idx="1919">
                  <c:v>95.949999999996692</c:v>
                </c:pt>
                <c:pt idx="1920">
                  <c:v>95.999999999996689</c:v>
                </c:pt>
                <c:pt idx="1921">
                  <c:v>96.049999999996686</c:v>
                </c:pt>
                <c:pt idx="1922">
                  <c:v>96.099999999996683</c:v>
                </c:pt>
                <c:pt idx="1923">
                  <c:v>96.14999999999668</c:v>
                </c:pt>
                <c:pt idx="1924">
                  <c:v>96.199999999996678</c:v>
                </c:pt>
                <c:pt idx="1925">
                  <c:v>96.249999999996675</c:v>
                </c:pt>
                <c:pt idx="1926">
                  <c:v>96.299999999996672</c:v>
                </c:pt>
                <c:pt idx="1927">
                  <c:v>96.349999999996669</c:v>
                </c:pt>
                <c:pt idx="1928">
                  <c:v>96.399999999996666</c:v>
                </c:pt>
                <c:pt idx="1929">
                  <c:v>96.449999999996663</c:v>
                </c:pt>
                <c:pt idx="1930">
                  <c:v>96.49999999999666</c:v>
                </c:pt>
                <c:pt idx="1931">
                  <c:v>96.549999999996658</c:v>
                </c:pt>
                <c:pt idx="1932">
                  <c:v>96.599999999996655</c:v>
                </c:pt>
                <c:pt idx="1933">
                  <c:v>96.649999999996652</c:v>
                </c:pt>
                <c:pt idx="1934">
                  <c:v>96.699999999996649</c:v>
                </c:pt>
                <c:pt idx="1935">
                  <c:v>96.749999999996646</c:v>
                </c:pt>
                <c:pt idx="1936">
                  <c:v>96.799999999996643</c:v>
                </c:pt>
                <c:pt idx="1937">
                  <c:v>96.849999999996641</c:v>
                </c:pt>
                <c:pt idx="1938">
                  <c:v>96.899999999996638</c:v>
                </c:pt>
                <c:pt idx="1939">
                  <c:v>96.949999999996635</c:v>
                </c:pt>
                <c:pt idx="1940">
                  <c:v>96.999999999996632</c:v>
                </c:pt>
                <c:pt idx="1941">
                  <c:v>97.049999999996629</c:v>
                </c:pt>
                <c:pt idx="1942">
                  <c:v>97.099999999996626</c:v>
                </c:pt>
                <c:pt idx="1943">
                  <c:v>97.149999999996624</c:v>
                </c:pt>
                <c:pt idx="1944">
                  <c:v>97.199999999996621</c:v>
                </c:pt>
                <c:pt idx="1945">
                  <c:v>97.249999999996618</c:v>
                </c:pt>
                <c:pt idx="1946">
                  <c:v>97.299999999996615</c:v>
                </c:pt>
                <c:pt idx="1947">
                  <c:v>97.349999999996612</c:v>
                </c:pt>
                <c:pt idx="1948">
                  <c:v>97.399999999996609</c:v>
                </c:pt>
                <c:pt idx="1949">
                  <c:v>97.449999999996606</c:v>
                </c:pt>
                <c:pt idx="1950">
                  <c:v>97.499999999996604</c:v>
                </c:pt>
                <c:pt idx="1951">
                  <c:v>97.549999999996601</c:v>
                </c:pt>
                <c:pt idx="1952">
                  <c:v>97.599999999996598</c:v>
                </c:pt>
                <c:pt idx="1953">
                  <c:v>97.649999999996595</c:v>
                </c:pt>
                <c:pt idx="1954">
                  <c:v>97.699999999996592</c:v>
                </c:pt>
                <c:pt idx="1955">
                  <c:v>97.749999999996589</c:v>
                </c:pt>
                <c:pt idx="1956">
                  <c:v>97.799999999996587</c:v>
                </c:pt>
                <c:pt idx="1957">
                  <c:v>97.849999999996584</c:v>
                </c:pt>
                <c:pt idx="1958">
                  <c:v>97.899999999996581</c:v>
                </c:pt>
                <c:pt idx="1959">
                  <c:v>97.949999999996578</c:v>
                </c:pt>
                <c:pt idx="1960">
                  <c:v>97.999999999996575</c:v>
                </c:pt>
                <c:pt idx="1961">
                  <c:v>98.049999999996572</c:v>
                </c:pt>
                <c:pt idx="1962">
                  <c:v>98.099999999996569</c:v>
                </c:pt>
                <c:pt idx="1963">
                  <c:v>98.149999999996567</c:v>
                </c:pt>
                <c:pt idx="1964">
                  <c:v>98.199999999996564</c:v>
                </c:pt>
                <c:pt idx="1965">
                  <c:v>98.249999999996561</c:v>
                </c:pt>
                <c:pt idx="1966">
                  <c:v>98.299999999996558</c:v>
                </c:pt>
                <c:pt idx="1967">
                  <c:v>98.349999999996555</c:v>
                </c:pt>
                <c:pt idx="1968">
                  <c:v>98.399999999996552</c:v>
                </c:pt>
                <c:pt idx="1969">
                  <c:v>98.44999999999655</c:v>
                </c:pt>
                <c:pt idx="1970">
                  <c:v>98.499999999996547</c:v>
                </c:pt>
                <c:pt idx="1971">
                  <c:v>98.549999999996544</c:v>
                </c:pt>
                <c:pt idx="1972">
                  <c:v>98.599999999996541</c:v>
                </c:pt>
                <c:pt idx="1973">
                  <c:v>98.649999999996538</c:v>
                </c:pt>
                <c:pt idx="1974">
                  <c:v>98.699999999996535</c:v>
                </c:pt>
                <c:pt idx="1975">
                  <c:v>98.749999999996533</c:v>
                </c:pt>
                <c:pt idx="1976">
                  <c:v>98.79999999999653</c:v>
                </c:pt>
                <c:pt idx="1977">
                  <c:v>98.849999999996527</c:v>
                </c:pt>
                <c:pt idx="1978">
                  <c:v>98.899999999996524</c:v>
                </c:pt>
                <c:pt idx="1979">
                  <c:v>98.949999999996521</c:v>
                </c:pt>
                <c:pt idx="1980">
                  <c:v>98.999999999996518</c:v>
                </c:pt>
                <c:pt idx="1981">
                  <c:v>99.049999999996515</c:v>
                </c:pt>
                <c:pt idx="1982">
                  <c:v>99.099999999996513</c:v>
                </c:pt>
                <c:pt idx="1983">
                  <c:v>99.14999999999651</c:v>
                </c:pt>
                <c:pt idx="1984">
                  <c:v>99.199999999996507</c:v>
                </c:pt>
                <c:pt idx="1985">
                  <c:v>99.249999999996504</c:v>
                </c:pt>
                <c:pt idx="1986">
                  <c:v>99.299999999996501</c:v>
                </c:pt>
                <c:pt idx="1987">
                  <c:v>99.349999999996498</c:v>
                </c:pt>
                <c:pt idx="1988">
                  <c:v>99.399999999996496</c:v>
                </c:pt>
                <c:pt idx="1989">
                  <c:v>99.449999999996493</c:v>
                </c:pt>
                <c:pt idx="1990">
                  <c:v>99.49999999999649</c:v>
                </c:pt>
                <c:pt idx="1991">
                  <c:v>99.549999999996487</c:v>
                </c:pt>
                <c:pt idx="1992">
                  <c:v>99.599999999996484</c:v>
                </c:pt>
                <c:pt idx="1993">
                  <c:v>99.649999999996481</c:v>
                </c:pt>
                <c:pt idx="1994">
                  <c:v>99.699999999996479</c:v>
                </c:pt>
                <c:pt idx="1995">
                  <c:v>99.749999999996476</c:v>
                </c:pt>
                <c:pt idx="1996">
                  <c:v>99.799999999996473</c:v>
                </c:pt>
                <c:pt idx="1997">
                  <c:v>99.84999999999647</c:v>
                </c:pt>
                <c:pt idx="1998">
                  <c:v>99.899999999996467</c:v>
                </c:pt>
                <c:pt idx="1999">
                  <c:v>99.949999999996464</c:v>
                </c:pt>
                <c:pt idx="2000">
                  <c:v>99.999999999996461</c:v>
                </c:pt>
              </c:numCache>
            </c:numRef>
          </c:xVal>
          <c:yVal>
            <c:numRef>
              <c:f>'Solução Exata'!$B$8:$B$2008</c:f>
              <c:numCache>
                <c:formatCode>0.00</c:formatCode>
                <c:ptCount val="2001"/>
                <c:pt idx="0">
                  <c:v>0</c:v>
                </c:pt>
                <c:pt idx="1">
                  <c:v>3.8939070406224241E-5</c:v>
                </c:pt>
                <c:pt idx="2">
                  <c:v>3.106370815098014E-4</c:v>
                </c:pt>
                <c:pt idx="3">
                  <c:v>1.0434887656500802E-3</c:v>
                </c:pt>
                <c:pt idx="4">
                  <c:v>2.4572218685574576E-3</c:v>
                </c:pt>
                <c:pt idx="5">
                  <c:v>4.7587164616770261E-3</c:v>
                </c:pt>
                <c:pt idx="6">
                  <c:v>8.1380054753097397E-3</c:v>
                </c:pt>
                <c:pt idx="7">
                  <c:v>1.2764513310004277E-2</c:v>
                </c:pt>
                <c:pt idx="8">
                  <c:v>1.8783586394993446E-2</c:v>
                </c:pt>
                <c:pt idx="9">
                  <c:v>2.6313365893183116E-2</c:v>
                </c:pt>
                <c:pt idx="10">
                  <c:v>3.5442048445522012E-2</c:v>
                </c:pt>
                <c:pt idx="11">
                  <c:v>4.6225575954291998E-2</c:v>
                </c:pt>
                <c:pt idx="12">
                  <c:v>5.8685789982747094E-2</c:v>
                </c:pt>
                <c:pt idx="13">
                  <c:v>7.280908046168455E-2</c:v>
                </c:pt>
                <c:pt idx="14">
                  <c:v>8.8545552111675141E-2</c:v>
                </c:pt>
                <c:pt idx="15">
                  <c:v>0.10580872538729302</c:v>
                </c:pt>
                <c:pt idx="16">
                  <c:v>0.1244757819052611</c:v>
                </c:pt>
                <c:pt idx="17">
                  <c:v>0.1443883573134952</c:v>
                </c:pt>
                <c:pt idx="18">
                  <c:v>0.16535387747623909</c:v>
                </c:pt>
                <c:pt idx="19">
                  <c:v>0.18714742677671437</c:v>
                </c:pt>
                <c:pt idx="20">
                  <c:v>0.20951413035802657</c:v>
                </c:pt>
                <c:pt idx="21">
                  <c:v>0.23217202531973324</c:v>
                </c:pt>
                <c:pt idx="22">
                  <c:v>0.25481538934409542</c:v>
                </c:pt>
                <c:pt idx="23">
                  <c:v>0.27711848902247183</c:v>
                </c:pt>
                <c:pt idx="24">
                  <c:v>0.29873970436479169</c:v>
                </c:pt>
                <c:pt idx="25">
                  <c:v>0.31932598067540519</c:v>
                </c:pt>
                <c:pt idx="26">
                  <c:v>0.33851755423318197</c:v>
                </c:pt>
                <c:pt idx="27">
                  <c:v>0.35595289408293174</c:v>
                </c:pt>
                <c:pt idx="28">
                  <c:v>0.37127379878240463</c:v>
                </c:pt>
                <c:pt idx="29">
                  <c:v>0.38413058420041202</c:v>
                </c:pt>
                <c:pt idx="30">
                  <c:v>0.39418729646483747</c:v>
                </c:pt>
                <c:pt idx="31">
                  <c:v>0.40112688294403037</c:v>
                </c:pt>
                <c:pt idx="32">
                  <c:v>0.40465625373180508</c:v>
                </c:pt>
                <c:pt idx="33">
                  <c:v>0.40451116650643892</c:v>
                </c:pt>
                <c:pt idx="34">
                  <c:v>0.40046086884973764</c:v>
                </c:pt>
                <c:pt idx="35">
                  <c:v>0.39231243413607159</c:v>
                </c:pt>
                <c:pt idx="36">
                  <c:v>0.37991472991654923</c:v>
                </c:pt>
                <c:pt idx="37">
                  <c:v>0.36316196130421774</c:v>
                </c:pt>
                <c:pt idx="38">
                  <c:v>0.34199673617737747</c:v>
                </c:pt>
                <c:pt idx="39">
                  <c:v>0.31641260401613436</c:v>
                </c:pt>
                <c:pt idx="40">
                  <c:v>0.28645602582031526</c:v>
                </c:pt>
                <c:pt idx="41">
                  <c:v>0.25222773876530225</c:v>
                </c:pt>
                <c:pt idx="42">
                  <c:v>0.2138834859695713</c:v>
                </c:pt>
                <c:pt idx="43">
                  <c:v>0.17163408890078791</c:v>
                </c:pt>
                <c:pt idx="44">
                  <c:v>0.12574484745766412</c:v>
                </c:pt>
                <c:pt idx="45">
                  <c:v>7.6534260549146582E-2</c:v>
                </c:pt>
                <c:pt idx="46">
                  <c:v>2.4372067963753352E-2</c:v>
                </c:pt>
                <c:pt idx="47">
                  <c:v>-3.032337760991699E-2</c:v>
                </c:pt>
                <c:pt idx="48">
                  <c:v>-8.7088391477281535E-2</c:v>
                </c:pt>
                <c:pt idx="49">
                  <c:v>-0.14541786582665073</c:v>
                </c:pt>
                <c:pt idx="50">
                  <c:v>-0.20476977388779516</c:v>
                </c:pt>
                <c:pt idx="51">
                  <c:v>-0.26457022910139028</c:v>
                </c:pt>
                <c:pt idx="52">
                  <c:v>-0.32421905186762645</c:v>
                </c:pt>
                <c:pt idx="53">
                  <c:v>-0.3830957897159899</c:v>
                </c:pt>
                <c:pt idx="54">
                  <c:v>-0.44056613054029903</c:v>
                </c:pt>
                <c:pt idx="55">
                  <c:v>-0.49598864295000067</c:v>
                </c:pt>
                <c:pt idx="56">
                  <c:v>-0.54872177287091772</c:v>
                </c:pt>
                <c:pt idx="57">
                  <c:v>-0.59813102134972396</c:v>
                </c:pt>
                <c:pt idx="58">
                  <c:v>-0.64359622513220993</c:v>
                </c:pt>
                <c:pt idx="59">
                  <c:v>-0.68451885904355547</c:v>
                </c:pt>
                <c:pt idx="60">
                  <c:v>-0.72032927753796661</c:v>
                </c:pt>
                <c:pt idx="61">
                  <c:v>-0.75049381203427978</c:v>
                </c:pt>
                <c:pt idx="62">
                  <c:v>-0.77452164083308883</c:v>
                </c:pt>
                <c:pt idx="63">
                  <c:v>-0.7919713495285402</c:v>
                </c:pt>
                <c:pt idx="64">
                  <c:v>-0.80245710188345876</c:v>
                </c:pt>
                <c:pt idx="65">
                  <c:v>-0.80565434411807146</c:v>
                </c:pt>
                <c:pt idx="66">
                  <c:v>-0.80130496944882001</c:v>
                </c:pt>
                <c:pt idx="67">
                  <c:v>-0.78922187447219283</c:v>
                </c:pt>
                <c:pt idx="68">
                  <c:v>-0.769292844577528</c:v>
                </c:pt>
                <c:pt idx="69">
                  <c:v>-0.74148371194038143</c:v>
                </c:pt>
                <c:pt idx="70">
                  <c:v>-0.70584073673403369</c:v>
                </c:pt>
                <c:pt idx="71">
                  <c:v>-0.66249216993141813</c:v>
                </c:pt>
                <c:pt idx="72">
                  <c:v>-0.61164896437649685</c:v>
                </c:pt>
                <c:pt idx="73">
                  <c:v>-0.55360460959852853</c:v>
                </c:pt>
                <c:pt idx="74">
                  <c:v>-0.48873407503444133</c:v>
                </c:pt>
                <c:pt idx="75">
                  <c:v>-0.41749185581815818</c:v>
                </c:pt>
                <c:pt idx="76">
                  <c:v>-0.34040912499093579</c:v>
                </c:pt>
                <c:pt idx="77">
                  <c:v>-0.25809000578070185</c:v>
                </c:pt>
                <c:pt idx="78">
                  <c:v>-0.1712069873852069</c:v>
                </c:pt>
                <c:pt idx="79">
                  <c:v>-8.0495517367425773E-2</c:v>
                </c:pt>
                <c:pt idx="80">
                  <c:v>1.3252186774714625E-2</c:v>
                </c:pt>
                <c:pt idx="81">
                  <c:v>0.1091940551733801</c:v>
                </c:pt>
                <c:pt idx="82">
                  <c:v>0.20644575189888914</c:v>
                </c:pt>
                <c:pt idx="83">
                  <c:v>0.30408886144512692</c:v>
                </c:pt>
                <c:pt idx="84">
                  <c:v>0.40117959927473201</c:v>
                </c:pt>
                <c:pt idx="85">
                  <c:v>0.49675796346531342</c:v>
                </c:pt>
                <c:pt idx="86">
                  <c:v>0.58985723845016103</c:v>
                </c:pt>
                <c:pt idx="87">
                  <c:v>0.67951375666710168</c:v>
                </c:pt>
                <c:pt idx="88">
                  <c:v>0.76477681968371125</c:v>
                </c:pt>
                <c:pt idx="89">
                  <c:v>0.84471867711296345</c:v>
                </c:pt>
                <c:pt idx="90">
                  <c:v>0.91844445941764841</c:v>
                </c:pt>
                <c:pt idx="91">
                  <c:v>0.98510195956100244</c:v>
                </c:pt>
                <c:pt idx="92">
                  <c:v>1.0438911584202697</c:v>
                </c:pt>
                <c:pt idx="93">
                  <c:v>1.09407338995352</c:v>
                </c:pt>
                <c:pt idx="94">
                  <c:v>1.1349800443000049</c:v>
                </c:pt>
                <c:pt idx="95">
                  <c:v>1.1660207102913116</c:v>
                </c:pt>
                <c:pt idx="96">
                  <c:v>1.1866906632329746</c:v>
                </c:pt>
                <c:pt idx="97">
                  <c:v>1.1965776092511455</c:v>
                </c:pt>
                <c:pt idx="98">
                  <c:v>1.195367603941448</c:v>
                </c:pt>
                <c:pt idx="99">
                  <c:v>1.182850070451767</c:v>
                </c:pt>
                <c:pt idx="100">
                  <c:v>1.1589218504110361</c:v>
                </c:pt>
                <c:pt idx="101">
                  <c:v>1.1235902302053409</c:v>
                </c:pt>
                <c:pt idx="102">
                  <c:v>1.0769748949154854</c:v>
                </c:pt>
                <c:pt idx="103">
                  <c:v>1.0193087726718075</c:v>
                </c:pt>
                <c:pt idx="104">
                  <c:v>0.95093774315099211</c:v>
                </c:pt>
                <c:pt idx="105">
                  <c:v>0.87231919532683211</c:v>
                </c:pt>
                <c:pt idx="106">
                  <c:v>0.78401943127872031</c:v>
                </c:pt>
                <c:pt idx="107">
                  <c:v>0.68670992473917924</c:v>
                </c:pt>
                <c:pt idx="108">
                  <c:v>0.58116245500363606</c:v>
                </c:pt>
                <c:pt idx="109">
                  <c:v>0.46824314870778516</c:v>
                </c:pt>
                <c:pt idx="110">
                  <c:v>0.34890547367637637</c:v>
                </c:pt>
                <c:pt idx="111">
                  <c:v>0.22418224043790902</c:v>
                </c:pt>
                <c:pt idx="112">
                  <c:v>9.5176677961072764E-2</c:v>
                </c:pt>
                <c:pt idx="113">
                  <c:v>-3.6947339418240244E-2</c:v>
                </c:pt>
                <c:pt idx="114">
                  <c:v>-0.17097582715980142</c:v>
                </c:pt>
                <c:pt idx="115">
                  <c:v>-0.30565589207240662</c:v>
                </c:pt>
                <c:pt idx="116">
                  <c:v>-0.43970749645118401</c:v>
                </c:pt>
                <c:pt idx="117">
                  <c:v>-0.57183567385128264</c:v>
                </c:pt>
                <c:pt idx="118">
                  <c:v>-0.70074307946029224</c:v>
                </c:pt>
                <c:pt idx="119">
                  <c:v>-0.82514275306713691</c:v>
                </c:pt>
                <c:pt idx="120">
                  <c:v>-0.94377096884994893</c:v>
                </c:pt>
                <c:pt idx="121">
                  <c:v>-1.0554000436715891</c:v>
                </c:pt>
                <c:pt idx="122">
                  <c:v>-1.1588509743190185</c:v>
                </c:pt>
                <c:pt idx="123">
                  <c:v>-1.2530057741787168</c:v>
                </c:pt>
                <c:pt idx="124">
                  <c:v>-1.3368193812186513</c:v>
                </c:pt>
                <c:pt idx="125">
                  <c:v>-1.4093310118483453</c:v>
                </c:pt>
                <c:pt idx="126">
                  <c:v>-1.4696748392393588</c:v>
                </c:pt>
                <c:pt idx="127">
                  <c:v>-1.5170898799820096</c:v>
                </c:pt>
                <c:pt idx="128">
                  <c:v>-1.5509289794905237</c:v>
                </c:pt>
                <c:pt idx="129">
                  <c:v>-1.5706667942944739</c:v>
                </c:pt>
                <c:pt idx="130">
                  <c:v>-1.575906678203618</c:v>
                </c:pt>
                <c:pt idx="131">
                  <c:v>-1.5663863892275669</c:v>
                </c:pt>
                <c:pt idx="132">
                  <c:v>-1.5419825449818698</c:v>
                </c:pt>
                <c:pt idx="133">
                  <c:v>-1.5027137660174821</c:v>
                </c:pt>
                <c:pt idx="134">
                  <c:v>-1.448742458961588</c:v>
                </c:pt>
                <c:pt idx="135">
                  <c:v>-1.3803752044353097</c:v>
                </c:pt>
                <c:pt idx="136">
                  <c:v>-1.2980617282922016</c:v>
                </c:pt>
                <c:pt idx="137">
                  <c:v>-1.2023924486677007</c:v>
                </c:pt>
                <c:pt idx="138">
                  <c:v>-1.0940946055067746</c:v>
                </c:pt>
                <c:pt idx="139">
                  <c:v>-0.97402699350323663</c:v>
                </c:pt>
                <c:pt idx="140">
                  <c:v>-0.84317333359647662</c:v>
                </c:pt>
                <c:pt idx="141">
                  <c:v>-0.7026343321854065</c:v>
                </c:pt>
                <c:pt idx="142">
                  <c:v>-0.5536184908913182</c:v>
                </c:pt>
                <c:pt idx="143">
                  <c:v>-0.39743174289003647</c:v>
                </c:pt>
                <c:pt idx="144">
                  <c:v>-0.23546600440086318</c:v>
                </c:pt>
                <c:pt idx="145">
                  <c:v>-6.9186741732835344E-2</c:v>
                </c:pt>
                <c:pt idx="146">
                  <c:v>9.9880334779253177E-2</c:v>
                </c:pt>
                <c:pt idx="147">
                  <c:v>0.27016332868413384</c:v>
                </c:pt>
                <c:pt idx="148">
                  <c:v>0.44005883708086979</c:v>
                </c:pt>
                <c:pt idx="149">
                  <c:v>0.60794711434149873</c:v>
                </c:pt>
                <c:pt idx="150">
                  <c:v>0.77220757587147371</c:v>
                </c:pt>
                <c:pt idx="151">
                  <c:v>0.93123449294688365</c:v>
                </c:pt>
                <c:pt idx="152">
                  <c:v>1.0834527261608389</c:v>
                </c:pt>
                <c:pt idx="153">
                  <c:v>1.2273333429902209</c:v>
                </c:pt>
                <c:pt idx="154">
                  <c:v>1.3614089644926313</c:v>
                </c:pt>
                <c:pt idx="155">
                  <c:v>1.4842886871814118</c:v>
                </c:pt>
                <c:pt idx="156">
                  <c:v>1.594672428708247</c:v>
                </c:pt>
                <c:pt idx="157">
                  <c:v>1.6913645500968328</c:v>
                </c:pt>
                <c:pt idx="158">
                  <c:v>1.7732866128906919</c:v>
                </c:pt>
                <c:pt idx="159">
                  <c:v>1.8394891366612931</c:v>
                </c:pt>
                <c:pt idx="160">
                  <c:v>1.8891622308121969</c:v>
                </c:pt>
                <c:pt idx="161">
                  <c:v>1.9216449844390686</c:v>
                </c:pt>
                <c:pt idx="162">
                  <c:v>1.9364335090786056</c:v>
                </c:pt>
                <c:pt idx="163">
                  <c:v>1.9331875414024995</c:v>
                </c:pt>
                <c:pt idx="164">
                  <c:v>1.9117355261744964</c:v>
                </c:pt>
                <c:pt idx="165">
                  <c:v>1.8720781139663787</c:v>
                </c:pt>
                <c:pt idx="166">
                  <c:v>1.8143900230898271</c:v>
                </c:pt>
                <c:pt idx="167">
                  <c:v>1.7390202308034357</c:v>
                </c:pt>
                <c:pt idx="168">
                  <c:v>1.64649047494865</c:v>
                </c:pt>
                <c:pt idx="169">
                  <c:v>1.5374920635990259</c:v>
                </c:pt>
                <c:pt idx="170">
                  <c:v>1.4128810069142048</c:v>
                </c:pt>
                <c:pt idx="171">
                  <c:v>1.2736715020097382</c:v>
                </c:pt>
                <c:pt idx="172">
                  <c:v>1.1210278181216355</c:v>
                </c:pt>
                <c:pt idx="173">
                  <c:v>0.95625464549584471</c:v>
                </c:pt>
                <c:pt idx="174">
                  <c:v>0.78078598710440805</c:v>
                </c:pt>
                <c:pt idx="175">
                  <c:v>0.59617268732324691</c:v>
                </c:pt>
                <c:pt idx="176">
                  <c:v>0.40406870594588962</c:v>
                </c:pt>
                <c:pt idx="177">
                  <c:v>0.20621625920668163</c:v>
                </c:pt>
                <c:pt idx="178">
                  <c:v>4.4299617050678197E-3</c:v>
                </c:pt>
                <c:pt idx="179">
                  <c:v>-0.19941988586921378</c:v>
                </c:pt>
                <c:pt idx="180">
                  <c:v>-0.40342470863152169</c:v>
                </c:pt>
                <c:pt idx="181">
                  <c:v>-0.60565560619723979</c:v>
                </c:pt>
                <c:pt idx="182">
                  <c:v>-0.80418166864165275</c:v>
                </c:pt>
                <c:pt idx="183">
                  <c:v>-0.99708848508527637</c:v>
                </c:pt>
                <c:pt idx="184">
                  <c:v>-1.1824966668316668</c:v>
                </c:pt>
                <c:pt idx="185">
                  <c:v>-1.3585802052707354</c:v>
                </c:pt>
                <c:pt idx="186">
                  <c:v>-1.5235844847966771</c:v>
                </c:pt>
                <c:pt idx="187">
                  <c:v>-1.6758437727894961</c:v>
                </c:pt>
                <c:pt idx="188">
                  <c:v>-1.8137980122694111</c:v>
                </c:pt>
                <c:pt idx="189">
                  <c:v>-1.9360087481328632</c:v>
                </c:pt>
                <c:pt idx="190">
                  <c:v>-2.0411740248793535</c:v>
                </c:pt>
                <c:pt idx="191">
                  <c:v>-2.1281421023840918</c:v>
                </c:pt>
                <c:pt idx="192">
                  <c:v>-2.1959238464907718</c:v>
                </c:pt>
                <c:pt idx="193">
                  <c:v>-2.2437036629029499</c:v>
                </c:pt>
                <c:pt idx="194">
                  <c:v>-2.2708488559385018</c:v>
                </c:pt>
                <c:pt idx="195">
                  <c:v>-2.2769173080613117</c:v>
                </c:pt>
                <c:pt idx="196">
                  <c:v>-2.2616633915862252</c:v>
                </c:pt>
                <c:pt idx="197">
                  <c:v>-2.2250420404248015</c:v>
                </c:pt>
                <c:pt idx="198">
                  <c:v>-2.1672109270452395</c:v>
                </c:pt>
                <c:pt idx="199">
                  <c:v>-2.0885307077976876</c:v>
                </c:pt>
                <c:pt idx="200">
                  <c:v>-1.9895633182339627</c:v>
                </c:pt>
                <c:pt idx="201">
                  <c:v>-1.8710683188510333</c:v>
                </c:pt>
                <c:pt idx="202">
                  <c:v>-1.7339973106294475</c:v>
                </c:pt>
                <c:pt idx="203">
                  <c:v>-1.5794864586352715</c:v>
                </c:pt>
                <c:pt idx="204">
                  <c:v>-1.4088471806230303</c:v>
                </c:pt>
                <c:pt idx="205">
                  <c:v>-1.2235550758322344</c:v>
                </c:pt>
                <c:pt idx="206">
                  <c:v>-1.0252371868296581</c:v>
                </c:pt>
                <c:pt idx="207">
                  <c:v>-0.81565770413733218</c:v>
                </c:pt>
                <c:pt idx="208">
                  <c:v>-0.59670223933010358</c:v>
                </c:pt>
                <c:pt idx="209">
                  <c:v>-0.37036080712528974</c:v>
                </c:pt>
                <c:pt idx="210">
                  <c:v>-0.13870967056658534</c:v>
                </c:pt>
                <c:pt idx="211">
                  <c:v>9.6107784416557429E-2</c:v>
                </c:pt>
                <c:pt idx="212">
                  <c:v>0.33190096814257042</c:v>
                </c:pt>
                <c:pt idx="213">
                  <c:v>0.56645261406722747</c:v>
                </c:pt>
                <c:pt idx="214">
                  <c:v>0.79753972022892516</c:v>
                </c:pt>
                <c:pt idx="215">
                  <c:v>1.0229547066135787</c:v>
                </c:pt>
                <c:pt idx="216">
                  <c:v>1.2405265862587866</c:v>
                </c:pt>
                <c:pt idx="217">
                  <c:v>1.4481419463120142</c:v>
                </c:pt>
                <c:pt idx="218">
                  <c:v>1.6437655356213943</c:v>
                </c:pt>
                <c:pt idx="219">
                  <c:v>1.8254602577794767</c:v>
                </c:pt>
                <c:pt idx="220">
                  <c:v>1.9914063728508626</c:v>
                </c:pt>
                <c:pt idx="221">
                  <c:v>2.1399197172650473</c:v>
                </c:pt>
                <c:pt idx="222">
                  <c:v>2.2694687594981104</c:v>
                </c:pt>
                <c:pt idx="223">
                  <c:v>2.3786903191342996</c:v>
                </c:pt>
                <c:pt idx="224">
                  <c:v>2.4664037886060703</c:v>
                </c:pt>
                <c:pt idx="225">
                  <c:v>2.5316237102562313</c:v>
                </c:pt>
                <c:pt idx="226">
                  <c:v>2.5735705762290628</c:v>
                </c:pt>
                <c:pt idx="227">
                  <c:v>2.5916797349443064</c:v>
                </c:pt>
                <c:pt idx="228">
                  <c:v>2.5856083053890062</c:v>
                </c:pt>
                <c:pt idx="229">
                  <c:v>2.5552400190158084</c:v>
                </c:pt>
                <c:pt idx="230">
                  <c:v>2.5006879284886754</c:v>
                </c:pt>
                <c:pt idx="231">
                  <c:v>2.4222949426843288</c:v>
                </c:pt>
                <c:pt idx="232">
                  <c:v>2.320632168049535</c:v>
                </c:pt>
                <c:pt idx="233">
                  <c:v>2.1964950574315565</c:v>
                </c:pt>
                <c:pt idx="234">
                  <c:v>2.0508973886408186</c:v>
                </c:pt>
                <c:pt idx="235">
                  <c:v>1.8850631160658062</c:v>
                </c:pt>
                <c:pt idx="236">
                  <c:v>1.7004161594353202</c:v>
                </c:pt>
                <c:pt idx="237">
                  <c:v>1.4985682141100358</c:v>
                </c:pt>
                <c:pt idx="238">
                  <c:v>1.281304686882476</c:v>
                </c:pt>
                <c:pt idx="239">
                  <c:v>1.0505688799792114</c:v>
                </c:pt>
                <c:pt idx="240">
                  <c:v>0.80844456360350936</c:v>
                </c:pt>
                <c:pt idx="241">
                  <c:v>0.5571370937532929</c:v>
                </c:pt>
                <c:pt idx="242">
                  <c:v>0.29895324703260306</c:v>
                </c:pt>
                <c:pt idx="243">
                  <c:v>3.6279957589709033E-2</c:v>
                </c:pt>
                <c:pt idx="244">
                  <c:v>-0.22843784697618896</c:v>
                </c:pt>
                <c:pt idx="245">
                  <c:v>-0.49272010401951349</c:v>
                </c:pt>
                <c:pt idx="246">
                  <c:v>-0.75407495390251345</c:v>
                </c:pt>
                <c:pt idx="247">
                  <c:v>-1.0100223371203834</c:v>
                </c:pt>
                <c:pt idx="248">
                  <c:v>-1.2581176260956797</c:v>
                </c:pt>
                <c:pt idx="249">
                  <c:v>-1.4959750655598045</c:v>
                </c:pt>
                <c:pt idx="250">
                  <c:v>-1.7212907959300954</c:v>
                </c:pt>
                <c:pt idx="251">
                  <c:v>-1.9318652367605398</c:v>
                </c:pt>
                <c:pt idx="252">
                  <c:v>-2.1256246121785507</c:v>
                </c:pt>
                <c:pt idx="253">
                  <c:v>-2.3006414071852874</c:v>
                </c:pt>
                <c:pt idx="254">
                  <c:v>-2.4551535527368338</c:v>
                </c:pt>
                <c:pt idx="255">
                  <c:v>-2.5875821485623733</c:v>
                </c:pt>
                <c:pt idx="256">
                  <c:v>-2.6965475456175021</c:v>
                </c:pt>
                <c:pt idx="257">
                  <c:v>-2.7808836248013096</c:v>
                </c:pt>
                <c:pt idx="258">
                  <c:v>-2.8396501249520973</c:v>
                </c:pt>
                <c:pt idx="259">
                  <c:v>-2.8721428910292248</c:v>
                </c:pt>
                <c:pt idx="260">
                  <c:v>-2.8779019326228727</c:v>
                </c:pt>
                <c:pt idx="261">
                  <c:v>-2.8567172033304811</c:v>
                </c:pt>
                <c:pt idx="262">
                  <c:v>-2.8086320329079033</c:v>
                </c:pt>
                <c:pt idx="263">
                  <c:v>-2.7339441662433543</c:v>
                </c:pt>
                <c:pt idx="264">
                  <c:v>-2.6332043859030945</c:v>
                </c:pt>
                <c:pt idx="265">
                  <c:v>-2.5072127180440398</c:v>
                </c:pt>
                <c:pt idx="266">
                  <c:v>-2.3570122446582462</c:v>
                </c:pt>
                <c:pt idx="267">
                  <c:v>-2.1838805681857463</c:v>
                </c:pt>
                <c:pt idx="268">
                  <c:v>-1.9893189972816028</c:v>
                </c:pt>
                <c:pt idx="269">
                  <c:v>-1.775039544729148</c:v>
                </c:pt>
                <c:pt idx="270">
                  <c:v>-1.5429498499381031</c:v>
                </c:pt>
                <c:pt idx="271">
                  <c:v>-1.2951361589415686</c:v>
                </c:pt>
                <c:pt idx="272">
                  <c:v>-1.0338445141088455</c:v>
                </c:pt>
                <c:pt idx="273">
                  <c:v>-0.76146032372886741</c:v>
                </c:pt>
                <c:pt idx="274">
                  <c:v>-0.48048649801201737</c:v>
                </c:pt>
                <c:pt idx="275">
                  <c:v>-0.19352035274159118</c:v>
                </c:pt>
                <c:pt idx="276">
                  <c:v>9.6770505371148952E-2</c:v>
                </c:pt>
                <c:pt idx="277">
                  <c:v>0.38767308674363554</c:v>
                </c:pt>
                <c:pt idx="278">
                  <c:v>0.67645448678176634</c:v>
                </c:pt>
                <c:pt idx="279">
                  <c:v>0.96038767341108355</c:v>
                </c:pt>
                <c:pt idx="280">
                  <c:v>1.2367773498980741</c:v>
                </c:pt>
                <c:pt idx="281">
                  <c:v>1.5029856466569731</c:v>
                </c:pt>
                <c:pt idx="282">
                  <c:v>1.7564573961687449</c:v>
                </c:pt>
                <c:pt idx="283">
                  <c:v>1.9947447479324645</c:v>
                </c:pt>
                <c:pt idx="284">
                  <c:v>2.2155308855089473</c:v>
                </c:pt>
                <c:pt idx="285">
                  <c:v>2.4166526151633207</c:v>
                </c:pt>
                <c:pt idx="286">
                  <c:v>2.5961216053067178</c:v>
                </c:pt>
                <c:pt idx="287">
                  <c:v>2.7521440677938362</c:v>
                </c:pt>
                <c:pt idx="288">
                  <c:v>2.883138686048909</c:v>
                </c:pt>
                <c:pt idx="289">
                  <c:v>2.987752610842807</c:v>
                </c:pt>
                <c:pt idx="290">
                  <c:v>3.0648753621849023</c:v>
                </c:pt>
                <c:pt idx="291">
                  <c:v>3.1136504950631694</c:v>
                </c:pt>
                <c:pt idx="292">
                  <c:v>3.1334849074867566</c:v>
                </c:pt>
                <c:pt idx="293">
                  <c:v>3.1240556912641209</c:v>
                </c:pt>
                <c:pt idx="294">
                  <c:v>3.0853144489807098</c:v>
                </c:pt>
                <c:pt idx="295">
                  <c:v>3.017489024506812</c:v>
                </c:pt>
                <c:pt idx="296">
                  <c:v>2.9210826188420835</c:v>
                </c:pt>
                <c:pt idx="297">
                  <c:v>2.7968702879564606</c:v>
                </c:pt>
                <c:pt idx="298">
                  <c:v>2.6458928442801875</c:v>
                </c:pt>
                <c:pt idx="299">
                  <c:v>2.4694482083886329</c:v>
                </c:pt>
                <c:pt idx="300">
                  <c:v>2.2690802819819118</c:v>
                </c:pt>
                <c:pt idx="301">
                  <c:v>2.0465654372363873</c:v>
                </c:pt>
                <c:pt idx="302">
                  <c:v>1.8038967407735806</c:v>
                </c:pt>
                <c:pt idx="303">
                  <c:v>1.5432660526252289</c:v>
                </c:pt>
                <c:pt idx="304">
                  <c:v>1.2670441614543759</c:v>
                </c:pt>
                <c:pt idx="305">
                  <c:v>0.97775913671683601</c:v>
                </c:pt>
                <c:pt idx="306">
                  <c:v>0.67807309622129952</c:v>
                </c:pt>
                <c:pt idx="307">
                  <c:v>0.37075760349399733</c:v>
                </c:pt>
                <c:pt idx="308">
                  <c:v>5.8667923313917125E-2</c:v>
                </c:pt>
                <c:pt idx="309">
                  <c:v>-0.25528362438470209</c:v>
                </c:pt>
                <c:pt idx="310">
                  <c:v>-0.56815496246557862</c:v>
                </c:pt>
                <c:pt idx="311">
                  <c:v>-0.87700194939447274</c:v>
                </c:pt>
                <c:pt idx="312">
                  <c:v>-1.1789062050911188</c:v>
                </c:pt>
                <c:pt idx="313">
                  <c:v>-1.4710028057136793</c:v>
                </c:pt>
                <c:pt idx="314">
                  <c:v>-1.7505075834655306</c:v>
                </c:pt>
                <c:pt idx="315">
                  <c:v>-2.0147437702438382</c:v>
                </c:pt>
                <c:pt idx="316">
                  <c:v>-2.2611677291878207</c:v>
                </c:pt>
                <c:pt idx="317">
                  <c:v>-2.487393525890103</c:v>
                </c:pt>
                <c:pt idx="318">
                  <c:v>-2.6912161011430644</c:v>
                </c:pt>
                <c:pt idx="319">
                  <c:v>-2.8706328195153565</c:v>
                </c:pt>
                <c:pt idx="320">
                  <c:v>-3.0238631826811218</c:v>
                </c:pt>
                <c:pt idx="321">
                  <c:v>-3.1493665131239679</c:v>
                </c:pt>
                <c:pt idx="322">
                  <c:v>-3.2458574324566882</c:v>
                </c:pt>
                <c:pt idx="323">
                  <c:v>-3.3123189789647158</c:v>
                </c:pt>
                <c:pt idx="324">
                  <c:v>-3.3480132309072732</c:v>
                </c:pt>
                <c:pt idx="325">
                  <c:v>-3.3524893253908448</c:v>
                </c:pt>
                <c:pt idx="326">
                  <c:v>-3.3255887870463265</c:v>
                </c:pt>
                <c:pt idx="327">
                  <c:v>-3.2674481060644536</c:v>
                </c:pt>
                <c:pt idx="328">
                  <c:v>-3.1784985311342533</c:v>
                </c:pt>
                <c:pt idx="329">
                  <c:v>-3.0594630692395359</c:v>
                </c:pt>
                <c:pt idx="330">
                  <c:v>-2.911350710847894</c:v>
                </c:pt>
                <c:pt idx="331">
                  <c:v>-2.7354479255205382</c:v>
                </c:pt>
                <c:pt idx="332">
                  <c:v>-2.533307499126404</c:v>
                </c:pt>
                <c:pt idx="333">
                  <c:v>-2.3067348094083386</c:v>
                </c:pt>
                <c:pt idx="334">
                  <c:v>-2.0577716613758295</c:v>
                </c:pt>
                <c:pt idx="335">
                  <c:v>-1.7886778276492161</c:v>
                </c:pt>
                <c:pt idx="336">
                  <c:v>-1.5019104612232501</c:v>
                </c:pt>
                <c:pt idx="337">
                  <c:v>-1.2001015689365704</c:v>
                </c:pt>
                <c:pt idx="338">
                  <c:v>-0.88603375302309306</c:v>
                </c:pt>
                <c:pt idx="339">
                  <c:v>-0.56261444529322413</c:v>
                </c:pt>
                <c:pt idx="340">
                  <c:v>-0.23284887357769501</c:v>
                </c:pt>
                <c:pt idx="341">
                  <c:v>0.10018798708767274</c:v>
                </c:pt>
                <c:pt idx="342">
                  <c:v>0.43338021558033579</c:v>
                </c:pt>
                <c:pt idx="343">
                  <c:v>0.76360022715534437</c:v>
                </c:pt>
                <c:pt idx="344">
                  <c:v>1.0877382608576187</c:v>
                </c:pt>
                <c:pt idx="345">
                  <c:v>1.4027317926632308</c:v>
                </c:pt>
                <c:pt idx="346">
                  <c:v>1.7055945949651405</c:v>
                </c:pt>
                <c:pt idx="347">
                  <c:v>1.9934451655179004</c:v>
                </c:pt>
                <c:pt idx="348">
                  <c:v>2.2635342541038064</c:v>
                </c:pt>
                <c:pt idx="349">
                  <c:v>2.5132712229379917</c:v>
                </c:pt>
                <c:pt idx="350">
                  <c:v>2.7402489871264928</c:v>
                </c:pt>
                <c:pt idx="351">
                  <c:v>2.9422672942374297</c:v>
                </c:pt>
                <c:pt idx="352">
                  <c:v>3.1173541171267312</c:v>
                </c:pt>
                <c:pt idx="353">
                  <c:v>3.2637849514391499</c:v>
                </c:pt>
                <c:pt idx="354">
                  <c:v>3.3800998285231856</c:v>
                </c:pt>
                <c:pt idx="355">
                  <c:v>3.4651178756765426</c:v>
                </c:pt>
                <c:pt idx="356">
                  <c:v>3.5179492784794544</c:v>
                </c:pt>
                <c:pt idx="357">
                  <c:v>3.5380045242631457</c:v>
                </c:pt>
                <c:pt idx="358">
                  <c:v>3.5250008312714902</c:v>
                </c:pt>
                <c:pt idx="359">
                  <c:v>3.4789656945655305</c:v>
                </c:pt>
                <c:pt idx="360">
                  <c:v>3.4002375069420676</c:v>
                </c:pt>
                <c:pt idx="361">
                  <c:v>3.2894632408310835</c:v>
                </c:pt>
                <c:pt idx="362">
                  <c:v>3.1475932050393185</c:v>
                </c:pt>
                <c:pt idx="363">
                  <c:v>2.9758729180521346</c:v>
                </c:pt>
                <c:pt idx="364">
                  <c:v>2.7758321671276347</c:v>
                </c:pt>
                <c:pt idx="365">
                  <c:v>2.5492713493512182</c:v>
                </c:pt>
                <c:pt idx="366">
                  <c:v>2.2982452169077283</c:v>
                </c:pt>
                <c:pt idx="367">
                  <c:v>2.0250441738193805</c:v>
                </c:pt>
                <c:pt idx="368">
                  <c:v>1.7321732950503208</c:v>
                </c:pt>
                <c:pt idx="369">
                  <c:v>1.4223292609637956</c:v>
                </c:pt>
                <c:pt idx="370">
                  <c:v>1.0983754204196756</c:v>
                </c:pt>
                <c:pt idx="371">
                  <c:v>0.76331521412122483</c:v>
                </c:pt>
                <c:pt idx="372">
                  <c:v>0.42026420598088671</c:v>
                </c:pt>
                <c:pt idx="373">
                  <c:v>7.2420984114646814E-2</c:v>
                </c:pt>
                <c:pt idx="374">
                  <c:v>-0.27696279554270875</c:v>
                </c:pt>
                <c:pt idx="375">
                  <c:v>-0.6246129411995256</c:v>
                </c:pt>
                <c:pt idx="376">
                  <c:v>-0.96726354479660004</c:v>
                </c:pt>
                <c:pt idx="377">
                  <c:v>-1.301687797854485</c:v>
                </c:pt>
                <c:pt idx="378">
                  <c:v>-1.6247285115557764</c:v>
                </c:pt>
                <c:pt idx="379">
                  <c:v>-1.9333280511644162</c:v>
                </c:pt>
                <c:pt idx="380">
                  <c:v>-2.2245573997747634</c:v>
                </c:pt>
                <c:pt idx="381">
                  <c:v>-2.4956440739979917</c:v>
                </c:pt>
                <c:pt idx="382">
                  <c:v>-2.743998624465938</c:v>
                </c:pt>
                <c:pt idx="383">
                  <c:v>-2.9672394668714102</c:v>
                </c:pt>
                <c:pt idx="384">
                  <c:v>-3.1632158045511396</c:v>
                </c:pt>
                <c:pt idx="385">
                  <c:v>-3.3300284212134406</c:v>
                </c:pt>
                <c:pt idx="386">
                  <c:v>-3.4660481421535438</c:v>
                </c:pt>
                <c:pt idx="387">
                  <c:v>-3.5699317840023714</c:v>
                </c:pt>
                <c:pt idx="388">
                  <c:v>-3.6406354365157592</c:v>
                </c:pt>
                <c:pt idx="389">
                  <c:v>-3.6774249449109502</c:v>
                </c:pt>
                <c:pt idx="390">
                  <c:v>-3.6798834875603088</c:v>
                </c:pt>
                <c:pt idx="391">
                  <c:v>-3.6479161712101256</c:v>
                </c:pt>
                <c:pt idx="392">
                  <c:v>-3.5817515940467626</c:v>
                </c:pt>
                <c:pt idx="393">
                  <c:v>-3.481940355615837</c:v>
                </c:pt>
                <c:pt idx="394">
                  <c:v>-3.3493505215403294</c:v>
                </c:pt>
                <c:pt idx="395">
                  <c:v>-3.1851600799053559</c:v>
                </c:pt>
                <c:pt idx="396">
                  <c:v>-2.9908464548041689</c:v>
                </c:pt>
                <c:pt idx="397">
                  <c:v>-2.7681731705992392</c:v>
                </c:pt>
                <c:pt idx="398">
                  <c:v>-2.5191737876744482</c:v>
                </c:pt>
                <c:pt idx="399">
                  <c:v>-2.2461332565795065</c:v>
                </c:pt>
                <c:pt idx="400">
                  <c:v>-1.95156686224334</c:v>
                </c:pt>
                <c:pt idx="401">
                  <c:v>-1.6381969531216145</c:v>
                </c:pt>
                <c:pt idx="402">
                  <c:v>-1.308927671521037</c:v>
                </c:pt>
                <c:pt idx="403">
                  <c:v>-0.96681792070149908</c:v>
                </c:pt>
                <c:pt idx="404">
                  <c:v>-0.61505282150946483</c:v>
                </c:pt>
                <c:pt idx="405">
                  <c:v>-0.25691392607502644</c:v>
                </c:pt>
                <c:pt idx="406">
                  <c:v>0.10425153163544765</c:v>
                </c:pt>
                <c:pt idx="407">
                  <c:v>0.46506205899854153</c:v>
                </c:pt>
                <c:pt idx="408">
                  <c:v>0.82213370534836594</c:v>
                </c:pt>
                <c:pt idx="409">
                  <c:v>1.1721119396510626</c:v>
                </c:pt>
                <c:pt idx="410">
                  <c:v>1.5117033036352201</c:v>
                </c:pt>
                <c:pt idx="411">
                  <c:v>1.8377065404108477</c:v>
                </c:pt>
                <c:pt idx="412">
                  <c:v>2.1470429031005867</c:v>
                </c:pt>
                <c:pt idx="413">
                  <c:v>2.4367853553148686</c:v>
                </c:pt>
                <c:pt idx="414">
                  <c:v>2.7041863853614201</c:v>
                </c:pt>
                <c:pt idx="415">
                  <c:v>2.9467041687973965</c:v>
                </c:pt>
                <c:pt idx="416">
                  <c:v>3.1620268291931719</c:v>
                </c:pt>
                <c:pt idx="417">
                  <c:v>3.3480945646375937</c:v>
                </c:pt>
                <c:pt idx="418">
                  <c:v>3.5031194274115993</c:v>
                </c:pt>
                <c:pt idx="419">
                  <c:v>3.6256025662034026</c:v>
                </c:pt>
                <c:pt idx="420">
                  <c:v>3.7143487640285566</c:v>
                </c:pt>
                <c:pt idx="421">
                  <c:v>3.7684781304274209</c:v>
                </c:pt>
                <c:pt idx="422">
                  <c:v>3.787434833301484</c:v>
                </c:pt>
                <c:pt idx="423">
                  <c:v>3.7709927836652799</c:v>
                </c:pt>
                <c:pt idx="424">
                  <c:v>3.7192582153677485</c:v>
                </c:pt>
                <c:pt idx="425">
                  <c:v>3.6326691312031425</c:v>
                </c:pt>
                <c:pt idx="426">
                  <c:v>3.5119916165077787</c:v>
                </c:pt>
                <c:pt idx="427">
                  <c:v>3.3583130510431132</c:v>
                </c:pt>
                <c:pt idx="428">
                  <c:v>3.1730322794145858</c:v>
                </c:pt>
                <c:pt idx="429">
                  <c:v>2.9578468291892488</c:v>
                </c:pt>
                <c:pt idx="430">
                  <c:v>2.7147372939766501</c:v>
                </c:pt>
                <c:pt idx="431">
                  <c:v>2.445949025758626</c:v>
                </c:pt>
                <c:pt idx="432">
                  <c:v>2.1539713064363863</c:v>
                </c:pt>
                <c:pt idx="433">
                  <c:v>1.8415141926604011</c:v>
                </c:pt>
                <c:pt idx="434">
                  <c:v>1.5114832502897477</c:v>
                </c:pt>
                <c:pt idx="435">
                  <c:v>1.1669524150787085</c:v>
                </c:pt>
                <c:pt idx="436">
                  <c:v>0.81113523421331535</c:v>
                </c:pt>
                <c:pt idx="437">
                  <c:v>0.44735475894676718</c:v>
                </c:pt>
                <c:pt idx="438">
                  <c:v>7.9012371657409874E-2</c:v>
                </c:pt>
                <c:pt idx="439">
                  <c:v>-0.29044415894929709</c:v>
                </c:pt>
                <c:pt idx="440">
                  <c:v>-0.6575530931561151</c:v>
                </c:pt>
                <c:pt idx="441">
                  <c:v>-1.0188712999651353</c:v>
                </c:pt>
                <c:pt idx="442">
                  <c:v>-1.3710066932829359</c:v>
                </c:pt>
                <c:pt idx="443">
                  <c:v>-1.7106502176621072</c:v>
                </c:pt>
                <c:pt idx="444">
                  <c:v>-2.0346070806811629</c:v>
                </c:pt>
                <c:pt idx="445">
                  <c:v>-2.3398269359051316</c:v>
                </c:pt>
                <c:pt idx="446">
                  <c:v>-2.6234327300483335</c:v>
                </c:pt>
                <c:pt idx="447">
                  <c:v>-2.8827479403677803</c:v>
                </c:pt>
                <c:pt idx="448">
                  <c:v>-3.1153219433359487</c:v>
                </c:pt>
                <c:pt idx="449">
                  <c:v>-3.3189532731333511</c:v>
                </c:pt>
                <c:pt idx="450">
                  <c:v>-3.491710548301115</c:v>
                </c:pt>
                <c:pt idx="451">
                  <c:v>-3.6319508668141776</c:v>
                </c:pt>
                <c:pt idx="452">
                  <c:v>-3.7383354936699305</c:v>
                </c:pt>
                <c:pt idx="453">
                  <c:v>-3.8098426906103406</c:v>
                </c:pt>
                <c:pt idx="454">
                  <c:v>-3.8457775645653527</c:v>
                </c:pt>
                <c:pt idx="455">
                  <c:v>-3.8457788395666048</c:v>
                </c:pt>
                <c:pt idx="456">
                  <c:v>-3.8098224859659107</c:v>
                </c:pt>
                <c:pt idx="457">
                  <c:v>-3.738222170526333</c:v>
                </c:pt>
                <c:pt idx="458">
                  <c:v>-3.6316265210525449</c:v>
                </c:pt>
                <c:pt idx="459">
                  <c:v>-3.4910132294054663</c:v>
                </c:pt>
                <c:pt idx="460">
                  <c:v>-3.3176800467166179</c:v>
                </c:pt>
                <c:pt idx="461">
                  <c:v>-3.1132327540949118</c:v>
                </c:pt>
                <c:pt idx="462">
                  <c:v>-2.8795702208223908</c:v>
                </c:pt>
                <c:pt idx="463">
                  <c:v>-2.6188666896914712</c:v>
                </c:pt>
                <c:pt idx="464">
                  <c:v>-2.3335514554813086</c:v>
                </c:pt>
                <c:pt idx="465">
                  <c:v>-2.0262861273539401</c:v>
                </c:pt>
                <c:pt idx="466">
                  <c:v>-1.6999396889342826</c:v>
                </c:pt>
                <c:pt idx="467">
                  <c:v>-1.3575615908036096</c:v>
                </c:pt>
                <c:pt idx="468">
                  <c:v>-1.0023531288821792</c:v>
                </c:pt>
                <c:pt idx="469">
                  <c:v>-0.63763737852528324</c:v>
                </c:pt>
                <c:pt idx="470">
                  <c:v>-0.26682796795005059</c:v>
                </c:pt>
                <c:pt idx="471">
                  <c:v>0.10660301428327522</c:v>
                </c:pt>
                <c:pt idx="472">
                  <c:v>0.47915767469874304</c:v>
                </c:pt>
                <c:pt idx="473">
                  <c:v>0.8473452247653539</c:v>
                </c:pt>
                <c:pt idx="474">
                  <c:v>1.207714834203069</c:v>
                </c:pt>
                <c:pt idx="475">
                  <c:v>1.5568881171847224</c:v>
                </c:pt>
                <c:pt idx="476">
                  <c:v>1.8915909442718011</c:v>
                </c:pt>
                <c:pt idx="477">
                  <c:v>2.2086842792252508</c:v>
                </c:pt>
                <c:pt idx="478">
                  <c:v>2.5051937489938876</c:v>
                </c:pt>
                <c:pt idx="479">
                  <c:v>2.7783376671146414</c:v>
                </c:pt>
                <c:pt idx="480">
                  <c:v>3.0255532453494762</c:v>
                </c:pt>
                <c:pt idx="481">
                  <c:v>3.244520745493932</c:v>
                </c:pt>
                <c:pt idx="482">
                  <c:v>3.4331853427597849</c:v>
                </c:pt>
                <c:pt idx="483">
                  <c:v>3.5897764937752603</c:v>
                </c:pt>
                <c:pt idx="484">
                  <c:v>3.7128246258541502</c:v>
                </c:pt>
                <c:pt idx="485">
                  <c:v>3.8011749895360429</c:v>
                </c:pt>
                <c:pt idx="486">
                  <c:v>3.8539985432532178</c:v>
                </c:pt>
                <c:pt idx="487">
                  <c:v>3.870799767079605</c:v>
                </c:pt>
                <c:pt idx="488">
                  <c:v>3.8514213315967814</c:v>
                </c:pt>
                <c:pt idx="489">
                  <c:v>3.7960455776947675</c:v>
                </c:pt>
                <c:pt idx="490">
                  <c:v>3.7051927933279512</c:v>
                </c:pt>
                <c:pt idx="491">
                  <c:v>3.5797163035816792</c:v>
                </c:pt>
                <c:pt idx="492">
                  <c:v>3.420794420584464</c:v>
                </c:pt>
                <c:pt idx="493">
                  <c:v>3.2299193295371875</c:v>
                </c:pt>
                <c:pt idx="494">
                  <c:v>3.0088830161413886</c:v>
                </c:pt>
                <c:pt idx="495">
                  <c:v>2.7597603687181058</c:v>
                </c:pt>
                <c:pt idx="496">
                  <c:v>2.4848896150500694</c:v>
                </c:pt>
                <c:pt idx="497">
                  <c:v>2.1868502791993265</c:v>
                </c:pt>
                <c:pt idx="498">
                  <c:v>1.8684388670104408</c:v>
                </c:pt>
                <c:pt idx="499">
                  <c:v>1.53264251048237</c:v>
                </c:pt>
                <c:pt idx="500">
                  <c:v>1.1826108204773091</c:v>
                </c:pt>
                <c:pt idx="501">
                  <c:v>0.82162621414806214</c:v>
                </c:pt>
                <c:pt idx="502">
                  <c:v>0.45307299784781663</c:v>
                </c:pt>
                <c:pt idx="503">
                  <c:v>8.0405497999863365E-2</c:v>
                </c:pt>
                <c:pt idx="504">
                  <c:v>-0.29288445865988211</c:v>
                </c:pt>
                <c:pt idx="505">
                  <c:v>-0.6633004079817989</c:v>
                </c:pt>
                <c:pt idx="506">
                  <c:v>-1.0273741438048458</c:v>
                </c:pt>
                <c:pt idx="507">
                  <c:v>-1.3816983350203185</c:v>
                </c:pt>
                <c:pt idx="508">
                  <c:v>-1.722958556200832</c:v>
                </c:pt>
                <c:pt idx="509">
                  <c:v>-2.0479644293675436</c:v>
                </c:pt>
                <c:pt idx="510">
                  <c:v>-2.3536795830047863</c:v>
                </c:pt>
                <c:pt idx="511">
                  <c:v>-2.6372501457536477</c:v>
                </c:pt>
                <c:pt idx="512">
                  <c:v>-2.8960315062142765</c:v>
                </c:pt>
                <c:pt idx="513">
                  <c:v>-3.1276130868282062</c:v>
                </c:pt>
                <c:pt idx="514">
                  <c:v>-3.3298408987370545</c:v>
                </c:pt>
                <c:pt idx="515">
                  <c:v>-3.5008376656417663</c:v>
                </c:pt>
                <c:pt idx="516">
                  <c:v>-3.6390203278158975</c:v>
                </c:pt>
                <c:pt idx="517">
                  <c:v>-3.7431147623353915</c:v>
                </c:pt>
                <c:pt idx="518">
                  <c:v>-3.8121675820383745</c:v>
                </c:pt>
                <c:pt idx="519">
                  <c:v>-3.8455549034698127</c:v>
                </c:pt>
                <c:pt idx="520">
                  <c:v>-3.8429880028321026</c:v>
                </c:pt>
                <c:pt idx="521">
                  <c:v>-3.8045158084803221</c:v>
                </c:pt>
                <c:pt idx="522">
                  <c:v>-3.7305242084883496</c:v>
                </c:pt>
                <c:pt idx="523">
                  <c:v>-3.6217321819843127</c:v>
                </c:pt>
                <c:pt idx="524">
                  <c:v>-3.4791847930233848</c:v>
                </c:pt>
                <c:pt idx="525">
                  <c:v>-3.3042431154473562</c:v>
                </c:pt>
                <c:pt idx="526">
                  <c:v>-3.0985711861913501</c:v>
                </c:pt>
                <c:pt idx="527">
                  <c:v>-2.8641201125631968</c:v>
                </c:pt>
                <c:pt idx="528">
                  <c:v>-2.6031094858744388</c:v>
                </c:pt>
                <c:pt idx="529">
                  <c:v>-2.318006279188578</c:v>
                </c:pt>
                <c:pt idx="530">
                  <c:v>-2.011501430632503</c:v>
                </c:pt>
                <c:pt idx="531">
                  <c:v>-1.6864843354663139</c:v>
                </c:pt>
                <c:pt idx="532">
                  <c:v>-1.3460154897207857</c:v>
                </c:pt>
                <c:pt idx="533">
                  <c:v>-0.99329754550448146</c:v>
                </c:pt>
                <c:pt idx="534">
                  <c:v>-0.63164505289237571</c:v>
                </c:pt>
                <c:pt idx="535">
                  <c:v>-0.26445317549621727</c:v>
                </c:pt>
                <c:pt idx="536">
                  <c:v>0.10483432373085122</c:v>
                </c:pt>
                <c:pt idx="537">
                  <c:v>0.47275752327324522</c:v>
                </c:pt>
                <c:pt idx="538">
                  <c:v>0.83587290348652421</c:v>
                </c:pt>
                <c:pt idx="539">
                  <c:v>1.1907857189270574</c:v>
                </c:pt>
                <c:pt idx="540">
                  <c:v>1.5341818769100888</c:v>
                </c:pt>
                <c:pt idx="541">
                  <c:v>1.8628590216187892</c:v>
                </c:pt>
                <c:pt idx="542">
                  <c:v>2.1737565309245248</c:v>
                </c:pt>
                <c:pt idx="543">
                  <c:v>2.4639841436879326</c:v>
                </c:pt>
                <c:pt idx="544">
                  <c:v>2.7308489485863863</c:v>
                </c:pt>
                <c:pt idx="545">
                  <c:v>2.9718804813270432</c:v>
                </c:pt>
                <c:pt idx="546">
                  <c:v>3.1848536953038491</c:v>
                </c:pt>
                <c:pt idx="547">
                  <c:v>3.3678095911647361</c:v>
                </c:pt>
                <c:pt idx="548">
                  <c:v>3.5190733131754497</c:v>
                </c:pt>
                <c:pt idx="549">
                  <c:v>3.6372695444843357</c:v>
                </c:pt>
                <c:pt idx="550">
                  <c:v>3.7213350591742604</c:v>
                </c:pt>
                <c:pt idx="551">
                  <c:v>3.770528316087761</c:v>
                </c:pt>
                <c:pt idx="552">
                  <c:v>3.7844360075691892</c:v>
                </c:pt>
                <c:pt idx="553">
                  <c:v>3.7629765052148789</c:v>
                </c:pt>
                <c:pt idx="554">
                  <c:v>3.7064001741821779</c:v>
                </c:pt>
                <c:pt idx="555">
                  <c:v>3.6152865572999247</c:v>
                </c:pt>
                <c:pt idx="556">
                  <c:v>3.4905384598642124</c:v>
                </c:pt>
                <c:pt idx="557">
                  <c:v>3.3333729953116462</c:v>
                </c:pt>
                <c:pt idx="558">
                  <c:v>3.1453096806599148</c:v>
                </c:pt>
                <c:pt idx="559">
                  <c:v>2.9281556984199115</c:v>
                </c:pt>
                <c:pt idx="560">
                  <c:v>2.6839884683516626</c:v>
                </c:pt>
                <c:pt idx="561">
                  <c:v>2.4151356977056428</c:v>
                </c:pt>
                <c:pt idx="562">
                  <c:v>2.1241531022237052</c:v>
                </c:pt>
                <c:pt idx="563">
                  <c:v>1.8138000119467683</c:v>
                </c:pt>
                <c:pt idx="564">
                  <c:v>1.4870130955854903</c:v>
                </c:pt>
                <c:pt idx="565">
                  <c:v>1.1468784546712636</c:v>
                </c:pt>
                <c:pt idx="566">
                  <c:v>0.79660235375437916</c:v>
                </c:pt>
                <c:pt idx="567">
                  <c:v>0.43948086541523973</c:v>
                </c:pt>
                <c:pt idx="568">
                  <c:v>7.8868718688284933E-2</c:v>
                </c:pt>
                <c:pt idx="569">
                  <c:v>-0.28185235342365</c:v>
                </c:pt>
                <c:pt idx="570">
                  <c:v>-0.63930546740660155</c:v>
                </c:pt>
                <c:pt idx="571">
                  <c:v>-0.99015034231993737</c:v>
                </c:pt>
                <c:pt idx="572">
                  <c:v>-1.3311146526208872</c:v>
                </c:pt>
                <c:pt idx="573">
                  <c:v>-1.6590246851429142</c:v>
                </c:pt>
                <c:pt idx="574">
                  <c:v>-1.9708350117421474</c:v>
                </c:pt>
                <c:pt idx="575">
                  <c:v>-2.2636568989522354</c:v>
                </c:pt>
                <c:pt idx="576">
                  <c:v>-2.5347851884434931</c:v>
                </c:pt>
                <c:pt idx="577">
                  <c:v>-2.78172339704274</c:v>
                </c:pt>
                <c:pt idx="578">
                  <c:v>-3.0022068023891713</c:v>
                </c:pt>
                <c:pt idx="579">
                  <c:v>-3.194223299811124</c:v>
                </c:pt>
                <c:pt idx="580">
                  <c:v>-3.3560318375179583</c:v>
                </c:pt>
                <c:pt idx="581">
                  <c:v>-3.4861782605024088</c:v>
                </c:pt>
                <c:pt idx="582">
                  <c:v>-3.5835084184176385</c:v>
                </c:pt>
                <c:pt idx="583">
                  <c:v>-3.6471784188888678</c:v>
                </c:pt>
                <c:pt idx="584">
                  <c:v>-3.6766619349914098</c:v>
                </c:pt>
                <c:pt idx="585">
                  <c:v>-3.6717545037125152</c:v>
                </c:pt>
                <c:pt idx="586">
                  <c:v>-3.6325747808458857</c:v>
                </c:pt>
                <c:pt idx="587">
                  <c:v>-3.5595627466706317</c:v>
                </c:pt>
                <c:pt idx="588">
                  <c:v>-3.4534748856655644</c:v>
                </c:pt>
                <c:pt idx="589">
                  <c:v>-3.3153763921301631</c:v>
                </c:pt>
                <c:pt idx="590">
                  <c:v>-3.1466304816531343</c:v>
                </c:pt>
                <c:pt idx="591">
                  <c:v>-2.9488849156223189</c:v>
                </c:pt>
                <c:pt idx="592">
                  <c:v>-2.7240558721480741</c:v>
                </c:pt>
                <c:pt idx="593">
                  <c:v>-2.4743093216290979</c:v>
                </c:pt>
                <c:pt idx="594">
                  <c:v>-2.2020400884910249</c:v>
                </c:pt>
                <c:pt idx="595">
                  <c:v>-1.9098488021558178</c:v>
                </c:pt>
                <c:pt idx="596">
                  <c:v>-1.6005169598522839</c:v>
                </c:pt>
                <c:pt idx="597">
                  <c:v>-1.2769803412733494</c:v>
                </c:pt>
                <c:pt idx="598">
                  <c:v>-0.94230103016338607</c:v>
                </c:pt>
                <c:pt idx="599">
                  <c:v>-0.59963831053961503</c:v>
                </c:pt>
                <c:pt idx="600">
                  <c:v>-0.25221871530124873</c:v>
                </c:pt>
                <c:pt idx="601">
                  <c:v>9.6694487631103887E-2</c:v>
                </c:pt>
                <c:pt idx="602">
                  <c:v>0.44383208184070272</c:v>
                </c:pt>
                <c:pt idx="603">
                  <c:v>0.78594966990005499</c:v>
                </c:pt>
                <c:pt idx="604">
                  <c:v>1.1198581309886191</c:v>
                </c:pt>
                <c:pt idx="605">
                  <c:v>1.4424534814517511</c:v>
                </c:pt>
                <c:pt idx="606">
                  <c:v>1.7507458574671269</c:v>
                </c:pt>
                <c:pt idx="607">
                  <c:v>2.0418873479945563</c:v>
                </c:pt>
                <c:pt idx="608">
                  <c:v>2.3131984177551352</c:v>
                </c:pt>
                <c:pt idx="609">
                  <c:v>2.5621926740007743</c:v>
                </c:pt>
                <c:pt idx="610">
                  <c:v>2.7865997471548454</c:v>
                </c:pt>
                <c:pt idx="611">
                  <c:v>2.9843860738678876</c:v>
                </c:pt>
                <c:pt idx="612">
                  <c:v>3.1537733914591497</c:v>
                </c:pt>
                <c:pt idx="613">
                  <c:v>3.2932547749040295</c:v>
                </c:pt>
                <c:pt idx="614">
                  <c:v>3.4016080712650032</c:v>
                </c:pt>
                <c:pt idx="615">
                  <c:v>3.4779066115179083</c:v>
                </c:pt>
                <c:pt idx="616">
                  <c:v>3.5215271058559292</c:v>
                </c:pt>
                <c:pt idx="617">
                  <c:v>3.5321546555074592</c:v>
                </c:pt>
                <c:pt idx="618">
                  <c:v>3.5097848416225119</c:v>
                </c:pt>
                <c:pt idx="619">
                  <c:v>3.4547228796025298</c:v>
                </c:pt>
                <c:pt idx="620">
                  <c:v>3.3675798551035045</c:v>
                </c:pt>
                <c:pt idx="621">
                  <c:v>3.2492660855672728</c:v>
                </c:pt>
                <c:pt idx="622">
                  <c:v>3.1009816782681847</c:v>
                </c:pt>
                <c:pt idx="623">
                  <c:v>2.9242043822444614</c:v>
                </c:pt>
                <c:pt idx="624">
                  <c:v>2.7206748568664159</c:v>
                </c:pt>
                <c:pt idx="625">
                  <c:v>2.4923795039380563</c:v>
                </c:pt>
                <c:pt idx="626">
                  <c:v>2.2415310329077873</c:v>
                </c:pt>
                <c:pt idx="627">
                  <c:v>1.9705469497658099</c:v>
                </c:pt>
                <c:pt idx="628">
                  <c:v>1.6820261793352931</c:v>
                </c:pt>
                <c:pt idx="629">
                  <c:v>1.3787240477439986</c:v>
                </c:pt>
                <c:pt idx="630">
                  <c:v>1.0635258667360905</c:v>
                </c:pt>
                <c:pt idx="631">
                  <c:v>0.7394193740152899</c:v>
                </c:pt>
                <c:pt idx="632">
                  <c:v>0.40946629388686662</c:v>
                </c:pt>
                <c:pt idx="633">
                  <c:v>7.6773289999377936E-2</c:v>
                </c:pt>
                <c:pt idx="634">
                  <c:v>-0.25553741308776745</c:v>
                </c:pt>
                <c:pt idx="635">
                  <c:v>-0.58435746050584392</c:v>
                </c:pt>
                <c:pt idx="636">
                  <c:v>-0.90662157122473053</c:v>
                </c:pt>
                <c:pt idx="637">
                  <c:v>-1.2193362401555177</c:v>
                </c:pt>
                <c:pt idx="638">
                  <c:v>-1.5196076682586157</c:v>
                </c:pt>
                <c:pt idx="639">
                  <c:v>-1.8046686589014835</c:v>
                </c:pt>
                <c:pt idx="640">
                  <c:v>-2.0719042293670831</c:v>
                </c:pt>
                <c:pt idx="641">
                  <c:v>-2.3188756994253552</c:v>
                </c:pt>
                <c:pt idx="642">
                  <c:v>-2.5433430341152694</c:v>
                </c:pt>
                <c:pt idx="643">
                  <c:v>-2.7432852351901866</c:v>
                </c:pt>
                <c:pt idx="644">
                  <c:v>-2.9169185948838443</c:v>
                </c:pt>
                <c:pt idx="645">
                  <c:v>-3.0627126465686021</c:v>
                </c:pt>
                <c:pt idx="646">
                  <c:v>-3.1794036692965841</c:v>
                </c:pt>
                <c:pt idx="647">
                  <c:v>-3.266005626918719</c:v>
                </c:pt>
                <c:pt idx="648">
                  <c:v>-3.3218184472371504</c:v>
                </c:pt>
                <c:pt idx="649">
                  <c:v>-3.3464335722222147</c:v>
                </c:pt>
                <c:pt idx="650">
                  <c:v>-3.3397367364695452</c:v>
                </c:pt>
                <c:pt idx="651">
                  <c:v>-3.3019079575352124</c:v>
                </c:pt>
                <c:pt idx="652">
                  <c:v>-3.2334187483126482</c:v>
                </c:pt>
                <c:pt idx="653">
                  <c:v>-3.1350265879511694</c:v>
                </c:pt>
                <c:pt idx="654">
                  <c:v>-3.0077667137122788</c:v>
                </c:pt>
                <c:pt idx="655">
                  <c:v>-2.8529413213696215</c:v>
                </c:pt>
                <c:pt idx="656">
                  <c:v>-2.6721062860445191</c:v>
                </c:pt>
                <c:pt idx="657">
                  <c:v>-2.4670555385018269</c:v>
                </c:pt>
                <c:pt idx="658">
                  <c:v>-2.2398032536942609</c:v>
                </c:pt>
                <c:pt idx="659">
                  <c:v>-1.9925640285341775</c:v>
                </c:pt>
                <c:pt idx="660">
                  <c:v>-1.7277312443028301</c:v>
                </c:pt>
                <c:pt idx="661">
                  <c:v>-1.4478538256091089</c:v>
                </c:pt>
                <c:pt idx="662">
                  <c:v>-1.155611622231419</c:v>
                </c:pt>
                <c:pt idx="663">
                  <c:v>-0.85378965238852611</c:v>
                </c:pt>
                <c:pt idx="664">
                  <c:v>-0.5452514558784276</c:v>
                </c:pt>
                <c:pt idx="665">
                  <c:v>-0.2329118130132416</c:v>
                </c:pt>
                <c:pt idx="666">
                  <c:v>8.0290909699527013E-2</c:v>
                </c:pt>
                <c:pt idx="667">
                  <c:v>0.3914225236627501</c:v>
                </c:pt>
                <c:pt idx="668">
                  <c:v>0.69758062861961179</c:v>
                </c:pt>
                <c:pt idx="669">
                  <c:v>0.99592180845868705</c:v>
                </c:pt>
                <c:pt idx="670">
                  <c:v>1.2836881564364193</c:v>
                </c:pt>
                <c:pt idx="671">
                  <c:v>1.5582328812698159</c:v>
                </c:pt>
                <c:pt idx="672">
                  <c:v>1.8170447553014655</c:v>
                </c:pt>
                <c:pt idx="673">
                  <c:v>2.0577711779264276</c:v>
                </c:pt>
                <c:pt idx="674">
                  <c:v>2.2782396415699573</c:v>
                </c:pt>
                <c:pt idx="675">
                  <c:v>2.476477403576002</c:v>
                </c:pt>
                <c:pt idx="676">
                  <c:v>2.6507291852456332</c:v>
                </c:pt>
                <c:pt idx="677">
                  <c:v>2.7994727387739871</c:v>
                </c:pt>
                <c:pt idx="678">
                  <c:v>2.9214321437818263</c:v>
                </c:pt>
                <c:pt idx="679">
                  <c:v>3.0155887173161515</c:v>
                </c:pt>
                <c:pt idx="680">
                  <c:v>3.0811894443863039</c:v>
                </c:pt>
                <c:pt idx="681">
                  <c:v>3.1177528600827298</c:v>
                </c:pt>
                <c:pt idx="682">
                  <c:v>3.1250723388612123</c:v>
                </c:pt>
                <c:pt idx="683">
                  <c:v>3.1032167714290391</c:v>
                </c:pt>
                <c:pt idx="684">
                  <c:v>3.0525286346032168</c:v>
                </c:pt>
                <c:pt idx="685">
                  <c:v>2.973619484283764</c:v>
                </c:pt>
                <c:pt idx="686">
                  <c:v>2.8673629260627354</c:v>
                </c:pt>
                <c:pt idx="687">
                  <c:v>2.7348851417390092</c:v>
                </c:pt>
                <c:pt idx="688">
                  <c:v>2.5775530729062588</c:v>
                </c:pt>
                <c:pt idx="689">
                  <c:v>2.3969603846109391</c:v>
                </c:pt>
                <c:pt idx="690">
                  <c:v>2.1949113526346058</c:v>
                </c:pt>
                <c:pt idx="691">
                  <c:v>1.9734028370491141</c:v>
                </c:pt>
                <c:pt idx="692">
                  <c:v>1.734604522147678</c:v>
                </c:pt>
                <c:pt idx="693">
                  <c:v>1.4808376185101022</c:v>
                </c:pt>
                <c:pt idx="694">
                  <c:v>1.2145522366741512</c:v>
                </c:pt>
                <c:pt idx="695">
                  <c:v>0.93830365353510292</c:v>
                </c:pt>
                <c:pt idx="696">
                  <c:v>0.6547277020796437</c:v>
                </c:pt>
                <c:pt idx="697">
                  <c:v>0.36651552229672468</c:v>
                </c:pt>
                <c:pt idx="698">
                  <c:v>7.6387916039364123E-2</c:v>
                </c:pt>
                <c:pt idx="699">
                  <c:v>-0.2129304488007715</c:v>
                </c:pt>
                <c:pt idx="700">
                  <c:v>-0.49873673921180073</c:v>
                </c:pt>
                <c:pt idx="701">
                  <c:v>-0.77837531959548178</c:v>
                </c:pt>
                <c:pt idx="702">
                  <c:v>-1.0492625368704918</c:v>
                </c:pt>
                <c:pt idx="703">
                  <c:v>-1.3089106957940411</c:v>
                </c:pt>
                <c:pt idx="704">
                  <c:v>-1.5549510010343104</c:v>
                </c:pt>
                <c:pt idx="705">
                  <c:v>-1.7851552535005586</c:v>
                </c:pt>
                <c:pt idx="706">
                  <c:v>-1.9974561013895205</c:v>
                </c:pt>
                <c:pt idx="707">
                  <c:v>-2.1899656612023639</c:v>
                </c:pt>
                <c:pt idx="708">
                  <c:v>-2.3609923404726043</c:v>
                </c:pt>
                <c:pt idx="709">
                  <c:v>-2.5090557119579073</c:v>
                </c:pt>
                <c:pt idx="710">
                  <c:v>-2.6328993084071985</c:v>
                </c:pt>
                <c:pt idx="711">
                  <c:v>-2.7315012275242543</c:v>
                </c:pt>
                <c:pt idx="712">
                  <c:v>-2.8040824582096953</c:v>
                </c:pt>
                <c:pt idx="713">
                  <c:v>-2.8501128613641216</c:v>
                </c:pt>
                <c:pt idx="714">
                  <c:v>-2.8693147612570851</c:v>
                </c:pt>
                <c:pt idx="715">
                  <c:v>-2.8616641264911138</c:v>
                </c:pt>
                <c:pt idx="716">
                  <c:v>-2.8273893426941932</c:v>
                </c:pt>
                <c:pt idx="717">
                  <c:v>-2.7669676020338714</c:v>
                </c:pt>
                <c:pt idx="718">
                  <c:v>-2.681118957243867</c:v>
                </c:pt>
                <c:pt idx="719">
                  <c:v>-2.5707981098738872</c:v>
                </c:pt>
                <c:pt idx="720">
                  <c:v>-2.4371840237057079</c:v>
                </c:pt>
                <c:pt idx="721">
                  <c:v>-2.2816674745253662</c:v>
                </c:pt>
                <c:pt idx="722">
                  <c:v>-2.105836666511741</c:v>
                </c:pt>
                <c:pt idx="723">
                  <c:v>-1.9114610632199347</c:v>
                </c:pt>
                <c:pt idx="724">
                  <c:v>-1.7004735973396881</c:v>
                </c:pt>
                <c:pt idx="725">
                  <c:v>-1.4749514379479427</c:v>
                </c:pt>
                <c:pt idx="726">
                  <c:v>-1.2370955067191238</c:v>
                </c:pt>
                <c:pt idx="727">
                  <c:v>-0.98920894539434778</c:v>
                </c:pt>
                <c:pt idx="728">
                  <c:v>-0.7336747456479833</c:v>
                </c:pt>
                <c:pt idx="729">
                  <c:v>-0.47293275925211775</c:v>
                </c:pt>
                <c:pt idx="730">
                  <c:v>-0.20945631107402085</c:v>
                </c:pt>
                <c:pt idx="731">
                  <c:v>5.4271360084589437E-2</c:v>
                </c:pt>
                <c:pt idx="732">
                  <c:v>0.31578060749704862</c:v>
                </c:pt>
                <c:pt idx="733">
                  <c:v>0.57263860592210913</c:v>
                </c:pt>
                <c:pt idx="734">
                  <c:v>0.82247208496184554</c:v>
                </c:pt>
                <c:pt idx="735">
                  <c:v>1.0629893529912398</c:v>
                </c:pt>
                <c:pt idx="736">
                  <c:v>1.2920014063714733</c:v>
                </c:pt>
                <c:pt idx="737">
                  <c:v>1.507441928669325</c:v>
                </c:pt>
                <c:pt idx="738">
                  <c:v>1.7073859964307203</c:v>
                </c:pt>
                <c:pt idx="739">
                  <c:v>1.8900673215702961</c:v>
                </c:pt>
                <c:pt idx="740">
                  <c:v>2.0538938755039231</c:v>
                </c:pt>
                <c:pt idx="741">
                  <c:v>2.1974617566099601</c:v>
                </c:pt>
                <c:pt idx="742">
                  <c:v>2.319567180293852</c:v>
                </c:pt>
                <c:pt idx="743">
                  <c:v>2.4192164896680399</c:v>
                </c:pt>
                <c:pt idx="744">
                  <c:v>2.4956341044606383</c:v>
                </c:pt>
                <c:pt idx="745">
                  <c:v>2.5482683460374709</c:v>
                </c:pt>
                <c:pt idx="746">
                  <c:v>2.5767950971610305</c:v>
                </c:pt>
                <c:pt idx="747">
                  <c:v>2.5811192761160182</c:v>
                </c:pt>
                <c:pt idx="748">
                  <c:v>2.5613741258997198</c:v>
                </c:pt>
                <c:pt idx="749">
                  <c:v>2.517918340100838</c:v>
                </c:pt>
                <c:pt idx="750">
                  <c:v>2.451331067673582</c:v>
                </c:pt>
                <c:pt idx="751">
                  <c:v>2.3624048588577047</c:v>
                </c:pt>
                <c:pt idx="752">
                  <c:v>2.2521366338080826</c:v>
                </c:pt>
                <c:pt idx="753">
                  <c:v>2.1217167738992702</c:v>
                </c:pt>
                <c:pt idx="754">
                  <c:v>1.9725164529885293</c:v>
                </c:pt>
                <c:pt idx="755">
                  <c:v>1.806073341993905</c:v>
                </c:pt>
                <c:pt idx="756">
                  <c:v>1.6240758348258579</c:v>
                </c:pt>
                <c:pt idx="757">
                  <c:v>1.4283459568681995</c:v>
                </c:pt>
                <c:pt idx="758">
                  <c:v>1.2208211287190089</c:v>
                </c:pt>
                <c:pt idx="759">
                  <c:v>1.0035349676749403</c:v>
                </c:pt>
                <c:pt idx="760">
                  <c:v>0.77859731738904503</c:v>
                </c:pt>
                <c:pt idx="761">
                  <c:v>0.54817370218864503</c:v>
                </c:pt>
                <c:pt idx="762">
                  <c:v>0.3144644066594442</c:v>
                </c:pt>
                <c:pt idx="763">
                  <c:v>7.9683383258625007E-2</c:v>
                </c:pt>
                <c:pt idx="764">
                  <c:v>-0.15396280909557536</c:v>
                </c:pt>
                <c:pt idx="765">
                  <c:v>-0.38429583428445535</c:v>
                </c:pt>
                <c:pt idx="766">
                  <c:v>-0.60918597862957058</c:v>
                </c:pt>
                <c:pt idx="767">
                  <c:v>-0.82657192902751797</c:v>
                </c:pt>
                <c:pt idx="768">
                  <c:v>-1.034479745088517</c:v>
                </c:pt>
                <c:pt idx="769">
                  <c:v>-1.2310408499132728</c:v>
                </c:pt>
                <c:pt idx="770">
                  <c:v>-1.4145088748962102</c:v>
                </c:pt>
                <c:pt idx="771">
                  <c:v>-1.5832752062077855</c:v>
                </c:pt>
                <c:pt idx="772">
                  <c:v>-1.735883094256393</c:v>
                </c:pt>
                <c:pt idx="773">
                  <c:v>-1.871040202319421</c:v>
                </c:pt>
                <c:pt idx="774">
                  <c:v>-1.9876294865075295</c:v>
                </c:pt>
                <c:pt idx="775">
                  <c:v>-2.0847183161254899</c:v>
                </c:pt>
                <c:pt idx="776">
                  <c:v>-2.1615657611462065</c:v>
                </c:pt>
                <c:pt idx="777">
                  <c:v>-2.2176279917424861</c:v>
                </c:pt>
                <c:pt idx="778">
                  <c:v>-2.2525617534446583</c:v>
                </c:pt>
                <c:pt idx="779">
                  <c:v>-2.2662259003272922</c:v>
                </c:pt>
                <c:pt idx="780">
                  <c:v>-2.258680987487744</c:v>
                </c:pt>
                <c:pt idx="781">
                  <c:v>-2.2301869427828462</c:v>
                </c:pt>
                <c:pt idx="782">
                  <c:v>-2.1811988561537827</c:v>
                </c:pt>
                <c:pt idx="783">
                  <c:v>-2.1123609427196159</c:v>
                </c:pt>
                <c:pt idx="784">
                  <c:v>-2.0244987529842411</c:v>
                </c:pt>
                <c:pt idx="785">
                  <c:v>-1.9186097198198837</c:v>
                </c:pt>
                <c:pt idx="786">
                  <c:v>-1.7958521472095814</c:v>
                </c:pt>
                <c:pt idx="787">
                  <c:v>-1.6575327599084579</c:v>
                </c:pt>
                <c:pt idx="788">
                  <c:v>-1.5050929460911264</c:v>
                </c:pt>
                <c:pt idx="789">
                  <c:v>-1.3400938365735162</c:v>
                </c:pt>
                <c:pt idx="790">
                  <c:v>-1.1642003742295595</c:v>
                </c:pt>
                <c:pt idx="791">
                  <c:v>-0.97916453568123596</c:v>
                </c:pt>
                <c:pt idx="792">
                  <c:v>-0.78680787415349829</c:v>
                </c:pt>
                <c:pt idx="793">
                  <c:v>-0.58900355750010114</c:v>
                </c:pt>
                <c:pt idx="794">
                  <c:v>-0.38765807878622005</c:v>
                </c:pt>
                <c:pt idx="795">
                  <c:v>-0.18469281843904239</c:v>
                </c:pt>
                <c:pt idx="796">
                  <c:v>1.797436315287082E-2</c:v>
                </c:pt>
                <c:pt idx="797">
                  <c:v>0.21844732558155067</c:v>
                </c:pt>
                <c:pt idx="798">
                  <c:v>0.4148694674727007</c:v>
                </c:pt>
                <c:pt idx="799">
                  <c:v>0.6054409964579115</c:v>
                </c:pt>
                <c:pt idx="800">
                  <c:v>0.78843548870678504</c:v>
                </c:pt>
                <c:pt idx="801">
                  <c:v>0.96221558500764237</c:v>
                </c:pt>
                <c:pt idx="802">
                  <c:v>1.1252476801520692</c:v>
                </c:pt>
                <c:pt idx="803">
                  <c:v>1.2761154734589077</c:v>
                </c:pt>
                <c:pt idx="804">
                  <c:v>1.413532260545205</c:v>
                </c:pt>
                <c:pt idx="805">
                  <c:v>1.5363518597875065</c:v>
                </c:pt>
                <c:pt idx="806">
                  <c:v>1.6435780811736931</c:v>
                </c:pt>
                <c:pt idx="807">
                  <c:v>1.7343726602776879</c:v>
                </c:pt>
                <c:pt idx="808">
                  <c:v>1.8080615957427455</c:v>
                </c:pt>
                <c:pt idx="809">
                  <c:v>1.8641398447720827</c:v>
                </c:pt>
                <c:pt idx="810">
                  <c:v>1.9022743475382518</c:v>
                </c:pt>
                <c:pt idx="811">
                  <c:v>1.9223053679708211</c:v>
                </c:pt>
                <c:pt idx="812">
                  <c:v>1.9242461548992731</c:v>
                </c:pt>
                <c:pt idx="813">
                  <c:v>1.9082809438545771</c:v>
                </c:pt>
                <c:pt idx="814">
                  <c:v>1.8747613358092701</c:v>
                </c:pt>
                <c:pt idx="815">
                  <c:v>1.8242011046056992</c:v>
                </c:pt>
                <c:pt idx="816">
                  <c:v>1.7572694996395639</c:v>
                </c:pt>
                <c:pt idx="817">
                  <c:v>1.6747831243902984</c:v>
                </c:pt>
                <c:pt idx="818">
                  <c:v>1.5776964844882719</c:v>
                </c:pt>
                <c:pt idx="819">
                  <c:v>1.4670913110621768</c:v>
                </c:pt>
                <c:pt idx="820">
                  <c:v>1.3441647760082631</c:v>
                </c:pt>
                <c:pt idx="821">
                  <c:v>1.2102167254678431</c:v>
                </c:pt>
                <c:pt idx="822">
                  <c:v>1.0666360661087384</c:v>
                </c:pt>
                <c:pt idx="823">
                  <c:v>0.91488644570859301</c:v>
                </c:pt>
                <c:pt idx="824">
                  <c:v>0.75649137497904029</c:v>
                </c:pt>
                <c:pt idx="825">
                  <c:v>0.59301894150835954</c:v>
                </c:pt>
                <c:pt idx="826">
                  <c:v>0.42606626911237777</c:v>
                </c:pt>
                <c:pt idx="827">
                  <c:v>0.2572438767587546</c:v>
                </c:pt>
                <c:pt idx="828">
                  <c:v>8.8160090574574745E-2</c:v>
                </c:pt>
                <c:pt idx="829">
                  <c:v>-7.9594339717405482E-2</c:v>
                </c:pt>
                <c:pt idx="830">
                  <c:v>-0.24446127222728586</c:v>
                </c:pt>
                <c:pt idx="831">
                  <c:v>-0.40492970954637353</c:v>
                </c:pt>
                <c:pt idx="832">
                  <c:v>-0.55954970439135243</c:v>
                </c:pt>
                <c:pt idx="833">
                  <c:v>-0.70694550572411896</c:v>
                </c:pt>
                <c:pt idx="834">
                  <c:v>-0.84582782572308535</c:v>
                </c:pt>
                <c:pt idx="835">
                  <c:v>-0.97500511797068645</c:v>
                </c:pt>
                <c:pt idx="836">
                  <c:v>-1.0933937681939083</c:v>
                </c:pt>
                <c:pt idx="837">
                  <c:v>-1.2000271107286924</c:v>
                </c:pt>
                <c:pt idx="838">
                  <c:v>-1.2940631964500693</c:v>
                </c:pt>
                <c:pt idx="839">
                  <c:v>-1.374791251085246</c:v>
                </c:pt>
                <c:pt idx="840">
                  <c:v>-1.4416367764665587</c:v>
                </c:pt>
                <c:pt idx="841">
                  <c:v>-1.494165261246216</c:v>
                </c:pt>
                <c:pt idx="842">
                  <c:v>-1.5320844817421411</c:v>
                </c:pt>
                <c:pt idx="843">
                  <c:v>-1.5552453877678327</c:v>
                </c:pt>
                <c:pt idx="844">
                  <c:v>-1.5636415823799377</c:v>
                </c:pt>
                <c:pt idx="845">
                  <c:v>-1.5574074183117126</c:v>
                </c:pt>
                <c:pt idx="846">
                  <c:v>-1.5368147473156237</c:v>
                </c:pt>
                <c:pt idx="847">
                  <c:v>-1.5022683715793264</c:v>
                </c:pt>
                <c:pt idx="848">
                  <c:v>-1.4543002586839826</c:v>
                </c:pt>
                <c:pt idx="849">
                  <c:v>-1.3935625931249127</c:v>
                </c:pt>
                <c:pt idx="850">
                  <c:v>-1.32081974810162</c:v>
                </c:pt>
                <c:pt idx="851">
                  <c:v>-1.2369392710108702</c:v>
                </c:pt>
                <c:pt idx="852">
                  <c:v>-1.142881984754357</c:v>
                </c:pt>
                <c:pt idx="853">
                  <c:v>-1.0396913145237385</c:v>
                </c:pt>
                <c:pt idx="854">
                  <c:v>-0.92848195608804907</c:v>
                </c:pt>
                <c:pt idx="855">
                  <c:v>-0.81042800672948623</c:v>
                </c:pt>
                <c:pt idx="856">
                  <c:v>-0.68675068381419657</c:v>
                </c:pt>
                <c:pt idx="857">
                  <c:v>-0.55870575852111815</c:v>
                </c:pt>
                <c:pt idx="858">
                  <c:v>-0.42757083347204472</c:v>
                </c:pt>
                <c:pt idx="859">
                  <c:v>-0.29463259291169774</c:v>
                </c:pt>
                <c:pt idx="860">
                  <c:v>-0.16117415269380531</c:v>
                </c:pt>
                <c:pt idx="861">
                  <c:v>-2.8462634665727959E-2</c:v>
                </c:pt>
                <c:pt idx="862">
                  <c:v>0.10226291384812281</c:v>
                </c:pt>
                <c:pt idx="863">
                  <c:v>0.22980313983222422</c:v>
                </c:pt>
                <c:pt idx="864">
                  <c:v>0.35300943418232</c:v>
                </c:pt>
                <c:pt idx="865">
                  <c:v>0.4707943088864921</c:v>
                </c:pt>
                <c:pt idx="866">
                  <c:v>0.58214100771171573</c:v>
                </c:pt>
                <c:pt idx="867">
                  <c:v>0.68611226534329517</c:v>
                </c:pt>
                <c:pt idx="868">
                  <c:v>0.78185813969976126</c:v>
                </c:pt>
                <c:pt idx="869">
                  <c:v>0.86862285256505201</c:v>
                </c:pt>
                <c:pt idx="870">
                  <c:v>0.94575058463030548</c:v>
                </c:pt>
                <c:pt idx="871">
                  <c:v>1.0126901824012389</c:v>
                </c:pt>
                <c:pt idx="872">
                  <c:v>1.068998746080235</c:v>
                </c:pt>
                <c:pt idx="873">
                  <c:v>1.1143440793534742</c:v>
                </c:pt>
                <c:pt idx="874">
                  <c:v>1.1485059938793647</c:v>
                </c:pt>
                <c:pt idx="875">
                  <c:v>1.1713764730598428</c:v>
                </c:pt>
                <c:pt idx="876">
                  <c:v>1.1829587112623852</c:v>
                </c:pt>
                <c:pt idx="877">
                  <c:v>1.1833650559303885</c:v>
                </c:pt>
                <c:pt idx="878">
                  <c:v>1.1728138908577461</c:v>
                </c:pt>
                <c:pt idx="879">
                  <c:v>1.1516255092050955</c:v>
                </c:pt>
                <c:pt idx="880">
                  <c:v>1.1202170344997175</c:v>
                </c:pt>
                <c:pt idx="881">
                  <c:v>1.079096456793476</c:v>
                </c:pt>
                <c:pt idx="882">
                  <c:v>1.0288558592716064</c:v>
                </c:pt>
                <c:pt idx="883">
                  <c:v>0.97016391783452804</c:v>
                </c:pt>
                <c:pt idx="884">
                  <c:v>0.90375776244843808</c:v>
                </c:pt>
                <c:pt idx="885">
                  <c:v>0.83043429432710425</c:v>
                </c:pt>
                <c:pt idx="886">
                  <c:v>0.75104105722156178</c:v>
                </c:pt>
                <c:pt idx="887">
                  <c:v>0.66646676422709006</c:v>
                </c:pt>
                <c:pt idx="888">
                  <c:v>0.57763158354601374</c:v>
                </c:pt>
                <c:pt idx="889">
                  <c:v>0.4854772875643909</c:v>
                </c:pt>
                <c:pt idx="890">
                  <c:v>0.39095736941365833</c:v>
                </c:pt>
                <c:pt idx="891">
                  <c:v>0.29502722990977626</c:v>
                </c:pt>
                <c:pt idx="892">
                  <c:v>0.19863453542009202</c:v>
                </c:pt>
                <c:pt idx="893">
                  <c:v>0.10270984383907278</c:v>
                </c:pt>
                <c:pt idx="894">
                  <c:v>8.1575915065750237E-3</c:v>
                </c:pt>
                <c:pt idx="895">
                  <c:v>-8.4152471365197545E-2</c:v>
                </c:pt>
                <c:pt idx="896">
                  <c:v>-0.17339331531101587</c:v>
                </c:pt>
                <c:pt idx="897">
                  <c:v>-0.25878806173160385</c:v>
                </c:pt>
                <c:pt idx="898">
                  <c:v>-0.33961674155873789</c:v>
                </c:pt>
                <c:pt idx="899">
                  <c:v>-0.41522232371190504</c:v>
                </c:pt>
                <c:pt idx="900">
                  <c:v>-0.48501596330047003</c:v>
                </c:pt>
                <c:pt idx="901">
                  <c:v>-0.54848142864499483</c:v>
                </c:pt>
                <c:pt idx="902">
                  <c:v>-0.60517867562003536</c:v>
                </c:pt>
                <c:pt idx="903">
                  <c:v>-0.65474654745148708</c:v>
                </c:pt>
                <c:pt idx="904">
                  <c:v>-0.69690458783100662</c:v>
                </c:pt>
                <c:pt idx="905">
                  <c:v>-0.73145396492974213</c:v>
                </c:pt>
                <c:pt idx="906">
                  <c:v>-0.75827751350181449</c:v>
                </c:pt>
                <c:pt idx="907">
                  <c:v>-0.77733891165912505</c:v>
                </c:pt>
                <c:pt idx="908">
                  <c:v>-0.78868101797654033</c:v>
                </c:pt>
                <c:pt idx="909">
                  <c:v>-0.79242340325598026</c:v>
                </c:pt>
                <c:pt idx="910">
                  <c:v>-0.78875911944800814</c:v>
                </c:pt>
                <c:pt idx="911">
                  <c:v>-0.7779507558197557</c:v>
                </c:pt>
                <c:pt idx="912">
                  <c:v>-0.76032583939285947</c:v>
                </c:pt>
                <c:pt idx="913">
                  <c:v>-0.73627164288459257</c:v>
                </c:pt>
                <c:pt idx="914">
                  <c:v>-0.70622946881284199</c:v>
                </c:pt>
                <c:pt idx="915">
                  <c:v>-0.670688483020903</c:v>
                </c:pt>
                <c:pt idx="916">
                  <c:v>-0.63017917459885586</c:v>
                </c:pt>
                <c:pt idx="917">
                  <c:v>-0.58526652199646345</c:v>
                </c:pt>
                <c:pt idx="918">
                  <c:v>-0.53654294701751959</c:v>
                </c:pt>
                <c:pt idx="919">
                  <c:v>-0.48462113934595585</c:v>
                </c:pt>
                <c:pt idx="920">
                  <c:v>-0.43012683428223109</c:v>
                </c:pt>
                <c:pt idx="921">
                  <c:v>-0.37369162547486057</c:v>
                </c:pt>
                <c:pt idx="922">
                  <c:v>-0.31594589263610273</c:v>
                </c:pt>
                <c:pt idx="923">
                  <c:v>-0.25751192156493907</c:v>
                </c:pt>
                <c:pt idx="924">
                  <c:v>-0.19899729030376601</c:v>
                </c:pt>
                <c:pt idx="925">
                  <c:v>-0.1409885909759625</c:v>
                </c:pt>
                <c:pt idx="926">
                  <c:v>-8.4045551847499844E-2</c:v>
                </c:pt>
                <c:pt idx="927">
                  <c:v>-2.8695618490842234E-2</c:v>
                </c:pt>
                <c:pt idx="928">
                  <c:v>2.4570953325171452E-2</c:v>
                </c:pt>
                <c:pt idx="929">
                  <c:v>7.5305447162802963E-2</c:v>
                </c:pt>
                <c:pt idx="930">
                  <c:v>0.12310443920082204</c:v>
                </c:pt>
                <c:pt idx="931">
                  <c:v>0.16761292416052553</c:v>
                </c:pt>
                <c:pt idx="932">
                  <c:v>0.20852679055166079</c:v>
                </c:pt>
                <c:pt idx="933">
                  <c:v>0.24559462987805469</c:v>
                </c:pt>
                <c:pt idx="934">
                  <c:v>0.27861887247546924</c:v>
                </c:pt>
                <c:pt idx="935">
                  <c:v>0.3074562506652182</c:v>
                </c:pt>
                <c:pt idx="936">
                  <c:v>0.33201759780632867</c:v>
                </c:pt>
                <c:pt idx="937">
                  <c:v>0.35226699952782803</c:v>
                </c:pt>
                <c:pt idx="938">
                  <c:v>0.36822032083278572</c:v>
                </c:pt>
                <c:pt idx="939">
                  <c:v>0.37994313980658162</c:v>
                </c:pt>
                <c:pt idx="940">
                  <c:v>0.38754812525643517</c:v>
                </c:pt>
                <c:pt idx="941">
                  <c:v>0.39119190168353485</c:v>
                </c:pt>
                <c:pt idx="942">
                  <c:v>0.39107145048003306</c:v>
                </c:pt>
                <c:pt idx="943">
                  <c:v>0.38742010109282154</c:v>
                </c:pt>
                <c:pt idx="944">
                  <c:v>0.38050317005139178</c:v>
                </c:pt>
                <c:pt idx="945">
                  <c:v>0.37061330917974367</c:v>
                </c:pt>
                <c:pt idx="946">
                  <c:v>0.35806562696556743</c:v>
                </c:pt>
                <c:pt idx="947">
                  <c:v>0.3431926489227316</c:v>
                </c:pt>
                <c:pt idx="948">
                  <c:v>0.32633918383694693</c:v>
                </c:pt>
                <c:pt idx="949">
                  <c:v>0.30785716302624189</c:v>
                </c:pt>
                <c:pt idx="950">
                  <c:v>0.28810051918098067</c:v>
                </c:pt>
                <c:pt idx="951">
                  <c:v>0.26742016998368934</c:v>
                </c:pt>
                <c:pt idx="952">
                  <c:v>0.24615916957113759</c:v>
                </c:pt>
                <c:pt idx="953">
                  <c:v>0.22464808802044134</c:v>
                </c:pt>
                <c:pt idx="954">
                  <c:v>0.2032006754552671</c:v>
                </c:pt>
                <c:pt idx="955">
                  <c:v>0.18210986312659561</c:v>
                </c:pt>
                <c:pt idx="956">
                  <c:v>0.16164414897890489</c:v>
                </c:pt>
                <c:pt idx="957">
                  <c:v>0.14204440982762034</c:v>
                </c:pt>
                <c:pt idx="958">
                  <c:v>0.12352117641573801</c:v>
                </c:pt>
                <c:pt idx="959">
                  <c:v>0.10625240135850289</c:v>
                </c:pt>
                <c:pt idx="960">
                  <c:v>9.0381743401566572E-2</c:v>
                </c:pt>
                <c:pt idx="961">
                  <c:v>7.6017384591100523E-2</c:v>
                </c:pt>
                <c:pt idx="962">
                  <c:v>6.3231389965950902E-2</c:v>
                </c:pt>
                <c:pt idx="963">
                  <c:v>5.2059612317010284E-2</c:v>
                </c:pt>
                <c:pt idx="964">
                  <c:v>4.2502137502483883E-2</c:v>
                </c:pt>
                <c:pt idx="965">
                  <c:v>3.4524258843493305E-2</c:v>
                </c:pt>
                <c:pt idx="966">
                  <c:v>2.8057962337119324E-2</c:v>
                </c:pt>
                <c:pt idx="967">
                  <c:v>2.3003897892885039E-2</c:v>
                </c:pt>
                <c:pt idx="968">
                  <c:v>1.9233805603243281E-2</c:v>
                </c:pt>
                <c:pt idx="969">
                  <c:v>1.6593360270366952E-2</c:v>
                </c:pt>
                <c:pt idx="970">
                  <c:v>1.4905392101567494E-2</c:v>
                </c:pt>
                <c:pt idx="971">
                  <c:v>1.3973436715304266E-2</c:v>
                </c:pt>
                <c:pt idx="972">
                  <c:v>1.3585563425093483E-2</c:v>
                </c:pt>
                <c:pt idx="973">
                  <c:v>1.3518427241294734E-2</c:v>
                </c:pt>
                <c:pt idx="974">
                  <c:v>1.3541487190592769E-2</c:v>
                </c:pt>
                <c:pt idx="975">
                  <c:v>1.342133143340446E-2</c:v>
                </c:pt>
                <c:pt idx="976">
                  <c:v>1.2926048287958014E-2</c:v>
                </c:pt>
                <c:pt idx="977">
                  <c:v>1.1829581660541821E-2</c:v>
                </c:pt>
                <c:pt idx="978">
                  <c:v>9.9160095417458738E-3</c:v>
                </c:pt>
                <c:pt idx="979">
                  <c:v>6.98368515911163E-3</c:v>
                </c:pt>
                <c:pt idx="980">
                  <c:v>2.8491820643965493E-3</c:v>
                </c:pt>
                <c:pt idx="981">
                  <c:v>-2.6490131408478668E-3</c:v>
                </c:pt>
                <c:pt idx="982">
                  <c:v>-9.6471136006499592E-3</c:v>
                </c:pt>
                <c:pt idx="983">
                  <c:v>-1.8252999870672415E-2</c:v>
                </c:pt>
                <c:pt idx="984">
                  <c:v>-2.8543587366985479E-2</c:v>
                </c:pt>
                <c:pt idx="985">
                  <c:v>-4.05626334941116E-2</c:v>
                </c:pt>
                <c:pt idx="986">
                  <c:v>-5.4319018816731512E-2</c:v>
                </c:pt>
                <c:pt idx="987">
                  <c:v>-6.9785530655329886E-2</c:v>
                </c:pt>
                <c:pt idx="988">
                  <c:v>-8.6898171119360601E-2</c:v>
                </c:pt>
                <c:pt idx="989">
                  <c:v>-0.10555600491967909</c:v>
                </c:pt>
                <c:pt idx="990">
                  <c:v>-0.12562155540244824</c:v>
                </c:pt>
                <c:pt idx="991">
                  <c:v>-0.14692175020293208</c:v>
                </c:pt>
                <c:pt idx="992">
                  <c:v>-0.16924941081236233</c:v>
                </c:pt>
                <c:pt idx="993">
                  <c:v>-0.1923652732706489</c:v>
                </c:pt>
                <c:pt idx="994">
                  <c:v>-0.21600052022649852</c:v>
                </c:pt>
                <c:pt idx="995">
                  <c:v>-0.23985979782889566</c:v>
                </c:pt>
                <c:pt idx="996">
                  <c:v>-0.26362468441252362</c:v>
                </c:pt>
                <c:pt idx="997">
                  <c:v>-0.28695757179327397</c:v>
                </c:pt>
                <c:pt idx="998">
                  <c:v>-0.30950591427504492</c:v>
                </c:pt>
                <c:pt idx="999">
                  <c:v>-0.33090679525622635</c:v>
                </c:pt>
                <c:pt idx="1000">
                  <c:v>-0.35079175667848783</c:v>
                </c:pt>
                <c:pt idx="1001">
                  <c:v>-0.36879183254244874</c:v>
                </c:pt>
                <c:pt idx="1002">
                  <c:v>-0.3845427243758176</c:v>
                </c:pt>
                <c:pt idx="1003">
                  <c:v>-0.39769005392384232</c:v>
                </c:pt>
                <c:pt idx="1004">
                  <c:v>-0.40789462647788277</c:v>
                </c:pt>
                <c:pt idx="1005">
                  <c:v>-0.4148376371920553</c:v>
                </c:pt>
                <c:pt idx="1006">
                  <c:v>-0.41822575247880145</c:v>
                </c:pt>
                <c:pt idx="1007">
                  <c:v>-0.41779599913422705</c:v>
                </c:pt>
                <c:pt idx="1008">
                  <c:v>-0.41332039522032143</c:v>
                </c:pt>
                <c:pt idx="1009">
                  <c:v>-0.40461025891780272</c:v>
                </c:pt>
                <c:pt idx="1010">
                  <c:v>-0.39152013453871526</c:v>
                </c:pt>
                <c:pt idx="1011">
                  <c:v>-0.37395127862792654</c:v>
                </c:pt>
                <c:pt idx="1012">
                  <c:v>-0.35185465354814416</c:v>
                </c:pt>
                <c:pt idx="1013">
                  <c:v>-0.32523338108882749</c:v>
                </c:pt>
                <c:pt idx="1014">
                  <c:v>-0.29414461441427253</c:v>
                </c:pt>
                <c:pt idx="1015">
                  <c:v>-0.25870079300686522</c:v>
                </c:pt>
                <c:pt idx="1016">
                  <c:v>-0.21907025210021835</c:v>
                </c:pt>
                <c:pt idx="1017">
                  <c:v>-0.1754771653614533</c:v>
                </c:pt>
                <c:pt idx="1018">
                  <c:v>-0.12820080719031468</c:v>
                </c:pt>
                <c:pt idx="1019">
                  <c:v>-7.7574128871206849E-2</c:v>
                </c:pt>
                <c:pt idx="1020">
                  <c:v>-2.3981650856241155E-2</c:v>
                </c:pt>
                <c:pt idx="1021">
                  <c:v>3.2143318419679101E-2</c:v>
                </c:pt>
                <c:pt idx="1022">
                  <c:v>9.032211867870088E-2</c:v>
                </c:pt>
                <c:pt idx="1023">
                  <c:v>0.15003480237280509</c:v>
                </c:pt>
                <c:pt idx="1024">
                  <c:v>0.2107247933559544</c:v>
                </c:pt>
                <c:pt idx="1025">
                  <c:v>0.2718040977985241</c:v>
                </c:pt>
                <c:pt idx="1026">
                  <c:v>0.33265901834027023</c:v>
                </c:pt>
                <c:pt idx="1027">
                  <c:v>0.39265631579470228</c:v>
                </c:pt>
                <c:pt idx="1028">
                  <c:v>0.45114975657819367</c:v>
                </c:pt>
                <c:pt idx="1029">
                  <c:v>0.50748697851776359</c:v>
                </c:pt>
                <c:pt idx="1030">
                  <c:v>0.56101660286170629</c:v>
                </c:pt>
                <c:pt idx="1031">
                  <c:v>0.61109551624020741</c:v>
                </c:pt>
                <c:pt idx="1032">
                  <c:v>0.65709624305274461</c:v>
                </c:pt>
                <c:pt idx="1033">
                  <c:v>0.69841432634305312</c:v>
                </c:pt>
                <c:pt idx="1034">
                  <c:v>0.73447563369740942</c:v>
                </c:pt>
                <c:pt idx="1035">
                  <c:v>0.76474350409518554</c:v>
                </c:pt>
                <c:pt idx="1036">
                  <c:v>0.78872565197161493</c:v>
                </c:pt>
                <c:pt idx="1037">
                  <c:v>0.80598074602790593</c:v>
                </c:pt>
                <c:pt idx="1038">
                  <c:v>0.81612458254009901</c:v>
                </c:pt>
                <c:pt idx="1039">
                  <c:v>0.81883577606429692</c:v>
                </c:pt>
                <c:pt idx="1040">
                  <c:v>0.81386089448685461</c:v>
                </c:pt>
                <c:pt idx="1041">
                  <c:v>0.8010189702897007</c:v>
                </c:pt>
                <c:pt idx="1042">
                  <c:v>0.78020532565183753</c:v>
                </c:pt>
                <c:pt idx="1043">
                  <c:v>0.75139465553282592</c:v>
                </c:pt>
                <c:pt idx="1044">
                  <c:v>0.71464332012028875</c:v>
                </c:pt>
                <c:pt idx="1045">
                  <c:v>0.67009080590275161</c:v>
                </c:pt>
                <c:pt idx="1046">
                  <c:v>0.61796032307062354</c:v>
                </c:pt>
                <c:pt idx="1047">
                  <c:v>0.5585585158663009</c:v>
                </c:pt>
                <c:pt idx="1048">
                  <c:v>0.49227427181011585</c:v>
                </c:pt>
                <c:pt idx="1049">
                  <c:v>0.41957662532183893</c:v>
                </c:pt>
                <c:pt idx="1050">
                  <c:v>0.34101176103985642</c:v>
                </c:pt>
                <c:pt idx="1051">
                  <c:v>0.25719913200481503</c:v>
                </c:pt>
                <c:pt idx="1052">
                  <c:v>0.16882671771842017</c:v>
                </c:pt>
                <c:pt idx="1053">
                  <c:v>7.6645456801646139E-2</c:v>
                </c:pt>
                <c:pt idx="1054">
                  <c:v>-1.8537101546419965E-2</c:v>
                </c:pt>
                <c:pt idx="1055">
                  <c:v>-0.11586387395164111</c:v>
                </c:pt>
                <c:pt idx="1056">
                  <c:v>-0.21443598510151629</c:v>
                </c:pt>
                <c:pt idx="1057">
                  <c:v>-0.31332110564032556</c:v>
                </c:pt>
                <c:pt idx="1058">
                  <c:v>-0.41156230803846916</c:v>
                </c:pt>
                <c:pt idx="1059">
                  <c:v>-0.50818735597017684</c:v>
                </c:pt>
                <c:pt idx="1060">
                  <c:v>-0.60221833676087777</c:v>
                </c:pt>
                <c:pt idx="1061">
                  <c:v>-0.69268154137528204</c:v>
                </c:pt>
                <c:pt idx="1062">
                  <c:v>-0.77861749227557375</c:v>
                </c:pt>
                <c:pt idx="1063">
                  <c:v>-0.8590910163413038</c:v>
                </c:pt>
                <c:pt idx="1064">
                  <c:v>-0.93320125795508113</c:v>
                </c:pt>
                <c:pt idx="1065">
                  <c:v>-1.0000915263560226</c:v>
                </c:pt>
                <c:pt idx="1066">
                  <c:v>-1.0589588714695171</c:v>
                </c:pt>
                <c:pt idx="1067">
                  <c:v>-1.1090632836507839</c:v>
                </c:pt>
                <c:pt idx="1068">
                  <c:v>-1.1497364151310148</c:v>
                </c:pt>
                <c:pt idx="1069">
                  <c:v>-1.1803897244166364</c:v>
                </c:pt>
                <c:pt idx="1070">
                  <c:v>-1.200521949443428</c:v>
                </c:pt>
                <c:pt idx="1071">
                  <c:v>-1.2097258208904837</c:v>
                </c:pt>
                <c:pt idx="1072">
                  <c:v>-1.2076939336704742</c:v>
                </c:pt>
                <c:pt idx="1073">
                  <c:v>-1.1942237021720761</c:v>
                </c:pt>
                <c:pt idx="1074">
                  <c:v>-1.1692213332728172</c:v>
                </c:pt>
                <c:pt idx="1075">
                  <c:v>-1.1327047603856095</c:v>
                </c:pt>
                <c:pt idx="1076">
                  <c:v>-1.0848054917623449</c:v>
                </c:pt>
                <c:pt idx="1077">
                  <c:v>-1.0257693368595624</c:v>
                </c:pt>
                <c:pt idx="1078">
                  <c:v>-0.9559559856687726</c:v>
                </c:pt>
                <c:pt idx="1079">
                  <c:v>-0.87583742741754944</c:v>
                </c:pt>
                <c:pt idx="1080">
                  <c:v>-0.78599520684402058</c:v>
                </c:pt>
                <c:pt idx="1081">
                  <c:v>-0.68711652821490565</c:v>
                </c:pt>
                <c:pt idx="1082">
                  <c:v>-0.57998922927326313</c:v>
                </c:pt>
                <c:pt idx="1083">
                  <c:v>-0.46549565924428449</c:v>
                </c:pt>
                <c:pt idx="1084">
                  <c:v>-0.34460550676848123</c:v>
                </c:pt>
                <c:pt idx="1085">
                  <c:v>-0.21836763504761314</c:v>
                </c:pt>
                <c:pt idx="1086">
                  <c:v>-8.7900992459242877E-2</c:v>
                </c:pt>
                <c:pt idx="1087">
                  <c:v>4.5615322699922745E-2</c:v>
                </c:pt>
                <c:pt idx="1088">
                  <c:v>0.1809527549574006</c:v>
                </c:pt>
                <c:pt idx="1089">
                  <c:v>0.31684464457309836</c:v>
                </c:pt>
                <c:pt idx="1090">
                  <c:v>0.45199813524313348</c:v>
                </c:pt>
                <c:pt idx="1091">
                  <c:v>0.5851065241645661</c:v>
                </c:pt>
                <c:pt idx="1092">
                  <c:v>0.71486193602742132</c:v>
                </c:pt>
                <c:pt idx="1093">
                  <c:v>0.83996819764092923</c:v>
                </c:pt>
                <c:pt idx="1094">
                  <c:v>0.95915378624455994</c:v>
                </c:pt>
                <c:pt idx="1095">
                  <c:v>1.0711847221515565</c:v>
                </c:pt>
                <c:pt idx="1096">
                  <c:v>1.1748772752619907</c:v>
                </c:pt>
                <c:pt idx="1097">
                  <c:v>1.2691103551898917</c:v>
                </c:pt>
                <c:pt idx="1098">
                  <c:v>1.3528374562863177</c:v>
                </c:pt>
                <c:pt idx="1099">
                  <c:v>1.4250980317071542</c:v>
                </c:pt>
                <c:pt idx="1100">
                  <c:v>1.4850281748556153</c:v>
                </c:pt>
                <c:pt idx="1101">
                  <c:v>1.5318704919958661</c:v>
                </c:pt>
                <c:pt idx="1102">
                  <c:v>1.5649830565453577</c:v>
                </c:pt>
                <c:pt idx="1103">
                  <c:v>1.5838473434533158</c:v>
                </c:pt>
                <c:pt idx="1104">
                  <c:v>1.5880750510929802</c:v>
                </c:pt>
                <c:pt idx="1105">
                  <c:v>1.5774137281577185</c:v>
                </c:pt>
                <c:pt idx="1106">
                  <c:v>1.5517511340630783</c:v>
                </c:pt>
                <c:pt idx="1107">
                  <c:v>1.5111182732159161</c:v>
                </c:pt>
                <c:pt idx="1108">
                  <c:v>1.4556910561086107</c:v>
                </c:pt>
                <c:pt idx="1109">
                  <c:v>1.3857905534089041</c:v>
                </c:pt>
                <c:pt idx="1110">
                  <c:v>1.3018818229162457</c:v>
                </c:pt>
                <c:pt idx="1111">
                  <c:v>1.2045713033125911</c:v>
                </c:pt>
                <c:pt idx="1112">
                  <c:v>1.0946027829071308</c:v>
                </c:pt>
                <c:pt idx="1113">
                  <c:v>0.97285196592161027</c:v>
                </c:pt>
                <c:pt idx="1114">
                  <c:v>0.84031967313807265</c:v>
                </c:pt>
                <c:pt idx="1115">
                  <c:v>0.69812372779266041</c:v>
                </c:pt>
                <c:pt idx="1116">
                  <c:v>0.54748959130074093</c:v>
                </c:pt>
                <c:pt idx="1117">
                  <c:v>0.38973982659850193</c:v>
                </c:pt>
                <c:pt idx="1118">
                  <c:v>0.22628247944819613</c:v>
                </c:pt>
                <c:pt idx="1119">
                  <c:v>5.8598479843241069E-2</c:v>
                </c:pt>
                <c:pt idx="1120">
                  <c:v>-0.11177182346048009</c:v>
                </c:pt>
                <c:pt idx="1121">
                  <c:v>-0.28324287238645973</c:v>
                </c:pt>
                <c:pt idx="1122">
                  <c:v>-0.45419872130450756</c:v>
                </c:pt>
                <c:pt idx="1123">
                  <c:v>-0.62300833195263827</c:v>
                </c:pt>
                <c:pt idx="1124">
                  <c:v>-0.78804119613337886</c:v>
                </c:pt>
                <c:pt idx="1125">
                  <c:v>-0.94768313598173859</c:v>
                </c:pt>
                <c:pt idx="1126">
                  <c:v>-1.1003521282290405</c:v>
                </c:pt>
                <c:pt idx="1127">
                  <c:v>-1.2445139970103467</c:v>
                </c:pt>
                <c:pt idx="1128">
                  <c:v>-1.3786978194171144</c:v>
                </c:pt>
                <c:pt idx="1129">
                  <c:v>-1.5015108891983329</c:v>
                </c:pt>
                <c:pt idx="1130">
                  <c:v>-1.6116530867656571</c:v>
                </c:pt>
                <c:pt idx="1131">
                  <c:v>-1.7079305079477556</c:v>
                </c:pt>
                <c:pt idx="1132">
                  <c:v>-1.7892682097382064</c:v>
                </c:pt>
                <c:pt idx="1133">
                  <c:v>-1.8547219385449409</c:v>
                </c:pt>
                <c:pt idx="1134">
                  <c:v>-1.9034887151197644</c:v>
                </c:pt>
                <c:pt idx="1135">
                  <c:v>-1.9349161603496188</c:v>
                </c:pt>
                <c:pt idx="1136">
                  <c:v>-1.9485104573388252</c:v>
                </c:pt>
                <c:pt idx="1137">
                  <c:v>-1.943942857604537</c:v>
                </c:pt>
                <c:pt idx="1138">
                  <c:v>-1.9210546526317098</c:v>
                </c:pt>
                <c:pt idx="1139">
                  <c:v>-1.8798605463642022</c:v>
                </c:pt>
                <c:pt idx="1140">
                  <c:v>-1.8205503793129092</c:v>
                </c:pt>
                <c:pt idx="1141">
                  <c:v>-1.7434891706949378</c:v>
                </c:pt>
                <c:pt idx="1142">
                  <c:v>-1.6492154612287417</c:v>
                </c:pt>
                <c:pt idx="1143">
                  <c:v>-1.5384379557443506</c:v>
                </c:pt>
                <c:pt idx="1144">
                  <c:v>-1.4120304814618969</c:v>
                </c:pt>
                <c:pt idx="1145">
                  <c:v>-1.2710252944811993</c:v>
                </c:pt>
                <c:pt idx="1146">
                  <c:v>-1.1166047835470347</c:v>
                </c:pt>
                <c:pt idx="1147">
                  <c:v>-0.9500916363413312</c:v>
                </c:pt>
                <c:pt idx="1148">
                  <c:v>-0.77293754924168923</c:v>
                </c:pt>
                <c:pt idx="1149">
                  <c:v>-0.58671057651799829</c:v>
                </c:pt>
                <c:pt idx="1150">
                  <c:v>-0.39308122915873422</c:v>
                </c:pt>
                <c:pt idx="1151">
                  <c:v>-0.19380744677848982</c:v>
                </c:pt>
                <c:pt idx="1152">
                  <c:v>9.2814217786632014E-3</c:v>
                </c:pt>
                <c:pt idx="1153">
                  <c:v>0.214301482591718</c:v>
                </c:pt>
                <c:pt idx="1154">
                  <c:v>0.41933184943418467</c:v>
                </c:pt>
                <c:pt idx="1155">
                  <c:v>0.62243272089184298</c:v>
                </c:pt>
                <c:pt idx="1156">
                  <c:v>0.82166381096163432</c:v>
                </c:pt>
                <c:pt idx="1157">
                  <c:v>1.0151029572966126</c:v>
                </c:pt>
                <c:pt idx="1158">
                  <c:v>1.2008647279762017</c:v>
                </c:pt>
                <c:pt idx="1159">
                  <c:v>1.3771188461249433</c:v>
                </c:pt>
                <c:pt idx="1160">
                  <c:v>1.5421082519068694</c:v>
                </c:pt>
                <c:pt idx="1161">
                  <c:v>1.6941666233979973</c:v>
                </c:pt>
                <c:pt idx="1162">
                  <c:v>1.8317351815809066</c:v>
                </c:pt>
                <c:pt idx="1163">
                  <c:v>1.9533786101905328</c:v>
                </c:pt>
                <c:pt idx="1164">
                  <c:v>2.057799928328353</c:v>
                </c:pt>
                <c:pt idx="1165">
                  <c:v>2.1438541625962699</c:v>
                </c:pt>
                <c:pt idx="1166">
                  <c:v>2.2105606759075829</c:v>
                </c:pt>
                <c:pt idx="1167">
                  <c:v>2.2571140220197035</c:v>
                </c:pt>
                <c:pt idx="1168">
                  <c:v>2.2828932080976152</c:v>
                </c:pt>
                <c:pt idx="1169">
                  <c:v>2.2874692621379809</c:v>
                </c:pt>
                <c:pt idx="1170">
                  <c:v>2.2706110177276626</c:v>
                </c:pt>
                <c:pt idx="1171">
                  <c:v>2.2322890452342721</c:v>
                </c:pt>
                <c:pt idx="1172">
                  <c:v>2.1726776759719657</c:v>
                </c:pt>
                <c:pt idx="1173">
                  <c:v>2.0921550839906171</c:v>
                </c:pt>
                <c:pt idx="1174">
                  <c:v>1.9913014087253844</c:v>
                </c:pt>
                <c:pt idx="1175">
                  <c:v>1.8708949206410082</c:v>
                </c:pt>
                <c:pt idx="1176">
                  <c:v>1.7319062510259553</c:v>
                </c:pt>
                <c:pt idx="1177">
                  <c:v>1.5754907260500475</c:v>
                </c:pt>
                <c:pt idx="1178">
                  <c:v>1.4029788639118559</c:v>
                </c:pt>
                <c:pt idx="1179">
                  <c:v>1.2158651121816333</c:v>
                </c:pt>
                <c:pt idx="1180">
                  <c:v>1.0157949201098706</c:v>
                </c:pt>
                <c:pt idx="1181">
                  <c:v>0.80455025754581744</c:v>
                </c:pt>
                <c:pt idx="1182">
                  <c:v>0.58403370802146504</c:v>
                </c:pt>
                <c:pt idx="1183">
                  <c:v>0.35625127834231085</c:v>
                </c:pt>
                <c:pt idx="1184">
                  <c:v>0.12329408053637114</c:v>
                </c:pt>
                <c:pt idx="1185">
                  <c:v>-0.11268094589589994</c:v>
                </c:pt>
                <c:pt idx="1186">
                  <c:v>-0.34947109294353851</c:v>
                </c:pt>
                <c:pt idx="1187">
                  <c:v>-0.58484853688563287</c:v>
                </c:pt>
                <c:pt idx="1188">
                  <c:v>-0.81658139043018885</c:v>
                </c:pt>
                <c:pt idx="1189">
                  <c:v>-1.0424549544038593</c:v>
                </c:pt>
                <c:pt idx="1190">
                  <c:v>-1.260292965820951</c:v>
                </c:pt>
                <c:pt idx="1191">
                  <c:v>-1.467978637726514</c:v>
                </c:pt>
                <c:pt idx="1192">
                  <c:v>-1.6634752867517939</c:v>
                </c:pt>
                <c:pt idx="1193">
                  <c:v>-1.8448463468482936</c:v>
                </c:pt>
                <c:pt idx="1194">
                  <c:v>-2.0102745721689068</c:v>
                </c:pt>
                <c:pt idx="1195">
                  <c:v>-2.1580802385095055</c:v>
                </c:pt>
                <c:pt idx="1196">
                  <c:v>-2.2867381610624138</c:v>
                </c:pt>
                <c:pt idx="1197">
                  <c:v>-2.3948933563955226</c:v>
                </c:pt>
                <c:pt idx="1198">
                  <c:v>-2.4813751884707433</c:v>
                </c:pt>
                <c:pt idx="1199">
                  <c:v>-2.5452098520477966</c:v>
                </c:pt>
                <c:pt idx="1200">
                  <c:v>-2.58563106186388</c:v>
                </c:pt>
                <c:pt idx="1201">
                  <c:v>-2.6020888323994225</c:v>
                </c:pt>
                <c:pt idx="1202">
                  <c:v>-2.5942562506834523</c:v>
                </c:pt>
                <c:pt idx="1203">
                  <c:v>-2.5620341632967802</c:v>
                </c:pt>
                <c:pt idx="1204">
                  <c:v>-2.505553718321095</c:v>
                </c:pt>
                <c:pt idx="1205">
                  <c:v>-2.4251767232717882</c:v>
                </c:pt>
                <c:pt idx="1206">
                  <c:v>-2.321493800851183</c:v>
                </c:pt>
                <c:pt idx="1207">
                  <c:v>-2.1953203454661692</c:v>
                </c:pt>
                <c:pt idx="1208">
                  <c:v>-2.047690304666832</c:v>
                </c:pt>
                <c:pt idx="1209">
                  <c:v>-1.8798478307772213</c:v>
                </c:pt>
                <c:pt idx="1210">
                  <c:v>-1.6932368687985162</c:v>
                </c:pt>
                <c:pt idx="1211">
                  <c:v>-1.4894887669643593</c:v>
                </c:pt>
                <c:pt idx="1212">
                  <c:v>-1.270408015920756</c:v>
                </c:pt>
                <c:pt idx="1213">
                  <c:v>-1.0379562411907219</c:v>
                </c:pt>
                <c:pt idx="1214">
                  <c:v>-0.79423459118356632</c:v>
                </c:pt>
                <c:pt idx="1215">
                  <c:v>-0.54146467933981723</c:v>
                </c:pt>
                <c:pt idx="1216">
                  <c:v>-0.28196825390310365</c:v>
                </c:pt>
                <c:pt idx="1217">
                  <c:v>-1.814578212428497E-2</c:v>
                </c:pt>
                <c:pt idx="1218">
                  <c:v>0.24754585270722074</c:v>
                </c:pt>
                <c:pt idx="1219">
                  <c:v>0.51261633326496625</c:v>
                </c:pt>
                <c:pt idx="1220">
                  <c:v>0.77456535328685072</c:v>
                </c:pt>
                <c:pt idx="1221">
                  <c:v>1.0309063040884374</c:v>
                </c:pt>
                <c:pt idx="1222">
                  <c:v>1.2791899771494624</c:v>
                </c:pt>
                <c:pt idx="1223">
                  <c:v>1.5170280559371345</c:v>
                </c:pt>
                <c:pt idx="1224">
                  <c:v>1.742116170811455</c:v>
                </c:pt>
                <c:pt idx="1225">
                  <c:v>1.9522562937234111</c:v>
                </c:pt>
                <c:pt idx="1226">
                  <c:v>2.1453782544523716</c:v>
                </c:pt>
                <c:pt idx="1227">
                  <c:v>2.3195601672969755</c:v>
                </c:pt>
                <c:pt idx="1228">
                  <c:v>2.4730475663764677</c:v>
                </c:pt>
                <c:pt idx="1229">
                  <c:v>2.6042710589395321</c:v>
                </c:pt>
                <c:pt idx="1230">
                  <c:v>2.711862319216785</c:v>
                </c:pt>
                <c:pt idx="1231">
                  <c:v>2.7946682602748458</c:v>
                </c:pt>
                <c:pt idx="1232">
                  <c:v>2.8517632378998874</c:v>
                </c:pt>
                <c:pt idx="1233">
                  <c:v>2.8824591586047257</c:v>
                </c:pt>
                <c:pt idx="1234">
                  <c:v>2.8863133832505614</c:v>
                </c:pt>
                <c:pt idx="1235">
                  <c:v>2.8631343383207182</c:v>
                </c:pt>
                <c:pt idx="1236">
                  <c:v>2.8129847683882692</c:v>
                </c:pt>
                <c:pt idx="1237">
                  <c:v>2.7361825855778008</c:v>
                </c:pt>
                <c:pt idx="1238">
                  <c:v>2.6332992946249325</c:v>
                </c:pt>
                <c:pt idx="1239">
                  <c:v>2.5051559952669495</c:v>
                </c:pt>
                <c:pt idx="1240">
                  <c:v>2.3528169869319044</c:v>
                </c:pt>
                <c:pt idx="1241">
                  <c:v>2.1775810238103408</c:v>
                </c:pt>
                <c:pt idx="1242">
                  <c:v>1.9809702911678972</c:v>
                </c:pt>
                <c:pt idx="1243">
                  <c:v>1.7647171959667338</c:v>
                </c:pt>
                <c:pt idx="1244">
                  <c:v>1.5307490862943285</c:v>
                </c:pt>
                <c:pt idx="1245">
                  <c:v>1.2811710345369307</c:v>
                </c:pt>
                <c:pt idx="1246">
                  <c:v>1.0182468384797796</c:v>
                </c:pt>
                <c:pt idx="1247">
                  <c:v>0.74437841237803548</c:v>
                </c:pt>
                <c:pt idx="1248">
                  <c:v>0.46208375633992227</c:v>
                </c:pt>
                <c:pt idx="1249">
                  <c:v>0.17397370693227288</c:v>
                </c:pt>
                <c:pt idx="1250">
                  <c:v>-0.11727231538808014</c:v>
                </c:pt>
                <c:pt idx="1251">
                  <c:v>-0.40893133572943929</c:v>
                </c:pt>
                <c:pt idx="1252">
                  <c:v>-0.69826239625645148</c:v>
                </c:pt>
                <c:pt idx="1253">
                  <c:v>-0.98253242851595912</c:v>
                </c:pt>
                <c:pt idx="1254">
                  <c:v>-1.2590421813315202</c:v>
                </c:pt>
                <c:pt idx="1255">
                  <c:v>-1.5251519572697552</c:v>
                </c:pt>
                <c:pt idx="1256">
                  <c:v>-1.7783069113143708</c:v>
                </c:pt>
                <c:pt idx="1257">
                  <c:v>-2.0160616683825077</c:v>
                </c:pt>
                <c:pt idx="1258">
                  <c:v>-2.2361040216669332</c:v>
                </c:pt>
                <c:pt idx="1259">
                  <c:v>-2.4362774814451473</c:v>
                </c:pt>
                <c:pt idx="1260">
                  <c:v>-2.6146024538989447</c:v>
                </c:pt>
                <c:pt idx="1261">
                  <c:v>-2.7692958415513456</c:v>
                </c:pt>
                <c:pt idx="1262">
                  <c:v>-2.8987888710450505</c:v>
                </c:pt>
                <c:pt idx="1263">
                  <c:v>-3.0017429700311338</c:v>
                </c:pt>
                <c:pt idx="1264">
                  <c:v>-3.0770635327632956</c:v>
                </c:pt>
                <c:pt idx="1265">
                  <c:v>-3.1239114334373568</c:v>
                </c:pt>
                <c:pt idx="1266">
                  <c:v>-3.1417121671986732</c:v>
                </c:pt>
                <c:pt idx="1267">
                  <c:v>-3.1301625208670831</c:v>
                </c:pt>
                <c:pt idx="1268">
                  <c:v>-3.0892346985918517</c:v>
                </c:pt>
                <c:pt idx="1269">
                  <c:v>-3.0191778516310661</c:v>
                </c:pt>
                <c:pt idx="1270">
                  <c:v>-2.9205169860231872</c:v>
                </c:pt>
                <c:pt idx="1271">
                  <c:v>-2.7940492468487919</c:v>
                </c:pt>
                <c:pt idx="1272">
                  <c:v>-2.6408376028317884</c:v>
                </c:pt>
                <c:pt idx="1273">
                  <c:v>-2.4622019799599082</c:v>
                </c:pt>
                <c:pt idx="1274">
                  <c:v>-2.2597079173736634</c:v>
                </c:pt>
                <c:pt idx="1275">
                  <c:v>-2.0351528427462009</c:v>
                </c:pt>
                <c:pt idx="1276">
                  <c:v>-1.7905500875176954</c:v>
                </c:pt>
                <c:pt idx="1277">
                  <c:v>-1.5281107844346222</c:v>
                </c:pt>
                <c:pt idx="1278">
                  <c:v>-1.2502238106568058</c:v>
                </c:pt>
                <c:pt idx="1279">
                  <c:v>-0.95943395903220685</c:v>
                </c:pt>
                <c:pt idx="1280">
                  <c:v>-0.6584185378068379</c:v>
                </c:pt>
                <c:pt idx="1281">
                  <c:v>-0.34996261485880864</c:v>
                </c:pt>
                <c:pt idx="1282">
                  <c:v>-3.6933136364827535E-2</c:v>
                </c:pt>
                <c:pt idx="1283">
                  <c:v>0.27774783851991502</c:v>
                </c:pt>
                <c:pt idx="1284">
                  <c:v>0.59113053597809051</c:v>
                </c:pt>
                <c:pt idx="1285">
                  <c:v>0.90026524080873793</c:v>
                </c:pt>
                <c:pt idx="1286">
                  <c:v>1.2022301820292363</c:v>
                </c:pt>
                <c:pt idx="1287">
                  <c:v>1.494159266053404</c:v>
                </c:pt>
                <c:pt idx="1288">
                  <c:v>1.7732693931120949</c:v>
                </c:pt>
                <c:pt idx="1289">
                  <c:v>2.0368870955267164</c:v>
                </c:pt>
                <c:pt idx="1290">
                  <c:v>2.2824742419011472</c:v>
                </c:pt>
                <c:pt idx="1291">
                  <c:v>2.507652559219502</c:v>
                </c:pt>
                <c:pt idx="1292">
                  <c:v>2.7102267351608105</c:v>
                </c:pt>
                <c:pt idx="1293">
                  <c:v>2.8882058755761424</c:v>
                </c:pt>
                <c:pt idx="1294">
                  <c:v>3.0398231069058594</c:v>
                </c:pt>
                <c:pt idx="1295">
                  <c:v>3.1635531302112834</c:v>
                </c:pt>
                <c:pt idx="1296">
                  <c:v>3.2581275523009499</c:v>
                </c:pt>
                <c:pt idx="1297">
                  <c:v>3.322547839973538</c:v>
                </c:pt>
                <c:pt idx="1298">
                  <c:v>3.3560957654871855</c:v>
                </c:pt>
                <c:pt idx="1299">
                  <c:v>3.3583412347913839</c:v>
                </c:pt>
                <c:pt idx="1300">
                  <c:v>3.3291474146041624</c:v>
                </c:pt>
                <c:pt idx="1301">
                  <c:v>3.2686730998516111</c:v>
                </c:pt>
                <c:pt idx="1302">
                  <c:v>3.1773722890695368</c:v>
                </c:pt>
                <c:pt idx="1303">
                  <c:v>3.0559909618490746</c:v>
                </c:pt>
                <c:pt idx="1304">
                  <c:v>2.9055610790390043</c:v>
                </c:pt>
                <c:pt idx="1305">
                  <c:v>2.7273918529416634</c:v>
                </c:pt>
                <c:pt idx="1306">
                  <c:v>2.5230583609019055</c:v>
                </c:pt>
                <c:pt idx="1307">
                  <c:v>2.2943876012397828</c:v>
                </c:pt>
                <c:pt idx="1308">
                  <c:v>2.0434421151693032</c:v>
                </c:pt>
                <c:pt idx="1309">
                  <c:v>1.7725013219381625</c:v>
                </c:pt>
                <c:pt idx="1310">
                  <c:v>1.4840407366897044</c:v>
                </c:pt>
                <c:pt idx="1311">
                  <c:v>1.1807092612690058</c:v>
                </c:pt>
                <c:pt idx="1312">
                  <c:v>0.86530475716658328</c:v>
                </c:pt>
                <c:pt idx="1313">
                  <c:v>0.54074812683097051</c:v>
                </c:pt>
                <c:pt idx="1314">
                  <c:v>0.21005614451393939</c:v>
                </c:pt>
                <c:pt idx="1315">
                  <c:v>-0.12368670951001559</c:v>
                </c:pt>
                <c:pt idx="1316">
                  <c:v>-0.45735714721115572</c:v>
                </c:pt>
                <c:pt idx="1317">
                  <c:v>-0.78782243161188437</c:v>
                </c:pt>
                <c:pt idx="1318">
                  <c:v>-1.1119699189497125</c:v>
                </c:pt>
                <c:pt idx="1319">
                  <c:v>-1.4267365044008606</c:v>
                </c:pt>
                <c:pt idx="1320">
                  <c:v>-1.7291376916216321</c:v>
                </c:pt>
                <c:pt idx="1321">
                  <c:v>-2.0162960090841069</c:v>
                </c:pt>
                <c:pt idx="1322">
                  <c:v>-2.285468501553892</c:v>
                </c:pt>
                <c:pt idx="1323">
                  <c:v>-2.5340730330345029</c:v>
                </c:pt>
                <c:pt idx="1324">
                  <c:v>-2.7597131480188111</c:v>
                </c:pt>
                <c:pt idx="1325">
                  <c:v>-2.9602012508491375</c:v>
                </c:pt>
                <c:pt idx="1326">
                  <c:v>-3.1335798782762128</c:v>
                </c:pt>
                <c:pt idx="1327">
                  <c:v>-3.2781408577851541</c:v>
                </c:pt>
                <c:pt idx="1328">
                  <c:v>-3.3924421637623619</c:v>
                </c:pt>
                <c:pt idx="1329">
                  <c:v>-3.4753223049297448</c:v>
                </c:pt>
                <c:pt idx="1330">
                  <c:v>-3.5259120994738185</c:v>
                </c:pt>
                <c:pt idx="1331">
                  <c:v>-3.5436437187309533</c:v>
                </c:pt>
                <c:pt idx="1332">
                  <c:v>-3.5282569059273348</c:v>
                </c:pt>
                <c:pt idx="1333">
                  <c:v>-3.4798023030712955</c:v>
                </c:pt>
                <c:pt idx="1334">
                  <c:v>-3.3986418464044625</c:v>
                </c:pt>
                <c:pt idx="1335">
                  <c:v>-3.2854462185785978</c:v>
                </c:pt>
                <c:pt idx="1336">
                  <c:v>-3.1411893736725878</c:v>
                </c:pt>
                <c:pt idx="1337">
                  <c:v>-2.9671401790315568</c:v>
                </c:pt>
                <c:pt idx="1338">
                  <c:v>-2.764851245432888</c:v>
                </c:pt>
                <c:pt idx="1339">
                  <c:v>-2.5361450439969433</c:v>
                </c:pt>
                <c:pt idx="1340">
                  <c:v>-2.2830974343044499</c:v>
                </c:pt>
                <c:pt idx="1341">
                  <c:v>-2.0080187531091918</c:v>
                </c:pt>
                <c:pt idx="1342">
                  <c:v>-1.71343263660009</c:v>
                </c:pt>
                <c:pt idx="1343">
                  <c:v>-1.4020527711453541</c:v>
                </c:pt>
                <c:pt idx="1344">
                  <c:v>-1.0767577876263914</c:v>
                </c:pt>
                <c:pt idx="1345">
                  <c:v>-0.74056453264686661</c:v>
                </c:pt>
                <c:pt idx="1346">
                  <c:v>-0.39659996590193547</c:v>
                </c:pt>
                <c:pt idx="1347">
                  <c:v>-4.8071946656201847E-2</c:v>
                </c:pt>
                <c:pt idx="1348">
                  <c:v>0.30176081652726072</c:v>
                </c:pt>
                <c:pt idx="1349">
                  <c:v>0.64961937005543047</c:v>
                </c:pt>
                <c:pt idx="1350">
                  <c:v>0.99223538488380014</c:v>
                </c:pt>
                <c:pt idx="1351">
                  <c:v>1.3263819995144353</c:v>
                </c:pt>
                <c:pt idx="1352">
                  <c:v>1.648904344093151</c:v>
                </c:pt>
                <c:pt idx="1353">
                  <c:v>1.9567494556379159</c:v>
                </c:pt>
                <c:pt idx="1354">
                  <c:v>2.2469952995478</c:v>
                </c:pt>
                <c:pt idx="1355">
                  <c:v>2.5168786203830749</c:v>
                </c:pt>
                <c:pt idx="1356">
                  <c:v>2.7638213554031505</c:v>
                </c:pt>
                <c:pt idx="1357">
                  <c:v>2.985455357404124</c:v>
                </c:pt>
                <c:pt idx="1358">
                  <c:v>3.1796451888946047</c:v>
                </c:pt>
                <c:pt idx="1359">
                  <c:v>3.3445087674438438</c:v>
                </c:pt>
                <c:pt idx="1360">
                  <c:v>3.4784356619644159</c:v>
                </c:pt>
                <c:pt idx="1361">
                  <c:v>3.5801028615684176</c:v>
                </c:pt>
                <c:pt idx="1362">
                  <c:v>3.6484878622557551</c:v>
                </c:pt>
                <c:pt idx="1363">
                  <c:v>3.682878941834328</c:v>
                </c:pt>
                <c:pt idx="1364">
                  <c:v>3.6828825198978352</c:v>
                </c:pt>
                <c:pt idx="1365">
                  <c:v>3.6484275271484314</c:v>
                </c:pt>
                <c:pt idx="1366">
                  <c:v>3.5797667365881098</c:v>
                </c:pt>
                <c:pt idx="1367">
                  <c:v>3.4774750378474106</c:v>
                </c:pt>
                <c:pt idx="1368">
                  <c:v>3.3424446648994746</c:v>
                </c:pt>
                <c:pt idx="1369">
                  <c:v>3.1758774163450516</c:v>
                </c:pt>
                <c:pt idx="1370">
                  <c:v>2.9792739360753275</c:v>
                </c:pt>
                <c:pt idx="1371">
                  <c:v>2.754420150149107</c:v>
                </c:pt>
                <c:pt idx="1372">
                  <c:v>2.5033709828922617</c:v>
                </c:pt>
                <c:pt idx="1373">
                  <c:v>2.228431501278616</c:v>
                </c:pt>
                <c:pt idx="1374">
                  <c:v>1.9321356613320224</c:v>
                </c:pt>
                <c:pt idx="1375">
                  <c:v>1.6172228533644331</c:v>
                </c:pt>
                <c:pt idx="1376">
                  <c:v>1.2866124641064061</c:v>
                </c:pt>
                <c:pt idx="1377">
                  <c:v>0.94337669299301319</c:v>
                </c:pt>
                <c:pt idx="1378">
                  <c:v>0.59071187685345516</c:v>
                </c:pt>
                <c:pt idx="1379">
                  <c:v>0.23190859184646795</c:v>
                </c:pt>
                <c:pt idx="1380">
                  <c:v>-0.12967918645283483</c:v>
                </c:pt>
                <c:pt idx="1381">
                  <c:v>-0.49066557449475545</c:v>
                </c:pt>
                <c:pt idx="1382">
                  <c:v>-0.84766462673927767</c:v>
                </c:pt>
                <c:pt idx="1383">
                  <c:v>-1.1973222353417003</c:v>
                </c:pt>
                <c:pt idx="1384">
                  <c:v>-1.5363477816964106</c:v>
                </c:pt>
                <c:pt idx="1385">
                  <c:v>-1.8615452398646357</c:v>
                </c:pt>
                <c:pt idx="1386">
                  <c:v>-2.169843436634316</c:v>
                </c:pt>
                <c:pt idx="1387">
                  <c:v>-2.4583251804958541</c:v>
                </c:pt>
                <c:pt idx="1388">
                  <c:v>-2.7242549821024546</c:v>
                </c:pt>
                <c:pt idx="1389">
                  <c:v>-2.9651051017201135</c:v>
                </c:pt>
                <c:pt idx="1390">
                  <c:v>-3.1785796746416271</c:v>
                </c:pt>
                <c:pt idx="1391">
                  <c:v>-3.3626366834002881</c:v>
                </c:pt>
                <c:pt idx="1392">
                  <c:v>-3.5155075657020274</c:v>
                </c:pt>
                <c:pt idx="1393">
                  <c:v>-3.6357142691127837</c:v>
                </c:pt>
                <c:pt idx="1394">
                  <c:v>-3.7220835874846405</c:v>
                </c:pt>
                <c:pt idx="1395">
                  <c:v>-3.7737586396508758</c:v>
                </c:pt>
                <c:pt idx="1396">
                  <c:v>-3.7902073778287484</c:v>
                </c:pt>
                <c:pt idx="1397">
                  <c:v>-3.7712280411824803</c:v>
                </c:pt>
                <c:pt idx="1398">
                  <c:v>-3.7169514988539158</c:v>
                </c:pt>
                <c:pt idx="1399">
                  <c:v>-3.6278404561900821</c:v>
                </c:pt>
                <c:pt idx="1400">
                  <c:v>-3.5046855276057531</c:v>
                </c:pt>
                <c:pt idx="1401">
                  <c:v>-3.3485982092339182</c:v>
                </c:pt>
                <c:pt idx="1402">
                  <c:v>-3.1610008139527941</c:v>
                </c:pt>
                <c:pt idx="1403">
                  <c:v>-2.9436134602551043</c:v>
                </c:pt>
                <c:pt idx="1404">
                  <c:v>-2.6984382344695046</c:v>
                </c:pt>
                <c:pt idx="1405">
                  <c:v>-2.4277406727839672</c:v>
                </c:pt>
                <c:pt idx="1406">
                  <c:v>-2.1340287351012948</c:v>
                </c:pt>
                <c:pt idx="1407">
                  <c:v>-1.8200294667336179</c:v>
                </c:pt>
                <c:pt idx="1408">
                  <c:v>-1.488663566081637</c:v>
                </c:pt>
                <c:pt idx="1409">
                  <c:v>-1.143018096536119</c:v>
                </c:pt>
                <c:pt idx="1410">
                  <c:v>-0.78631759869098861</c:v>
                </c:pt>
                <c:pt idx="1411">
                  <c:v>-0.42189387439239012</c:v>
                </c:pt>
                <c:pt idx="1412">
                  <c:v>-5.3154727021061277E-2</c:v>
                </c:pt>
                <c:pt idx="1413">
                  <c:v>0.31644804740851462</c:v>
                </c:pt>
                <c:pt idx="1414">
                  <c:v>0.68345111635382449</c:v>
                </c:pt>
                <c:pt idx="1415">
                  <c:v>1.0444122075413755</c:v>
                </c:pt>
                <c:pt idx="1416">
                  <c:v>1.3959425383120183</c:v>
                </c:pt>
                <c:pt idx="1417">
                  <c:v>1.734738770670385</c:v>
                </c:pt>
                <c:pt idx="1418">
                  <c:v>2.05761418940721</c:v>
                </c:pt>
                <c:pt idx="1419">
                  <c:v>2.3615288077531789</c:v>
                </c:pt>
                <c:pt idx="1420">
                  <c:v>2.6436181149288407</c:v>
                </c:pt>
                <c:pt idx="1421">
                  <c:v>2.9012201925806957</c:v>
                </c:pt>
                <c:pt idx="1422">
                  <c:v>3.1319009423217041</c:v>
                </c:pt>
                <c:pt idx="1423">
                  <c:v>3.3334771842855533</c:v>
                </c:pt>
                <c:pt idx="1424">
                  <c:v>3.5040374065877709</c:v>
                </c:pt>
                <c:pt idx="1425">
                  <c:v>3.6419599676759287</c:v>
                </c:pt>
                <c:pt idx="1426">
                  <c:v>3.7459285775390985</c:v>
                </c:pt>
                <c:pt idx="1427">
                  <c:v>3.8149449094037298</c:v>
                </c:pt>
                <c:pt idx="1428">
                  <c:v>3.8483382206273982</c:v>
                </c:pt>
                <c:pt idx="1429">
                  <c:v>3.8457718897576494</c:v>
                </c:pt>
                <c:pt idx="1430">
                  <c:v>3.8072468058804478</c:v>
                </c:pt>
                <c:pt idx="1431">
                  <c:v>3.7331015761662036</c:v>
                </c:pt>
                <c:pt idx="1432">
                  <c:v>3.6240095476473773</c:v>
                </c:pt>
                <c:pt idx="1433">
                  <c:v>3.4809726694433687</c:v>
                </c:pt>
                <c:pt idx="1434">
                  <c:v>3.3053122516003208</c:v>
                </c:pt>
                <c:pt idx="1435">
                  <c:v>3.0986567061473611</c:v>
                </c:pt>
                <c:pt idx="1436">
                  <c:v>2.8629263846106294</c:v>
                </c:pt>
                <c:pt idx="1437">
                  <c:v>2.6003156537949526</c:v>
                </c:pt>
                <c:pt idx="1438">
                  <c:v>2.3132723778797706</c:v>
                </c:pt>
                <c:pt idx="1439">
                  <c:v>2.0044749995316291</c:v>
                </c:pt>
                <c:pt idx="1440">
                  <c:v>1.676807435571309</c:v>
                </c:pt>
                <c:pt idx="1441">
                  <c:v>1.3333320235342749</c:v>
                </c:pt>
                <c:pt idx="1442">
                  <c:v>0.97726077403066469</c:v>
                </c:pt>
                <c:pt idx="1443">
                  <c:v>0.61192519996368921</c:v>
                </c:pt>
                <c:pt idx="1444">
                  <c:v>0.24074500725218553</c:v>
                </c:pt>
                <c:pt idx="1445">
                  <c:v>-0.13280405740547879</c:v>
                </c:pt>
                <c:pt idx="1446">
                  <c:v>-0.50522289810218579</c:v>
                </c:pt>
                <c:pt idx="1447">
                  <c:v>-0.87302199179492646</c:v>
                </c:pt>
                <c:pt idx="1448">
                  <c:v>-1.2327542297669347</c:v>
                </c:pt>
                <c:pt idx="1449">
                  <c:v>-1.5810473680417891</c:v>
                </c:pt>
                <c:pt idx="1450">
                  <c:v>-1.9146357799330516</c:v>
                </c:pt>
                <c:pt idx="1451">
                  <c:v>-2.2303912104458297</c:v>
                </c:pt>
                <c:pt idx="1452">
                  <c:v>-2.5253522416343124</c:v>
                </c:pt>
                <c:pt idx="1453">
                  <c:v>-2.7967521901685126</c:v>
                </c:pt>
                <c:pt idx="1454">
                  <c:v>-3.0420451731598188</c:v>
                </c:pt>
                <c:pt idx="1455">
                  <c:v>-3.2589300956018139</c:v>
                </c:pt>
                <c:pt idx="1456">
                  <c:v>-3.4453723324318588</c:v>
                </c:pt>
                <c:pt idx="1457">
                  <c:v>-3.5996229000244742</c:v>
                </c:pt>
                <c:pt idx="1458">
                  <c:v>-3.7202349356851618</c:v>
                </c:pt>
                <c:pt idx="1459">
                  <c:v>-3.8060773291937617</c:v>
                </c:pt>
                <c:pt idx="1460">
                  <c:v>-3.8563453774088217</c:v>
                </c:pt>
                <c:pt idx="1461">
                  <c:v>-3.8705683611337873</c:v>
                </c:pt>
                <c:pt idx="1462">
                  <c:v>-3.8486139725917572</c:v>
                </c:pt>
                <c:pt idx="1463">
                  <c:v>-3.7906895516822559</c:v>
                </c:pt>
                <c:pt idx="1464">
                  <c:v>-3.6973401194174409</c:v>
                </c:pt>
                <c:pt idx="1465">
                  <c:v>-3.5694432272677741</c:v>
                </c:pt>
                <c:pt idx="1466">
                  <c:v>-3.4082006713014428</c:v>
                </c:pt>
                <c:pt idx="1467">
                  <c:v>-3.2151271496897227</c:v>
                </c:pt>
                <c:pt idx="1468">
                  <c:v>-2.9920359710899245</c:v>
                </c:pt>
                <c:pt idx="1469">
                  <c:v>-2.74102194933482</c:v>
                </c:pt>
                <c:pt idx="1470">
                  <c:v>-2.4644416464846248</c:v>
                </c:pt>
                <c:pt idx="1471">
                  <c:v>-2.1648911513832849</c:v>
                </c:pt>
                <c:pt idx="1472">
                  <c:v>-1.8451816041677171</c:v>
                </c:pt>
                <c:pt idx="1473">
                  <c:v>-1.5083126984821096</c:v>
                </c:pt>
                <c:pt idx="1474">
                  <c:v>-1.1574444122497589</c:v>
                </c:pt>
                <c:pt idx="1475">
                  <c:v>-0.79586723457252351</c:v>
                </c:pt>
                <c:pt idx="1476">
                  <c:v>-0.42697117049776101</c:v>
                </c:pt>
                <c:pt idx="1477">
                  <c:v>-5.4213816890492955E-2</c:v>
                </c:pt>
                <c:pt idx="1478">
                  <c:v>0.31891218864415283</c:v>
                </c:pt>
                <c:pt idx="1479">
                  <c:v>0.68891203800218392</c:v>
                </c:pt>
                <c:pt idx="1480">
                  <c:v>1.0523216312797288</c:v>
                </c:pt>
                <c:pt idx="1481">
                  <c:v>1.4057401532565184</c:v>
                </c:pt>
                <c:pt idx="1482">
                  <c:v>1.7458620399699272</c:v>
                </c:pt>
                <c:pt idx="1483">
                  <c:v>2.0695080335821991</c:v>
                </c:pt>
                <c:pt idx="1484">
                  <c:v>2.3736550325046482</c:v>
                </c:pt>
                <c:pt idx="1485">
                  <c:v>2.6554644552791919</c:v>
                </c:pt>
                <c:pt idx="1486">
                  <c:v>2.9123088509190849</c:v>
                </c:pt>
                <c:pt idx="1487">
                  <c:v>3.1417965051449555</c:v>
                </c:pt>
                <c:pt idx="1488">
                  <c:v>3.3417938110544618</c:v>
                </c:pt>
                <c:pt idx="1489">
                  <c:v>3.5104451940520263</c:v>
                </c:pt>
                <c:pt idx="1490">
                  <c:v>3.6461904041388697</c:v>
                </c:pt>
                <c:pt idx="1491">
                  <c:v>3.7477790136966975</c:v>
                </c:pt>
                <c:pt idx="1492">
                  <c:v>3.8142819854530092</c:v>
                </c:pt>
                <c:pt idx="1493">
                  <c:v>3.8451002031407819</c:v>
                </c:pt>
                <c:pt idx="1494">
                  <c:v>3.8399698861920228</c:v>
                </c:pt>
                <c:pt idx="1495">
                  <c:v>3.7989648393598374</c:v>
                </c:pt>
                <c:pt idx="1496">
                  <c:v>3.7224955181667432</c:v>
                </c:pt>
                <c:pt idx="1497">
                  <c:v>3.6113049212403432</c:v>
                </c:pt>
                <c:pt idx="1498">
                  <c:v>3.4664613506358943</c:v>
                </c:pt>
                <c:pt idx="1499">
                  <c:v>3.2893481108724605</c:v>
                </c:pt>
                <c:pt idx="1500">
                  <c:v>3.0816502463434894</c:v>
                </c:pt>
                <c:pt idx="1501">
                  <c:v>2.8453384447304044</c:v>
                </c:pt>
                <c:pt idx="1502">
                  <c:v>2.5826502607822448</c:v>
                </c:pt>
                <c:pt idx="1503">
                  <c:v>2.2960688400730045</c:v>
                </c:pt>
                <c:pt idx="1504">
                  <c:v>1.9882993458734637</c:v>
                </c:pt>
                <c:pt idx="1505">
                  <c:v>1.662243313850774</c:v>
                </c:pt>
                <c:pt idx="1506">
                  <c:v>1.3209711787352985</c:v>
                </c:pt>
                <c:pt idx="1507">
                  <c:v>0.96769323418840136</c:v>
                </c:pt>
                <c:pt idx="1508">
                  <c:v>0.60572930170266392</c:v>
                </c:pt>
                <c:pt idx="1509">
                  <c:v>0.23847739633388668</c:v>
                </c:pt>
                <c:pt idx="1510">
                  <c:v>-0.1306183137083855</c:v>
                </c:pt>
                <c:pt idx="1511">
                  <c:v>-0.49809995018790887</c:v>
                </c:pt>
                <c:pt idx="1512">
                  <c:v>-0.86052846374963388</c:v>
                </c:pt>
                <c:pt idx="1513">
                  <c:v>-1.214515961073444</c:v>
                </c:pt>
                <c:pt idx="1514">
                  <c:v>-1.5567575150625694</c:v>
                </c:pt>
                <c:pt idx="1515">
                  <c:v>-1.8840621580719037</c:v>
                </c:pt>
                <c:pt idx="1516">
                  <c:v>-2.1933827662372649</c:v>
                </c:pt>
                <c:pt idx="1517">
                  <c:v>-2.4818445537893634</c:v>
                </c:pt>
                <c:pt idx="1518">
                  <c:v>-2.7467719097088592</c:v>
                </c:pt>
                <c:pt idx="1519">
                  <c:v>-2.9857133250815595</c:v>
                </c:pt>
                <c:pt idx="1520">
                  <c:v>-3.1964641778832839</c:v>
                </c:pt>
                <c:pt idx="1521">
                  <c:v>-3.3770871624860659</c:v>
                </c:pt>
                <c:pt idx="1522">
                  <c:v>-3.5259301737366693</c:v>
                </c:pt>
                <c:pt idx="1523">
                  <c:v>-3.6416414797938321</c:v>
                </c:pt>
                <c:pt idx="1524">
                  <c:v>-3.7231820437895093</c:v>
                </c:pt>
                <c:pt idx="1525">
                  <c:v>-3.7698348815565224</c:v>
                </c:pt>
                <c:pt idx="1526">
                  <c:v>-3.781211370876723</c:v>
                </c:pt>
                <c:pt idx="1527">
                  <c:v>-3.7572544566818209</c:v>
                </c:pt>
                <c:pt idx="1528">
                  <c:v>-3.6982387261081588</c:v>
                </c:pt>
                <c:pt idx="1529">
                  <c:v>-3.6047673569837722</c:v>
                </c:pt>
                <c:pt idx="1530">
                  <c:v>-3.4777659729296815</c:v>
                </c:pt>
                <c:pt idx="1531">
                  <c:v>-3.3184734675064416</c:v>
                </c:pt>
                <c:pt idx="1532">
                  <c:v>-3.1284298884524335</c:v>
                </c:pt>
                <c:pt idx="1533">
                  <c:v>-2.9094615007724354</c:v>
                </c:pt>
                <c:pt idx="1534">
                  <c:v>-2.6636631739801286</c:v>
                </c:pt>
                <c:pt idx="1535">
                  <c:v>-2.3933782639256815</c:v>
                </c:pt>
                <c:pt idx="1536">
                  <c:v>-2.1011761831137643</c:v>
                </c:pt>
                <c:pt idx="1537">
                  <c:v>-1.7898278750150292</c:v>
                </c:pt>
                <c:pt idx="1538">
                  <c:v>-1.4622794273939923</c:v>
                </c:pt>
                <c:pt idx="1539">
                  <c:v>-1.1216240769369716</c:v>
                </c:pt>
                <c:pt idx="1540">
                  <c:v>-0.77107287230110599</c:v>
                </c:pt>
                <c:pt idx="1541">
                  <c:v>-0.41392427498466872</c:v>
                </c:pt>
                <c:pt idx="1542">
                  <c:v>-5.3532987028007073E-2</c:v>
                </c:pt>
                <c:pt idx="1543">
                  <c:v>0.30672169859789566</c:v>
                </c:pt>
                <c:pt idx="1544">
                  <c:v>0.66346772502919105</c:v>
                </c:pt>
                <c:pt idx="1545">
                  <c:v>1.0133719749099248</c:v>
                </c:pt>
                <c:pt idx="1546">
                  <c:v>1.3531715507780795</c:v>
                </c:pt>
                <c:pt idx="1547">
                  <c:v>1.6797043375826841</c:v>
                </c:pt>
                <c:pt idx="1548">
                  <c:v>1.9899385597910504</c:v>
                </c:pt>
                <c:pt idx="1549">
                  <c:v>2.2810010555787037</c:v>
                </c:pt>
                <c:pt idx="1550">
                  <c:v>2.5502040032434565</c:v>
                </c:pt>
                <c:pt idx="1551">
                  <c:v>2.7950698501246034</c:v>
                </c:pt>
                <c:pt idx="1552">
                  <c:v>3.0133542117944057</c:v>
                </c:pt>
                <c:pt idx="1553">
                  <c:v>3.2030665289466009</c:v>
                </c:pt>
                <c:pt idx="1554">
                  <c:v>3.3624882910452447</c:v>
                </c:pt>
                <c:pt idx="1555">
                  <c:v>3.490188659211011</c:v>
                </c:pt>
                <c:pt idx="1556">
                  <c:v>3.5850373457808189</c:v>
                </c:pt>
                <c:pt idx="1557">
                  <c:v>3.6462146342405015</c:v>
                </c:pt>
                <c:pt idx="1558">
                  <c:v>3.6732184505509475</c:v>
                </c:pt>
                <c:pt idx="1559">
                  <c:v>3.6658684249967335</c:v>
                </c:pt>
                <c:pt idx="1560">
                  <c:v>3.6243069123206215</c:v>
                </c:pt>
                <c:pt idx="1561">
                  <c:v>3.5489969667891721</c:v>
                </c:pt>
                <c:pt idx="1562">
                  <c:v>3.4407172976903073</c:v>
                </c:pt>
                <c:pt idx="1563">
                  <c:v>3.3005542593193256</c:v>
                </c:pt>
                <c:pt idx="1564">
                  <c:v>3.1298909574925387</c:v>
                </c:pt>
                <c:pt idx="1565">
                  <c:v>2.9303935817735614</c:v>
                </c:pt>
                <c:pt idx="1566">
                  <c:v>2.7039950986493118</c:v>
                </c:pt>
                <c:pt idx="1567">
                  <c:v>2.452876465604616</c:v>
                </c:pt>
                <c:pt idx="1568">
                  <c:v>2.1794455491849809</c:v>
                </c:pt>
                <c:pt idx="1569">
                  <c:v>1.8863139514879381</c:v>
                </c:pt>
                <c:pt idx="1570">
                  <c:v>1.5762719688856586</c:v>
                </c:pt>
                <c:pt idx="1571">
                  <c:v>1.2522619239766097</c:v>
                </c:pt>
                <c:pt idx="1572">
                  <c:v>0.9173501266300188</c:v>
                </c:pt>
                <c:pt idx="1573">
                  <c:v>0.574697732389434</c:v>
                </c:pt>
                <c:pt idx="1574">
                  <c:v>0.22753077632923646</c:v>
                </c:pt>
                <c:pt idx="1575">
                  <c:v>-0.12089033238100122</c:v>
                </c:pt>
                <c:pt idx="1576">
                  <c:v>-0.46730156551393726</c:v>
                </c:pt>
                <c:pt idx="1577">
                  <c:v>-0.80846598905852618</c:v>
                </c:pt>
                <c:pt idx="1578">
                  <c:v>-1.1412041444655414</c:v>
                </c:pt>
                <c:pt idx="1579">
                  <c:v>-1.4624238114531056</c:v>
                </c:pt>
                <c:pt idx="1580">
                  <c:v>-1.7691488725246272</c:v>
                </c:pt>
                <c:pt idx="1581">
                  <c:v>-2.0585470085613076</c:v>
                </c:pt>
                <c:pt idx="1582">
                  <c:v>-2.3279559666084109</c:v>
                </c:pt>
                <c:pt idx="1583">
                  <c:v>-2.5749081551606205</c:v>
                </c:pt>
                <c:pt idx="1584">
                  <c:v>-2.7971533387306011</c:v>
                </c:pt>
                <c:pt idx="1585">
                  <c:v>-2.9926792220889809</c:v>
                </c:pt>
                <c:pt idx="1586">
                  <c:v>-3.1597297351112519</c:v>
                </c:pt>
                <c:pt idx="1587">
                  <c:v>-3.2968208514610993</c:v>
                </c:pt>
                <c:pt idx="1588">
                  <c:v>-3.402753798159079</c:v>
                </c:pt>
                <c:pt idx="1589">
                  <c:v>-3.4766255382002718</c:v>
                </c:pt>
                <c:pt idx="1590">
                  <c:v>-3.5178364345553703</c:v>
                </c:pt>
                <c:pt idx="1591">
                  <c:v>-3.5260950308604788</c:v>
                </c:pt>
                <c:pt idx="1592">
                  <c:v>-3.5014199116137226</c:v>
                </c:pt>
                <c:pt idx="1593">
                  <c:v>-3.4441386324903673</c:v>
                </c:pt>
                <c:pt idx="1594">
                  <c:v>-3.3548837391937578</c:v>
                </c:pt>
                <c:pt idx="1595">
                  <c:v>-3.2345859208133563</c:v>
                </c:pt>
                <c:pt idx="1596">
                  <c:v>-3.0844643707026584</c:v>
                </c:pt>
                <c:pt idx="1597">
                  <c:v>-2.9060144541605233</c:v>
                </c:pt>
                <c:pt idx="1598">
                  <c:v>-2.7009928074526361</c:v>
                </c:pt>
                <c:pt idx="1599">
                  <c:v>-2.471400016707074</c:v>
                </c:pt>
                <c:pt idx="1600">
                  <c:v>-2.2194610477343057</c:v>
                </c:pt>
                <c:pt idx="1601">
                  <c:v>-1.9476036186467427</c:v>
                </c:pt>
                <c:pt idx="1602">
                  <c:v>-1.658434726092272</c:v>
                </c:pt>
                <c:pt idx="1603">
                  <c:v>-1.3547155527963661</c:v>
                </c:pt>
                <c:pt idx="1604">
                  <c:v>-1.0393349987711373</c:v>
                </c:pt>
                <c:pt idx="1605">
                  <c:v>-0.71528209086517835</c:v>
                </c:pt>
                <c:pt idx="1606">
                  <c:v>-0.38561753518588182</c:v>
                </c:pt>
                <c:pt idx="1607">
                  <c:v>-5.3444684236168216E-2</c:v>
                </c:pt>
                <c:pt idx="1608">
                  <c:v>0.27811980468934905</c:v>
                </c:pt>
                <c:pt idx="1609">
                  <c:v>0.60597534124379471</c:v>
                </c:pt>
                <c:pt idx="1610">
                  <c:v>0.9270665258970372</c:v>
                </c:pt>
                <c:pt idx="1611">
                  <c:v>1.2384117511686832</c:v>
                </c:pt>
                <c:pt idx="1612">
                  <c:v>1.5371310113016927</c:v>
                </c:pt>
                <c:pt idx="1613">
                  <c:v>1.8204726598380387</c:v>
                </c:pt>
                <c:pt idx="1614">
                  <c:v>2.0858388653930025</c:v>
                </c:pt>
                <c:pt idx="1615">
                  <c:v>2.3308095290988726</c:v>
                </c:pt>
                <c:pt idx="1616">
                  <c:v>2.5531644425736104</c:v>
                </c:pt>
                <c:pt idx="1617">
                  <c:v>2.7509034827069971</c:v>
                </c:pt>
                <c:pt idx="1618">
                  <c:v>2.9222646588729564</c:v>
                </c:pt>
                <c:pt idx="1619">
                  <c:v>3.0657398491863379</c:v>
                </c:pt>
                <c:pt idx="1620">
                  <c:v>3.1800880849146509</c:v>
                </c:pt>
                <c:pt idx="1621">
                  <c:v>3.2643462659111657</c:v>
                </c:pt>
                <c:pt idx="1622">
                  <c:v>3.3178372147283506</c:v>
                </c:pt>
                <c:pt idx="1623">
                  <c:v>3.3401750026554575</c:v>
                </c:pt>
                <c:pt idx="1624">
                  <c:v>3.3312675070551792</c:v>
                </c:pt>
                <c:pt idx="1625">
                  <c:v>3.2913161858034203</c:v>
                </c:pt>
                <c:pt idx="1626">
                  <c:v>3.2208130811064066</c:v>
                </c:pt>
                <c:pt idx="1627">
                  <c:v>3.120535091228974</c:v>
                </c:pt>
                <c:pt idx="1628">
                  <c:v>2.9915355744687382</c:v>
                </c:pt>
                <c:pt idx="1629">
                  <c:v>2.8351333748057059</c:v>
                </c:pt>
                <c:pt idx="1630">
                  <c:v>2.6528993828097871</c:v>
                </c:pt>
                <c:pt idx="1631">
                  <c:v>2.4466407683730993</c:v>
                </c:pt>
                <c:pt idx="1632">
                  <c:v>2.2183830434329592</c:v>
                </c:pt>
                <c:pt idx="1633">
                  <c:v>1.9703501328652564</c:v>
                </c:pt>
                <c:pt idx="1634">
                  <c:v>1.7049426499703508</c:v>
                </c:pt>
                <c:pt idx="1635">
                  <c:v>1.4247145892767148</c:v>
                </c:pt>
                <c:pt idx="1636">
                  <c:v>1.1323486636040845</c:v>
                </c:pt>
                <c:pt idx="1637">
                  <c:v>0.83063052432776752</c:v>
                </c:pt>
                <c:pt idx="1638">
                  <c:v>0.52242211346366629</c:v>
                </c:pt>
                <c:pt idx="1639">
                  <c:v>0.21063440346744178</c:v>
                </c:pt>
                <c:pt idx="1640">
                  <c:v>-0.10180021455440946</c:v>
                </c:pt>
                <c:pt idx="1641">
                  <c:v>-0.41195563121809164</c:v>
                </c:pt>
                <c:pt idx="1642">
                  <c:v>-0.71693954503001733</c:v>
                </c:pt>
                <c:pt idx="1643">
                  <c:v>-1.013920554272842</c:v>
                </c:pt>
                <c:pt idx="1644">
                  <c:v>-1.300154559715978</c:v>
                </c:pt>
                <c:pt idx="1645">
                  <c:v>-1.5730102308493432</c:v>
                </c:pt>
                <c:pt idx="1646">
                  <c:v>-1.8299932982573568</c:v>
                </c:pt>
                <c:pt idx="1647">
                  <c:v>-2.0687694468894078</c:v>
                </c:pt>
                <c:pt idx="1648">
                  <c:v>-2.2871855992229899</c:v>
                </c:pt>
                <c:pt idx="1649">
                  <c:v>-2.4832893935074161</c:v>
                </c:pt>
                <c:pt idx="1650">
                  <c:v>-2.6553466802566463</c:v>
                </c:pt>
                <c:pt idx="1651">
                  <c:v>-2.8018568797547916</c:v>
                </c:pt>
                <c:pt idx="1652">
                  <c:v>-2.921566064348561</c:v>
                </c:pt>
                <c:pt idx="1653">
                  <c:v>-3.0134776515208568</c:v>
                </c:pt>
                <c:pt idx="1654">
                  <c:v>-3.0768606169555484</c:v>
                </c:pt>
                <c:pt idx="1655">
                  <c:v>-3.1112551607844399</c:v>
                </c:pt>
                <c:pt idx="1656">
                  <c:v>-3.1164757847215681</c:v>
                </c:pt>
                <c:pt idx="1657">
                  <c:v>-3.0926117626039966</c:v>
                </c:pt>
                <c:pt idx="1658">
                  <c:v>-3.040025011729353</c:v>
                </c:pt>
                <c:pt idx="1659">
                  <c:v>-2.9593453970713548</c:v>
                </c:pt>
                <c:pt idx="1660">
                  <c:v>-2.8514635247322895</c:v>
                </c:pt>
                <c:pt idx="1661">
                  <c:v>-2.7175211046221741</c:v>
                </c:pt>
                <c:pt idx="1662">
                  <c:v>-2.5588989851158761</c:v>
                </c:pt>
                <c:pt idx="1663">
                  <c:v>-2.3772029841190414</c:v>
                </c:pt>
                <c:pt idx="1664">
                  <c:v>-2.1742476613662896</c:v>
                </c:pt>
                <c:pt idx="1665">
                  <c:v>-1.9520381956926214</c:v>
                </c:pt>
                <c:pt idx="1666">
                  <c:v>-1.7127505482867367</c:v>
                </c:pt>
                <c:pt idx="1667">
                  <c:v>-1.4587101083940741</c:v>
                </c:pt>
                <c:pt idx="1668">
                  <c:v>-1.1923690314494153</c:v>
                </c:pt>
                <c:pt idx="1669">
                  <c:v>-0.91628249106190118</c:v>
                </c:pt>
                <c:pt idx="1670">
                  <c:v>-0.6330840755494993</c:v>
                </c:pt>
                <c:pt idx="1671">
                  <c:v>-0.34546056674789272</c:v>
                </c:pt>
                <c:pt idx="1672">
                  <c:v>-5.612634354083279E-2</c:v>
                </c:pt>
                <c:pt idx="1673">
                  <c:v>0.23220234505750681</c:v>
                </c:pt>
                <c:pt idx="1674">
                  <c:v>0.51683299240349367</c:v>
                </c:pt>
                <c:pt idx="1675">
                  <c:v>0.79512208975161824</c:v>
                </c:pt>
                <c:pt idx="1676">
                  <c:v>1.0644997868660133</c:v>
                </c:pt>
                <c:pt idx="1677">
                  <c:v>1.3224937266371535</c:v>
                </c:pt>
                <c:pt idx="1678">
                  <c:v>1.5667518316664355</c:v>
                </c:pt>
                <c:pt idx="1679">
                  <c:v>1.7950638318994077</c:v>
                </c:pt>
                <c:pt idx="1680">
                  <c:v>2.0053813354652101</c:v>
                </c:pt>
                <c:pt idx="1681">
                  <c:v>2.1958362597875323</c:v>
                </c:pt>
                <c:pt idx="1682">
                  <c:v>2.3647574566078844</c:v>
                </c:pt>
                <c:pt idx="1683">
                  <c:v>2.5106853826491111</c:v>
                </c:pt>
                <c:pt idx="1684">
                  <c:v>2.6323846870576375</c:v>
                </c:pt>
                <c:pt idx="1685">
                  <c:v>2.728854607304684</c:v>
                </c:pt>
                <c:pt idx="1686">
                  <c:v>2.7993370867011711</c:v>
                </c:pt>
                <c:pt idx="1687">
                  <c:v>2.8433225488727185</c:v>
                </c:pt>
                <c:pt idx="1688">
                  <c:v>2.8605532872337491</c:v>
                </c:pt>
                <c:pt idx="1689">
                  <c:v>2.851024450476753</c:v>
                </c:pt>
                <c:pt idx="1690">
                  <c:v>2.8149826281276948</c:v>
                </c:pt>
                <c:pt idx="1691">
                  <c:v>2.7529220630906814</c:v>
                </c:pt>
                <c:pt idx="1692">
                  <c:v>2.6655785405985428</c:v>
                </c:pt>
                <c:pt idx="1693">
                  <c:v>2.5539210248830346</c:v>
                </c:pt>
                <c:pt idx="1694">
                  <c:v>2.4191411359729003</c:v>
                </c:pt>
                <c:pt idx="1695">
                  <c:v>2.2626405791234099</c:v>
                </c:pt>
                <c:pt idx="1696">
                  <c:v>2.0860166582867392</c:v>
                </c:pt>
                <c:pt idx="1697">
                  <c:v>1.8910460225745866</c:v>
                </c:pt>
                <c:pt idx="1698">
                  <c:v>1.6796668106821553</c:v>
                </c:pt>
                <c:pt idx="1699">
                  <c:v>1.4539593725887088</c:v>
                </c:pt>
                <c:pt idx="1700">
                  <c:v>1.2161257603969509</c:v>
                </c:pt>
                <c:pt idx="1701">
                  <c:v>0.96846819081002133</c:v>
                </c:pt>
                <c:pt idx="1702">
                  <c:v>0.71336669037888434</c:v>
                </c:pt>
                <c:pt idx="1703">
                  <c:v>0.45325614121380098</c:v>
                </c:pt>
                <c:pt idx="1704">
                  <c:v>0.19060294928795773</c:v>
                </c:pt>
                <c:pt idx="1705">
                  <c:v>-7.2118440260552141E-2</c:v>
                </c:pt>
                <c:pt idx="1706">
                  <c:v>-0.33244895630870852</c:v>
                </c:pt>
                <c:pt idx="1707">
                  <c:v>-0.5879680209338578</c:v>
                </c:pt>
                <c:pt idx="1708">
                  <c:v>-0.83631615629287814</c:v>
                </c:pt>
                <c:pt idx="1709">
                  <c:v>-1.0752168671178435</c:v>
                </c:pt>
                <c:pt idx="1710">
                  <c:v>-1.3024975949855271</c:v>
                </c:pt>
                <c:pt idx="1711">
                  <c:v>-1.5161095506592615</c:v>
                </c:pt>
                <c:pt idx="1712">
                  <c:v>-1.7141462427395524</c:v>
                </c:pt>
                <c:pt idx="1713">
                  <c:v>-1.8948605344733715</c:v>
                </c:pt>
                <c:pt idx="1714">
                  <c:v>-2.0566800757158941</c:v>
                </c:pt>
                <c:pt idx="1715">
                  <c:v>-2.198220973557151</c:v>
                </c:pt>
                <c:pt idx="1716">
                  <c:v>-2.3182995828567408</c:v>
                </c:pt>
                <c:pt idx="1717">
                  <c:v>-2.4159423166895628</c:v>
                </c:pt>
                <c:pt idx="1718">
                  <c:v>-2.4903933963072462</c:v>
                </c:pt>
                <c:pt idx="1719">
                  <c:v>-2.5411204804738605</c:v>
                </c:pt>
                <c:pt idx="1720">
                  <c:v>-2.5678181347365276</c:v>
                </c:pt>
                <c:pt idx="1721">
                  <c:v>-2.5704091221390266</c:v>
                </c:pt>
                <c:pt idx="1722">
                  <c:v>-2.5490435178817359</c:v>
                </c:pt>
                <c:pt idx="1723">
                  <c:v>-2.5040956712615072</c:v>
                </c:pt>
                <c:pt idx="1724">
                  <c:v>-2.4361590586998725</c:v>
                </c:pt>
                <c:pt idx="1725">
                  <c:v>-2.3460390915854195</c:v>
                </c:pt>
                <c:pt idx="1726">
                  <c:v>-2.2347439618287686</c:v>
                </c:pt>
                <c:pt idx="1727">
                  <c:v>-2.1034736262782867</c:v>
                </c:pt>
                <c:pt idx="1728">
                  <c:v>-1.9536070482977728</c:v>
                </c:pt>
                <c:pt idx="1729">
                  <c:v>-1.7866878307061915</c:v>
                </c:pt>
                <c:pt idx="1730">
                  <c:v>-1.6044083887799219</c:v>
                </c:pt>
                <c:pt idx="1731">
                  <c:v>-1.4085928249865196</c:v>
                </c:pt>
                <c:pt idx="1732">
                  <c:v>-1.2011786784416136</c:v>
                </c:pt>
                <c:pt idx="1733">
                  <c:v>-0.9841977316585977</c:v>
                </c:pt>
                <c:pt idx="1734">
                  <c:v>-0.75975606491207803</c:v>
                </c:pt>
                <c:pt idx="1735">
                  <c:v>-0.53001355439918374</c:v>
                </c:pt>
                <c:pt idx="1736">
                  <c:v>-0.29716301431239045</c:v>
                </c:pt>
                <c:pt idx="1737">
                  <c:v>-6.3409184908780336E-2</c:v>
                </c:pt>
                <c:pt idx="1738">
                  <c:v>0.16905223133082314</c:v>
                </c:pt>
                <c:pt idx="1739">
                  <c:v>0.39805528530287027</c:v>
                </c:pt>
                <c:pt idx="1740">
                  <c:v>0.62148405235385407</c:v>
                </c:pt>
                <c:pt idx="1741">
                  <c:v>0.83729226826432868</c:v>
                </c:pt>
                <c:pt idx="1742">
                  <c:v>1.0435221471128853</c:v>
                </c:pt>
                <c:pt idx="1743">
                  <c:v>1.2383222072309952</c:v>
                </c:pt>
                <c:pt idx="1744">
                  <c:v>1.4199639423121786</c:v>
                </c:pt>
                <c:pt idx="1745">
                  <c:v>1.586857187089497</c:v>
                </c:pt>
                <c:pt idx="1746">
                  <c:v>1.737564040709614</c:v>
                </c:pt>
                <c:pt idx="1747">
                  <c:v>1.8708112258661782</c:v>
                </c:pt>
                <c:pt idx="1748">
                  <c:v>1.9855007777609175</c:v>
                </c:pt>
                <c:pt idx="1749">
                  <c:v>2.0807189738699798</c:v>
                </c:pt>
                <c:pt idx="1750">
                  <c:v>2.1557434331346306</c:v>
                </c:pt>
                <c:pt idx="1751">
                  <c:v>2.210048331397318</c:v>
                </c:pt>
                <c:pt idx="1752">
                  <c:v>2.2433076984805194</c:v>
                </c:pt>
                <c:pt idx="1753">
                  <c:v>2.2553967810734141</c:v>
                </c:pt>
                <c:pt idx="1754">
                  <c:v>2.2463914743707094</c:v>
                </c:pt>
                <c:pt idx="1755">
                  <c:v>2.2165658440112788</c:v>
                </c:pt>
                <c:pt idx="1756">
                  <c:v>2.1663877781124863</c:v>
                </c:pt>
                <c:pt idx="1757">
                  <c:v>2.096512826917809</c:v>
                </c:pt>
                <c:pt idx="1758">
                  <c:v>2.0077763045977237</c:v>
                </c:pt>
                <c:pt idx="1759">
                  <c:v>1.9011837439071602</c:v>
                </c:pt>
                <c:pt idx="1760">
                  <c:v>1.7778998095588567</c:v>
                </c:pt>
                <c:pt idx="1761">
                  <c:v>1.6392357901771903</c:v>
                </c:pt>
                <c:pt idx="1762">
                  <c:v>1.4866358014248058</c:v>
                </c:pt>
                <c:pt idx="1763">
                  <c:v>1.3216618442324524</c:v>
                </c:pt>
                <c:pt idx="1764">
                  <c:v>1.1459778719071809</c:v>
                </c:pt>
                <c:pt idx="1765">
                  <c:v>0.96133302816485799</c:v>
                </c:pt>
                <c:pt idx="1766">
                  <c:v>0.76954422475863149</c:v>
                </c:pt>
                <c:pt idx="1767">
                  <c:v>0.57247823230546668</c:v>
                </c:pt>
                <c:pt idx="1768">
                  <c:v>0.37203346111289703</c:v>
                </c:pt>
                <c:pt idx="1769">
                  <c:v>0.1701216102598393</c:v>
                </c:pt>
                <c:pt idx="1770">
                  <c:v>-3.1350637109937907E-2</c:v>
                </c:pt>
                <c:pt idx="1771">
                  <c:v>-0.23049969635021772</c:v>
                </c:pt>
                <c:pt idx="1772">
                  <c:v>-0.42548276952321462</c:v>
                </c:pt>
                <c:pt idx="1773">
                  <c:v>-0.61451497242089448</c:v>
                </c:pt>
                <c:pt idx="1774">
                  <c:v>-0.79588574051024996</c:v>
                </c:pt>
                <c:pt idx="1775">
                  <c:v>-0.96797436236636336</c:v>
                </c:pt>
                <c:pt idx="1776">
                  <c:v>-1.1292644990097749</c:v>
                </c:pt>
                <c:pt idx="1777">
                  <c:v>-1.2783575587152998</c:v>
                </c:pt>
                <c:pt idx="1778">
                  <c:v>-1.4139848091843699</c:v>
                </c:pt>
                <c:pt idx="1779">
                  <c:v>-1.5350181223405976</c:v>
                </c:pt>
                <c:pt idx="1780">
                  <c:v>-1.6404792612828536</c:v>
                </c:pt>
                <c:pt idx="1781">
                  <c:v>-1.7295476339597018</c:v>
                </c:pt>
                <c:pt idx="1782">
                  <c:v>-1.8015664537589178</c:v>
                </c:pt>
                <c:pt idx="1783">
                  <c:v>-1.8560472632818406</c:v>
                </c:pt>
                <c:pt idx="1784">
                  <c:v>-1.8926727939279369</c:v>
                </c:pt>
                <c:pt idx="1785">
                  <c:v>-1.9112981503866928</c:v>
                </c:pt>
                <c:pt idx="1786">
                  <c:v>-1.9119503255632364</c:v>
                </c:pt>
                <c:pt idx="1787">
                  <c:v>-1.8948260676846693</c:v>
                </c:pt>
                <c:pt idx="1788">
                  <c:v>-1.8602881371883644</c:v>
                </c:pt>
                <c:pt idx="1789">
                  <c:v>-1.8088600063324598</c:v>
                </c:pt>
                <c:pt idx="1790">
                  <c:v>-1.7412190691412337</c:v>
                </c:pt>
                <c:pt idx="1791">
                  <c:v>-1.6581884431659248</c:v>
                </c:pt>
                <c:pt idx="1792">
                  <c:v>-1.5607274574784442</c:v>
                </c:pt>
                <c:pt idx="1793">
                  <c:v>-1.4499209331980474</c:v>
                </c:pt>
                <c:pt idx="1794">
                  <c:v>-1.3269673735726264</c:v>
                </c:pt>
                <c:pt idx="1795">
                  <c:v>-1.1931661901036383</c:v>
                </c:pt>
                <c:pt idx="1796">
                  <c:v>-1.0499040993316939</c:v>
                </c:pt>
                <c:pt idx="1797">
                  <c:v>-0.89864083162169961</c:v>
                </c:pt>
                <c:pt idx="1798">
                  <c:v>-0.74089429854965538</c:v>
                </c:pt>
                <c:pt idx="1799">
                  <c:v>-0.57822536925735735</c:v>
                </c:pt>
                <c:pt idx="1800">
                  <c:v>-0.41222240838452051</c:v>
                </c:pt>
                <c:pt idx="1801">
                  <c:v>-0.24448572890199483</c:v>
                </c:pt>
                <c:pt idx="1802">
                  <c:v>-7.6612112361603923E-2</c:v>
                </c:pt>
                <c:pt idx="1803">
                  <c:v>8.9820453228077746E-2</c:v>
                </c:pt>
                <c:pt idx="1804">
                  <c:v>0.25326767146047025</c:v>
                </c:pt>
                <c:pt idx="1805">
                  <c:v>0.41223333026262843</c:v>
                </c:pt>
                <c:pt idx="1806">
                  <c:v>0.56528305456284622</c:v>
                </c:pt>
                <c:pt idx="1807">
                  <c:v>0.71105729194856382</c:v>
                </c:pt>
                <c:pt idx="1808">
                  <c:v>0.84828341333567114</c:v>
                </c:pt>
                <c:pt idx="1809">
                  <c:v>0.97578682071499956</c:v>
                </c:pt>
                <c:pt idx="1810">
                  <c:v>1.0925009650508135</c:v>
                </c:pt>
                <c:pt idx="1811">
                  <c:v>1.1974761892590435</c:v>
                </c:pt>
                <c:pt idx="1812">
                  <c:v>1.2898873237672015</c:v>
                </c:pt>
                <c:pt idx="1813">
                  <c:v>1.3690399753167295</c:v>
                </c:pt>
                <c:pt idx="1814">
                  <c:v>1.4343754632738659</c:v>
                </c:pt>
                <c:pt idx="1815">
                  <c:v>1.4854743716308154</c:v>
                </c:pt>
                <c:pt idx="1816">
                  <c:v>1.5220586989581983</c:v>
                </c:pt>
                <c:pt idx="1817">
                  <c:v>1.5439926026693749</c:v>
                </c:pt>
                <c:pt idx="1818">
                  <c:v>1.5512817479402961</c:v>
                </c:pt>
                <c:pt idx="1819">
                  <c:v>1.5440712853512057</c:v>
                </c:pt>
                <c:pt idx="1820">
                  <c:v>1.5226424946437449</c:v>
                </c:pt>
                <c:pt idx="1821">
                  <c:v>1.4874081447933429</c:v>
                </c:pt>
                <c:pt idx="1822">
                  <c:v>1.438906632754122</c:v>
                </c:pt>
                <c:pt idx="1823">
                  <c:v>1.3777949746268792</c:v>
                </c:pt>
                <c:pt idx="1824">
                  <c:v>1.3048407335269763</c:v>
                </c:pt>
                <c:pt idx="1825">
                  <c:v>1.2209129779870171</c:v>
                </c:pt>
                <c:pt idx="1826">
                  <c:v>1.1269723732336607</c:v>
                </c:pt>
                <c:pt idx="1827">
                  <c:v>1.0240605150570716</c:v>
                </c:pt>
                <c:pt idx="1828">
                  <c:v>0.91328862217923312</c:v>
                </c:pt>
                <c:pt idx="1829">
                  <c:v>0.79582570797511587</c:v>
                </c:pt>
                <c:pt idx="1830">
                  <c:v>0.67288635607346503</c:v>
                </c:pt>
                <c:pt idx="1831">
                  <c:v>0.54571822673590775</c:v>
                </c:pt>
                <c:pt idx="1832">
                  <c:v>0.41558942197569215</c:v>
                </c:pt>
                <c:pt idx="1833">
                  <c:v>0.28377583713463328</c:v>
                </c:pt>
                <c:pt idx="1834">
                  <c:v>0.151548625104309</c:v>
                </c:pt>
                <c:pt idx="1835">
                  <c:v>2.0161896586545769E-2</c:v>
                </c:pt>
                <c:pt idx="1836">
                  <c:v>-0.10915922421974544</c:v>
                </c:pt>
                <c:pt idx="1837">
                  <c:v>-0.23523007428885911</c:v>
                </c:pt>
                <c:pt idx="1838">
                  <c:v>-0.35691734884501969</c:v>
                </c:pt>
                <c:pt idx="1839">
                  <c:v>-0.47314932018189149</c:v>
                </c:pt>
                <c:pt idx="1840">
                  <c:v>-0.58292528578206371</c:v>
                </c:pt>
                <c:pt idx="1841">
                  <c:v>-0.6853241623523616</c:v>
                </c:pt>
                <c:pt idx="1842">
                  <c:v>-0.7795121521882139</c:v>
                </c:pt>
                <c:pt idx="1843">
                  <c:v>-0.86474941870500133</c:v>
                </c:pt>
                <c:pt idx="1844">
                  <c:v>-0.94039571891055562</c:v>
                </c:pt>
                <c:pt idx="1845">
                  <c:v>-1.0059149519288653</c:v>
                </c:pt>
                <c:pt idx="1846">
                  <c:v>-1.0608785942896344</c:v>
                </c:pt>
                <c:pt idx="1847">
                  <c:v>-1.1049680044585906</c:v>
                </c:pt>
                <c:pt idx="1848">
                  <c:v>-1.1379755908702953</c:v>
                </c:pt>
                <c:pt idx="1849">
                  <c:v>-1.1598048494166113</c:v>
                </c:pt>
                <c:pt idx="1850">
                  <c:v>-1.1704692878248641</c:v>
                </c:pt>
                <c:pt idx="1851">
                  <c:v>-1.1700902655092271</c:v>
                </c:pt>
                <c:pt idx="1852">
                  <c:v>-1.1588937881852384</c:v>
                </c:pt>
                <c:pt idx="1853">
                  <c:v>-1.1372063066994504</c:v>
                </c:pt>
                <c:pt idx="1854">
                  <c:v>-1.105449579040177</c:v>
                </c:pt>
                <c:pt idx="1855">
                  <c:v>-1.0641346632702691</c:v>
                </c:pt>
                <c:pt idx="1856">
                  <c:v>-1.0138551170804018</c:v>
                </c:pt>
                <c:pt idx="1857">
                  <c:v>-0.95527948672379348</c:v>
                </c:pt>
                <c:pt idx="1858">
                  <c:v>-0.88914317419835709</c:v>
                </c:pt>
                <c:pt idx="1859">
                  <c:v>-0.81623977664101055</c:v>
                </c:pt>
                <c:pt idx="1860">
                  <c:v>-0.73741199594612339</c:v>
                </c:pt>
                <c:pt idx="1861">
                  <c:v>-0.65354221958712433</c:v>
                </c:pt>
                <c:pt idx="1862">
                  <c:v>-0.56554287549144266</c:v>
                </c:pt>
                <c:pt idx="1863">
                  <c:v>-0.47434666458470565</c:v>
                </c:pt>
                <c:pt idx="1864">
                  <c:v>-0.38089677428721447</c:v>
                </c:pt>
                <c:pt idx="1865">
                  <c:v>-0.28613717483206313</c:v>
                </c:pt>
                <c:pt idx="1866">
                  <c:v>-0.19100309780607416</c:v>
                </c:pt>
                <c:pt idx="1867">
                  <c:v>-9.6411792832386656E-2</c:v>
                </c:pt>
                <c:pt idx="1868">
                  <c:v>-3.2536538660834502E-3</c:v>
                </c:pt>
                <c:pt idx="1869">
                  <c:v>8.7616198779957966E-2</c:v>
                </c:pt>
                <c:pt idx="1870">
                  <c:v>0.17538580075339261</c:v>
                </c:pt>
                <c:pt idx="1871">
                  <c:v>0.2592936173535807</c:v>
                </c:pt>
                <c:pt idx="1872">
                  <c:v>0.3386351432571999</c:v>
                </c:pt>
                <c:pt idx="1873">
                  <c:v>0.41276877116025279</c:v>
                </c:pt>
                <c:pt idx="1874">
                  <c:v>0.48112088093387317</c:v>
                </c:pt>
                <c:pt idx="1875">
                  <c:v>0.54319011000055872</c:v>
                </c:pt>
                <c:pt idx="1876">
                  <c:v>0.59855077503674214</c:v>
                </c:pt>
                <c:pt idx="1877">
                  <c:v>0.64685542469613311</c:v>
                </c:pt>
                <c:pt idx="1878">
                  <c:v>0.68783651271746449</c:v>
                </c:pt>
                <c:pt idx="1879">
                  <c:v>0.72130719042410618</c:v>
                </c:pt>
                <c:pt idx="1880">
                  <c:v>0.7471612271419823</c:v>
                </c:pt>
                <c:pt idx="1881">
                  <c:v>0.76537207635106186</c:v>
                </c:pt>
                <c:pt idx="1882">
                  <c:v>0.77599111434601076</c:v>
                </c:pt>
                <c:pt idx="1883">
                  <c:v>0.77914508672489458</c:v>
                </c:pt>
                <c:pt idx="1884">
                  <c:v>0.77503280605887381</c:v>
                </c:pt>
                <c:pt idx="1885">
                  <c:v>0.76392115153868634</c:v>
                </c:pt>
                <c:pt idx="1886">
                  <c:v>0.74614042817843473</c:v>
                </c:pt>
                <c:pt idx="1887">
                  <c:v>0.72207914920648875</c:v>
                </c:pt>
                <c:pt idx="1888">
                  <c:v>0.6921783105409649</c:v>
                </c:pt>
                <c:pt idx="1889">
                  <c:v>0.65692523067771236</c:v>
                </c:pt>
                <c:pt idx="1890">
                  <c:v>0.61684703287452658</c:v>
                </c:pt>
                <c:pt idx="1891">
                  <c:v>0.57250384917148667</c:v>
                </c:pt>
                <c:pt idx="1892">
                  <c:v>0.52448182752107919</c:v>
                </c:pt>
                <c:pt idx="1893">
                  <c:v>0.47338602410583785</c:v>
                </c:pt>
                <c:pt idx="1894">
                  <c:v>0.41983326280056965</c:v>
                </c:pt>
                <c:pt idx="1895">
                  <c:v>0.36444504269961442</c:v>
                </c:pt>
                <c:pt idx="1896">
                  <c:v>0.30784057270038612</c:v>
                </c:pt>
                <c:pt idx="1897">
                  <c:v>0.25063000934639001</c:v>
                </c:pt>
                <c:pt idx="1898">
                  <c:v>0.19340797052450198</c:v>
                </c:pt>
                <c:pt idx="1899">
                  <c:v>0.13674739323373974</c:v>
                </c:pt>
                <c:pt idx="1900">
                  <c:v>8.1193798554414665E-2</c:v>
                </c:pt>
                <c:pt idx="1901">
                  <c:v>2.7260021211252372E-2</c:v>
                </c:pt>
                <c:pt idx="1902">
                  <c:v>-2.4578545184814615E-2</c:v>
                </c:pt>
                <c:pt idx="1903">
                  <c:v>-7.3888142937310164E-2</c:v>
                </c:pt>
                <c:pt idx="1904">
                  <c:v>-0.12028024804881077</c:v>
                </c:pt>
                <c:pt idx="1905">
                  <c:v>-0.16341454147810297</c:v>
                </c:pt>
                <c:pt idx="1906">
                  <c:v>-0.20300123214537935</c:v>
                </c:pt>
                <c:pt idx="1907">
                  <c:v>-0.23880271789513241</c:v>
                </c:pt>
                <c:pt idx="1908">
                  <c:v>-0.27063457861462292</c:v>
                </c:pt>
                <c:pt idx="1909">
                  <c:v>-0.29836590365951565</c:v>
                </c:pt>
                <c:pt idx="1910">
                  <c:v>-0.32191896356432559</c:v>
                </c:pt>
                <c:pt idx="1911">
                  <c:v>-0.34126824362424113</c:v>
                </c:pt>
                <c:pt idx="1912">
                  <c:v>-0.35643886424551807</c:v>
                </c:pt>
                <c:pt idx="1913">
                  <c:v>-0.36750441988921928</c:v>
                </c:pt>
                <c:pt idx="1914">
                  <c:v>-0.37458427490075741</c:v>
                </c:pt>
                <c:pt idx="1915">
                  <c:v>-0.37784036045964986</c:v>
                </c:pt>
                <c:pt idx="1916">
                  <c:v>-0.37747352223202757</c:v>
                </c:pt>
                <c:pt idx="1917">
                  <c:v>-0.37371947300581276</c:v>
                </c:pt>
                <c:pt idx="1918">
                  <c:v>-0.36684440859108391</c:v>
                </c:pt>
                <c:pt idx="1919">
                  <c:v>-0.35714034853083743</c:v>
                </c:pt>
                <c:pt idx="1920">
                  <c:v>-0.34492026565851586</c:v>
                </c:pt>
                <c:pt idx="1921">
                  <c:v>-0.33051307024018628</c:v>
                </c:pt>
                <c:pt idx="1922">
                  <c:v>-0.31425851533297322</c:v>
                </c:pt>
                <c:pt idx="1923">
                  <c:v>-0.29650209007371586</c:v>
                </c:pt>
                <c:pt idx="1924">
                  <c:v>-0.27758996689212534</c:v>
                </c:pt>
                <c:pt idx="1925">
                  <c:v>-0.25786406713109877</c:v>
                </c:pt>
                <c:pt idx="1926">
                  <c:v>-0.23765730727748746</c:v>
                </c:pt>
                <c:pt idx="1927">
                  <c:v>-0.21728908499626676</c:v>
                </c:pt>
                <c:pt idx="1928">
                  <c:v>-0.19706106045297411</c:v>
                </c:pt>
                <c:pt idx="1929">
                  <c:v>-0.1772532840593477</c:v>
                </c:pt>
                <c:pt idx="1930">
                  <c:v>-0.15812071683599438</c:v>
                </c:pt>
                <c:pt idx="1931">
                  <c:v>-0.13989018411761189</c:v>
                </c:pt>
                <c:pt idx="1932">
                  <c:v>-0.12275779740001957</c:v>
                </c:pt>
                <c:pt idx="1933">
                  <c:v>-0.10688687281512332</c:v>
                </c:pt>
                <c:pt idx="1934">
                  <c:v>-9.2406368098775227E-2</c:v>
                </c:pt>
                <c:pt idx="1935">
                  <c:v>-7.9409853067686553E-2</c:v>
                </c:pt>
                <c:pt idx="1936">
                  <c:v>-6.7955021627396528E-2</c:v>
                </c:pt>
                <c:pt idx="1937">
                  <c:v>-5.80637462796183E-2</c:v>
                </c:pt>
                <c:pt idx="1938">
                  <c:v>-4.9722669067417513E-2</c:v>
                </c:pt>
                <c:pt idx="1939">
                  <c:v>-4.2884315975479925E-2</c:v>
                </c:pt>
                <c:pt idx="1940">
                  <c:v>-3.7468715074346681E-2</c:v>
                </c:pt>
                <c:pt idx="1941">
                  <c:v>-3.3365492239550543E-2</c:v>
                </c:pt>
                <c:pt idx="1942">
                  <c:v>-3.0436412167914817E-2</c:v>
                </c:pt>
                <c:pt idx="1943">
                  <c:v>-2.8518326727706156E-2</c:v>
                </c:pt>
                <c:pt idx="1944">
                  <c:v>-2.7426487480864403E-2</c:v>
                </c:pt>
                <c:pt idx="1945">
                  <c:v>-2.6958174568895155E-2</c:v>
                </c:pt>
                <c:pt idx="1946">
                  <c:v>-2.6896590115332908E-2</c:v>
                </c:pt>
                <c:pt idx="1947">
                  <c:v>-2.7014960910636349E-2</c:v>
                </c:pt>
                <c:pt idx="1948">
                  <c:v>-2.7080792454177889E-2</c:v>
                </c:pt>
                <c:pt idx="1949">
                  <c:v>-2.6860214465281085E-2</c:v>
                </c:pt>
                <c:pt idx="1950">
                  <c:v>-2.6122356759913257E-2</c:v>
                </c:pt>
                <c:pt idx="1951">
                  <c:v>-2.4643693940888056E-2</c:v>
                </c:pt>
                <c:pt idx="1952">
                  <c:v>-2.2212297673163239E-2</c:v>
                </c:pt>
                <c:pt idx="1953">
                  <c:v>-1.8631936404023608E-2</c:v>
                </c:pt>
                <c:pt idx="1954">
                  <c:v>-1.3725964233010979E-2</c:v>
                </c:pt>
                <c:pt idx="1955">
                  <c:v>-7.3409432169138089E-3</c:v>
                </c:pt>
                <c:pt idx="1956">
                  <c:v>6.5005332327494614E-4</c:v>
                </c:pt>
                <c:pt idx="1957">
                  <c:v>1.0344504977358948E-2</c:v>
                </c:pt>
                <c:pt idx="1958">
                  <c:v>2.1807919816844379E-2</c:v>
                </c:pt>
                <c:pt idx="1959">
                  <c:v>3.5071760142024955E-2</c:v>
                </c:pt>
                <c:pt idx="1960">
                  <c:v>5.0131851544204853E-2</c:v>
                </c:pt>
                <c:pt idx="1961">
                  <c:v>6.6947302340446768E-2</c:v>
                </c:pt>
                <c:pt idx="1962">
                  <c:v>8.5439953990662731E-2</c:v>
                </c:pt>
                <c:pt idx="1963">
                  <c:v>0.10549437636617442</c:v>
                </c:pt>
                <c:pt idx="1964">
                  <c:v>0.12695841478618242</c:v>
                </c:pt>
                <c:pt idx="1965">
                  <c:v>0.14964428865793811</c:v>
                </c:pt>
                <c:pt idx="1966">
                  <c:v>0.17333023442995654</c:v>
                </c:pt>
                <c:pt idx="1967">
                  <c:v>0.19776267848214024</c:v>
                </c:pt>
                <c:pt idx="1968">
                  <c:v>0.22265891861713438</c:v>
                </c:pt>
                <c:pt idx="1969">
                  <c:v>0.24771028606744783</c:v>
                </c:pt>
                <c:pt idx="1970">
                  <c:v>0.27258575347512548</c:v>
                </c:pt>
                <c:pt idx="1971">
                  <c:v>0.29693594821347902</c:v>
                </c:pt>
                <c:pt idx="1972">
                  <c:v>0.32039752478013961</c:v>
                </c:pt>
                <c:pt idx="1973">
                  <c:v>0.34259784486568723</c:v>
                </c:pt>
                <c:pt idx="1974">
                  <c:v>0.36315990915808194</c:v>
                </c:pt>
                <c:pt idx="1975">
                  <c:v>0.38170748103966301</c:v>
                </c:pt>
                <c:pt idx="1976">
                  <c:v>0.39787033911847258</c:v>
                </c:pt>
                <c:pt idx="1977">
                  <c:v>0.41128959305501456</c:v>
                </c:pt>
                <c:pt idx="1978">
                  <c:v>0.42162299543549053</c:v>
                </c:pt>
                <c:pt idx="1979">
                  <c:v>0.4285501815255493</c:v>
                </c:pt>
                <c:pt idx="1980">
                  <c:v>0.43177776863559475</c:v>
                </c:pt>
                <c:pt idx="1981">
                  <c:v>0.43104424754865855</c:v>
                </c:pt>
                <c:pt idx="1982">
                  <c:v>0.42612459999896773</c:v>
                </c:pt>
                <c:pt idx="1983">
                  <c:v>0.41683457853719758</c:v>
                </c:pt>
                <c:pt idx="1984">
                  <c:v>0.40303458825726296</c:v>
                </c:pt>
                <c:pt idx="1985">
                  <c:v>0.38463311375533538</c:v>
                </c:pt>
                <c:pt idx="1986">
                  <c:v>0.36158963931099664</c:v>
                </c:pt>
                <c:pt idx="1987">
                  <c:v>0.3339170155761888</c:v>
                </c:pt>
                <c:pt idx="1988">
                  <c:v>0.30168323197040525</c:v>
                </c:pt>
                <c:pt idx="1989">
                  <c:v>0.26501256045268939</c:v>
                </c:pt>
                <c:pt idx="1990">
                  <c:v>0.22408604330267035</c:v>
                </c:pt>
                <c:pt idx="1991">
                  <c:v>0.17914130491457647</c:v>
                </c:pt>
                <c:pt idx="1992">
                  <c:v>0.13047167531354553</c:v>
                </c:pt>
                <c:pt idx="1993">
                  <c:v>7.8424621056500055E-2</c:v>
                </c:pt>
                <c:pt idx="1994">
                  <c:v>2.3399487288335852E-2</c:v>
                </c:pt>
                <c:pt idx="1995">
                  <c:v>-3.4155437099350427E-2</c:v>
                </c:pt>
                <c:pt idx="1996">
                  <c:v>-9.3746511109509933E-2</c:v>
                </c:pt>
                <c:pt idx="1997">
                  <c:v>-0.15483896195482183</c:v>
                </c:pt>
                <c:pt idx="1998">
                  <c:v>-0.21686169810414024</c:v>
                </c:pt>
                <c:pt idx="1999">
                  <c:v>-0.27921267160567331</c:v>
                </c:pt>
                <c:pt idx="2000">
                  <c:v>-0.34126473911493882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75-4D86-B51E-2616D41D2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1191272"/>
        <c:axId val="1"/>
      </c:scatterChart>
      <c:valAx>
        <c:axId val="521191272"/>
        <c:scaling>
          <c:orientation val="minMax"/>
          <c:max val="10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6"/>
          <c:min val="-6"/>
        </c:scaling>
        <c:delete val="0"/>
        <c:axPos val="l"/>
        <c:majorGridlines/>
        <c:numFmt formatCode="0.0" sourceLinked="0"/>
        <c:majorTickMark val="out"/>
        <c:minorTickMark val="none"/>
        <c:tickLblPos val="nextTo"/>
        <c:crossAx val="52119127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2904009720534624E-2"/>
          <c:y val="3.2418952618453921E-2"/>
          <c:w val="0.89064398541919865"/>
          <c:h val="0.86533665835411544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'edo - i - RK4'!$B$9</c:f>
              <c:strCache>
                <c:ptCount val="1"/>
                <c:pt idx="0">
                  <c:v>q(RK4)</c:v>
                </c:pt>
              </c:strCache>
            </c:strRef>
          </c:tx>
          <c:marker>
            <c:symbol val="none"/>
          </c:marker>
          <c:xVal>
            <c:numRef>
              <c:f>'edo - i - RK4'!$A$10:$A$510</c:f>
              <c:numCache>
                <c:formatCode>0.00</c:formatCode>
                <c:ptCount val="501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  <c:pt idx="15">
                  <c:v>3.0000000000000004</c:v>
                </c:pt>
                <c:pt idx="16">
                  <c:v>3.2000000000000006</c:v>
                </c:pt>
                <c:pt idx="17">
                  <c:v>3.4000000000000008</c:v>
                </c:pt>
                <c:pt idx="18">
                  <c:v>3.600000000000001</c:v>
                </c:pt>
                <c:pt idx="19">
                  <c:v>3.8000000000000012</c:v>
                </c:pt>
                <c:pt idx="20">
                  <c:v>4.0000000000000009</c:v>
                </c:pt>
                <c:pt idx="21">
                  <c:v>4.2000000000000011</c:v>
                </c:pt>
                <c:pt idx="22">
                  <c:v>4.4000000000000012</c:v>
                </c:pt>
                <c:pt idx="23">
                  <c:v>4.6000000000000014</c:v>
                </c:pt>
                <c:pt idx="24">
                  <c:v>4.8000000000000016</c:v>
                </c:pt>
                <c:pt idx="25">
                  <c:v>5.0000000000000018</c:v>
                </c:pt>
                <c:pt idx="26">
                  <c:v>5.200000000000002</c:v>
                </c:pt>
                <c:pt idx="27">
                  <c:v>5.4000000000000021</c:v>
                </c:pt>
                <c:pt idx="28">
                  <c:v>5.6000000000000023</c:v>
                </c:pt>
                <c:pt idx="29">
                  <c:v>5.8000000000000025</c:v>
                </c:pt>
                <c:pt idx="30">
                  <c:v>6.0000000000000027</c:v>
                </c:pt>
                <c:pt idx="31">
                  <c:v>6.2000000000000028</c:v>
                </c:pt>
                <c:pt idx="32">
                  <c:v>6.400000000000003</c:v>
                </c:pt>
                <c:pt idx="33">
                  <c:v>6.6000000000000032</c:v>
                </c:pt>
                <c:pt idx="34">
                  <c:v>6.8000000000000034</c:v>
                </c:pt>
                <c:pt idx="35">
                  <c:v>7.0000000000000036</c:v>
                </c:pt>
                <c:pt idx="36">
                  <c:v>7.2000000000000037</c:v>
                </c:pt>
                <c:pt idx="37">
                  <c:v>7.4000000000000039</c:v>
                </c:pt>
                <c:pt idx="38">
                  <c:v>7.6000000000000041</c:v>
                </c:pt>
                <c:pt idx="39">
                  <c:v>7.8000000000000043</c:v>
                </c:pt>
                <c:pt idx="40">
                  <c:v>8.0000000000000036</c:v>
                </c:pt>
                <c:pt idx="41">
                  <c:v>8.2000000000000028</c:v>
                </c:pt>
                <c:pt idx="42">
                  <c:v>8.4000000000000021</c:v>
                </c:pt>
                <c:pt idx="43">
                  <c:v>8.6000000000000014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9.3999999999999986</c:v>
                </c:pt>
                <c:pt idx="48">
                  <c:v>9.5999999999999979</c:v>
                </c:pt>
                <c:pt idx="49">
                  <c:v>9.7999999999999972</c:v>
                </c:pt>
                <c:pt idx="50">
                  <c:v>9.9999999999999964</c:v>
                </c:pt>
                <c:pt idx="51">
                  <c:v>10.199999999999996</c:v>
                </c:pt>
                <c:pt idx="52">
                  <c:v>10.399999999999995</c:v>
                </c:pt>
                <c:pt idx="53">
                  <c:v>10.599999999999994</c:v>
                </c:pt>
                <c:pt idx="54">
                  <c:v>10.799999999999994</c:v>
                </c:pt>
                <c:pt idx="55">
                  <c:v>10.999999999999993</c:v>
                </c:pt>
                <c:pt idx="56">
                  <c:v>11.199999999999992</c:v>
                </c:pt>
                <c:pt idx="57">
                  <c:v>11.399999999999991</c:v>
                </c:pt>
                <c:pt idx="58">
                  <c:v>11.599999999999991</c:v>
                </c:pt>
                <c:pt idx="59">
                  <c:v>11.79999999999999</c:v>
                </c:pt>
                <c:pt idx="60">
                  <c:v>11.999999999999989</c:v>
                </c:pt>
                <c:pt idx="61">
                  <c:v>12.199999999999989</c:v>
                </c:pt>
                <c:pt idx="62">
                  <c:v>12.399999999999988</c:v>
                </c:pt>
                <c:pt idx="63">
                  <c:v>12.599999999999987</c:v>
                </c:pt>
                <c:pt idx="64">
                  <c:v>12.799999999999986</c:v>
                </c:pt>
                <c:pt idx="65">
                  <c:v>12.999999999999986</c:v>
                </c:pt>
                <c:pt idx="66">
                  <c:v>13.199999999999985</c:v>
                </c:pt>
                <c:pt idx="67">
                  <c:v>13.399999999999984</c:v>
                </c:pt>
                <c:pt idx="68">
                  <c:v>13.599999999999984</c:v>
                </c:pt>
                <c:pt idx="69">
                  <c:v>13.799999999999983</c:v>
                </c:pt>
                <c:pt idx="70">
                  <c:v>13.999999999999982</c:v>
                </c:pt>
                <c:pt idx="71">
                  <c:v>14.199999999999982</c:v>
                </c:pt>
                <c:pt idx="72">
                  <c:v>14.399999999999981</c:v>
                </c:pt>
                <c:pt idx="73">
                  <c:v>14.59999999999998</c:v>
                </c:pt>
                <c:pt idx="74">
                  <c:v>14.799999999999979</c:v>
                </c:pt>
                <c:pt idx="75">
                  <c:v>14.999999999999979</c:v>
                </c:pt>
                <c:pt idx="76">
                  <c:v>15.199999999999978</c:v>
                </c:pt>
                <c:pt idx="77">
                  <c:v>15.399999999999977</c:v>
                </c:pt>
                <c:pt idx="78">
                  <c:v>15.599999999999977</c:v>
                </c:pt>
                <c:pt idx="79">
                  <c:v>15.799999999999976</c:v>
                </c:pt>
                <c:pt idx="80">
                  <c:v>15.999999999999975</c:v>
                </c:pt>
                <c:pt idx="81">
                  <c:v>16.199999999999974</c:v>
                </c:pt>
                <c:pt idx="82">
                  <c:v>16.399999999999974</c:v>
                </c:pt>
                <c:pt idx="83">
                  <c:v>16.599999999999973</c:v>
                </c:pt>
                <c:pt idx="84">
                  <c:v>16.799999999999972</c:v>
                </c:pt>
                <c:pt idx="85">
                  <c:v>16.999999999999972</c:v>
                </c:pt>
                <c:pt idx="86">
                  <c:v>17.199999999999971</c:v>
                </c:pt>
                <c:pt idx="87">
                  <c:v>17.39999999999997</c:v>
                </c:pt>
                <c:pt idx="88">
                  <c:v>17.599999999999969</c:v>
                </c:pt>
                <c:pt idx="89">
                  <c:v>17.799999999999969</c:v>
                </c:pt>
                <c:pt idx="90">
                  <c:v>17.999999999999968</c:v>
                </c:pt>
                <c:pt idx="91">
                  <c:v>18.199999999999967</c:v>
                </c:pt>
                <c:pt idx="92">
                  <c:v>18.399999999999967</c:v>
                </c:pt>
                <c:pt idx="93">
                  <c:v>18.599999999999966</c:v>
                </c:pt>
                <c:pt idx="94">
                  <c:v>18.799999999999965</c:v>
                </c:pt>
                <c:pt idx="95">
                  <c:v>18.999999999999964</c:v>
                </c:pt>
                <c:pt idx="96">
                  <c:v>19.199999999999964</c:v>
                </c:pt>
                <c:pt idx="97">
                  <c:v>19.399999999999963</c:v>
                </c:pt>
                <c:pt idx="98">
                  <c:v>19.599999999999962</c:v>
                </c:pt>
                <c:pt idx="99">
                  <c:v>19.799999999999962</c:v>
                </c:pt>
                <c:pt idx="100">
                  <c:v>19.999999999999961</c:v>
                </c:pt>
                <c:pt idx="101">
                  <c:v>20.19999999999996</c:v>
                </c:pt>
                <c:pt idx="102">
                  <c:v>20.399999999999959</c:v>
                </c:pt>
                <c:pt idx="103">
                  <c:v>20.599999999999959</c:v>
                </c:pt>
                <c:pt idx="104">
                  <c:v>20.799999999999958</c:v>
                </c:pt>
                <c:pt idx="105">
                  <c:v>20.999999999999957</c:v>
                </c:pt>
                <c:pt idx="106">
                  <c:v>21.199999999999957</c:v>
                </c:pt>
                <c:pt idx="107">
                  <c:v>21.399999999999956</c:v>
                </c:pt>
                <c:pt idx="108">
                  <c:v>21.599999999999955</c:v>
                </c:pt>
                <c:pt idx="109">
                  <c:v>21.799999999999955</c:v>
                </c:pt>
                <c:pt idx="110">
                  <c:v>21.999999999999954</c:v>
                </c:pt>
                <c:pt idx="111">
                  <c:v>22.199999999999953</c:v>
                </c:pt>
                <c:pt idx="112">
                  <c:v>22.399999999999952</c:v>
                </c:pt>
                <c:pt idx="113">
                  <c:v>22.599999999999952</c:v>
                </c:pt>
                <c:pt idx="114">
                  <c:v>22.799999999999951</c:v>
                </c:pt>
                <c:pt idx="115">
                  <c:v>22.99999999999995</c:v>
                </c:pt>
                <c:pt idx="116">
                  <c:v>23.19999999999995</c:v>
                </c:pt>
                <c:pt idx="117">
                  <c:v>23.399999999999949</c:v>
                </c:pt>
                <c:pt idx="118">
                  <c:v>23.599999999999948</c:v>
                </c:pt>
                <c:pt idx="119">
                  <c:v>23.799999999999947</c:v>
                </c:pt>
                <c:pt idx="120">
                  <c:v>23.999999999999947</c:v>
                </c:pt>
                <c:pt idx="121">
                  <c:v>24.199999999999946</c:v>
                </c:pt>
                <c:pt idx="122">
                  <c:v>24.399999999999945</c:v>
                </c:pt>
                <c:pt idx="123">
                  <c:v>24.599999999999945</c:v>
                </c:pt>
                <c:pt idx="124">
                  <c:v>24.799999999999944</c:v>
                </c:pt>
                <c:pt idx="125">
                  <c:v>24.999999999999943</c:v>
                </c:pt>
                <c:pt idx="126">
                  <c:v>25.199999999999942</c:v>
                </c:pt>
                <c:pt idx="127">
                  <c:v>25.399999999999942</c:v>
                </c:pt>
                <c:pt idx="128">
                  <c:v>25.599999999999941</c:v>
                </c:pt>
                <c:pt idx="129">
                  <c:v>25.79999999999994</c:v>
                </c:pt>
                <c:pt idx="130">
                  <c:v>25.99999999999994</c:v>
                </c:pt>
                <c:pt idx="131">
                  <c:v>26.199999999999939</c:v>
                </c:pt>
                <c:pt idx="132">
                  <c:v>26.399999999999938</c:v>
                </c:pt>
                <c:pt idx="133">
                  <c:v>26.599999999999937</c:v>
                </c:pt>
                <c:pt idx="134">
                  <c:v>26.799999999999937</c:v>
                </c:pt>
                <c:pt idx="135">
                  <c:v>26.999999999999936</c:v>
                </c:pt>
                <c:pt idx="136">
                  <c:v>27.199999999999935</c:v>
                </c:pt>
                <c:pt idx="137">
                  <c:v>27.399999999999935</c:v>
                </c:pt>
                <c:pt idx="138">
                  <c:v>27.599999999999934</c:v>
                </c:pt>
                <c:pt idx="139">
                  <c:v>27.799999999999933</c:v>
                </c:pt>
                <c:pt idx="140">
                  <c:v>27.999999999999932</c:v>
                </c:pt>
                <c:pt idx="141">
                  <c:v>28.199999999999932</c:v>
                </c:pt>
                <c:pt idx="142">
                  <c:v>28.399999999999931</c:v>
                </c:pt>
                <c:pt idx="143">
                  <c:v>28.59999999999993</c:v>
                </c:pt>
                <c:pt idx="144">
                  <c:v>28.79999999999993</c:v>
                </c:pt>
                <c:pt idx="145">
                  <c:v>28.999999999999929</c:v>
                </c:pt>
                <c:pt idx="146">
                  <c:v>29.199999999999928</c:v>
                </c:pt>
                <c:pt idx="147">
                  <c:v>29.399999999999928</c:v>
                </c:pt>
                <c:pt idx="148">
                  <c:v>29.599999999999927</c:v>
                </c:pt>
                <c:pt idx="149">
                  <c:v>29.799999999999926</c:v>
                </c:pt>
                <c:pt idx="150">
                  <c:v>29.999999999999925</c:v>
                </c:pt>
                <c:pt idx="151">
                  <c:v>30.199999999999925</c:v>
                </c:pt>
                <c:pt idx="152">
                  <c:v>30.399999999999924</c:v>
                </c:pt>
                <c:pt idx="153">
                  <c:v>30.599999999999923</c:v>
                </c:pt>
                <c:pt idx="154">
                  <c:v>30.799999999999923</c:v>
                </c:pt>
                <c:pt idx="155">
                  <c:v>30.999999999999922</c:v>
                </c:pt>
                <c:pt idx="156">
                  <c:v>31.199999999999921</c:v>
                </c:pt>
                <c:pt idx="157">
                  <c:v>31.39999999999992</c:v>
                </c:pt>
                <c:pt idx="158">
                  <c:v>31.59999999999992</c:v>
                </c:pt>
                <c:pt idx="159">
                  <c:v>31.799999999999919</c:v>
                </c:pt>
                <c:pt idx="160">
                  <c:v>31.999999999999918</c:v>
                </c:pt>
                <c:pt idx="161">
                  <c:v>32.199999999999918</c:v>
                </c:pt>
                <c:pt idx="162">
                  <c:v>32.39999999999992</c:v>
                </c:pt>
                <c:pt idx="163">
                  <c:v>32.599999999999923</c:v>
                </c:pt>
                <c:pt idx="164">
                  <c:v>32.799999999999926</c:v>
                </c:pt>
                <c:pt idx="165">
                  <c:v>32.999999999999929</c:v>
                </c:pt>
                <c:pt idx="166">
                  <c:v>33.199999999999932</c:v>
                </c:pt>
                <c:pt idx="167">
                  <c:v>33.399999999999935</c:v>
                </c:pt>
                <c:pt idx="168">
                  <c:v>33.599999999999937</c:v>
                </c:pt>
                <c:pt idx="169">
                  <c:v>33.79999999999994</c:v>
                </c:pt>
                <c:pt idx="170">
                  <c:v>33.999999999999943</c:v>
                </c:pt>
                <c:pt idx="171">
                  <c:v>34.199999999999946</c:v>
                </c:pt>
                <c:pt idx="172">
                  <c:v>34.399999999999949</c:v>
                </c:pt>
                <c:pt idx="173">
                  <c:v>34.599999999999952</c:v>
                </c:pt>
                <c:pt idx="174">
                  <c:v>34.799999999999955</c:v>
                </c:pt>
                <c:pt idx="175">
                  <c:v>34.999999999999957</c:v>
                </c:pt>
                <c:pt idx="176">
                  <c:v>35.19999999999996</c:v>
                </c:pt>
                <c:pt idx="177">
                  <c:v>35.399999999999963</c:v>
                </c:pt>
                <c:pt idx="178">
                  <c:v>35.599999999999966</c:v>
                </c:pt>
                <c:pt idx="179">
                  <c:v>35.799999999999969</c:v>
                </c:pt>
                <c:pt idx="180">
                  <c:v>35.999999999999972</c:v>
                </c:pt>
                <c:pt idx="181">
                  <c:v>36.199999999999974</c:v>
                </c:pt>
                <c:pt idx="182">
                  <c:v>36.399999999999977</c:v>
                </c:pt>
                <c:pt idx="183">
                  <c:v>36.59999999999998</c:v>
                </c:pt>
                <c:pt idx="184">
                  <c:v>36.799999999999983</c:v>
                </c:pt>
                <c:pt idx="185">
                  <c:v>36.999999999999986</c:v>
                </c:pt>
                <c:pt idx="186">
                  <c:v>37.199999999999989</c:v>
                </c:pt>
                <c:pt idx="187">
                  <c:v>37.399999999999991</c:v>
                </c:pt>
                <c:pt idx="188">
                  <c:v>37.599999999999994</c:v>
                </c:pt>
                <c:pt idx="189">
                  <c:v>37.799999999999997</c:v>
                </c:pt>
                <c:pt idx="190">
                  <c:v>38</c:v>
                </c:pt>
                <c:pt idx="191">
                  <c:v>38.200000000000003</c:v>
                </c:pt>
                <c:pt idx="192">
                  <c:v>38.400000000000006</c:v>
                </c:pt>
                <c:pt idx="193">
                  <c:v>38.600000000000009</c:v>
                </c:pt>
                <c:pt idx="194">
                  <c:v>38.800000000000011</c:v>
                </c:pt>
                <c:pt idx="195">
                  <c:v>39.000000000000014</c:v>
                </c:pt>
                <c:pt idx="196">
                  <c:v>39.200000000000017</c:v>
                </c:pt>
                <c:pt idx="197">
                  <c:v>39.40000000000002</c:v>
                </c:pt>
                <c:pt idx="198">
                  <c:v>39.600000000000023</c:v>
                </c:pt>
                <c:pt idx="199">
                  <c:v>39.800000000000026</c:v>
                </c:pt>
                <c:pt idx="200">
                  <c:v>40.000000000000028</c:v>
                </c:pt>
                <c:pt idx="201">
                  <c:v>40.200000000000031</c:v>
                </c:pt>
                <c:pt idx="202">
                  <c:v>40.400000000000034</c:v>
                </c:pt>
                <c:pt idx="203">
                  <c:v>40.600000000000037</c:v>
                </c:pt>
                <c:pt idx="204">
                  <c:v>40.80000000000004</c:v>
                </c:pt>
                <c:pt idx="205">
                  <c:v>41.000000000000043</c:v>
                </c:pt>
                <c:pt idx="206">
                  <c:v>41.200000000000045</c:v>
                </c:pt>
                <c:pt idx="207">
                  <c:v>41.400000000000048</c:v>
                </c:pt>
                <c:pt idx="208">
                  <c:v>41.600000000000051</c:v>
                </c:pt>
                <c:pt idx="209">
                  <c:v>41.800000000000054</c:v>
                </c:pt>
                <c:pt idx="210">
                  <c:v>42.000000000000057</c:v>
                </c:pt>
                <c:pt idx="211">
                  <c:v>42.20000000000006</c:v>
                </c:pt>
                <c:pt idx="212">
                  <c:v>42.400000000000063</c:v>
                </c:pt>
                <c:pt idx="213">
                  <c:v>42.600000000000065</c:v>
                </c:pt>
                <c:pt idx="214">
                  <c:v>42.800000000000068</c:v>
                </c:pt>
                <c:pt idx="215">
                  <c:v>43.000000000000071</c:v>
                </c:pt>
                <c:pt idx="216">
                  <c:v>43.200000000000074</c:v>
                </c:pt>
                <c:pt idx="217">
                  <c:v>43.400000000000077</c:v>
                </c:pt>
                <c:pt idx="218">
                  <c:v>43.60000000000008</c:v>
                </c:pt>
                <c:pt idx="219">
                  <c:v>43.800000000000082</c:v>
                </c:pt>
                <c:pt idx="220">
                  <c:v>44.000000000000085</c:v>
                </c:pt>
                <c:pt idx="221">
                  <c:v>44.200000000000088</c:v>
                </c:pt>
                <c:pt idx="222">
                  <c:v>44.400000000000091</c:v>
                </c:pt>
                <c:pt idx="223">
                  <c:v>44.600000000000094</c:v>
                </c:pt>
                <c:pt idx="224">
                  <c:v>44.800000000000097</c:v>
                </c:pt>
                <c:pt idx="225">
                  <c:v>45.000000000000099</c:v>
                </c:pt>
                <c:pt idx="226">
                  <c:v>45.200000000000102</c:v>
                </c:pt>
                <c:pt idx="227">
                  <c:v>45.400000000000105</c:v>
                </c:pt>
                <c:pt idx="228">
                  <c:v>45.600000000000108</c:v>
                </c:pt>
                <c:pt idx="229">
                  <c:v>45.800000000000111</c:v>
                </c:pt>
                <c:pt idx="230">
                  <c:v>46.000000000000114</c:v>
                </c:pt>
                <c:pt idx="231">
                  <c:v>46.200000000000117</c:v>
                </c:pt>
                <c:pt idx="232">
                  <c:v>46.400000000000119</c:v>
                </c:pt>
                <c:pt idx="233">
                  <c:v>46.600000000000122</c:v>
                </c:pt>
                <c:pt idx="234">
                  <c:v>46.800000000000125</c:v>
                </c:pt>
                <c:pt idx="235">
                  <c:v>47.000000000000128</c:v>
                </c:pt>
                <c:pt idx="236">
                  <c:v>47.200000000000131</c:v>
                </c:pt>
                <c:pt idx="237">
                  <c:v>47.400000000000134</c:v>
                </c:pt>
                <c:pt idx="238">
                  <c:v>47.600000000000136</c:v>
                </c:pt>
                <c:pt idx="239">
                  <c:v>47.800000000000139</c:v>
                </c:pt>
                <c:pt idx="240">
                  <c:v>48.000000000000142</c:v>
                </c:pt>
                <c:pt idx="241">
                  <c:v>48.200000000000145</c:v>
                </c:pt>
                <c:pt idx="242">
                  <c:v>48.400000000000148</c:v>
                </c:pt>
                <c:pt idx="243">
                  <c:v>48.600000000000151</c:v>
                </c:pt>
                <c:pt idx="244">
                  <c:v>48.800000000000153</c:v>
                </c:pt>
                <c:pt idx="245">
                  <c:v>49.000000000000156</c:v>
                </c:pt>
                <c:pt idx="246">
                  <c:v>49.200000000000159</c:v>
                </c:pt>
                <c:pt idx="247">
                  <c:v>49.400000000000162</c:v>
                </c:pt>
                <c:pt idx="248">
                  <c:v>49.600000000000165</c:v>
                </c:pt>
                <c:pt idx="249">
                  <c:v>49.800000000000168</c:v>
                </c:pt>
                <c:pt idx="250">
                  <c:v>50.000000000000171</c:v>
                </c:pt>
                <c:pt idx="251">
                  <c:v>50.200000000000173</c:v>
                </c:pt>
                <c:pt idx="252">
                  <c:v>50.400000000000176</c:v>
                </c:pt>
                <c:pt idx="253">
                  <c:v>50.600000000000179</c:v>
                </c:pt>
                <c:pt idx="254">
                  <c:v>50.800000000000182</c:v>
                </c:pt>
                <c:pt idx="255">
                  <c:v>51.000000000000185</c:v>
                </c:pt>
                <c:pt idx="256">
                  <c:v>51.200000000000188</c:v>
                </c:pt>
                <c:pt idx="257">
                  <c:v>51.40000000000019</c:v>
                </c:pt>
                <c:pt idx="258">
                  <c:v>51.600000000000193</c:v>
                </c:pt>
                <c:pt idx="259">
                  <c:v>51.800000000000196</c:v>
                </c:pt>
                <c:pt idx="260">
                  <c:v>52.000000000000199</c:v>
                </c:pt>
                <c:pt idx="261">
                  <c:v>52.200000000000202</c:v>
                </c:pt>
                <c:pt idx="262">
                  <c:v>52.400000000000205</c:v>
                </c:pt>
                <c:pt idx="263">
                  <c:v>52.600000000000207</c:v>
                </c:pt>
                <c:pt idx="264">
                  <c:v>52.80000000000021</c:v>
                </c:pt>
                <c:pt idx="265">
                  <c:v>53.000000000000213</c:v>
                </c:pt>
                <c:pt idx="266">
                  <c:v>53.200000000000216</c:v>
                </c:pt>
                <c:pt idx="267">
                  <c:v>53.400000000000219</c:v>
                </c:pt>
                <c:pt idx="268">
                  <c:v>53.600000000000222</c:v>
                </c:pt>
                <c:pt idx="269">
                  <c:v>53.800000000000225</c:v>
                </c:pt>
                <c:pt idx="270">
                  <c:v>54.000000000000227</c:v>
                </c:pt>
                <c:pt idx="271">
                  <c:v>54.20000000000023</c:v>
                </c:pt>
                <c:pt idx="272">
                  <c:v>54.400000000000233</c:v>
                </c:pt>
                <c:pt idx="273">
                  <c:v>54.600000000000236</c:v>
                </c:pt>
                <c:pt idx="274">
                  <c:v>54.800000000000239</c:v>
                </c:pt>
                <c:pt idx="275">
                  <c:v>55.000000000000242</c:v>
                </c:pt>
                <c:pt idx="276">
                  <c:v>55.200000000000244</c:v>
                </c:pt>
                <c:pt idx="277">
                  <c:v>55.400000000000247</c:v>
                </c:pt>
                <c:pt idx="278">
                  <c:v>55.60000000000025</c:v>
                </c:pt>
                <c:pt idx="279">
                  <c:v>55.800000000000253</c:v>
                </c:pt>
                <c:pt idx="280">
                  <c:v>56.000000000000256</c:v>
                </c:pt>
                <c:pt idx="281">
                  <c:v>56.200000000000259</c:v>
                </c:pt>
                <c:pt idx="282">
                  <c:v>56.400000000000261</c:v>
                </c:pt>
                <c:pt idx="283">
                  <c:v>56.600000000000264</c:v>
                </c:pt>
                <c:pt idx="284">
                  <c:v>56.800000000000267</c:v>
                </c:pt>
                <c:pt idx="285">
                  <c:v>57.00000000000027</c:v>
                </c:pt>
                <c:pt idx="286">
                  <c:v>57.200000000000273</c:v>
                </c:pt>
                <c:pt idx="287">
                  <c:v>57.400000000000276</c:v>
                </c:pt>
                <c:pt idx="288">
                  <c:v>57.600000000000279</c:v>
                </c:pt>
                <c:pt idx="289">
                  <c:v>57.800000000000281</c:v>
                </c:pt>
                <c:pt idx="290">
                  <c:v>58.000000000000284</c:v>
                </c:pt>
                <c:pt idx="291">
                  <c:v>58.200000000000287</c:v>
                </c:pt>
                <c:pt idx="292">
                  <c:v>58.40000000000029</c:v>
                </c:pt>
                <c:pt idx="293">
                  <c:v>58.600000000000293</c:v>
                </c:pt>
                <c:pt idx="294">
                  <c:v>58.800000000000296</c:v>
                </c:pt>
                <c:pt idx="295">
                  <c:v>59.000000000000298</c:v>
                </c:pt>
                <c:pt idx="296">
                  <c:v>59.200000000000301</c:v>
                </c:pt>
                <c:pt idx="297">
                  <c:v>59.400000000000304</c:v>
                </c:pt>
                <c:pt idx="298">
                  <c:v>59.600000000000307</c:v>
                </c:pt>
                <c:pt idx="299">
                  <c:v>59.80000000000031</c:v>
                </c:pt>
                <c:pt idx="300">
                  <c:v>60.000000000000313</c:v>
                </c:pt>
                <c:pt idx="301">
                  <c:v>60.200000000000315</c:v>
                </c:pt>
                <c:pt idx="302">
                  <c:v>60.400000000000318</c:v>
                </c:pt>
                <c:pt idx="303">
                  <c:v>60.600000000000321</c:v>
                </c:pt>
                <c:pt idx="304">
                  <c:v>60.800000000000324</c:v>
                </c:pt>
                <c:pt idx="305">
                  <c:v>61.000000000000327</c:v>
                </c:pt>
                <c:pt idx="306">
                  <c:v>61.20000000000033</c:v>
                </c:pt>
                <c:pt idx="307">
                  <c:v>61.400000000000333</c:v>
                </c:pt>
                <c:pt idx="308">
                  <c:v>61.600000000000335</c:v>
                </c:pt>
                <c:pt idx="309">
                  <c:v>61.800000000000338</c:v>
                </c:pt>
                <c:pt idx="310">
                  <c:v>62.000000000000341</c:v>
                </c:pt>
                <c:pt idx="311">
                  <c:v>62.200000000000344</c:v>
                </c:pt>
                <c:pt idx="312">
                  <c:v>62.400000000000347</c:v>
                </c:pt>
                <c:pt idx="313">
                  <c:v>62.60000000000035</c:v>
                </c:pt>
                <c:pt idx="314">
                  <c:v>62.800000000000352</c:v>
                </c:pt>
                <c:pt idx="315">
                  <c:v>63.000000000000355</c:v>
                </c:pt>
                <c:pt idx="316">
                  <c:v>63.200000000000358</c:v>
                </c:pt>
                <c:pt idx="317">
                  <c:v>63.400000000000361</c:v>
                </c:pt>
                <c:pt idx="318">
                  <c:v>63.600000000000364</c:v>
                </c:pt>
                <c:pt idx="319">
                  <c:v>63.800000000000367</c:v>
                </c:pt>
                <c:pt idx="320">
                  <c:v>64.000000000000369</c:v>
                </c:pt>
                <c:pt idx="321">
                  <c:v>64.200000000000372</c:v>
                </c:pt>
                <c:pt idx="322">
                  <c:v>64.400000000000375</c:v>
                </c:pt>
                <c:pt idx="323">
                  <c:v>64.600000000000378</c:v>
                </c:pt>
                <c:pt idx="324">
                  <c:v>64.800000000000381</c:v>
                </c:pt>
                <c:pt idx="325">
                  <c:v>65.000000000000384</c:v>
                </c:pt>
                <c:pt idx="326">
                  <c:v>65.200000000000387</c:v>
                </c:pt>
                <c:pt idx="327">
                  <c:v>65.400000000000389</c:v>
                </c:pt>
                <c:pt idx="328">
                  <c:v>65.600000000000392</c:v>
                </c:pt>
                <c:pt idx="329">
                  <c:v>65.800000000000395</c:v>
                </c:pt>
                <c:pt idx="330">
                  <c:v>66.000000000000398</c:v>
                </c:pt>
                <c:pt idx="331">
                  <c:v>66.200000000000401</c:v>
                </c:pt>
                <c:pt idx="332">
                  <c:v>66.400000000000404</c:v>
                </c:pt>
                <c:pt idx="333">
                  <c:v>66.600000000000406</c:v>
                </c:pt>
                <c:pt idx="334">
                  <c:v>66.800000000000409</c:v>
                </c:pt>
                <c:pt idx="335">
                  <c:v>67.000000000000412</c:v>
                </c:pt>
                <c:pt idx="336">
                  <c:v>67.200000000000415</c:v>
                </c:pt>
                <c:pt idx="337">
                  <c:v>67.400000000000418</c:v>
                </c:pt>
                <c:pt idx="338">
                  <c:v>67.600000000000421</c:v>
                </c:pt>
                <c:pt idx="339">
                  <c:v>67.800000000000423</c:v>
                </c:pt>
                <c:pt idx="340">
                  <c:v>68.000000000000426</c:v>
                </c:pt>
                <c:pt idx="341">
                  <c:v>68.200000000000429</c:v>
                </c:pt>
                <c:pt idx="342">
                  <c:v>68.400000000000432</c:v>
                </c:pt>
                <c:pt idx="343">
                  <c:v>68.600000000000435</c:v>
                </c:pt>
                <c:pt idx="344">
                  <c:v>68.800000000000438</c:v>
                </c:pt>
                <c:pt idx="345">
                  <c:v>69.000000000000441</c:v>
                </c:pt>
                <c:pt idx="346">
                  <c:v>69.200000000000443</c:v>
                </c:pt>
                <c:pt idx="347">
                  <c:v>69.400000000000446</c:v>
                </c:pt>
                <c:pt idx="348">
                  <c:v>69.600000000000449</c:v>
                </c:pt>
                <c:pt idx="349">
                  <c:v>69.800000000000452</c:v>
                </c:pt>
                <c:pt idx="350">
                  <c:v>70.000000000000455</c:v>
                </c:pt>
                <c:pt idx="351">
                  <c:v>70.200000000000458</c:v>
                </c:pt>
                <c:pt idx="352">
                  <c:v>70.40000000000046</c:v>
                </c:pt>
                <c:pt idx="353">
                  <c:v>70.600000000000463</c:v>
                </c:pt>
                <c:pt idx="354">
                  <c:v>70.800000000000466</c:v>
                </c:pt>
                <c:pt idx="355">
                  <c:v>71.000000000000469</c:v>
                </c:pt>
                <c:pt idx="356">
                  <c:v>71.200000000000472</c:v>
                </c:pt>
                <c:pt idx="357">
                  <c:v>71.400000000000475</c:v>
                </c:pt>
                <c:pt idx="358">
                  <c:v>71.600000000000477</c:v>
                </c:pt>
                <c:pt idx="359">
                  <c:v>71.80000000000048</c:v>
                </c:pt>
                <c:pt idx="360">
                  <c:v>72.000000000000483</c:v>
                </c:pt>
                <c:pt idx="361">
                  <c:v>72.200000000000486</c:v>
                </c:pt>
                <c:pt idx="362">
                  <c:v>72.400000000000489</c:v>
                </c:pt>
                <c:pt idx="363">
                  <c:v>72.600000000000492</c:v>
                </c:pt>
                <c:pt idx="364">
                  <c:v>72.800000000000495</c:v>
                </c:pt>
                <c:pt idx="365">
                  <c:v>73.000000000000497</c:v>
                </c:pt>
                <c:pt idx="366">
                  <c:v>73.2000000000005</c:v>
                </c:pt>
                <c:pt idx="367">
                  <c:v>73.400000000000503</c:v>
                </c:pt>
                <c:pt idx="368">
                  <c:v>73.600000000000506</c:v>
                </c:pt>
                <c:pt idx="369">
                  <c:v>73.800000000000509</c:v>
                </c:pt>
                <c:pt idx="370">
                  <c:v>74.000000000000512</c:v>
                </c:pt>
                <c:pt idx="371">
                  <c:v>74.200000000000514</c:v>
                </c:pt>
                <c:pt idx="372">
                  <c:v>74.400000000000517</c:v>
                </c:pt>
                <c:pt idx="373">
                  <c:v>74.60000000000052</c:v>
                </c:pt>
                <c:pt idx="374">
                  <c:v>74.800000000000523</c:v>
                </c:pt>
                <c:pt idx="375">
                  <c:v>75.000000000000526</c:v>
                </c:pt>
                <c:pt idx="376">
                  <c:v>75.200000000000529</c:v>
                </c:pt>
                <c:pt idx="377">
                  <c:v>75.400000000000531</c:v>
                </c:pt>
                <c:pt idx="378">
                  <c:v>75.600000000000534</c:v>
                </c:pt>
                <c:pt idx="379">
                  <c:v>75.800000000000537</c:v>
                </c:pt>
                <c:pt idx="380">
                  <c:v>76.00000000000054</c:v>
                </c:pt>
                <c:pt idx="381">
                  <c:v>76.200000000000543</c:v>
                </c:pt>
                <c:pt idx="382">
                  <c:v>76.400000000000546</c:v>
                </c:pt>
                <c:pt idx="383">
                  <c:v>76.600000000000549</c:v>
                </c:pt>
                <c:pt idx="384">
                  <c:v>76.800000000000551</c:v>
                </c:pt>
                <c:pt idx="385">
                  <c:v>77.000000000000554</c:v>
                </c:pt>
                <c:pt idx="386">
                  <c:v>77.200000000000557</c:v>
                </c:pt>
                <c:pt idx="387">
                  <c:v>77.40000000000056</c:v>
                </c:pt>
                <c:pt idx="388">
                  <c:v>77.600000000000563</c:v>
                </c:pt>
                <c:pt idx="389">
                  <c:v>77.800000000000566</c:v>
                </c:pt>
                <c:pt idx="390">
                  <c:v>78.000000000000568</c:v>
                </c:pt>
                <c:pt idx="391">
                  <c:v>78.200000000000571</c:v>
                </c:pt>
                <c:pt idx="392">
                  <c:v>78.400000000000574</c:v>
                </c:pt>
                <c:pt idx="393">
                  <c:v>78.600000000000577</c:v>
                </c:pt>
                <c:pt idx="394">
                  <c:v>78.80000000000058</c:v>
                </c:pt>
                <c:pt idx="395">
                  <c:v>79.000000000000583</c:v>
                </c:pt>
                <c:pt idx="396">
                  <c:v>79.200000000000585</c:v>
                </c:pt>
                <c:pt idx="397">
                  <c:v>79.400000000000588</c:v>
                </c:pt>
                <c:pt idx="398">
                  <c:v>79.600000000000591</c:v>
                </c:pt>
                <c:pt idx="399">
                  <c:v>79.800000000000594</c:v>
                </c:pt>
                <c:pt idx="400">
                  <c:v>80.000000000000597</c:v>
                </c:pt>
                <c:pt idx="401">
                  <c:v>80.2000000000006</c:v>
                </c:pt>
                <c:pt idx="402">
                  <c:v>80.400000000000603</c:v>
                </c:pt>
                <c:pt idx="403">
                  <c:v>80.600000000000605</c:v>
                </c:pt>
                <c:pt idx="404">
                  <c:v>80.800000000000608</c:v>
                </c:pt>
                <c:pt idx="405">
                  <c:v>81.000000000000611</c:v>
                </c:pt>
                <c:pt idx="406">
                  <c:v>81.200000000000614</c:v>
                </c:pt>
                <c:pt idx="407">
                  <c:v>81.400000000000617</c:v>
                </c:pt>
                <c:pt idx="408">
                  <c:v>81.60000000000062</c:v>
                </c:pt>
                <c:pt idx="409">
                  <c:v>81.800000000000622</c:v>
                </c:pt>
                <c:pt idx="410">
                  <c:v>82.000000000000625</c:v>
                </c:pt>
                <c:pt idx="411">
                  <c:v>82.200000000000628</c:v>
                </c:pt>
                <c:pt idx="412">
                  <c:v>82.400000000000631</c:v>
                </c:pt>
                <c:pt idx="413">
                  <c:v>82.600000000000634</c:v>
                </c:pt>
                <c:pt idx="414">
                  <c:v>82.800000000000637</c:v>
                </c:pt>
                <c:pt idx="415">
                  <c:v>83.000000000000639</c:v>
                </c:pt>
                <c:pt idx="416">
                  <c:v>83.200000000000642</c:v>
                </c:pt>
                <c:pt idx="417">
                  <c:v>83.400000000000645</c:v>
                </c:pt>
                <c:pt idx="418">
                  <c:v>83.600000000000648</c:v>
                </c:pt>
                <c:pt idx="419">
                  <c:v>83.800000000000651</c:v>
                </c:pt>
                <c:pt idx="420">
                  <c:v>84.000000000000654</c:v>
                </c:pt>
                <c:pt idx="421">
                  <c:v>84.200000000000657</c:v>
                </c:pt>
                <c:pt idx="422">
                  <c:v>84.400000000000659</c:v>
                </c:pt>
                <c:pt idx="423">
                  <c:v>84.600000000000662</c:v>
                </c:pt>
                <c:pt idx="424">
                  <c:v>84.800000000000665</c:v>
                </c:pt>
                <c:pt idx="425">
                  <c:v>85.000000000000668</c:v>
                </c:pt>
                <c:pt idx="426">
                  <c:v>85.200000000000671</c:v>
                </c:pt>
                <c:pt idx="427">
                  <c:v>85.400000000000674</c:v>
                </c:pt>
                <c:pt idx="428">
                  <c:v>85.600000000000676</c:v>
                </c:pt>
                <c:pt idx="429">
                  <c:v>85.800000000000679</c:v>
                </c:pt>
                <c:pt idx="430">
                  <c:v>86.000000000000682</c:v>
                </c:pt>
                <c:pt idx="431">
                  <c:v>86.200000000000685</c:v>
                </c:pt>
                <c:pt idx="432">
                  <c:v>86.400000000000688</c:v>
                </c:pt>
                <c:pt idx="433">
                  <c:v>86.600000000000691</c:v>
                </c:pt>
                <c:pt idx="434">
                  <c:v>86.800000000000693</c:v>
                </c:pt>
                <c:pt idx="435">
                  <c:v>87.000000000000696</c:v>
                </c:pt>
                <c:pt idx="436">
                  <c:v>87.200000000000699</c:v>
                </c:pt>
                <c:pt idx="437">
                  <c:v>87.400000000000702</c:v>
                </c:pt>
                <c:pt idx="438">
                  <c:v>87.600000000000705</c:v>
                </c:pt>
                <c:pt idx="439">
                  <c:v>87.800000000000708</c:v>
                </c:pt>
                <c:pt idx="440">
                  <c:v>88.000000000000711</c:v>
                </c:pt>
                <c:pt idx="441">
                  <c:v>88.200000000000713</c:v>
                </c:pt>
                <c:pt idx="442">
                  <c:v>88.400000000000716</c:v>
                </c:pt>
                <c:pt idx="443">
                  <c:v>88.600000000000719</c:v>
                </c:pt>
                <c:pt idx="444">
                  <c:v>88.800000000000722</c:v>
                </c:pt>
                <c:pt idx="445">
                  <c:v>89.000000000000725</c:v>
                </c:pt>
                <c:pt idx="446">
                  <c:v>89.200000000000728</c:v>
                </c:pt>
                <c:pt idx="447">
                  <c:v>89.40000000000073</c:v>
                </c:pt>
                <c:pt idx="448">
                  <c:v>89.600000000000733</c:v>
                </c:pt>
                <c:pt idx="449">
                  <c:v>89.800000000000736</c:v>
                </c:pt>
                <c:pt idx="450">
                  <c:v>90.000000000000739</c:v>
                </c:pt>
                <c:pt idx="451">
                  <c:v>90.200000000000742</c:v>
                </c:pt>
                <c:pt idx="452">
                  <c:v>90.400000000000745</c:v>
                </c:pt>
                <c:pt idx="453">
                  <c:v>90.600000000000747</c:v>
                </c:pt>
                <c:pt idx="454">
                  <c:v>90.80000000000075</c:v>
                </c:pt>
                <c:pt idx="455">
                  <c:v>91.000000000000753</c:v>
                </c:pt>
                <c:pt idx="456">
                  <c:v>91.200000000000756</c:v>
                </c:pt>
                <c:pt idx="457">
                  <c:v>91.400000000000759</c:v>
                </c:pt>
                <c:pt idx="458">
                  <c:v>91.600000000000762</c:v>
                </c:pt>
                <c:pt idx="459">
                  <c:v>91.800000000000765</c:v>
                </c:pt>
                <c:pt idx="460">
                  <c:v>92.000000000000767</c:v>
                </c:pt>
                <c:pt idx="461">
                  <c:v>92.20000000000077</c:v>
                </c:pt>
                <c:pt idx="462">
                  <c:v>92.400000000000773</c:v>
                </c:pt>
                <c:pt idx="463">
                  <c:v>92.600000000000776</c:v>
                </c:pt>
                <c:pt idx="464">
                  <c:v>92.800000000000779</c:v>
                </c:pt>
                <c:pt idx="465">
                  <c:v>93.000000000000782</c:v>
                </c:pt>
                <c:pt idx="466">
                  <c:v>93.200000000000784</c:v>
                </c:pt>
                <c:pt idx="467">
                  <c:v>93.400000000000787</c:v>
                </c:pt>
                <c:pt idx="468">
                  <c:v>93.60000000000079</c:v>
                </c:pt>
                <c:pt idx="469">
                  <c:v>93.800000000000793</c:v>
                </c:pt>
                <c:pt idx="470">
                  <c:v>94.000000000000796</c:v>
                </c:pt>
                <c:pt idx="471">
                  <c:v>94.200000000000799</c:v>
                </c:pt>
                <c:pt idx="472">
                  <c:v>94.400000000000801</c:v>
                </c:pt>
                <c:pt idx="473">
                  <c:v>94.600000000000804</c:v>
                </c:pt>
                <c:pt idx="474">
                  <c:v>94.800000000000807</c:v>
                </c:pt>
                <c:pt idx="475">
                  <c:v>95.00000000000081</c:v>
                </c:pt>
                <c:pt idx="476">
                  <c:v>95.200000000000813</c:v>
                </c:pt>
                <c:pt idx="477">
                  <c:v>95.400000000000816</c:v>
                </c:pt>
                <c:pt idx="478">
                  <c:v>95.600000000000819</c:v>
                </c:pt>
                <c:pt idx="479">
                  <c:v>95.800000000000821</c:v>
                </c:pt>
                <c:pt idx="480">
                  <c:v>96.000000000000824</c:v>
                </c:pt>
                <c:pt idx="481">
                  <c:v>96.200000000000827</c:v>
                </c:pt>
                <c:pt idx="482">
                  <c:v>96.40000000000083</c:v>
                </c:pt>
                <c:pt idx="483">
                  <c:v>96.600000000000833</c:v>
                </c:pt>
                <c:pt idx="484">
                  <c:v>96.800000000000836</c:v>
                </c:pt>
                <c:pt idx="485">
                  <c:v>97.000000000000838</c:v>
                </c:pt>
                <c:pt idx="486">
                  <c:v>97.200000000000841</c:v>
                </c:pt>
                <c:pt idx="487">
                  <c:v>97.400000000000844</c:v>
                </c:pt>
                <c:pt idx="488">
                  <c:v>97.600000000000847</c:v>
                </c:pt>
                <c:pt idx="489">
                  <c:v>97.80000000000085</c:v>
                </c:pt>
                <c:pt idx="490">
                  <c:v>98.000000000000853</c:v>
                </c:pt>
                <c:pt idx="491">
                  <c:v>98.200000000000855</c:v>
                </c:pt>
                <c:pt idx="492">
                  <c:v>98.400000000000858</c:v>
                </c:pt>
                <c:pt idx="493">
                  <c:v>98.600000000000861</c:v>
                </c:pt>
                <c:pt idx="494">
                  <c:v>98.800000000000864</c:v>
                </c:pt>
                <c:pt idx="495">
                  <c:v>99.000000000000867</c:v>
                </c:pt>
                <c:pt idx="496">
                  <c:v>99.20000000000087</c:v>
                </c:pt>
                <c:pt idx="497">
                  <c:v>99.400000000000873</c:v>
                </c:pt>
                <c:pt idx="498">
                  <c:v>99.600000000000875</c:v>
                </c:pt>
                <c:pt idx="499">
                  <c:v>99.800000000000878</c:v>
                </c:pt>
                <c:pt idx="500">
                  <c:v>100.00000000000088</c:v>
                </c:pt>
              </c:numCache>
            </c:numRef>
          </c:xVal>
          <c:yVal>
            <c:numRef>
              <c:f>'edo - i - RK4'!$B$10:$B$510</c:f>
              <c:numCache>
                <c:formatCode>0.00</c:formatCode>
                <c:ptCount val="501"/>
                <c:pt idx="0">
                  <c:v>0</c:v>
                </c:pt>
                <c:pt idx="1">
                  <c:v>2.4799128108593201E-3</c:v>
                </c:pt>
                <c:pt idx="2">
                  <c:v>1.8822598485484242E-2</c:v>
                </c:pt>
                <c:pt idx="3">
                  <c:v>5.8724403251746493E-2</c:v>
                </c:pt>
                <c:pt idx="4">
                  <c:v>0.12449211610050197</c:v>
                </c:pt>
                <c:pt idx="5">
                  <c:v>0.20948862776709898</c:v>
                </c:pt>
                <c:pt idx="6">
                  <c:v>0.29866287567211119</c:v>
                </c:pt>
                <c:pt idx="7">
                  <c:v>0.3711520001347155</c:v>
                </c:pt>
                <c:pt idx="8">
                  <c:v>0.404513610724964</c:v>
                </c:pt>
                <c:pt idx="9">
                  <c:v>0.37979016376091052</c:v>
                </c:pt>
                <c:pt idx="10">
                  <c:v>0.28639549696817912</c:v>
                </c:pt>
                <c:pt idx="11">
                  <c:v>0.1257901604755535</c:v>
                </c:pt>
                <c:pt idx="12">
                  <c:v>-8.6911861790757494E-2</c:v>
                </c:pt>
                <c:pt idx="13">
                  <c:v>-0.32391279898522807</c:v>
                </c:pt>
                <c:pt idx="14">
                  <c:v>-0.54831991876424668</c:v>
                </c:pt>
                <c:pt idx="15">
                  <c:v>-0.71989754524888927</c:v>
                </c:pt>
                <c:pt idx="16">
                  <c:v>-0.80208418208265819</c:v>
                </c:pt>
                <c:pt idx="17">
                  <c:v>-0.76907495320421737</c:v>
                </c:pt>
                <c:pt idx="18">
                  <c:v>-0.61167000762257617</c:v>
                </c:pt>
                <c:pt idx="19">
                  <c:v>-0.34072016346869483</c:v>
                </c:pt>
                <c:pt idx="20">
                  <c:v>1.2649854669921523E-2</c:v>
                </c:pt>
                <c:pt idx="21">
                  <c:v>0.4003436287438461</c:v>
                </c:pt>
                <c:pt idx="22">
                  <c:v>0.76382227353694843</c:v>
                </c:pt>
                <c:pt idx="23">
                  <c:v>1.042977047228659</c:v>
                </c:pt>
                <c:pt idx="24">
                  <c:v>1.1859956722240543</c:v>
                </c:pt>
                <c:pt idx="25">
                  <c:v>1.1586126577024229</c:v>
                </c:pt>
                <c:pt idx="26">
                  <c:v>0.95113520888712499</c:v>
                </c:pt>
                <c:pt idx="27">
                  <c:v>0.58191199594790777</c:v>
                </c:pt>
                <c:pt idx="28">
                  <c:v>9.6429054594010744E-2</c:v>
                </c:pt>
                <c:pt idx="29">
                  <c:v>-0.43810005268963303</c:v>
                </c:pt>
                <c:pt idx="30">
                  <c:v>-0.94204073602455929</c:v>
                </c:pt>
                <c:pt idx="31">
                  <c:v>-1.3352517818305838</c:v>
                </c:pt>
                <c:pt idx="32">
                  <c:v>-1.5498177195567149</c:v>
                </c:pt>
                <c:pt idx="33">
                  <c:v>-1.5415780126502248</c:v>
                </c:pt>
                <c:pt idx="34">
                  <c:v>-1.2985213390692869</c:v>
                </c:pt>
                <c:pt idx="35">
                  <c:v>-0.84452302364737919</c:v>
                </c:pt>
                <c:pt idx="36">
                  <c:v>-0.23758095270202095</c:v>
                </c:pt>
                <c:pt idx="37">
                  <c:v>0.43744886804324834</c:v>
                </c:pt>
                <c:pt idx="38">
                  <c:v>1.0807319468041001</c:v>
                </c:pt>
                <c:pt idx="39">
                  <c:v>1.5922845069079012</c:v>
                </c:pt>
                <c:pt idx="40">
                  <c:v>1.8875401000283771</c:v>
                </c:pt>
                <c:pt idx="41">
                  <c:v>1.9112263340486428</c:v>
                </c:pt>
                <c:pt idx="42">
                  <c:v>1.6472882846266113</c:v>
                </c:pt>
                <c:pt idx="43">
                  <c:v>1.1231263989609519</c:v>
                </c:pt>
                <c:pt idx="44">
                  <c:v>0.40724429277904484</c:v>
                </c:pt>
                <c:pt idx="45">
                  <c:v>-0.39959518234872737</c:v>
                </c:pt>
                <c:pt idx="46">
                  <c:v>-1.1785820261124016</c:v>
                </c:pt>
                <c:pt idx="47">
                  <c:v>-1.8104302263022465</c:v>
                </c:pt>
                <c:pt idx="48">
                  <c:v>-2.1936980373545523</c:v>
                </c:pt>
                <c:pt idx="49">
                  <c:v>-2.261036012507974</c:v>
                </c:pt>
                <c:pt idx="50">
                  <c:v>-1.9907655214001874</c:v>
                </c:pt>
                <c:pt idx="51">
                  <c:v>-1.4118290729115706</c:v>
                </c:pt>
                <c:pt idx="52">
                  <c:v>-0.6011196437729539</c:v>
                </c:pt>
                <c:pt idx="53">
                  <c:v>0.32665195610432218</c:v>
                </c:pt>
                <c:pt idx="54">
                  <c:v>1.2352296088423362</c:v>
                </c:pt>
                <c:pt idx="55">
                  <c:v>1.9869095094370022</c:v>
                </c:pt>
                <c:pt idx="56">
                  <c:v>2.4634856384161492</c:v>
                </c:pt>
                <c:pt idx="57">
                  <c:v>2.584846345400444</c:v>
                </c:pt>
                <c:pt idx="58">
                  <c:v>2.3222952528807594</c:v>
                </c:pt>
                <c:pt idx="59">
                  <c:v>1.704400421825333</c:v>
                </c:pt>
                <c:pt idx="60">
                  <c:v>0.81426600477139088</c:v>
                </c:pt>
                <c:pt idx="61">
                  <c:v>-0.22158932112208529</c:v>
                </c:pt>
                <c:pt idx="62">
                  <c:v>-1.2512677933842391</c:v>
                </c:pt>
                <c:pt idx="63">
                  <c:v>-2.1198627800198304</c:v>
                </c:pt>
                <c:pt idx="64">
                  <c:v>-2.6928549862973163</c:v>
                </c:pt>
                <c:pt idx="65">
                  <c:v>-2.8769877002129536</c:v>
                </c:pt>
                <c:pt idx="66">
                  <c:v>-2.6353756152829528</c:v>
                </c:pt>
                <c:pt idx="67">
                  <c:v>-1.994408668389521</c:v>
                </c:pt>
                <c:pt idx="68">
                  <c:v>-1.0412115640861028</c:v>
                </c:pt>
                <c:pt idx="69">
                  <c:v>8.8164801246296109E-2</c:v>
                </c:pt>
                <c:pt idx="70">
                  <c:v>1.2282249815770181</c:v>
                </c:pt>
                <c:pt idx="71">
                  <c:v>2.208384404969439</c:v>
                </c:pt>
                <c:pt idx="72">
                  <c:v>2.8785987377506914</c:v>
                </c:pt>
                <c:pt idx="73">
                  <c:v>3.1324011695819798</c:v>
                </c:pt>
                <c:pt idx="74">
                  <c:v>2.9238008165781788</c:v>
                </c:pt>
                <c:pt idx="75">
                  <c:v>2.2753621044517081</c:v>
                </c:pt>
                <c:pt idx="76">
                  <c:v>1.2760764647752352</c:v>
                </c:pt>
                <c:pt idx="77">
                  <c:v>6.9164017926658827E-2</c:v>
                </c:pt>
                <c:pt idx="78">
                  <c:v>-1.168525050763648</c:v>
                </c:pt>
                <c:pt idx="79">
                  <c:v>-2.2525358579630499</c:v>
                </c:pt>
                <c:pt idx="80">
                  <c:v>-3.0184144333712384</c:v>
                </c:pt>
                <c:pt idx="81">
                  <c:v>-3.3467451081761506</c:v>
                </c:pt>
                <c:pt idx="82">
                  <c:v>-3.1817951427242663</c:v>
                </c:pt>
                <c:pt idx="83">
                  <c:v>-2.5408520162595827</c:v>
                </c:pt>
                <c:pt idx="84">
                  <c:v>-1.5127048736257602</c:v>
                </c:pt>
                <c:pt idx="85">
                  <c:v>-0.24534243766159247</c:v>
                </c:pt>
                <c:pt idx="86">
                  <c:v>1.0754277529304723</c:v>
                </c:pt>
                <c:pt idx="87">
                  <c:v>2.2533376911295431</c:v>
                </c:pt>
                <c:pt idx="88">
                  <c:v>3.1109491295003942</c:v>
                </c:pt>
                <c:pt idx="89">
                  <c:v>3.5164862284904985</c:v>
                </c:pt>
                <c:pt idx="90">
                  <c:v>3.4041378976836016</c:v>
                </c:pt>
                <c:pt idx="91">
                  <c:v>2.784694174193115</c:v>
                </c:pt>
                <c:pt idx="92">
                  <c:v>1.7448034453118697</c:v>
                </c:pt>
                <c:pt idx="93">
                  <c:v>0.43483493680605467</c:v>
                </c:pt>
                <c:pt idx="94">
                  <c:v>-0.95295067018569424</c:v>
                </c:pt>
                <c:pt idx="95">
                  <c:v>-2.2127405133143041</c:v>
                </c:pt>
                <c:pt idx="96">
                  <c:v>-3.1558233920776577</c:v>
                </c:pt>
                <c:pt idx="97">
                  <c:v>-3.6389732704376758</c:v>
                </c:pt>
                <c:pt idx="98">
                  <c:v>-3.5862765415193856</c:v>
                </c:pt>
                <c:pt idx="99">
                  <c:v>-3.0010657792544544</c:v>
                </c:pt>
                <c:pt idx="100">
                  <c:v>-1.9660831319895673</c:v>
                </c:pt>
                <c:pt idx="101">
                  <c:v>-0.63175223484011478</c:v>
                </c:pt>
                <c:pt idx="102">
                  <c:v>0.80577446086917059</c:v>
                </c:pt>
                <c:pt idx="103">
                  <c:v>2.1335756338147096</c:v>
                </c:pt>
                <c:pt idx="104">
                  <c:v>3.15363414484752</c:v>
                </c:pt>
                <c:pt idx="105">
                  <c:v>3.712491640956129</c:v>
                </c:pt>
                <c:pt idx="106">
                  <c:v>3.7244255485677478</c:v>
                </c:pt>
                <c:pt idx="107">
                  <c:v>3.1846348569979042</c:v>
                </c:pt>
                <c:pt idx="108">
                  <c:v>2.1704012140906714</c:v>
                </c:pt>
                <c:pt idx="109">
                  <c:v>0.82998632036807551</c:v>
                </c:pt>
                <c:pt idx="110">
                  <c:v>-0.63913349749434589</c:v>
                </c:pt>
                <c:pt idx="111">
                  <c:v>-2.0194864764263976</c:v>
                </c:pt>
                <c:pt idx="112">
                  <c:v>-3.1059363275956455</c:v>
                </c:pt>
                <c:pt idx="113">
                  <c:v>-3.736297836339352</c:v>
                </c:pt>
                <c:pt idx="114">
                  <c:v>-3.8156488197511385</c:v>
                </c:pt>
                <c:pt idx="115">
                  <c:v>-3.3306792540469985</c:v>
                </c:pt>
                <c:pt idx="116">
                  <c:v>-2.3519004221790611</c:v>
                </c:pt>
                <c:pt idx="117">
                  <c:v>-1.0233504627132388</c:v>
                </c:pt>
                <c:pt idx="118">
                  <c:v>0.45869431845209219</c:v>
                </c:pt>
                <c:pt idx="119">
                  <c:v>1.8748422902657613</c:v>
                </c:pt>
                <c:pt idx="120">
                  <c:v>3.0152037842665762</c:v>
                </c:pt>
                <c:pt idx="121">
                  <c:v>3.71063290248865</c:v>
                </c:pt>
                <c:pt idx="122">
                  <c:v>3.8579238426824056</c:v>
                </c:pt>
                <c:pt idx="123">
                  <c:v>3.4351926192536921</c:v>
                </c:pt>
                <c:pt idx="124">
                  <c:v>2.5051420825614401</c:v>
                </c:pt>
                <c:pt idx="125">
                  <c:v>1.2057211143302802</c:v>
                </c:pt>
                <c:pt idx="126">
                  <c:v>-0.27042458291706839</c:v>
                </c:pt>
                <c:pt idx="127">
                  <c:v>-1.7046360718929467</c:v>
                </c:pt>
                <c:pt idx="128">
                  <c:v>-2.8847702557232617</c:v>
                </c:pt>
                <c:pt idx="129">
                  <c:v>-3.6367146470985223</c:v>
                </c:pt>
                <c:pt idx="130">
                  <c:v>-3.8501861924231475</c:v>
                </c:pt>
                <c:pt idx="131">
                  <c:v>-3.4949750359309051</c:v>
                </c:pt>
                <c:pt idx="132">
                  <c:v>-2.6252303495286058</c:v>
                </c:pt>
                <c:pt idx="133">
                  <c:v>-1.3711785697236321</c:v>
                </c:pt>
                <c:pt idx="134">
                  <c:v>8.0455426819737053E-2</c:v>
                </c:pt>
                <c:pt idx="135">
                  <c:v>1.514368959238283</c:v>
                </c:pt>
                <c:pt idx="136">
                  <c:v>2.7187517875672977</c:v>
                </c:pt>
                <c:pt idx="137">
                  <c:v>3.5167087828351509</c:v>
                </c:pt>
                <c:pt idx="138">
                  <c:v>3.7923533958488238</c:v>
                </c:pt>
                <c:pt idx="139">
                  <c:v>3.5077063071983425</c:v>
                </c:pt>
                <c:pt idx="140">
                  <c:v>2.707924781787924</c:v>
                </c:pt>
                <c:pt idx="141">
                  <c:v>1.5141432733785678</c:v>
                </c:pt>
                <c:pt idx="142">
                  <c:v>0.10505973749215514</c:v>
                </c:pt>
                <c:pt idx="143">
                  <c:v>-1.3099236541433901</c:v>
                </c:pt>
                <c:pt idx="144">
                  <c:v>-2.5219522702913224</c:v>
                </c:pt>
                <c:pt idx="145">
                  <c:v>-3.3536796416640504</c:v>
                </c:pt>
                <c:pt idx="146">
                  <c:v>-3.6853276341036434</c:v>
                </c:pt>
                <c:pt idx="147">
                  <c:v>-3.4720002759622868</c:v>
                </c:pt>
                <c:pt idx="148">
                  <c:v>-2.7497387755643565</c:v>
                </c:pt>
                <c:pt idx="149">
                  <c:v>-1.6295047642873772</c:v>
                </c:pt>
                <c:pt idx="150">
                  <c:v>-0.28008685735620387</c:v>
                </c:pt>
                <c:pt idx="151">
                  <c:v>1.0974296704662141</c:v>
                </c:pt>
                <c:pt idx="152">
                  <c:v>2.2997541981573608</c:v>
                </c:pt>
                <c:pt idx="153">
                  <c:v>3.1515215475090406</c:v>
                </c:pt>
                <c:pt idx="154">
                  <c:v>3.5309772206968768</c:v>
                </c:pt>
                <c:pt idx="155">
                  <c:v>3.3874389760799843</c:v>
                </c:pt>
                <c:pt idx="156">
                  <c:v>2.7480216764052368</c:v>
                </c:pt>
                <c:pt idx="157">
                  <c:v>1.7127404059012612</c:v>
                </c:pt>
                <c:pt idx="158">
                  <c:v>0.43885018174057433</c:v>
                </c:pt>
                <c:pt idx="159">
                  <c:v>-0.88312338339967433</c:v>
                </c:pt>
                <c:pt idx="160">
                  <c:v>-2.0579970564907839</c:v>
                </c:pt>
                <c:pt idx="161">
                  <c:v>-2.9148723575764981</c:v>
                </c:pt>
                <c:pt idx="162">
                  <c:v>-3.3320972572422525</c:v>
                </c:pt>
                <c:pt idx="163">
                  <c:v>-3.254585852735123</c:v>
                </c:pt>
                <c:pt idx="164">
                  <c:v>-2.7010227491330849</c:v>
                </c:pt>
                <c:pt idx="165">
                  <c:v>-1.7600212742221601</c:v>
                </c:pt>
                <c:pt idx="166">
                  <c:v>-0.57596543848784854</c:v>
                </c:pt>
                <c:pt idx="167">
                  <c:v>0.6732059689975014</c:v>
                </c:pt>
                <c:pt idx="168">
                  <c:v>1.8028460174583762</c:v>
                </c:pt>
                <c:pt idx="169">
                  <c:v>2.6490110726753779</c:v>
                </c:pt>
                <c:pt idx="170">
                  <c:v>3.0923503244863721</c:v>
                </c:pt>
                <c:pt idx="171">
                  <c:v>3.0749777482890903</c:v>
                </c:pt>
                <c:pt idx="172">
                  <c:v>2.6079355828108755</c:v>
                </c:pt>
                <c:pt idx="173">
                  <c:v>1.7683028583558107</c:v>
                </c:pt>
                <c:pt idx="174">
                  <c:v>0.68656430313979588</c:v>
                </c:pt>
                <c:pt idx="175">
                  <c:v>-0.47370236840366187</c:v>
                </c:pt>
                <c:pt idx="176">
                  <c:v>-1.5406538359317326</c:v>
                </c:pt>
                <c:pt idx="177">
                  <c:v>-2.359741765151401</c:v>
                </c:pt>
                <c:pt idx="178">
                  <c:v>-2.8161885031166585</c:v>
                </c:pt>
                <c:pt idx="179">
                  <c:v>-2.8510958148216061</c:v>
                </c:pt>
                <c:pt idx="180">
                  <c:v>-2.4689219362970056</c:v>
                </c:pt>
                <c:pt idx="181">
                  <c:v>-1.7353985609992142</c:v>
                </c:pt>
                <c:pt idx="182">
                  <c:v>-0.76640740711632582</c:v>
                </c:pt>
                <c:pt idx="183">
                  <c:v>0.29032438794769955</c:v>
                </c:pt>
                <c:pt idx="184">
                  <c:v>1.2778189850858572</c:v>
                </c:pt>
                <c:pt idx="185">
                  <c:v>2.0532663719950928</c:v>
                </c:pt>
                <c:pt idx="186">
                  <c:v>2.508758427302948</c:v>
                </c:pt>
                <c:pt idx="187">
                  <c:v>2.5863159760351953</c:v>
                </c:pt>
                <c:pt idx="188">
                  <c:v>2.2851144805677666</c:v>
                </c:pt>
                <c:pt idx="189">
                  <c:v>1.6600343637226032</c:v>
                </c:pt>
                <c:pt idx="190">
                  <c:v>0.81198338497446776</c:v>
                </c:pt>
                <c:pt idx="191">
                  <c:v>-0.12834095461212691</c:v>
                </c:pt>
                <c:pt idx="192">
                  <c:v>-1.0206431527027084</c:v>
                </c:pt>
                <c:pt idx="193">
                  <c:v>-1.7360491437224637</c:v>
                </c:pt>
                <c:pt idx="194">
                  <c:v>-2.1757914450503626</c:v>
                </c:pt>
                <c:pt idx="195">
                  <c:v>-2.2848400090478034</c:v>
                </c:pt>
                <c:pt idx="196">
                  <c:v>-2.0585983565873072</c:v>
                </c:pt>
                <c:pt idx="197">
                  <c:v>-1.5418834352467421</c:v>
                </c:pt>
                <c:pt idx="198">
                  <c:v>-0.82059176735697448</c:v>
                </c:pt>
                <c:pt idx="199">
                  <c:v>-7.5416115858807364E-3</c:v>
                </c:pt>
                <c:pt idx="200">
                  <c:v>0.77519123196019635</c:v>
                </c:pt>
                <c:pt idx="201">
                  <c:v>1.4146757214356378</c:v>
                </c:pt>
                <c:pt idx="202">
                  <c:v>1.8234812850852375</c:v>
                </c:pt>
                <c:pt idx="203">
                  <c:v>1.9516087410128868</c:v>
                </c:pt>
                <c:pt idx="204">
                  <c:v>1.7923719319599796</c:v>
                </c:pt>
                <c:pt idx="205">
                  <c:v>1.3815799011412222</c:v>
                </c:pt>
                <c:pt idx="206">
                  <c:v>0.7904078813195935</c:v>
                </c:pt>
                <c:pt idx="207">
                  <c:v>0.11328666755861083</c:v>
                </c:pt>
                <c:pt idx="208">
                  <c:v>-0.54715688451169187</c:v>
                </c:pt>
                <c:pt idx="209">
                  <c:v>-1.0957099310634373</c:v>
                </c:pt>
                <c:pt idx="210">
                  <c:v>-1.4583519030188612</c:v>
                </c:pt>
                <c:pt idx="211">
                  <c:v>-1.592199247176324</c:v>
                </c:pt>
                <c:pt idx="212">
                  <c:v>-1.4902875957172745</c:v>
                </c:pt>
                <c:pt idx="213">
                  <c:v>-1.1807114508180745</c:v>
                </c:pt>
                <c:pt idx="214">
                  <c:v>-0.7205283152076315</c:v>
                </c:pt>
                <c:pt idx="215">
                  <c:v>-0.18561929751027362</c:v>
                </c:pt>
                <c:pt idx="216">
                  <c:v>0.34173663013190125</c:v>
                </c:pt>
                <c:pt idx="217">
                  <c:v>0.78555143260477389</c:v>
                </c:pt>
                <c:pt idx="218">
                  <c:v>1.0871183939484315</c:v>
                </c:pt>
                <c:pt idx="219">
                  <c:v>1.2127082873127437</c:v>
                </c:pt>
                <c:pt idx="220">
                  <c:v>1.1569738683638231</c:v>
                </c:pt>
                <c:pt idx="221">
                  <c:v>0.94179092232908346</c:v>
                </c:pt>
                <c:pt idx="222">
                  <c:v>0.61099593245585881</c:v>
                </c:pt>
                <c:pt idx="223">
                  <c:v>0.22210131241175862</c:v>
                </c:pt>
                <c:pt idx="224">
                  <c:v>-0.16351522883671554</c:v>
                </c:pt>
                <c:pt idx="225">
                  <c:v>-0.49029734218354332</c:v>
                </c:pt>
                <c:pt idx="226">
                  <c:v>-0.71654400975965382</c:v>
                </c:pt>
                <c:pt idx="227">
                  <c:v>-0.8196245187954263</c:v>
                </c:pt>
                <c:pt idx="228">
                  <c:v>-0.79774051412903113</c:v>
                </c:pt>
                <c:pt idx="229">
                  <c:v>-0.6682074670984014</c:v>
                </c:pt>
                <c:pt idx="230">
                  <c:v>-0.46280386823460101</c:v>
                </c:pt>
                <c:pt idx="231">
                  <c:v>-0.22118754257283357</c:v>
                </c:pt>
                <c:pt idx="232">
                  <c:v>1.6364872314990481E-2</c:v>
                </c:pt>
                <c:pt idx="233">
                  <c:v>0.21561085631595817</c:v>
                </c:pt>
                <c:pt idx="234">
                  <c:v>0.35329640387861894</c:v>
                </c:pt>
                <c:pt idx="235">
                  <c:v>0.41969227023440092</c:v>
                </c:pt>
                <c:pt idx="236">
                  <c:v>0.41846871525075058</c:v>
                </c:pt>
                <c:pt idx="237">
                  <c:v>0.3641583452040052</c:v>
                </c:pt>
                <c:pt idx="238">
                  <c:v>0.27787840489200666</c:v>
                </c:pt>
                <c:pt idx="239">
                  <c:v>0.18226217893962277</c:v>
                </c:pt>
                <c:pt idx="240">
                  <c:v>9.663960279132873E-2</c:v>
                </c:pt>
                <c:pt idx="241">
                  <c:v>3.3400247066127764E-2</c:v>
                </c:pt>
                <c:pt idx="242">
                  <c:v>-3.8062422314457459E-3</c:v>
                </c:pt>
                <c:pt idx="243">
                  <c:v>-1.9769844277693023E-2</c:v>
                </c:pt>
                <c:pt idx="244">
                  <c:v>-2.5488695873188368E-2</c:v>
                </c:pt>
                <c:pt idx="245">
                  <c:v>-3.4562827319790657E-2</c:v>
                </c:pt>
                <c:pt idx="246">
                  <c:v>-5.9041086506898308E-2</c:v>
                </c:pt>
                <c:pt idx="247">
                  <c:v>-0.10565435772288151</c:v>
                </c:pt>
                <c:pt idx="248">
                  <c:v>-0.17328762007422122</c:v>
                </c:pt>
                <c:pt idx="249">
                  <c:v>-0.25229257419732332</c:v>
                </c:pt>
                <c:pt idx="250">
                  <c:v>-0.32586873363952257</c:v>
                </c:pt>
                <c:pt idx="251">
                  <c:v>-0.37331456223929332</c:v>
                </c:pt>
                <c:pt idx="252">
                  <c:v>-0.37455254141871913</c:v>
                </c:pt>
                <c:pt idx="253">
                  <c:v>-0.31503992739347858</c:v>
                </c:pt>
                <c:pt idx="254">
                  <c:v>-0.19004911062412999</c:v>
                </c:pt>
                <c:pt idx="255">
                  <c:v>-7.3673603610902305E-3</c:v>
                </c:pt>
                <c:pt idx="256">
                  <c:v>0.21228042098462688</c:v>
                </c:pt>
                <c:pt idx="257">
                  <c:v>0.4373811671948275</c:v>
                </c:pt>
                <c:pt idx="258">
                  <c:v>0.63017122582269225</c:v>
                </c:pt>
                <c:pt idx="259">
                  <c:v>0.75290618071425985</c:v>
                </c:pt>
                <c:pt idx="260">
                  <c:v>0.77483048632620399</c:v>
                </c:pt>
                <c:pt idx="261">
                  <c:v>0.67860679593489948</c:v>
                </c:pt>
                <c:pt idx="262">
                  <c:v>0.46497229610796631</c:v>
                </c:pt>
                <c:pt idx="263">
                  <c:v>0.15462150060491903</c:v>
                </c:pt>
                <c:pt idx="264">
                  <c:v>-0.21325823468313454</c:v>
                </c:pt>
                <c:pt idx="265">
                  <c:v>-0.58581658980289242</c:v>
                </c:pt>
                <c:pt idx="266">
                  <c:v>-0.90416070164826245</c:v>
                </c:pt>
                <c:pt idx="267">
                  <c:v>-1.1126631126198363</c:v>
                </c:pt>
                <c:pt idx="268">
                  <c:v>-1.1684863647662356</c:v>
                </c:pt>
                <c:pt idx="269">
                  <c:v>-1.0497178935910929</c:v>
                </c:pt>
                <c:pt idx="270">
                  <c:v>-0.76064120559715676</c:v>
                </c:pt>
                <c:pt idx="271">
                  <c:v>-0.33306059711738539</c:v>
                </c:pt>
                <c:pt idx="272">
                  <c:v>0.17680646853414167</c:v>
                </c:pt>
                <c:pt idx="273">
                  <c:v>0.69564336841519658</c:v>
                </c:pt>
                <c:pt idx="274">
                  <c:v>1.1436159840855344</c:v>
                </c:pt>
                <c:pt idx="275">
                  <c:v>1.4466888530096234</c:v>
                </c:pt>
                <c:pt idx="276">
                  <c:v>1.5487712344914957</c:v>
                </c:pt>
                <c:pt idx="277">
                  <c:v>1.4217122802896602</c:v>
                </c:pt>
                <c:pt idx="278">
                  <c:v>1.0714097217641023</c:v>
                </c:pt>
                <c:pt idx="279">
                  <c:v>0.53883750128762076</c:v>
                </c:pt>
                <c:pt idx="280">
                  <c:v>-0.10444078925657829</c:v>
                </c:pt>
                <c:pt idx="281">
                  <c:v>-0.76583851977351913</c:v>
                </c:pt>
                <c:pt idx="282">
                  <c:v>-1.3451218793005644</c:v>
                </c:pt>
                <c:pt idx="283">
                  <c:v>-1.749655009906153</c:v>
                </c:pt>
                <c:pt idx="284">
                  <c:v>-1.9091877918573872</c:v>
                </c:pt>
                <c:pt idx="285">
                  <c:v>-1.7878292105184455</c:v>
                </c:pt>
                <c:pt idx="286">
                  <c:v>-1.3911940050689728</c:v>
                </c:pt>
                <c:pt idx="287">
                  <c:v>-0.76738962261523413</c:v>
                </c:pt>
                <c:pt idx="288">
                  <c:v>-1.428570828257314E-3</c:v>
                </c:pt>
                <c:pt idx="289">
                  <c:v>0.79632933468022982</c:v>
                </c:pt>
                <c:pt idx="290">
                  <c:v>1.5061379606029277</c:v>
                </c:pt>
                <c:pt idx="291">
                  <c:v>2.0169115490114464</c:v>
                </c:pt>
                <c:pt idx="292">
                  <c:v>2.2436267990029242</c:v>
                </c:pt>
                <c:pt idx="293">
                  <c:v>2.1413518436541334</c:v>
                </c:pt>
                <c:pt idx="294">
                  <c:v>1.7136035854272089</c:v>
                </c:pt>
                <c:pt idx="295">
                  <c:v>1.013539253844199</c:v>
                </c:pt>
                <c:pt idx="296">
                  <c:v>0.13755249094644817</c:v>
                </c:pt>
                <c:pt idx="297">
                  <c:v>-0.78799004317867383</c:v>
                </c:pt>
                <c:pt idx="298">
                  <c:v>-1.6250480200671751</c:v>
                </c:pt>
                <c:pt idx="299">
                  <c:v>-2.2445821669291046</c:v>
                </c:pt>
                <c:pt idx="300">
                  <c:v>-2.5464951582723643</c:v>
                </c:pt>
                <c:pt idx="301">
                  <c:v>-2.4757502766464778</c:v>
                </c:pt>
                <c:pt idx="302">
                  <c:v>-2.0320795461211447</c:v>
                </c:pt>
                <c:pt idx="303">
                  <c:v>-1.2716077781180286</c:v>
                </c:pt>
                <c:pt idx="304">
                  <c:v>-0.29991739124472794</c:v>
                </c:pt>
                <c:pt idx="305">
                  <c:v>0.74261745093798792</c:v>
                </c:pt>
                <c:pt idx="306">
                  <c:v>1.7011891237690024</c:v>
                </c:pt>
                <c:pt idx="307">
                  <c:v>2.4296427223535719</c:v>
                </c:pt>
                <c:pt idx="308">
                  <c:v>2.81283284343625</c:v>
                </c:pt>
                <c:pt idx="309">
                  <c:v>2.7848207749140181</c:v>
                </c:pt>
                <c:pt idx="310">
                  <c:v>2.3400367744595276</c:v>
                </c:pt>
                <c:pt idx="311">
                  <c:v>1.5355412499811609</c:v>
                </c:pt>
                <c:pt idx="312">
                  <c:v>0.48383677059193575</c:v>
                </c:pt>
                <c:pt idx="313">
                  <c:v>-0.66288609883662586</c:v>
                </c:pt>
                <c:pt idx="314">
                  <c:v>-1.734859654508645</c:v>
                </c:pt>
                <c:pt idx="315">
                  <c:v>-2.5699810263083824</c:v>
                </c:pt>
                <c:pt idx="316">
                  <c:v>-3.038416141166389</c:v>
                </c:pt>
                <c:pt idx="317">
                  <c:v>-3.0628181597215995</c:v>
                </c:pt>
                <c:pt idx="318">
                  <c:v>-2.6310071632141581</c:v>
                </c:pt>
                <c:pt idx="319">
                  <c:v>-1.7990445912029369</c:v>
                </c:pt>
                <c:pt idx="320">
                  <c:v>-0.68405783249736807</c:v>
                </c:pt>
                <c:pt idx="321">
                  <c:v>0.55228394782596379</c:v>
                </c:pt>
                <c:pt idx="322">
                  <c:v>1.727306187274416</c:v>
                </c:pt>
                <c:pt idx="323">
                  <c:v>2.6644367013467884</c:v>
                </c:pt>
                <c:pt idx="324">
                  <c:v>3.2198449559295428</c:v>
                </c:pt>
                <c:pt idx="325">
                  <c:v>3.304578459424298</c:v>
                </c:pt>
                <c:pt idx="326">
                  <c:v>2.8987806247439565</c:v>
                </c:pt>
                <c:pt idx="327">
                  <c:v>2.0557214521047285</c:v>
                </c:pt>
                <c:pt idx="328">
                  <c:v>0.89488084668962187</c:v>
                </c:pt>
                <c:pt idx="329">
                  <c:v>-0.41503001919312132</c:v>
                </c:pt>
                <c:pt idx="330">
                  <c:v>-1.680689507402725</c:v>
                </c:pt>
                <c:pt idx="331">
                  <c:v>-2.7128202566950015</c:v>
                </c:pt>
                <c:pt idx="332">
                  <c:v>-3.3546122804150231</c:v>
                </c:pt>
                <c:pt idx="333">
                  <c:v>-3.5056291445080072</c:v>
                </c:pt>
                <c:pt idx="334">
                  <c:v>-3.137540826442943</c:v>
                </c:pt>
                <c:pt idx="335">
                  <c:v>-2.2992166635073517</c:v>
                </c:pt>
                <c:pt idx="336">
                  <c:v>-1.1102886134169536</c:v>
                </c:pt>
                <c:pt idx="337">
                  <c:v>0.25597581693584281</c:v>
                </c:pt>
                <c:pt idx="338">
                  <c:v>1.5980305392196088</c:v>
                </c:pt>
                <c:pt idx="339">
                  <c:v>2.7159109820307776</c:v>
                </c:pt>
                <c:pt idx="340">
                  <c:v>3.4411543241475817</c:v>
                </c:pt>
                <c:pt idx="341">
                  <c:v>3.6622845376738078</c:v>
                </c:pt>
                <c:pt idx="342">
                  <c:v>3.3419926706989487</c:v>
                </c:pt>
                <c:pt idx="343">
                  <c:v>2.5233581463444308</c:v>
                </c:pt>
                <c:pt idx="344">
                  <c:v>1.3240831748682151</c:v>
                </c:pt>
                <c:pt idx="345">
                  <c:v>-8.0492715407426196E-2</c:v>
                </c:pt>
                <c:pt idx="346">
                  <c:v>-1.4831373938562813</c:v>
                </c:pt>
                <c:pt idx="347">
                  <c:v>-2.6754337269498834</c:v>
                </c:pt>
                <c:pt idx="348">
                  <c:v>-3.4788802164921462</c:v>
                </c:pt>
                <c:pt idx="349">
                  <c:v>-3.7717243143516219</c:v>
                </c:pt>
                <c:pt idx="350">
                  <c:v>-3.5074787224149797</c:v>
                </c:pt>
                <c:pt idx="351">
                  <c:v>-2.7222951566859872</c:v>
                </c:pt>
                <c:pt idx="352">
                  <c:v>-1.5300267581609761</c:v>
                </c:pt>
                <c:pt idx="353">
                  <c:v>-0.10565219613686994</c:v>
                </c:pt>
                <c:pt idx="354">
                  <c:v>1.3405151592425824</c:v>
                </c:pt>
                <c:pt idx="355">
                  <c:v>2.5940150959922565</c:v>
                </c:pt>
                <c:pt idx="356">
                  <c:v>3.4681806475401178</c:v>
                </c:pt>
                <c:pt idx="357">
                  <c:v>3.832053378880008</c:v>
                </c:pt>
                <c:pt idx="358">
                  <c:v>3.6300820283826045</c:v>
                </c:pt>
                <c:pt idx="359">
                  <c:v>2.8906298231546099</c:v>
                </c:pt>
                <c:pt idx="360">
                  <c:v>1.7219838406135648</c:v>
                </c:pt>
                <c:pt idx="361">
                  <c:v>0.29642906672948777</c:v>
                </c:pt>
                <c:pt idx="362">
                  <c:v>-1.1752604339060442</c:v>
                </c:pt>
                <c:pt idx="363">
                  <c:v>-2.4751200402242768</c:v>
                </c:pt>
                <c:pt idx="364">
                  <c:v>-3.4104152715663036</c:v>
                </c:pt>
                <c:pt idx="365">
                  <c:v>-3.8423418090415602</c:v>
                </c:pt>
                <c:pt idx="366">
                  <c:v>-3.7067130701174174</c:v>
                </c:pt>
                <c:pt idx="367">
                  <c:v>-3.0235390797592583</c:v>
                </c:pt>
                <c:pt idx="368">
                  <c:v>-1.8940612025699626</c:v>
                </c:pt>
                <c:pt idx="369">
                  <c:v>-0.48568409583401673</c:v>
                </c:pt>
                <c:pt idx="370">
                  <c:v>0.99294294083307832</c:v>
                </c:pt>
                <c:pt idx="371">
                  <c:v>2.3229702559067587</c:v>
                </c:pt>
                <c:pt idx="372">
                  <c:v>3.3078791627446198</c:v>
                </c:pt>
                <c:pt idx="373">
                  <c:v>3.8026439977608457</c:v>
                </c:pt>
                <c:pt idx="374">
                  <c:v>3.7351789386506966</c:v>
                </c:pt>
                <c:pt idx="375">
                  <c:v>3.1168843068182133</c:v>
                </c:pt>
                <c:pt idx="376">
                  <c:v>2.0407428764418585</c:v>
                </c:pt>
                <c:pt idx="377">
                  <c:v>0.66728113679700773</c:v>
                </c:pt>
                <c:pt idx="378">
                  <c:v>-0.79947684094009785</c:v>
                </c:pt>
                <c:pt idx="379">
                  <c:v>-2.1424461992967885</c:v>
                </c:pt>
                <c:pt idx="380">
                  <c:v>-3.1637490714092613</c:v>
                </c:pt>
                <c:pt idx="381">
                  <c:v>-3.7139965759885003</c:v>
                </c:pt>
                <c:pt idx="382">
                  <c:v>-3.7142332086115712</c:v>
                </c:pt>
                <c:pt idx="383">
                  <c:v>-3.1673062612964946</c:v>
                </c:pt>
                <c:pt idx="384">
                  <c:v>-2.1570170119210967</c:v>
                </c:pt>
                <c:pt idx="385">
                  <c:v>-0.83524296248485763</c:v>
                </c:pt>
                <c:pt idx="386">
                  <c:v>0.60098459144085492</c:v>
                </c:pt>
                <c:pt idx="387">
                  <c:v>1.9389748853931486</c:v>
                </c:pt>
                <c:pt idx="388">
                  <c:v>2.9820106712868188</c:v>
                </c:pt>
                <c:pt idx="389">
                  <c:v>3.5783951651265617</c:v>
                </c:pt>
                <c:pt idx="390">
                  <c:v>3.6436054112021576</c:v>
                </c:pt>
                <c:pt idx="391">
                  <c:v>3.172303199652565</c:v>
                </c:pt>
                <c:pt idx="392">
                  <c:v>2.2384918540584779</c:v>
                </c:pt>
                <c:pt idx="393">
                  <c:v>0.98388907123958558</c:v>
                </c:pt>
                <c:pt idx="394">
                  <c:v>-0.4036563576294816</c:v>
                </c:pt>
                <c:pt idx="395">
                  <c:v>-1.7184059495700532</c:v>
                </c:pt>
                <c:pt idx="396">
                  <c:v>-2.7673684041056461</c:v>
                </c:pt>
                <c:pt idx="397">
                  <c:v>-3.398750470611815</c:v>
                </c:pt>
                <c:pt idx="398">
                  <c:v>-3.5240094521027565</c:v>
                </c:pt>
                <c:pt idx="399">
                  <c:v>-3.1302904641173543</c:v>
                </c:pt>
                <c:pt idx="400">
                  <c:v>-2.2814982692253318</c:v>
                </c:pt>
                <c:pt idx="401">
                  <c:v>-1.1079669871206317</c:v>
                </c:pt>
                <c:pt idx="402">
                  <c:v>0.2136080837461547</c:v>
                </c:pt>
                <c:pt idx="403">
                  <c:v>1.4868787077278902</c:v>
                </c:pt>
                <c:pt idx="404">
                  <c:v>2.5251399086877955</c:v>
                </c:pt>
                <c:pt idx="405">
                  <c:v>3.178824680304924</c:v>
                </c:pt>
                <c:pt idx="406">
                  <c:v>3.35713078115326</c:v>
                </c:pt>
                <c:pt idx="407">
                  <c:v>3.0406402091475258</c:v>
                </c:pt>
                <c:pt idx="408">
                  <c:v>2.2831765486449065</c:v>
                </c:pt>
                <c:pt idx="409">
                  <c:v>1.2027741511456469</c:v>
                </c:pt>
                <c:pt idx="410">
                  <c:v>-3.6741357523612406E-2</c:v>
                </c:pt>
                <c:pt idx="411">
                  <c:v>-1.2506831471929838</c:v>
                </c:pt>
                <c:pt idx="412">
                  <c:v>-2.2611373586961321</c:v>
                </c:pt>
                <c:pt idx="413">
                  <c:v>-2.9231495622188084</c:v>
                </c:pt>
                <c:pt idx="414">
                  <c:v>-3.1455925857330236</c:v>
                </c:pt>
                <c:pt idx="415">
                  <c:v>-2.9037003797027654</c:v>
                </c:pt>
                <c:pt idx="416">
                  <c:v>-2.2415455637371862</c:v>
                </c:pt>
                <c:pt idx="417">
                  <c:v>-1.2642677067692456</c:v>
                </c:pt>
                <c:pt idx="418">
                  <c:v>-0.12139183690510347</c:v>
                </c:pt>
                <c:pt idx="419">
                  <c:v>1.0161179128103359</c:v>
                </c:pt>
                <c:pt idx="420">
                  <c:v>1.98153831925283</c:v>
                </c:pt>
                <c:pt idx="421">
                  <c:v>2.6369280564096145</c:v>
                </c:pt>
                <c:pt idx="422">
                  <c:v>2.8929017389033906</c:v>
                </c:pt>
                <c:pt idx="423">
                  <c:v>2.7207925074535142</c:v>
                </c:pt>
                <c:pt idx="424">
                  <c:v>2.1555527344041652</c:v>
                </c:pt>
                <c:pt idx="425">
                  <c:v>1.2891597486129569</c:v>
                </c:pt>
                <c:pt idx="426">
                  <c:v>0.25571649094661186</c:v>
                </c:pt>
                <c:pt idx="427">
                  <c:v>-0.78934841759579744</c:v>
                </c:pt>
                <c:pt idx="428">
                  <c:v>-1.6927489613926152</c:v>
                </c:pt>
                <c:pt idx="429">
                  <c:v>-2.3259215167684371</c:v>
                </c:pt>
                <c:pt idx="430">
                  <c:v>-2.6033756765137648</c:v>
                </c:pt>
                <c:pt idx="431">
                  <c:v>-2.4941883550616231</c:v>
                </c:pt>
                <c:pt idx="432">
                  <c:v>-2.0251036921047652</c:v>
                </c:pt>
                <c:pt idx="433">
                  <c:v>-1.2749959226497587</c:v>
                </c:pt>
                <c:pt idx="434">
                  <c:v>-0.36175125503503203</c:v>
                </c:pt>
                <c:pt idx="435">
                  <c:v>0.57626820352612773</c:v>
                </c:pt>
                <c:pt idx="436">
                  <c:v>1.4012626397498105</c:v>
                </c:pt>
                <c:pt idx="437">
                  <c:v>1.996325072076492</c:v>
                </c:pt>
                <c:pt idx="438">
                  <c:v>2.2820517948835772</c:v>
                </c:pt>
                <c:pt idx="439">
                  <c:v>2.2270659021121029</c:v>
                </c:pt>
                <c:pt idx="440">
                  <c:v>1.8510709648985624</c:v>
                </c:pt>
                <c:pt idx="441">
                  <c:v>1.2202156316478963</c:v>
                </c:pt>
                <c:pt idx="442">
                  <c:v>0.43571185565174653</c:v>
                </c:pt>
                <c:pt idx="443">
                  <c:v>-0.38236660563350833</c:v>
                </c:pt>
                <c:pt idx="444">
                  <c:v>-1.1135169393544464</c:v>
                </c:pt>
                <c:pt idx="445">
                  <c:v>-1.6546338351430354</c:v>
                </c:pt>
                <c:pt idx="446">
                  <c:v>-1.9345813432030656</c:v>
                </c:pt>
                <c:pt idx="447">
                  <c:v>-1.923445618942784</c:v>
                </c:pt>
                <c:pt idx="448">
                  <c:v>-1.6352814718043331</c:v>
                </c:pt>
                <c:pt idx="449">
                  <c:v>-1.1241925036680134</c:v>
                </c:pt>
                <c:pt idx="450">
                  <c:v>-0.47459895977249156</c:v>
                </c:pt>
                <c:pt idx="451">
                  <c:v>0.21260563312788461</c:v>
                </c:pt>
                <c:pt idx="452">
                  <c:v>0.83575232972906088</c:v>
                </c:pt>
                <c:pt idx="453">
                  <c:v>1.3075028884450024</c:v>
                </c:pt>
                <c:pt idx="454">
                  <c:v>1.5671101240550722</c:v>
                </c:pt>
                <c:pt idx="455">
                  <c:v>1.5881084065894941</c:v>
                </c:pt>
                <c:pt idx="456">
                  <c:v>1.3804830787261519</c:v>
                </c:pt>
                <c:pt idx="457">
                  <c:v>0.98725421491891963</c:v>
                </c:pt>
                <c:pt idx="458">
                  <c:v>0.47626854276779718</c:v>
                </c:pt>
                <c:pt idx="459">
                  <c:v>-7.1308777859584227E-2</c:v>
                </c:pt>
                <c:pt idx="460">
                  <c:v>-0.57387552792933338</c:v>
                </c:pt>
                <c:pt idx="461">
                  <c:v>-0.96160411005425184</c:v>
                </c:pt>
                <c:pt idx="462">
                  <c:v>-1.1861486040069369</c:v>
                </c:pt>
                <c:pt idx="463">
                  <c:v>-1.2264969828605452</c:v>
                </c:pt>
                <c:pt idx="464">
                  <c:v>-1.0902909276453105</c:v>
                </c:pt>
                <c:pt idx="465">
                  <c:v>-0.81068121179681618</c:v>
                </c:pt>
                <c:pt idx="466">
                  <c:v>-0.43948320062258178</c:v>
                </c:pt>
                <c:pt idx="467">
                  <c:v>-3.7935802476700586E-2</c:v>
                </c:pt>
                <c:pt idx="468">
                  <c:v>0.33333056756476898</c:v>
                </c:pt>
                <c:pt idx="469">
                  <c:v>0.62348297180621259</c:v>
                </c:pt>
                <c:pt idx="470">
                  <c:v>0.79843426772758086</c:v>
                </c:pt>
                <c:pt idx="471">
                  <c:v>0.8446028573610056</c:v>
                </c:pt>
                <c:pt idx="472">
                  <c:v>0.76911469467911608</c:v>
                </c:pt>
                <c:pt idx="473">
                  <c:v>0.59668434050725749</c:v>
                </c:pt>
                <c:pt idx="474">
                  <c:v>0.36394326644206221</c:v>
                </c:pt>
                <c:pt idx="475">
                  <c:v>0.11235559563429387</c:v>
                </c:pt>
                <c:pt idx="476">
                  <c:v>-0.11898040046976346</c:v>
                </c:pt>
                <c:pt idx="477">
                  <c:v>-0.2994184411406271</c:v>
                </c:pt>
                <c:pt idx="478">
                  <c:v>-0.41078921847302025</c:v>
                </c:pt>
                <c:pt idx="479">
                  <c:v>-0.44884135414484744</c:v>
                </c:pt>
                <c:pt idx="480">
                  <c:v>-0.42206835122692066</c:v>
                </c:pt>
                <c:pt idx="481">
                  <c:v>-0.34836185612451875</c:v>
                </c:pt>
                <c:pt idx="482">
                  <c:v>-0.25029703537456954</c:v>
                </c:pt>
                <c:pt idx="483">
                  <c:v>-0.15005577325524233</c:v>
                </c:pt>
                <c:pt idx="484">
                  <c:v>-6.4998374686776217E-2</c:v>
                </c:pt>
                <c:pt idx="485">
                  <c:v>-4.7109511537174603E-3</c:v>
                </c:pt>
                <c:pt idx="486">
                  <c:v>2.9976131339635538E-2</c:v>
                </c:pt>
                <c:pt idx="487">
                  <c:v>4.5917402651976198E-2</c:v>
                </c:pt>
                <c:pt idx="488">
                  <c:v>5.4864386573377083E-2</c:v>
                </c:pt>
                <c:pt idx="489">
                  <c:v>6.9636736107787103E-2</c:v>
                </c:pt>
                <c:pt idx="490">
                  <c:v>0.10012986155781227</c:v>
                </c:pt>
                <c:pt idx="491">
                  <c:v>0.15006159132252125</c:v>
                </c:pt>
                <c:pt idx="492">
                  <c:v>0.21520535186028195</c:v>
                </c:pt>
                <c:pt idx="493">
                  <c:v>0.2835519514108964</c:v>
                </c:pt>
                <c:pt idx="494">
                  <c:v>0.33744429886128186</c:v>
                </c:pt>
                <c:pt idx="495">
                  <c:v>0.35731498006027262</c:v>
                </c:pt>
                <c:pt idx="496">
                  <c:v>0.32630520843121613</c:v>
                </c:pt>
                <c:pt idx="497">
                  <c:v>0.23482434377839162</c:v>
                </c:pt>
                <c:pt idx="498">
                  <c:v>8.4067644602141556E-2</c:v>
                </c:pt>
                <c:pt idx="499">
                  <c:v>-0.11234021966530328</c:v>
                </c:pt>
                <c:pt idx="500">
                  <c:v>-0.32908876002094112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F0-4A0C-804E-B6321EBD5D3A}"/>
            </c:ext>
          </c:extLst>
        </c:ser>
        <c:ser>
          <c:idx val="0"/>
          <c:order val="1"/>
          <c:tx>
            <c:strRef>
              <c:f>'Solução Exata'!$B$7</c:f>
              <c:strCache>
                <c:ptCount val="1"/>
                <c:pt idx="0">
                  <c:v>q(exata)</c:v>
                </c:pt>
              </c:strCache>
            </c:strRef>
          </c:tx>
          <c:marker>
            <c:symbol val="none"/>
          </c:marker>
          <c:xVal>
            <c:numRef>
              <c:f>'Solução Exata'!$A$8:$A$2008</c:f>
              <c:numCache>
                <c:formatCode>0.00</c:formatCode>
                <c:ptCount val="200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  <c:pt idx="81">
                  <c:v>4.0499999999999936</c:v>
                </c:pt>
                <c:pt idx="82">
                  <c:v>4.0999999999999934</c:v>
                </c:pt>
                <c:pt idx="83">
                  <c:v>4.1499999999999932</c:v>
                </c:pt>
                <c:pt idx="84">
                  <c:v>4.1999999999999931</c:v>
                </c:pt>
                <c:pt idx="85">
                  <c:v>4.2499999999999929</c:v>
                </c:pt>
                <c:pt idx="86">
                  <c:v>4.2999999999999927</c:v>
                </c:pt>
                <c:pt idx="87">
                  <c:v>4.3499999999999925</c:v>
                </c:pt>
                <c:pt idx="88">
                  <c:v>4.3999999999999924</c:v>
                </c:pt>
                <c:pt idx="89">
                  <c:v>4.4499999999999922</c:v>
                </c:pt>
                <c:pt idx="90">
                  <c:v>4.499999999999992</c:v>
                </c:pt>
                <c:pt idx="91">
                  <c:v>4.5499999999999918</c:v>
                </c:pt>
                <c:pt idx="92">
                  <c:v>4.5999999999999917</c:v>
                </c:pt>
                <c:pt idx="93">
                  <c:v>4.6499999999999915</c:v>
                </c:pt>
                <c:pt idx="94">
                  <c:v>4.6999999999999913</c:v>
                </c:pt>
                <c:pt idx="95">
                  <c:v>4.7499999999999911</c:v>
                </c:pt>
                <c:pt idx="96">
                  <c:v>4.7999999999999909</c:v>
                </c:pt>
                <c:pt idx="97">
                  <c:v>4.8499999999999908</c:v>
                </c:pt>
                <c:pt idx="98">
                  <c:v>4.8999999999999906</c:v>
                </c:pt>
                <c:pt idx="99">
                  <c:v>4.9499999999999904</c:v>
                </c:pt>
                <c:pt idx="100">
                  <c:v>4.9999999999999902</c:v>
                </c:pt>
                <c:pt idx="101">
                  <c:v>5.0499999999999901</c:v>
                </c:pt>
                <c:pt idx="102">
                  <c:v>5.0999999999999899</c:v>
                </c:pt>
                <c:pt idx="103">
                  <c:v>5.1499999999999897</c:v>
                </c:pt>
                <c:pt idx="104">
                  <c:v>5.1999999999999895</c:v>
                </c:pt>
                <c:pt idx="105">
                  <c:v>5.2499999999999893</c:v>
                </c:pt>
                <c:pt idx="106">
                  <c:v>5.2999999999999892</c:v>
                </c:pt>
                <c:pt idx="107">
                  <c:v>5.349999999999989</c:v>
                </c:pt>
                <c:pt idx="108">
                  <c:v>5.3999999999999888</c:v>
                </c:pt>
                <c:pt idx="109">
                  <c:v>5.4499999999999886</c:v>
                </c:pt>
                <c:pt idx="110">
                  <c:v>5.4999999999999885</c:v>
                </c:pt>
                <c:pt idx="111">
                  <c:v>5.5499999999999883</c:v>
                </c:pt>
                <c:pt idx="112">
                  <c:v>5.5999999999999881</c:v>
                </c:pt>
                <c:pt idx="113">
                  <c:v>5.6499999999999879</c:v>
                </c:pt>
                <c:pt idx="114">
                  <c:v>5.6999999999999877</c:v>
                </c:pt>
                <c:pt idx="115">
                  <c:v>5.7499999999999876</c:v>
                </c:pt>
                <c:pt idx="116">
                  <c:v>5.7999999999999874</c:v>
                </c:pt>
                <c:pt idx="117">
                  <c:v>5.8499999999999872</c:v>
                </c:pt>
                <c:pt idx="118">
                  <c:v>5.899999999999987</c:v>
                </c:pt>
                <c:pt idx="119">
                  <c:v>5.9499999999999869</c:v>
                </c:pt>
                <c:pt idx="120">
                  <c:v>5.9999999999999867</c:v>
                </c:pt>
                <c:pt idx="121">
                  <c:v>6.0499999999999865</c:v>
                </c:pt>
                <c:pt idx="122">
                  <c:v>6.0999999999999863</c:v>
                </c:pt>
                <c:pt idx="123">
                  <c:v>6.1499999999999861</c:v>
                </c:pt>
                <c:pt idx="124">
                  <c:v>6.199999999999986</c:v>
                </c:pt>
                <c:pt idx="125">
                  <c:v>6.2499999999999858</c:v>
                </c:pt>
                <c:pt idx="126">
                  <c:v>6.2999999999999856</c:v>
                </c:pt>
                <c:pt idx="127">
                  <c:v>6.3499999999999854</c:v>
                </c:pt>
                <c:pt idx="128">
                  <c:v>6.3999999999999853</c:v>
                </c:pt>
                <c:pt idx="129">
                  <c:v>6.4499999999999851</c:v>
                </c:pt>
                <c:pt idx="130">
                  <c:v>6.4999999999999849</c:v>
                </c:pt>
                <c:pt idx="131">
                  <c:v>6.5499999999999847</c:v>
                </c:pt>
                <c:pt idx="132">
                  <c:v>6.5999999999999845</c:v>
                </c:pt>
                <c:pt idx="133">
                  <c:v>6.6499999999999844</c:v>
                </c:pt>
                <c:pt idx="134">
                  <c:v>6.6999999999999842</c:v>
                </c:pt>
                <c:pt idx="135">
                  <c:v>6.749999999999984</c:v>
                </c:pt>
                <c:pt idx="136">
                  <c:v>6.7999999999999838</c:v>
                </c:pt>
                <c:pt idx="137">
                  <c:v>6.8499999999999837</c:v>
                </c:pt>
                <c:pt idx="138">
                  <c:v>6.8999999999999835</c:v>
                </c:pt>
                <c:pt idx="139">
                  <c:v>6.9499999999999833</c:v>
                </c:pt>
                <c:pt idx="140">
                  <c:v>6.9999999999999831</c:v>
                </c:pt>
                <c:pt idx="141">
                  <c:v>7.0499999999999829</c:v>
                </c:pt>
                <c:pt idx="142">
                  <c:v>7.0999999999999828</c:v>
                </c:pt>
                <c:pt idx="143">
                  <c:v>7.1499999999999826</c:v>
                </c:pt>
                <c:pt idx="144">
                  <c:v>7.1999999999999824</c:v>
                </c:pt>
                <c:pt idx="145">
                  <c:v>7.2499999999999822</c:v>
                </c:pt>
                <c:pt idx="146">
                  <c:v>7.2999999999999821</c:v>
                </c:pt>
                <c:pt idx="147">
                  <c:v>7.3499999999999819</c:v>
                </c:pt>
                <c:pt idx="148">
                  <c:v>7.3999999999999817</c:v>
                </c:pt>
                <c:pt idx="149">
                  <c:v>7.4499999999999815</c:v>
                </c:pt>
                <c:pt idx="150">
                  <c:v>7.4999999999999813</c:v>
                </c:pt>
                <c:pt idx="151">
                  <c:v>7.5499999999999812</c:v>
                </c:pt>
                <c:pt idx="152">
                  <c:v>7.599999999999981</c:v>
                </c:pt>
                <c:pt idx="153">
                  <c:v>7.6499999999999808</c:v>
                </c:pt>
                <c:pt idx="154">
                  <c:v>7.6999999999999806</c:v>
                </c:pt>
                <c:pt idx="155">
                  <c:v>7.7499999999999805</c:v>
                </c:pt>
                <c:pt idx="156">
                  <c:v>7.7999999999999803</c:v>
                </c:pt>
                <c:pt idx="157">
                  <c:v>7.8499999999999801</c:v>
                </c:pt>
                <c:pt idx="158">
                  <c:v>7.8999999999999799</c:v>
                </c:pt>
                <c:pt idx="159">
                  <c:v>7.9499999999999797</c:v>
                </c:pt>
                <c:pt idx="160">
                  <c:v>7.9999999999999796</c:v>
                </c:pt>
                <c:pt idx="161">
                  <c:v>8.0499999999999794</c:v>
                </c:pt>
                <c:pt idx="162">
                  <c:v>8.0999999999999801</c:v>
                </c:pt>
                <c:pt idx="163">
                  <c:v>8.1499999999999808</c:v>
                </c:pt>
                <c:pt idx="164">
                  <c:v>8.1999999999999815</c:v>
                </c:pt>
                <c:pt idx="165">
                  <c:v>8.2499999999999822</c:v>
                </c:pt>
                <c:pt idx="166">
                  <c:v>8.2999999999999829</c:v>
                </c:pt>
                <c:pt idx="167">
                  <c:v>8.3499999999999837</c:v>
                </c:pt>
                <c:pt idx="168">
                  <c:v>8.3999999999999844</c:v>
                </c:pt>
                <c:pt idx="169">
                  <c:v>8.4499999999999851</c:v>
                </c:pt>
                <c:pt idx="170">
                  <c:v>8.4999999999999858</c:v>
                </c:pt>
                <c:pt idx="171">
                  <c:v>8.5499999999999865</c:v>
                </c:pt>
                <c:pt idx="172">
                  <c:v>8.5999999999999872</c:v>
                </c:pt>
                <c:pt idx="173">
                  <c:v>8.6499999999999879</c:v>
                </c:pt>
                <c:pt idx="174">
                  <c:v>8.6999999999999886</c:v>
                </c:pt>
                <c:pt idx="175">
                  <c:v>8.7499999999999893</c:v>
                </c:pt>
                <c:pt idx="176">
                  <c:v>8.7999999999999901</c:v>
                </c:pt>
                <c:pt idx="177">
                  <c:v>8.8499999999999908</c:v>
                </c:pt>
                <c:pt idx="178">
                  <c:v>8.8999999999999915</c:v>
                </c:pt>
                <c:pt idx="179">
                  <c:v>8.9499999999999922</c:v>
                </c:pt>
                <c:pt idx="180">
                  <c:v>8.9999999999999929</c:v>
                </c:pt>
                <c:pt idx="181">
                  <c:v>9.0499999999999936</c:v>
                </c:pt>
                <c:pt idx="182">
                  <c:v>9.0999999999999943</c:v>
                </c:pt>
                <c:pt idx="183">
                  <c:v>9.149999999999995</c:v>
                </c:pt>
                <c:pt idx="184">
                  <c:v>9.1999999999999957</c:v>
                </c:pt>
                <c:pt idx="185">
                  <c:v>9.2499999999999964</c:v>
                </c:pt>
                <c:pt idx="186">
                  <c:v>9.2999999999999972</c:v>
                </c:pt>
                <c:pt idx="187">
                  <c:v>9.3499999999999979</c:v>
                </c:pt>
                <c:pt idx="188">
                  <c:v>9.3999999999999986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9.6000000000000014</c:v>
                </c:pt>
                <c:pt idx="193">
                  <c:v>9.6500000000000021</c:v>
                </c:pt>
                <c:pt idx="194">
                  <c:v>9.7000000000000028</c:v>
                </c:pt>
                <c:pt idx="195">
                  <c:v>9.7500000000000036</c:v>
                </c:pt>
                <c:pt idx="196">
                  <c:v>9.8000000000000043</c:v>
                </c:pt>
                <c:pt idx="197">
                  <c:v>9.850000000000005</c:v>
                </c:pt>
                <c:pt idx="198">
                  <c:v>9.9000000000000057</c:v>
                </c:pt>
                <c:pt idx="199">
                  <c:v>9.9500000000000064</c:v>
                </c:pt>
                <c:pt idx="200">
                  <c:v>10.000000000000007</c:v>
                </c:pt>
                <c:pt idx="201">
                  <c:v>10.050000000000008</c:v>
                </c:pt>
                <c:pt idx="202">
                  <c:v>10.100000000000009</c:v>
                </c:pt>
                <c:pt idx="203">
                  <c:v>10.150000000000009</c:v>
                </c:pt>
                <c:pt idx="204">
                  <c:v>10.20000000000001</c:v>
                </c:pt>
                <c:pt idx="205">
                  <c:v>10.250000000000011</c:v>
                </c:pt>
                <c:pt idx="206">
                  <c:v>10.300000000000011</c:v>
                </c:pt>
                <c:pt idx="207">
                  <c:v>10.350000000000012</c:v>
                </c:pt>
                <c:pt idx="208">
                  <c:v>10.400000000000013</c:v>
                </c:pt>
                <c:pt idx="209">
                  <c:v>10.450000000000014</c:v>
                </c:pt>
                <c:pt idx="210">
                  <c:v>10.500000000000014</c:v>
                </c:pt>
                <c:pt idx="211">
                  <c:v>10.550000000000015</c:v>
                </c:pt>
                <c:pt idx="212">
                  <c:v>10.600000000000016</c:v>
                </c:pt>
                <c:pt idx="213">
                  <c:v>10.650000000000016</c:v>
                </c:pt>
                <c:pt idx="214">
                  <c:v>10.700000000000017</c:v>
                </c:pt>
                <c:pt idx="215">
                  <c:v>10.750000000000018</c:v>
                </c:pt>
                <c:pt idx="216">
                  <c:v>10.800000000000018</c:v>
                </c:pt>
                <c:pt idx="217">
                  <c:v>10.850000000000019</c:v>
                </c:pt>
                <c:pt idx="218">
                  <c:v>10.90000000000002</c:v>
                </c:pt>
                <c:pt idx="219">
                  <c:v>10.950000000000021</c:v>
                </c:pt>
                <c:pt idx="220">
                  <c:v>11.000000000000021</c:v>
                </c:pt>
                <c:pt idx="221">
                  <c:v>11.050000000000022</c:v>
                </c:pt>
                <c:pt idx="222">
                  <c:v>11.100000000000023</c:v>
                </c:pt>
                <c:pt idx="223">
                  <c:v>11.150000000000023</c:v>
                </c:pt>
                <c:pt idx="224">
                  <c:v>11.200000000000024</c:v>
                </c:pt>
                <c:pt idx="225">
                  <c:v>11.250000000000025</c:v>
                </c:pt>
                <c:pt idx="226">
                  <c:v>11.300000000000026</c:v>
                </c:pt>
                <c:pt idx="227">
                  <c:v>11.350000000000026</c:v>
                </c:pt>
                <c:pt idx="228">
                  <c:v>11.400000000000027</c:v>
                </c:pt>
                <c:pt idx="229">
                  <c:v>11.450000000000028</c:v>
                </c:pt>
                <c:pt idx="230">
                  <c:v>11.500000000000028</c:v>
                </c:pt>
                <c:pt idx="231">
                  <c:v>11.550000000000029</c:v>
                </c:pt>
                <c:pt idx="232">
                  <c:v>11.60000000000003</c:v>
                </c:pt>
                <c:pt idx="233">
                  <c:v>11.650000000000031</c:v>
                </c:pt>
                <c:pt idx="234">
                  <c:v>11.700000000000031</c:v>
                </c:pt>
                <c:pt idx="235">
                  <c:v>11.750000000000032</c:v>
                </c:pt>
                <c:pt idx="236">
                  <c:v>11.800000000000033</c:v>
                </c:pt>
                <c:pt idx="237">
                  <c:v>11.850000000000033</c:v>
                </c:pt>
                <c:pt idx="238">
                  <c:v>11.900000000000034</c:v>
                </c:pt>
                <c:pt idx="239">
                  <c:v>11.950000000000035</c:v>
                </c:pt>
                <c:pt idx="240">
                  <c:v>12.000000000000036</c:v>
                </c:pt>
                <c:pt idx="241">
                  <c:v>12.050000000000036</c:v>
                </c:pt>
                <c:pt idx="242">
                  <c:v>12.100000000000037</c:v>
                </c:pt>
                <c:pt idx="243">
                  <c:v>12.150000000000038</c:v>
                </c:pt>
                <c:pt idx="244">
                  <c:v>12.200000000000038</c:v>
                </c:pt>
                <c:pt idx="245">
                  <c:v>12.250000000000039</c:v>
                </c:pt>
                <c:pt idx="246">
                  <c:v>12.30000000000004</c:v>
                </c:pt>
                <c:pt idx="247">
                  <c:v>12.350000000000041</c:v>
                </c:pt>
                <c:pt idx="248">
                  <c:v>12.400000000000041</c:v>
                </c:pt>
                <c:pt idx="249">
                  <c:v>12.450000000000042</c:v>
                </c:pt>
                <c:pt idx="250">
                  <c:v>12.500000000000043</c:v>
                </c:pt>
                <c:pt idx="251">
                  <c:v>12.550000000000043</c:v>
                </c:pt>
                <c:pt idx="252">
                  <c:v>12.600000000000044</c:v>
                </c:pt>
                <c:pt idx="253">
                  <c:v>12.650000000000045</c:v>
                </c:pt>
                <c:pt idx="254">
                  <c:v>12.700000000000045</c:v>
                </c:pt>
                <c:pt idx="255">
                  <c:v>12.750000000000046</c:v>
                </c:pt>
                <c:pt idx="256">
                  <c:v>12.800000000000047</c:v>
                </c:pt>
                <c:pt idx="257">
                  <c:v>12.850000000000048</c:v>
                </c:pt>
                <c:pt idx="258">
                  <c:v>12.900000000000048</c:v>
                </c:pt>
                <c:pt idx="259">
                  <c:v>12.950000000000049</c:v>
                </c:pt>
                <c:pt idx="260">
                  <c:v>13.00000000000005</c:v>
                </c:pt>
                <c:pt idx="261">
                  <c:v>13.05000000000005</c:v>
                </c:pt>
                <c:pt idx="262">
                  <c:v>13.100000000000051</c:v>
                </c:pt>
                <c:pt idx="263">
                  <c:v>13.150000000000052</c:v>
                </c:pt>
                <c:pt idx="264">
                  <c:v>13.200000000000053</c:v>
                </c:pt>
                <c:pt idx="265">
                  <c:v>13.250000000000053</c:v>
                </c:pt>
                <c:pt idx="266">
                  <c:v>13.300000000000054</c:v>
                </c:pt>
                <c:pt idx="267">
                  <c:v>13.350000000000055</c:v>
                </c:pt>
                <c:pt idx="268">
                  <c:v>13.400000000000055</c:v>
                </c:pt>
                <c:pt idx="269">
                  <c:v>13.450000000000056</c:v>
                </c:pt>
                <c:pt idx="270">
                  <c:v>13.500000000000057</c:v>
                </c:pt>
                <c:pt idx="271">
                  <c:v>13.550000000000058</c:v>
                </c:pt>
                <c:pt idx="272">
                  <c:v>13.600000000000058</c:v>
                </c:pt>
                <c:pt idx="273">
                  <c:v>13.650000000000059</c:v>
                </c:pt>
                <c:pt idx="274">
                  <c:v>13.70000000000006</c:v>
                </c:pt>
                <c:pt idx="275">
                  <c:v>13.75000000000006</c:v>
                </c:pt>
                <c:pt idx="276">
                  <c:v>13.800000000000061</c:v>
                </c:pt>
                <c:pt idx="277">
                  <c:v>13.850000000000062</c:v>
                </c:pt>
                <c:pt idx="278">
                  <c:v>13.900000000000063</c:v>
                </c:pt>
                <c:pt idx="279">
                  <c:v>13.950000000000063</c:v>
                </c:pt>
                <c:pt idx="280">
                  <c:v>14.000000000000064</c:v>
                </c:pt>
                <c:pt idx="281">
                  <c:v>14.050000000000065</c:v>
                </c:pt>
                <c:pt idx="282">
                  <c:v>14.100000000000065</c:v>
                </c:pt>
                <c:pt idx="283">
                  <c:v>14.150000000000066</c:v>
                </c:pt>
                <c:pt idx="284">
                  <c:v>14.200000000000067</c:v>
                </c:pt>
                <c:pt idx="285">
                  <c:v>14.250000000000068</c:v>
                </c:pt>
                <c:pt idx="286">
                  <c:v>14.300000000000068</c:v>
                </c:pt>
                <c:pt idx="287">
                  <c:v>14.350000000000069</c:v>
                </c:pt>
                <c:pt idx="288">
                  <c:v>14.40000000000007</c:v>
                </c:pt>
                <c:pt idx="289">
                  <c:v>14.45000000000007</c:v>
                </c:pt>
                <c:pt idx="290">
                  <c:v>14.500000000000071</c:v>
                </c:pt>
                <c:pt idx="291">
                  <c:v>14.550000000000072</c:v>
                </c:pt>
                <c:pt idx="292">
                  <c:v>14.600000000000072</c:v>
                </c:pt>
                <c:pt idx="293">
                  <c:v>14.650000000000073</c:v>
                </c:pt>
                <c:pt idx="294">
                  <c:v>14.700000000000074</c:v>
                </c:pt>
                <c:pt idx="295">
                  <c:v>14.750000000000075</c:v>
                </c:pt>
                <c:pt idx="296">
                  <c:v>14.800000000000075</c:v>
                </c:pt>
                <c:pt idx="297">
                  <c:v>14.850000000000076</c:v>
                </c:pt>
                <c:pt idx="298">
                  <c:v>14.900000000000077</c:v>
                </c:pt>
                <c:pt idx="299">
                  <c:v>14.950000000000077</c:v>
                </c:pt>
                <c:pt idx="300">
                  <c:v>15.000000000000078</c:v>
                </c:pt>
                <c:pt idx="301">
                  <c:v>15.050000000000079</c:v>
                </c:pt>
                <c:pt idx="302">
                  <c:v>15.10000000000008</c:v>
                </c:pt>
                <c:pt idx="303">
                  <c:v>15.15000000000008</c:v>
                </c:pt>
                <c:pt idx="304">
                  <c:v>15.200000000000081</c:v>
                </c:pt>
                <c:pt idx="305">
                  <c:v>15.250000000000082</c:v>
                </c:pt>
                <c:pt idx="306">
                  <c:v>15.300000000000082</c:v>
                </c:pt>
                <c:pt idx="307">
                  <c:v>15.350000000000083</c:v>
                </c:pt>
                <c:pt idx="308">
                  <c:v>15.400000000000084</c:v>
                </c:pt>
                <c:pt idx="309">
                  <c:v>15.450000000000085</c:v>
                </c:pt>
                <c:pt idx="310">
                  <c:v>15.500000000000085</c:v>
                </c:pt>
                <c:pt idx="311">
                  <c:v>15.550000000000086</c:v>
                </c:pt>
                <c:pt idx="312">
                  <c:v>15.600000000000087</c:v>
                </c:pt>
                <c:pt idx="313">
                  <c:v>15.650000000000087</c:v>
                </c:pt>
                <c:pt idx="314">
                  <c:v>15.700000000000088</c:v>
                </c:pt>
                <c:pt idx="315">
                  <c:v>15.750000000000089</c:v>
                </c:pt>
                <c:pt idx="316">
                  <c:v>15.80000000000009</c:v>
                </c:pt>
                <c:pt idx="317">
                  <c:v>15.85000000000009</c:v>
                </c:pt>
                <c:pt idx="318">
                  <c:v>15.900000000000091</c:v>
                </c:pt>
                <c:pt idx="319">
                  <c:v>15.950000000000092</c:v>
                </c:pt>
                <c:pt idx="320">
                  <c:v>16.000000000000092</c:v>
                </c:pt>
                <c:pt idx="321">
                  <c:v>16.050000000000093</c:v>
                </c:pt>
                <c:pt idx="322">
                  <c:v>16.100000000000094</c:v>
                </c:pt>
                <c:pt idx="323">
                  <c:v>16.150000000000095</c:v>
                </c:pt>
                <c:pt idx="324">
                  <c:v>16.200000000000095</c:v>
                </c:pt>
                <c:pt idx="325">
                  <c:v>16.250000000000096</c:v>
                </c:pt>
                <c:pt idx="326">
                  <c:v>16.300000000000097</c:v>
                </c:pt>
                <c:pt idx="327">
                  <c:v>16.350000000000097</c:v>
                </c:pt>
                <c:pt idx="328">
                  <c:v>16.400000000000098</c:v>
                </c:pt>
                <c:pt idx="329">
                  <c:v>16.450000000000099</c:v>
                </c:pt>
                <c:pt idx="330">
                  <c:v>16.500000000000099</c:v>
                </c:pt>
                <c:pt idx="331">
                  <c:v>16.5500000000001</c:v>
                </c:pt>
                <c:pt idx="332">
                  <c:v>16.600000000000101</c:v>
                </c:pt>
                <c:pt idx="333">
                  <c:v>16.650000000000102</c:v>
                </c:pt>
                <c:pt idx="334">
                  <c:v>16.700000000000102</c:v>
                </c:pt>
                <c:pt idx="335">
                  <c:v>16.750000000000103</c:v>
                </c:pt>
                <c:pt idx="336">
                  <c:v>16.800000000000104</c:v>
                </c:pt>
                <c:pt idx="337">
                  <c:v>16.850000000000104</c:v>
                </c:pt>
                <c:pt idx="338">
                  <c:v>16.900000000000105</c:v>
                </c:pt>
                <c:pt idx="339">
                  <c:v>16.950000000000106</c:v>
                </c:pt>
                <c:pt idx="340">
                  <c:v>17.000000000000107</c:v>
                </c:pt>
                <c:pt idx="341">
                  <c:v>17.050000000000107</c:v>
                </c:pt>
                <c:pt idx="342">
                  <c:v>17.100000000000108</c:v>
                </c:pt>
                <c:pt idx="343">
                  <c:v>17.150000000000109</c:v>
                </c:pt>
                <c:pt idx="344">
                  <c:v>17.200000000000109</c:v>
                </c:pt>
                <c:pt idx="345">
                  <c:v>17.25000000000011</c:v>
                </c:pt>
                <c:pt idx="346">
                  <c:v>17.300000000000111</c:v>
                </c:pt>
                <c:pt idx="347">
                  <c:v>17.350000000000112</c:v>
                </c:pt>
                <c:pt idx="348">
                  <c:v>17.400000000000112</c:v>
                </c:pt>
                <c:pt idx="349">
                  <c:v>17.450000000000113</c:v>
                </c:pt>
                <c:pt idx="350">
                  <c:v>17.500000000000114</c:v>
                </c:pt>
                <c:pt idx="351">
                  <c:v>17.550000000000114</c:v>
                </c:pt>
                <c:pt idx="352">
                  <c:v>17.600000000000115</c:v>
                </c:pt>
                <c:pt idx="353">
                  <c:v>17.650000000000116</c:v>
                </c:pt>
                <c:pt idx="354">
                  <c:v>17.700000000000117</c:v>
                </c:pt>
                <c:pt idx="355">
                  <c:v>17.750000000000117</c:v>
                </c:pt>
                <c:pt idx="356">
                  <c:v>17.800000000000118</c:v>
                </c:pt>
                <c:pt idx="357">
                  <c:v>17.850000000000119</c:v>
                </c:pt>
                <c:pt idx="358">
                  <c:v>17.900000000000119</c:v>
                </c:pt>
                <c:pt idx="359">
                  <c:v>17.95000000000012</c:v>
                </c:pt>
                <c:pt idx="360">
                  <c:v>18.000000000000121</c:v>
                </c:pt>
                <c:pt idx="361">
                  <c:v>18.050000000000122</c:v>
                </c:pt>
                <c:pt idx="362">
                  <c:v>18.100000000000122</c:v>
                </c:pt>
                <c:pt idx="363">
                  <c:v>18.150000000000123</c:v>
                </c:pt>
                <c:pt idx="364">
                  <c:v>18.200000000000124</c:v>
                </c:pt>
                <c:pt idx="365">
                  <c:v>18.250000000000124</c:v>
                </c:pt>
                <c:pt idx="366">
                  <c:v>18.300000000000125</c:v>
                </c:pt>
                <c:pt idx="367">
                  <c:v>18.350000000000126</c:v>
                </c:pt>
                <c:pt idx="368">
                  <c:v>18.400000000000126</c:v>
                </c:pt>
                <c:pt idx="369">
                  <c:v>18.450000000000127</c:v>
                </c:pt>
                <c:pt idx="370">
                  <c:v>18.500000000000128</c:v>
                </c:pt>
                <c:pt idx="371">
                  <c:v>18.550000000000129</c:v>
                </c:pt>
                <c:pt idx="372">
                  <c:v>18.600000000000129</c:v>
                </c:pt>
                <c:pt idx="373">
                  <c:v>18.65000000000013</c:v>
                </c:pt>
                <c:pt idx="374">
                  <c:v>18.700000000000131</c:v>
                </c:pt>
                <c:pt idx="375">
                  <c:v>18.750000000000131</c:v>
                </c:pt>
                <c:pt idx="376">
                  <c:v>18.800000000000132</c:v>
                </c:pt>
                <c:pt idx="377">
                  <c:v>18.850000000000133</c:v>
                </c:pt>
                <c:pt idx="378">
                  <c:v>18.900000000000134</c:v>
                </c:pt>
                <c:pt idx="379">
                  <c:v>18.950000000000134</c:v>
                </c:pt>
                <c:pt idx="380">
                  <c:v>19.000000000000135</c:v>
                </c:pt>
                <c:pt idx="381">
                  <c:v>19.050000000000136</c:v>
                </c:pt>
                <c:pt idx="382">
                  <c:v>19.100000000000136</c:v>
                </c:pt>
                <c:pt idx="383">
                  <c:v>19.150000000000137</c:v>
                </c:pt>
                <c:pt idx="384">
                  <c:v>19.200000000000138</c:v>
                </c:pt>
                <c:pt idx="385">
                  <c:v>19.250000000000139</c:v>
                </c:pt>
                <c:pt idx="386">
                  <c:v>19.300000000000139</c:v>
                </c:pt>
                <c:pt idx="387">
                  <c:v>19.35000000000014</c:v>
                </c:pt>
                <c:pt idx="388">
                  <c:v>19.400000000000141</c:v>
                </c:pt>
                <c:pt idx="389">
                  <c:v>19.450000000000141</c:v>
                </c:pt>
                <c:pt idx="390">
                  <c:v>19.500000000000142</c:v>
                </c:pt>
                <c:pt idx="391">
                  <c:v>19.550000000000143</c:v>
                </c:pt>
                <c:pt idx="392">
                  <c:v>19.600000000000144</c:v>
                </c:pt>
                <c:pt idx="393">
                  <c:v>19.650000000000144</c:v>
                </c:pt>
                <c:pt idx="394">
                  <c:v>19.700000000000145</c:v>
                </c:pt>
                <c:pt idx="395">
                  <c:v>19.750000000000146</c:v>
                </c:pt>
                <c:pt idx="396">
                  <c:v>19.800000000000146</c:v>
                </c:pt>
                <c:pt idx="397">
                  <c:v>19.850000000000147</c:v>
                </c:pt>
                <c:pt idx="398">
                  <c:v>19.900000000000148</c:v>
                </c:pt>
                <c:pt idx="399">
                  <c:v>19.950000000000149</c:v>
                </c:pt>
                <c:pt idx="400">
                  <c:v>20.000000000000149</c:v>
                </c:pt>
                <c:pt idx="401">
                  <c:v>20.05000000000015</c:v>
                </c:pt>
                <c:pt idx="402">
                  <c:v>20.100000000000151</c:v>
                </c:pt>
                <c:pt idx="403">
                  <c:v>20.150000000000151</c:v>
                </c:pt>
                <c:pt idx="404">
                  <c:v>20.200000000000152</c:v>
                </c:pt>
                <c:pt idx="405">
                  <c:v>20.250000000000153</c:v>
                </c:pt>
                <c:pt idx="406">
                  <c:v>20.300000000000153</c:v>
                </c:pt>
                <c:pt idx="407">
                  <c:v>20.350000000000154</c:v>
                </c:pt>
                <c:pt idx="408">
                  <c:v>20.400000000000155</c:v>
                </c:pt>
                <c:pt idx="409">
                  <c:v>20.450000000000156</c:v>
                </c:pt>
                <c:pt idx="410">
                  <c:v>20.500000000000156</c:v>
                </c:pt>
                <c:pt idx="411">
                  <c:v>20.550000000000157</c:v>
                </c:pt>
                <c:pt idx="412">
                  <c:v>20.600000000000158</c:v>
                </c:pt>
                <c:pt idx="413">
                  <c:v>20.650000000000158</c:v>
                </c:pt>
                <c:pt idx="414">
                  <c:v>20.700000000000159</c:v>
                </c:pt>
                <c:pt idx="415">
                  <c:v>20.75000000000016</c:v>
                </c:pt>
                <c:pt idx="416">
                  <c:v>20.800000000000161</c:v>
                </c:pt>
                <c:pt idx="417">
                  <c:v>20.850000000000161</c:v>
                </c:pt>
                <c:pt idx="418">
                  <c:v>20.900000000000162</c:v>
                </c:pt>
                <c:pt idx="419">
                  <c:v>20.950000000000163</c:v>
                </c:pt>
                <c:pt idx="420">
                  <c:v>21.000000000000163</c:v>
                </c:pt>
                <c:pt idx="421">
                  <c:v>21.050000000000164</c:v>
                </c:pt>
                <c:pt idx="422">
                  <c:v>21.100000000000165</c:v>
                </c:pt>
                <c:pt idx="423">
                  <c:v>21.150000000000166</c:v>
                </c:pt>
                <c:pt idx="424">
                  <c:v>21.200000000000166</c:v>
                </c:pt>
                <c:pt idx="425">
                  <c:v>21.250000000000167</c:v>
                </c:pt>
                <c:pt idx="426">
                  <c:v>21.300000000000168</c:v>
                </c:pt>
                <c:pt idx="427">
                  <c:v>21.350000000000168</c:v>
                </c:pt>
                <c:pt idx="428">
                  <c:v>21.400000000000169</c:v>
                </c:pt>
                <c:pt idx="429">
                  <c:v>21.45000000000017</c:v>
                </c:pt>
                <c:pt idx="430">
                  <c:v>21.500000000000171</c:v>
                </c:pt>
                <c:pt idx="431">
                  <c:v>21.550000000000171</c:v>
                </c:pt>
                <c:pt idx="432">
                  <c:v>21.600000000000172</c:v>
                </c:pt>
                <c:pt idx="433">
                  <c:v>21.650000000000173</c:v>
                </c:pt>
                <c:pt idx="434">
                  <c:v>21.700000000000173</c:v>
                </c:pt>
                <c:pt idx="435">
                  <c:v>21.750000000000174</c:v>
                </c:pt>
                <c:pt idx="436">
                  <c:v>21.800000000000175</c:v>
                </c:pt>
                <c:pt idx="437">
                  <c:v>21.850000000000176</c:v>
                </c:pt>
                <c:pt idx="438">
                  <c:v>21.900000000000176</c:v>
                </c:pt>
                <c:pt idx="439">
                  <c:v>21.950000000000177</c:v>
                </c:pt>
                <c:pt idx="440">
                  <c:v>22.000000000000178</c:v>
                </c:pt>
                <c:pt idx="441">
                  <c:v>22.050000000000178</c:v>
                </c:pt>
                <c:pt idx="442">
                  <c:v>22.100000000000179</c:v>
                </c:pt>
                <c:pt idx="443">
                  <c:v>22.15000000000018</c:v>
                </c:pt>
                <c:pt idx="444">
                  <c:v>22.20000000000018</c:v>
                </c:pt>
                <c:pt idx="445">
                  <c:v>22.250000000000181</c:v>
                </c:pt>
                <c:pt idx="446">
                  <c:v>22.300000000000182</c:v>
                </c:pt>
                <c:pt idx="447">
                  <c:v>22.350000000000183</c:v>
                </c:pt>
                <c:pt idx="448">
                  <c:v>22.400000000000183</c:v>
                </c:pt>
                <c:pt idx="449">
                  <c:v>22.450000000000184</c:v>
                </c:pt>
                <c:pt idx="450">
                  <c:v>22.500000000000185</c:v>
                </c:pt>
                <c:pt idx="451">
                  <c:v>22.550000000000185</c:v>
                </c:pt>
                <c:pt idx="452">
                  <c:v>22.600000000000186</c:v>
                </c:pt>
                <c:pt idx="453">
                  <c:v>22.650000000000187</c:v>
                </c:pt>
                <c:pt idx="454">
                  <c:v>22.700000000000188</c:v>
                </c:pt>
                <c:pt idx="455">
                  <c:v>22.750000000000188</c:v>
                </c:pt>
                <c:pt idx="456">
                  <c:v>22.800000000000189</c:v>
                </c:pt>
                <c:pt idx="457">
                  <c:v>22.85000000000019</c:v>
                </c:pt>
                <c:pt idx="458">
                  <c:v>22.90000000000019</c:v>
                </c:pt>
                <c:pt idx="459">
                  <c:v>22.950000000000191</c:v>
                </c:pt>
                <c:pt idx="460">
                  <c:v>23.000000000000192</c:v>
                </c:pt>
                <c:pt idx="461">
                  <c:v>23.050000000000193</c:v>
                </c:pt>
                <c:pt idx="462">
                  <c:v>23.100000000000193</c:v>
                </c:pt>
                <c:pt idx="463">
                  <c:v>23.150000000000194</c:v>
                </c:pt>
                <c:pt idx="464">
                  <c:v>23.200000000000195</c:v>
                </c:pt>
                <c:pt idx="465">
                  <c:v>23.250000000000195</c:v>
                </c:pt>
                <c:pt idx="466">
                  <c:v>23.300000000000196</c:v>
                </c:pt>
                <c:pt idx="467">
                  <c:v>23.350000000000197</c:v>
                </c:pt>
                <c:pt idx="468">
                  <c:v>23.400000000000198</c:v>
                </c:pt>
                <c:pt idx="469">
                  <c:v>23.450000000000198</c:v>
                </c:pt>
                <c:pt idx="470">
                  <c:v>23.500000000000199</c:v>
                </c:pt>
                <c:pt idx="471">
                  <c:v>23.5500000000002</c:v>
                </c:pt>
                <c:pt idx="472">
                  <c:v>23.6000000000002</c:v>
                </c:pt>
                <c:pt idx="473">
                  <c:v>23.650000000000201</c:v>
                </c:pt>
                <c:pt idx="474">
                  <c:v>23.700000000000202</c:v>
                </c:pt>
                <c:pt idx="475">
                  <c:v>23.750000000000203</c:v>
                </c:pt>
                <c:pt idx="476">
                  <c:v>23.800000000000203</c:v>
                </c:pt>
                <c:pt idx="477">
                  <c:v>23.850000000000204</c:v>
                </c:pt>
                <c:pt idx="478">
                  <c:v>23.900000000000205</c:v>
                </c:pt>
                <c:pt idx="479">
                  <c:v>23.950000000000205</c:v>
                </c:pt>
                <c:pt idx="480">
                  <c:v>24.000000000000206</c:v>
                </c:pt>
                <c:pt idx="481">
                  <c:v>24.050000000000207</c:v>
                </c:pt>
                <c:pt idx="482">
                  <c:v>24.100000000000207</c:v>
                </c:pt>
                <c:pt idx="483">
                  <c:v>24.150000000000208</c:v>
                </c:pt>
                <c:pt idx="484">
                  <c:v>24.200000000000209</c:v>
                </c:pt>
                <c:pt idx="485">
                  <c:v>24.25000000000021</c:v>
                </c:pt>
                <c:pt idx="486">
                  <c:v>24.30000000000021</c:v>
                </c:pt>
                <c:pt idx="487">
                  <c:v>24.350000000000211</c:v>
                </c:pt>
                <c:pt idx="488">
                  <c:v>24.400000000000212</c:v>
                </c:pt>
                <c:pt idx="489">
                  <c:v>24.450000000000212</c:v>
                </c:pt>
                <c:pt idx="490">
                  <c:v>24.500000000000213</c:v>
                </c:pt>
                <c:pt idx="491">
                  <c:v>24.550000000000214</c:v>
                </c:pt>
                <c:pt idx="492">
                  <c:v>24.600000000000215</c:v>
                </c:pt>
                <c:pt idx="493">
                  <c:v>24.650000000000215</c:v>
                </c:pt>
                <c:pt idx="494">
                  <c:v>24.700000000000216</c:v>
                </c:pt>
                <c:pt idx="495">
                  <c:v>24.750000000000217</c:v>
                </c:pt>
                <c:pt idx="496">
                  <c:v>24.800000000000217</c:v>
                </c:pt>
                <c:pt idx="497">
                  <c:v>24.850000000000218</c:v>
                </c:pt>
                <c:pt idx="498">
                  <c:v>24.900000000000219</c:v>
                </c:pt>
                <c:pt idx="499">
                  <c:v>24.95000000000022</c:v>
                </c:pt>
                <c:pt idx="500">
                  <c:v>25.00000000000022</c:v>
                </c:pt>
                <c:pt idx="501">
                  <c:v>25.050000000000221</c:v>
                </c:pt>
                <c:pt idx="502">
                  <c:v>25.100000000000222</c:v>
                </c:pt>
                <c:pt idx="503">
                  <c:v>25.150000000000222</c:v>
                </c:pt>
                <c:pt idx="504">
                  <c:v>25.200000000000223</c:v>
                </c:pt>
                <c:pt idx="505">
                  <c:v>25.250000000000224</c:v>
                </c:pt>
                <c:pt idx="506">
                  <c:v>25.300000000000225</c:v>
                </c:pt>
                <c:pt idx="507">
                  <c:v>25.350000000000225</c:v>
                </c:pt>
                <c:pt idx="508">
                  <c:v>25.400000000000226</c:v>
                </c:pt>
                <c:pt idx="509">
                  <c:v>25.450000000000227</c:v>
                </c:pt>
                <c:pt idx="510">
                  <c:v>25.500000000000227</c:v>
                </c:pt>
                <c:pt idx="511">
                  <c:v>25.550000000000228</c:v>
                </c:pt>
                <c:pt idx="512">
                  <c:v>25.600000000000229</c:v>
                </c:pt>
                <c:pt idx="513">
                  <c:v>25.65000000000023</c:v>
                </c:pt>
                <c:pt idx="514">
                  <c:v>25.70000000000023</c:v>
                </c:pt>
                <c:pt idx="515">
                  <c:v>25.750000000000231</c:v>
                </c:pt>
                <c:pt idx="516">
                  <c:v>25.800000000000232</c:v>
                </c:pt>
                <c:pt idx="517">
                  <c:v>25.850000000000232</c:v>
                </c:pt>
                <c:pt idx="518">
                  <c:v>25.900000000000233</c:v>
                </c:pt>
                <c:pt idx="519">
                  <c:v>25.950000000000234</c:v>
                </c:pt>
                <c:pt idx="520">
                  <c:v>26.000000000000234</c:v>
                </c:pt>
                <c:pt idx="521">
                  <c:v>26.050000000000235</c:v>
                </c:pt>
                <c:pt idx="522">
                  <c:v>26.100000000000236</c:v>
                </c:pt>
                <c:pt idx="523">
                  <c:v>26.150000000000237</c:v>
                </c:pt>
                <c:pt idx="524">
                  <c:v>26.200000000000237</c:v>
                </c:pt>
                <c:pt idx="525">
                  <c:v>26.250000000000238</c:v>
                </c:pt>
                <c:pt idx="526">
                  <c:v>26.300000000000239</c:v>
                </c:pt>
                <c:pt idx="527">
                  <c:v>26.350000000000239</c:v>
                </c:pt>
                <c:pt idx="528">
                  <c:v>26.40000000000024</c:v>
                </c:pt>
                <c:pt idx="529">
                  <c:v>26.450000000000241</c:v>
                </c:pt>
                <c:pt idx="530">
                  <c:v>26.500000000000242</c:v>
                </c:pt>
                <c:pt idx="531">
                  <c:v>26.550000000000242</c:v>
                </c:pt>
                <c:pt idx="532">
                  <c:v>26.600000000000243</c:v>
                </c:pt>
                <c:pt idx="533">
                  <c:v>26.650000000000244</c:v>
                </c:pt>
                <c:pt idx="534">
                  <c:v>26.700000000000244</c:v>
                </c:pt>
                <c:pt idx="535">
                  <c:v>26.750000000000245</c:v>
                </c:pt>
                <c:pt idx="536">
                  <c:v>26.800000000000246</c:v>
                </c:pt>
                <c:pt idx="537">
                  <c:v>26.850000000000247</c:v>
                </c:pt>
                <c:pt idx="538">
                  <c:v>26.900000000000247</c:v>
                </c:pt>
                <c:pt idx="539">
                  <c:v>26.950000000000248</c:v>
                </c:pt>
                <c:pt idx="540">
                  <c:v>27.000000000000249</c:v>
                </c:pt>
                <c:pt idx="541">
                  <c:v>27.050000000000249</c:v>
                </c:pt>
                <c:pt idx="542">
                  <c:v>27.10000000000025</c:v>
                </c:pt>
                <c:pt idx="543">
                  <c:v>27.150000000000251</c:v>
                </c:pt>
                <c:pt idx="544">
                  <c:v>27.200000000000252</c:v>
                </c:pt>
                <c:pt idx="545">
                  <c:v>27.250000000000252</c:v>
                </c:pt>
                <c:pt idx="546">
                  <c:v>27.300000000000253</c:v>
                </c:pt>
                <c:pt idx="547">
                  <c:v>27.350000000000254</c:v>
                </c:pt>
                <c:pt idx="548">
                  <c:v>27.400000000000254</c:v>
                </c:pt>
                <c:pt idx="549">
                  <c:v>27.450000000000255</c:v>
                </c:pt>
                <c:pt idx="550">
                  <c:v>27.500000000000256</c:v>
                </c:pt>
                <c:pt idx="551">
                  <c:v>27.550000000000257</c:v>
                </c:pt>
                <c:pt idx="552">
                  <c:v>27.600000000000257</c:v>
                </c:pt>
                <c:pt idx="553">
                  <c:v>27.650000000000258</c:v>
                </c:pt>
                <c:pt idx="554">
                  <c:v>27.700000000000259</c:v>
                </c:pt>
                <c:pt idx="555">
                  <c:v>27.750000000000259</c:v>
                </c:pt>
                <c:pt idx="556">
                  <c:v>27.80000000000026</c:v>
                </c:pt>
                <c:pt idx="557">
                  <c:v>27.850000000000261</c:v>
                </c:pt>
                <c:pt idx="558">
                  <c:v>27.900000000000261</c:v>
                </c:pt>
                <c:pt idx="559">
                  <c:v>27.950000000000262</c:v>
                </c:pt>
                <c:pt idx="560">
                  <c:v>28.000000000000263</c:v>
                </c:pt>
                <c:pt idx="561">
                  <c:v>28.050000000000264</c:v>
                </c:pt>
                <c:pt idx="562">
                  <c:v>28.100000000000264</c:v>
                </c:pt>
                <c:pt idx="563">
                  <c:v>28.150000000000265</c:v>
                </c:pt>
                <c:pt idx="564">
                  <c:v>28.200000000000266</c:v>
                </c:pt>
                <c:pt idx="565">
                  <c:v>28.250000000000266</c:v>
                </c:pt>
                <c:pt idx="566">
                  <c:v>28.300000000000267</c:v>
                </c:pt>
                <c:pt idx="567">
                  <c:v>28.350000000000268</c:v>
                </c:pt>
                <c:pt idx="568">
                  <c:v>28.400000000000269</c:v>
                </c:pt>
                <c:pt idx="569">
                  <c:v>28.450000000000269</c:v>
                </c:pt>
                <c:pt idx="570">
                  <c:v>28.50000000000027</c:v>
                </c:pt>
                <c:pt idx="571">
                  <c:v>28.550000000000271</c:v>
                </c:pt>
                <c:pt idx="572">
                  <c:v>28.600000000000271</c:v>
                </c:pt>
                <c:pt idx="573">
                  <c:v>28.650000000000272</c:v>
                </c:pt>
                <c:pt idx="574">
                  <c:v>28.700000000000273</c:v>
                </c:pt>
                <c:pt idx="575">
                  <c:v>28.750000000000274</c:v>
                </c:pt>
                <c:pt idx="576">
                  <c:v>28.800000000000274</c:v>
                </c:pt>
                <c:pt idx="577">
                  <c:v>28.850000000000275</c:v>
                </c:pt>
                <c:pt idx="578">
                  <c:v>28.900000000000276</c:v>
                </c:pt>
                <c:pt idx="579">
                  <c:v>28.950000000000276</c:v>
                </c:pt>
                <c:pt idx="580">
                  <c:v>29.000000000000277</c:v>
                </c:pt>
                <c:pt idx="581">
                  <c:v>29.050000000000278</c:v>
                </c:pt>
                <c:pt idx="582">
                  <c:v>29.100000000000279</c:v>
                </c:pt>
                <c:pt idx="583">
                  <c:v>29.150000000000279</c:v>
                </c:pt>
                <c:pt idx="584">
                  <c:v>29.20000000000028</c:v>
                </c:pt>
                <c:pt idx="585">
                  <c:v>29.250000000000281</c:v>
                </c:pt>
                <c:pt idx="586">
                  <c:v>29.300000000000281</c:v>
                </c:pt>
                <c:pt idx="587">
                  <c:v>29.350000000000282</c:v>
                </c:pt>
                <c:pt idx="588">
                  <c:v>29.400000000000283</c:v>
                </c:pt>
                <c:pt idx="589">
                  <c:v>29.450000000000284</c:v>
                </c:pt>
                <c:pt idx="590">
                  <c:v>29.500000000000284</c:v>
                </c:pt>
                <c:pt idx="591">
                  <c:v>29.550000000000285</c:v>
                </c:pt>
                <c:pt idx="592">
                  <c:v>29.600000000000286</c:v>
                </c:pt>
                <c:pt idx="593">
                  <c:v>29.650000000000286</c:v>
                </c:pt>
                <c:pt idx="594">
                  <c:v>29.700000000000287</c:v>
                </c:pt>
                <c:pt idx="595">
                  <c:v>29.750000000000288</c:v>
                </c:pt>
                <c:pt idx="596">
                  <c:v>29.800000000000288</c:v>
                </c:pt>
                <c:pt idx="597">
                  <c:v>29.850000000000289</c:v>
                </c:pt>
                <c:pt idx="598">
                  <c:v>29.90000000000029</c:v>
                </c:pt>
                <c:pt idx="599">
                  <c:v>29.950000000000291</c:v>
                </c:pt>
                <c:pt idx="600">
                  <c:v>30.000000000000291</c:v>
                </c:pt>
                <c:pt idx="601">
                  <c:v>30.050000000000292</c:v>
                </c:pt>
                <c:pt idx="602">
                  <c:v>30.100000000000293</c:v>
                </c:pt>
                <c:pt idx="603">
                  <c:v>30.150000000000293</c:v>
                </c:pt>
                <c:pt idx="604">
                  <c:v>30.200000000000294</c:v>
                </c:pt>
                <c:pt idx="605">
                  <c:v>30.250000000000295</c:v>
                </c:pt>
                <c:pt idx="606">
                  <c:v>30.300000000000296</c:v>
                </c:pt>
                <c:pt idx="607">
                  <c:v>30.350000000000296</c:v>
                </c:pt>
                <c:pt idx="608">
                  <c:v>30.400000000000297</c:v>
                </c:pt>
                <c:pt idx="609">
                  <c:v>30.450000000000298</c:v>
                </c:pt>
                <c:pt idx="610">
                  <c:v>30.500000000000298</c:v>
                </c:pt>
                <c:pt idx="611">
                  <c:v>30.550000000000299</c:v>
                </c:pt>
                <c:pt idx="612">
                  <c:v>30.6000000000003</c:v>
                </c:pt>
                <c:pt idx="613">
                  <c:v>30.650000000000301</c:v>
                </c:pt>
                <c:pt idx="614">
                  <c:v>30.700000000000301</c:v>
                </c:pt>
                <c:pt idx="615">
                  <c:v>30.750000000000302</c:v>
                </c:pt>
                <c:pt idx="616">
                  <c:v>30.800000000000303</c:v>
                </c:pt>
                <c:pt idx="617">
                  <c:v>30.850000000000303</c:v>
                </c:pt>
                <c:pt idx="618">
                  <c:v>30.900000000000304</c:v>
                </c:pt>
                <c:pt idx="619">
                  <c:v>30.950000000000305</c:v>
                </c:pt>
                <c:pt idx="620">
                  <c:v>31.000000000000306</c:v>
                </c:pt>
                <c:pt idx="621">
                  <c:v>31.050000000000306</c:v>
                </c:pt>
                <c:pt idx="622">
                  <c:v>31.100000000000307</c:v>
                </c:pt>
                <c:pt idx="623">
                  <c:v>31.150000000000308</c:v>
                </c:pt>
                <c:pt idx="624">
                  <c:v>31.200000000000308</c:v>
                </c:pt>
                <c:pt idx="625">
                  <c:v>31.250000000000309</c:v>
                </c:pt>
                <c:pt idx="626">
                  <c:v>31.30000000000031</c:v>
                </c:pt>
                <c:pt idx="627">
                  <c:v>31.350000000000311</c:v>
                </c:pt>
                <c:pt idx="628">
                  <c:v>31.400000000000311</c:v>
                </c:pt>
                <c:pt idx="629">
                  <c:v>31.450000000000312</c:v>
                </c:pt>
                <c:pt idx="630">
                  <c:v>31.500000000000313</c:v>
                </c:pt>
                <c:pt idx="631">
                  <c:v>31.550000000000313</c:v>
                </c:pt>
                <c:pt idx="632">
                  <c:v>31.600000000000314</c:v>
                </c:pt>
                <c:pt idx="633">
                  <c:v>31.650000000000315</c:v>
                </c:pt>
                <c:pt idx="634">
                  <c:v>31.700000000000315</c:v>
                </c:pt>
                <c:pt idx="635">
                  <c:v>31.750000000000316</c:v>
                </c:pt>
                <c:pt idx="636">
                  <c:v>31.800000000000317</c:v>
                </c:pt>
                <c:pt idx="637">
                  <c:v>31.850000000000318</c:v>
                </c:pt>
                <c:pt idx="638">
                  <c:v>31.900000000000318</c:v>
                </c:pt>
                <c:pt idx="639">
                  <c:v>31.950000000000319</c:v>
                </c:pt>
                <c:pt idx="640">
                  <c:v>32.00000000000032</c:v>
                </c:pt>
                <c:pt idx="641">
                  <c:v>32.050000000000317</c:v>
                </c:pt>
                <c:pt idx="642">
                  <c:v>32.100000000000314</c:v>
                </c:pt>
                <c:pt idx="643">
                  <c:v>32.150000000000311</c:v>
                </c:pt>
                <c:pt idx="644">
                  <c:v>32.200000000000308</c:v>
                </c:pt>
                <c:pt idx="645">
                  <c:v>32.250000000000306</c:v>
                </c:pt>
                <c:pt idx="646">
                  <c:v>32.300000000000303</c:v>
                </c:pt>
                <c:pt idx="647">
                  <c:v>32.3500000000003</c:v>
                </c:pt>
                <c:pt idx="648">
                  <c:v>32.400000000000297</c:v>
                </c:pt>
                <c:pt idx="649">
                  <c:v>32.450000000000294</c:v>
                </c:pt>
                <c:pt idx="650">
                  <c:v>32.500000000000291</c:v>
                </c:pt>
                <c:pt idx="651">
                  <c:v>32.550000000000288</c:v>
                </c:pt>
                <c:pt idx="652">
                  <c:v>32.600000000000286</c:v>
                </c:pt>
                <c:pt idx="653">
                  <c:v>32.650000000000283</c:v>
                </c:pt>
                <c:pt idx="654">
                  <c:v>32.70000000000028</c:v>
                </c:pt>
                <c:pt idx="655">
                  <c:v>32.750000000000277</c:v>
                </c:pt>
                <c:pt idx="656">
                  <c:v>32.800000000000274</c:v>
                </c:pt>
                <c:pt idx="657">
                  <c:v>32.850000000000271</c:v>
                </c:pt>
                <c:pt idx="658">
                  <c:v>32.900000000000269</c:v>
                </c:pt>
                <c:pt idx="659">
                  <c:v>32.950000000000266</c:v>
                </c:pt>
                <c:pt idx="660">
                  <c:v>33.000000000000263</c:v>
                </c:pt>
                <c:pt idx="661">
                  <c:v>33.05000000000026</c:v>
                </c:pt>
                <c:pt idx="662">
                  <c:v>33.100000000000257</c:v>
                </c:pt>
                <c:pt idx="663">
                  <c:v>33.150000000000254</c:v>
                </c:pt>
                <c:pt idx="664">
                  <c:v>33.200000000000252</c:v>
                </c:pt>
                <c:pt idx="665">
                  <c:v>33.250000000000249</c:v>
                </c:pt>
                <c:pt idx="666">
                  <c:v>33.300000000000246</c:v>
                </c:pt>
                <c:pt idx="667">
                  <c:v>33.350000000000243</c:v>
                </c:pt>
                <c:pt idx="668">
                  <c:v>33.40000000000024</c:v>
                </c:pt>
                <c:pt idx="669">
                  <c:v>33.450000000000237</c:v>
                </c:pt>
                <c:pt idx="670">
                  <c:v>33.500000000000234</c:v>
                </c:pt>
                <c:pt idx="671">
                  <c:v>33.550000000000232</c:v>
                </c:pt>
                <c:pt idx="672">
                  <c:v>33.600000000000229</c:v>
                </c:pt>
                <c:pt idx="673">
                  <c:v>33.650000000000226</c:v>
                </c:pt>
                <c:pt idx="674">
                  <c:v>33.700000000000223</c:v>
                </c:pt>
                <c:pt idx="675">
                  <c:v>33.75000000000022</c:v>
                </c:pt>
                <c:pt idx="676">
                  <c:v>33.800000000000217</c:v>
                </c:pt>
                <c:pt idx="677">
                  <c:v>33.850000000000215</c:v>
                </c:pt>
                <c:pt idx="678">
                  <c:v>33.900000000000212</c:v>
                </c:pt>
                <c:pt idx="679">
                  <c:v>33.950000000000209</c:v>
                </c:pt>
                <c:pt idx="680">
                  <c:v>34.000000000000206</c:v>
                </c:pt>
                <c:pt idx="681">
                  <c:v>34.050000000000203</c:v>
                </c:pt>
                <c:pt idx="682">
                  <c:v>34.1000000000002</c:v>
                </c:pt>
                <c:pt idx="683">
                  <c:v>34.150000000000198</c:v>
                </c:pt>
                <c:pt idx="684">
                  <c:v>34.200000000000195</c:v>
                </c:pt>
                <c:pt idx="685">
                  <c:v>34.250000000000192</c:v>
                </c:pt>
                <c:pt idx="686">
                  <c:v>34.300000000000189</c:v>
                </c:pt>
                <c:pt idx="687">
                  <c:v>34.350000000000186</c:v>
                </c:pt>
                <c:pt idx="688">
                  <c:v>34.400000000000183</c:v>
                </c:pt>
                <c:pt idx="689">
                  <c:v>34.45000000000018</c:v>
                </c:pt>
                <c:pt idx="690">
                  <c:v>34.500000000000178</c:v>
                </c:pt>
                <c:pt idx="691">
                  <c:v>34.550000000000175</c:v>
                </c:pt>
                <c:pt idx="692">
                  <c:v>34.600000000000172</c:v>
                </c:pt>
                <c:pt idx="693">
                  <c:v>34.650000000000169</c:v>
                </c:pt>
                <c:pt idx="694">
                  <c:v>34.700000000000166</c:v>
                </c:pt>
                <c:pt idx="695">
                  <c:v>34.750000000000163</c:v>
                </c:pt>
                <c:pt idx="696">
                  <c:v>34.800000000000161</c:v>
                </c:pt>
                <c:pt idx="697">
                  <c:v>34.850000000000158</c:v>
                </c:pt>
                <c:pt idx="698">
                  <c:v>34.900000000000155</c:v>
                </c:pt>
                <c:pt idx="699">
                  <c:v>34.950000000000152</c:v>
                </c:pt>
                <c:pt idx="700">
                  <c:v>35.000000000000149</c:v>
                </c:pt>
                <c:pt idx="701">
                  <c:v>35.050000000000146</c:v>
                </c:pt>
                <c:pt idx="702">
                  <c:v>35.100000000000144</c:v>
                </c:pt>
                <c:pt idx="703">
                  <c:v>35.150000000000141</c:v>
                </c:pt>
                <c:pt idx="704">
                  <c:v>35.200000000000138</c:v>
                </c:pt>
                <c:pt idx="705">
                  <c:v>35.250000000000135</c:v>
                </c:pt>
                <c:pt idx="706">
                  <c:v>35.300000000000132</c:v>
                </c:pt>
                <c:pt idx="707">
                  <c:v>35.350000000000129</c:v>
                </c:pt>
                <c:pt idx="708">
                  <c:v>35.400000000000126</c:v>
                </c:pt>
                <c:pt idx="709">
                  <c:v>35.450000000000124</c:v>
                </c:pt>
                <c:pt idx="710">
                  <c:v>35.500000000000121</c:v>
                </c:pt>
                <c:pt idx="711">
                  <c:v>35.550000000000118</c:v>
                </c:pt>
                <c:pt idx="712">
                  <c:v>35.600000000000115</c:v>
                </c:pt>
                <c:pt idx="713">
                  <c:v>35.650000000000112</c:v>
                </c:pt>
                <c:pt idx="714">
                  <c:v>35.700000000000109</c:v>
                </c:pt>
                <c:pt idx="715">
                  <c:v>35.750000000000107</c:v>
                </c:pt>
                <c:pt idx="716">
                  <c:v>35.800000000000104</c:v>
                </c:pt>
                <c:pt idx="717">
                  <c:v>35.850000000000101</c:v>
                </c:pt>
                <c:pt idx="718">
                  <c:v>35.900000000000098</c:v>
                </c:pt>
                <c:pt idx="719">
                  <c:v>35.950000000000095</c:v>
                </c:pt>
                <c:pt idx="720">
                  <c:v>36.000000000000092</c:v>
                </c:pt>
                <c:pt idx="721">
                  <c:v>36.05000000000009</c:v>
                </c:pt>
                <c:pt idx="722">
                  <c:v>36.100000000000087</c:v>
                </c:pt>
                <c:pt idx="723">
                  <c:v>36.150000000000084</c:v>
                </c:pt>
                <c:pt idx="724">
                  <c:v>36.200000000000081</c:v>
                </c:pt>
                <c:pt idx="725">
                  <c:v>36.250000000000078</c:v>
                </c:pt>
                <c:pt idx="726">
                  <c:v>36.300000000000075</c:v>
                </c:pt>
                <c:pt idx="727">
                  <c:v>36.350000000000072</c:v>
                </c:pt>
                <c:pt idx="728">
                  <c:v>36.40000000000007</c:v>
                </c:pt>
                <c:pt idx="729">
                  <c:v>36.450000000000067</c:v>
                </c:pt>
                <c:pt idx="730">
                  <c:v>36.500000000000064</c:v>
                </c:pt>
                <c:pt idx="731">
                  <c:v>36.550000000000061</c:v>
                </c:pt>
                <c:pt idx="732">
                  <c:v>36.600000000000058</c:v>
                </c:pt>
                <c:pt idx="733">
                  <c:v>36.650000000000055</c:v>
                </c:pt>
                <c:pt idx="734">
                  <c:v>36.700000000000053</c:v>
                </c:pt>
                <c:pt idx="735">
                  <c:v>36.75000000000005</c:v>
                </c:pt>
                <c:pt idx="736">
                  <c:v>36.800000000000047</c:v>
                </c:pt>
                <c:pt idx="737">
                  <c:v>36.850000000000044</c:v>
                </c:pt>
                <c:pt idx="738">
                  <c:v>36.900000000000041</c:v>
                </c:pt>
                <c:pt idx="739">
                  <c:v>36.950000000000038</c:v>
                </c:pt>
                <c:pt idx="740">
                  <c:v>37.000000000000036</c:v>
                </c:pt>
                <c:pt idx="741">
                  <c:v>37.050000000000033</c:v>
                </c:pt>
                <c:pt idx="742">
                  <c:v>37.10000000000003</c:v>
                </c:pt>
                <c:pt idx="743">
                  <c:v>37.150000000000027</c:v>
                </c:pt>
                <c:pt idx="744">
                  <c:v>37.200000000000024</c:v>
                </c:pt>
                <c:pt idx="745">
                  <c:v>37.250000000000021</c:v>
                </c:pt>
                <c:pt idx="746">
                  <c:v>37.300000000000018</c:v>
                </c:pt>
                <c:pt idx="747">
                  <c:v>37.350000000000016</c:v>
                </c:pt>
                <c:pt idx="748">
                  <c:v>37.400000000000013</c:v>
                </c:pt>
                <c:pt idx="749">
                  <c:v>37.45000000000001</c:v>
                </c:pt>
                <c:pt idx="750">
                  <c:v>37.500000000000007</c:v>
                </c:pt>
                <c:pt idx="751">
                  <c:v>37.550000000000004</c:v>
                </c:pt>
                <c:pt idx="752">
                  <c:v>37.6</c:v>
                </c:pt>
                <c:pt idx="753">
                  <c:v>37.65</c:v>
                </c:pt>
                <c:pt idx="754">
                  <c:v>37.699999999999996</c:v>
                </c:pt>
                <c:pt idx="755">
                  <c:v>37.749999999999993</c:v>
                </c:pt>
                <c:pt idx="756">
                  <c:v>37.79999999999999</c:v>
                </c:pt>
                <c:pt idx="757">
                  <c:v>37.849999999999987</c:v>
                </c:pt>
                <c:pt idx="758">
                  <c:v>37.899999999999984</c:v>
                </c:pt>
                <c:pt idx="759">
                  <c:v>37.949999999999982</c:v>
                </c:pt>
                <c:pt idx="760">
                  <c:v>37.999999999999979</c:v>
                </c:pt>
                <c:pt idx="761">
                  <c:v>38.049999999999976</c:v>
                </c:pt>
                <c:pt idx="762">
                  <c:v>38.099999999999973</c:v>
                </c:pt>
                <c:pt idx="763">
                  <c:v>38.14999999999997</c:v>
                </c:pt>
                <c:pt idx="764">
                  <c:v>38.199999999999967</c:v>
                </c:pt>
                <c:pt idx="765">
                  <c:v>38.249999999999964</c:v>
                </c:pt>
                <c:pt idx="766">
                  <c:v>38.299999999999962</c:v>
                </c:pt>
                <c:pt idx="767">
                  <c:v>38.349999999999959</c:v>
                </c:pt>
                <c:pt idx="768">
                  <c:v>38.399999999999956</c:v>
                </c:pt>
                <c:pt idx="769">
                  <c:v>38.449999999999953</c:v>
                </c:pt>
                <c:pt idx="770">
                  <c:v>38.49999999999995</c:v>
                </c:pt>
                <c:pt idx="771">
                  <c:v>38.549999999999947</c:v>
                </c:pt>
                <c:pt idx="772">
                  <c:v>38.599999999999945</c:v>
                </c:pt>
                <c:pt idx="773">
                  <c:v>38.649999999999942</c:v>
                </c:pt>
                <c:pt idx="774">
                  <c:v>38.699999999999939</c:v>
                </c:pt>
                <c:pt idx="775">
                  <c:v>38.749999999999936</c:v>
                </c:pt>
                <c:pt idx="776">
                  <c:v>38.799999999999933</c:v>
                </c:pt>
                <c:pt idx="777">
                  <c:v>38.84999999999993</c:v>
                </c:pt>
                <c:pt idx="778">
                  <c:v>38.899999999999928</c:v>
                </c:pt>
                <c:pt idx="779">
                  <c:v>38.949999999999925</c:v>
                </c:pt>
                <c:pt idx="780">
                  <c:v>38.999999999999922</c:v>
                </c:pt>
                <c:pt idx="781">
                  <c:v>39.049999999999919</c:v>
                </c:pt>
                <c:pt idx="782">
                  <c:v>39.099999999999916</c:v>
                </c:pt>
                <c:pt idx="783">
                  <c:v>39.149999999999913</c:v>
                </c:pt>
                <c:pt idx="784">
                  <c:v>39.19999999999991</c:v>
                </c:pt>
                <c:pt idx="785">
                  <c:v>39.249999999999908</c:v>
                </c:pt>
                <c:pt idx="786">
                  <c:v>39.299999999999905</c:v>
                </c:pt>
                <c:pt idx="787">
                  <c:v>39.349999999999902</c:v>
                </c:pt>
                <c:pt idx="788">
                  <c:v>39.399999999999899</c:v>
                </c:pt>
                <c:pt idx="789">
                  <c:v>39.449999999999896</c:v>
                </c:pt>
                <c:pt idx="790">
                  <c:v>39.499999999999893</c:v>
                </c:pt>
                <c:pt idx="791">
                  <c:v>39.549999999999891</c:v>
                </c:pt>
                <c:pt idx="792">
                  <c:v>39.599999999999888</c:v>
                </c:pt>
                <c:pt idx="793">
                  <c:v>39.649999999999885</c:v>
                </c:pt>
                <c:pt idx="794">
                  <c:v>39.699999999999882</c:v>
                </c:pt>
                <c:pt idx="795">
                  <c:v>39.749999999999879</c:v>
                </c:pt>
                <c:pt idx="796">
                  <c:v>39.799999999999876</c:v>
                </c:pt>
                <c:pt idx="797">
                  <c:v>39.849999999999874</c:v>
                </c:pt>
                <c:pt idx="798">
                  <c:v>39.899999999999871</c:v>
                </c:pt>
                <c:pt idx="799">
                  <c:v>39.949999999999868</c:v>
                </c:pt>
                <c:pt idx="800">
                  <c:v>39.999999999999865</c:v>
                </c:pt>
                <c:pt idx="801">
                  <c:v>40.049999999999862</c:v>
                </c:pt>
                <c:pt idx="802">
                  <c:v>40.099999999999859</c:v>
                </c:pt>
                <c:pt idx="803">
                  <c:v>40.149999999999856</c:v>
                </c:pt>
                <c:pt idx="804">
                  <c:v>40.199999999999854</c:v>
                </c:pt>
                <c:pt idx="805">
                  <c:v>40.249999999999851</c:v>
                </c:pt>
                <c:pt idx="806">
                  <c:v>40.299999999999848</c:v>
                </c:pt>
                <c:pt idx="807">
                  <c:v>40.349999999999845</c:v>
                </c:pt>
                <c:pt idx="808">
                  <c:v>40.399999999999842</c:v>
                </c:pt>
                <c:pt idx="809">
                  <c:v>40.449999999999839</c:v>
                </c:pt>
                <c:pt idx="810">
                  <c:v>40.499999999999837</c:v>
                </c:pt>
                <c:pt idx="811">
                  <c:v>40.549999999999834</c:v>
                </c:pt>
                <c:pt idx="812">
                  <c:v>40.599999999999831</c:v>
                </c:pt>
                <c:pt idx="813">
                  <c:v>40.649999999999828</c:v>
                </c:pt>
                <c:pt idx="814">
                  <c:v>40.699999999999825</c:v>
                </c:pt>
                <c:pt idx="815">
                  <c:v>40.749999999999822</c:v>
                </c:pt>
                <c:pt idx="816">
                  <c:v>40.79999999999982</c:v>
                </c:pt>
                <c:pt idx="817">
                  <c:v>40.849999999999817</c:v>
                </c:pt>
                <c:pt idx="818">
                  <c:v>40.899999999999814</c:v>
                </c:pt>
                <c:pt idx="819">
                  <c:v>40.949999999999811</c:v>
                </c:pt>
                <c:pt idx="820">
                  <c:v>40.999999999999808</c:v>
                </c:pt>
                <c:pt idx="821">
                  <c:v>41.049999999999805</c:v>
                </c:pt>
                <c:pt idx="822">
                  <c:v>41.099999999999802</c:v>
                </c:pt>
                <c:pt idx="823">
                  <c:v>41.1499999999998</c:v>
                </c:pt>
                <c:pt idx="824">
                  <c:v>41.199999999999797</c:v>
                </c:pt>
                <c:pt idx="825">
                  <c:v>41.249999999999794</c:v>
                </c:pt>
                <c:pt idx="826">
                  <c:v>41.299999999999791</c:v>
                </c:pt>
                <c:pt idx="827">
                  <c:v>41.349999999999788</c:v>
                </c:pt>
                <c:pt idx="828">
                  <c:v>41.399999999999785</c:v>
                </c:pt>
                <c:pt idx="829">
                  <c:v>41.449999999999783</c:v>
                </c:pt>
                <c:pt idx="830">
                  <c:v>41.49999999999978</c:v>
                </c:pt>
                <c:pt idx="831">
                  <c:v>41.549999999999777</c:v>
                </c:pt>
                <c:pt idx="832">
                  <c:v>41.599999999999774</c:v>
                </c:pt>
                <c:pt idx="833">
                  <c:v>41.649999999999771</c:v>
                </c:pt>
                <c:pt idx="834">
                  <c:v>41.699999999999768</c:v>
                </c:pt>
                <c:pt idx="835">
                  <c:v>41.749999999999766</c:v>
                </c:pt>
                <c:pt idx="836">
                  <c:v>41.799999999999763</c:v>
                </c:pt>
                <c:pt idx="837">
                  <c:v>41.84999999999976</c:v>
                </c:pt>
                <c:pt idx="838">
                  <c:v>41.899999999999757</c:v>
                </c:pt>
                <c:pt idx="839">
                  <c:v>41.949999999999754</c:v>
                </c:pt>
                <c:pt idx="840">
                  <c:v>41.999999999999751</c:v>
                </c:pt>
                <c:pt idx="841">
                  <c:v>42.049999999999748</c:v>
                </c:pt>
                <c:pt idx="842">
                  <c:v>42.099999999999746</c:v>
                </c:pt>
                <c:pt idx="843">
                  <c:v>42.149999999999743</c:v>
                </c:pt>
                <c:pt idx="844">
                  <c:v>42.19999999999974</c:v>
                </c:pt>
                <c:pt idx="845">
                  <c:v>42.249999999999737</c:v>
                </c:pt>
                <c:pt idx="846">
                  <c:v>42.299999999999734</c:v>
                </c:pt>
                <c:pt idx="847">
                  <c:v>42.349999999999731</c:v>
                </c:pt>
                <c:pt idx="848">
                  <c:v>42.399999999999729</c:v>
                </c:pt>
                <c:pt idx="849">
                  <c:v>42.449999999999726</c:v>
                </c:pt>
                <c:pt idx="850">
                  <c:v>42.499999999999723</c:v>
                </c:pt>
                <c:pt idx="851">
                  <c:v>42.54999999999972</c:v>
                </c:pt>
                <c:pt idx="852">
                  <c:v>42.599999999999717</c:v>
                </c:pt>
                <c:pt idx="853">
                  <c:v>42.649999999999714</c:v>
                </c:pt>
                <c:pt idx="854">
                  <c:v>42.699999999999712</c:v>
                </c:pt>
                <c:pt idx="855">
                  <c:v>42.749999999999709</c:v>
                </c:pt>
                <c:pt idx="856">
                  <c:v>42.799999999999706</c:v>
                </c:pt>
                <c:pt idx="857">
                  <c:v>42.849999999999703</c:v>
                </c:pt>
                <c:pt idx="858">
                  <c:v>42.8999999999997</c:v>
                </c:pt>
                <c:pt idx="859">
                  <c:v>42.949999999999697</c:v>
                </c:pt>
                <c:pt idx="860">
                  <c:v>42.999999999999694</c:v>
                </c:pt>
                <c:pt idx="861">
                  <c:v>43.049999999999692</c:v>
                </c:pt>
                <c:pt idx="862">
                  <c:v>43.099999999999689</c:v>
                </c:pt>
                <c:pt idx="863">
                  <c:v>43.149999999999686</c:v>
                </c:pt>
                <c:pt idx="864">
                  <c:v>43.199999999999683</c:v>
                </c:pt>
                <c:pt idx="865">
                  <c:v>43.24999999999968</c:v>
                </c:pt>
                <c:pt idx="866">
                  <c:v>43.299999999999677</c:v>
                </c:pt>
                <c:pt idx="867">
                  <c:v>43.349999999999675</c:v>
                </c:pt>
                <c:pt idx="868">
                  <c:v>43.399999999999672</c:v>
                </c:pt>
                <c:pt idx="869">
                  <c:v>43.449999999999669</c:v>
                </c:pt>
                <c:pt idx="870">
                  <c:v>43.499999999999666</c:v>
                </c:pt>
                <c:pt idx="871">
                  <c:v>43.549999999999663</c:v>
                </c:pt>
                <c:pt idx="872">
                  <c:v>43.59999999999966</c:v>
                </c:pt>
                <c:pt idx="873">
                  <c:v>43.649999999999658</c:v>
                </c:pt>
                <c:pt idx="874">
                  <c:v>43.699999999999655</c:v>
                </c:pt>
                <c:pt idx="875">
                  <c:v>43.749999999999652</c:v>
                </c:pt>
                <c:pt idx="876">
                  <c:v>43.799999999999649</c:v>
                </c:pt>
                <c:pt idx="877">
                  <c:v>43.849999999999646</c:v>
                </c:pt>
                <c:pt idx="878">
                  <c:v>43.899999999999643</c:v>
                </c:pt>
                <c:pt idx="879">
                  <c:v>43.94999999999964</c:v>
                </c:pt>
                <c:pt idx="880">
                  <c:v>43.999999999999638</c:v>
                </c:pt>
                <c:pt idx="881">
                  <c:v>44.049999999999635</c:v>
                </c:pt>
                <c:pt idx="882">
                  <c:v>44.099999999999632</c:v>
                </c:pt>
                <c:pt idx="883">
                  <c:v>44.149999999999629</c:v>
                </c:pt>
                <c:pt idx="884">
                  <c:v>44.199999999999626</c:v>
                </c:pt>
                <c:pt idx="885">
                  <c:v>44.249999999999623</c:v>
                </c:pt>
                <c:pt idx="886">
                  <c:v>44.299999999999621</c:v>
                </c:pt>
                <c:pt idx="887">
                  <c:v>44.349999999999618</c:v>
                </c:pt>
                <c:pt idx="888">
                  <c:v>44.399999999999615</c:v>
                </c:pt>
                <c:pt idx="889">
                  <c:v>44.449999999999612</c:v>
                </c:pt>
                <c:pt idx="890">
                  <c:v>44.499999999999609</c:v>
                </c:pt>
                <c:pt idx="891">
                  <c:v>44.549999999999606</c:v>
                </c:pt>
                <c:pt idx="892">
                  <c:v>44.599999999999604</c:v>
                </c:pt>
                <c:pt idx="893">
                  <c:v>44.649999999999601</c:v>
                </c:pt>
                <c:pt idx="894">
                  <c:v>44.699999999999598</c:v>
                </c:pt>
                <c:pt idx="895">
                  <c:v>44.749999999999595</c:v>
                </c:pt>
                <c:pt idx="896">
                  <c:v>44.799999999999592</c:v>
                </c:pt>
                <c:pt idx="897">
                  <c:v>44.849999999999589</c:v>
                </c:pt>
                <c:pt idx="898">
                  <c:v>44.899999999999586</c:v>
                </c:pt>
                <c:pt idx="899">
                  <c:v>44.949999999999584</c:v>
                </c:pt>
                <c:pt idx="900">
                  <c:v>44.999999999999581</c:v>
                </c:pt>
                <c:pt idx="901">
                  <c:v>45.049999999999578</c:v>
                </c:pt>
                <c:pt idx="902">
                  <c:v>45.099999999999575</c:v>
                </c:pt>
                <c:pt idx="903">
                  <c:v>45.149999999999572</c:v>
                </c:pt>
                <c:pt idx="904">
                  <c:v>45.199999999999569</c:v>
                </c:pt>
                <c:pt idx="905">
                  <c:v>45.249999999999567</c:v>
                </c:pt>
                <c:pt idx="906">
                  <c:v>45.299999999999564</c:v>
                </c:pt>
                <c:pt idx="907">
                  <c:v>45.349999999999561</c:v>
                </c:pt>
                <c:pt idx="908">
                  <c:v>45.399999999999558</c:v>
                </c:pt>
                <c:pt idx="909">
                  <c:v>45.449999999999555</c:v>
                </c:pt>
                <c:pt idx="910">
                  <c:v>45.499999999999552</c:v>
                </c:pt>
                <c:pt idx="911">
                  <c:v>45.54999999999955</c:v>
                </c:pt>
                <c:pt idx="912">
                  <c:v>45.599999999999547</c:v>
                </c:pt>
                <c:pt idx="913">
                  <c:v>45.649999999999544</c:v>
                </c:pt>
                <c:pt idx="914">
                  <c:v>45.699999999999541</c:v>
                </c:pt>
                <c:pt idx="915">
                  <c:v>45.749999999999538</c:v>
                </c:pt>
                <c:pt idx="916">
                  <c:v>45.799999999999535</c:v>
                </c:pt>
                <c:pt idx="917">
                  <c:v>45.849999999999532</c:v>
                </c:pt>
                <c:pt idx="918">
                  <c:v>45.89999999999953</c:v>
                </c:pt>
                <c:pt idx="919">
                  <c:v>45.949999999999527</c:v>
                </c:pt>
                <c:pt idx="920">
                  <c:v>45.999999999999524</c:v>
                </c:pt>
                <c:pt idx="921">
                  <c:v>46.049999999999521</c:v>
                </c:pt>
                <c:pt idx="922">
                  <c:v>46.099999999999518</c:v>
                </c:pt>
                <c:pt idx="923">
                  <c:v>46.149999999999515</c:v>
                </c:pt>
                <c:pt idx="924">
                  <c:v>46.199999999999513</c:v>
                </c:pt>
                <c:pt idx="925">
                  <c:v>46.24999999999951</c:v>
                </c:pt>
                <c:pt idx="926">
                  <c:v>46.299999999999507</c:v>
                </c:pt>
                <c:pt idx="927">
                  <c:v>46.349999999999504</c:v>
                </c:pt>
                <c:pt idx="928">
                  <c:v>46.399999999999501</c:v>
                </c:pt>
                <c:pt idx="929">
                  <c:v>46.449999999999498</c:v>
                </c:pt>
                <c:pt idx="930">
                  <c:v>46.499999999999496</c:v>
                </c:pt>
                <c:pt idx="931">
                  <c:v>46.549999999999493</c:v>
                </c:pt>
                <c:pt idx="932">
                  <c:v>46.59999999999949</c:v>
                </c:pt>
                <c:pt idx="933">
                  <c:v>46.649999999999487</c:v>
                </c:pt>
                <c:pt idx="934">
                  <c:v>46.699999999999484</c:v>
                </c:pt>
                <c:pt idx="935">
                  <c:v>46.749999999999481</c:v>
                </c:pt>
                <c:pt idx="936">
                  <c:v>46.799999999999478</c:v>
                </c:pt>
                <c:pt idx="937">
                  <c:v>46.849999999999476</c:v>
                </c:pt>
                <c:pt idx="938">
                  <c:v>46.899999999999473</c:v>
                </c:pt>
                <c:pt idx="939">
                  <c:v>46.94999999999947</c:v>
                </c:pt>
                <c:pt idx="940">
                  <c:v>46.999999999999467</c:v>
                </c:pt>
                <c:pt idx="941">
                  <c:v>47.049999999999464</c:v>
                </c:pt>
                <c:pt idx="942">
                  <c:v>47.099999999999461</c:v>
                </c:pt>
                <c:pt idx="943">
                  <c:v>47.149999999999459</c:v>
                </c:pt>
                <c:pt idx="944">
                  <c:v>47.199999999999456</c:v>
                </c:pt>
                <c:pt idx="945">
                  <c:v>47.249999999999453</c:v>
                </c:pt>
                <c:pt idx="946">
                  <c:v>47.29999999999945</c:v>
                </c:pt>
                <c:pt idx="947">
                  <c:v>47.349999999999447</c:v>
                </c:pt>
                <c:pt idx="948">
                  <c:v>47.399999999999444</c:v>
                </c:pt>
                <c:pt idx="949">
                  <c:v>47.449999999999442</c:v>
                </c:pt>
                <c:pt idx="950">
                  <c:v>47.499999999999439</c:v>
                </c:pt>
                <c:pt idx="951">
                  <c:v>47.549999999999436</c:v>
                </c:pt>
                <c:pt idx="952">
                  <c:v>47.599999999999433</c:v>
                </c:pt>
                <c:pt idx="953">
                  <c:v>47.64999999999943</c:v>
                </c:pt>
                <c:pt idx="954">
                  <c:v>47.699999999999427</c:v>
                </c:pt>
                <c:pt idx="955">
                  <c:v>47.749999999999424</c:v>
                </c:pt>
                <c:pt idx="956">
                  <c:v>47.799999999999422</c:v>
                </c:pt>
                <c:pt idx="957">
                  <c:v>47.849999999999419</c:v>
                </c:pt>
                <c:pt idx="958">
                  <c:v>47.899999999999416</c:v>
                </c:pt>
                <c:pt idx="959">
                  <c:v>47.949999999999413</c:v>
                </c:pt>
                <c:pt idx="960">
                  <c:v>47.99999999999941</c:v>
                </c:pt>
                <c:pt idx="961">
                  <c:v>48.049999999999407</c:v>
                </c:pt>
                <c:pt idx="962">
                  <c:v>48.099999999999405</c:v>
                </c:pt>
                <c:pt idx="963">
                  <c:v>48.149999999999402</c:v>
                </c:pt>
                <c:pt idx="964">
                  <c:v>48.199999999999399</c:v>
                </c:pt>
                <c:pt idx="965">
                  <c:v>48.249999999999396</c:v>
                </c:pt>
                <c:pt idx="966">
                  <c:v>48.299999999999393</c:v>
                </c:pt>
                <c:pt idx="967">
                  <c:v>48.34999999999939</c:v>
                </c:pt>
                <c:pt idx="968">
                  <c:v>48.399999999999388</c:v>
                </c:pt>
                <c:pt idx="969">
                  <c:v>48.449999999999385</c:v>
                </c:pt>
                <c:pt idx="970">
                  <c:v>48.499999999999382</c:v>
                </c:pt>
                <c:pt idx="971">
                  <c:v>48.549999999999379</c:v>
                </c:pt>
                <c:pt idx="972">
                  <c:v>48.599999999999376</c:v>
                </c:pt>
                <c:pt idx="973">
                  <c:v>48.649999999999373</c:v>
                </c:pt>
                <c:pt idx="974">
                  <c:v>48.69999999999937</c:v>
                </c:pt>
                <c:pt idx="975">
                  <c:v>48.749999999999368</c:v>
                </c:pt>
                <c:pt idx="976">
                  <c:v>48.799999999999365</c:v>
                </c:pt>
                <c:pt idx="977">
                  <c:v>48.849999999999362</c:v>
                </c:pt>
                <c:pt idx="978">
                  <c:v>48.899999999999359</c:v>
                </c:pt>
                <c:pt idx="979">
                  <c:v>48.949999999999356</c:v>
                </c:pt>
                <c:pt idx="980">
                  <c:v>48.999999999999353</c:v>
                </c:pt>
                <c:pt idx="981">
                  <c:v>49.049999999999351</c:v>
                </c:pt>
                <c:pt idx="982">
                  <c:v>49.099999999999348</c:v>
                </c:pt>
                <c:pt idx="983">
                  <c:v>49.149999999999345</c:v>
                </c:pt>
                <c:pt idx="984">
                  <c:v>49.199999999999342</c:v>
                </c:pt>
                <c:pt idx="985">
                  <c:v>49.249999999999339</c:v>
                </c:pt>
                <c:pt idx="986">
                  <c:v>49.299999999999336</c:v>
                </c:pt>
                <c:pt idx="987">
                  <c:v>49.349999999999334</c:v>
                </c:pt>
                <c:pt idx="988">
                  <c:v>49.399999999999331</c:v>
                </c:pt>
                <c:pt idx="989">
                  <c:v>49.449999999999328</c:v>
                </c:pt>
                <c:pt idx="990">
                  <c:v>49.499999999999325</c:v>
                </c:pt>
                <c:pt idx="991">
                  <c:v>49.549999999999322</c:v>
                </c:pt>
                <c:pt idx="992">
                  <c:v>49.599999999999319</c:v>
                </c:pt>
                <c:pt idx="993">
                  <c:v>49.649999999999316</c:v>
                </c:pt>
                <c:pt idx="994">
                  <c:v>49.699999999999314</c:v>
                </c:pt>
                <c:pt idx="995">
                  <c:v>49.749999999999311</c:v>
                </c:pt>
                <c:pt idx="996">
                  <c:v>49.799999999999308</c:v>
                </c:pt>
                <c:pt idx="997">
                  <c:v>49.849999999999305</c:v>
                </c:pt>
                <c:pt idx="998">
                  <c:v>49.899999999999302</c:v>
                </c:pt>
                <c:pt idx="999">
                  <c:v>49.949999999999299</c:v>
                </c:pt>
                <c:pt idx="1000">
                  <c:v>49.999999999999297</c:v>
                </c:pt>
                <c:pt idx="1001">
                  <c:v>50.049999999999294</c:v>
                </c:pt>
                <c:pt idx="1002">
                  <c:v>50.099999999999291</c:v>
                </c:pt>
                <c:pt idx="1003">
                  <c:v>50.149999999999288</c:v>
                </c:pt>
                <c:pt idx="1004">
                  <c:v>50.199999999999285</c:v>
                </c:pt>
                <c:pt idx="1005">
                  <c:v>50.249999999999282</c:v>
                </c:pt>
                <c:pt idx="1006">
                  <c:v>50.29999999999928</c:v>
                </c:pt>
                <c:pt idx="1007">
                  <c:v>50.349999999999277</c:v>
                </c:pt>
                <c:pt idx="1008">
                  <c:v>50.399999999999274</c:v>
                </c:pt>
                <c:pt idx="1009">
                  <c:v>50.449999999999271</c:v>
                </c:pt>
                <c:pt idx="1010">
                  <c:v>50.499999999999268</c:v>
                </c:pt>
                <c:pt idx="1011">
                  <c:v>50.549999999999265</c:v>
                </c:pt>
                <c:pt idx="1012">
                  <c:v>50.599999999999262</c:v>
                </c:pt>
                <c:pt idx="1013">
                  <c:v>50.64999999999926</c:v>
                </c:pt>
                <c:pt idx="1014">
                  <c:v>50.699999999999257</c:v>
                </c:pt>
                <c:pt idx="1015">
                  <c:v>50.749999999999254</c:v>
                </c:pt>
                <c:pt idx="1016">
                  <c:v>50.799999999999251</c:v>
                </c:pt>
                <c:pt idx="1017">
                  <c:v>50.849999999999248</c:v>
                </c:pt>
                <c:pt idx="1018">
                  <c:v>50.899999999999245</c:v>
                </c:pt>
                <c:pt idx="1019">
                  <c:v>50.949999999999243</c:v>
                </c:pt>
                <c:pt idx="1020">
                  <c:v>50.99999999999924</c:v>
                </c:pt>
                <c:pt idx="1021">
                  <c:v>51.049999999999237</c:v>
                </c:pt>
                <c:pt idx="1022">
                  <c:v>51.099999999999234</c:v>
                </c:pt>
                <c:pt idx="1023">
                  <c:v>51.149999999999231</c:v>
                </c:pt>
                <c:pt idx="1024">
                  <c:v>51.199999999999228</c:v>
                </c:pt>
                <c:pt idx="1025">
                  <c:v>51.249999999999226</c:v>
                </c:pt>
                <c:pt idx="1026">
                  <c:v>51.299999999999223</c:v>
                </c:pt>
                <c:pt idx="1027">
                  <c:v>51.34999999999922</c:v>
                </c:pt>
                <c:pt idx="1028">
                  <c:v>51.399999999999217</c:v>
                </c:pt>
                <c:pt idx="1029">
                  <c:v>51.449999999999214</c:v>
                </c:pt>
                <c:pt idx="1030">
                  <c:v>51.499999999999211</c:v>
                </c:pt>
                <c:pt idx="1031">
                  <c:v>51.549999999999208</c:v>
                </c:pt>
                <c:pt idx="1032">
                  <c:v>51.599999999999206</c:v>
                </c:pt>
                <c:pt idx="1033">
                  <c:v>51.649999999999203</c:v>
                </c:pt>
                <c:pt idx="1034">
                  <c:v>51.6999999999992</c:v>
                </c:pt>
                <c:pt idx="1035">
                  <c:v>51.749999999999197</c:v>
                </c:pt>
                <c:pt idx="1036">
                  <c:v>51.799999999999194</c:v>
                </c:pt>
                <c:pt idx="1037">
                  <c:v>51.849999999999191</c:v>
                </c:pt>
                <c:pt idx="1038">
                  <c:v>51.899999999999189</c:v>
                </c:pt>
                <c:pt idx="1039">
                  <c:v>51.949999999999186</c:v>
                </c:pt>
                <c:pt idx="1040">
                  <c:v>51.999999999999183</c:v>
                </c:pt>
                <c:pt idx="1041">
                  <c:v>52.04999999999918</c:v>
                </c:pt>
                <c:pt idx="1042">
                  <c:v>52.099999999999177</c:v>
                </c:pt>
                <c:pt idx="1043">
                  <c:v>52.149999999999174</c:v>
                </c:pt>
                <c:pt idx="1044">
                  <c:v>52.199999999999172</c:v>
                </c:pt>
                <c:pt idx="1045">
                  <c:v>52.249999999999169</c:v>
                </c:pt>
                <c:pt idx="1046">
                  <c:v>52.299999999999166</c:v>
                </c:pt>
                <c:pt idx="1047">
                  <c:v>52.349999999999163</c:v>
                </c:pt>
                <c:pt idx="1048">
                  <c:v>52.39999999999916</c:v>
                </c:pt>
                <c:pt idx="1049">
                  <c:v>52.449999999999157</c:v>
                </c:pt>
                <c:pt idx="1050">
                  <c:v>52.499999999999154</c:v>
                </c:pt>
                <c:pt idx="1051">
                  <c:v>52.549999999999152</c:v>
                </c:pt>
                <c:pt idx="1052">
                  <c:v>52.599999999999149</c:v>
                </c:pt>
                <c:pt idx="1053">
                  <c:v>52.649999999999146</c:v>
                </c:pt>
                <c:pt idx="1054">
                  <c:v>52.699999999999143</c:v>
                </c:pt>
                <c:pt idx="1055">
                  <c:v>52.74999999999914</c:v>
                </c:pt>
                <c:pt idx="1056">
                  <c:v>52.799999999999137</c:v>
                </c:pt>
                <c:pt idx="1057">
                  <c:v>52.849999999999135</c:v>
                </c:pt>
                <c:pt idx="1058">
                  <c:v>52.899999999999132</c:v>
                </c:pt>
                <c:pt idx="1059">
                  <c:v>52.949999999999129</c:v>
                </c:pt>
                <c:pt idx="1060">
                  <c:v>52.999999999999126</c:v>
                </c:pt>
                <c:pt idx="1061">
                  <c:v>53.049999999999123</c:v>
                </c:pt>
                <c:pt idx="1062">
                  <c:v>53.09999999999912</c:v>
                </c:pt>
                <c:pt idx="1063">
                  <c:v>53.149999999999118</c:v>
                </c:pt>
                <c:pt idx="1064">
                  <c:v>53.199999999999115</c:v>
                </c:pt>
                <c:pt idx="1065">
                  <c:v>53.249999999999112</c:v>
                </c:pt>
                <c:pt idx="1066">
                  <c:v>53.299999999999109</c:v>
                </c:pt>
                <c:pt idx="1067">
                  <c:v>53.349999999999106</c:v>
                </c:pt>
                <c:pt idx="1068">
                  <c:v>53.399999999999103</c:v>
                </c:pt>
                <c:pt idx="1069">
                  <c:v>53.4499999999991</c:v>
                </c:pt>
                <c:pt idx="1070">
                  <c:v>53.499999999999098</c:v>
                </c:pt>
                <c:pt idx="1071">
                  <c:v>53.549999999999095</c:v>
                </c:pt>
                <c:pt idx="1072">
                  <c:v>53.599999999999092</c:v>
                </c:pt>
                <c:pt idx="1073">
                  <c:v>53.649999999999089</c:v>
                </c:pt>
                <c:pt idx="1074">
                  <c:v>53.699999999999086</c:v>
                </c:pt>
                <c:pt idx="1075">
                  <c:v>53.749999999999083</c:v>
                </c:pt>
                <c:pt idx="1076">
                  <c:v>53.799999999999081</c:v>
                </c:pt>
                <c:pt idx="1077">
                  <c:v>53.849999999999078</c:v>
                </c:pt>
                <c:pt idx="1078">
                  <c:v>53.899999999999075</c:v>
                </c:pt>
                <c:pt idx="1079">
                  <c:v>53.949999999999072</c:v>
                </c:pt>
                <c:pt idx="1080">
                  <c:v>53.999999999999069</c:v>
                </c:pt>
                <c:pt idx="1081">
                  <c:v>54.049999999999066</c:v>
                </c:pt>
                <c:pt idx="1082">
                  <c:v>54.099999999999064</c:v>
                </c:pt>
                <c:pt idx="1083">
                  <c:v>54.149999999999061</c:v>
                </c:pt>
                <c:pt idx="1084">
                  <c:v>54.199999999999058</c:v>
                </c:pt>
                <c:pt idx="1085">
                  <c:v>54.249999999999055</c:v>
                </c:pt>
                <c:pt idx="1086">
                  <c:v>54.299999999999052</c:v>
                </c:pt>
                <c:pt idx="1087">
                  <c:v>54.349999999999049</c:v>
                </c:pt>
                <c:pt idx="1088">
                  <c:v>54.399999999999046</c:v>
                </c:pt>
                <c:pt idx="1089">
                  <c:v>54.449999999999044</c:v>
                </c:pt>
                <c:pt idx="1090">
                  <c:v>54.499999999999041</c:v>
                </c:pt>
                <c:pt idx="1091">
                  <c:v>54.549999999999038</c:v>
                </c:pt>
                <c:pt idx="1092">
                  <c:v>54.599999999999035</c:v>
                </c:pt>
                <c:pt idx="1093">
                  <c:v>54.649999999999032</c:v>
                </c:pt>
                <c:pt idx="1094">
                  <c:v>54.699999999999029</c:v>
                </c:pt>
                <c:pt idx="1095">
                  <c:v>54.749999999999027</c:v>
                </c:pt>
                <c:pt idx="1096">
                  <c:v>54.799999999999024</c:v>
                </c:pt>
                <c:pt idx="1097">
                  <c:v>54.849999999999021</c:v>
                </c:pt>
                <c:pt idx="1098">
                  <c:v>54.899999999999018</c:v>
                </c:pt>
                <c:pt idx="1099">
                  <c:v>54.949999999999015</c:v>
                </c:pt>
                <c:pt idx="1100">
                  <c:v>54.999999999999012</c:v>
                </c:pt>
                <c:pt idx="1101">
                  <c:v>55.04999999999901</c:v>
                </c:pt>
                <c:pt idx="1102">
                  <c:v>55.099999999999007</c:v>
                </c:pt>
                <c:pt idx="1103">
                  <c:v>55.149999999999004</c:v>
                </c:pt>
                <c:pt idx="1104">
                  <c:v>55.199999999999001</c:v>
                </c:pt>
                <c:pt idx="1105">
                  <c:v>55.249999999998998</c:v>
                </c:pt>
                <c:pt idx="1106">
                  <c:v>55.299999999998995</c:v>
                </c:pt>
                <c:pt idx="1107">
                  <c:v>55.349999999998992</c:v>
                </c:pt>
                <c:pt idx="1108">
                  <c:v>55.39999999999899</c:v>
                </c:pt>
                <c:pt idx="1109">
                  <c:v>55.449999999998987</c:v>
                </c:pt>
                <c:pt idx="1110">
                  <c:v>55.499999999998984</c:v>
                </c:pt>
                <c:pt idx="1111">
                  <c:v>55.549999999998981</c:v>
                </c:pt>
                <c:pt idx="1112">
                  <c:v>55.599999999998978</c:v>
                </c:pt>
                <c:pt idx="1113">
                  <c:v>55.649999999998975</c:v>
                </c:pt>
                <c:pt idx="1114">
                  <c:v>55.699999999998973</c:v>
                </c:pt>
                <c:pt idx="1115">
                  <c:v>55.74999999999897</c:v>
                </c:pt>
                <c:pt idx="1116">
                  <c:v>55.799999999998967</c:v>
                </c:pt>
                <c:pt idx="1117">
                  <c:v>55.849999999998964</c:v>
                </c:pt>
                <c:pt idx="1118">
                  <c:v>55.899999999998961</c:v>
                </c:pt>
                <c:pt idx="1119">
                  <c:v>55.949999999998958</c:v>
                </c:pt>
                <c:pt idx="1120">
                  <c:v>55.999999999998956</c:v>
                </c:pt>
                <c:pt idx="1121">
                  <c:v>56.049999999998953</c:v>
                </c:pt>
                <c:pt idx="1122">
                  <c:v>56.09999999999895</c:v>
                </c:pt>
                <c:pt idx="1123">
                  <c:v>56.149999999998947</c:v>
                </c:pt>
                <c:pt idx="1124">
                  <c:v>56.199999999998944</c:v>
                </c:pt>
                <c:pt idx="1125">
                  <c:v>56.249999999998941</c:v>
                </c:pt>
                <c:pt idx="1126">
                  <c:v>56.299999999998938</c:v>
                </c:pt>
                <c:pt idx="1127">
                  <c:v>56.349999999998936</c:v>
                </c:pt>
                <c:pt idx="1128">
                  <c:v>56.399999999998933</c:v>
                </c:pt>
                <c:pt idx="1129">
                  <c:v>56.44999999999893</c:v>
                </c:pt>
                <c:pt idx="1130">
                  <c:v>56.499999999998927</c:v>
                </c:pt>
                <c:pt idx="1131">
                  <c:v>56.549999999998924</c:v>
                </c:pt>
                <c:pt idx="1132">
                  <c:v>56.599999999998921</c:v>
                </c:pt>
                <c:pt idx="1133">
                  <c:v>56.649999999998919</c:v>
                </c:pt>
                <c:pt idx="1134">
                  <c:v>56.699999999998916</c:v>
                </c:pt>
                <c:pt idx="1135">
                  <c:v>56.749999999998913</c:v>
                </c:pt>
                <c:pt idx="1136">
                  <c:v>56.79999999999891</c:v>
                </c:pt>
                <c:pt idx="1137">
                  <c:v>56.849999999998907</c:v>
                </c:pt>
                <c:pt idx="1138">
                  <c:v>56.899999999998904</c:v>
                </c:pt>
                <c:pt idx="1139">
                  <c:v>56.949999999998902</c:v>
                </c:pt>
                <c:pt idx="1140">
                  <c:v>56.999999999998899</c:v>
                </c:pt>
                <c:pt idx="1141">
                  <c:v>57.049999999998896</c:v>
                </c:pt>
                <c:pt idx="1142">
                  <c:v>57.099999999998893</c:v>
                </c:pt>
                <c:pt idx="1143">
                  <c:v>57.14999999999889</c:v>
                </c:pt>
                <c:pt idx="1144">
                  <c:v>57.199999999998887</c:v>
                </c:pt>
                <c:pt idx="1145">
                  <c:v>57.249999999998884</c:v>
                </c:pt>
                <c:pt idx="1146">
                  <c:v>57.299999999998882</c:v>
                </c:pt>
                <c:pt idx="1147">
                  <c:v>57.349999999998879</c:v>
                </c:pt>
                <c:pt idx="1148">
                  <c:v>57.399999999998876</c:v>
                </c:pt>
                <c:pt idx="1149">
                  <c:v>57.449999999998873</c:v>
                </c:pt>
                <c:pt idx="1150">
                  <c:v>57.49999999999887</c:v>
                </c:pt>
                <c:pt idx="1151">
                  <c:v>57.549999999998867</c:v>
                </c:pt>
                <c:pt idx="1152">
                  <c:v>57.599999999998865</c:v>
                </c:pt>
                <c:pt idx="1153">
                  <c:v>57.649999999998862</c:v>
                </c:pt>
                <c:pt idx="1154">
                  <c:v>57.699999999998859</c:v>
                </c:pt>
                <c:pt idx="1155">
                  <c:v>57.749999999998856</c:v>
                </c:pt>
                <c:pt idx="1156">
                  <c:v>57.799999999998853</c:v>
                </c:pt>
                <c:pt idx="1157">
                  <c:v>57.84999999999885</c:v>
                </c:pt>
                <c:pt idx="1158">
                  <c:v>57.899999999998847</c:v>
                </c:pt>
                <c:pt idx="1159">
                  <c:v>57.949999999998845</c:v>
                </c:pt>
                <c:pt idx="1160">
                  <c:v>57.999999999998842</c:v>
                </c:pt>
                <c:pt idx="1161">
                  <c:v>58.049999999998839</c:v>
                </c:pt>
                <c:pt idx="1162">
                  <c:v>58.099999999998836</c:v>
                </c:pt>
                <c:pt idx="1163">
                  <c:v>58.149999999998833</c:v>
                </c:pt>
                <c:pt idx="1164">
                  <c:v>58.19999999999883</c:v>
                </c:pt>
                <c:pt idx="1165">
                  <c:v>58.249999999998828</c:v>
                </c:pt>
                <c:pt idx="1166">
                  <c:v>58.299999999998825</c:v>
                </c:pt>
                <c:pt idx="1167">
                  <c:v>58.349999999998822</c:v>
                </c:pt>
                <c:pt idx="1168">
                  <c:v>58.399999999998819</c:v>
                </c:pt>
                <c:pt idx="1169">
                  <c:v>58.449999999998816</c:v>
                </c:pt>
                <c:pt idx="1170">
                  <c:v>58.499999999998813</c:v>
                </c:pt>
                <c:pt idx="1171">
                  <c:v>58.549999999998811</c:v>
                </c:pt>
                <c:pt idx="1172">
                  <c:v>58.599999999998808</c:v>
                </c:pt>
                <c:pt idx="1173">
                  <c:v>58.649999999998805</c:v>
                </c:pt>
                <c:pt idx="1174">
                  <c:v>58.699999999998802</c:v>
                </c:pt>
                <c:pt idx="1175">
                  <c:v>58.749999999998799</c:v>
                </c:pt>
                <c:pt idx="1176">
                  <c:v>58.799999999998796</c:v>
                </c:pt>
                <c:pt idx="1177">
                  <c:v>58.849999999998793</c:v>
                </c:pt>
                <c:pt idx="1178">
                  <c:v>58.899999999998791</c:v>
                </c:pt>
                <c:pt idx="1179">
                  <c:v>58.949999999998788</c:v>
                </c:pt>
                <c:pt idx="1180">
                  <c:v>58.999999999998785</c:v>
                </c:pt>
                <c:pt idx="1181">
                  <c:v>59.049999999998782</c:v>
                </c:pt>
                <c:pt idx="1182">
                  <c:v>59.099999999998779</c:v>
                </c:pt>
                <c:pt idx="1183">
                  <c:v>59.149999999998776</c:v>
                </c:pt>
                <c:pt idx="1184">
                  <c:v>59.199999999998774</c:v>
                </c:pt>
                <c:pt idx="1185">
                  <c:v>59.249999999998771</c:v>
                </c:pt>
                <c:pt idx="1186">
                  <c:v>59.299999999998768</c:v>
                </c:pt>
                <c:pt idx="1187">
                  <c:v>59.349999999998765</c:v>
                </c:pt>
                <c:pt idx="1188">
                  <c:v>59.399999999998762</c:v>
                </c:pt>
                <c:pt idx="1189">
                  <c:v>59.449999999998759</c:v>
                </c:pt>
                <c:pt idx="1190">
                  <c:v>59.499999999998757</c:v>
                </c:pt>
                <c:pt idx="1191">
                  <c:v>59.549999999998754</c:v>
                </c:pt>
                <c:pt idx="1192">
                  <c:v>59.599999999998751</c:v>
                </c:pt>
                <c:pt idx="1193">
                  <c:v>59.649999999998748</c:v>
                </c:pt>
                <c:pt idx="1194">
                  <c:v>59.699999999998745</c:v>
                </c:pt>
                <c:pt idx="1195">
                  <c:v>59.749999999998742</c:v>
                </c:pt>
                <c:pt idx="1196">
                  <c:v>59.799999999998739</c:v>
                </c:pt>
                <c:pt idx="1197">
                  <c:v>59.849999999998737</c:v>
                </c:pt>
                <c:pt idx="1198">
                  <c:v>59.899999999998734</c:v>
                </c:pt>
                <c:pt idx="1199">
                  <c:v>59.949999999998731</c:v>
                </c:pt>
                <c:pt idx="1200">
                  <c:v>59.999999999998728</c:v>
                </c:pt>
                <c:pt idx="1201">
                  <c:v>60.049999999998725</c:v>
                </c:pt>
                <c:pt idx="1202">
                  <c:v>60.099999999998722</c:v>
                </c:pt>
                <c:pt idx="1203">
                  <c:v>60.14999999999872</c:v>
                </c:pt>
                <c:pt idx="1204">
                  <c:v>60.199999999998717</c:v>
                </c:pt>
                <c:pt idx="1205">
                  <c:v>60.249999999998714</c:v>
                </c:pt>
                <c:pt idx="1206">
                  <c:v>60.299999999998711</c:v>
                </c:pt>
                <c:pt idx="1207">
                  <c:v>60.349999999998708</c:v>
                </c:pt>
                <c:pt idx="1208">
                  <c:v>60.399999999998705</c:v>
                </c:pt>
                <c:pt idx="1209">
                  <c:v>60.449999999998703</c:v>
                </c:pt>
                <c:pt idx="1210">
                  <c:v>60.4999999999987</c:v>
                </c:pt>
                <c:pt idx="1211">
                  <c:v>60.549999999998697</c:v>
                </c:pt>
                <c:pt idx="1212">
                  <c:v>60.599999999998694</c:v>
                </c:pt>
                <c:pt idx="1213">
                  <c:v>60.649999999998691</c:v>
                </c:pt>
                <c:pt idx="1214">
                  <c:v>60.699999999998688</c:v>
                </c:pt>
                <c:pt idx="1215">
                  <c:v>60.749999999998685</c:v>
                </c:pt>
                <c:pt idx="1216">
                  <c:v>60.799999999998683</c:v>
                </c:pt>
                <c:pt idx="1217">
                  <c:v>60.84999999999868</c:v>
                </c:pt>
                <c:pt idx="1218">
                  <c:v>60.899999999998677</c:v>
                </c:pt>
                <c:pt idx="1219">
                  <c:v>60.949999999998674</c:v>
                </c:pt>
                <c:pt idx="1220">
                  <c:v>60.999999999998671</c:v>
                </c:pt>
                <c:pt idx="1221">
                  <c:v>61.049999999998668</c:v>
                </c:pt>
                <c:pt idx="1222">
                  <c:v>61.099999999998666</c:v>
                </c:pt>
                <c:pt idx="1223">
                  <c:v>61.149999999998663</c:v>
                </c:pt>
                <c:pt idx="1224">
                  <c:v>61.19999999999866</c:v>
                </c:pt>
                <c:pt idx="1225">
                  <c:v>61.249999999998657</c:v>
                </c:pt>
                <c:pt idx="1226">
                  <c:v>61.299999999998654</c:v>
                </c:pt>
                <c:pt idx="1227">
                  <c:v>61.349999999998651</c:v>
                </c:pt>
                <c:pt idx="1228">
                  <c:v>61.399999999998649</c:v>
                </c:pt>
                <c:pt idx="1229">
                  <c:v>61.449999999998646</c:v>
                </c:pt>
                <c:pt idx="1230">
                  <c:v>61.499999999998643</c:v>
                </c:pt>
                <c:pt idx="1231">
                  <c:v>61.54999999999864</c:v>
                </c:pt>
                <c:pt idx="1232">
                  <c:v>61.599999999998637</c:v>
                </c:pt>
                <c:pt idx="1233">
                  <c:v>61.649999999998634</c:v>
                </c:pt>
                <c:pt idx="1234">
                  <c:v>61.699999999998631</c:v>
                </c:pt>
                <c:pt idx="1235">
                  <c:v>61.749999999998629</c:v>
                </c:pt>
                <c:pt idx="1236">
                  <c:v>61.799999999998626</c:v>
                </c:pt>
                <c:pt idx="1237">
                  <c:v>61.849999999998623</c:v>
                </c:pt>
                <c:pt idx="1238">
                  <c:v>61.89999999999862</c:v>
                </c:pt>
                <c:pt idx="1239">
                  <c:v>61.949999999998617</c:v>
                </c:pt>
                <c:pt idx="1240">
                  <c:v>61.999999999998614</c:v>
                </c:pt>
                <c:pt idx="1241">
                  <c:v>62.049999999998612</c:v>
                </c:pt>
                <c:pt idx="1242">
                  <c:v>62.099999999998609</c:v>
                </c:pt>
                <c:pt idx="1243">
                  <c:v>62.149999999998606</c:v>
                </c:pt>
                <c:pt idx="1244">
                  <c:v>62.199999999998603</c:v>
                </c:pt>
                <c:pt idx="1245">
                  <c:v>62.2499999999986</c:v>
                </c:pt>
                <c:pt idx="1246">
                  <c:v>62.299999999998597</c:v>
                </c:pt>
                <c:pt idx="1247">
                  <c:v>62.349999999998595</c:v>
                </c:pt>
                <c:pt idx="1248">
                  <c:v>62.399999999998592</c:v>
                </c:pt>
                <c:pt idx="1249">
                  <c:v>62.449999999998589</c:v>
                </c:pt>
                <c:pt idx="1250">
                  <c:v>62.499999999998586</c:v>
                </c:pt>
                <c:pt idx="1251">
                  <c:v>62.549999999998583</c:v>
                </c:pt>
                <c:pt idx="1252">
                  <c:v>62.59999999999858</c:v>
                </c:pt>
                <c:pt idx="1253">
                  <c:v>62.649999999998577</c:v>
                </c:pt>
                <c:pt idx="1254">
                  <c:v>62.699999999998575</c:v>
                </c:pt>
                <c:pt idx="1255">
                  <c:v>62.749999999998572</c:v>
                </c:pt>
                <c:pt idx="1256">
                  <c:v>62.799999999998569</c:v>
                </c:pt>
                <c:pt idx="1257">
                  <c:v>62.849999999998566</c:v>
                </c:pt>
                <c:pt idx="1258">
                  <c:v>62.899999999998563</c:v>
                </c:pt>
                <c:pt idx="1259">
                  <c:v>62.94999999999856</c:v>
                </c:pt>
                <c:pt idx="1260">
                  <c:v>62.999999999998558</c:v>
                </c:pt>
                <c:pt idx="1261">
                  <c:v>63.049999999998555</c:v>
                </c:pt>
                <c:pt idx="1262">
                  <c:v>63.099999999998552</c:v>
                </c:pt>
                <c:pt idx="1263">
                  <c:v>63.149999999998549</c:v>
                </c:pt>
                <c:pt idx="1264">
                  <c:v>63.199999999998546</c:v>
                </c:pt>
                <c:pt idx="1265">
                  <c:v>63.249999999998543</c:v>
                </c:pt>
                <c:pt idx="1266">
                  <c:v>63.299999999998541</c:v>
                </c:pt>
                <c:pt idx="1267">
                  <c:v>63.349999999998538</c:v>
                </c:pt>
                <c:pt idx="1268">
                  <c:v>63.399999999998535</c:v>
                </c:pt>
                <c:pt idx="1269">
                  <c:v>63.449999999998532</c:v>
                </c:pt>
                <c:pt idx="1270">
                  <c:v>63.499999999998529</c:v>
                </c:pt>
                <c:pt idx="1271">
                  <c:v>63.549999999998526</c:v>
                </c:pt>
                <c:pt idx="1272">
                  <c:v>63.599999999998523</c:v>
                </c:pt>
                <c:pt idx="1273">
                  <c:v>63.649999999998521</c:v>
                </c:pt>
                <c:pt idx="1274">
                  <c:v>63.699999999998518</c:v>
                </c:pt>
                <c:pt idx="1275">
                  <c:v>63.749999999998515</c:v>
                </c:pt>
                <c:pt idx="1276">
                  <c:v>63.799999999998512</c:v>
                </c:pt>
                <c:pt idx="1277">
                  <c:v>63.849999999998509</c:v>
                </c:pt>
                <c:pt idx="1278">
                  <c:v>63.899999999998506</c:v>
                </c:pt>
                <c:pt idx="1279">
                  <c:v>63.949999999998504</c:v>
                </c:pt>
                <c:pt idx="1280">
                  <c:v>63.999999999998501</c:v>
                </c:pt>
                <c:pt idx="1281">
                  <c:v>64.049999999998505</c:v>
                </c:pt>
                <c:pt idx="1282">
                  <c:v>64.099999999998502</c:v>
                </c:pt>
                <c:pt idx="1283">
                  <c:v>64.149999999998499</c:v>
                </c:pt>
                <c:pt idx="1284">
                  <c:v>64.199999999998496</c:v>
                </c:pt>
                <c:pt idx="1285">
                  <c:v>64.249999999998494</c:v>
                </c:pt>
                <c:pt idx="1286">
                  <c:v>64.299999999998491</c:v>
                </c:pt>
                <c:pt idx="1287">
                  <c:v>64.349999999998488</c:v>
                </c:pt>
                <c:pt idx="1288">
                  <c:v>64.399999999998485</c:v>
                </c:pt>
                <c:pt idx="1289">
                  <c:v>64.449999999998482</c:v>
                </c:pt>
                <c:pt idx="1290">
                  <c:v>64.499999999998479</c:v>
                </c:pt>
                <c:pt idx="1291">
                  <c:v>64.549999999998477</c:v>
                </c:pt>
                <c:pt idx="1292">
                  <c:v>64.599999999998474</c:v>
                </c:pt>
                <c:pt idx="1293">
                  <c:v>64.649999999998471</c:v>
                </c:pt>
                <c:pt idx="1294">
                  <c:v>64.699999999998468</c:v>
                </c:pt>
                <c:pt idx="1295">
                  <c:v>64.749999999998465</c:v>
                </c:pt>
                <c:pt idx="1296">
                  <c:v>64.799999999998462</c:v>
                </c:pt>
                <c:pt idx="1297">
                  <c:v>64.84999999999846</c:v>
                </c:pt>
                <c:pt idx="1298">
                  <c:v>64.899999999998457</c:v>
                </c:pt>
                <c:pt idx="1299">
                  <c:v>64.949999999998454</c:v>
                </c:pt>
                <c:pt idx="1300">
                  <c:v>64.999999999998451</c:v>
                </c:pt>
                <c:pt idx="1301">
                  <c:v>65.049999999998448</c:v>
                </c:pt>
                <c:pt idx="1302">
                  <c:v>65.099999999998445</c:v>
                </c:pt>
                <c:pt idx="1303">
                  <c:v>65.149999999998442</c:v>
                </c:pt>
                <c:pt idx="1304">
                  <c:v>65.19999999999844</c:v>
                </c:pt>
                <c:pt idx="1305">
                  <c:v>65.249999999998437</c:v>
                </c:pt>
                <c:pt idx="1306">
                  <c:v>65.299999999998434</c:v>
                </c:pt>
                <c:pt idx="1307">
                  <c:v>65.349999999998431</c:v>
                </c:pt>
                <c:pt idx="1308">
                  <c:v>65.399999999998428</c:v>
                </c:pt>
                <c:pt idx="1309">
                  <c:v>65.449999999998425</c:v>
                </c:pt>
                <c:pt idx="1310">
                  <c:v>65.499999999998423</c:v>
                </c:pt>
                <c:pt idx="1311">
                  <c:v>65.54999999999842</c:v>
                </c:pt>
                <c:pt idx="1312">
                  <c:v>65.599999999998417</c:v>
                </c:pt>
                <c:pt idx="1313">
                  <c:v>65.649999999998414</c:v>
                </c:pt>
                <c:pt idx="1314">
                  <c:v>65.699999999998411</c:v>
                </c:pt>
                <c:pt idx="1315">
                  <c:v>65.749999999998408</c:v>
                </c:pt>
                <c:pt idx="1316">
                  <c:v>65.799999999998406</c:v>
                </c:pt>
                <c:pt idx="1317">
                  <c:v>65.849999999998403</c:v>
                </c:pt>
                <c:pt idx="1318">
                  <c:v>65.8999999999984</c:v>
                </c:pt>
                <c:pt idx="1319">
                  <c:v>65.949999999998397</c:v>
                </c:pt>
                <c:pt idx="1320">
                  <c:v>65.999999999998394</c:v>
                </c:pt>
                <c:pt idx="1321">
                  <c:v>66.049999999998391</c:v>
                </c:pt>
                <c:pt idx="1322">
                  <c:v>66.099999999998388</c:v>
                </c:pt>
                <c:pt idx="1323">
                  <c:v>66.149999999998386</c:v>
                </c:pt>
                <c:pt idx="1324">
                  <c:v>66.199999999998383</c:v>
                </c:pt>
                <c:pt idx="1325">
                  <c:v>66.24999999999838</c:v>
                </c:pt>
                <c:pt idx="1326">
                  <c:v>66.299999999998377</c:v>
                </c:pt>
                <c:pt idx="1327">
                  <c:v>66.349999999998374</c:v>
                </c:pt>
                <c:pt idx="1328">
                  <c:v>66.399999999998371</c:v>
                </c:pt>
                <c:pt idx="1329">
                  <c:v>66.449999999998369</c:v>
                </c:pt>
                <c:pt idx="1330">
                  <c:v>66.499999999998366</c:v>
                </c:pt>
                <c:pt idx="1331">
                  <c:v>66.549999999998363</c:v>
                </c:pt>
                <c:pt idx="1332">
                  <c:v>66.59999999999836</c:v>
                </c:pt>
                <c:pt idx="1333">
                  <c:v>66.649999999998357</c:v>
                </c:pt>
                <c:pt idx="1334">
                  <c:v>66.699999999998354</c:v>
                </c:pt>
                <c:pt idx="1335">
                  <c:v>66.749999999998352</c:v>
                </c:pt>
                <c:pt idx="1336">
                  <c:v>66.799999999998349</c:v>
                </c:pt>
                <c:pt idx="1337">
                  <c:v>66.849999999998346</c:v>
                </c:pt>
                <c:pt idx="1338">
                  <c:v>66.899999999998343</c:v>
                </c:pt>
                <c:pt idx="1339">
                  <c:v>66.94999999999834</c:v>
                </c:pt>
                <c:pt idx="1340">
                  <c:v>66.999999999998337</c:v>
                </c:pt>
                <c:pt idx="1341">
                  <c:v>67.049999999998334</c:v>
                </c:pt>
                <c:pt idx="1342">
                  <c:v>67.099999999998332</c:v>
                </c:pt>
                <c:pt idx="1343">
                  <c:v>67.149999999998329</c:v>
                </c:pt>
                <c:pt idx="1344">
                  <c:v>67.199999999998326</c:v>
                </c:pt>
                <c:pt idx="1345">
                  <c:v>67.249999999998323</c:v>
                </c:pt>
                <c:pt idx="1346">
                  <c:v>67.29999999999832</c:v>
                </c:pt>
                <c:pt idx="1347">
                  <c:v>67.349999999998317</c:v>
                </c:pt>
                <c:pt idx="1348">
                  <c:v>67.399999999998315</c:v>
                </c:pt>
                <c:pt idx="1349">
                  <c:v>67.449999999998312</c:v>
                </c:pt>
                <c:pt idx="1350">
                  <c:v>67.499999999998309</c:v>
                </c:pt>
                <c:pt idx="1351">
                  <c:v>67.549999999998306</c:v>
                </c:pt>
                <c:pt idx="1352">
                  <c:v>67.599999999998303</c:v>
                </c:pt>
                <c:pt idx="1353">
                  <c:v>67.6499999999983</c:v>
                </c:pt>
                <c:pt idx="1354">
                  <c:v>67.699999999998298</c:v>
                </c:pt>
                <c:pt idx="1355">
                  <c:v>67.749999999998295</c:v>
                </c:pt>
                <c:pt idx="1356">
                  <c:v>67.799999999998292</c:v>
                </c:pt>
                <c:pt idx="1357">
                  <c:v>67.849999999998289</c:v>
                </c:pt>
                <c:pt idx="1358">
                  <c:v>67.899999999998286</c:v>
                </c:pt>
                <c:pt idx="1359">
                  <c:v>67.949999999998283</c:v>
                </c:pt>
                <c:pt idx="1360">
                  <c:v>67.99999999999828</c:v>
                </c:pt>
                <c:pt idx="1361">
                  <c:v>68.049999999998278</c:v>
                </c:pt>
                <c:pt idx="1362">
                  <c:v>68.099999999998275</c:v>
                </c:pt>
                <c:pt idx="1363">
                  <c:v>68.149999999998272</c:v>
                </c:pt>
                <c:pt idx="1364">
                  <c:v>68.199999999998269</c:v>
                </c:pt>
                <c:pt idx="1365">
                  <c:v>68.249999999998266</c:v>
                </c:pt>
                <c:pt idx="1366">
                  <c:v>68.299999999998263</c:v>
                </c:pt>
                <c:pt idx="1367">
                  <c:v>68.349999999998261</c:v>
                </c:pt>
                <c:pt idx="1368">
                  <c:v>68.399999999998258</c:v>
                </c:pt>
                <c:pt idx="1369">
                  <c:v>68.449999999998255</c:v>
                </c:pt>
                <c:pt idx="1370">
                  <c:v>68.499999999998252</c:v>
                </c:pt>
                <c:pt idx="1371">
                  <c:v>68.549999999998249</c:v>
                </c:pt>
                <c:pt idx="1372">
                  <c:v>68.599999999998246</c:v>
                </c:pt>
                <c:pt idx="1373">
                  <c:v>68.649999999998244</c:v>
                </c:pt>
                <c:pt idx="1374">
                  <c:v>68.699999999998241</c:v>
                </c:pt>
                <c:pt idx="1375">
                  <c:v>68.749999999998238</c:v>
                </c:pt>
                <c:pt idx="1376">
                  <c:v>68.799999999998235</c:v>
                </c:pt>
                <c:pt idx="1377">
                  <c:v>68.849999999998232</c:v>
                </c:pt>
                <c:pt idx="1378">
                  <c:v>68.899999999998229</c:v>
                </c:pt>
                <c:pt idx="1379">
                  <c:v>68.949999999998226</c:v>
                </c:pt>
                <c:pt idx="1380">
                  <c:v>68.999999999998224</c:v>
                </c:pt>
                <c:pt idx="1381">
                  <c:v>69.049999999998221</c:v>
                </c:pt>
                <c:pt idx="1382">
                  <c:v>69.099999999998218</c:v>
                </c:pt>
                <c:pt idx="1383">
                  <c:v>69.149999999998215</c:v>
                </c:pt>
                <c:pt idx="1384">
                  <c:v>69.199999999998212</c:v>
                </c:pt>
                <c:pt idx="1385">
                  <c:v>69.249999999998209</c:v>
                </c:pt>
                <c:pt idx="1386">
                  <c:v>69.299999999998207</c:v>
                </c:pt>
                <c:pt idx="1387">
                  <c:v>69.349999999998204</c:v>
                </c:pt>
                <c:pt idx="1388">
                  <c:v>69.399999999998201</c:v>
                </c:pt>
                <c:pt idx="1389">
                  <c:v>69.449999999998198</c:v>
                </c:pt>
                <c:pt idx="1390">
                  <c:v>69.499999999998195</c:v>
                </c:pt>
                <c:pt idx="1391">
                  <c:v>69.549999999998192</c:v>
                </c:pt>
                <c:pt idx="1392">
                  <c:v>69.59999999999819</c:v>
                </c:pt>
                <c:pt idx="1393">
                  <c:v>69.649999999998187</c:v>
                </c:pt>
                <c:pt idx="1394">
                  <c:v>69.699999999998184</c:v>
                </c:pt>
                <c:pt idx="1395">
                  <c:v>69.749999999998181</c:v>
                </c:pt>
                <c:pt idx="1396">
                  <c:v>69.799999999998178</c:v>
                </c:pt>
                <c:pt idx="1397">
                  <c:v>69.849999999998175</c:v>
                </c:pt>
                <c:pt idx="1398">
                  <c:v>69.899999999998172</c:v>
                </c:pt>
                <c:pt idx="1399">
                  <c:v>69.94999999999817</c:v>
                </c:pt>
                <c:pt idx="1400">
                  <c:v>69.999999999998167</c:v>
                </c:pt>
                <c:pt idx="1401">
                  <c:v>70.049999999998164</c:v>
                </c:pt>
                <c:pt idx="1402">
                  <c:v>70.099999999998161</c:v>
                </c:pt>
                <c:pt idx="1403">
                  <c:v>70.149999999998158</c:v>
                </c:pt>
                <c:pt idx="1404">
                  <c:v>70.199999999998155</c:v>
                </c:pt>
                <c:pt idx="1405">
                  <c:v>70.249999999998153</c:v>
                </c:pt>
                <c:pt idx="1406">
                  <c:v>70.29999999999815</c:v>
                </c:pt>
                <c:pt idx="1407">
                  <c:v>70.349999999998147</c:v>
                </c:pt>
                <c:pt idx="1408">
                  <c:v>70.399999999998144</c:v>
                </c:pt>
                <c:pt idx="1409">
                  <c:v>70.449999999998141</c:v>
                </c:pt>
                <c:pt idx="1410">
                  <c:v>70.499999999998138</c:v>
                </c:pt>
                <c:pt idx="1411">
                  <c:v>70.549999999998136</c:v>
                </c:pt>
                <c:pt idx="1412">
                  <c:v>70.599999999998133</c:v>
                </c:pt>
                <c:pt idx="1413">
                  <c:v>70.64999999999813</c:v>
                </c:pt>
                <c:pt idx="1414">
                  <c:v>70.699999999998127</c:v>
                </c:pt>
                <c:pt idx="1415">
                  <c:v>70.749999999998124</c:v>
                </c:pt>
                <c:pt idx="1416">
                  <c:v>70.799999999998121</c:v>
                </c:pt>
                <c:pt idx="1417">
                  <c:v>70.849999999998118</c:v>
                </c:pt>
                <c:pt idx="1418">
                  <c:v>70.899999999998116</c:v>
                </c:pt>
                <c:pt idx="1419">
                  <c:v>70.949999999998113</c:v>
                </c:pt>
                <c:pt idx="1420">
                  <c:v>70.99999999999811</c:v>
                </c:pt>
                <c:pt idx="1421">
                  <c:v>71.049999999998107</c:v>
                </c:pt>
                <c:pt idx="1422">
                  <c:v>71.099999999998104</c:v>
                </c:pt>
                <c:pt idx="1423">
                  <c:v>71.149999999998101</c:v>
                </c:pt>
                <c:pt idx="1424">
                  <c:v>71.199999999998099</c:v>
                </c:pt>
                <c:pt idx="1425">
                  <c:v>71.249999999998096</c:v>
                </c:pt>
                <c:pt idx="1426">
                  <c:v>71.299999999998093</c:v>
                </c:pt>
                <c:pt idx="1427">
                  <c:v>71.34999999999809</c:v>
                </c:pt>
                <c:pt idx="1428">
                  <c:v>71.399999999998087</c:v>
                </c:pt>
                <c:pt idx="1429">
                  <c:v>71.449999999998084</c:v>
                </c:pt>
                <c:pt idx="1430">
                  <c:v>71.499999999998082</c:v>
                </c:pt>
                <c:pt idx="1431">
                  <c:v>71.549999999998079</c:v>
                </c:pt>
                <c:pt idx="1432">
                  <c:v>71.599999999998076</c:v>
                </c:pt>
                <c:pt idx="1433">
                  <c:v>71.649999999998073</c:v>
                </c:pt>
                <c:pt idx="1434">
                  <c:v>71.69999999999807</c:v>
                </c:pt>
                <c:pt idx="1435">
                  <c:v>71.749999999998067</c:v>
                </c:pt>
                <c:pt idx="1436">
                  <c:v>71.799999999998064</c:v>
                </c:pt>
                <c:pt idx="1437">
                  <c:v>71.849999999998062</c:v>
                </c:pt>
                <c:pt idx="1438">
                  <c:v>71.899999999998059</c:v>
                </c:pt>
                <c:pt idx="1439">
                  <c:v>71.949999999998056</c:v>
                </c:pt>
                <c:pt idx="1440">
                  <c:v>71.999999999998053</c:v>
                </c:pt>
                <c:pt idx="1441">
                  <c:v>72.04999999999805</c:v>
                </c:pt>
                <c:pt idx="1442">
                  <c:v>72.099999999998047</c:v>
                </c:pt>
                <c:pt idx="1443">
                  <c:v>72.149999999998045</c:v>
                </c:pt>
                <c:pt idx="1444">
                  <c:v>72.199999999998042</c:v>
                </c:pt>
                <c:pt idx="1445">
                  <c:v>72.249999999998039</c:v>
                </c:pt>
                <c:pt idx="1446">
                  <c:v>72.299999999998036</c:v>
                </c:pt>
                <c:pt idx="1447">
                  <c:v>72.349999999998033</c:v>
                </c:pt>
                <c:pt idx="1448">
                  <c:v>72.39999999999803</c:v>
                </c:pt>
                <c:pt idx="1449">
                  <c:v>72.449999999998028</c:v>
                </c:pt>
                <c:pt idx="1450">
                  <c:v>72.499999999998025</c:v>
                </c:pt>
                <c:pt idx="1451">
                  <c:v>72.549999999998022</c:v>
                </c:pt>
                <c:pt idx="1452">
                  <c:v>72.599999999998019</c:v>
                </c:pt>
                <c:pt idx="1453">
                  <c:v>72.649999999998016</c:v>
                </c:pt>
                <c:pt idx="1454">
                  <c:v>72.699999999998013</c:v>
                </c:pt>
                <c:pt idx="1455">
                  <c:v>72.74999999999801</c:v>
                </c:pt>
                <c:pt idx="1456">
                  <c:v>72.799999999998008</c:v>
                </c:pt>
                <c:pt idx="1457">
                  <c:v>72.849999999998005</c:v>
                </c:pt>
                <c:pt idx="1458">
                  <c:v>72.899999999998002</c:v>
                </c:pt>
                <c:pt idx="1459">
                  <c:v>72.949999999997999</c:v>
                </c:pt>
                <c:pt idx="1460">
                  <c:v>72.999999999997996</c:v>
                </c:pt>
                <c:pt idx="1461">
                  <c:v>73.049999999997993</c:v>
                </c:pt>
                <c:pt idx="1462">
                  <c:v>73.099999999997991</c:v>
                </c:pt>
                <c:pt idx="1463">
                  <c:v>73.149999999997988</c:v>
                </c:pt>
                <c:pt idx="1464">
                  <c:v>73.199999999997985</c:v>
                </c:pt>
                <c:pt idx="1465">
                  <c:v>73.249999999997982</c:v>
                </c:pt>
                <c:pt idx="1466">
                  <c:v>73.299999999997979</c:v>
                </c:pt>
                <c:pt idx="1467">
                  <c:v>73.349999999997976</c:v>
                </c:pt>
                <c:pt idx="1468">
                  <c:v>73.399999999997974</c:v>
                </c:pt>
                <c:pt idx="1469">
                  <c:v>73.449999999997971</c:v>
                </c:pt>
                <c:pt idx="1470">
                  <c:v>73.499999999997968</c:v>
                </c:pt>
                <c:pt idx="1471">
                  <c:v>73.549999999997965</c:v>
                </c:pt>
                <c:pt idx="1472">
                  <c:v>73.599999999997962</c:v>
                </c:pt>
                <c:pt idx="1473">
                  <c:v>73.649999999997959</c:v>
                </c:pt>
                <c:pt idx="1474">
                  <c:v>73.699999999997956</c:v>
                </c:pt>
                <c:pt idx="1475">
                  <c:v>73.749999999997954</c:v>
                </c:pt>
                <c:pt idx="1476">
                  <c:v>73.799999999997951</c:v>
                </c:pt>
                <c:pt idx="1477">
                  <c:v>73.849999999997948</c:v>
                </c:pt>
                <c:pt idx="1478">
                  <c:v>73.899999999997945</c:v>
                </c:pt>
                <c:pt idx="1479">
                  <c:v>73.949999999997942</c:v>
                </c:pt>
                <c:pt idx="1480">
                  <c:v>73.999999999997939</c:v>
                </c:pt>
                <c:pt idx="1481">
                  <c:v>74.049999999997937</c:v>
                </c:pt>
                <c:pt idx="1482">
                  <c:v>74.099999999997934</c:v>
                </c:pt>
                <c:pt idx="1483">
                  <c:v>74.149999999997931</c:v>
                </c:pt>
                <c:pt idx="1484">
                  <c:v>74.199999999997928</c:v>
                </c:pt>
                <c:pt idx="1485">
                  <c:v>74.249999999997925</c:v>
                </c:pt>
                <c:pt idx="1486">
                  <c:v>74.299999999997922</c:v>
                </c:pt>
                <c:pt idx="1487">
                  <c:v>74.34999999999792</c:v>
                </c:pt>
                <c:pt idx="1488">
                  <c:v>74.399999999997917</c:v>
                </c:pt>
                <c:pt idx="1489">
                  <c:v>74.449999999997914</c:v>
                </c:pt>
                <c:pt idx="1490">
                  <c:v>74.499999999997911</c:v>
                </c:pt>
                <c:pt idx="1491">
                  <c:v>74.549999999997908</c:v>
                </c:pt>
                <c:pt idx="1492">
                  <c:v>74.599999999997905</c:v>
                </c:pt>
                <c:pt idx="1493">
                  <c:v>74.649999999997902</c:v>
                </c:pt>
                <c:pt idx="1494">
                  <c:v>74.6999999999979</c:v>
                </c:pt>
                <c:pt idx="1495">
                  <c:v>74.749999999997897</c:v>
                </c:pt>
                <c:pt idx="1496">
                  <c:v>74.799999999997894</c:v>
                </c:pt>
                <c:pt idx="1497">
                  <c:v>74.849999999997891</c:v>
                </c:pt>
                <c:pt idx="1498">
                  <c:v>74.899999999997888</c:v>
                </c:pt>
                <c:pt idx="1499">
                  <c:v>74.949999999997885</c:v>
                </c:pt>
                <c:pt idx="1500">
                  <c:v>74.999999999997883</c:v>
                </c:pt>
                <c:pt idx="1501">
                  <c:v>75.04999999999788</c:v>
                </c:pt>
                <c:pt idx="1502">
                  <c:v>75.099999999997877</c:v>
                </c:pt>
                <c:pt idx="1503">
                  <c:v>75.149999999997874</c:v>
                </c:pt>
                <c:pt idx="1504">
                  <c:v>75.199999999997871</c:v>
                </c:pt>
                <c:pt idx="1505">
                  <c:v>75.249999999997868</c:v>
                </c:pt>
                <c:pt idx="1506">
                  <c:v>75.299999999997866</c:v>
                </c:pt>
                <c:pt idx="1507">
                  <c:v>75.349999999997863</c:v>
                </c:pt>
                <c:pt idx="1508">
                  <c:v>75.39999999999786</c:v>
                </c:pt>
                <c:pt idx="1509">
                  <c:v>75.449999999997857</c:v>
                </c:pt>
                <c:pt idx="1510">
                  <c:v>75.499999999997854</c:v>
                </c:pt>
                <c:pt idx="1511">
                  <c:v>75.549999999997851</c:v>
                </c:pt>
                <c:pt idx="1512">
                  <c:v>75.599999999997848</c:v>
                </c:pt>
                <c:pt idx="1513">
                  <c:v>75.649999999997846</c:v>
                </c:pt>
                <c:pt idx="1514">
                  <c:v>75.699999999997843</c:v>
                </c:pt>
                <c:pt idx="1515">
                  <c:v>75.74999999999784</c:v>
                </c:pt>
                <c:pt idx="1516">
                  <c:v>75.799999999997837</c:v>
                </c:pt>
                <c:pt idx="1517">
                  <c:v>75.849999999997834</c:v>
                </c:pt>
                <c:pt idx="1518">
                  <c:v>75.899999999997831</c:v>
                </c:pt>
                <c:pt idx="1519">
                  <c:v>75.949999999997829</c:v>
                </c:pt>
                <c:pt idx="1520">
                  <c:v>75.999999999997826</c:v>
                </c:pt>
                <c:pt idx="1521">
                  <c:v>76.049999999997823</c:v>
                </c:pt>
                <c:pt idx="1522">
                  <c:v>76.09999999999782</c:v>
                </c:pt>
                <c:pt idx="1523">
                  <c:v>76.149999999997817</c:v>
                </c:pt>
                <c:pt idx="1524">
                  <c:v>76.199999999997814</c:v>
                </c:pt>
                <c:pt idx="1525">
                  <c:v>76.249999999997812</c:v>
                </c:pt>
                <c:pt idx="1526">
                  <c:v>76.299999999997809</c:v>
                </c:pt>
                <c:pt idx="1527">
                  <c:v>76.349999999997806</c:v>
                </c:pt>
                <c:pt idx="1528">
                  <c:v>76.399999999997803</c:v>
                </c:pt>
                <c:pt idx="1529">
                  <c:v>76.4499999999978</c:v>
                </c:pt>
                <c:pt idx="1530">
                  <c:v>76.499999999997797</c:v>
                </c:pt>
                <c:pt idx="1531">
                  <c:v>76.549999999997794</c:v>
                </c:pt>
                <c:pt idx="1532">
                  <c:v>76.599999999997792</c:v>
                </c:pt>
                <c:pt idx="1533">
                  <c:v>76.649999999997789</c:v>
                </c:pt>
                <c:pt idx="1534">
                  <c:v>76.699999999997786</c:v>
                </c:pt>
                <c:pt idx="1535">
                  <c:v>76.749999999997783</c:v>
                </c:pt>
                <c:pt idx="1536">
                  <c:v>76.79999999999778</c:v>
                </c:pt>
                <c:pt idx="1537">
                  <c:v>76.849999999997777</c:v>
                </c:pt>
                <c:pt idx="1538">
                  <c:v>76.899999999997775</c:v>
                </c:pt>
                <c:pt idx="1539">
                  <c:v>76.949999999997772</c:v>
                </c:pt>
                <c:pt idx="1540">
                  <c:v>76.999999999997769</c:v>
                </c:pt>
                <c:pt idx="1541">
                  <c:v>77.049999999997766</c:v>
                </c:pt>
                <c:pt idx="1542">
                  <c:v>77.099999999997763</c:v>
                </c:pt>
                <c:pt idx="1543">
                  <c:v>77.14999999999776</c:v>
                </c:pt>
                <c:pt idx="1544">
                  <c:v>77.199999999997758</c:v>
                </c:pt>
                <c:pt idx="1545">
                  <c:v>77.249999999997755</c:v>
                </c:pt>
                <c:pt idx="1546">
                  <c:v>77.299999999997752</c:v>
                </c:pt>
                <c:pt idx="1547">
                  <c:v>77.349999999997749</c:v>
                </c:pt>
                <c:pt idx="1548">
                  <c:v>77.399999999997746</c:v>
                </c:pt>
                <c:pt idx="1549">
                  <c:v>77.449999999997743</c:v>
                </c:pt>
                <c:pt idx="1550">
                  <c:v>77.49999999999774</c:v>
                </c:pt>
                <c:pt idx="1551">
                  <c:v>77.549999999997738</c:v>
                </c:pt>
                <c:pt idx="1552">
                  <c:v>77.599999999997735</c:v>
                </c:pt>
                <c:pt idx="1553">
                  <c:v>77.649999999997732</c:v>
                </c:pt>
                <c:pt idx="1554">
                  <c:v>77.699999999997729</c:v>
                </c:pt>
                <c:pt idx="1555">
                  <c:v>77.749999999997726</c:v>
                </c:pt>
                <c:pt idx="1556">
                  <c:v>77.799999999997723</c:v>
                </c:pt>
                <c:pt idx="1557">
                  <c:v>77.849999999997721</c:v>
                </c:pt>
                <c:pt idx="1558">
                  <c:v>77.899999999997718</c:v>
                </c:pt>
                <c:pt idx="1559">
                  <c:v>77.949999999997715</c:v>
                </c:pt>
                <c:pt idx="1560">
                  <c:v>77.999999999997712</c:v>
                </c:pt>
                <c:pt idx="1561">
                  <c:v>78.049999999997709</c:v>
                </c:pt>
                <c:pt idx="1562">
                  <c:v>78.099999999997706</c:v>
                </c:pt>
                <c:pt idx="1563">
                  <c:v>78.149999999997704</c:v>
                </c:pt>
                <c:pt idx="1564">
                  <c:v>78.199999999997701</c:v>
                </c:pt>
                <c:pt idx="1565">
                  <c:v>78.249999999997698</c:v>
                </c:pt>
                <c:pt idx="1566">
                  <c:v>78.299999999997695</c:v>
                </c:pt>
                <c:pt idx="1567">
                  <c:v>78.349999999997692</c:v>
                </c:pt>
                <c:pt idx="1568">
                  <c:v>78.399999999997689</c:v>
                </c:pt>
                <c:pt idx="1569">
                  <c:v>78.449999999997686</c:v>
                </c:pt>
                <c:pt idx="1570">
                  <c:v>78.499999999997684</c:v>
                </c:pt>
                <c:pt idx="1571">
                  <c:v>78.549999999997681</c:v>
                </c:pt>
                <c:pt idx="1572">
                  <c:v>78.599999999997678</c:v>
                </c:pt>
                <c:pt idx="1573">
                  <c:v>78.649999999997675</c:v>
                </c:pt>
                <c:pt idx="1574">
                  <c:v>78.699999999997672</c:v>
                </c:pt>
                <c:pt idx="1575">
                  <c:v>78.749999999997669</c:v>
                </c:pt>
                <c:pt idx="1576">
                  <c:v>78.799999999997667</c:v>
                </c:pt>
                <c:pt idx="1577">
                  <c:v>78.849999999997664</c:v>
                </c:pt>
                <c:pt idx="1578">
                  <c:v>78.899999999997661</c:v>
                </c:pt>
                <c:pt idx="1579">
                  <c:v>78.949999999997658</c:v>
                </c:pt>
                <c:pt idx="1580">
                  <c:v>78.999999999997655</c:v>
                </c:pt>
                <c:pt idx="1581">
                  <c:v>79.049999999997652</c:v>
                </c:pt>
                <c:pt idx="1582">
                  <c:v>79.09999999999765</c:v>
                </c:pt>
                <c:pt idx="1583">
                  <c:v>79.149999999997647</c:v>
                </c:pt>
                <c:pt idx="1584">
                  <c:v>79.199999999997644</c:v>
                </c:pt>
                <c:pt idx="1585">
                  <c:v>79.249999999997641</c:v>
                </c:pt>
                <c:pt idx="1586">
                  <c:v>79.299999999997638</c:v>
                </c:pt>
                <c:pt idx="1587">
                  <c:v>79.349999999997635</c:v>
                </c:pt>
                <c:pt idx="1588">
                  <c:v>79.399999999997632</c:v>
                </c:pt>
                <c:pt idx="1589">
                  <c:v>79.44999999999763</c:v>
                </c:pt>
                <c:pt idx="1590">
                  <c:v>79.499999999997627</c:v>
                </c:pt>
                <c:pt idx="1591">
                  <c:v>79.549999999997624</c:v>
                </c:pt>
                <c:pt idx="1592">
                  <c:v>79.599999999997621</c:v>
                </c:pt>
                <c:pt idx="1593">
                  <c:v>79.649999999997618</c:v>
                </c:pt>
                <c:pt idx="1594">
                  <c:v>79.699999999997615</c:v>
                </c:pt>
                <c:pt idx="1595">
                  <c:v>79.749999999997613</c:v>
                </c:pt>
                <c:pt idx="1596">
                  <c:v>79.79999999999761</c:v>
                </c:pt>
                <c:pt idx="1597">
                  <c:v>79.849999999997607</c:v>
                </c:pt>
                <c:pt idx="1598">
                  <c:v>79.899999999997604</c:v>
                </c:pt>
                <c:pt idx="1599">
                  <c:v>79.949999999997601</c:v>
                </c:pt>
                <c:pt idx="1600">
                  <c:v>79.999999999997598</c:v>
                </c:pt>
                <c:pt idx="1601">
                  <c:v>80.049999999997596</c:v>
                </c:pt>
                <c:pt idx="1602">
                  <c:v>80.099999999997593</c:v>
                </c:pt>
                <c:pt idx="1603">
                  <c:v>80.14999999999759</c:v>
                </c:pt>
                <c:pt idx="1604">
                  <c:v>80.199999999997587</c:v>
                </c:pt>
                <c:pt idx="1605">
                  <c:v>80.249999999997584</c:v>
                </c:pt>
                <c:pt idx="1606">
                  <c:v>80.299999999997581</c:v>
                </c:pt>
                <c:pt idx="1607">
                  <c:v>80.349999999997578</c:v>
                </c:pt>
                <c:pt idx="1608">
                  <c:v>80.399999999997576</c:v>
                </c:pt>
                <c:pt idx="1609">
                  <c:v>80.449999999997573</c:v>
                </c:pt>
                <c:pt idx="1610">
                  <c:v>80.49999999999757</c:v>
                </c:pt>
                <c:pt idx="1611">
                  <c:v>80.549999999997567</c:v>
                </c:pt>
                <c:pt idx="1612">
                  <c:v>80.599999999997564</c:v>
                </c:pt>
                <c:pt idx="1613">
                  <c:v>80.649999999997561</c:v>
                </c:pt>
                <c:pt idx="1614">
                  <c:v>80.699999999997559</c:v>
                </c:pt>
                <c:pt idx="1615">
                  <c:v>80.749999999997556</c:v>
                </c:pt>
                <c:pt idx="1616">
                  <c:v>80.799999999997553</c:v>
                </c:pt>
                <c:pt idx="1617">
                  <c:v>80.84999999999755</c:v>
                </c:pt>
                <c:pt idx="1618">
                  <c:v>80.899999999997547</c:v>
                </c:pt>
                <c:pt idx="1619">
                  <c:v>80.949999999997544</c:v>
                </c:pt>
                <c:pt idx="1620">
                  <c:v>80.999999999997542</c:v>
                </c:pt>
                <c:pt idx="1621">
                  <c:v>81.049999999997539</c:v>
                </c:pt>
                <c:pt idx="1622">
                  <c:v>81.099999999997536</c:v>
                </c:pt>
                <c:pt idx="1623">
                  <c:v>81.149999999997533</c:v>
                </c:pt>
                <c:pt idx="1624">
                  <c:v>81.19999999999753</c:v>
                </c:pt>
                <c:pt idx="1625">
                  <c:v>81.249999999997527</c:v>
                </c:pt>
                <c:pt idx="1626">
                  <c:v>81.299999999997524</c:v>
                </c:pt>
                <c:pt idx="1627">
                  <c:v>81.349999999997522</c:v>
                </c:pt>
                <c:pt idx="1628">
                  <c:v>81.399999999997519</c:v>
                </c:pt>
                <c:pt idx="1629">
                  <c:v>81.449999999997516</c:v>
                </c:pt>
                <c:pt idx="1630">
                  <c:v>81.499999999997513</c:v>
                </c:pt>
                <c:pt idx="1631">
                  <c:v>81.54999999999751</c:v>
                </c:pt>
                <c:pt idx="1632">
                  <c:v>81.599999999997507</c:v>
                </c:pt>
                <c:pt idx="1633">
                  <c:v>81.649999999997505</c:v>
                </c:pt>
                <c:pt idx="1634">
                  <c:v>81.699999999997502</c:v>
                </c:pt>
                <c:pt idx="1635">
                  <c:v>81.749999999997499</c:v>
                </c:pt>
                <c:pt idx="1636">
                  <c:v>81.799999999997496</c:v>
                </c:pt>
                <c:pt idx="1637">
                  <c:v>81.849999999997493</c:v>
                </c:pt>
                <c:pt idx="1638">
                  <c:v>81.89999999999749</c:v>
                </c:pt>
                <c:pt idx="1639">
                  <c:v>81.949999999997488</c:v>
                </c:pt>
                <c:pt idx="1640">
                  <c:v>81.999999999997485</c:v>
                </c:pt>
                <c:pt idx="1641">
                  <c:v>82.049999999997482</c:v>
                </c:pt>
                <c:pt idx="1642">
                  <c:v>82.099999999997479</c:v>
                </c:pt>
                <c:pt idx="1643">
                  <c:v>82.149999999997476</c:v>
                </c:pt>
                <c:pt idx="1644">
                  <c:v>82.199999999997473</c:v>
                </c:pt>
                <c:pt idx="1645">
                  <c:v>82.24999999999747</c:v>
                </c:pt>
                <c:pt idx="1646">
                  <c:v>82.299999999997468</c:v>
                </c:pt>
                <c:pt idx="1647">
                  <c:v>82.349999999997465</c:v>
                </c:pt>
                <c:pt idx="1648">
                  <c:v>82.399999999997462</c:v>
                </c:pt>
                <c:pt idx="1649">
                  <c:v>82.449999999997459</c:v>
                </c:pt>
                <c:pt idx="1650">
                  <c:v>82.499999999997456</c:v>
                </c:pt>
                <c:pt idx="1651">
                  <c:v>82.549999999997453</c:v>
                </c:pt>
                <c:pt idx="1652">
                  <c:v>82.599999999997451</c:v>
                </c:pt>
                <c:pt idx="1653">
                  <c:v>82.649999999997448</c:v>
                </c:pt>
                <c:pt idx="1654">
                  <c:v>82.699999999997445</c:v>
                </c:pt>
                <c:pt idx="1655">
                  <c:v>82.749999999997442</c:v>
                </c:pt>
                <c:pt idx="1656">
                  <c:v>82.799999999997439</c:v>
                </c:pt>
                <c:pt idx="1657">
                  <c:v>82.849999999997436</c:v>
                </c:pt>
                <c:pt idx="1658">
                  <c:v>82.899999999997434</c:v>
                </c:pt>
                <c:pt idx="1659">
                  <c:v>82.949999999997431</c:v>
                </c:pt>
                <c:pt idx="1660">
                  <c:v>82.999999999997428</c:v>
                </c:pt>
                <c:pt idx="1661">
                  <c:v>83.049999999997425</c:v>
                </c:pt>
                <c:pt idx="1662">
                  <c:v>83.099999999997422</c:v>
                </c:pt>
                <c:pt idx="1663">
                  <c:v>83.149999999997419</c:v>
                </c:pt>
                <c:pt idx="1664">
                  <c:v>83.199999999997416</c:v>
                </c:pt>
                <c:pt idx="1665">
                  <c:v>83.249999999997414</c:v>
                </c:pt>
                <c:pt idx="1666">
                  <c:v>83.299999999997411</c:v>
                </c:pt>
                <c:pt idx="1667">
                  <c:v>83.349999999997408</c:v>
                </c:pt>
                <c:pt idx="1668">
                  <c:v>83.399999999997405</c:v>
                </c:pt>
                <c:pt idx="1669">
                  <c:v>83.449999999997402</c:v>
                </c:pt>
                <c:pt idx="1670">
                  <c:v>83.499999999997399</c:v>
                </c:pt>
                <c:pt idx="1671">
                  <c:v>83.549999999997397</c:v>
                </c:pt>
                <c:pt idx="1672">
                  <c:v>83.599999999997394</c:v>
                </c:pt>
                <c:pt idx="1673">
                  <c:v>83.649999999997391</c:v>
                </c:pt>
                <c:pt idx="1674">
                  <c:v>83.699999999997388</c:v>
                </c:pt>
                <c:pt idx="1675">
                  <c:v>83.749999999997385</c:v>
                </c:pt>
                <c:pt idx="1676">
                  <c:v>83.799999999997382</c:v>
                </c:pt>
                <c:pt idx="1677">
                  <c:v>83.84999999999738</c:v>
                </c:pt>
                <c:pt idx="1678">
                  <c:v>83.899999999997377</c:v>
                </c:pt>
                <c:pt idx="1679">
                  <c:v>83.949999999997374</c:v>
                </c:pt>
                <c:pt idx="1680">
                  <c:v>83.999999999997371</c:v>
                </c:pt>
                <c:pt idx="1681">
                  <c:v>84.049999999997368</c:v>
                </c:pt>
                <c:pt idx="1682">
                  <c:v>84.099999999997365</c:v>
                </c:pt>
                <c:pt idx="1683">
                  <c:v>84.149999999997362</c:v>
                </c:pt>
                <c:pt idx="1684">
                  <c:v>84.19999999999736</c:v>
                </c:pt>
                <c:pt idx="1685">
                  <c:v>84.249999999997357</c:v>
                </c:pt>
                <c:pt idx="1686">
                  <c:v>84.299999999997354</c:v>
                </c:pt>
                <c:pt idx="1687">
                  <c:v>84.349999999997351</c:v>
                </c:pt>
                <c:pt idx="1688">
                  <c:v>84.399999999997348</c:v>
                </c:pt>
                <c:pt idx="1689">
                  <c:v>84.449999999997345</c:v>
                </c:pt>
                <c:pt idx="1690">
                  <c:v>84.499999999997343</c:v>
                </c:pt>
                <c:pt idx="1691">
                  <c:v>84.54999999999734</c:v>
                </c:pt>
                <c:pt idx="1692">
                  <c:v>84.599999999997337</c:v>
                </c:pt>
                <c:pt idx="1693">
                  <c:v>84.649999999997334</c:v>
                </c:pt>
                <c:pt idx="1694">
                  <c:v>84.699999999997331</c:v>
                </c:pt>
                <c:pt idx="1695">
                  <c:v>84.749999999997328</c:v>
                </c:pt>
                <c:pt idx="1696">
                  <c:v>84.799999999997326</c:v>
                </c:pt>
                <c:pt idx="1697">
                  <c:v>84.849999999997323</c:v>
                </c:pt>
                <c:pt idx="1698">
                  <c:v>84.89999999999732</c:v>
                </c:pt>
                <c:pt idx="1699">
                  <c:v>84.949999999997317</c:v>
                </c:pt>
                <c:pt idx="1700">
                  <c:v>84.999999999997314</c:v>
                </c:pt>
                <c:pt idx="1701">
                  <c:v>85.049999999997311</c:v>
                </c:pt>
                <c:pt idx="1702">
                  <c:v>85.099999999997308</c:v>
                </c:pt>
                <c:pt idx="1703">
                  <c:v>85.149999999997306</c:v>
                </c:pt>
                <c:pt idx="1704">
                  <c:v>85.199999999997303</c:v>
                </c:pt>
                <c:pt idx="1705">
                  <c:v>85.2499999999973</c:v>
                </c:pt>
                <c:pt idx="1706">
                  <c:v>85.299999999997297</c:v>
                </c:pt>
                <c:pt idx="1707">
                  <c:v>85.349999999997294</c:v>
                </c:pt>
                <c:pt idx="1708">
                  <c:v>85.399999999997291</c:v>
                </c:pt>
                <c:pt idx="1709">
                  <c:v>85.449999999997289</c:v>
                </c:pt>
                <c:pt idx="1710">
                  <c:v>85.499999999997286</c:v>
                </c:pt>
                <c:pt idx="1711">
                  <c:v>85.549999999997283</c:v>
                </c:pt>
                <c:pt idx="1712">
                  <c:v>85.59999999999728</c:v>
                </c:pt>
                <c:pt idx="1713">
                  <c:v>85.649999999997277</c:v>
                </c:pt>
                <c:pt idx="1714">
                  <c:v>85.699999999997274</c:v>
                </c:pt>
                <c:pt idx="1715">
                  <c:v>85.749999999997272</c:v>
                </c:pt>
                <c:pt idx="1716">
                  <c:v>85.799999999997269</c:v>
                </c:pt>
                <c:pt idx="1717">
                  <c:v>85.849999999997266</c:v>
                </c:pt>
                <c:pt idx="1718">
                  <c:v>85.899999999997263</c:v>
                </c:pt>
                <c:pt idx="1719">
                  <c:v>85.94999999999726</c:v>
                </c:pt>
                <c:pt idx="1720">
                  <c:v>85.999999999997257</c:v>
                </c:pt>
                <c:pt idx="1721">
                  <c:v>86.049999999997254</c:v>
                </c:pt>
                <c:pt idx="1722">
                  <c:v>86.099999999997252</c:v>
                </c:pt>
                <c:pt idx="1723">
                  <c:v>86.149999999997249</c:v>
                </c:pt>
                <c:pt idx="1724">
                  <c:v>86.199999999997246</c:v>
                </c:pt>
                <c:pt idx="1725">
                  <c:v>86.249999999997243</c:v>
                </c:pt>
                <c:pt idx="1726">
                  <c:v>86.29999999999724</c:v>
                </c:pt>
                <c:pt idx="1727">
                  <c:v>86.349999999997237</c:v>
                </c:pt>
                <c:pt idx="1728">
                  <c:v>86.399999999997235</c:v>
                </c:pt>
                <c:pt idx="1729">
                  <c:v>86.449999999997232</c:v>
                </c:pt>
                <c:pt idx="1730">
                  <c:v>86.499999999997229</c:v>
                </c:pt>
                <c:pt idx="1731">
                  <c:v>86.549999999997226</c:v>
                </c:pt>
                <c:pt idx="1732">
                  <c:v>86.599999999997223</c:v>
                </c:pt>
                <c:pt idx="1733">
                  <c:v>86.64999999999722</c:v>
                </c:pt>
                <c:pt idx="1734">
                  <c:v>86.699999999997218</c:v>
                </c:pt>
                <c:pt idx="1735">
                  <c:v>86.749999999997215</c:v>
                </c:pt>
                <c:pt idx="1736">
                  <c:v>86.799999999997212</c:v>
                </c:pt>
                <c:pt idx="1737">
                  <c:v>86.849999999997209</c:v>
                </c:pt>
                <c:pt idx="1738">
                  <c:v>86.899999999997206</c:v>
                </c:pt>
                <c:pt idx="1739">
                  <c:v>86.949999999997203</c:v>
                </c:pt>
                <c:pt idx="1740">
                  <c:v>86.9999999999972</c:v>
                </c:pt>
                <c:pt idx="1741">
                  <c:v>87.049999999997198</c:v>
                </c:pt>
                <c:pt idx="1742">
                  <c:v>87.099999999997195</c:v>
                </c:pt>
                <c:pt idx="1743">
                  <c:v>87.149999999997192</c:v>
                </c:pt>
                <c:pt idx="1744">
                  <c:v>87.199999999997189</c:v>
                </c:pt>
                <c:pt idx="1745">
                  <c:v>87.249999999997186</c:v>
                </c:pt>
                <c:pt idx="1746">
                  <c:v>87.299999999997183</c:v>
                </c:pt>
                <c:pt idx="1747">
                  <c:v>87.349999999997181</c:v>
                </c:pt>
                <c:pt idx="1748">
                  <c:v>87.399999999997178</c:v>
                </c:pt>
                <c:pt idx="1749">
                  <c:v>87.449999999997175</c:v>
                </c:pt>
                <c:pt idx="1750">
                  <c:v>87.499999999997172</c:v>
                </c:pt>
                <c:pt idx="1751">
                  <c:v>87.549999999997169</c:v>
                </c:pt>
                <c:pt idx="1752">
                  <c:v>87.599999999997166</c:v>
                </c:pt>
                <c:pt idx="1753">
                  <c:v>87.649999999997164</c:v>
                </c:pt>
                <c:pt idx="1754">
                  <c:v>87.699999999997161</c:v>
                </c:pt>
                <c:pt idx="1755">
                  <c:v>87.749999999997158</c:v>
                </c:pt>
                <c:pt idx="1756">
                  <c:v>87.799999999997155</c:v>
                </c:pt>
                <c:pt idx="1757">
                  <c:v>87.849999999997152</c:v>
                </c:pt>
                <c:pt idx="1758">
                  <c:v>87.899999999997149</c:v>
                </c:pt>
                <c:pt idx="1759">
                  <c:v>87.949999999997146</c:v>
                </c:pt>
                <c:pt idx="1760">
                  <c:v>87.999999999997144</c:v>
                </c:pt>
                <c:pt idx="1761">
                  <c:v>88.049999999997141</c:v>
                </c:pt>
                <c:pt idx="1762">
                  <c:v>88.099999999997138</c:v>
                </c:pt>
                <c:pt idx="1763">
                  <c:v>88.149999999997135</c:v>
                </c:pt>
                <c:pt idx="1764">
                  <c:v>88.199999999997132</c:v>
                </c:pt>
                <c:pt idx="1765">
                  <c:v>88.249999999997129</c:v>
                </c:pt>
                <c:pt idx="1766">
                  <c:v>88.299999999997127</c:v>
                </c:pt>
                <c:pt idx="1767">
                  <c:v>88.349999999997124</c:v>
                </c:pt>
                <c:pt idx="1768">
                  <c:v>88.399999999997121</c:v>
                </c:pt>
                <c:pt idx="1769">
                  <c:v>88.449999999997118</c:v>
                </c:pt>
                <c:pt idx="1770">
                  <c:v>88.499999999997115</c:v>
                </c:pt>
                <c:pt idx="1771">
                  <c:v>88.549999999997112</c:v>
                </c:pt>
                <c:pt idx="1772">
                  <c:v>88.59999999999711</c:v>
                </c:pt>
                <c:pt idx="1773">
                  <c:v>88.649999999997107</c:v>
                </c:pt>
                <c:pt idx="1774">
                  <c:v>88.699999999997104</c:v>
                </c:pt>
                <c:pt idx="1775">
                  <c:v>88.749999999997101</c:v>
                </c:pt>
                <c:pt idx="1776">
                  <c:v>88.799999999997098</c:v>
                </c:pt>
                <c:pt idx="1777">
                  <c:v>88.849999999997095</c:v>
                </c:pt>
                <c:pt idx="1778">
                  <c:v>88.899999999997092</c:v>
                </c:pt>
                <c:pt idx="1779">
                  <c:v>88.94999999999709</c:v>
                </c:pt>
                <c:pt idx="1780">
                  <c:v>88.999999999997087</c:v>
                </c:pt>
                <c:pt idx="1781">
                  <c:v>89.049999999997084</c:v>
                </c:pt>
                <c:pt idx="1782">
                  <c:v>89.099999999997081</c:v>
                </c:pt>
                <c:pt idx="1783">
                  <c:v>89.149999999997078</c:v>
                </c:pt>
                <c:pt idx="1784">
                  <c:v>89.199999999997075</c:v>
                </c:pt>
                <c:pt idx="1785">
                  <c:v>89.249999999997073</c:v>
                </c:pt>
                <c:pt idx="1786">
                  <c:v>89.29999999999707</c:v>
                </c:pt>
                <c:pt idx="1787">
                  <c:v>89.349999999997067</c:v>
                </c:pt>
                <c:pt idx="1788">
                  <c:v>89.399999999997064</c:v>
                </c:pt>
                <c:pt idx="1789">
                  <c:v>89.449999999997061</c:v>
                </c:pt>
                <c:pt idx="1790">
                  <c:v>89.499999999997058</c:v>
                </c:pt>
                <c:pt idx="1791">
                  <c:v>89.549999999997056</c:v>
                </c:pt>
                <c:pt idx="1792">
                  <c:v>89.599999999997053</c:v>
                </c:pt>
                <c:pt idx="1793">
                  <c:v>89.64999999999705</c:v>
                </c:pt>
                <c:pt idx="1794">
                  <c:v>89.699999999997047</c:v>
                </c:pt>
                <c:pt idx="1795">
                  <c:v>89.749999999997044</c:v>
                </c:pt>
                <c:pt idx="1796">
                  <c:v>89.799999999997041</c:v>
                </c:pt>
                <c:pt idx="1797">
                  <c:v>89.849999999997038</c:v>
                </c:pt>
                <c:pt idx="1798">
                  <c:v>89.899999999997036</c:v>
                </c:pt>
                <c:pt idx="1799">
                  <c:v>89.949999999997033</c:v>
                </c:pt>
                <c:pt idx="1800">
                  <c:v>89.99999999999703</c:v>
                </c:pt>
                <c:pt idx="1801">
                  <c:v>90.049999999997027</c:v>
                </c:pt>
                <c:pt idx="1802">
                  <c:v>90.099999999997024</c:v>
                </c:pt>
                <c:pt idx="1803">
                  <c:v>90.149999999997021</c:v>
                </c:pt>
                <c:pt idx="1804">
                  <c:v>90.199999999997019</c:v>
                </c:pt>
                <c:pt idx="1805">
                  <c:v>90.249999999997016</c:v>
                </c:pt>
                <c:pt idx="1806">
                  <c:v>90.299999999997013</c:v>
                </c:pt>
                <c:pt idx="1807">
                  <c:v>90.34999999999701</c:v>
                </c:pt>
                <c:pt idx="1808">
                  <c:v>90.399999999997007</c:v>
                </c:pt>
                <c:pt idx="1809">
                  <c:v>90.449999999997004</c:v>
                </c:pt>
                <c:pt idx="1810">
                  <c:v>90.499999999997002</c:v>
                </c:pt>
                <c:pt idx="1811">
                  <c:v>90.549999999996999</c:v>
                </c:pt>
                <c:pt idx="1812">
                  <c:v>90.599999999996996</c:v>
                </c:pt>
                <c:pt idx="1813">
                  <c:v>90.649999999996993</c:v>
                </c:pt>
                <c:pt idx="1814">
                  <c:v>90.69999999999699</c:v>
                </c:pt>
                <c:pt idx="1815">
                  <c:v>90.749999999996987</c:v>
                </c:pt>
                <c:pt idx="1816">
                  <c:v>90.799999999996984</c:v>
                </c:pt>
                <c:pt idx="1817">
                  <c:v>90.849999999996982</c:v>
                </c:pt>
                <c:pt idx="1818">
                  <c:v>90.899999999996979</c:v>
                </c:pt>
                <c:pt idx="1819">
                  <c:v>90.949999999996976</c:v>
                </c:pt>
                <c:pt idx="1820">
                  <c:v>90.999999999996973</c:v>
                </c:pt>
                <c:pt idx="1821">
                  <c:v>91.04999999999697</c:v>
                </c:pt>
                <c:pt idx="1822">
                  <c:v>91.099999999996967</c:v>
                </c:pt>
                <c:pt idx="1823">
                  <c:v>91.149999999996965</c:v>
                </c:pt>
                <c:pt idx="1824">
                  <c:v>91.199999999996962</c:v>
                </c:pt>
                <c:pt idx="1825">
                  <c:v>91.249999999996959</c:v>
                </c:pt>
                <c:pt idx="1826">
                  <c:v>91.299999999996956</c:v>
                </c:pt>
                <c:pt idx="1827">
                  <c:v>91.349999999996953</c:v>
                </c:pt>
                <c:pt idx="1828">
                  <c:v>91.39999999999695</c:v>
                </c:pt>
                <c:pt idx="1829">
                  <c:v>91.449999999996948</c:v>
                </c:pt>
                <c:pt idx="1830">
                  <c:v>91.499999999996945</c:v>
                </c:pt>
                <c:pt idx="1831">
                  <c:v>91.549999999996942</c:v>
                </c:pt>
                <c:pt idx="1832">
                  <c:v>91.599999999996939</c:v>
                </c:pt>
                <c:pt idx="1833">
                  <c:v>91.649999999996936</c:v>
                </c:pt>
                <c:pt idx="1834">
                  <c:v>91.699999999996933</c:v>
                </c:pt>
                <c:pt idx="1835">
                  <c:v>91.74999999999693</c:v>
                </c:pt>
                <c:pt idx="1836">
                  <c:v>91.799999999996928</c:v>
                </c:pt>
                <c:pt idx="1837">
                  <c:v>91.849999999996925</c:v>
                </c:pt>
                <c:pt idx="1838">
                  <c:v>91.899999999996922</c:v>
                </c:pt>
                <c:pt idx="1839">
                  <c:v>91.949999999996919</c:v>
                </c:pt>
                <c:pt idx="1840">
                  <c:v>91.999999999996916</c:v>
                </c:pt>
                <c:pt idx="1841">
                  <c:v>92.049999999996913</c:v>
                </c:pt>
                <c:pt idx="1842">
                  <c:v>92.099999999996911</c:v>
                </c:pt>
                <c:pt idx="1843">
                  <c:v>92.149999999996908</c:v>
                </c:pt>
                <c:pt idx="1844">
                  <c:v>92.199999999996905</c:v>
                </c:pt>
                <c:pt idx="1845">
                  <c:v>92.249999999996902</c:v>
                </c:pt>
                <c:pt idx="1846">
                  <c:v>92.299999999996899</c:v>
                </c:pt>
                <c:pt idx="1847">
                  <c:v>92.349999999996896</c:v>
                </c:pt>
                <c:pt idx="1848">
                  <c:v>92.399999999996894</c:v>
                </c:pt>
                <c:pt idx="1849">
                  <c:v>92.449999999996891</c:v>
                </c:pt>
                <c:pt idx="1850">
                  <c:v>92.499999999996888</c:v>
                </c:pt>
                <c:pt idx="1851">
                  <c:v>92.549999999996885</c:v>
                </c:pt>
                <c:pt idx="1852">
                  <c:v>92.599999999996882</c:v>
                </c:pt>
                <c:pt idx="1853">
                  <c:v>92.649999999996879</c:v>
                </c:pt>
                <c:pt idx="1854">
                  <c:v>92.699999999996876</c:v>
                </c:pt>
                <c:pt idx="1855">
                  <c:v>92.749999999996874</c:v>
                </c:pt>
                <c:pt idx="1856">
                  <c:v>92.799999999996871</c:v>
                </c:pt>
                <c:pt idx="1857">
                  <c:v>92.849999999996868</c:v>
                </c:pt>
                <c:pt idx="1858">
                  <c:v>92.899999999996865</c:v>
                </c:pt>
                <c:pt idx="1859">
                  <c:v>92.949999999996862</c:v>
                </c:pt>
                <c:pt idx="1860">
                  <c:v>92.999999999996859</c:v>
                </c:pt>
                <c:pt idx="1861">
                  <c:v>93.049999999996857</c:v>
                </c:pt>
                <c:pt idx="1862">
                  <c:v>93.099999999996854</c:v>
                </c:pt>
                <c:pt idx="1863">
                  <c:v>93.149999999996851</c:v>
                </c:pt>
                <c:pt idx="1864">
                  <c:v>93.199999999996848</c:v>
                </c:pt>
                <c:pt idx="1865">
                  <c:v>93.249999999996845</c:v>
                </c:pt>
                <c:pt idx="1866">
                  <c:v>93.299999999996842</c:v>
                </c:pt>
                <c:pt idx="1867">
                  <c:v>93.34999999999684</c:v>
                </c:pt>
                <c:pt idx="1868">
                  <c:v>93.399999999996837</c:v>
                </c:pt>
                <c:pt idx="1869">
                  <c:v>93.449999999996834</c:v>
                </c:pt>
                <c:pt idx="1870">
                  <c:v>93.499999999996831</c:v>
                </c:pt>
                <c:pt idx="1871">
                  <c:v>93.549999999996828</c:v>
                </c:pt>
                <c:pt idx="1872">
                  <c:v>93.599999999996825</c:v>
                </c:pt>
                <c:pt idx="1873">
                  <c:v>93.649999999996822</c:v>
                </c:pt>
                <c:pt idx="1874">
                  <c:v>93.69999999999682</c:v>
                </c:pt>
                <c:pt idx="1875">
                  <c:v>93.749999999996817</c:v>
                </c:pt>
                <c:pt idx="1876">
                  <c:v>93.799999999996814</c:v>
                </c:pt>
                <c:pt idx="1877">
                  <c:v>93.849999999996811</c:v>
                </c:pt>
                <c:pt idx="1878">
                  <c:v>93.899999999996808</c:v>
                </c:pt>
                <c:pt idx="1879">
                  <c:v>93.949999999996805</c:v>
                </c:pt>
                <c:pt idx="1880">
                  <c:v>93.999999999996803</c:v>
                </c:pt>
                <c:pt idx="1881">
                  <c:v>94.0499999999968</c:v>
                </c:pt>
                <c:pt idx="1882">
                  <c:v>94.099999999996797</c:v>
                </c:pt>
                <c:pt idx="1883">
                  <c:v>94.149999999996794</c:v>
                </c:pt>
                <c:pt idx="1884">
                  <c:v>94.199999999996791</c:v>
                </c:pt>
                <c:pt idx="1885">
                  <c:v>94.249999999996788</c:v>
                </c:pt>
                <c:pt idx="1886">
                  <c:v>94.299999999996786</c:v>
                </c:pt>
                <c:pt idx="1887">
                  <c:v>94.349999999996783</c:v>
                </c:pt>
                <c:pt idx="1888">
                  <c:v>94.39999999999678</c:v>
                </c:pt>
                <c:pt idx="1889">
                  <c:v>94.449999999996777</c:v>
                </c:pt>
                <c:pt idx="1890">
                  <c:v>94.499999999996774</c:v>
                </c:pt>
                <c:pt idx="1891">
                  <c:v>94.549999999996771</c:v>
                </c:pt>
                <c:pt idx="1892">
                  <c:v>94.599999999996768</c:v>
                </c:pt>
                <c:pt idx="1893">
                  <c:v>94.649999999996766</c:v>
                </c:pt>
                <c:pt idx="1894">
                  <c:v>94.699999999996763</c:v>
                </c:pt>
                <c:pt idx="1895">
                  <c:v>94.74999999999676</c:v>
                </c:pt>
                <c:pt idx="1896">
                  <c:v>94.799999999996757</c:v>
                </c:pt>
                <c:pt idx="1897">
                  <c:v>94.849999999996754</c:v>
                </c:pt>
                <c:pt idx="1898">
                  <c:v>94.899999999996751</c:v>
                </c:pt>
                <c:pt idx="1899">
                  <c:v>94.949999999996749</c:v>
                </c:pt>
                <c:pt idx="1900">
                  <c:v>94.999999999996746</c:v>
                </c:pt>
                <c:pt idx="1901">
                  <c:v>95.049999999996743</c:v>
                </c:pt>
                <c:pt idx="1902">
                  <c:v>95.09999999999674</c:v>
                </c:pt>
                <c:pt idx="1903">
                  <c:v>95.149999999996737</c:v>
                </c:pt>
                <c:pt idx="1904">
                  <c:v>95.199999999996734</c:v>
                </c:pt>
                <c:pt idx="1905">
                  <c:v>95.249999999996732</c:v>
                </c:pt>
                <c:pt idx="1906">
                  <c:v>95.299999999996729</c:v>
                </c:pt>
                <c:pt idx="1907">
                  <c:v>95.349999999996726</c:v>
                </c:pt>
                <c:pt idx="1908">
                  <c:v>95.399999999996723</c:v>
                </c:pt>
                <c:pt idx="1909">
                  <c:v>95.44999999999672</c:v>
                </c:pt>
                <c:pt idx="1910">
                  <c:v>95.499999999996717</c:v>
                </c:pt>
                <c:pt idx="1911">
                  <c:v>95.549999999996714</c:v>
                </c:pt>
                <c:pt idx="1912">
                  <c:v>95.599999999996712</c:v>
                </c:pt>
                <c:pt idx="1913">
                  <c:v>95.649999999996709</c:v>
                </c:pt>
                <c:pt idx="1914">
                  <c:v>95.699999999996706</c:v>
                </c:pt>
                <c:pt idx="1915">
                  <c:v>95.749999999996703</c:v>
                </c:pt>
                <c:pt idx="1916">
                  <c:v>95.7999999999967</c:v>
                </c:pt>
                <c:pt idx="1917">
                  <c:v>95.849999999996697</c:v>
                </c:pt>
                <c:pt idx="1918">
                  <c:v>95.899999999996695</c:v>
                </c:pt>
                <c:pt idx="1919">
                  <c:v>95.949999999996692</c:v>
                </c:pt>
                <c:pt idx="1920">
                  <c:v>95.999999999996689</c:v>
                </c:pt>
                <c:pt idx="1921">
                  <c:v>96.049999999996686</c:v>
                </c:pt>
                <c:pt idx="1922">
                  <c:v>96.099999999996683</c:v>
                </c:pt>
                <c:pt idx="1923">
                  <c:v>96.14999999999668</c:v>
                </c:pt>
                <c:pt idx="1924">
                  <c:v>96.199999999996678</c:v>
                </c:pt>
                <c:pt idx="1925">
                  <c:v>96.249999999996675</c:v>
                </c:pt>
                <c:pt idx="1926">
                  <c:v>96.299999999996672</c:v>
                </c:pt>
                <c:pt idx="1927">
                  <c:v>96.349999999996669</c:v>
                </c:pt>
                <c:pt idx="1928">
                  <c:v>96.399999999996666</c:v>
                </c:pt>
                <c:pt idx="1929">
                  <c:v>96.449999999996663</c:v>
                </c:pt>
                <c:pt idx="1930">
                  <c:v>96.49999999999666</c:v>
                </c:pt>
                <c:pt idx="1931">
                  <c:v>96.549999999996658</c:v>
                </c:pt>
                <c:pt idx="1932">
                  <c:v>96.599999999996655</c:v>
                </c:pt>
                <c:pt idx="1933">
                  <c:v>96.649999999996652</c:v>
                </c:pt>
                <c:pt idx="1934">
                  <c:v>96.699999999996649</c:v>
                </c:pt>
                <c:pt idx="1935">
                  <c:v>96.749999999996646</c:v>
                </c:pt>
                <c:pt idx="1936">
                  <c:v>96.799999999996643</c:v>
                </c:pt>
                <c:pt idx="1937">
                  <c:v>96.849999999996641</c:v>
                </c:pt>
                <c:pt idx="1938">
                  <c:v>96.899999999996638</c:v>
                </c:pt>
                <c:pt idx="1939">
                  <c:v>96.949999999996635</c:v>
                </c:pt>
                <c:pt idx="1940">
                  <c:v>96.999999999996632</c:v>
                </c:pt>
                <c:pt idx="1941">
                  <c:v>97.049999999996629</c:v>
                </c:pt>
                <c:pt idx="1942">
                  <c:v>97.099999999996626</c:v>
                </c:pt>
                <c:pt idx="1943">
                  <c:v>97.149999999996624</c:v>
                </c:pt>
                <c:pt idx="1944">
                  <c:v>97.199999999996621</c:v>
                </c:pt>
                <c:pt idx="1945">
                  <c:v>97.249999999996618</c:v>
                </c:pt>
                <c:pt idx="1946">
                  <c:v>97.299999999996615</c:v>
                </c:pt>
                <c:pt idx="1947">
                  <c:v>97.349999999996612</c:v>
                </c:pt>
                <c:pt idx="1948">
                  <c:v>97.399999999996609</c:v>
                </c:pt>
                <c:pt idx="1949">
                  <c:v>97.449999999996606</c:v>
                </c:pt>
                <c:pt idx="1950">
                  <c:v>97.499999999996604</c:v>
                </c:pt>
                <c:pt idx="1951">
                  <c:v>97.549999999996601</c:v>
                </c:pt>
                <c:pt idx="1952">
                  <c:v>97.599999999996598</c:v>
                </c:pt>
                <c:pt idx="1953">
                  <c:v>97.649999999996595</c:v>
                </c:pt>
                <c:pt idx="1954">
                  <c:v>97.699999999996592</c:v>
                </c:pt>
                <c:pt idx="1955">
                  <c:v>97.749999999996589</c:v>
                </c:pt>
                <c:pt idx="1956">
                  <c:v>97.799999999996587</c:v>
                </c:pt>
                <c:pt idx="1957">
                  <c:v>97.849999999996584</c:v>
                </c:pt>
                <c:pt idx="1958">
                  <c:v>97.899999999996581</c:v>
                </c:pt>
                <c:pt idx="1959">
                  <c:v>97.949999999996578</c:v>
                </c:pt>
                <c:pt idx="1960">
                  <c:v>97.999999999996575</c:v>
                </c:pt>
                <c:pt idx="1961">
                  <c:v>98.049999999996572</c:v>
                </c:pt>
                <c:pt idx="1962">
                  <c:v>98.099999999996569</c:v>
                </c:pt>
                <c:pt idx="1963">
                  <c:v>98.149999999996567</c:v>
                </c:pt>
                <c:pt idx="1964">
                  <c:v>98.199999999996564</c:v>
                </c:pt>
                <c:pt idx="1965">
                  <c:v>98.249999999996561</c:v>
                </c:pt>
                <c:pt idx="1966">
                  <c:v>98.299999999996558</c:v>
                </c:pt>
                <c:pt idx="1967">
                  <c:v>98.349999999996555</c:v>
                </c:pt>
                <c:pt idx="1968">
                  <c:v>98.399999999996552</c:v>
                </c:pt>
                <c:pt idx="1969">
                  <c:v>98.44999999999655</c:v>
                </c:pt>
                <c:pt idx="1970">
                  <c:v>98.499999999996547</c:v>
                </c:pt>
                <c:pt idx="1971">
                  <c:v>98.549999999996544</c:v>
                </c:pt>
                <c:pt idx="1972">
                  <c:v>98.599999999996541</c:v>
                </c:pt>
                <c:pt idx="1973">
                  <c:v>98.649999999996538</c:v>
                </c:pt>
                <c:pt idx="1974">
                  <c:v>98.699999999996535</c:v>
                </c:pt>
                <c:pt idx="1975">
                  <c:v>98.749999999996533</c:v>
                </c:pt>
                <c:pt idx="1976">
                  <c:v>98.79999999999653</c:v>
                </c:pt>
                <c:pt idx="1977">
                  <c:v>98.849999999996527</c:v>
                </c:pt>
                <c:pt idx="1978">
                  <c:v>98.899999999996524</c:v>
                </c:pt>
                <c:pt idx="1979">
                  <c:v>98.949999999996521</c:v>
                </c:pt>
                <c:pt idx="1980">
                  <c:v>98.999999999996518</c:v>
                </c:pt>
                <c:pt idx="1981">
                  <c:v>99.049999999996515</c:v>
                </c:pt>
                <c:pt idx="1982">
                  <c:v>99.099999999996513</c:v>
                </c:pt>
                <c:pt idx="1983">
                  <c:v>99.14999999999651</c:v>
                </c:pt>
                <c:pt idx="1984">
                  <c:v>99.199999999996507</c:v>
                </c:pt>
                <c:pt idx="1985">
                  <c:v>99.249999999996504</c:v>
                </c:pt>
                <c:pt idx="1986">
                  <c:v>99.299999999996501</c:v>
                </c:pt>
                <c:pt idx="1987">
                  <c:v>99.349999999996498</c:v>
                </c:pt>
                <c:pt idx="1988">
                  <c:v>99.399999999996496</c:v>
                </c:pt>
                <c:pt idx="1989">
                  <c:v>99.449999999996493</c:v>
                </c:pt>
                <c:pt idx="1990">
                  <c:v>99.49999999999649</c:v>
                </c:pt>
                <c:pt idx="1991">
                  <c:v>99.549999999996487</c:v>
                </c:pt>
                <c:pt idx="1992">
                  <c:v>99.599999999996484</c:v>
                </c:pt>
                <c:pt idx="1993">
                  <c:v>99.649999999996481</c:v>
                </c:pt>
                <c:pt idx="1994">
                  <c:v>99.699999999996479</c:v>
                </c:pt>
                <c:pt idx="1995">
                  <c:v>99.749999999996476</c:v>
                </c:pt>
                <c:pt idx="1996">
                  <c:v>99.799999999996473</c:v>
                </c:pt>
                <c:pt idx="1997">
                  <c:v>99.84999999999647</c:v>
                </c:pt>
                <c:pt idx="1998">
                  <c:v>99.899999999996467</c:v>
                </c:pt>
                <c:pt idx="1999">
                  <c:v>99.949999999996464</c:v>
                </c:pt>
                <c:pt idx="2000">
                  <c:v>99.999999999996461</c:v>
                </c:pt>
              </c:numCache>
            </c:numRef>
          </c:xVal>
          <c:yVal>
            <c:numRef>
              <c:f>'Solução Exata'!$B$8:$B$2008</c:f>
              <c:numCache>
                <c:formatCode>0.00</c:formatCode>
                <c:ptCount val="2001"/>
                <c:pt idx="0">
                  <c:v>0</c:v>
                </c:pt>
                <c:pt idx="1">
                  <c:v>3.8939070406224241E-5</c:v>
                </c:pt>
                <c:pt idx="2">
                  <c:v>3.106370815098014E-4</c:v>
                </c:pt>
                <c:pt idx="3">
                  <c:v>1.0434887656500802E-3</c:v>
                </c:pt>
                <c:pt idx="4">
                  <c:v>2.4572218685574576E-3</c:v>
                </c:pt>
                <c:pt idx="5">
                  <c:v>4.7587164616770261E-3</c:v>
                </c:pt>
                <c:pt idx="6">
                  <c:v>8.1380054753097397E-3</c:v>
                </c:pt>
                <c:pt idx="7">
                  <c:v>1.2764513310004277E-2</c:v>
                </c:pt>
                <c:pt idx="8">
                  <c:v>1.8783586394993446E-2</c:v>
                </c:pt>
                <c:pt idx="9">
                  <c:v>2.6313365893183116E-2</c:v>
                </c:pt>
                <c:pt idx="10">
                  <c:v>3.5442048445522012E-2</c:v>
                </c:pt>
                <c:pt idx="11">
                  <c:v>4.6225575954291998E-2</c:v>
                </c:pt>
                <c:pt idx="12">
                  <c:v>5.8685789982747094E-2</c:v>
                </c:pt>
                <c:pt idx="13">
                  <c:v>7.280908046168455E-2</c:v>
                </c:pt>
                <c:pt idx="14">
                  <c:v>8.8545552111675141E-2</c:v>
                </c:pt>
                <c:pt idx="15">
                  <c:v>0.10580872538729302</c:v>
                </c:pt>
                <c:pt idx="16">
                  <c:v>0.1244757819052611</c:v>
                </c:pt>
                <c:pt idx="17">
                  <c:v>0.1443883573134952</c:v>
                </c:pt>
                <c:pt idx="18">
                  <c:v>0.16535387747623909</c:v>
                </c:pt>
                <c:pt idx="19">
                  <c:v>0.18714742677671437</c:v>
                </c:pt>
                <c:pt idx="20">
                  <c:v>0.20951413035802657</c:v>
                </c:pt>
                <c:pt idx="21">
                  <c:v>0.23217202531973324</c:v>
                </c:pt>
                <c:pt idx="22">
                  <c:v>0.25481538934409542</c:v>
                </c:pt>
                <c:pt idx="23">
                  <c:v>0.27711848902247183</c:v>
                </c:pt>
                <c:pt idx="24">
                  <c:v>0.29873970436479169</c:v>
                </c:pt>
                <c:pt idx="25">
                  <c:v>0.31932598067540519</c:v>
                </c:pt>
                <c:pt idx="26">
                  <c:v>0.33851755423318197</c:v>
                </c:pt>
                <c:pt idx="27">
                  <c:v>0.35595289408293174</c:v>
                </c:pt>
                <c:pt idx="28">
                  <c:v>0.37127379878240463</c:v>
                </c:pt>
                <c:pt idx="29">
                  <c:v>0.38413058420041202</c:v>
                </c:pt>
                <c:pt idx="30">
                  <c:v>0.39418729646483747</c:v>
                </c:pt>
                <c:pt idx="31">
                  <c:v>0.40112688294403037</c:v>
                </c:pt>
                <c:pt idx="32">
                  <c:v>0.40465625373180508</c:v>
                </c:pt>
                <c:pt idx="33">
                  <c:v>0.40451116650643892</c:v>
                </c:pt>
                <c:pt idx="34">
                  <c:v>0.40046086884973764</c:v>
                </c:pt>
                <c:pt idx="35">
                  <c:v>0.39231243413607159</c:v>
                </c:pt>
                <c:pt idx="36">
                  <c:v>0.37991472991654923</c:v>
                </c:pt>
                <c:pt idx="37">
                  <c:v>0.36316196130421774</c:v>
                </c:pt>
                <c:pt idx="38">
                  <c:v>0.34199673617737747</c:v>
                </c:pt>
                <c:pt idx="39">
                  <c:v>0.31641260401613436</c:v>
                </c:pt>
                <c:pt idx="40">
                  <c:v>0.28645602582031526</c:v>
                </c:pt>
                <c:pt idx="41">
                  <c:v>0.25222773876530225</c:v>
                </c:pt>
                <c:pt idx="42">
                  <c:v>0.2138834859695713</c:v>
                </c:pt>
                <c:pt idx="43">
                  <c:v>0.17163408890078791</c:v>
                </c:pt>
                <c:pt idx="44">
                  <c:v>0.12574484745766412</c:v>
                </c:pt>
                <c:pt idx="45">
                  <c:v>7.6534260549146582E-2</c:v>
                </c:pt>
                <c:pt idx="46">
                  <c:v>2.4372067963753352E-2</c:v>
                </c:pt>
                <c:pt idx="47">
                  <c:v>-3.032337760991699E-2</c:v>
                </c:pt>
                <c:pt idx="48">
                  <c:v>-8.7088391477281535E-2</c:v>
                </c:pt>
                <c:pt idx="49">
                  <c:v>-0.14541786582665073</c:v>
                </c:pt>
                <c:pt idx="50">
                  <c:v>-0.20476977388779516</c:v>
                </c:pt>
                <c:pt idx="51">
                  <c:v>-0.26457022910139028</c:v>
                </c:pt>
                <c:pt idx="52">
                  <c:v>-0.32421905186762645</c:v>
                </c:pt>
                <c:pt idx="53">
                  <c:v>-0.3830957897159899</c:v>
                </c:pt>
                <c:pt idx="54">
                  <c:v>-0.44056613054029903</c:v>
                </c:pt>
                <c:pt idx="55">
                  <c:v>-0.49598864295000067</c:v>
                </c:pt>
                <c:pt idx="56">
                  <c:v>-0.54872177287091772</c:v>
                </c:pt>
                <c:pt idx="57">
                  <c:v>-0.59813102134972396</c:v>
                </c:pt>
                <c:pt idx="58">
                  <c:v>-0.64359622513220993</c:v>
                </c:pt>
                <c:pt idx="59">
                  <c:v>-0.68451885904355547</c:v>
                </c:pt>
                <c:pt idx="60">
                  <c:v>-0.72032927753796661</c:v>
                </c:pt>
                <c:pt idx="61">
                  <c:v>-0.75049381203427978</c:v>
                </c:pt>
                <c:pt idx="62">
                  <c:v>-0.77452164083308883</c:v>
                </c:pt>
                <c:pt idx="63">
                  <c:v>-0.7919713495285402</c:v>
                </c:pt>
                <c:pt idx="64">
                  <c:v>-0.80245710188345876</c:v>
                </c:pt>
                <c:pt idx="65">
                  <c:v>-0.80565434411807146</c:v>
                </c:pt>
                <c:pt idx="66">
                  <c:v>-0.80130496944882001</c:v>
                </c:pt>
                <c:pt idx="67">
                  <c:v>-0.78922187447219283</c:v>
                </c:pt>
                <c:pt idx="68">
                  <c:v>-0.769292844577528</c:v>
                </c:pt>
                <c:pt idx="69">
                  <c:v>-0.74148371194038143</c:v>
                </c:pt>
                <c:pt idx="70">
                  <c:v>-0.70584073673403369</c:v>
                </c:pt>
                <c:pt idx="71">
                  <c:v>-0.66249216993141813</c:v>
                </c:pt>
                <c:pt idx="72">
                  <c:v>-0.61164896437649685</c:v>
                </c:pt>
                <c:pt idx="73">
                  <c:v>-0.55360460959852853</c:v>
                </c:pt>
                <c:pt idx="74">
                  <c:v>-0.48873407503444133</c:v>
                </c:pt>
                <c:pt idx="75">
                  <c:v>-0.41749185581815818</c:v>
                </c:pt>
                <c:pt idx="76">
                  <c:v>-0.34040912499093579</c:v>
                </c:pt>
                <c:pt idx="77">
                  <c:v>-0.25809000578070185</c:v>
                </c:pt>
                <c:pt idx="78">
                  <c:v>-0.1712069873852069</c:v>
                </c:pt>
                <c:pt idx="79">
                  <c:v>-8.0495517367425773E-2</c:v>
                </c:pt>
                <c:pt idx="80">
                  <c:v>1.3252186774714625E-2</c:v>
                </c:pt>
                <c:pt idx="81">
                  <c:v>0.1091940551733801</c:v>
                </c:pt>
                <c:pt idx="82">
                  <c:v>0.20644575189888914</c:v>
                </c:pt>
                <c:pt idx="83">
                  <c:v>0.30408886144512692</c:v>
                </c:pt>
                <c:pt idx="84">
                  <c:v>0.40117959927473201</c:v>
                </c:pt>
                <c:pt idx="85">
                  <c:v>0.49675796346531342</c:v>
                </c:pt>
                <c:pt idx="86">
                  <c:v>0.58985723845016103</c:v>
                </c:pt>
                <c:pt idx="87">
                  <c:v>0.67951375666710168</c:v>
                </c:pt>
                <c:pt idx="88">
                  <c:v>0.76477681968371125</c:v>
                </c:pt>
                <c:pt idx="89">
                  <c:v>0.84471867711296345</c:v>
                </c:pt>
                <c:pt idx="90">
                  <c:v>0.91844445941764841</c:v>
                </c:pt>
                <c:pt idx="91">
                  <c:v>0.98510195956100244</c:v>
                </c:pt>
                <c:pt idx="92">
                  <c:v>1.0438911584202697</c:v>
                </c:pt>
                <c:pt idx="93">
                  <c:v>1.09407338995352</c:v>
                </c:pt>
                <c:pt idx="94">
                  <c:v>1.1349800443000049</c:v>
                </c:pt>
                <c:pt idx="95">
                  <c:v>1.1660207102913116</c:v>
                </c:pt>
                <c:pt idx="96">
                  <c:v>1.1866906632329746</c:v>
                </c:pt>
                <c:pt idx="97">
                  <c:v>1.1965776092511455</c:v>
                </c:pt>
                <c:pt idx="98">
                  <c:v>1.195367603941448</c:v>
                </c:pt>
                <c:pt idx="99">
                  <c:v>1.182850070451767</c:v>
                </c:pt>
                <c:pt idx="100">
                  <c:v>1.1589218504110361</c:v>
                </c:pt>
                <c:pt idx="101">
                  <c:v>1.1235902302053409</c:v>
                </c:pt>
                <c:pt idx="102">
                  <c:v>1.0769748949154854</c:v>
                </c:pt>
                <c:pt idx="103">
                  <c:v>1.0193087726718075</c:v>
                </c:pt>
                <c:pt idx="104">
                  <c:v>0.95093774315099211</c:v>
                </c:pt>
                <c:pt idx="105">
                  <c:v>0.87231919532683211</c:v>
                </c:pt>
                <c:pt idx="106">
                  <c:v>0.78401943127872031</c:v>
                </c:pt>
                <c:pt idx="107">
                  <c:v>0.68670992473917924</c:v>
                </c:pt>
                <c:pt idx="108">
                  <c:v>0.58116245500363606</c:v>
                </c:pt>
                <c:pt idx="109">
                  <c:v>0.46824314870778516</c:v>
                </c:pt>
                <c:pt idx="110">
                  <c:v>0.34890547367637637</c:v>
                </c:pt>
                <c:pt idx="111">
                  <c:v>0.22418224043790902</c:v>
                </c:pt>
                <c:pt idx="112">
                  <c:v>9.5176677961072764E-2</c:v>
                </c:pt>
                <c:pt idx="113">
                  <c:v>-3.6947339418240244E-2</c:v>
                </c:pt>
                <c:pt idx="114">
                  <c:v>-0.17097582715980142</c:v>
                </c:pt>
                <c:pt idx="115">
                  <c:v>-0.30565589207240662</c:v>
                </c:pt>
                <c:pt idx="116">
                  <c:v>-0.43970749645118401</c:v>
                </c:pt>
                <c:pt idx="117">
                  <c:v>-0.57183567385128264</c:v>
                </c:pt>
                <c:pt idx="118">
                  <c:v>-0.70074307946029224</c:v>
                </c:pt>
                <c:pt idx="119">
                  <c:v>-0.82514275306713691</c:v>
                </c:pt>
                <c:pt idx="120">
                  <c:v>-0.94377096884994893</c:v>
                </c:pt>
                <c:pt idx="121">
                  <c:v>-1.0554000436715891</c:v>
                </c:pt>
                <c:pt idx="122">
                  <c:v>-1.1588509743190185</c:v>
                </c:pt>
                <c:pt idx="123">
                  <c:v>-1.2530057741787168</c:v>
                </c:pt>
                <c:pt idx="124">
                  <c:v>-1.3368193812186513</c:v>
                </c:pt>
                <c:pt idx="125">
                  <c:v>-1.4093310118483453</c:v>
                </c:pt>
                <c:pt idx="126">
                  <c:v>-1.4696748392393588</c:v>
                </c:pt>
                <c:pt idx="127">
                  <c:v>-1.5170898799820096</c:v>
                </c:pt>
                <c:pt idx="128">
                  <c:v>-1.5509289794905237</c:v>
                </c:pt>
                <c:pt idx="129">
                  <c:v>-1.5706667942944739</c:v>
                </c:pt>
                <c:pt idx="130">
                  <c:v>-1.575906678203618</c:v>
                </c:pt>
                <c:pt idx="131">
                  <c:v>-1.5663863892275669</c:v>
                </c:pt>
                <c:pt idx="132">
                  <c:v>-1.5419825449818698</c:v>
                </c:pt>
                <c:pt idx="133">
                  <c:v>-1.5027137660174821</c:v>
                </c:pt>
                <c:pt idx="134">
                  <c:v>-1.448742458961588</c:v>
                </c:pt>
                <c:pt idx="135">
                  <c:v>-1.3803752044353097</c:v>
                </c:pt>
                <c:pt idx="136">
                  <c:v>-1.2980617282922016</c:v>
                </c:pt>
                <c:pt idx="137">
                  <c:v>-1.2023924486677007</c:v>
                </c:pt>
                <c:pt idx="138">
                  <c:v>-1.0940946055067746</c:v>
                </c:pt>
                <c:pt idx="139">
                  <c:v>-0.97402699350323663</c:v>
                </c:pt>
                <c:pt idx="140">
                  <c:v>-0.84317333359647662</c:v>
                </c:pt>
                <c:pt idx="141">
                  <c:v>-0.7026343321854065</c:v>
                </c:pt>
                <c:pt idx="142">
                  <c:v>-0.5536184908913182</c:v>
                </c:pt>
                <c:pt idx="143">
                  <c:v>-0.39743174289003647</c:v>
                </c:pt>
                <c:pt idx="144">
                  <c:v>-0.23546600440086318</c:v>
                </c:pt>
                <c:pt idx="145">
                  <c:v>-6.9186741732835344E-2</c:v>
                </c:pt>
                <c:pt idx="146">
                  <c:v>9.9880334779253177E-2</c:v>
                </c:pt>
                <c:pt idx="147">
                  <c:v>0.27016332868413384</c:v>
                </c:pt>
                <c:pt idx="148">
                  <c:v>0.44005883708086979</c:v>
                </c:pt>
                <c:pt idx="149">
                  <c:v>0.60794711434149873</c:v>
                </c:pt>
                <c:pt idx="150">
                  <c:v>0.77220757587147371</c:v>
                </c:pt>
                <c:pt idx="151">
                  <c:v>0.93123449294688365</c:v>
                </c:pt>
                <c:pt idx="152">
                  <c:v>1.0834527261608389</c:v>
                </c:pt>
                <c:pt idx="153">
                  <c:v>1.2273333429902209</c:v>
                </c:pt>
                <c:pt idx="154">
                  <c:v>1.3614089644926313</c:v>
                </c:pt>
                <c:pt idx="155">
                  <c:v>1.4842886871814118</c:v>
                </c:pt>
                <c:pt idx="156">
                  <c:v>1.594672428708247</c:v>
                </c:pt>
                <c:pt idx="157">
                  <c:v>1.6913645500968328</c:v>
                </c:pt>
                <c:pt idx="158">
                  <c:v>1.7732866128906919</c:v>
                </c:pt>
                <c:pt idx="159">
                  <c:v>1.8394891366612931</c:v>
                </c:pt>
                <c:pt idx="160">
                  <c:v>1.8891622308121969</c:v>
                </c:pt>
                <c:pt idx="161">
                  <c:v>1.9216449844390686</c:v>
                </c:pt>
                <c:pt idx="162">
                  <c:v>1.9364335090786056</c:v>
                </c:pt>
                <c:pt idx="163">
                  <c:v>1.9331875414024995</c:v>
                </c:pt>
                <c:pt idx="164">
                  <c:v>1.9117355261744964</c:v>
                </c:pt>
                <c:pt idx="165">
                  <c:v>1.8720781139663787</c:v>
                </c:pt>
                <c:pt idx="166">
                  <c:v>1.8143900230898271</c:v>
                </c:pt>
                <c:pt idx="167">
                  <c:v>1.7390202308034357</c:v>
                </c:pt>
                <c:pt idx="168">
                  <c:v>1.64649047494865</c:v>
                </c:pt>
                <c:pt idx="169">
                  <c:v>1.5374920635990259</c:v>
                </c:pt>
                <c:pt idx="170">
                  <c:v>1.4128810069142048</c:v>
                </c:pt>
                <c:pt idx="171">
                  <c:v>1.2736715020097382</c:v>
                </c:pt>
                <c:pt idx="172">
                  <c:v>1.1210278181216355</c:v>
                </c:pt>
                <c:pt idx="173">
                  <c:v>0.95625464549584471</c:v>
                </c:pt>
                <c:pt idx="174">
                  <c:v>0.78078598710440805</c:v>
                </c:pt>
                <c:pt idx="175">
                  <c:v>0.59617268732324691</c:v>
                </c:pt>
                <c:pt idx="176">
                  <c:v>0.40406870594588962</c:v>
                </c:pt>
                <c:pt idx="177">
                  <c:v>0.20621625920668163</c:v>
                </c:pt>
                <c:pt idx="178">
                  <c:v>4.4299617050678197E-3</c:v>
                </c:pt>
                <c:pt idx="179">
                  <c:v>-0.19941988586921378</c:v>
                </c:pt>
                <c:pt idx="180">
                  <c:v>-0.40342470863152169</c:v>
                </c:pt>
                <c:pt idx="181">
                  <c:v>-0.60565560619723979</c:v>
                </c:pt>
                <c:pt idx="182">
                  <c:v>-0.80418166864165275</c:v>
                </c:pt>
                <c:pt idx="183">
                  <c:v>-0.99708848508527637</c:v>
                </c:pt>
                <c:pt idx="184">
                  <c:v>-1.1824966668316668</c:v>
                </c:pt>
                <c:pt idx="185">
                  <c:v>-1.3585802052707354</c:v>
                </c:pt>
                <c:pt idx="186">
                  <c:v>-1.5235844847966771</c:v>
                </c:pt>
                <c:pt idx="187">
                  <c:v>-1.6758437727894961</c:v>
                </c:pt>
                <c:pt idx="188">
                  <c:v>-1.8137980122694111</c:v>
                </c:pt>
                <c:pt idx="189">
                  <c:v>-1.9360087481328632</c:v>
                </c:pt>
                <c:pt idx="190">
                  <c:v>-2.0411740248793535</c:v>
                </c:pt>
                <c:pt idx="191">
                  <c:v>-2.1281421023840918</c:v>
                </c:pt>
                <c:pt idx="192">
                  <c:v>-2.1959238464907718</c:v>
                </c:pt>
                <c:pt idx="193">
                  <c:v>-2.2437036629029499</c:v>
                </c:pt>
                <c:pt idx="194">
                  <c:v>-2.2708488559385018</c:v>
                </c:pt>
                <c:pt idx="195">
                  <c:v>-2.2769173080613117</c:v>
                </c:pt>
                <c:pt idx="196">
                  <c:v>-2.2616633915862252</c:v>
                </c:pt>
                <c:pt idx="197">
                  <c:v>-2.2250420404248015</c:v>
                </c:pt>
                <c:pt idx="198">
                  <c:v>-2.1672109270452395</c:v>
                </c:pt>
                <c:pt idx="199">
                  <c:v>-2.0885307077976876</c:v>
                </c:pt>
                <c:pt idx="200">
                  <c:v>-1.9895633182339627</c:v>
                </c:pt>
                <c:pt idx="201">
                  <c:v>-1.8710683188510333</c:v>
                </c:pt>
                <c:pt idx="202">
                  <c:v>-1.7339973106294475</c:v>
                </c:pt>
                <c:pt idx="203">
                  <c:v>-1.5794864586352715</c:v>
                </c:pt>
                <c:pt idx="204">
                  <c:v>-1.4088471806230303</c:v>
                </c:pt>
                <c:pt idx="205">
                  <c:v>-1.2235550758322344</c:v>
                </c:pt>
                <c:pt idx="206">
                  <c:v>-1.0252371868296581</c:v>
                </c:pt>
                <c:pt idx="207">
                  <c:v>-0.81565770413733218</c:v>
                </c:pt>
                <c:pt idx="208">
                  <c:v>-0.59670223933010358</c:v>
                </c:pt>
                <c:pt idx="209">
                  <c:v>-0.37036080712528974</c:v>
                </c:pt>
                <c:pt idx="210">
                  <c:v>-0.13870967056658534</c:v>
                </c:pt>
                <c:pt idx="211">
                  <c:v>9.6107784416557429E-2</c:v>
                </c:pt>
                <c:pt idx="212">
                  <c:v>0.33190096814257042</c:v>
                </c:pt>
                <c:pt idx="213">
                  <c:v>0.56645261406722747</c:v>
                </c:pt>
                <c:pt idx="214">
                  <c:v>0.79753972022892516</c:v>
                </c:pt>
                <c:pt idx="215">
                  <c:v>1.0229547066135787</c:v>
                </c:pt>
                <c:pt idx="216">
                  <c:v>1.2405265862587866</c:v>
                </c:pt>
                <c:pt idx="217">
                  <c:v>1.4481419463120142</c:v>
                </c:pt>
                <c:pt idx="218">
                  <c:v>1.6437655356213943</c:v>
                </c:pt>
                <c:pt idx="219">
                  <c:v>1.8254602577794767</c:v>
                </c:pt>
                <c:pt idx="220">
                  <c:v>1.9914063728508626</c:v>
                </c:pt>
                <c:pt idx="221">
                  <c:v>2.1399197172650473</c:v>
                </c:pt>
                <c:pt idx="222">
                  <c:v>2.2694687594981104</c:v>
                </c:pt>
                <c:pt idx="223">
                  <c:v>2.3786903191342996</c:v>
                </c:pt>
                <c:pt idx="224">
                  <c:v>2.4664037886060703</c:v>
                </c:pt>
                <c:pt idx="225">
                  <c:v>2.5316237102562313</c:v>
                </c:pt>
                <c:pt idx="226">
                  <c:v>2.5735705762290628</c:v>
                </c:pt>
                <c:pt idx="227">
                  <c:v>2.5916797349443064</c:v>
                </c:pt>
                <c:pt idx="228">
                  <c:v>2.5856083053890062</c:v>
                </c:pt>
                <c:pt idx="229">
                  <c:v>2.5552400190158084</c:v>
                </c:pt>
                <c:pt idx="230">
                  <c:v>2.5006879284886754</c:v>
                </c:pt>
                <c:pt idx="231">
                  <c:v>2.4222949426843288</c:v>
                </c:pt>
                <c:pt idx="232">
                  <c:v>2.320632168049535</c:v>
                </c:pt>
                <c:pt idx="233">
                  <c:v>2.1964950574315565</c:v>
                </c:pt>
                <c:pt idx="234">
                  <c:v>2.0508973886408186</c:v>
                </c:pt>
                <c:pt idx="235">
                  <c:v>1.8850631160658062</c:v>
                </c:pt>
                <c:pt idx="236">
                  <c:v>1.7004161594353202</c:v>
                </c:pt>
                <c:pt idx="237">
                  <c:v>1.4985682141100358</c:v>
                </c:pt>
                <c:pt idx="238">
                  <c:v>1.281304686882476</c:v>
                </c:pt>
                <c:pt idx="239">
                  <c:v>1.0505688799792114</c:v>
                </c:pt>
                <c:pt idx="240">
                  <c:v>0.80844456360350936</c:v>
                </c:pt>
                <c:pt idx="241">
                  <c:v>0.5571370937532929</c:v>
                </c:pt>
                <c:pt idx="242">
                  <c:v>0.29895324703260306</c:v>
                </c:pt>
                <c:pt idx="243">
                  <c:v>3.6279957589709033E-2</c:v>
                </c:pt>
                <c:pt idx="244">
                  <c:v>-0.22843784697618896</c:v>
                </c:pt>
                <c:pt idx="245">
                  <c:v>-0.49272010401951349</c:v>
                </c:pt>
                <c:pt idx="246">
                  <c:v>-0.75407495390251345</c:v>
                </c:pt>
                <c:pt idx="247">
                  <c:v>-1.0100223371203834</c:v>
                </c:pt>
                <c:pt idx="248">
                  <c:v>-1.2581176260956797</c:v>
                </c:pt>
                <c:pt idx="249">
                  <c:v>-1.4959750655598045</c:v>
                </c:pt>
                <c:pt idx="250">
                  <c:v>-1.7212907959300954</c:v>
                </c:pt>
                <c:pt idx="251">
                  <c:v>-1.9318652367605398</c:v>
                </c:pt>
                <c:pt idx="252">
                  <c:v>-2.1256246121785507</c:v>
                </c:pt>
                <c:pt idx="253">
                  <c:v>-2.3006414071852874</c:v>
                </c:pt>
                <c:pt idx="254">
                  <c:v>-2.4551535527368338</c:v>
                </c:pt>
                <c:pt idx="255">
                  <c:v>-2.5875821485623733</c:v>
                </c:pt>
                <c:pt idx="256">
                  <c:v>-2.6965475456175021</c:v>
                </c:pt>
                <c:pt idx="257">
                  <c:v>-2.7808836248013096</c:v>
                </c:pt>
                <c:pt idx="258">
                  <c:v>-2.8396501249520973</c:v>
                </c:pt>
                <c:pt idx="259">
                  <c:v>-2.8721428910292248</c:v>
                </c:pt>
                <c:pt idx="260">
                  <c:v>-2.8779019326228727</c:v>
                </c:pt>
                <c:pt idx="261">
                  <c:v>-2.8567172033304811</c:v>
                </c:pt>
                <c:pt idx="262">
                  <c:v>-2.8086320329079033</c:v>
                </c:pt>
                <c:pt idx="263">
                  <c:v>-2.7339441662433543</c:v>
                </c:pt>
                <c:pt idx="264">
                  <c:v>-2.6332043859030945</c:v>
                </c:pt>
                <c:pt idx="265">
                  <c:v>-2.5072127180440398</c:v>
                </c:pt>
                <c:pt idx="266">
                  <c:v>-2.3570122446582462</c:v>
                </c:pt>
                <c:pt idx="267">
                  <c:v>-2.1838805681857463</c:v>
                </c:pt>
                <c:pt idx="268">
                  <c:v>-1.9893189972816028</c:v>
                </c:pt>
                <c:pt idx="269">
                  <c:v>-1.775039544729148</c:v>
                </c:pt>
                <c:pt idx="270">
                  <c:v>-1.5429498499381031</c:v>
                </c:pt>
                <c:pt idx="271">
                  <c:v>-1.2951361589415686</c:v>
                </c:pt>
                <c:pt idx="272">
                  <c:v>-1.0338445141088455</c:v>
                </c:pt>
                <c:pt idx="273">
                  <c:v>-0.76146032372886741</c:v>
                </c:pt>
                <c:pt idx="274">
                  <c:v>-0.48048649801201737</c:v>
                </c:pt>
                <c:pt idx="275">
                  <c:v>-0.19352035274159118</c:v>
                </c:pt>
                <c:pt idx="276">
                  <c:v>9.6770505371148952E-2</c:v>
                </c:pt>
                <c:pt idx="277">
                  <c:v>0.38767308674363554</c:v>
                </c:pt>
                <c:pt idx="278">
                  <c:v>0.67645448678176634</c:v>
                </c:pt>
                <c:pt idx="279">
                  <c:v>0.96038767341108355</c:v>
                </c:pt>
                <c:pt idx="280">
                  <c:v>1.2367773498980741</c:v>
                </c:pt>
                <c:pt idx="281">
                  <c:v>1.5029856466569731</c:v>
                </c:pt>
                <c:pt idx="282">
                  <c:v>1.7564573961687449</c:v>
                </c:pt>
                <c:pt idx="283">
                  <c:v>1.9947447479324645</c:v>
                </c:pt>
                <c:pt idx="284">
                  <c:v>2.2155308855089473</c:v>
                </c:pt>
                <c:pt idx="285">
                  <c:v>2.4166526151633207</c:v>
                </c:pt>
                <c:pt idx="286">
                  <c:v>2.5961216053067178</c:v>
                </c:pt>
                <c:pt idx="287">
                  <c:v>2.7521440677938362</c:v>
                </c:pt>
                <c:pt idx="288">
                  <c:v>2.883138686048909</c:v>
                </c:pt>
                <c:pt idx="289">
                  <c:v>2.987752610842807</c:v>
                </c:pt>
                <c:pt idx="290">
                  <c:v>3.0648753621849023</c:v>
                </c:pt>
                <c:pt idx="291">
                  <c:v>3.1136504950631694</c:v>
                </c:pt>
                <c:pt idx="292">
                  <c:v>3.1334849074867566</c:v>
                </c:pt>
                <c:pt idx="293">
                  <c:v>3.1240556912641209</c:v>
                </c:pt>
                <c:pt idx="294">
                  <c:v>3.0853144489807098</c:v>
                </c:pt>
                <c:pt idx="295">
                  <c:v>3.017489024506812</c:v>
                </c:pt>
                <c:pt idx="296">
                  <c:v>2.9210826188420835</c:v>
                </c:pt>
                <c:pt idx="297">
                  <c:v>2.7968702879564606</c:v>
                </c:pt>
                <c:pt idx="298">
                  <c:v>2.6458928442801875</c:v>
                </c:pt>
                <c:pt idx="299">
                  <c:v>2.4694482083886329</c:v>
                </c:pt>
                <c:pt idx="300">
                  <c:v>2.2690802819819118</c:v>
                </c:pt>
                <c:pt idx="301">
                  <c:v>2.0465654372363873</c:v>
                </c:pt>
                <c:pt idx="302">
                  <c:v>1.8038967407735806</c:v>
                </c:pt>
                <c:pt idx="303">
                  <c:v>1.5432660526252289</c:v>
                </c:pt>
                <c:pt idx="304">
                  <c:v>1.2670441614543759</c:v>
                </c:pt>
                <c:pt idx="305">
                  <c:v>0.97775913671683601</c:v>
                </c:pt>
                <c:pt idx="306">
                  <c:v>0.67807309622129952</c:v>
                </c:pt>
                <c:pt idx="307">
                  <c:v>0.37075760349399733</c:v>
                </c:pt>
                <c:pt idx="308">
                  <c:v>5.8667923313917125E-2</c:v>
                </c:pt>
                <c:pt idx="309">
                  <c:v>-0.25528362438470209</c:v>
                </c:pt>
                <c:pt idx="310">
                  <c:v>-0.56815496246557862</c:v>
                </c:pt>
                <c:pt idx="311">
                  <c:v>-0.87700194939447274</c:v>
                </c:pt>
                <c:pt idx="312">
                  <c:v>-1.1789062050911188</c:v>
                </c:pt>
                <c:pt idx="313">
                  <c:v>-1.4710028057136793</c:v>
                </c:pt>
                <c:pt idx="314">
                  <c:v>-1.7505075834655306</c:v>
                </c:pt>
                <c:pt idx="315">
                  <c:v>-2.0147437702438382</c:v>
                </c:pt>
                <c:pt idx="316">
                  <c:v>-2.2611677291878207</c:v>
                </c:pt>
                <c:pt idx="317">
                  <c:v>-2.487393525890103</c:v>
                </c:pt>
                <c:pt idx="318">
                  <c:v>-2.6912161011430644</c:v>
                </c:pt>
                <c:pt idx="319">
                  <c:v>-2.8706328195153565</c:v>
                </c:pt>
                <c:pt idx="320">
                  <c:v>-3.0238631826811218</c:v>
                </c:pt>
                <c:pt idx="321">
                  <c:v>-3.1493665131239679</c:v>
                </c:pt>
                <c:pt idx="322">
                  <c:v>-3.2458574324566882</c:v>
                </c:pt>
                <c:pt idx="323">
                  <c:v>-3.3123189789647158</c:v>
                </c:pt>
                <c:pt idx="324">
                  <c:v>-3.3480132309072732</c:v>
                </c:pt>
                <c:pt idx="325">
                  <c:v>-3.3524893253908448</c:v>
                </c:pt>
                <c:pt idx="326">
                  <c:v>-3.3255887870463265</c:v>
                </c:pt>
                <c:pt idx="327">
                  <c:v>-3.2674481060644536</c:v>
                </c:pt>
                <c:pt idx="328">
                  <c:v>-3.1784985311342533</c:v>
                </c:pt>
                <c:pt idx="329">
                  <c:v>-3.0594630692395359</c:v>
                </c:pt>
                <c:pt idx="330">
                  <c:v>-2.911350710847894</c:v>
                </c:pt>
                <c:pt idx="331">
                  <c:v>-2.7354479255205382</c:v>
                </c:pt>
                <c:pt idx="332">
                  <c:v>-2.533307499126404</c:v>
                </c:pt>
                <c:pt idx="333">
                  <c:v>-2.3067348094083386</c:v>
                </c:pt>
                <c:pt idx="334">
                  <c:v>-2.0577716613758295</c:v>
                </c:pt>
                <c:pt idx="335">
                  <c:v>-1.7886778276492161</c:v>
                </c:pt>
                <c:pt idx="336">
                  <c:v>-1.5019104612232501</c:v>
                </c:pt>
                <c:pt idx="337">
                  <c:v>-1.2001015689365704</c:v>
                </c:pt>
                <c:pt idx="338">
                  <c:v>-0.88603375302309306</c:v>
                </c:pt>
                <c:pt idx="339">
                  <c:v>-0.56261444529322413</c:v>
                </c:pt>
                <c:pt idx="340">
                  <c:v>-0.23284887357769501</c:v>
                </c:pt>
                <c:pt idx="341">
                  <c:v>0.10018798708767274</c:v>
                </c:pt>
                <c:pt idx="342">
                  <c:v>0.43338021558033579</c:v>
                </c:pt>
                <c:pt idx="343">
                  <c:v>0.76360022715534437</c:v>
                </c:pt>
                <c:pt idx="344">
                  <c:v>1.0877382608576187</c:v>
                </c:pt>
                <c:pt idx="345">
                  <c:v>1.4027317926632308</c:v>
                </c:pt>
                <c:pt idx="346">
                  <c:v>1.7055945949651405</c:v>
                </c:pt>
                <c:pt idx="347">
                  <c:v>1.9934451655179004</c:v>
                </c:pt>
                <c:pt idx="348">
                  <c:v>2.2635342541038064</c:v>
                </c:pt>
                <c:pt idx="349">
                  <c:v>2.5132712229379917</c:v>
                </c:pt>
                <c:pt idx="350">
                  <c:v>2.7402489871264928</c:v>
                </c:pt>
                <c:pt idx="351">
                  <c:v>2.9422672942374297</c:v>
                </c:pt>
                <c:pt idx="352">
                  <c:v>3.1173541171267312</c:v>
                </c:pt>
                <c:pt idx="353">
                  <c:v>3.2637849514391499</c:v>
                </c:pt>
                <c:pt idx="354">
                  <c:v>3.3800998285231856</c:v>
                </c:pt>
                <c:pt idx="355">
                  <c:v>3.4651178756765426</c:v>
                </c:pt>
                <c:pt idx="356">
                  <c:v>3.5179492784794544</c:v>
                </c:pt>
                <c:pt idx="357">
                  <c:v>3.5380045242631457</c:v>
                </c:pt>
                <c:pt idx="358">
                  <c:v>3.5250008312714902</c:v>
                </c:pt>
                <c:pt idx="359">
                  <c:v>3.4789656945655305</c:v>
                </c:pt>
                <c:pt idx="360">
                  <c:v>3.4002375069420676</c:v>
                </c:pt>
                <c:pt idx="361">
                  <c:v>3.2894632408310835</c:v>
                </c:pt>
                <c:pt idx="362">
                  <c:v>3.1475932050393185</c:v>
                </c:pt>
                <c:pt idx="363">
                  <c:v>2.9758729180521346</c:v>
                </c:pt>
                <c:pt idx="364">
                  <c:v>2.7758321671276347</c:v>
                </c:pt>
                <c:pt idx="365">
                  <c:v>2.5492713493512182</c:v>
                </c:pt>
                <c:pt idx="366">
                  <c:v>2.2982452169077283</c:v>
                </c:pt>
                <c:pt idx="367">
                  <c:v>2.0250441738193805</c:v>
                </c:pt>
                <c:pt idx="368">
                  <c:v>1.7321732950503208</c:v>
                </c:pt>
                <c:pt idx="369">
                  <c:v>1.4223292609637956</c:v>
                </c:pt>
                <c:pt idx="370">
                  <c:v>1.0983754204196756</c:v>
                </c:pt>
                <c:pt idx="371">
                  <c:v>0.76331521412122483</c:v>
                </c:pt>
                <c:pt idx="372">
                  <c:v>0.42026420598088671</c:v>
                </c:pt>
                <c:pt idx="373">
                  <c:v>7.2420984114646814E-2</c:v>
                </c:pt>
                <c:pt idx="374">
                  <c:v>-0.27696279554270875</c:v>
                </c:pt>
                <c:pt idx="375">
                  <c:v>-0.6246129411995256</c:v>
                </c:pt>
                <c:pt idx="376">
                  <c:v>-0.96726354479660004</c:v>
                </c:pt>
                <c:pt idx="377">
                  <c:v>-1.301687797854485</c:v>
                </c:pt>
                <c:pt idx="378">
                  <c:v>-1.6247285115557764</c:v>
                </c:pt>
                <c:pt idx="379">
                  <c:v>-1.9333280511644162</c:v>
                </c:pt>
                <c:pt idx="380">
                  <c:v>-2.2245573997747634</c:v>
                </c:pt>
                <c:pt idx="381">
                  <c:v>-2.4956440739979917</c:v>
                </c:pt>
                <c:pt idx="382">
                  <c:v>-2.743998624465938</c:v>
                </c:pt>
                <c:pt idx="383">
                  <c:v>-2.9672394668714102</c:v>
                </c:pt>
                <c:pt idx="384">
                  <c:v>-3.1632158045511396</c:v>
                </c:pt>
                <c:pt idx="385">
                  <c:v>-3.3300284212134406</c:v>
                </c:pt>
                <c:pt idx="386">
                  <c:v>-3.4660481421535438</c:v>
                </c:pt>
                <c:pt idx="387">
                  <c:v>-3.5699317840023714</c:v>
                </c:pt>
                <c:pt idx="388">
                  <c:v>-3.6406354365157592</c:v>
                </c:pt>
                <c:pt idx="389">
                  <c:v>-3.6774249449109502</c:v>
                </c:pt>
                <c:pt idx="390">
                  <c:v>-3.6798834875603088</c:v>
                </c:pt>
                <c:pt idx="391">
                  <c:v>-3.6479161712101256</c:v>
                </c:pt>
                <c:pt idx="392">
                  <c:v>-3.5817515940467626</c:v>
                </c:pt>
                <c:pt idx="393">
                  <c:v>-3.481940355615837</c:v>
                </c:pt>
                <c:pt idx="394">
                  <c:v>-3.3493505215403294</c:v>
                </c:pt>
                <c:pt idx="395">
                  <c:v>-3.1851600799053559</c:v>
                </c:pt>
                <c:pt idx="396">
                  <c:v>-2.9908464548041689</c:v>
                </c:pt>
                <c:pt idx="397">
                  <c:v>-2.7681731705992392</c:v>
                </c:pt>
                <c:pt idx="398">
                  <c:v>-2.5191737876744482</c:v>
                </c:pt>
                <c:pt idx="399">
                  <c:v>-2.2461332565795065</c:v>
                </c:pt>
                <c:pt idx="400">
                  <c:v>-1.95156686224334</c:v>
                </c:pt>
                <c:pt idx="401">
                  <c:v>-1.6381969531216145</c:v>
                </c:pt>
                <c:pt idx="402">
                  <c:v>-1.308927671521037</c:v>
                </c:pt>
                <c:pt idx="403">
                  <c:v>-0.96681792070149908</c:v>
                </c:pt>
                <c:pt idx="404">
                  <c:v>-0.61505282150946483</c:v>
                </c:pt>
                <c:pt idx="405">
                  <c:v>-0.25691392607502644</c:v>
                </c:pt>
                <c:pt idx="406">
                  <c:v>0.10425153163544765</c:v>
                </c:pt>
                <c:pt idx="407">
                  <c:v>0.46506205899854153</c:v>
                </c:pt>
                <c:pt idx="408">
                  <c:v>0.82213370534836594</c:v>
                </c:pt>
                <c:pt idx="409">
                  <c:v>1.1721119396510626</c:v>
                </c:pt>
                <c:pt idx="410">
                  <c:v>1.5117033036352201</c:v>
                </c:pt>
                <c:pt idx="411">
                  <c:v>1.8377065404108477</c:v>
                </c:pt>
                <c:pt idx="412">
                  <c:v>2.1470429031005867</c:v>
                </c:pt>
                <c:pt idx="413">
                  <c:v>2.4367853553148686</c:v>
                </c:pt>
                <c:pt idx="414">
                  <c:v>2.7041863853614201</c:v>
                </c:pt>
                <c:pt idx="415">
                  <c:v>2.9467041687973965</c:v>
                </c:pt>
                <c:pt idx="416">
                  <c:v>3.1620268291931719</c:v>
                </c:pt>
                <c:pt idx="417">
                  <c:v>3.3480945646375937</c:v>
                </c:pt>
                <c:pt idx="418">
                  <c:v>3.5031194274115993</c:v>
                </c:pt>
                <c:pt idx="419">
                  <c:v>3.6256025662034026</c:v>
                </c:pt>
                <c:pt idx="420">
                  <c:v>3.7143487640285566</c:v>
                </c:pt>
                <c:pt idx="421">
                  <c:v>3.7684781304274209</c:v>
                </c:pt>
                <c:pt idx="422">
                  <c:v>3.787434833301484</c:v>
                </c:pt>
                <c:pt idx="423">
                  <c:v>3.7709927836652799</c:v>
                </c:pt>
                <c:pt idx="424">
                  <c:v>3.7192582153677485</c:v>
                </c:pt>
                <c:pt idx="425">
                  <c:v>3.6326691312031425</c:v>
                </c:pt>
                <c:pt idx="426">
                  <c:v>3.5119916165077787</c:v>
                </c:pt>
                <c:pt idx="427">
                  <c:v>3.3583130510431132</c:v>
                </c:pt>
                <c:pt idx="428">
                  <c:v>3.1730322794145858</c:v>
                </c:pt>
                <c:pt idx="429">
                  <c:v>2.9578468291892488</c:v>
                </c:pt>
                <c:pt idx="430">
                  <c:v>2.7147372939766501</c:v>
                </c:pt>
                <c:pt idx="431">
                  <c:v>2.445949025758626</c:v>
                </c:pt>
                <c:pt idx="432">
                  <c:v>2.1539713064363863</c:v>
                </c:pt>
                <c:pt idx="433">
                  <c:v>1.8415141926604011</c:v>
                </c:pt>
                <c:pt idx="434">
                  <c:v>1.5114832502897477</c:v>
                </c:pt>
                <c:pt idx="435">
                  <c:v>1.1669524150787085</c:v>
                </c:pt>
                <c:pt idx="436">
                  <c:v>0.81113523421331535</c:v>
                </c:pt>
                <c:pt idx="437">
                  <c:v>0.44735475894676718</c:v>
                </c:pt>
                <c:pt idx="438">
                  <c:v>7.9012371657409874E-2</c:v>
                </c:pt>
                <c:pt idx="439">
                  <c:v>-0.29044415894929709</c:v>
                </c:pt>
                <c:pt idx="440">
                  <c:v>-0.6575530931561151</c:v>
                </c:pt>
                <c:pt idx="441">
                  <c:v>-1.0188712999651353</c:v>
                </c:pt>
                <c:pt idx="442">
                  <c:v>-1.3710066932829359</c:v>
                </c:pt>
                <c:pt idx="443">
                  <c:v>-1.7106502176621072</c:v>
                </c:pt>
                <c:pt idx="444">
                  <c:v>-2.0346070806811629</c:v>
                </c:pt>
                <c:pt idx="445">
                  <c:v>-2.3398269359051316</c:v>
                </c:pt>
                <c:pt idx="446">
                  <c:v>-2.6234327300483335</c:v>
                </c:pt>
                <c:pt idx="447">
                  <c:v>-2.8827479403677803</c:v>
                </c:pt>
                <c:pt idx="448">
                  <c:v>-3.1153219433359487</c:v>
                </c:pt>
                <c:pt idx="449">
                  <c:v>-3.3189532731333511</c:v>
                </c:pt>
                <c:pt idx="450">
                  <c:v>-3.491710548301115</c:v>
                </c:pt>
                <c:pt idx="451">
                  <c:v>-3.6319508668141776</c:v>
                </c:pt>
                <c:pt idx="452">
                  <c:v>-3.7383354936699305</c:v>
                </c:pt>
                <c:pt idx="453">
                  <c:v>-3.8098426906103406</c:v>
                </c:pt>
                <c:pt idx="454">
                  <c:v>-3.8457775645653527</c:v>
                </c:pt>
                <c:pt idx="455">
                  <c:v>-3.8457788395666048</c:v>
                </c:pt>
                <c:pt idx="456">
                  <c:v>-3.8098224859659107</c:v>
                </c:pt>
                <c:pt idx="457">
                  <c:v>-3.738222170526333</c:v>
                </c:pt>
                <c:pt idx="458">
                  <c:v>-3.6316265210525449</c:v>
                </c:pt>
                <c:pt idx="459">
                  <c:v>-3.4910132294054663</c:v>
                </c:pt>
                <c:pt idx="460">
                  <c:v>-3.3176800467166179</c:v>
                </c:pt>
                <c:pt idx="461">
                  <c:v>-3.1132327540949118</c:v>
                </c:pt>
                <c:pt idx="462">
                  <c:v>-2.8795702208223908</c:v>
                </c:pt>
                <c:pt idx="463">
                  <c:v>-2.6188666896914712</c:v>
                </c:pt>
                <c:pt idx="464">
                  <c:v>-2.3335514554813086</c:v>
                </c:pt>
                <c:pt idx="465">
                  <c:v>-2.0262861273539401</c:v>
                </c:pt>
                <c:pt idx="466">
                  <c:v>-1.6999396889342826</c:v>
                </c:pt>
                <c:pt idx="467">
                  <c:v>-1.3575615908036096</c:v>
                </c:pt>
                <c:pt idx="468">
                  <c:v>-1.0023531288821792</c:v>
                </c:pt>
                <c:pt idx="469">
                  <c:v>-0.63763737852528324</c:v>
                </c:pt>
                <c:pt idx="470">
                  <c:v>-0.26682796795005059</c:v>
                </c:pt>
                <c:pt idx="471">
                  <c:v>0.10660301428327522</c:v>
                </c:pt>
                <c:pt idx="472">
                  <c:v>0.47915767469874304</c:v>
                </c:pt>
                <c:pt idx="473">
                  <c:v>0.8473452247653539</c:v>
                </c:pt>
                <c:pt idx="474">
                  <c:v>1.207714834203069</c:v>
                </c:pt>
                <c:pt idx="475">
                  <c:v>1.5568881171847224</c:v>
                </c:pt>
                <c:pt idx="476">
                  <c:v>1.8915909442718011</c:v>
                </c:pt>
                <c:pt idx="477">
                  <c:v>2.2086842792252508</c:v>
                </c:pt>
                <c:pt idx="478">
                  <c:v>2.5051937489938876</c:v>
                </c:pt>
                <c:pt idx="479">
                  <c:v>2.7783376671146414</c:v>
                </c:pt>
                <c:pt idx="480">
                  <c:v>3.0255532453494762</c:v>
                </c:pt>
                <c:pt idx="481">
                  <c:v>3.244520745493932</c:v>
                </c:pt>
                <c:pt idx="482">
                  <c:v>3.4331853427597849</c:v>
                </c:pt>
                <c:pt idx="483">
                  <c:v>3.5897764937752603</c:v>
                </c:pt>
                <c:pt idx="484">
                  <c:v>3.7128246258541502</c:v>
                </c:pt>
                <c:pt idx="485">
                  <c:v>3.8011749895360429</c:v>
                </c:pt>
                <c:pt idx="486">
                  <c:v>3.8539985432532178</c:v>
                </c:pt>
                <c:pt idx="487">
                  <c:v>3.870799767079605</c:v>
                </c:pt>
                <c:pt idx="488">
                  <c:v>3.8514213315967814</c:v>
                </c:pt>
                <c:pt idx="489">
                  <c:v>3.7960455776947675</c:v>
                </c:pt>
                <c:pt idx="490">
                  <c:v>3.7051927933279512</c:v>
                </c:pt>
                <c:pt idx="491">
                  <c:v>3.5797163035816792</c:v>
                </c:pt>
                <c:pt idx="492">
                  <c:v>3.420794420584464</c:v>
                </c:pt>
                <c:pt idx="493">
                  <c:v>3.2299193295371875</c:v>
                </c:pt>
                <c:pt idx="494">
                  <c:v>3.0088830161413886</c:v>
                </c:pt>
                <c:pt idx="495">
                  <c:v>2.7597603687181058</c:v>
                </c:pt>
                <c:pt idx="496">
                  <c:v>2.4848896150500694</c:v>
                </c:pt>
                <c:pt idx="497">
                  <c:v>2.1868502791993265</c:v>
                </c:pt>
                <c:pt idx="498">
                  <c:v>1.8684388670104408</c:v>
                </c:pt>
                <c:pt idx="499">
                  <c:v>1.53264251048237</c:v>
                </c:pt>
                <c:pt idx="500">
                  <c:v>1.1826108204773091</c:v>
                </c:pt>
                <c:pt idx="501">
                  <c:v>0.82162621414806214</c:v>
                </c:pt>
                <c:pt idx="502">
                  <c:v>0.45307299784781663</c:v>
                </c:pt>
                <c:pt idx="503">
                  <c:v>8.0405497999863365E-2</c:v>
                </c:pt>
                <c:pt idx="504">
                  <c:v>-0.29288445865988211</c:v>
                </c:pt>
                <c:pt idx="505">
                  <c:v>-0.6633004079817989</c:v>
                </c:pt>
                <c:pt idx="506">
                  <c:v>-1.0273741438048458</c:v>
                </c:pt>
                <c:pt idx="507">
                  <c:v>-1.3816983350203185</c:v>
                </c:pt>
                <c:pt idx="508">
                  <c:v>-1.722958556200832</c:v>
                </c:pt>
                <c:pt idx="509">
                  <c:v>-2.0479644293675436</c:v>
                </c:pt>
                <c:pt idx="510">
                  <c:v>-2.3536795830047863</c:v>
                </c:pt>
                <c:pt idx="511">
                  <c:v>-2.6372501457536477</c:v>
                </c:pt>
                <c:pt idx="512">
                  <c:v>-2.8960315062142765</c:v>
                </c:pt>
                <c:pt idx="513">
                  <c:v>-3.1276130868282062</c:v>
                </c:pt>
                <c:pt idx="514">
                  <c:v>-3.3298408987370545</c:v>
                </c:pt>
                <c:pt idx="515">
                  <c:v>-3.5008376656417663</c:v>
                </c:pt>
                <c:pt idx="516">
                  <c:v>-3.6390203278158975</c:v>
                </c:pt>
                <c:pt idx="517">
                  <c:v>-3.7431147623353915</c:v>
                </c:pt>
                <c:pt idx="518">
                  <c:v>-3.8121675820383745</c:v>
                </c:pt>
                <c:pt idx="519">
                  <c:v>-3.8455549034698127</c:v>
                </c:pt>
                <c:pt idx="520">
                  <c:v>-3.8429880028321026</c:v>
                </c:pt>
                <c:pt idx="521">
                  <c:v>-3.8045158084803221</c:v>
                </c:pt>
                <c:pt idx="522">
                  <c:v>-3.7305242084883496</c:v>
                </c:pt>
                <c:pt idx="523">
                  <c:v>-3.6217321819843127</c:v>
                </c:pt>
                <c:pt idx="524">
                  <c:v>-3.4791847930233848</c:v>
                </c:pt>
                <c:pt idx="525">
                  <c:v>-3.3042431154473562</c:v>
                </c:pt>
                <c:pt idx="526">
                  <c:v>-3.0985711861913501</c:v>
                </c:pt>
                <c:pt idx="527">
                  <c:v>-2.8641201125631968</c:v>
                </c:pt>
                <c:pt idx="528">
                  <c:v>-2.6031094858744388</c:v>
                </c:pt>
                <c:pt idx="529">
                  <c:v>-2.318006279188578</c:v>
                </c:pt>
                <c:pt idx="530">
                  <c:v>-2.011501430632503</c:v>
                </c:pt>
                <c:pt idx="531">
                  <c:v>-1.6864843354663139</c:v>
                </c:pt>
                <c:pt idx="532">
                  <c:v>-1.3460154897207857</c:v>
                </c:pt>
                <c:pt idx="533">
                  <c:v>-0.99329754550448146</c:v>
                </c:pt>
                <c:pt idx="534">
                  <c:v>-0.63164505289237571</c:v>
                </c:pt>
                <c:pt idx="535">
                  <c:v>-0.26445317549621727</c:v>
                </c:pt>
                <c:pt idx="536">
                  <c:v>0.10483432373085122</c:v>
                </c:pt>
                <c:pt idx="537">
                  <c:v>0.47275752327324522</c:v>
                </c:pt>
                <c:pt idx="538">
                  <c:v>0.83587290348652421</c:v>
                </c:pt>
                <c:pt idx="539">
                  <c:v>1.1907857189270574</c:v>
                </c:pt>
                <c:pt idx="540">
                  <c:v>1.5341818769100888</c:v>
                </c:pt>
                <c:pt idx="541">
                  <c:v>1.8628590216187892</c:v>
                </c:pt>
                <c:pt idx="542">
                  <c:v>2.1737565309245248</c:v>
                </c:pt>
                <c:pt idx="543">
                  <c:v>2.4639841436879326</c:v>
                </c:pt>
                <c:pt idx="544">
                  <c:v>2.7308489485863863</c:v>
                </c:pt>
                <c:pt idx="545">
                  <c:v>2.9718804813270432</c:v>
                </c:pt>
                <c:pt idx="546">
                  <c:v>3.1848536953038491</c:v>
                </c:pt>
                <c:pt idx="547">
                  <c:v>3.3678095911647361</c:v>
                </c:pt>
                <c:pt idx="548">
                  <c:v>3.5190733131754497</c:v>
                </c:pt>
                <c:pt idx="549">
                  <c:v>3.6372695444843357</c:v>
                </c:pt>
                <c:pt idx="550">
                  <c:v>3.7213350591742604</c:v>
                </c:pt>
                <c:pt idx="551">
                  <c:v>3.770528316087761</c:v>
                </c:pt>
                <c:pt idx="552">
                  <c:v>3.7844360075691892</c:v>
                </c:pt>
                <c:pt idx="553">
                  <c:v>3.7629765052148789</c:v>
                </c:pt>
                <c:pt idx="554">
                  <c:v>3.7064001741821779</c:v>
                </c:pt>
                <c:pt idx="555">
                  <c:v>3.6152865572999247</c:v>
                </c:pt>
                <c:pt idx="556">
                  <c:v>3.4905384598642124</c:v>
                </c:pt>
                <c:pt idx="557">
                  <c:v>3.3333729953116462</c:v>
                </c:pt>
                <c:pt idx="558">
                  <c:v>3.1453096806599148</c:v>
                </c:pt>
                <c:pt idx="559">
                  <c:v>2.9281556984199115</c:v>
                </c:pt>
                <c:pt idx="560">
                  <c:v>2.6839884683516626</c:v>
                </c:pt>
                <c:pt idx="561">
                  <c:v>2.4151356977056428</c:v>
                </c:pt>
                <c:pt idx="562">
                  <c:v>2.1241531022237052</c:v>
                </c:pt>
                <c:pt idx="563">
                  <c:v>1.8138000119467683</c:v>
                </c:pt>
                <c:pt idx="564">
                  <c:v>1.4870130955854903</c:v>
                </c:pt>
                <c:pt idx="565">
                  <c:v>1.1468784546712636</c:v>
                </c:pt>
                <c:pt idx="566">
                  <c:v>0.79660235375437916</c:v>
                </c:pt>
                <c:pt idx="567">
                  <c:v>0.43948086541523973</c:v>
                </c:pt>
                <c:pt idx="568">
                  <c:v>7.8868718688284933E-2</c:v>
                </c:pt>
                <c:pt idx="569">
                  <c:v>-0.28185235342365</c:v>
                </c:pt>
                <c:pt idx="570">
                  <c:v>-0.63930546740660155</c:v>
                </c:pt>
                <c:pt idx="571">
                  <c:v>-0.99015034231993737</c:v>
                </c:pt>
                <c:pt idx="572">
                  <c:v>-1.3311146526208872</c:v>
                </c:pt>
                <c:pt idx="573">
                  <c:v>-1.6590246851429142</c:v>
                </c:pt>
                <c:pt idx="574">
                  <c:v>-1.9708350117421474</c:v>
                </c:pt>
                <c:pt idx="575">
                  <c:v>-2.2636568989522354</c:v>
                </c:pt>
                <c:pt idx="576">
                  <c:v>-2.5347851884434931</c:v>
                </c:pt>
                <c:pt idx="577">
                  <c:v>-2.78172339704274</c:v>
                </c:pt>
                <c:pt idx="578">
                  <c:v>-3.0022068023891713</c:v>
                </c:pt>
                <c:pt idx="579">
                  <c:v>-3.194223299811124</c:v>
                </c:pt>
                <c:pt idx="580">
                  <c:v>-3.3560318375179583</c:v>
                </c:pt>
                <c:pt idx="581">
                  <c:v>-3.4861782605024088</c:v>
                </c:pt>
                <c:pt idx="582">
                  <c:v>-3.5835084184176385</c:v>
                </c:pt>
                <c:pt idx="583">
                  <c:v>-3.6471784188888678</c:v>
                </c:pt>
                <c:pt idx="584">
                  <c:v>-3.6766619349914098</c:v>
                </c:pt>
                <c:pt idx="585">
                  <c:v>-3.6717545037125152</c:v>
                </c:pt>
                <c:pt idx="586">
                  <c:v>-3.6325747808458857</c:v>
                </c:pt>
                <c:pt idx="587">
                  <c:v>-3.5595627466706317</c:v>
                </c:pt>
                <c:pt idx="588">
                  <c:v>-3.4534748856655644</c:v>
                </c:pt>
                <c:pt idx="589">
                  <c:v>-3.3153763921301631</c:v>
                </c:pt>
                <c:pt idx="590">
                  <c:v>-3.1466304816531343</c:v>
                </c:pt>
                <c:pt idx="591">
                  <c:v>-2.9488849156223189</c:v>
                </c:pt>
                <c:pt idx="592">
                  <c:v>-2.7240558721480741</c:v>
                </c:pt>
                <c:pt idx="593">
                  <c:v>-2.4743093216290979</c:v>
                </c:pt>
                <c:pt idx="594">
                  <c:v>-2.2020400884910249</c:v>
                </c:pt>
                <c:pt idx="595">
                  <c:v>-1.9098488021558178</c:v>
                </c:pt>
                <c:pt idx="596">
                  <c:v>-1.6005169598522839</c:v>
                </c:pt>
                <c:pt idx="597">
                  <c:v>-1.2769803412733494</c:v>
                </c:pt>
                <c:pt idx="598">
                  <c:v>-0.94230103016338607</c:v>
                </c:pt>
                <c:pt idx="599">
                  <c:v>-0.59963831053961503</c:v>
                </c:pt>
                <c:pt idx="600">
                  <c:v>-0.25221871530124873</c:v>
                </c:pt>
                <c:pt idx="601">
                  <c:v>9.6694487631103887E-2</c:v>
                </c:pt>
                <c:pt idx="602">
                  <c:v>0.44383208184070272</c:v>
                </c:pt>
                <c:pt idx="603">
                  <c:v>0.78594966990005499</c:v>
                </c:pt>
                <c:pt idx="604">
                  <c:v>1.1198581309886191</c:v>
                </c:pt>
                <c:pt idx="605">
                  <c:v>1.4424534814517511</c:v>
                </c:pt>
                <c:pt idx="606">
                  <c:v>1.7507458574671269</c:v>
                </c:pt>
                <c:pt idx="607">
                  <c:v>2.0418873479945563</c:v>
                </c:pt>
                <c:pt idx="608">
                  <c:v>2.3131984177551352</c:v>
                </c:pt>
                <c:pt idx="609">
                  <c:v>2.5621926740007743</c:v>
                </c:pt>
                <c:pt idx="610">
                  <c:v>2.7865997471548454</c:v>
                </c:pt>
                <c:pt idx="611">
                  <c:v>2.9843860738678876</c:v>
                </c:pt>
                <c:pt idx="612">
                  <c:v>3.1537733914591497</c:v>
                </c:pt>
                <c:pt idx="613">
                  <c:v>3.2932547749040295</c:v>
                </c:pt>
                <c:pt idx="614">
                  <c:v>3.4016080712650032</c:v>
                </c:pt>
                <c:pt idx="615">
                  <c:v>3.4779066115179083</c:v>
                </c:pt>
                <c:pt idx="616">
                  <c:v>3.5215271058559292</c:v>
                </c:pt>
                <c:pt idx="617">
                  <c:v>3.5321546555074592</c:v>
                </c:pt>
                <c:pt idx="618">
                  <c:v>3.5097848416225119</c:v>
                </c:pt>
                <c:pt idx="619">
                  <c:v>3.4547228796025298</c:v>
                </c:pt>
                <c:pt idx="620">
                  <c:v>3.3675798551035045</c:v>
                </c:pt>
                <c:pt idx="621">
                  <c:v>3.2492660855672728</c:v>
                </c:pt>
                <c:pt idx="622">
                  <c:v>3.1009816782681847</c:v>
                </c:pt>
                <c:pt idx="623">
                  <c:v>2.9242043822444614</c:v>
                </c:pt>
                <c:pt idx="624">
                  <c:v>2.7206748568664159</c:v>
                </c:pt>
                <c:pt idx="625">
                  <c:v>2.4923795039380563</c:v>
                </c:pt>
                <c:pt idx="626">
                  <c:v>2.2415310329077873</c:v>
                </c:pt>
                <c:pt idx="627">
                  <c:v>1.9705469497658099</c:v>
                </c:pt>
                <c:pt idx="628">
                  <c:v>1.6820261793352931</c:v>
                </c:pt>
                <c:pt idx="629">
                  <c:v>1.3787240477439986</c:v>
                </c:pt>
                <c:pt idx="630">
                  <c:v>1.0635258667360905</c:v>
                </c:pt>
                <c:pt idx="631">
                  <c:v>0.7394193740152899</c:v>
                </c:pt>
                <c:pt idx="632">
                  <c:v>0.40946629388686662</c:v>
                </c:pt>
                <c:pt idx="633">
                  <c:v>7.6773289999377936E-2</c:v>
                </c:pt>
                <c:pt idx="634">
                  <c:v>-0.25553741308776745</c:v>
                </c:pt>
                <c:pt idx="635">
                  <c:v>-0.58435746050584392</c:v>
                </c:pt>
                <c:pt idx="636">
                  <c:v>-0.90662157122473053</c:v>
                </c:pt>
                <c:pt idx="637">
                  <c:v>-1.2193362401555177</c:v>
                </c:pt>
                <c:pt idx="638">
                  <c:v>-1.5196076682586157</c:v>
                </c:pt>
                <c:pt idx="639">
                  <c:v>-1.8046686589014835</c:v>
                </c:pt>
                <c:pt idx="640">
                  <c:v>-2.0719042293670831</c:v>
                </c:pt>
                <c:pt idx="641">
                  <c:v>-2.3188756994253552</c:v>
                </c:pt>
                <c:pt idx="642">
                  <c:v>-2.5433430341152694</c:v>
                </c:pt>
                <c:pt idx="643">
                  <c:v>-2.7432852351901866</c:v>
                </c:pt>
                <c:pt idx="644">
                  <c:v>-2.9169185948838443</c:v>
                </c:pt>
                <c:pt idx="645">
                  <c:v>-3.0627126465686021</c:v>
                </c:pt>
                <c:pt idx="646">
                  <c:v>-3.1794036692965841</c:v>
                </c:pt>
                <c:pt idx="647">
                  <c:v>-3.266005626918719</c:v>
                </c:pt>
                <c:pt idx="648">
                  <c:v>-3.3218184472371504</c:v>
                </c:pt>
                <c:pt idx="649">
                  <c:v>-3.3464335722222147</c:v>
                </c:pt>
                <c:pt idx="650">
                  <c:v>-3.3397367364695452</c:v>
                </c:pt>
                <c:pt idx="651">
                  <c:v>-3.3019079575352124</c:v>
                </c:pt>
                <c:pt idx="652">
                  <c:v>-3.2334187483126482</c:v>
                </c:pt>
                <c:pt idx="653">
                  <c:v>-3.1350265879511694</c:v>
                </c:pt>
                <c:pt idx="654">
                  <c:v>-3.0077667137122788</c:v>
                </c:pt>
                <c:pt idx="655">
                  <c:v>-2.8529413213696215</c:v>
                </c:pt>
                <c:pt idx="656">
                  <c:v>-2.6721062860445191</c:v>
                </c:pt>
                <c:pt idx="657">
                  <c:v>-2.4670555385018269</c:v>
                </c:pt>
                <c:pt idx="658">
                  <c:v>-2.2398032536942609</c:v>
                </c:pt>
                <c:pt idx="659">
                  <c:v>-1.9925640285341775</c:v>
                </c:pt>
                <c:pt idx="660">
                  <c:v>-1.7277312443028301</c:v>
                </c:pt>
                <c:pt idx="661">
                  <c:v>-1.4478538256091089</c:v>
                </c:pt>
                <c:pt idx="662">
                  <c:v>-1.155611622231419</c:v>
                </c:pt>
                <c:pt idx="663">
                  <c:v>-0.85378965238852611</c:v>
                </c:pt>
                <c:pt idx="664">
                  <c:v>-0.5452514558784276</c:v>
                </c:pt>
                <c:pt idx="665">
                  <c:v>-0.2329118130132416</c:v>
                </c:pt>
                <c:pt idx="666">
                  <c:v>8.0290909699527013E-2</c:v>
                </c:pt>
                <c:pt idx="667">
                  <c:v>0.3914225236627501</c:v>
                </c:pt>
                <c:pt idx="668">
                  <c:v>0.69758062861961179</c:v>
                </c:pt>
                <c:pt idx="669">
                  <c:v>0.99592180845868705</c:v>
                </c:pt>
                <c:pt idx="670">
                  <c:v>1.2836881564364193</c:v>
                </c:pt>
                <c:pt idx="671">
                  <c:v>1.5582328812698159</c:v>
                </c:pt>
                <c:pt idx="672">
                  <c:v>1.8170447553014655</c:v>
                </c:pt>
                <c:pt idx="673">
                  <c:v>2.0577711779264276</c:v>
                </c:pt>
                <c:pt idx="674">
                  <c:v>2.2782396415699573</c:v>
                </c:pt>
                <c:pt idx="675">
                  <c:v>2.476477403576002</c:v>
                </c:pt>
                <c:pt idx="676">
                  <c:v>2.6507291852456332</c:v>
                </c:pt>
                <c:pt idx="677">
                  <c:v>2.7994727387739871</c:v>
                </c:pt>
                <c:pt idx="678">
                  <c:v>2.9214321437818263</c:v>
                </c:pt>
                <c:pt idx="679">
                  <c:v>3.0155887173161515</c:v>
                </c:pt>
                <c:pt idx="680">
                  <c:v>3.0811894443863039</c:v>
                </c:pt>
                <c:pt idx="681">
                  <c:v>3.1177528600827298</c:v>
                </c:pt>
                <c:pt idx="682">
                  <c:v>3.1250723388612123</c:v>
                </c:pt>
                <c:pt idx="683">
                  <c:v>3.1032167714290391</c:v>
                </c:pt>
                <c:pt idx="684">
                  <c:v>3.0525286346032168</c:v>
                </c:pt>
                <c:pt idx="685">
                  <c:v>2.973619484283764</c:v>
                </c:pt>
                <c:pt idx="686">
                  <c:v>2.8673629260627354</c:v>
                </c:pt>
                <c:pt idx="687">
                  <c:v>2.7348851417390092</c:v>
                </c:pt>
                <c:pt idx="688">
                  <c:v>2.5775530729062588</c:v>
                </c:pt>
                <c:pt idx="689">
                  <c:v>2.3969603846109391</c:v>
                </c:pt>
                <c:pt idx="690">
                  <c:v>2.1949113526346058</c:v>
                </c:pt>
                <c:pt idx="691">
                  <c:v>1.9734028370491141</c:v>
                </c:pt>
                <c:pt idx="692">
                  <c:v>1.734604522147678</c:v>
                </c:pt>
                <c:pt idx="693">
                  <c:v>1.4808376185101022</c:v>
                </c:pt>
                <c:pt idx="694">
                  <c:v>1.2145522366741512</c:v>
                </c:pt>
                <c:pt idx="695">
                  <c:v>0.93830365353510292</c:v>
                </c:pt>
                <c:pt idx="696">
                  <c:v>0.6547277020796437</c:v>
                </c:pt>
                <c:pt idx="697">
                  <c:v>0.36651552229672468</c:v>
                </c:pt>
                <c:pt idx="698">
                  <c:v>7.6387916039364123E-2</c:v>
                </c:pt>
                <c:pt idx="699">
                  <c:v>-0.2129304488007715</c:v>
                </c:pt>
                <c:pt idx="700">
                  <c:v>-0.49873673921180073</c:v>
                </c:pt>
                <c:pt idx="701">
                  <c:v>-0.77837531959548178</c:v>
                </c:pt>
                <c:pt idx="702">
                  <c:v>-1.0492625368704918</c:v>
                </c:pt>
                <c:pt idx="703">
                  <c:v>-1.3089106957940411</c:v>
                </c:pt>
                <c:pt idx="704">
                  <c:v>-1.5549510010343104</c:v>
                </c:pt>
                <c:pt idx="705">
                  <c:v>-1.7851552535005586</c:v>
                </c:pt>
                <c:pt idx="706">
                  <c:v>-1.9974561013895205</c:v>
                </c:pt>
                <c:pt idx="707">
                  <c:v>-2.1899656612023639</c:v>
                </c:pt>
                <c:pt idx="708">
                  <c:v>-2.3609923404726043</c:v>
                </c:pt>
                <c:pt idx="709">
                  <c:v>-2.5090557119579073</c:v>
                </c:pt>
                <c:pt idx="710">
                  <c:v>-2.6328993084071985</c:v>
                </c:pt>
                <c:pt idx="711">
                  <c:v>-2.7315012275242543</c:v>
                </c:pt>
                <c:pt idx="712">
                  <c:v>-2.8040824582096953</c:v>
                </c:pt>
                <c:pt idx="713">
                  <c:v>-2.8501128613641216</c:v>
                </c:pt>
                <c:pt idx="714">
                  <c:v>-2.8693147612570851</c:v>
                </c:pt>
                <c:pt idx="715">
                  <c:v>-2.8616641264911138</c:v>
                </c:pt>
                <c:pt idx="716">
                  <c:v>-2.8273893426941932</c:v>
                </c:pt>
                <c:pt idx="717">
                  <c:v>-2.7669676020338714</c:v>
                </c:pt>
                <c:pt idx="718">
                  <c:v>-2.681118957243867</c:v>
                </c:pt>
                <c:pt idx="719">
                  <c:v>-2.5707981098738872</c:v>
                </c:pt>
                <c:pt idx="720">
                  <c:v>-2.4371840237057079</c:v>
                </c:pt>
                <c:pt idx="721">
                  <c:v>-2.2816674745253662</c:v>
                </c:pt>
                <c:pt idx="722">
                  <c:v>-2.105836666511741</c:v>
                </c:pt>
                <c:pt idx="723">
                  <c:v>-1.9114610632199347</c:v>
                </c:pt>
                <c:pt idx="724">
                  <c:v>-1.7004735973396881</c:v>
                </c:pt>
                <c:pt idx="725">
                  <c:v>-1.4749514379479427</c:v>
                </c:pt>
                <c:pt idx="726">
                  <c:v>-1.2370955067191238</c:v>
                </c:pt>
                <c:pt idx="727">
                  <c:v>-0.98920894539434778</c:v>
                </c:pt>
                <c:pt idx="728">
                  <c:v>-0.7336747456479833</c:v>
                </c:pt>
                <c:pt idx="729">
                  <c:v>-0.47293275925211775</c:v>
                </c:pt>
                <c:pt idx="730">
                  <c:v>-0.20945631107402085</c:v>
                </c:pt>
                <c:pt idx="731">
                  <c:v>5.4271360084589437E-2</c:v>
                </c:pt>
                <c:pt idx="732">
                  <c:v>0.31578060749704862</c:v>
                </c:pt>
                <c:pt idx="733">
                  <c:v>0.57263860592210913</c:v>
                </c:pt>
                <c:pt idx="734">
                  <c:v>0.82247208496184554</c:v>
                </c:pt>
                <c:pt idx="735">
                  <c:v>1.0629893529912398</c:v>
                </c:pt>
                <c:pt idx="736">
                  <c:v>1.2920014063714733</c:v>
                </c:pt>
                <c:pt idx="737">
                  <c:v>1.507441928669325</c:v>
                </c:pt>
                <c:pt idx="738">
                  <c:v>1.7073859964307203</c:v>
                </c:pt>
                <c:pt idx="739">
                  <c:v>1.8900673215702961</c:v>
                </c:pt>
                <c:pt idx="740">
                  <c:v>2.0538938755039231</c:v>
                </c:pt>
                <c:pt idx="741">
                  <c:v>2.1974617566099601</c:v>
                </c:pt>
                <c:pt idx="742">
                  <c:v>2.319567180293852</c:v>
                </c:pt>
                <c:pt idx="743">
                  <c:v>2.4192164896680399</c:v>
                </c:pt>
                <c:pt idx="744">
                  <c:v>2.4956341044606383</c:v>
                </c:pt>
                <c:pt idx="745">
                  <c:v>2.5482683460374709</c:v>
                </c:pt>
                <c:pt idx="746">
                  <c:v>2.5767950971610305</c:v>
                </c:pt>
                <c:pt idx="747">
                  <c:v>2.5811192761160182</c:v>
                </c:pt>
                <c:pt idx="748">
                  <c:v>2.5613741258997198</c:v>
                </c:pt>
                <c:pt idx="749">
                  <c:v>2.517918340100838</c:v>
                </c:pt>
                <c:pt idx="750">
                  <c:v>2.451331067673582</c:v>
                </c:pt>
                <c:pt idx="751">
                  <c:v>2.3624048588577047</c:v>
                </c:pt>
                <c:pt idx="752">
                  <c:v>2.2521366338080826</c:v>
                </c:pt>
                <c:pt idx="753">
                  <c:v>2.1217167738992702</c:v>
                </c:pt>
                <c:pt idx="754">
                  <c:v>1.9725164529885293</c:v>
                </c:pt>
                <c:pt idx="755">
                  <c:v>1.806073341993905</c:v>
                </c:pt>
                <c:pt idx="756">
                  <c:v>1.6240758348258579</c:v>
                </c:pt>
                <c:pt idx="757">
                  <c:v>1.4283459568681995</c:v>
                </c:pt>
                <c:pt idx="758">
                  <c:v>1.2208211287190089</c:v>
                </c:pt>
                <c:pt idx="759">
                  <c:v>1.0035349676749403</c:v>
                </c:pt>
                <c:pt idx="760">
                  <c:v>0.77859731738904503</c:v>
                </c:pt>
                <c:pt idx="761">
                  <c:v>0.54817370218864503</c:v>
                </c:pt>
                <c:pt idx="762">
                  <c:v>0.3144644066594442</c:v>
                </c:pt>
                <c:pt idx="763">
                  <c:v>7.9683383258625007E-2</c:v>
                </c:pt>
                <c:pt idx="764">
                  <c:v>-0.15396280909557536</c:v>
                </c:pt>
                <c:pt idx="765">
                  <c:v>-0.38429583428445535</c:v>
                </c:pt>
                <c:pt idx="766">
                  <c:v>-0.60918597862957058</c:v>
                </c:pt>
                <c:pt idx="767">
                  <c:v>-0.82657192902751797</c:v>
                </c:pt>
                <c:pt idx="768">
                  <c:v>-1.034479745088517</c:v>
                </c:pt>
                <c:pt idx="769">
                  <c:v>-1.2310408499132728</c:v>
                </c:pt>
                <c:pt idx="770">
                  <c:v>-1.4145088748962102</c:v>
                </c:pt>
                <c:pt idx="771">
                  <c:v>-1.5832752062077855</c:v>
                </c:pt>
                <c:pt idx="772">
                  <c:v>-1.735883094256393</c:v>
                </c:pt>
                <c:pt idx="773">
                  <c:v>-1.871040202319421</c:v>
                </c:pt>
                <c:pt idx="774">
                  <c:v>-1.9876294865075295</c:v>
                </c:pt>
                <c:pt idx="775">
                  <c:v>-2.0847183161254899</c:v>
                </c:pt>
                <c:pt idx="776">
                  <c:v>-2.1615657611462065</c:v>
                </c:pt>
                <c:pt idx="777">
                  <c:v>-2.2176279917424861</c:v>
                </c:pt>
                <c:pt idx="778">
                  <c:v>-2.2525617534446583</c:v>
                </c:pt>
                <c:pt idx="779">
                  <c:v>-2.2662259003272922</c:v>
                </c:pt>
                <c:pt idx="780">
                  <c:v>-2.258680987487744</c:v>
                </c:pt>
                <c:pt idx="781">
                  <c:v>-2.2301869427828462</c:v>
                </c:pt>
                <c:pt idx="782">
                  <c:v>-2.1811988561537827</c:v>
                </c:pt>
                <c:pt idx="783">
                  <c:v>-2.1123609427196159</c:v>
                </c:pt>
                <c:pt idx="784">
                  <c:v>-2.0244987529842411</c:v>
                </c:pt>
                <c:pt idx="785">
                  <c:v>-1.9186097198198837</c:v>
                </c:pt>
                <c:pt idx="786">
                  <c:v>-1.7958521472095814</c:v>
                </c:pt>
                <c:pt idx="787">
                  <c:v>-1.6575327599084579</c:v>
                </c:pt>
                <c:pt idx="788">
                  <c:v>-1.5050929460911264</c:v>
                </c:pt>
                <c:pt idx="789">
                  <c:v>-1.3400938365735162</c:v>
                </c:pt>
                <c:pt idx="790">
                  <c:v>-1.1642003742295595</c:v>
                </c:pt>
                <c:pt idx="791">
                  <c:v>-0.97916453568123596</c:v>
                </c:pt>
                <c:pt idx="792">
                  <c:v>-0.78680787415349829</c:v>
                </c:pt>
                <c:pt idx="793">
                  <c:v>-0.58900355750010114</c:v>
                </c:pt>
                <c:pt idx="794">
                  <c:v>-0.38765807878622005</c:v>
                </c:pt>
                <c:pt idx="795">
                  <c:v>-0.18469281843904239</c:v>
                </c:pt>
                <c:pt idx="796">
                  <c:v>1.797436315287082E-2</c:v>
                </c:pt>
                <c:pt idx="797">
                  <c:v>0.21844732558155067</c:v>
                </c:pt>
                <c:pt idx="798">
                  <c:v>0.4148694674727007</c:v>
                </c:pt>
                <c:pt idx="799">
                  <c:v>0.6054409964579115</c:v>
                </c:pt>
                <c:pt idx="800">
                  <c:v>0.78843548870678504</c:v>
                </c:pt>
                <c:pt idx="801">
                  <c:v>0.96221558500764237</c:v>
                </c:pt>
                <c:pt idx="802">
                  <c:v>1.1252476801520692</c:v>
                </c:pt>
                <c:pt idx="803">
                  <c:v>1.2761154734589077</c:v>
                </c:pt>
                <c:pt idx="804">
                  <c:v>1.413532260545205</c:v>
                </c:pt>
                <c:pt idx="805">
                  <c:v>1.5363518597875065</c:v>
                </c:pt>
                <c:pt idx="806">
                  <c:v>1.6435780811736931</c:v>
                </c:pt>
                <c:pt idx="807">
                  <c:v>1.7343726602776879</c:v>
                </c:pt>
                <c:pt idx="808">
                  <c:v>1.8080615957427455</c:v>
                </c:pt>
                <c:pt idx="809">
                  <c:v>1.8641398447720827</c:v>
                </c:pt>
                <c:pt idx="810">
                  <c:v>1.9022743475382518</c:v>
                </c:pt>
                <c:pt idx="811">
                  <c:v>1.9223053679708211</c:v>
                </c:pt>
                <c:pt idx="812">
                  <c:v>1.9242461548992731</c:v>
                </c:pt>
                <c:pt idx="813">
                  <c:v>1.9082809438545771</c:v>
                </c:pt>
                <c:pt idx="814">
                  <c:v>1.8747613358092701</c:v>
                </c:pt>
                <c:pt idx="815">
                  <c:v>1.8242011046056992</c:v>
                </c:pt>
                <c:pt idx="816">
                  <c:v>1.7572694996395639</c:v>
                </c:pt>
                <c:pt idx="817">
                  <c:v>1.6747831243902984</c:v>
                </c:pt>
                <c:pt idx="818">
                  <c:v>1.5776964844882719</c:v>
                </c:pt>
                <c:pt idx="819">
                  <c:v>1.4670913110621768</c:v>
                </c:pt>
                <c:pt idx="820">
                  <c:v>1.3441647760082631</c:v>
                </c:pt>
                <c:pt idx="821">
                  <c:v>1.2102167254678431</c:v>
                </c:pt>
                <c:pt idx="822">
                  <c:v>1.0666360661087384</c:v>
                </c:pt>
                <c:pt idx="823">
                  <c:v>0.91488644570859301</c:v>
                </c:pt>
                <c:pt idx="824">
                  <c:v>0.75649137497904029</c:v>
                </c:pt>
                <c:pt idx="825">
                  <c:v>0.59301894150835954</c:v>
                </c:pt>
                <c:pt idx="826">
                  <c:v>0.42606626911237777</c:v>
                </c:pt>
                <c:pt idx="827">
                  <c:v>0.2572438767587546</c:v>
                </c:pt>
                <c:pt idx="828">
                  <c:v>8.8160090574574745E-2</c:v>
                </c:pt>
                <c:pt idx="829">
                  <c:v>-7.9594339717405482E-2</c:v>
                </c:pt>
                <c:pt idx="830">
                  <c:v>-0.24446127222728586</c:v>
                </c:pt>
                <c:pt idx="831">
                  <c:v>-0.40492970954637353</c:v>
                </c:pt>
                <c:pt idx="832">
                  <c:v>-0.55954970439135243</c:v>
                </c:pt>
                <c:pt idx="833">
                  <c:v>-0.70694550572411896</c:v>
                </c:pt>
                <c:pt idx="834">
                  <c:v>-0.84582782572308535</c:v>
                </c:pt>
                <c:pt idx="835">
                  <c:v>-0.97500511797068645</c:v>
                </c:pt>
                <c:pt idx="836">
                  <c:v>-1.0933937681939083</c:v>
                </c:pt>
                <c:pt idx="837">
                  <c:v>-1.2000271107286924</c:v>
                </c:pt>
                <c:pt idx="838">
                  <c:v>-1.2940631964500693</c:v>
                </c:pt>
                <c:pt idx="839">
                  <c:v>-1.374791251085246</c:v>
                </c:pt>
                <c:pt idx="840">
                  <c:v>-1.4416367764665587</c:v>
                </c:pt>
                <c:pt idx="841">
                  <c:v>-1.494165261246216</c:v>
                </c:pt>
                <c:pt idx="842">
                  <c:v>-1.5320844817421411</c:v>
                </c:pt>
                <c:pt idx="843">
                  <c:v>-1.5552453877678327</c:v>
                </c:pt>
                <c:pt idx="844">
                  <c:v>-1.5636415823799377</c:v>
                </c:pt>
                <c:pt idx="845">
                  <c:v>-1.5574074183117126</c:v>
                </c:pt>
                <c:pt idx="846">
                  <c:v>-1.5368147473156237</c:v>
                </c:pt>
                <c:pt idx="847">
                  <c:v>-1.5022683715793264</c:v>
                </c:pt>
                <c:pt idx="848">
                  <c:v>-1.4543002586839826</c:v>
                </c:pt>
                <c:pt idx="849">
                  <c:v>-1.3935625931249127</c:v>
                </c:pt>
                <c:pt idx="850">
                  <c:v>-1.32081974810162</c:v>
                </c:pt>
                <c:pt idx="851">
                  <c:v>-1.2369392710108702</c:v>
                </c:pt>
                <c:pt idx="852">
                  <c:v>-1.142881984754357</c:v>
                </c:pt>
                <c:pt idx="853">
                  <c:v>-1.0396913145237385</c:v>
                </c:pt>
                <c:pt idx="854">
                  <c:v>-0.92848195608804907</c:v>
                </c:pt>
                <c:pt idx="855">
                  <c:v>-0.81042800672948623</c:v>
                </c:pt>
                <c:pt idx="856">
                  <c:v>-0.68675068381419657</c:v>
                </c:pt>
                <c:pt idx="857">
                  <c:v>-0.55870575852111815</c:v>
                </c:pt>
                <c:pt idx="858">
                  <c:v>-0.42757083347204472</c:v>
                </c:pt>
                <c:pt idx="859">
                  <c:v>-0.29463259291169774</c:v>
                </c:pt>
                <c:pt idx="860">
                  <c:v>-0.16117415269380531</c:v>
                </c:pt>
                <c:pt idx="861">
                  <c:v>-2.8462634665727959E-2</c:v>
                </c:pt>
                <c:pt idx="862">
                  <c:v>0.10226291384812281</c:v>
                </c:pt>
                <c:pt idx="863">
                  <c:v>0.22980313983222422</c:v>
                </c:pt>
                <c:pt idx="864">
                  <c:v>0.35300943418232</c:v>
                </c:pt>
                <c:pt idx="865">
                  <c:v>0.4707943088864921</c:v>
                </c:pt>
                <c:pt idx="866">
                  <c:v>0.58214100771171573</c:v>
                </c:pt>
                <c:pt idx="867">
                  <c:v>0.68611226534329517</c:v>
                </c:pt>
                <c:pt idx="868">
                  <c:v>0.78185813969976126</c:v>
                </c:pt>
                <c:pt idx="869">
                  <c:v>0.86862285256505201</c:v>
                </c:pt>
                <c:pt idx="870">
                  <c:v>0.94575058463030548</c:v>
                </c:pt>
                <c:pt idx="871">
                  <c:v>1.0126901824012389</c:v>
                </c:pt>
                <c:pt idx="872">
                  <c:v>1.068998746080235</c:v>
                </c:pt>
                <c:pt idx="873">
                  <c:v>1.1143440793534742</c:v>
                </c:pt>
                <c:pt idx="874">
                  <c:v>1.1485059938793647</c:v>
                </c:pt>
                <c:pt idx="875">
                  <c:v>1.1713764730598428</c:v>
                </c:pt>
                <c:pt idx="876">
                  <c:v>1.1829587112623852</c:v>
                </c:pt>
                <c:pt idx="877">
                  <c:v>1.1833650559303885</c:v>
                </c:pt>
                <c:pt idx="878">
                  <c:v>1.1728138908577461</c:v>
                </c:pt>
                <c:pt idx="879">
                  <c:v>1.1516255092050955</c:v>
                </c:pt>
                <c:pt idx="880">
                  <c:v>1.1202170344997175</c:v>
                </c:pt>
                <c:pt idx="881">
                  <c:v>1.079096456793476</c:v>
                </c:pt>
                <c:pt idx="882">
                  <c:v>1.0288558592716064</c:v>
                </c:pt>
                <c:pt idx="883">
                  <c:v>0.97016391783452804</c:v>
                </c:pt>
                <c:pt idx="884">
                  <c:v>0.90375776244843808</c:v>
                </c:pt>
                <c:pt idx="885">
                  <c:v>0.83043429432710425</c:v>
                </c:pt>
                <c:pt idx="886">
                  <c:v>0.75104105722156178</c:v>
                </c:pt>
                <c:pt idx="887">
                  <c:v>0.66646676422709006</c:v>
                </c:pt>
                <c:pt idx="888">
                  <c:v>0.57763158354601374</c:v>
                </c:pt>
                <c:pt idx="889">
                  <c:v>0.4854772875643909</c:v>
                </c:pt>
                <c:pt idx="890">
                  <c:v>0.39095736941365833</c:v>
                </c:pt>
                <c:pt idx="891">
                  <c:v>0.29502722990977626</c:v>
                </c:pt>
                <c:pt idx="892">
                  <c:v>0.19863453542009202</c:v>
                </c:pt>
                <c:pt idx="893">
                  <c:v>0.10270984383907278</c:v>
                </c:pt>
                <c:pt idx="894">
                  <c:v>8.1575915065750237E-3</c:v>
                </c:pt>
                <c:pt idx="895">
                  <c:v>-8.4152471365197545E-2</c:v>
                </c:pt>
                <c:pt idx="896">
                  <c:v>-0.17339331531101587</c:v>
                </c:pt>
                <c:pt idx="897">
                  <c:v>-0.25878806173160385</c:v>
                </c:pt>
                <c:pt idx="898">
                  <c:v>-0.33961674155873789</c:v>
                </c:pt>
                <c:pt idx="899">
                  <c:v>-0.41522232371190504</c:v>
                </c:pt>
                <c:pt idx="900">
                  <c:v>-0.48501596330047003</c:v>
                </c:pt>
                <c:pt idx="901">
                  <c:v>-0.54848142864499483</c:v>
                </c:pt>
                <c:pt idx="902">
                  <c:v>-0.60517867562003536</c:v>
                </c:pt>
                <c:pt idx="903">
                  <c:v>-0.65474654745148708</c:v>
                </c:pt>
                <c:pt idx="904">
                  <c:v>-0.69690458783100662</c:v>
                </c:pt>
                <c:pt idx="905">
                  <c:v>-0.73145396492974213</c:v>
                </c:pt>
                <c:pt idx="906">
                  <c:v>-0.75827751350181449</c:v>
                </c:pt>
                <c:pt idx="907">
                  <c:v>-0.77733891165912505</c:v>
                </c:pt>
                <c:pt idx="908">
                  <c:v>-0.78868101797654033</c:v>
                </c:pt>
                <c:pt idx="909">
                  <c:v>-0.79242340325598026</c:v>
                </c:pt>
                <c:pt idx="910">
                  <c:v>-0.78875911944800814</c:v>
                </c:pt>
                <c:pt idx="911">
                  <c:v>-0.7779507558197557</c:v>
                </c:pt>
                <c:pt idx="912">
                  <c:v>-0.76032583939285947</c:v>
                </c:pt>
                <c:pt idx="913">
                  <c:v>-0.73627164288459257</c:v>
                </c:pt>
                <c:pt idx="914">
                  <c:v>-0.70622946881284199</c:v>
                </c:pt>
                <c:pt idx="915">
                  <c:v>-0.670688483020903</c:v>
                </c:pt>
                <c:pt idx="916">
                  <c:v>-0.63017917459885586</c:v>
                </c:pt>
                <c:pt idx="917">
                  <c:v>-0.58526652199646345</c:v>
                </c:pt>
                <c:pt idx="918">
                  <c:v>-0.53654294701751959</c:v>
                </c:pt>
                <c:pt idx="919">
                  <c:v>-0.48462113934595585</c:v>
                </c:pt>
                <c:pt idx="920">
                  <c:v>-0.43012683428223109</c:v>
                </c:pt>
                <c:pt idx="921">
                  <c:v>-0.37369162547486057</c:v>
                </c:pt>
                <c:pt idx="922">
                  <c:v>-0.31594589263610273</c:v>
                </c:pt>
                <c:pt idx="923">
                  <c:v>-0.25751192156493907</c:v>
                </c:pt>
                <c:pt idx="924">
                  <c:v>-0.19899729030376601</c:v>
                </c:pt>
                <c:pt idx="925">
                  <c:v>-0.1409885909759625</c:v>
                </c:pt>
                <c:pt idx="926">
                  <c:v>-8.4045551847499844E-2</c:v>
                </c:pt>
                <c:pt idx="927">
                  <c:v>-2.8695618490842234E-2</c:v>
                </c:pt>
                <c:pt idx="928">
                  <c:v>2.4570953325171452E-2</c:v>
                </c:pt>
                <c:pt idx="929">
                  <c:v>7.5305447162802963E-2</c:v>
                </c:pt>
                <c:pt idx="930">
                  <c:v>0.12310443920082204</c:v>
                </c:pt>
                <c:pt idx="931">
                  <c:v>0.16761292416052553</c:v>
                </c:pt>
                <c:pt idx="932">
                  <c:v>0.20852679055166079</c:v>
                </c:pt>
                <c:pt idx="933">
                  <c:v>0.24559462987805469</c:v>
                </c:pt>
                <c:pt idx="934">
                  <c:v>0.27861887247546924</c:v>
                </c:pt>
                <c:pt idx="935">
                  <c:v>0.3074562506652182</c:v>
                </c:pt>
                <c:pt idx="936">
                  <c:v>0.33201759780632867</c:v>
                </c:pt>
                <c:pt idx="937">
                  <c:v>0.35226699952782803</c:v>
                </c:pt>
                <c:pt idx="938">
                  <c:v>0.36822032083278572</c:v>
                </c:pt>
                <c:pt idx="939">
                  <c:v>0.37994313980658162</c:v>
                </c:pt>
                <c:pt idx="940">
                  <c:v>0.38754812525643517</c:v>
                </c:pt>
                <c:pt idx="941">
                  <c:v>0.39119190168353485</c:v>
                </c:pt>
                <c:pt idx="942">
                  <c:v>0.39107145048003306</c:v>
                </c:pt>
                <c:pt idx="943">
                  <c:v>0.38742010109282154</c:v>
                </c:pt>
                <c:pt idx="944">
                  <c:v>0.38050317005139178</c:v>
                </c:pt>
                <c:pt idx="945">
                  <c:v>0.37061330917974367</c:v>
                </c:pt>
                <c:pt idx="946">
                  <c:v>0.35806562696556743</c:v>
                </c:pt>
                <c:pt idx="947">
                  <c:v>0.3431926489227316</c:v>
                </c:pt>
                <c:pt idx="948">
                  <c:v>0.32633918383694693</c:v>
                </c:pt>
                <c:pt idx="949">
                  <c:v>0.30785716302624189</c:v>
                </c:pt>
                <c:pt idx="950">
                  <c:v>0.28810051918098067</c:v>
                </c:pt>
                <c:pt idx="951">
                  <c:v>0.26742016998368934</c:v>
                </c:pt>
                <c:pt idx="952">
                  <c:v>0.24615916957113759</c:v>
                </c:pt>
                <c:pt idx="953">
                  <c:v>0.22464808802044134</c:v>
                </c:pt>
                <c:pt idx="954">
                  <c:v>0.2032006754552671</c:v>
                </c:pt>
                <c:pt idx="955">
                  <c:v>0.18210986312659561</c:v>
                </c:pt>
                <c:pt idx="956">
                  <c:v>0.16164414897890489</c:v>
                </c:pt>
                <c:pt idx="957">
                  <c:v>0.14204440982762034</c:v>
                </c:pt>
                <c:pt idx="958">
                  <c:v>0.12352117641573801</c:v>
                </c:pt>
                <c:pt idx="959">
                  <c:v>0.10625240135850289</c:v>
                </c:pt>
                <c:pt idx="960">
                  <c:v>9.0381743401566572E-2</c:v>
                </c:pt>
                <c:pt idx="961">
                  <c:v>7.6017384591100523E-2</c:v>
                </c:pt>
                <c:pt idx="962">
                  <c:v>6.3231389965950902E-2</c:v>
                </c:pt>
                <c:pt idx="963">
                  <c:v>5.2059612317010284E-2</c:v>
                </c:pt>
                <c:pt idx="964">
                  <c:v>4.2502137502483883E-2</c:v>
                </c:pt>
                <c:pt idx="965">
                  <c:v>3.4524258843493305E-2</c:v>
                </c:pt>
                <c:pt idx="966">
                  <c:v>2.8057962337119324E-2</c:v>
                </c:pt>
                <c:pt idx="967">
                  <c:v>2.3003897892885039E-2</c:v>
                </c:pt>
                <c:pt idx="968">
                  <c:v>1.9233805603243281E-2</c:v>
                </c:pt>
                <c:pt idx="969">
                  <c:v>1.6593360270366952E-2</c:v>
                </c:pt>
                <c:pt idx="970">
                  <c:v>1.4905392101567494E-2</c:v>
                </c:pt>
                <c:pt idx="971">
                  <c:v>1.3973436715304266E-2</c:v>
                </c:pt>
                <c:pt idx="972">
                  <c:v>1.3585563425093483E-2</c:v>
                </c:pt>
                <c:pt idx="973">
                  <c:v>1.3518427241294734E-2</c:v>
                </c:pt>
                <c:pt idx="974">
                  <c:v>1.3541487190592769E-2</c:v>
                </c:pt>
                <c:pt idx="975">
                  <c:v>1.342133143340446E-2</c:v>
                </c:pt>
                <c:pt idx="976">
                  <c:v>1.2926048287958014E-2</c:v>
                </c:pt>
                <c:pt idx="977">
                  <c:v>1.1829581660541821E-2</c:v>
                </c:pt>
                <c:pt idx="978">
                  <c:v>9.9160095417458738E-3</c:v>
                </c:pt>
                <c:pt idx="979">
                  <c:v>6.98368515911163E-3</c:v>
                </c:pt>
                <c:pt idx="980">
                  <c:v>2.8491820643965493E-3</c:v>
                </c:pt>
                <c:pt idx="981">
                  <c:v>-2.6490131408478668E-3</c:v>
                </c:pt>
                <c:pt idx="982">
                  <c:v>-9.6471136006499592E-3</c:v>
                </c:pt>
                <c:pt idx="983">
                  <c:v>-1.8252999870672415E-2</c:v>
                </c:pt>
                <c:pt idx="984">
                  <c:v>-2.8543587366985479E-2</c:v>
                </c:pt>
                <c:pt idx="985">
                  <c:v>-4.05626334941116E-2</c:v>
                </c:pt>
                <c:pt idx="986">
                  <c:v>-5.4319018816731512E-2</c:v>
                </c:pt>
                <c:pt idx="987">
                  <c:v>-6.9785530655329886E-2</c:v>
                </c:pt>
                <c:pt idx="988">
                  <c:v>-8.6898171119360601E-2</c:v>
                </c:pt>
                <c:pt idx="989">
                  <c:v>-0.10555600491967909</c:v>
                </c:pt>
                <c:pt idx="990">
                  <c:v>-0.12562155540244824</c:v>
                </c:pt>
                <c:pt idx="991">
                  <c:v>-0.14692175020293208</c:v>
                </c:pt>
                <c:pt idx="992">
                  <c:v>-0.16924941081236233</c:v>
                </c:pt>
                <c:pt idx="993">
                  <c:v>-0.1923652732706489</c:v>
                </c:pt>
                <c:pt idx="994">
                  <c:v>-0.21600052022649852</c:v>
                </c:pt>
                <c:pt idx="995">
                  <c:v>-0.23985979782889566</c:v>
                </c:pt>
                <c:pt idx="996">
                  <c:v>-0.26362468441252362</c:v>
                </c:pt>
                <c:pt idx="997">
                  <c:v>-0.28695757179327397</c:v>
                </c:pt>
                <c:pt idx="998">
                  <c:v>-0.30950591427504492</c:v>
                </c:pt>
                <c:pt idx="999">
                  <c:v>-0.33090679525622635</c:v>
                </c:pt>
                <c:pt idx="1000">
                  <c:v>-0.35079175667848783</c:v>
                </c:pt>
                <c:pt idx="1001">
                  <c:v>-0.36879183254244874</c:v>
                </c:pt>
                <c:pt idx="1002">
                  <c:v>-0.3845427243758176</c:v>
                </c:pt>
                <c:pt idx="1003">
                  <c:v>-0.39769005392384232</c:v>
                </c:pt>
                <c:pt idx="1004">
                  <c:v>-0.40789462647788277</c:v>
                </c:pt>
                <c:pt idx="1005">
                  <c:v>-0.4148376371920553</c:v>
                </c:pt>
                <c:pt idx="1006">
                  <c:v>-0.41822575247880145</c:v>
                </c:pt>
                <c:pt idx="1007">
                  <c:v>-0.41779599913422705</c:v>
                </c:pt>
                <c:pt idx="1008">
                  <c:v>-0.41332039522032143</c:v>
                </c:pt>
                <c:pt idx="1009">
                  <c:v>-0.40461025891780272</c:v>
                </c:pt>
                <c:pt idx="1010">
                  <c:v>-0.39152013453871526</c:v>
                </c:pt>
                <c:pt idx="1011">
                  <c:v>-0.37395127862792654</c:v>
                </c:pt>
                <c:pt idx="1012">
                  <c:v>-0.35185465354814416</c:v>
                </c:pt>
                <c:pt idx="1013">
                  <c:v>-0.32523338108882749</c:v>
                </c:pt>
                <c:pt idx="1014">
                  <c:v>-0.29414461441427253</c:v>
                </c:pt>
                <c:pt idx="1015">
                  <c:v>-0.25870079300686522</c:v>
                </c:pt>
                <c:pt idx="1016">
                  <c:v>-0.21907025210021835</c:v>
                </c:pt>
                <c:pt idx="1017">
                  <c:v>-0.1754771653614533</c:v>
                </c:pt>
                <c:pt idx="1018">
                  <c:v>-0.12820080719031468</c:v>
                </c:pt>
                <c:pt idx="1019">
                  <c:v>-7.7574128871206849E-2</c:v>
                </c:pt>
                <c:pt idx="1020">
                  <c:v>-2.3981650856241155E-2</c:v>
                </c:pt>
                <c:pt idx="1021">
                  <c:v>3.2143318419679101E-2</c:v>
                </c:pt>
                <c:pt idx="1022">
                  <c:v>9.032211867870088E-2</c:v>
                </c:pt>
                <c:pt idx="1023">
                  <c:v>0.15003480237280509</c:v>
                </c:pt>
                <c:pt idx="1024">
                  <c:v>0.2107247933559544</c:v>
                </c:pt>
                <c:pt idx="1025">
                  <c:v>0.2718040977985241</c:v>
                </c:pt>
                <c:pt idx="1026">
                  <c:v>0.33265901834027023</c:v>
                </c:pt>
                <c:pt idx="1027">
                  <c:v>0.39265631579470228</c:v>
                </c:pt>
                <c:pt idx="1028">
                  <c:v>0.45114975657819367</c:v>
                </c:pt>
                <c:pt idx="1029">
                  <c:v>0.50748697851776359</c:v>
                </c:pt>
                <c:pt idx="1030">
                  <c:v>0.56101660286170629</c:v>
                </c:pt>
                <c:pt idx="1031">
                  <c:v>0.61109551624020741</c:v>
                </c:pt>
                <c:pt idx="1032">
                  <c:v>0.65709624305274461</c:v>
                </c:pt>
                <c:pt idx="1033">
                  <c:v>0.69841432634305312</c:v>
                </c:pt>
                <c:pt idx="1034">
                  <c:v>0.73447563369740942</c:v>
                </c:pt>
                <c:pt idx="1035">
                  <c:v>0.76474350409518554</c:v>
                </c:pt>
                <c:pt idx="1036">
                  <c:v>0.78872565197161493</c:v>
                </c:pt>
                <c:pt idx="1037">
                  <c:v>0.80598074602790593</c:v>
                </c:pt>
                <c:pt idx="1038">
                  <c:v>0.81612458254009901</c:v>
                </c:pt>
                <c:pt idx="1039">
                  <c:v>0.81883577606429692</c:v>
                </c:pt>
                <c:pt idx="1040">
                  <c:v>0.81386089448685461</c:v>
                </c:pt>
                <c:pt idx="1041">
                  <c:v>0.8010189702897007</c:v>
                </c:pt>
                <c:pt idx="1042">
                  <c:v>0.78020532565183753</c:v>
                </c:pt>
                <c:pt idx="1043">
                  <c:v>0.75139465553282592</c:v>
                </c:pt>
                <c:pt idx="1044">
                  <c:v>0.71464332012028875</c:v>
                </c:pt>
                <c:pt idx="1045">
                  <c:v>0.67009080590275161</c:v>
                </c:pt>
                <c:pt idx="1046">
                  <c:v>0.61796032307062354</c:v>
                </c:pt>
                <c:pt idx="1047">
                  <c:v>0.5585585158663009</c:v>
                </c:pt>
                <c:pt idx="1048">
                  <c:v>0.49227427181011585</c:v>
                </c:pt>
                <c:pt idx="1049">
                  <c:v>0.41957662532183893</c:v>
                </c:pt>
                <c:pt idx="1050">
                  <c:v>0.34101176103985642</c:v>
                </c:pt>
                <c:pt idx="1051">
                  <c:v>0.25719913200481503</c:v>
                </c:pt>
                <c:pt idx="1052">
                  <c:v>0.16882671771842017</c:v>
                </c:pt>
                <c:pt idx="1053">
                  <c:v>7.6645456801646139E-2</c:v>
                </c:pt>
                <c:pt idx="1054">
                  <c:v>-1.8537101546419965E-2</c:v>
                </c:pt>
                <c:pt idx="1055">
                  <c:v>-0.11586387395164111</c:v>
                </c:pt>
                <c:pt idx="1056">
                  <c:v>-0.21443598510151629</c:v>
                </c:pt>
                <c:pt idx="1057">
                  <c:v>-0.31332110564032556</c:v>
                </c:pt>
                <c:pt idx="1058">
                  <c:v>-0.41156230803846916</c:v>
                </c:pt>
                <c:pt idx="1059">
                  <c:v>-0.50818735597017684</c:v>
                </c:pt>
                <c:pt idx="1060">
                  <c:v>-0.60221833676087777</c:v>
                </c:pt>
                <c:pt idx="1061">
                  <c:v>-0.69268154137528204</c:v>
                </c:pt>
                <c:pt idx="1062">
                  <c:v>-0.77861749227557375</c:v>
                </c:pt>
                <c:pt idx="1063">
                  <c:v>-0.8590910163413038</c:v>
                </c:pt>
                <c:pt idx="1064">
                  <c:v>-0.93320125795508113</c:v>
                </c:pt>
                <c:pt idx="1065">
                  <c:v>-1.0000915263560226</c:v>
                </c:pt>
                <c:pt idx="1066">
                  <c:v>-1.0589588714695171</c:v>
                </c:pt>
                <c:pt idx="1067">
                  <c:v>-1.1090632836507839</c:v>
                </c:pt>
                <c:pt idx="1068">
                  <c:v>-1.1497364151310148</c:v>
                </c:pt>
                <c:pt idx="1069">
                  <c:v>-1.1803897244166364</c:v>
                </c:pt>
                <c:pt idx="1070">
                  <c:v>-1.200521949443428</c:v>
                </c:pt>
                <c:pt idx="1071">
                  <c:v>-1.2097258208904837</c:v>
                </c:pt>
                <c:pt idx="1072">
                  <c:v>-1.2076939336704742</c:v>
                </c:pt>
                <c:pt idx="1073">
                  <c:v>-1.1942237021720761</c:v>
                </c:pt>
                <c:pt idx="1074">
                  <c:v>-1.1692213332728172</c:v>
                </c:pt>
                <c:pt idx="1075">
                  <c:v>-1.1327047603856095</c:v>
                </c:pt>
                <c:pt idx="1076">
                  <c:v>-1.0848054917623449</c:v>
                </c:pt>
                <c:pt idx="1077">
                  <c:v>-1.0257693368595624</c:v>
                </c:pt>
                <c:pt idx="1078">
                  <c:v>-0.9559559856687726</c:v>
                </c:pt>
                <c:pt idx="1079">
                  <c:v>-0.87583742741754944</c:v>
                </c:pt>
                <c:pt idx="1080">
                  <c:v>-0.78599520684402058</c:v>
                </c:pt>
                <c:pt idx="1081">
                  <c:v>-0.68711652821490565</c:v>
                </c:pt>
                <c:pt idx="1082">
                  <c:v>-0.57998922927326313</c:v>
                </c:pt>
                <c:pt idx="1083">
                  <c:v>-0.46549565924428449</c:v>
                </c:pt>
                <c:pt idx="1084">
                  <c:v>-0.34460550676848123</c:v>
                </c:pt>
                <c:pt idx="1085">
                  <c:v>-0.21836763504761314</c:v>
                </c:pt>
                <c:pt idx="1086">
                  <c:v>-8.7900992459242877E-2</c:v>
                </c:pt>
                <c:pt idx="1087">
                  <c:v>4.5615322699922745E-2</c:v>
                </c:pt>
                <c:pt idx="1088">
                  <c:v>0.1809527549574006</c:v>
                </c:pt>
                <c:pt idx="1089">
                  <c:v>0.31684464457309836</c:v>
                </c:pt>
                <c:pt idx="1090">
                  <c:v>0.45199813524313348</c:v>
                </c:pt>
                <c:pt idx="1091">
                  <c:v>0.5851065241645661</c:v>
                </c:pt>
                <c:pt idx="1092">
                  <c:v>0.71486193602742132</c:v>
                </c:pt>
                <c:pt idx="1093">
                  <c:v>0.83996819764092923</c:v>
                </c:pt>
                <c:pt idx="1094">
                  <c:v>0.95915378624455994</c:v>
                </c:pt>
                <c:pt idx="1095">
                  <c:v>1.0711847221515565</c:v>
                </c:pt>
                <c:pt idx="1096">
                  <c:v>1.1748772752619907</c:v>
                </c:pt>
                <c:pt idx="1097">
                  <c:v>1.2691103551898917</c:v>
                </c:pt>
                <c:pt idx="1098">
                  <c:v>1.3528374562863177</c:v>
                </c:pt>
                <c:pt idx="1099">
                  <c:v>1.4250980317071542</c:v>
                </c:pt>
                <c:pt idx="1100">
                  <c:v>1.4850281748556153</c:v>
                </c:pt>
                <c:pt idx="1101">
                  <c:v>1.5318704919958661</c:v>
                </c:pt>
                <c:pt idx="1102">
                  <c:v>1.5649830565453577</c:v>
                </c:pt>
                <c:pt idx="1103">
                  <c:v>1.5838473434533158</c:v>
                </c:pt>
                <c:pt idx="1104">
                  <c:v>1.5880750510929802</c:v>
                </c:pt>
                <c:pt idx="1105">
                  <c:v>1.5774137281577185</c:v>
                </c:pt>
                <c:pt idx="1106">
                  <c:v>1.5517511340630783</c:v>
                </c:pt>
                <c:pt idx="1107">
                  <c:v>1.5111182732159161</c:v>
                </c:pt>
                <c:pt idx="1108">
                  <c:v>1.4556910561086107</c:v>
                </c:pt>
                <c:pt idx="1109">
                  <c:v>1.3857905534089041</c:v>
                </c:pt>
                <c:pt idx="1110">
                  <c:v>1.3018818229162457</c:v>
                </c:pt>
                <c:pt idx="1111">
                  <c:v>1.2045713033125911</c:v>
                </c:pt>
                <c:pt idx="1112">
                  <c:v>1.0946027829071308</c:v>
                </c:pt>
                <c:pt idx="1113">
                  <c:v>0.97285196592161027</c:v>
                </c:pt>
                <c:pt idx="1114">
                  <c:v>0.84031967313807265</c:v>
                </c:pt>
                <c:pt idx="1115">
                  <c:v>0.69812372779266041</c:v>
                </c:pt>
                <c:pt idx="1116">
                  <c:v>0.54748959130074093</c:v>
                </c:pt>
                <c:pt idx="1117">
                  <c:v>0.38973982659850193</c:v>
                </c:pt>
                <c:pt idx="1118">
                  <c:v>0.22628247944819613</c:v>
                </c:pt>
                <c:pt idx="1119">
                  <c:v>5.8598479843241069E-2</c:v>
                </c:pt>
                <c:pt idx="1120">
                  <c:v>-0.11177182346048009</c:v>
                </c:pt>
                <c:pt idx="1121">
                  <c:v>-0.28324287238645973</c:v>
                </c:pt>
                <c:pt idx="1122">
                  <c:v>-0.45419872130450756</c:v>
                </c:pt>
                <c:pt idx="1123">
                  <c:v>-0.62300833195263827</c:v>
                </c:pt>
                <c:pt idx="1124">
                  <c:v>-0.78804119613337886</c:v>
                </c:pt>
                <c:pt idx="1125">
                  <c:v>-0.94768313598173859</c:v>
                </c:pt>
                <c:pt idx="1126">
                  <c:v>-1.1003521282290405</c:v>
                </c:pt>
                <c:pt idx="1127">
                  <c:v>-1.2445139970103467</c:v>
                </c:pt>
                <c:pt idx="1128">
                  <c:v>-1.3786978194171144</c:v>
                </c:pt>
                <c:pt idx="1129">
                  <c:v>-1.5015108891983329</c:v>
                </c:pt>
                <c:pt idx="1130">
                  <c:v>-1.6116530867656571</c:v>
                </c:pt>
                <c:pt idx="1131">
                  <c:v>-1.7079305079477556</c:v>
                </c:pt>
                <c:pt idx="1132">
                  <c:v>-1.7892682097382064</c:v>
                </c:pt>
                <c:pt idx="1133">
                  <c:v>-1.8547219385449409</c:v>
                </c:pt>
                <c:pt idx="1134">
                  <c:v>-1.9034887151197644</c:v>
                </c:pt>
                <c:pt idx="1135">
                  <c:v>-1.9349161603496188</c:v>
                </c:pt>
                <c:pt idx="1136">
                  <c:v>-1.9485104573388252</c:v>
                </c:pt>
                <c:pt idx="1137">
                  <c:v>-1.943942857604537</c:v>
                </c:pt>
                <c:pt idx="1138">
                  <c:v>-1.9210546526317098</c:v>
                </c:pt>
                <c:pt idx="1139">
                  <c:v>-1.8798605463642022</c:v>
                </c:pt>
                <c:pt idx="1140">
                  <c:v>-1.8205503793129092</c:v>
                </c:pt>
                <c:pt idx="1141">
                  <c:v>-1.7434891706949378</c:v>
                </c:pt>
                <c:pt idx="1142">
                  <c:v>-1.6492154612287417</c:v>
                </c:pt>
                <c:pt idx="1143">
                  <c:v>-1.5384379557443506</c:v>
                </c:pt>
                <c:pt idx="1144">
                  <c:v>-1.4120304814618969</c:v>
                </c:pt>
                <c:pt idx="1145">
                  <c:v>-1.2710252944811993</c:v>
                </c:pt>
                <c:pt idx="1146">
                  <c:v>-1.1166047835470347</c:v>
                </c:pt>
                <c:pt idx="1147">
                  <c:v>-0.9500916363413312</c:v>
                </c:pt>
                <c:pt idx="1148">
                  <c:v>-0.77293754924168923</c:v>
                </c:pt>
                <c:pt idx="1149">
                  <c:v>-0.58671057651799829</c:v>
                </c:pt>
                <c:pt idx="1150">
                  <c:v>-0.39308122915873422</c:v>
                </c:pt>
                <c:pt idx="1151">
                  <c:v>-0.19380744677848982</c:v>
                </c:pt>
                <c:pt idx="1152">
                  <c:v>9.2814217786632014E-3</c:v>
                </c:pt>
                <c:pt idx="1153">
                  <c:v>0.214301482591718</c:v>
                </c:pt>
                <c:pt idx="1154">
                  <c:v>0.41933184943418467</c:v>
                </c:pt>
                <c:pt idx="1155">
                  <c:v>0.62243272089184298</c:v>
                </c:pt>
                <c:pt idx="1156">
                  <c:v>0.82166381096163432</c:v>
                </c:pt>
                <c:pt idx="1157">
                  <c:v>1.0151029572966126</c:v>
                </c:pt>
                <c:pt idx="1158">
                  <c:v>1.2008647279762017</c:v>
                </c:pt>
                <c:pt idx="1159">
                  <c:v>1.3771188461249433</c:v>
                </c:pt>
                <c:pt idx="1160">
                  <c:v>1.5421082519068694</c:v>
                </c:pt>
                <c:pt idx="1161">
                  <c:v>1.6941666233979973</c:v>
                </c:pt>
                <c:pt idx="1162">
                  <c:v>1.8317351815809066</c:v>
                </c:pt>
                <c:pt idx="1163">
                  <c:v>1.9533786101905328</c:v>
                </c:pt>
                <c:pt idx="1164">
                  <c:v>2.057799928328353</c:v>
                </c:pt>
                <c:pt idx="1165">
                  <c:v>2.1438541625962699</c:v>
                </c:pt>
                <c:pt idx="1166">
                  <c:v>2.2105606759075829</c:v>
                </c:pt>
                <c:pt idx="1167">
                  <c:v>2.2571140220197035</c:v>
                </c:pt>
                <c:pt idx="1168">
                  <c:v>2.2828932080976152</c:v>
                </c:pt>
                <c:pt idx="1169">
                  <c:v>2.2874692621379809</c:v>
                </c:pt>
                <c:pt idx="1170">
                  <c:v>2.2706110177276626</c:v>
                </c:pt>
                <c:pt idx="1171">
                  <c:v>2.2322890452342721</c:v>
                </c:pt>
                <c:pt idx="1172">
                  <c:v>2.1726776759719657</c:v>
                </c:pt>
                <c:pt idx="1173">
                  <c:v>2.0921550839906171</c:v>
                </c:pt>
                <c:pt idx="1174">
                  <c:v>1.9913014087253844</c:v>
                </c:pt>
                <c:pt idx="1175">
                  <c:v>1.8708949206410082</c:v>
                </c:pt>
                <c:pt idx="1176">
                  <c:v>1.7319062510259553</c:v>
                </c:pt>
                <c:pt idx="1177">
                  <c:v>1.5754907260500475</c:v>
                </c:pt>
                <c:pt idx="1178">
                  <c:v>1.4029788639118559</c:v>
                </c:pt>
                <c:pt idx="1179">
                  <c:v>1.2158651121816333</c:v>
                </c:pt>
                <c:pt idx="1180">
                  <c:v>1.0157949201098706</c:v>
                </c:pt>
                <c:pt idx="1181">
                  <c:v>0.80455025754581744</c:v>
                </c:pt>
                <c:pt idx="1182">
                  <c:v>0.58403370802146504</c:v>
                </c:pt>
                <c:pt idx="1183">
                  <c:v>0.35625127834231085</c:v>
                </c:pt>
                <c:pt idx="1184">
                  <c:v>0.12329408053637114</c:v>
                </c:pt>
                <c:pt idx="1185">
                  <c:v>-0.11268094589589994</c:v>
                </c:pt>
                <c:pt idx="1186">
                  <c:v>-0.34947109294353851</c:v>
                </c:pt>
                <c:pt idx="1187">
                  <c:v>-0.58484853688563287</c:v>
                </c:pt>
                <c:pt idx="1188">
                  <c:v>-0.81658139043018885</c:v>
                </c:pt>
                <c:pt idx="1189">
                  <c:v>-1.0424549544038593</c:v>
                </c:pt>
                <c:pt idx="1190">
                  <c:v>-1.260292965820951</c:v>
                </c:pt>
                <c:pt idx="1191">
                  <c:v>-1.467978637726514</c:v>
                </c:pt>
                <c:pt idx="1192">
                  <c:v>-1.6634752867517939</c:v>
                </c:pt>
                <c:pt idx="1193">
                  <c:v>-1.8448463468482936</c:v>
                </c:pt>
                <c:pt idx="1194">
                  <c:v>-2.0102745721689068</c:v>
                </c:pt>
                <c:pt idx="1195">
                  <c:v>-2.1580802385095055</c:v>
                </c:pt>
                <c:pt idx="1196">
                  <c:v>-2.2867381610624138</c:v>
                </c:pt>
                <c:pt idx="1197">
                  <c:v>-2.3948933563955226</c:v>
                </c:pt>
                <c:pt idx="1198">
                  <c:v>-2.4813751884707433</c:v>
                </c:pt>
                <c:pt idx="1199">
                  <c:v>-2.5452098520477966</c:v>
                </c:pt>
                <c:pt idx="1200">
                  <c:v>-2.58563106186388</c:v>
                </c:pt>
                <c:pt idx="1201">
                  <c:v>-2.6020888323994225</c:v>
                </c:pt>
                <c:pt idx="1202">
                  <c:v>-2.5942562506834523</c:v>
                </c:pt>
                <c:pt idx="1203">
                  <c:v>-2.5620341632967802</c:v>
                </c:pt>
                <c:pt idx="1204">
                  <c:v>-2.505553718321095</c:v>
                </c:pt>
                <c:pt idx="1205">
                  <c:v>-2.4251767232717882</c:v>
                </c:pt>
                <c:pt idx="1206">
                  <c:v>-2.321493800851183</c:v>
                </c:pt>
                <c:pt idx="1207">
                  <c:v>-2.1953203454661692</c:v>
                </c:pt>
                <c:pt idx="1208">
                  <c:v>-2.047690304666832</c:v>
                </c:pt>
                <c:pt idx="1209">
                  <c:v>-1.8798478307772213</c:v>
                </c:pt>
                <c:pt idx="1210">
                  <c:v>-1.6932368687985162</c:v>
                </c:pt>
                <c:pt idx="1211">
                  <c:v>-1.4894887669643593</c:v>
                </c:pt>
                <c:pt idx="1212">
                  <c:v>-1.270408015920756</c:v>
                </c:pt>
                <c:pt idx="1213">
                  <c:v>-1.0379562411907219</c:v>
                </c:pt>
                <c:pt idx="1214">
                  <c:v>-0.79423459118356632</c:v>
                </c:pt>
                <c:pt idx="1215">
                  <c:v>-0.54146467933981723</c:v>
                </c:pt>
                <c:pt idx="1216">
                  <c:v>-0.28196825390310365</c:v>
                </c:pt>
                <c:pt idx="1217">
                  <c:v>-1.814578212428497E-2</c:v>
                </c:pt>
                <c:pt idx="1218">
                  <c:v>0.24754585270722074</c:v>
                </c:pt>
                <c:pt idx="1219">
                  <c:v>0.51261633326496625</c:v>
                </c:pt>
                <c:pt idx="1220">
                  <c:v>0.77456535328685072</c:v>
                </c:pt>
                <c:pt idx="1221">
                  <c:v>1.0309063040884374</c:v>
                </c:pt>
                <c:pt idx="1222">
                  <c:v>1.2791899771494624</c:v>
                </c:pt>
                <c:pt idx="1223">
                  <c:v>1.5170280559371345</c:v>
                </c:pt>
                <c:pt idx="1224">
                  <c:v>1.742116170811455</c:v>
                </c:pt>
                <c:pt idx="1225">
                  <c:v>1.9522562937234111</c:v>
                </c:pt>
                <c:pt idx="1226">
                  <c:v>2.1453782544523716</c:v>
                </c:pt>
                <c:pt idx="1227">
                  <c:v>2.3195601672969755</c:v>
                </c:pt>
                <c:pt idx="1228">
                  <c:v>2.4730475663764677</c:v>
                </c:pt>
                <c:pt idx="1229">
                  <c:v>2.6042710589395321</c:v>
                </c:pt>
                <c:pt idx="1230">
                  <c:v>2.711862319216785</c:v>
                </c:pt>
                <c:pt idx="1231">
                  <c:v>2.7946682602748458</c:v>
                </c:pt>
                <c:pt idx="1232">
                  <c:v>2.8517632378998874</c:v>
                </c:pt>
                <c:pt idx="1233">
                  <c:v>2.8824591586047257</c:v>
                </c:pt>
                <c:pt idx="1234">
                  <c:v>2.8863133832505614</c:v>
                </c:pt>
                <c:pt idx="1235">
                  <c:v>2.8631343383207182</c:v>
                </c:pt>
                <c:pt idx="1236">
                  <c:v>2.8129847683882692</c:v>
                </c:pt>
                <c:pt idx="1237">
                  <c:v>2.7361825855778008</c:v>
                </c:pt>
                <c:pt idx="1238">
                  <c:v>2.6332992946249325</c:v>
                </c:pt>
                <c:pt idx="1239">
                  <c:v>2.5051559952669495</c:v>
                </c:pt>
                <c:pt idx="1240">
                  <c:v>2.3528169869319044</c:v>
                </c:pt>
                <c:pt idx="1241">
                  <c:v>2.1775810238103408</c:v>
                </c:pt>
                <c:pt idx="1242">
                  <c:v>1.9809702911678972</c:v>
                </c:pt>
                <c:pt idx="1243">
                  <c:v>1.7647171959667338</c:v>
                </c:pt>
                <c:pt idx="1244">
                  <c:v>1.5307490862943285</c:v>
                </c:pt>
                <c:pt idx="1245">
                  <c:v>1.2811710345369307</c:v>
                </c:pt>
                <c:pt idx="1246">
                  <c:v>1.0182468384797796</c:v>
                </c:pt>
                <c:pt idx="1247">
                  <c:v>0.74437841237803548</c:v>
                </c:pt>
                <c:pt idx="1248">
                  <c:v>0.46208375633992227</c:v>
                </c:pt>
                <c:pt idx="1249">
                  <c:v>0.17397370693227288</c:v>
                </c:pt>
                <c:pt idx="1250">
                  <c:v>-0.11727231538808014</c:v>
                </c:pt>
                <c:pt idx="1251">
                  <c:v>-0.40893133572943929</c:v>
                </c:pt>
                <c:pt idx="1252">
                  <c:v>-0.69826239625645148</c:v>
                </c:pt>
                <c:pt idx="1253">
                  <c:v>-0.98253242851595912</c:v>
                </c:pt>
                <c:pt idx="1254">
                  <c:v>-1.2590421813315202</c:v>
                </c:pt>
                <c:pt idx="1255">
                  <c:v>-1.5251519572697552</c:v>
                </c:pt>
                <c:pt idx="1256">
                  <c:v>-1.7783069113143708</c:v>
                </c:pt>
                <c:pt idx="1257">
                  <c:v>-2.0160616683825077</c:v>
                </c:pt>
                <c:pt idx="1258">
                  <c:v>-2.2361040216669332</c:v>
                </c:pt>
                <c:pt idx="1259">
                  <c:v>-2.4362774814451473</c:v>
                </c:pt>
                <c:pt idx="1260">
                  <c:v>-2.6146024538989447</c:v>
                </c:pt>
                <c:pt idx="1261">
                  <c:v>-2.7692958415513456</c:v>
                </c:pt>
                <c:pt idx="1262">
                  <c:v>-2.8987888710450505</c:v>
                </c:pt>
                <c:pt idx="1263">
                  <c:v>-3.0017429700311338</c:v>
                </c:pt>
                <c:pt idx="1264">
                  <c:v>-3.0770635327632956</c:v>
                </c:pt>
                <c:pt idx="1265">
                  <c:v>-3.1239114334373568</c:v>
                </c:pt>
                <c:pt idx="1266">
                  <c:v>-3.1417121671986732</c:v>
                </c:pt>
                <c:pt idx="1267">
                  <c:v>-3.1301625208670831</c:v>
                </c:pt>
                <c:pt idx="1268">
                  <c:v>-3.0892346985918517</c:v>
                </c:pt>
                <c:pt idx="1269">
                  <c:v>-3.0191778516310661</c:v>
                </c:pt>
                <c:pt idx="1270">
                  <c:v>-2.9205169860231872</c:v>
                </c:pt>
                <c:pt idx="1271">
                  <c:v>-2.7940492468487919</c:v>
                </c:pt>
                <c:pt idx="1272">
                  <c:v>-2.6408376028317884</c:v>
                </c:pt>
                <c:pt idx="1273">
                  <c:v>-2.4622019799599082</c:v>
                </c:pt>
                <c:pt idx="1274">
                  <c:v>-2.2597079173736634</c:v>
                </c:pt>
                <c:pt idx="1275">
                  <c:v>-2.0351528427462009</c:v>
                </c:pt>
                <c:pt idx="1276">
                  <c:v>-1.7905500875176954</c:v>
                </c:pt>
                <c:pt idx="1277">
                  <c:v>-1.5281107844346222</c:v>
                </c:pt>
                <c:pt idx="1278">
                  <c:v>-1.2502238106568058</c:v>
                </c:pt>
                <c:pt idx="1279">
                  <c:v>-0.95943395903220685</c:v>
                </c:pt>
                <c:pt idx="1280">
                  <c:v>-0.6584185378068379</c:v>
                </c:pt>
                <c:pt idx="1281">
                  <c:v>-0.34996261485880864</c:v>
                </c:pt>
                <c:pt idx="1282">
                  <c:v>-3.6933136364827535E-2</c:v>
                </c:pt>
                <c:pt idx="1283">
                  <c:v>0.27774783851991502</c:v>
                </c:pt>
                <c:pt idx="1284">
                  <c:v>0.59113053597809051</c:v>
                </c:pt>
                <c:pt idx="1285">
                  <c:v>0.90026524080873793</c:v>
                </c:pt>
                <c:pt idx="1286">
                  <c:v>1.2022301820292363</c:v>
                </c:pt>
                <c:pt idx="1287">
                  <c:v>1.494159266053404</c:v>
                </c:pt>
                <c:pt idx="1288">
                  <c:v>1.7732693931120949</c:v>
                </c:pt>
                <c:pt idx="1289">
                  <c:v>2.0368870955267164</c:v>
                </c:pt>
                <c:pt idx="1290">
                  <c:v>2.2824742419011472</c:v>
                </c:pt>
                <c:pt idx="1291">
                  <c:v>2.507652559219502</c:v>
                </c:pt>
                <c:pt idx="1292">
                  <c:v>2.7102267351608105</c:v>
                </c:pt>
                <c:pt idx="1293">
                  <c:v>2.8882058755761424</c:v>
                </c:pt>
                <c:pt idx="1294">
                  <c:v>3.0398231069058594</c:v>
                </c:pt>
                <c:pt idx="1295">
                  <c:v>3.1635531302112834</c:v>
                </c:pt>
                <c:pt idx="1296">
                  <c:v>3.2581275523009499</c:v>
                </c:pt>
                <c:pt idx="1297">
                  <c:v>3.322547839973538</c:v>
                </c:pt>
                <c:pt idx="1298">
                  <c:v>3.3560957654871855</c:v>
                </c:pt>
                <c:pt idx="1299">
                  <c:v>3.3583412347913839</c:v>
                </c:pt>
                <c:pt idx="1300">
                  <c:v>3.3291474146041624</c:v>
                </c:pt>
                <c:pt idx="1301">
                  <c:v>3.2686730998516111</c:v>
                </c:pt>
                <c:pt idx="1302">
                  <c:v>3.1773722890695368</c:v>
                </c:pt>
                <c:pt idx="1303">
                  <c:v>3.0559909618490746</c:v>
                </c:pt>
                <c:pt idx="1304">
                  <c:v>2.9055610790390043</c:v>
                </c:pt>
                <c:pt idx="1305">
                  <c:v>2.7273918529416634</c:v>
                </c:pt>
                <c:pt idx="1306">
                  <c:v>2.5230583609019055</c:v>
                </c:pt>
                <c:pt idx="1307">
                  <c:v>2.2943876012397828</c:v>
                </c:pt>
                <c:pt idx="1308">
                  <c:v>2.0434421151693032</c:v>
                </c:pt>
                <c:pt idx="1309">
                  <c:v>1.7725013219381625</c:v>
                </c:pt>
                <c:pt idx="1310">
                  <c:v>1.4840407366897044</c:v>
                </c:pt>
                <c:pt idx="1311">
                  <c:v>1.1807092612690058</c:v>
                </c:pt>
                <c:pt idx="1312">
                  <c:v>0.86530475716658328</c:v>
                </c:pt>
                <c:pt idx="1313">
                  <c:v>0.54074812683097051</c:v>
                </c:pt>
                <c:pt idx="1314">
                  <c:v>0.21005614451393939</c:v>
                </c:pt>
                <c:pt idx="1315">
                  <c:v>-0.12368670951001559</c:v>
                </c:pt>
                <c:pt idx="1316">
                  <c:v>-0.45735714721115572</c:v>
                </c:pt>
                <c:pt idx="1317">
                  <c:v>-0.78782243161188437</c:v>
                </c:pt>
                <c:pt idx="1318">
                  <c:v>-1.1119699189497125</c:v>
                </c:pt>
                <c:pt idx="1319">
                  <c:v>-1.4267365044008606</c:v>
                </c:pt>
                <c:pt idx="1320">
                  <c:v>-1.7291376916216321</c:v>
                </c:pt>
                <c:pt idx="1321">
                  <c:v>-2.0162960090841069</c:v>
                </c:pt>
                <c:pt idx="1322">
                  <c:v>-2.285468501553892</c:v>
                </c:pt>
                <c:pt idx="1323">
                  <c:v>-2.5340730330345029</c:v>
                </c:pt>
                <c:pt idx="1324">
                  <c:v>-2.7597131480188111</c:v>
                </c:pt>
                <c:pt idx="1325">
                  <c:v>-2.9602012508491375</c:v>
                </c:pt>
                <c:pt idx="1326">
                  <c:v>-3.1335798782762128</c:v>
                </c:pt>
                <c:pt idx="1327">
                  <c:v>-3.2781408577851541</c:v>
                </c:pt>
                <c:pt idx="1328">
                  <c:v>-3.3924421637623619</c:v>
                </c:pt>
                <c:pt idx="1329">
                  <c:v>-3.4753223049297448</c:v>
                </c:pt>
                <c:pt idx="1330">
                  <c:v>-3.5259120994738185</c:v>
                </c:pt>
                <c:pt idx="1331">
                  <c:v>-3.5436437187309533</c:v>
                </c:pt>
                <c:pt idx="1332">
                  <c:v>-3.5282569059273348</c:v>
                </c:pt>
                <c:pt idx="1333">
                  <c:v>-3.4798023030712955</c:v>
                </c:pt>
                <c:pt idx="1334">
                  <c:v>-3.3986418464044625</c:v>
                </c:pt>
                <c:pt idx="1335">
                  <c:v>-3.2854462185785978</c:v>
                </c:pt>
                <c:pt idx="1336">
                  <c:v>-3.1411893736725878</c:v>
                </c:pt>
                <c:pt idx="1337">
                  <c:v>-2.9671401790315568</c:v>
                </c:pt>
                <c:pt idx="1338">
                  <c:v>-2.764851245432888</c:v>
                </c:pt>
                <c:pt idx="1339">
                  <c:v>-2.5361450439969433</c:v>
                </c:pt>
                <c:pt idx="1340">
                  <c:v>-2.2830974343044499</c:v>
                </c:pt>
                <c:pt idx="1341">
                  <c:v>-2.0080187531091918</c:v>
                </c:pt>
                <c:pt idx="1342">
                  <c:v>-1.71343263660009</c:v>
                </c:pt>
                <c:pt idx="1343">
                  <c:v>-1.4020527711453541</c:v>
                </c:pt>
                <c:pt idx="1344">
                  <c:v>-1.0767577876263914</c:v>
                </c:pt>
                <c:pt idx="1345">
                  <c:v>-0.74056453264686661</c:v>
                </c:pt>
                <c:pt idx="1346">
                  <c:v>-0.39659996590193547</c:v>
                </c:pt>
                <c:pt idx="1347">
                  <c:v>-4.8071946656201847E-2</c:v>
                </c:pt>
                <c:pt idx="1348">
                  <c:v>0.30176081652726072</c:v>
                </c:pt>
                <c:pt idx="1349">
                  <c:v>0.64961937005543047</c:v>
                </c:pt>
                <c:pt idx="1350">
                  <c:v>0.99223538488380014</c:v>
                </c:pt>
                <c:pt idx="1351">
                  <c:v>1.3263819995144353</c:v>
                </c:pt>
                <c:pt idx="1352">
                  <c:v>1.648904344093151</c:v>
                </c:pt>
                <c:pt idx="1353">
                  <c:v>1.9567494556379159</c:v>
                </c:pt>
                <c:pt idx="1354">
                  <c:v>2.2469952995478</c:v>
                </c:pt>
                <c:pt idx="1355">
                  <c:v>2.5168786203830749</c:v>
                </c:pt>
                <c:pt idx="1356">
                  <c:v>2.7638213554031505</c:v>
                </c:pt>
                <c:pt idx="1357">
                  <c:v>2.985455357404124</c:v>
                </c:pt>
                <c:pt idx="1358">
                  <c:v>3.1796451888946047</c:v>
                </c:pt>
                <c:pt idx="1359">
                  <c:v>3.3445087674438438</c:v>
                </c:pt>
                <c:pt idx="1360">
                  <c:v>3.4784356619644159</c:v>
                </c:pt>
                <c:pt idx="1361">
                  <c:v>3.5801028615684176</c:v>
                </c:pt>
                <c:pt idx="1362">
                  <c:v>3.6484878622557551</c:v>
                </c:pt>
                <c:pt idx="1363">
                  <c:v>3.682878941834328</c:v>
                </c:pt>
                <c:pt idx="1364">
                  <c:v>3.6828825198978352</c:v>
                </c:pt>
                <c:pt idx="1365">
                  <c:v>3.6484275271484314</c:v>
                </c:pt>
                <c:pt idx="1366">
                  <c:v>3.5797667365881098</c:v>
                </c:pt>
                <c:pt idx="1367">
                  <c:v>3.4774750378474106</c:v>
                </c:pt>
                <c:pt idx="1368">
                  <c:v>3.3424446648994746</c:v>
                </c:pt>
                <c:pt idx="1369">
                  <c:v>3.1758774163450516</c:v>
                </c:pt>
                <c:pt idx="1370">
                  <c:v>2.9792739360753275</c:v>
                </c:pt>
                <c:pt idx="1371">
                  <c:v>2.754420150149107</c:v>
                </c:pt>
                <c:pt idx="1372">
                  <c:v>2.5033709828922617</c:v>
                </c:pt>
                <c:pt idx="1373">
                  <c:v>2.228431501278616</c:v>
                </c:pt>
                <c:pt idx="1374">
                  <c:v>1.9321356613320224</c:v>
                </c:pt>
                <c:pt idx="1375">
                  <c:v>1.6172228533644331</c:v>
                </c:pt>
                <c:pt idx="1376">
                  <c:v>1.2866124641064061</c:v>
                </c:pt>
                <c:pt idx="1377">
                  <c:v>0.94337669299301319</c:v>
                </c:pt>
                <c:pt idx="1378">
                  <c:v>0.59071187685345516</c:v>
                </c:pt>
                <c:pt idx="1379">
                  <c:v>0.23190859184646795</c:v>
                </c:pt>
                <c:pt idx="1380">
                  <c:v>-0.12967918645283483</c:v>
                </c:pt>
                <c:pt idx="1381">
                  <c:v>-0.49066557449475545</c:v>
                </c:pt>
                <c:pt idx="1382">
                  <c:v>-0.84766462673927767</c:v>
                </c:pt>
                <c:pt idx="1383">
                  <c:v>-1.1973222353417003</c:v>
                </c:pt>
                <c:pt idx="1384">
                  <c:v>-1.5363477816964106</c:v>
                </c:pt>
                <c:pt idx="1385">
                  <c:v>-1.8615452398646357</c:v>
                </c:pt>
                <c:pt idx="1386">
                  <c:v>-2.169843436634316</c:v>
                </c:pt>
                <c:pt idx="1387">
                  <c:v>-2.4583251804958541</c:v>
                </c:pt>
                <c:pt idx="1388">
                  <c:v>-2.7242549821024546</c:v>
                </c:pt>
                <c:pt idx="1389">
                  <c:v>-2.9651051017201135</c:v>
                </c:pt>
                <c:pt idx="1390">
                  <c:v>-3.1785796746416271</c:v>
                </c:pt>
                <c:pt idx="1391">
                  <c:v>-3.3626366834002881</c:v>
                </c:pt>
                <c:pt idx="1392">
                  <c:v>-3.5155075657020274</c:v>
                </c:pt>
                <c:pt idx="1393">
                  <c:v>-3.6357142691127837</c:v>
                </c:pt>
                <c:pt idx="1394">
                  <c:v>-3.7220835874846405</c:v>
                </c:pt>
                <c:pt idx="1395">
                  <c:v>-3.7737586396508758</c:v>
                </c:pt>
                <c:pt idx="1396">
                  <c:v>-3.7902073778287484</c:v>
                </c:pt>
                <c:pt idx="1397">
                  <c:v>-3.7712280411824803</c:v>
                </c:pt>
                <c:pt idx="1398">
                  <c:v>-3.7169514988539158</c:v>
                </c:pt>
                <c:pt idx="1399">
                  <c:v>-3.6278404561900821</c:v>
                </c:pt>
                <c:pt idx="1400">
                  <c:v>-3.5046855276057531</c:v>
                </c:pt>
                <c:pt idx="1401">
                  <c:v>-3.3485982092339182</c:v>
                </c:pt>
                <c:pt idx="1402">
                  <c:v>-3.1610008139527941</c:v>
                </c:pt>
                <c:pt idx="1403">
                  <c:v>-2.9436134602551043</c:v>
                </c:pt>
                <c:pt idx="1404">
                  <c:v>-2.6984382344695046</c:v>
                </c:pt>
                <c:pt idx="1405">
                  <c:v>-2.4277406727839672</c:v>
                </c:pt>
                <c:pt idx="1406">
                  <c:v>-2.1340287351012948</c:v>
                </c:pt>
                <c:pt idx="1407">
                  <c:v>-1.8200294667336179</c:v>
                </c:pt>
                <c:pt idx="1408">
                  <c:v>-1.488663566081637</c:v>
                </c:pt>
                <c:pt idx="1409">
                  <c:v>-1.143018096536119</c:v>
                </c:pt>
                <c:pt idx="1410">
                  <c:v>-0.78631759869098861</c:v>
                </c:pt>
                <c:pt idx="1411">
                  <c:v>-0.42189387439239012</c:v>
                </c:pt>
                <c:pt idx="1412">
                  <c:v>-5.3154727021061277E-2</c:v>
                </c:pt>
                <c:pt idx="1413">
                  <c:v>0.31644804740851462</c:v>
                </c:pt>
                <c:pt idx="1414">
                  <c:v>0.68345111635382449</c:v>
                </c:pt>
                <c:pt idx="1415">
                  <c:v>1.0444122075413755</c:v>
                </c:pt>
                <c:pt idx="1416">
                  <c:v>1.3959425383120183</c:v>
                </c:pt>
                <c:pt idx="1417">
                  <c:v>1.734738770670385</c:v>
                </c:pt>
                <c:pt idx="1418">
                  <c:v>2.05761418940721</c:v>
                </c:pt>
                <c:pt idx="1419">
                  <c:v>2.3615288077531789</c:v>
                </c:pt>
                <c:pt idx="1420">
                  <c:v>2.6436181149288407</c:v>
                </c:pt>
                <c:pt idx="1421">
                  <c:v>2.9012201925806957</c:v>
                </c:pt>
                <c:pt idx="1422">
                  <c:v>3.1319009423217041</c:v>
                </c:pt>
                <c:pt idx="1423">
                  <c:v>3.3334771842855533</c:v>
                </c:pt>
                <c:pt idx="1424">
                  <c:v>3.5040374065877709</c:v>
                </c:pt>
                <c:pt idx="1425">
                  <c:v>3.6419599676759287</c:v>
                </c:pt>
                <c:pt idx="1426">
                  <c:v>3.7459285775390985</c:v>
                </c:pt>
                <c:pt idx="1427">
                  <c:v>3.8149449094037298</c:v>
                </c:pt>
                <c:pt idx="1428">
                  <c:v>3.8483382206273982</c:v>
                </c:pt>
                <c:pt idx="1429">
                  <c:v>3.8457718897576494</c:v>
                </c:pt>
                <c:pt idx="1430">
                  <c:v>3.8072468058804478</c:v>
                </c:pt>
                <c:pt idx="1431">
                  <c:v>3.7331015761662036</c:v>
                </c:pt>
                <c:pt idx="1432">
                  <c:v>3.6240095476473773</c:v>
                </c:pt>
                <c:pt idx="1433">
                  <c:v>3.4809726694433687</c:v>
                </c:pt>
                <c:pt idx="1434">
                  <c:v>3.3053122516003208</c:v>
                </c:pt>
                <c:pt idx="1435">
                  <c:v>3.0986567061473611</c:v>
                </c:pt>
                <c:pt idx="1436">
                  <c:v>2.8629263846106294</c:v>
                </c:pt>
                <c:pt idx="1437">
                  <c:v>2.6003156537949526</c:v>
                </c:pt>
                <c:pt idx="1438">
                  <c:v>2.3132723778797706</c:v>
                </c:pt>
                <c:pt idx="1439">
                  <c:v>2.0044749995316291</c:v>
                </c:pt>
                <c:pt idx="1440">
                  <c:v>1.676807435571309</c:v>
                </c:pt>
                <c:pt idx="1441">
                  <c:v>1.3333320235342749</c:v>
                </c:pt>
                <c:pt idx="1442">
                  <c:v>0.97726077403066469</c:v>
                </c:pt>
                <c:pt idx="1443">
                  <c:v>0.61192519996368921</c:v>
                </c:pt>
                <c:pt idx="1444">
                  <c:v>0.24074500725218553</c:v>
                </c:pt>
                <c:pt idx="1445">
                  <c:v>-0.13280405740547879</c:v>
                </c:pt>
                <c:pt idx="1446">
                  <c:v>-0.50522289810218579</c:v>
                </c:pt>
                <c:pt idx="1447">
                  <c:v>-0.87302199179492646</c:v>
                </c:pt>
                <c:pt idx="1448">
                  <c:v>-1.2327542297669347</c:v>
                </c:pt>
                <c:pt idx="1449">
                  <c:v>-1.5810473680417891</c:v>
                </c:pt>
                <c:pt idx="1450">
                  <c:v>-1.9146357799330516</c:v>
                </c:pt>
                <c:pt idx="1451">
                  <c:v>-2.2303912104458297</c:v>
                </c:pt>
                <c:pt idx="1452">
                  <c:v>-2.5253522416343124</c:v>
                </c:pt>
                <c:pt idx="1453">
                  <c:v>-2.7967521901685126</c:v>
                </c:pt>
                <c:pt idx="1454">
                  <c:v>-3.0420451731598188</c:v>
                </c:pt>
                <c:pt idx="1455">
                  <c:v>-3.2589300956018139</c:v>
                </c:pt>
                <c:pt idx="1456">
                  <c:v>-3.4453723324318588</c:v>
                </c:pt>
                <c:pt idx="1457">
                  <c:v>-3.5996229000244742</c:v>
                </c:pt>
                <c:pt idx="1458">
                  <c:v>-3.7202349356851618</c:v>
                </c:pt>
                <c:pt idx="1459">
                  <c:v>-3.8060773291937617</c:v>
                </c:pt>
                <c:pt idx="1460">
                  <c:v>-3.8563453774088217</c:v>
                </c:pt>
                <c:pt idx="1461">
                  <c:v>-3.8705683611337873</c:v>
                </c:pt>
                <c:pt idx="1462">
                  <c:v>-3.8486139725917572</c:v>
                </c:pt>
                <c:pt idx="1463">
                  <c:v>-3.7906895516822559</c:v>
                </c:pt>
                <c:pt idx="1464">
                  <c:v>-3.6973401194174409</c:v>
                </c:pt>
                <c:pt idx="1465">
                  <c:v>-3.5694432272677741</c:v>
                </c:pt>
                <c:pt idx="1466">
                  <c:v>-3.4082006713014428</c:v>
                </c:pt>
                <c:pt idx="1467">
                  <c:v>-3.2151271496897227</c:v>
                </c:pt>
                <c:pt idx="1468">
                  <c:v>-2.9920359710899245</c:v>
                </c:pt>
                <c:pt idx="1469">
                  <c:v>-2.74102194933482</c:v>
                </c:pt>
                <c:pt idx="1470">
                  <c:v>-2.4644416464846248</c:v>
                </c:pt>
                <c:pt idx="1471">
                  <c:v>-2.1648911513832849</c:v>
                </c:pt>
                <c:pt idx="1472">
                  <c:v>-1.8451816041677171</c:v>
                </c:pt>
                <c:pt idx="1473">
                  <c:v>-1.5083126984821096</c:v>
                </c:pt>
                <c:pt idx="1474">
                  <c:v>-1.1574444122497589</c:v>
                </c:pt>
                <c:pt idx="1475">
                  <c:v>-0.79586723457252351</c:v>
                </c:pt>
                <c:pt idx="1476">
                  <c:v>-0.42697117049776101</c:v>
                </c:pt>
                <c:pt idx="1477">
                  <c:v>-5.4213816890492955E-2</c:v>
                </c:pt>
                <c:pt idx="1478">
                  <c:v>0.31891218864415283</c:v>
                </c:pt>
                <c:pt idx="1479">
                  <c:v>0.68891203800218392</c:v>
                </c:pt>
                <c:pt idx="1480">
                  <c:v>1.0523216312797288</c:v>
                </c:pt>
                <c:pt idx="1481">
                  <c:v>1.4057401532565184</c:v>
                </c:pt>
                <c:pt idx="1482">
                  <c:v>1.7458620399699272</c:v>
                </c:pt>
                <c:pt idx="1483">
                  <c:v>2.0695080335821991</c:v>
                </c:pt>
                <c:pt idx="1484">
                  <c:v>2.3736550325046482</c:v>
                </c:pt>
                <c:pt idx="1485">
                  <c:v>2.6554644552791919</c:v>
                </c:pt>
                <c:pt idx="1486">
                  <c:v>2.9123088509190849</c:v>
                </c:pt>
                <c:pt idx="1487">
                  <c:v>3.1417965051449555</c:v>
                </c:pt>
                <c:pt idx="1488">
                  <c:v>3.3417938110544618</c:v>
                </c:pt>
                <c:pt idx="1489">
                  <c:v>3.5104451940520263</c:v>
                </c:pt>
                <c:pt idx="1490">
                  <c:v>3.6461904041388697</c:v>
                </c:pt>
                <c:pt idx="1491">
                  <c:v>3.7477790136966975</c:v>
                </c:pt>
                <c:pt idx="1492">
                  <c:v>3.8142819854530092</c:v>
                </c:pt>
                <c:pt idx="1493">
                  <c:v>3.8451002031407819</c:v>
                </c:pt>
                <c:pt idx="1494">
                  <c:v>3.8399698861920228</c:v>
                </c:pt>
                <c:pt idx="1495">
                  <c:v>3.7989648393598374</c:v>
                </c:pt>
                <c:pt idx="1496">
                  <c:v>3.7224955181667432</c:v>
                </c:pt>
                <c:pt idx="1497">
                  <c:v>3.6113049212403432</c:v>
                </c:pt>
                <c:pt idx="1498">
                  <c:v>3.4664613506358943</c:v>
                </c:pt>
                <c:pt idx="1499">
                  <c:v>3.2893481108724605</c:v>
                </c:pt>
                <c:pt idx="1500">
                  <c:v>3.0816502463434894</c:v>
                </c:pt>
                <c:pt idx="1501">
                  <c:v>2.8453384447304044</c:v>
                </c:pt>
                <c:pt idx="1502">
                  <c:v>2.5826502607822448</c:v>
                </c:pt>
                <c:pt idx="1503">
                  <c:v>2.2960688400730045</c:v>
                </c:pt>
                <c:pt idx="1504">
                  <c:v>1.9882993458734637</c:v>
                </c:pt>
                <c:pt idx="1505">
                  <c:v>1.662243313850774</c:v>
                </c:pt>
                <c:pt idx="1506">
                  <c:v>1.3209711787352985</c:v>
                </c:pt>
                <c:pt idx="1507">
                  <c:v>0.96769323418840136</c:v>
                </c:pt>
                <c:pt idx="1508">
                  <c:v>0.60572930170266392</c:v>
                </c:pt>
                <c:pt idx="1509">
                  <c:v>0.23847739633388668</c:v>
                </c:pt>
                <c:pt idx="1510">
                  <c:v>-0.1306183137083855</c:v>
                </c:pt>
                <c:pt idx="1511">
                  <c:v>-0.49809995018790887</c:v>
                </c:pt>
                <c:pt idx="1512">
                  <c:v>-0.86052846374963388</c:v>
                </c:pt>
                <c:pt idx="1513">
                  <c:v>-1.214515961073444</c:v>
                </c:pt>
                <c:pt idx="1514">
                  <c:v>-1.5567575150625694</c:v>
                </c:pt>
                <c:pt idx="1515">
                  <c:v>-1.8840621580719037</c:v>
                </c:pt>
                <c:pt idx="1516">
                  <c:v>-2.1933827662372649</c:v>
                </c:pt>
                <c:pt idx="1517">
                  <c:v>-2.4818445537893634</c:v>
                </c:pt>
                <c:pt idx="1518">
                  <c:v>-2.7467719097088592</c:v>
                </c:pt>
                <c:pt idx="1519">
                  <c:v>-2.9857133250815595</c:v>
                </c:pt>
                <c:pt idx="1520">
                  <c:v>-3.1964641778832839</c:v>
                </c:pt>
                <c:pt idx="1521">
                  <c:v>-3.3770871624860659</c:v>
                </c:pt>
                <c:pt idx="1522">
                  <c:v>-3.5259301737366693</c:v>
                </c:pt>
                <c:pt idx="1523">
                  <c:v>-3.6416414797938321</c:v>
                </c:pt>
                <c:pt idx="1524">
                  <c:v>-3.7231820437895093</c:v>
                </c:pt>
                <c:pt idx="1525">
                  <c:v>-3.7698348815565224</c:v>
                </c:pt>
                <c:pt idx="1526">
                  <c:v>-3.781211370876723</c:v>
                </c:pt>
                <c:pt idx="1527">
                  <c:v>-3.7572544566818209</c:v>
                </c:pt>
                <c:pt idx="1528">
                  <c:v>-3.6982387261081588</c:v>
                </c:pt>
                <c:pt idx="1529">
                  <c:v>-3.6047673569837722</c:v>
                </c:pt>
                <c:pt idx="1530">
                  <c:v>-3.4777659729296815</c:v>
                </c:pt>
                <c:pt idx="1531">
                  <c:v>-3.3184734675064416</c:v>
                </c:pt>
                <c:pt idx="1532">
                  <c:v>-3.1284298884524335</c:v>
                </c:pt>
                <c:pt idx="1533">
                  <c:v>-2.9094615007724354</c:v>
                </c:pt>
                <c:pt idx="1534">
                  <c:v>-2.6636631739801286</c:v>
                </c:pt>
                <c:pt idx="1535">
                  <c:v>-2.3933782639256815</c:v>
                </c:pt>
                <c:pt idx="1536">
                  <c:v>-2.1011761831137643</c:v>
                </c:pt>
                <c:pt idx="1537">
                  <c:v>-1.7898278750150292</c:v>
                </c:pt>
                <c:pt idx="1538">
                  <c:v>-1.4622794273939923</c:v>
                </c:pt>
                <c:pt idx="1539">
                  <c:v>-1.1216240769369716</c:v>
                </c:pt>
                <c:pt idx="1540">
                  <c:v>-0.77107287230110599</c:v>
                </c:pt>
                <c:pt idx="1541">
                  <c:v>-0.41392427498466872</c:v>
                </c:pt>
                <c:pt idx="1542">
                  <c:v>-5.3532987028007073E-2</c:v>
                </c:pt>
                <c:pt idx="1543">
                  <c:v>0.30672169859789566</c:v>
                </c:pt>
                <c:pt idx="1544">
                  <c:v>0.66346772502919105</c:v>
                </c:pt>
                <c:pt idx="1545">
                  <c:v>1.0133719749099248</c:v>
                </c:pt>
                <c:pt idx="1546">
                  <c:v>1.3531715507780795</c:v>
                </c:pt>
                <c:pt idx="1547">
                  <c:v>1.6797043375826841</c:v>
                </c:pt>
                <c:pt idx="1548">
                  <c:v>1.9899385597910504</c:v>
                </c:pt>
                <c:pt idx="1549">
                  <c:v>2.2810010555787037</c:v>
                </c:pt>
                <c:pt idx="1550">
                  <c:v>2.5502040032434565</c:v>
                </c:pt>
                <c:pt idx="1551">
                  <c:v>2.7950698501246034</c:v>
                </c:pt>
                <c:pt idx="1552">
                  <c:v>3.0133542117944057</c:v>
                </c:pt>
                <c:pt idx="1553">
                  <c:v>3.2030665289466009</c:v>
                </c:pt>
                <c:pt idx="1554">
                  <c:v>3.3624882910452447</c:v>
                </c:pt>
                <c:pt idx="1555">
                  <c:v>3.490188659211011</c:v>
                </c:pt>
                <c:pt idx="1556">
                  <c:v>3.5850373457808189</c:v>
                </c:pt>
                <c:pt idx="1557">
                  <c:v>3.6462146342405015</c:v>
                </c:pt>
                <c:pt idx="1558">
                  <c:v>3.6732184505509475</c:v>
                </c:pt>
                <c:pt idx="1559">
                  <c:v>3.6658684249967335</c:v>
                </c:pt>
                <c:pt idx="1560">
                  <c:v>3.6243069123206215</c:v>
                </c:pt>
                <c:pt idx="1561">
                  <c:v>3.5489969667891721</c:v>
                </c:pt>
                <c:pt idx="1562">
                  <c:v>3.4407172976903073</c:v>
                </c:pt>
                <c:pt idx="1563">
                  <c:v>3.3005542593193256</c:v>
                </c:pt>
                <c:pt idx="1564">
                  <c:v>3.1298909574925387</c:v>
                </c:pt>
                <c:pt idx="1565">
                  <c:v>2.9303935817735614</c:v>
                </c:pt>
                <c:pt idx="1566">
                  <c:v>2.7039950986493118</c:v>
                </c:pt>
                <c:pt idx="1567">
                  <c:v>2.452876465604616</c:v>
                </c:pt>
                <c:pt idx="1568">
                  <c:v>2.1794455491849809</c:v>
                </c:pt>
                <c:pt idx="1569">
                  <c:v>1.8863139514879381</c:v>
                </c:pt>
                <c:pt idx="1570">
                  <c:v>1.5762719688856586</c:v>
                </c:pt>
                <c:pt idx="1571">
                  <c:v>1.2522619239766097</c:v>
                </c:pt>
                <c:pt idx="1572">
                  <c:v>0.9173501266300188</c:v>
                </c:pt>
                <c:pt idx="1573">
                  <c:v>0.574697732389434</c:v>
                </c:pt>
                <c:pt idx="1574">
                  <c:v>0.22753077632923646</c:v>
                </c:pt>
                <c:pt idx="1575">
                  <c:v>-0.12089033238100122</c:v>
                </c:pt>
                <c:pt idx="1576">
                  <c:v>-0.46730156551393726</c:v>
                </c:pt>
                <c:pt idx="1577">
                  <c:v>-0.80846598905852618</c:v>
                </c:pt>
                <c:pt idx="1578">
                  <c:v>-1.1412041444655414</c:v>
                </c:pt>
                <c:pt idx="1579">
                  <c:v>-1.4624238114531056</c:v>
                </c:pt>
                <c:pt idx="1580">
                  <c:v>-1.7691488725246272</c:v>
                </c:pt>
                <c:pt idx="1581">
                  <c:v>-2.0585470085613076</c:v>
                </c:pt>
                <c:pt idx="1582">
                  <c:v>-2.3279559666084109</c:v>
                </c:pt>
                <c:pt idx="1583">
                  <c:v>-2.5749081551606205</c:v>
                </c:pt>
                <c:pt idx="1584">
                  <c:v>-2.7971533387306011</c:v>
                </c:pt>
                <c:pt idx="1585">
                  <c:v>-2.9926792220889809</c:v>
                </c:pt>
                <c:pt idx="1586">
                  <c:v>-3.1597297351112519</c:v>
                </c:pt>
                <c:pt idx="1587">
                  <c:v>-3.2968208514610993</c:v>
                </c:pt>
                <c:pt idx="1588">
                  <c:v>-3.402753798159079</c:v>
                </c:pt>
                <c:pt idx="1589">
                  <c:v>-3.4766255382002718</c:v>
                </c:pt>
                <c:pt idx="1590">
                  <c:v>-3.5178364345553703</c:v>
                </c:pt>
                <c:pt idx="1591">
                  <c:v>-3.5260950308604788</c:v>
                </c:pt>
                <c:pt idx="1592">
                  <c:v>-3.5014199116137226</c:v>
                </c:pt>
                <c:pt idx="1593">
                  <c:v>-3.4441386324903673</c:v>
                </c:pt>
                <c:pt idx="1594">
                  <c:v>-3.3548837391937578</c:v>
                </c:pt>
                <c:pt idx="1595">
                  <c:v>-3.2345859208133563</c:v>
                </c:pt>
                <c:pt idx="1596">
                  <c:v>-3.0844643707026584</c:v>
                </c:pt>
                <c:pt idx="1597">
                  <c:v>-2.9060144541605233</c:v>
                </c:pt>
                <c:pt idx="1598">
                  <c:v>-2.7009928074526361</c:v>
                </c:pt>
                <c:pt idx="1599">
                  <c:v>-2.471400016707074</c:v>
                </c:pt>
                <c:pt idx="1600">
                  <c:v>-2.2194610477343057</c:v>
                </c:pt>
                <c:pt idx="1601">
                  <c:v>-1.9476036186467427</c:v>
                </c:pt>
                <c:pt idx="1602">
                  <c:v>-1.658434726092272</c:v>
                </c:pt>
                <c:pt idx="1603">
                  <c:v>-1.3547155527963661</c:v>
                </c:pt>
                <c:pt idx="1604">
                  <c:v>-1.0393349987711373</c:v>
                </c:pt>
                <c:pt idx="1605">
                  <c:v>-0.71528209086517835</c:v>
                </c:pt>
                <c:pt idx="1606">
                  <c:v>-0.38561753518588182</c:v>
                </c:pt>
                <c:pt idx="1607">
                  <c:v>-5.3444684236168216E-2</c:v>
                </c:pt>
                <c:pt idx="1608">
                  <c:v>0.27811980468934905</c:v>
                </c:pt>
                <c:pt idx="1609">
                  <c:v>0.60597534124379471</c:v>
                </c:pt>
                <c:pt idx="1610">
                  <c:v>0.9270665258970372</c:v>
                </c:pt>
                <c:pt idx="1611">
                  <c:v>1.2384117511686832</c:v>
                </c:pt>
                <c:pt idx="1612">
                  <c:v>1.5371310113016927</c:v>
                </c:pt>
                <c:pt idx="1613">
                  <c:v>1.8204726598380387</c:v>
                </c:pt>
                <c:pt idx="1614">
                  <c:v>2.0858388653930025</c:v>
                </c:pt>
                <c:pt idx="1615">
                  <c:v>2.3308095290988726</c:v>
                </c:pt>
                <c:pt idx="1616">
                  <c:v>2.5531644425736104</c:v>
                </c:pt>
                <c:pt idx="1617">
                  <c:v>2.7509034827069971</c:v>
                </c:pt>
                <c:pt idx="1618">
                  <c:v>2.9222646588729564</c:v>
                </c:pt>
                <c:pt idx="1619">
                  <c:v>3.0657398491863379</c:v>
                </c:pt>
                <c:pt idx="1620">
                  <c:v>3.1800880849146509</c:v>
                </c:pt>
                <c:pt idx="1621">
                  <c:v>3.2643462659111657</c:v>
                </c:pt>
                <c:pt idx="1622">
                  <c:v>3.3178372147283506</c:v>
                </c:pt>
                <c:pt idx="1623">
                  <c:v>3.3401750026554575</c:v>
                </c:pt>
                <c:pt idx="1624">
                  <c:v>3.3312675070551792</c:v>
                </c:pt>
                <c:pt idx="1625">
                  <c:v>3.2913161858034203</c:v>
                </c:pt>
                <c:pt idx="1626">
                  <c:v>3.2208130811064066</c:v>
                </c:pt>
                <c:pt idx="1627">
                  <c:v>3.120535091228974</c:v>
                </c:pt>
                <c:pt idx="1628">
                  <c:v>2.9915355744687382</c:v>
                </c:pt>
                <c:pt idx="1629">
                  <c:v>2.8351333748057059</c:v>
                </c:pt>
                <c:pt idx="1630">
                  <c:v>2.6528993828097871</c:v>
                </c:pt>
                <c:pt idx="1631">
                  <c:v>2.4466407683730993</c:v>
                </c:pt>
                <c:pt idx="1632">
                  <c:v>2.2183830434329592</c:v>
                </c:pt>
                <c:pt idx="1633">
                  <c:v>1.9703501328652564</c:v>
                </c:pt>
                <c:pt idx="1634">
                  <c:v>1.7049426499703508</c:v>
                </c:pt>
                <c:pt idx="1635">
                  <c:v>1.4247145892767148</c:v>
                </c:pt>
                <c:pt idx="1636">
                  <c:v>1.1323486636040845</c:v>
                </c:pt>
                <c:pt idx="1637">
                  <c:v>0.83063052432776752</c:v>
                </c:pt>
                <c:pt idx="1638">
                  <c:v>0.52242211346366629</c:v>
                </c:pt>
                <c:pt idx="1639">
                  <c:v>0.21063440346744178</c:v>
                </c:pt>
                <c:pt idx="1640">
                  <c:v>-0.10180021455440946</c:v>
                </c:pt>
                <c:pt idx="1641">
                  <c:v>-0.41195563121809164</c:v>
                </c:pt>
                <c:pt idx="1642">
                  <c:v>-0.71693954503001733</c:v>
                </c:pt>
                <c:pt idx="1643">
                  <c:v>-1.013920554272842</c:v>
                </c:pt>
                <c:pt idx="1644">
                  <c:v>-1.300154559715978</c:v>
                </c:pt>
                <c:pt idx="1645">
                  <c:v>-1.5730102308493432</c:v>
                </c:pt>
                <c:pt idx="1646">
                  <c:v>-1.8299932982573568</c:v>
                </c:pt>
                <c:pt idx="1647">
                  <c:v>-2.0687694468894078</c:v>
                </c:pt>
                <c:pt idx="1648">
                  <c:v>-2.2871855992229899</c:v>
                </c:pt>
                <c:pt idx="1649">
                  <c:v>-2.4832893935074161</c:v>
                </c:pt>
                <c:pt idx="1650">
                  <c:v>-2.6553466802566463</c:v>
                </c:pt>
                <c:pt idx="1651">
                  <c:v>-2.8018568797547916</c:v>
                </c:pt>
                <c:pt idx="1652">
                  <c:v>-2.921566064348561</c:v>
                </c:pt>
                <c:pt idx="1653">
                  <c:v>-3.0134776515208568</c:v>
                </c:pt>
                <c:pt idx="1654">
                  <c:v>-3.0768606169555484</c:v>
                </c:pt>
                <c:pt idx="1655">
                  <c:v>-3.1112551607844399</c:v>
                </c:pt>
                <c:pt idx="1656">
                  <c:v>-3.1164757847215681</c:v>
                </c:pt>
                <c:pt idx="1657">
                  <c:v>-3.0926117626039966</c:v>
                </c:pt>
                <c:pt idx="1658">
                  <c:v>-3.040025011729353</c:v>
                </c:pt>
                <c:pt idx="1659">
                  <c:v>-2.9593453970713548</c:v>
                </c:pt>
                <c:pt idx="1660">
                  <c:v>-2.8514635247322895</c:v>
                </c:pt>
                <c:pt idx="1661">
                  <c:v>-2.7175211046221741</c:v>
                </c:pt>
                <c:pt idx="1662">
                  <c:v>-2.5588989851158761</c:v>
                </c:pt>
                <c:pt idx="1663">
                  <c:v>-2.3772029841190414</c:v>
                </c:pt>
                <c:pt idx="1664">
                  <c:v>-2.1742476613662896</c:v>
                </c:pt>
                <c:pt idx="1665">
                  <c:v>-1.9520381956926214</c:v>
                </c:pt>
                <c:pt idx="1666">
                  <c:v>-1.7127505482867367</c:v>
                </c:pt>
                <c:pt idx="1667">
                  <c:v>-1.4587101083940741</c:v>
                </c:pt>
                <c:pt idx="1668">
                  <c:v>-1.1923690314494153</c:v>
                </c:pt>
                <c:pt idx="1669">
                  <c:v>-0.91628249106190118</c:v>
                </c:pt>
                <c:pt idx="1670">
                  <c:v>-0.6330840755494993</c:v>
                </c:pt>
                <c:pt idx="1671">
                  <c:v>-0.34546056674789272</c:v>
                </c:pt>
                <c:pt idx="1672">
                  <c:v>-5.612634354083279E-2</c:v>
                </c:pt>
                <c:pt idx="1673">
                  <c:v>0.23220234505750681</c:v>
                </c:pt>
                <c:pt idx="1674">
                  <c:v>0.51683299240349367</c:v>
                </c:pt>
                <c:pt idx="1675">
                  <c:v>0.79512208975161824</c:v>
                </c:pt>
                <c:pt idx="1676">
                  <c:v>1.0644997868660133</c:v>
                </c:pt>
                <c:pt idx="1677">
                  <c:v>1.3224937266371535</c:v>
                </c:pt>
                <c:pt idx="1678">
                  <c:v>1.5667518316664355</c:v>
                </c:pt>
                <c:pt idx="1679">
                  <c:v>1.7950638318994077</c:v>
                </c:pt>
                <c:pt idx="1680">
                  <c:v>2.0053813354652101</c:v>
                </c:pt>
                <c:pt idx="1681">
                  <c:v>2.1958362597875323</c:v>
                </c:pt>
                <c:pt idx="1682">
                  <c:v>2.3647574566078844</c:v>
                </c:pt>
                <c:pt idx="1683">
                  <c:v>2.5106853826491111</c:v>
                </c:pt>
                <c:pt idx="1684">
                  <c:v>2.6323846870576375</c:v>
                </c:pt>
                <c:pt idx="1685">
                  <c:v>2.728854607304684</c:v>
                </c:pt>
                <c:pt idx="1686">
                  <c:v>2.7993370867011711</c:v>
                </c:pt>
                <c:pt idx="1687">
                  <c:v>2.8433225488727185</c:v>
                </c:pt>
                <c:pt idx="1688">
                  <c:v>2.8605532872337491</c:v>
                </c:pt>
                <c:pt idx="1689">
                  <c:v>2.851024450476753</c:v>
                </c:pt>
                <c:pt idx="1690">
                  <c:v>2.8149826281276948</c:v>
                </c:pt>
                <c:pt idx="1691">
                  <c:v>2.7529220630906814</c:v>
                </c:pt>
                <c:pt idx="1692">
                  <c:v>2.6655785405985428</c:v>
                </c:pt>
                <c:pt idx="1693">
                  <c:v>2.5539210248830346</c:v>
                </c:pt>
                <c:pt idx="1694">
                  <c:v>2.4191411359729003</c:v>
                </c:pt>
                <c:pt idx="1695">
                  <c:v>2.2626405791234099</c:v>
                </c:pt>
                <c:pt idx="1696">
                  <c:v>2.0860166582867392</c:v>
                </c:pt>
                <c:pt idx="1697">
                  <c:v>1.8910460225745866</c:v>
                </c:pt>
                <c:pt idx="1698">
                  <c:v>1.6796668106821553</c:v>
                </c:pt>
                <c:pt idx="1699">
                  <c:v>1.4539593725887088</c:v>
                </c:pt>
                <c:pt idx="1700">
                  <c:v>1.2161257603969509</c:v>
                </c:pt>
                <c:pt idx="1701">
                  <c:v>0.96846819081002133</c:v>
                </c:pt>
                <c:pt idx="1702">
                  <c:v>0.71336669037888434</c:v>
                </c:pt>
                <c:pt idx="1703">
                  <c:v>0.45325614121380098</c:v>
                </c:pt>
                <c:pt idx="1704">
                  <c:v>0.19060294928795773</c:v>
                </c:pt>
                <c:pt idx="1705">
                  <c:v>-7.2118440260552141E-2</c:v>
                </c:pt>
                <c:pt idx="1706">
                  <c:v>-0.33244895630870852</c:v>
                </c:pt>
                <c:pt idx="1707">
                  <c:v>-0.5879680209338578</c:v>
                </c:pt>
                <c:pt idx="1708">
                  <c:v>-0.83631615629287814</c:v>
                </c:pt>
                <c:pt idx="1709">
                  <c:v>-1.0752168671178435</c:v>
                </c:pt>
                <c:pt idx="1710">
                  <c:v>-1.3024975949855271</c:v>
                </c:pt>
                <c:pt idx="1711">
                  <c:v>-1.5161095506592615</c:v>
                </c:pt>
                <c:pt idx="1712">
                  <c:v>-1.7141462427395524</c:v>
                </c:pt>
                <c:pt idx="1713">
                  <c:v>-1.8948605344733715</c:v>
                </c:pt>
                <c:pt idx="1714">
                  <c:v>-2.0566800757158941</c:v>
                </c:pt>
                <c:pt idx="1715">
                  <c:v>-2.198220973557151</c:v>
                </c:pt>
                <c:pt idx="1716">
                  <c:v>-2.3182995828567408</c:v>
                </c:pt>
                <c:pt idx="1717">
                  <c:v>-2.4159423166895628</c:v>
                </c:pt>
                <c:pt idx="1718">
                  <c:v>-2.4903933963072462</c:v>
                </c:pt>
                <c:pt idx="1719">
                  <c:v>-2.5411204804738605</c:v>
                </c:pt>
                <c:pt idx="1720">
                  <c:v>-2.5678181347365276</c:v>
                </c:pt>
                <c:pt idx="1721">
                  <c:v>-2.5704091221390266</c:v>
                </c:pt>
                <c:pt idx="1722">
                  <c:v>-2.5490435178817359</c:v>
                </c:pt>
                <c:pt idx="1723">
                  <c:v>-2.5040956712615072</c:v>
                </c:pt>
                <c:pt idx="1724">
                  <c:v>-2.4361590586998725</c:v>
                </c:pt>
                <c:pt idx="1725">
                  <c:v>-2.3460390915854195</c:v>
                </c:pt>
                <c:pt idx="1726">
                  <c:v>-2.2347439618287686</c:v>
                </c:pt>
                <c:pt idx="1727">
                  <c:v>-2.1034736262782867</c:v>
                </c:pt>
                <c:pt idx="1728">
                  <c:v>-1.9536070482977728</c:v>
                </c:pt>
                <c:pt idx="1729">
                  <c:v>-1.7866878307061915</c:v>
                </c:pt>
                <c:pt idx="1730">
                  <c:v>-1.6044083887799219</c:v>
                </c:pt>
                <c:pt idx="1731">
                  <c:v>-1.4085928249865196</c:v>
                </c:pt>
                <c:pt idx="1732">
                  <c:v>-1.2011786784416136</c:v>
                </c:pt>
                <c:pt idx="1733">
                  <c:v>-0.9841977316585977</c:v>
                </c:pt>
                <c:pt idx="1734">
                  <c:v>-0.75975606491207803</c:v>
                </c:pt>
                <c:pt idx="1735">
                  <c:v>-0.53001355439918374</c:v>
                </c:pt>
                <c:pt idx="1736">
                  <c:v>-0.29716301431239045</c:v>
                </c:pt>
                <c:pt idx="1737">
                  <c:v>-6.3409184908780336E-2</c:v>
                </c:pt>
                <c:pt idx="1738">
                  <c:v>0.16905223133082314</c:v>
                </c:pt>
                <c:pt idx="1739">
                  <c:v>0.39805528530287027</c:v>
                </c:pt>
                <c:pt idx="1740">
                  <c:v>0.62148405235385407</c:v>
                </c:pt>
                <c:pt idx="1741">
                  <c:v>0.83729226826432868</c:v>
                </c:pt>
                <c:pt idx="1742">
                  <c:v>1.0435221471128853</c:v>
                </c:pt>
                <c:pt idx="1743">
                  <c:v>1.2383222072309952</c:v>
                </c:pt>
                <c:pt idx="1744">
                  <c:v>1.4199639423121786</c:v>
                </c:pt>
                <c:pt idx="1745">
                  <c:v>1.586857187089497</c:v>
                </c:pt>
                <c:pt idx="1746">
                  <c:v>1.737564040709614</c:v>
                </c:pt>
                <c:pt idx="1747">
                  <c:v>1.8708112258661782</c:v>
                </c:pt>
                <c:pt idx="1748">
                  <c:v>1.9855007777609175</c:v>
                </c:pt>
                <c:pt idx="1749">
                  <c:v>2.0807189738699798</c:v>
                </c:pt>
                <c:pt idx="1750">
                  <c:v>2.1557434331346306</c:v>
                </c:pt>
                <c:pt idx="1751">
                  <c:v>2.210048331397318</c:v>
                </c:pt>
                <c:pt idx="1752">
                  <c:v>2.2433076984805194</c:v>
                </c:pt>
                <c:pt idx="1753">
                  <c:v>2.2553967810734141</c:v>
                </c:pt>
                <c:pt idx="1754">
                  <c:v>2.2463914743707094</c:v>
                </c:pt>
                <c:pt idx="1755">
                  <c:v>2.2165658440112788</c:v>
                </c:pt>
                <c:pt idx="1756">
                  <c:v>2.1663877781124863</c:v>
                </c:pt>
                <c:pt idx="1757">
                  <c:v>2.096512826917809</c:v>
                </c:pt>
                <c:pt idx="1758">
                  <c:v>2.0077763045977237</c:v>
                </c:pt>
                <c:pt idx="1759">
                  <c:v>1.9011837439071602</c:v>
                </c:pt>
                <c:pt idx="1760">
                  <c:v>1.7778998095588567</c:v>
                </c:pt>
                <c:pt idx="1761">
                  <c:v>1.6392357901771903</c:v>
                </c:pt>
                <c:pt idx="1762">
                  <c:v>1.4866358014248058</c:v>
                </c:pt>
                <c:pt idx="1763">
                  <c:v>1.3216618442324524</c:v>
                </c:pt>
                <c:pt idx="1764">
                  <c:v>1.1459778719071809</c:v>
                </c:pt>
                <c:pt idx="1765">
                  <c:v>0.96133302816485799</c:v>
                </c:pt>
                <c:pt idx="1766">
                  <c:v>0.76954422475863149</c:v>
                </c:pt>
                <c:pt idx="1767">
                  <c:v>0.57247823230546668</c:v>
                </c:pt>
                <c:pt idx="1768">
                  <c:v>0.37203346111289703</c:v>
                </c:pt>
                <c:pt idx="1769">
                  <c:v>0.1701216102598393</c:v>
                </c:pt>
                <c:pt idx="1770">
                  <c:v>-3.1350637109937907E-2</c:v>
                </c:pt>
                <c:pt idx="1771">
                  <c:v>-0.23049969635021772</c:v>
                </c:pt>
                <c:pt idx="1772">
                  <c:v>-0.42548276952321462</c:v>
                </c:pt>
                <c:pt idx="1773">
                  <c:v>-0.61451497242089448</c:v>
                </c:pt>
                <c:pt idx="1774">
                  <c:v>-0.79588574051024996</c:v>
                </c:pt>
                <c:pt idx="1775">
                  <c:v>-0.96797436236636336</c:v>
                </c:pt>
                <c:pt idx="1776">
                  <c:v>-1.1292644990097749</c:v>
                </c:pt>
                <c:pt idx="1777">
                  <c:v>-1.2783575587152998</c:v>
                </c:pt>
                <c:pt idx="1778">
                  <c:v>-1.4139848091843699</c:v>
                </c:pt>
                <c:pt idx="1779">
                  <c:v>-1.5350181223405976</c:v>
                </c:pt>
                <c:pt idx="1780">
                  <c:v>-1.6404792612828536</c:v>
                </c:pt>
                <c:pt idx="1781">
                  <c:v>-1.7295476339597018</c:v>
                </c:pt>
                <c:pt idx="1782">
                  <c:v>-1.8015664537589178</c:v>
                </c:pt>
                <c:pt idx="1783">
                  <c:v>-1.8560472632818406</c:v>
                </c:pt>
                <c:pt idx="1784">
                  <c:v>-1.8926727939279369</c:v>
                </c:pt>
                <c:pt idx="1785">
                  <c:v>-1.9112981503866928</c:v>
                </c:pt>
                <c:pt idx="1786">
                  <c:v>-1.9119503255632364</c:v>
                </c:pt>
                <c:pt idx="1787">
                  <c:v>-1.8948260676846693</c:v>
                </c:pt>
                <c:pt idx="1788">
                  <c:v>-1.8602881371883644</c:v>
                </c:pt>
                <c:pt idx="1789">
                  <c:v>-1.8088600063324598</c:v>
                </c:pt>
                <c:pt idx="1790">
                  <c:v>-1.7412190691412337</c:v>
                </c:pt>
                <c:pt idx="1791">
                  <c:v>-1.6581884431659248</c:v>
                </c:pt>
                <c:pt idx="1792">
                  <c:v>-1.5607274574784442</c:v>
                </c:pt>
                <c:pt idx="1793">
                  <c:v>-1.4499209331980474</c:v>
                </c:pt>
                <c:pt idx="1794">
                  <c:v>-1.3269673735726264</c:v>
                </c:pt>
                <c:pt idx="1795">
                  <c:v>-1.1931661901036383</c:v>
                </c:pt>
                <c:pt idx="1796">
                  <c:v>-1.0499040993316939</c:v>
                </c:pt>
                <c:pt idx="1797">
                  <c:v>-0.89864083162169961</c:v>
                </c:pt>
                <c:pt idx="1798">
                  <c:v>-0.74089429854965538</c:v>
                </c:pt>
                <c:pt idx="1799">
                  <c:v>-0.57822536925735735</c:v>
                </c:pt>
                <c:pt idx="1800">
                  <c:v>-0.41222240838452051</c:v>
                </c:pt>
                <c:pt idx="1801">
                  <c:v>-0.24448572890199483</c:v>
                </c:pt>
                <c:pt idx="1802">
                  <c:v>-7.6612112361603923E-2</c:v>
                </c:pt>
                <c:pt idx="1803">
                  <c:v>8.9820453228077746E-2</c:v>
                </c:pt>
                <c:pt idx="1804">
                  <c:v>0.25326767146047025</c:v>
                </c:pt>
                <c:pt idx="1805">
                  <c:v>0.41223333026262843</c:v>
                </c:pt>
                <c:pt idx="1806">
                  <c:v>0.56528305456284622</c:v>
                </c:pt>
                <c:pt idx="1807">
                  <c:v>0.71105729194856382</c:v>
                </c:pt>
                <c:pt idx="1808">
                  <c:v>0.84828341333567114</c:v>
                </c:pt>
                <c:pt idx="1809">
                  <c:v>0.97578682071499956</c:v>
                </c:pt>
                <c:pt idx="1810">
                  <c:v>1.0925009650508135</c:v>
                </c:pt>
                <c:pt idx="1811">
                  <c:v>1.1974761892590435</c:v>
                </c:pt>
                <c:pt idx="1812">
                  <c:v>1.2898873237672015</c:v>
                </c:pt>
                <c:pt idx="1813">
                  <c:v>1.3690399753167295</c:v>
                </c:pt>
                <c:pt idx="1814">
                  <c:v>1.4343754632738659</c:v>
                </c:pt>
                <c:pt idx="1815">
                  <c:v>1.4854743716308154</c:v>
                </c:pt>
                <c:pt idx="1816">
                  <c:v>1.5220586989581983</c:v>
                </c:pt>
                <c:pt idx="1817">
                  <c:v>1.5439926026693749</c:v>
                </c:pt>
                <c:pt idx="1818">
                  <c:v>1.5512817479402961</c:v>
                </c:pt>
                <c:pt idx="1819">
                  <c:v>1.5440712853512057</c:v>
                </c:pt>
                <c:pt idx="1820">
                  <c:v>1.5226424946437449</c:v>
                </c:pt>
                <c:pt idx="1821">
                  <c:v>1.4874081447933429</c:v>
                </c:pt>
                <c:pt idx="1822">
                  <c:v>1.438906632754122</c:v>
                </c:pt>
                <c:pt idx="1823">
                  <c:v>1.3777949746268792</c:v>
                </c:pt>
                <c:pt idx="1824">
                  <c:v>1.3048407335269763</c:v>
                </c:pt>
                <c:pt idx="1825">
                  <c:v>1.2209129779870171</c:v>
                </c:pt>
                <c:pt idx="1826">
                  <c:v>1.1269723732336607</c:v>
                </c:pt>
                <c:pt idx="1827">
                  <c:v>1.0240605150570716</c:v>
                </c:pt>
                <c:pt idx="1828">
                  <c:v>0.91328862217923312</c:v>
                </c:pt>
                <c:pt idx="1829">
                  <c:v>0.79582570797511587</c:v>
                </c:pt>
                <c:pt idx="1830">
                  <c:v>0.67288635607346503</c:v>
                </c:pt>
                <c:pt idx="1831">
                  <c:v>0.54571822673590775</c:v>
                </c:pt>
                <c:pt idx="1832">
                  <c:v>0.41558942197569215</c:v>
                </c:pt>
                <c:pt idx="1833">
                  <c:v>0.28377583713463328</c:v>
                </c:pt>
                <c:pt idx="1834">
                  <c:v>0.151548625104309</c:v>
                </c:pt>
                <c:pt idx="1835">
                  <c:v>2.0161896586545769E-2</c:v>
                </c:pt>
                <c:pt idx="1836">
                  <c:v>-0.10915922421974544</c:v>
                </c:pt>
                <c:pt idx="1837">
                  <c:v>-0.23523007428885911</c:v>
                </c:pt>
                <c:pt idx="1838">
                  <c:v>-0.35691734884501969</c:v>
                </c:pt>
                <c:pt idx="1839">
                  <c:v>-0.47314932018189149</c:v>
                </c:pt>
                <c:pt idx="1840">
                  <c:v>-0.58292528578206371</c:v>
                </c:pt>
                <c:pt idx="1841">
                  <c:v>-0.6853241623523616</c:v>
                </c:pt>
                <c:pt idx="1842">
                  <c:v>-0.7795121521882139</c:v>
                </c:pt>
                <c:pt idx="1843">
                  <c:v>-0.86474941870500133</c:v>
                </c:pt>
                <c:pt idx="1844">
                  <c:v>-0.94039571891055562</c:v>
                </c:pt>
                <c:pt idx="1845">
                  <c:v>-1.0059149519288653</c:v>
                </c:pt>
                <c:pt idx="1846">
                  <c:v>-1.0608785942896344</c:v>
                </c:pt>
                <c:pt idx="1847">
                  <c:v>-1.1049680044585906</c:v>
                </c:pt>
                <c:pt idx="1848">
                  <c:v>-1.1379755908702953</c:v>
                </c:pt>
                <c:pt idx="1849">
                  <c:v>-1.1598048494166113</c:v>
                </c:pt>
                <c:pt idx="1850">
                  <c:v>-1.1704692878248641</c:v>
                </c:pt>
                <c:pt idx="1851">
                  <c:v>-1.1700902655092271</c:v>
                </c:pt>
                <c:pt idx="1852">
                  <c:v>-1.1588937881852384</c:v>
                </c:pt>
                <c:pt idx="1853">
                  <c:v>-1.1372063066994504</c:v>
                </c:pt>
                <c:pt idx="1854">
                  <c:v>-1.105449579040177</c:v>
                </c:pt>
                <c:pt idx="1855">
                  <c:v>-1.0641346632702691</c:v>
                </c:pt>
                <c:pt idx="1856">
                  <c:v>-1.0138551170804018</c:v>
                </c:pt>
                <c:pt idx="1857">
                  <c:v>-0.95527948672379348</c:v>
                </c:pt>
                <c:pt idx="1858">
                  <c:v>-0.88914317419835709</c:v>
                </c:pt>
                <c:pt idx="1859">
                  <c:v>-0.81623977664101055</c:v>
                </c:pt>
                <c:pt idx="1860">
                  <c:v>-0.73741199594612339</c:v>
                </c:pt>
                <c:pt idx="1861">
                  <c:v>-0.65354221958712433</c:v>
                </c:pt>
                <c:pt idx="1862">
                  <c:v>-0.56554287549144266</c:v>
                </c:pt>
                <c:pt idx="1863">
                  <c:v>-0.47434666458470565</c:v>
                </c:pt>
                <c:pt idx="1864">
                  <c:v>-0.38089677428721447</c:v>
                </c:pt>
                <c:pt idx="1865">
                  <c:v>-0.28613717483206313</c:v>
                </c:pt>
                <c:pt idx="1866">
                  <c:v>-0.19100309780607416</c:v>
                </c:pt>
                <c:pt idx="1867">
                  <c:v>-9.6411792832386656E-2</c:v>
                </c:pt>
                <c:pt idx="1868">
                  <c:v>-3.2536538660834502E-3</c:v>
                </c:pt>
                <c:pt idx="1869">
                  <c:v>8.7616198779957966E-2</c:v>
                </c:pt>
                <c:pt idx="1870">
                  <c:v>0.17538580075339261</c:v>
                </c:pt>
                <c:pt idx="1871">
                  <c:v>0.2592936173535807</c:v>
                </c:pt>
                <c:pt idx="1872">
                  <c:v>0.3386351432571999</c:v>
                </c:pt>
                <c:pt idx="1873">
                  <c:v>0.41276877116025279</c:v>
                </c:pt>
                <c:pt idx="1874">
                  <c:v>0.48112088093387317</c:v>
                </c:pt>
                <c:pt idx="1875">
                  <c:v>0.54319011000055872</c:v>
                </c:pt>
                <c:pt idx="1876">
                  <c:v>0.59855077503674214</c:v>
                </c:pt>
                <c:pt idx="1877">
                  <c:v>0.64685542469613311</c:v>
                </c:pt>
                <c:pt idx="1878">
                  <c:v>0.68783651271746449</c:v>
                </c:pt>
                <c:pt idx="1879">
                  <c:v>0.72130719042410618</c:v>
                </c:pt>
                <c:pt idx="1880">
                  <c:v>0.7471612271419823</c:v>
                </c:pt>
                <c:pt idx="1881">
                  <c:v>0.76537207635106186</c:v>
                </c:pt>
                <c:pt idx="1882">
                  <c:v>0.77599111434601076</c:v>
                </c:pt>
                <c:pt idx="1883">
                  <c:v>0.77914508672489458</c:v>
                </c:pt>
                <c:pt idx="1884">
                  <c:v>0.77503280605887381</c:v>
                </c:pt>
                <c:pt idx="1885">
                  <c:v>0.76392115153868634</c:v>
                </c:pt>
                <c:pt idx="1886">
                  <c:v>0.74614042817843473</c:v>
                </c:pt>
                <c:pt idx="1887">
                  <c:v>0.72207914920648875</c:v>
                </c:pt>
                <c:pt idx="1888">
                  <c:v>0.6921783105409649</c:v>
                </c:pt>
                <c:pt idx="1889">
                  <c:v>0.65692523067771236</c:v>
                </c:pt>
                <c:pt idx="1890">
                  <c:v>0.61684703287452658</c:v>
                </c:pt>
                <c:pt idx="1891">
                  <c:v>0.57250384917148667</c:v>
                </c:pt>
                <c:pt idx="1892">
                  <c:v>0.52448182752107919</c:v>
                </c:pt>
                <c:pt idx="1893">
                  <c:v>0.47338602410583785</c:v>
                </c:pt>
                <c:pt idx="1894">
                  <c:v>0.41983326280056965</c:v>
                </c:pt>
                <c:pt idx="1895">
                  <c:v>0.36444504269961442</c:v>
                </c:pt>
                <c:pt idx="1896">
                  <c:v>0.30784057270038612</c:v>
                </c:pt>
                <c:pt idx="1897">
                  <c:v>0.25063000934639001</c:v>
                </c:pt>
                <c:pt idx="1898">
                  <c:v>0.19340797052450198</c:v>
                </c:pt>
                <c:pt idx="1899">
                  <c:v>0.13674739323373974</c:v>
                </c:pt>
                <c:pt idx="1900">
                  <c:v>8.1193798554414665E-2</c:v>
                </c:pt>
                <c:pt idx="1901">
                  <c:v>2.7260021211252372E-2</c:v>
                </c:pt>
                <c:pt idx="1902">
                  <c:v>-2.4578545184814615E-2</c:v>
                </c:pt>
                <c:pt idx="1903">
                  <c:v>-7.3888142937310164E-2</c:v>
                </c:pt>
                <c:pt idx="1904">
                  <c:v>-0.12028024804881077</c:v>
                </c:pt>
                <c:pt idx="1905">
                  <c:v>-0.16341454147810297</c:v>
                </c:pt>
                <c:pt idx="1906">
                  <c:v>-0.20300123214537935</c:v>
                </c:pt>
                <c:pt idx="1907">
                  <c:v>-0.23880271789513241</c:v>
                </c:pt>
                <c:pt idx="1908">
                  <c:v>-0.27063457861462292</c:v>
                </c:pt>
                <c:pt idx="1909">
                  <c:v>-0.29836590365951565</c:v>
                </c:pt>
                <c:pt idx="1910">
                  <c:v>-0.32191896356432559</c:v>
                </c:pt>
                <c:pt idx="1911">
                  <c:v>-0.34126824362424113</c:v>
                </c:pt>
                <c:pt idx="1912">
                  <c:v>-0.35643886424551807</c:v>
                </c:pt>
                <c:pt idx="1913">
                  <c:v>-0.36750441988921928</c:v>
                </c:pt>
                <c:pt idx="1914">
                  <c:v>-0.37458427490075741</c:v>
                </c:pt>
                <c:pt idx="1915">
                  <c:v>-0.37784036045964986</c:v>
                </c:pt>
                <c:pt idx="1916">
                  <c:v>-0.37747352223202757</c:v>
                </c:pt>
                <c:pt idx="1917">
                  <c:v>-0.37371947300581276</c:v>
                </c:pt>
                <c:pt idx="1918">
                  <c:v>-0.36684440859108391</c:v>
                </c:pt>
                <c:pt idx="1919">
                  <c:v>-0.35714034853083743</c:v>
                </c:pt>
                <c:pt idx="1920">
                  <c:v>-0.34492026565851586</c:v>
                </c:pt>
                <c:pt idx="1921">
                  <c:v>-0.33051307024018628</c:v>
                </c:pt>
                <c:pt idx="1922">
                  <c:v>-0.31425851533297322</c:v>
                </c:pt>
                <c:pt idx="1923">
                  <c:v>-0.29650209007371586</c:v>
                </c:pt>
                <c:pt idx="1924">
                  <c:v>-0.27758996689212534</c:v>
                </c:pt>
                <c:pt idx="1925">
                  <c:v>-0.25786406713109877</c:v>
                </c:pt>
                <c:pt idx="1926">
                  <c:v>-0.23765730727748746</c:v>
                </c:pt>
                <c:pt idx="1927">
                  <c:v>-0.21728908499626676</c:v>
                </c:pt>
                <c:pt idx="1928">
                  <c:v>-0.19706106045297411</c:v>
                </c:pt>
                <c:pt idx="1929">
                  <c:v>-0.1772532840593477</c:v>
                </c:pt>
                <c:pt idx="1930">
                  <c:v>-0.15812071683599438</c:v>
                </c:pt>
                <c:pt idx="1931">
                  <c:v>-0.13989018411761189</c:v>
                </c:pt>
                <c:pt idx="1932">
                  <c:v>-0.12275779740001957</c:v>
                </c:pt>
                <c:pt idx="1933">
                  <c:v>-0.10688687281512332</c:v>
                </c:pt>
                <c:pt idx="1934">
                  <c:v>-9.2406368098775227E-2</c:v>
                </c:pt>
                <c:pt idx="1935">
                  <c:v>-7.9409853067686553E-2</c:v>
                </c:pt>
                <c:pt idx="1936">
                  <c:v>-6.7955021627396528E-2</c:v>
                </c:pt>
                <c:pt idx="1937">
                  <c:v>-5.80637462796183E-2</c:v>
                </c:pt>
                <c:pt idx="1938">
                  <c:v>-4.9722669067417513E-2</c:v>
                </c:pt>
                <c:pt idx="1939">
                  <c:v>-4.2884315975479925E-2</c:v>
                </c:pt>
                <c:pt idx="1940">
                  <c:v>-3.7468715074346681E-2</c:v>
                </c:pt>
                <c:pt idx="1941">
                  <c:v>-3.3365492239550543E-2</c:v>
                </c:pt>
                <c:pt idx="1942">
                  <c:v>-3.0436412167914817E-2</c:v>
                </c:pt>
                <c:pt idx="1943">
                  <c:v>-2.8518326727706156E-2</c:v>
                </c:pt>
                <c:pt idx="1944">
                  <c:v>-2.7426487480864403E-2</c:v>
                </c:pt>
                <c:pt idx="1945">
                  <c:v>-2.6958174568895155E-2</c:v>
                </c:pt>
                <c:pt idx="1946">
                  <c:v>-2.6896590115332908E-2</c:v>
                </c:pt>
                <c:pt idx="1947">
                  <c:v>-2.7014960910636349E-2</c:v>
                </c:pt>
                <c:pt idx="1948">
                  <c:v>-2.7080792454177889E-2</c:v>
                </c:pt>
                <c:pt idx="1949">
                  <c:v>-2.6860214465281085E-2</c:v>
                </c:pt>
                <c:pt idx="1950">
                  <c:v>-2.6122356759913257E-2</c:v>
                </c:pt>
                <c:pt idx="1951">
                  <c:v>-2.4643693940888056E-2</c:v>
                </c:pt>
                <c:pt idx="1952">
                  <c:v>-2.2212297673163239E-2</c:v>
                </c:pt>
                <c:pt idx="1953">
                  <c:v>-1.8631936404023608E-2</c:v>
                </c:pt>
                <c:pt idx="1954">
                  <c:v>-1.3725964233010979E-2</c:v>
                </c:pt>
                <c:pt idx="1955">
                  <c:v>-7.3409432169138089E-3</c:v>
                </c:pt>
                <c:pt idx="1956">
                  <c:v>6.5005332327494614E-4</c:v>
                </c:pt>
                <c:pt idx="1957">
                  <c:v>1.0344504977358948E-2</c:v>
                </c:pt>
                <c:pt idx="1958">
                  <c:v>2.1807919816844379E-2</c:v>
                </c:pt>
                <c:pt idx="1959">
                  <c:v>3.5071760142024955E-2</c:v>
                </c:pt>
                <c:pt idx="1960">
                  <c:v>5.0131851544204853E-2</c:v>
                </c:pt>
                <c:pt idx="1961">
                  <c:v>6.6947302340446768E-2</c:v>
                </c:pt>
                <c:pt idx="1962">
                  <c:v>8.5439953990662731E-2</c:v>
                </c:pt>
                <c:pt idx="1963">
                  <c:v>0.10549437636617442</c:v>
                </c:pt>
                <c:pt idx="1964">
                  <c:v>0.12695841478618242</c:v>
                </c:pt>
                <c:pt idx="1965">
                  <c:v>0.14964428865793811</c:v>
                </c:pt>
                <c:pt idx="1966">
                  <c:v>0.17333023442995654</c:v>
                </c:pt>
                <c:pt idx="1967">
                  <c:v>0.19776267848214024</c:v>
                </c:pt>
                <c:pt idx="1968">
                  <c:v>0.22265891861713438</c:v>
                </c:pt>
                <c:pt idx="1969">
                  <c:v>0.24771028606744783</c:v>
                </c:pt>
                <c:pt idx="1970">
                  <c:v>0.27258575347512548</c:v>
                </c:pt>
                <c:pt idx="1971">
                  <c:v>0.29693594821347902</c:v>
                </c:pt>
                <c:pt idx="1972">
                  <c:v>0.32039752478013961</c:v>
                </c:pt>
                <c:pt idx="1973">
                  <c:v>0.34259784486568723</c:v>
                </c:pt>
                <c:pt idx="1974">
                  <c:v>0.36315990915808194</c:v>
                </c:pt>
                <c:pt idx="1975">
                  <c:v>0.38170748103966301</c:v>
                </c:pt>
                <c:pt idx="1976">
                  <c:v>0.39787033911847258</c:v>
                </c:pt>
                <c:pt idx="1977">
                  <c:v>0.41128959305501456</c:v>
                </c:pt>
                <c:pt idx="1978">
                  <c:v>0.42162299543549053</c:v>
                </c:pt>
                <c:pt idx="1979">
                  <c:v>0.4285501815255493</c:v>
                </c:pt>
                <c:pt idx="1980">
                  <c:v>0.43177776863559475</c:v>
                </c:pt>
                <c:pt idx="1981">
                  <c:v>0.43104424754865855</c:v>
                </c:pt>
                <c:pt idx="1982">
                  <c:v>0.42612459999896773</c:v>
                </c:pt>
                <c:pt idx="1983">
                  <c:v>0.41683457853719758</c:v>
                </c:pt>
                <c:pt idx="1984">
                  <c:v>0.40303458825726296</c:v>
                </c:pt>
                <c:pt idx="1985">
                  <c:v>0.38463311375533538</c:v>
                </c:pt>
                <c:pt idx="1986">
                  <c:v>0.36158963931099664</c:v>
                </c:pt>
                <c:pt idx="1987">
                  <c:v>0.3339170155761888</c:v>
                </c:pt>
                <c:pt idx="1988">
                  <c:v>0.30168323197040525</c:v>
                </c:pt>
                <c:pt idx="1989">
                  <c:v>0.26501256045268939</c:v>
                </c:pt>
                <c:pt idx="1990">
                  <c:v>0.22408604330267035</c:v>
                </c:pt>
                <c:pt idx="1991">
                  <c:v>0.17914130491457647</c:v>
                </c:pt>
                <c:pt idx="1992">
                  <c:v>0.13047167531354553</c:v>
                </c:pt>
                <c:pt idx="1993">
                  <c:v>7.8424621056500055E-2</c:v>
                </c:pt>
                <c:pt idx="1994">
                  <c:v>2.3399487288335852E-2</c:v>
                </c:pt>
                <c:pt idx="1995">
                  <c:v>-3.4155437099350427E-2</c:v>
                </c:pt>
                <c:pt idx="1996">
                  <c:v>-9.3746511109509933E-2</c:v>
                </c:pt>
                <c:pt idx="1997">
                  <c:v>-0.15483896195482183</c:v>
                </c:pt>
                <c:pt idx="1998">
                  <c:v>-0.21686169810414024</c:v>
                </c:pt>
                <c:pt idx="1999">
                  <c:v>-0.27921267160567331</c:v>
                </c:pt>
                <c:pt idx="2000">
                  <c:v>-0.34126473911493882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1F0-4A0C-804E-B6321EBD5D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1194224"/>
        <c:axId val="1"/>
      </c:scatterChart>
      <c:valAx>
        <c:axId val="521194224"/>
        <c:scaling>
          <c:orientation val="minMax"/>
          <c:max val="10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" sourceLinked="0"/>
        <c:majorTickMark val="out"/>
        <c:minorTickMark val="none"/>
        <c:tickLblPos val="nextTo"/>
        <c:crossAx val="52119422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workbookViewId="0"/>
  </sheetViews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6"/>
  <sheetViews>
    <sheetView workbookViewId="0"/>
  </sheetViews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9"/>
  <sheetViews>
    <sheetView tabSelected="1" workbookViewId="0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48825" cy="601027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3AF8F6D-47F6-429D-9A7B-0BBBA323DE2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648825" cy="601027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28E1B5B-77C7-444C-AFF4-717AF25BBB5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8825" cy="601027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FC73E3D-F77C-4225-A489-ADA0751E0D2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K14"/>
  <sheetViews>
    <sheetView zoomScale="200" zoomScaleNormal="200" workbookViewId="0">
      <selection activeCell="B1" sqref="B1"/>
    </sheetView>
  </sheetViews>
  <sheetFormatPr defaultRowHeight="15" x14ac:dyDescent="0.25"/>
  <cols>
    <col min="1" max="1" width="0.85546875" customWidth="1"/>
    <col min="3" max="3" width="2.5703125" customWidth="1"/>
    <col min="6" max="6" width="2.5703125" customWidth="1"/>
    <col min="8" max="8" width="2.5703125" customWidth="1"/>
    <col min="10" max="10" width="2.5703125" customWidth="1"/>
  </cols>
  <sheetData>
    <row r="1" spans="2:11" x14ac:dyDescent="0.25">
      <c r="B1" s="11" t="s">
        <v>15</v>
      </c>
    </row>
    <row r="2" spans="2:11" x14ac:dyDescent="0.25">
      <c r="B2" s="11" t="s">
        <v>49</v>
      </c>
    </row>
    <row r="3" spans="2:11" x14ac:dyDescent="0.25">
      <c r="B3" t="s">
        <v>44</v>
      </c>
      <c r="F3" t="s">
        <v>37</v>
      </c>
    </row>
    <row r="4" spans="2:11" x14ac:dyDescent="0.25">
      <c r="B4" t="s">
        <v>45</v>
      </c>
      <c r="D4" s="10"/>
      <c r="E4" s="10"/>
      <c r="F4" s="10" t="s">
        <v>41</v>
      </c>
    </row>
    <row r="5" spans="2:11" x14ac:dyDescent="0.25">
      <c r="B5" t="s">
        <v>46</v>
      </c>
      <c r="D5" s="10"/>
      <c r="E5" s="10"/>
      <c r="F5" s="10" t="s">
        <v>39</v>
      </c>
    </row>
    <row r="6" spans="2:11" x14ac:dyDescent="0.25">
      <c r="B6" t="s">
        <v>47</v>
      </c>
      <c r="F6" s="10" t="s">
        <v>38</v>
      </c>
    </row>
    <row r="7" spans="2:11" ht="15.75" thickBot="1" x14ac:dyDescent="0.3">
      <c r="B7" t="s">
        <v>48</v>
      </c>
      <c r="F7" s="10" t="s">
        <v>40</v>
      </c>
    </row>
    <row r="8" spans="2:11" x14ac:dyDescent="0.25">
      <c r="B8" s="17" t="s">
        <v>50</v>
      </c>
      <c r="C8" s="18"/>
      <c r="D8" s="18"/>
      <c r="E8" s="19"/>
      <c r="F8" s="10" t="s">
        <v>43</v>
      </c>
    </row>
    <row r="9" spans="2:11" ht="15.75" thickBot="1" x14ac:dyDescent="0.3">
      <c r="B9" s="20" t="s">
        <v>51</v>
      </c>
      <c r="C9" s="21"/>
      <c r="D9" s="21"/>
      <c r="E9" s="22"/>
      <c r="F9" s="10" t="s">
        <v>42</v>
      </c>
    </row>
    <row r="11" spans="2:11" x14ac:dyDescent="0.25">
      <c r="B11" t="s">
        <v>55</v>
      </c>
      <c r="E11" t="s">
        <v>13</v>
      </c>
    </row>
    <row r="13" spans="2:11" x14ac:dyDescent="0.25">
      <c r="B13" s="16" t="s">
        <v>12</v>
      </c>
      <c r="D13" s="14" t="s">
        <v>11</v>
      </c>
      <c r="E13" s="15" t="s">
        <v>10</v>
      </c>
      <c r="F13" s="12" t="s">
        <v>53</v>
      </c>
      <c r="G13" s="16" t="s">
        <v>3</v>
      </c>
      <c r="H13" s="12" t="s">
        <v>52</v>
      </c>
      <c r="I13" s="13" t="s">
        <v>9</v>
      </c>
      <c r="J13" s="7" t="s">
        <v>53</v>
      </c>
      <c r="K13" s="2" t="s">
        <v>1</v>
      </c>
    </row>
    <row r="14" spans="2:11" x14ac:dyDescent="0.25">
      <c r="B14" s="16" t="s">
        <v>8</v>
      </c>
      <c r="D14" s="14">
        <v>1</v>
      </c>
      <c r="E14" s="15">
        <v>0</v>
      </c>
      <c r="G14" s="16" t="s">
        <v>2</v>
      </c>
      <c r="I14" s="13">
        <v>0</v>
      </c>
      <c r="J14" s="2"/>
      <c r="K14" s="2"/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G2008"/>
  <sheetViews>
    <sheetView zoomScale="250" zoomScaleNormal="250" workbookViewId="0">
      <selection activeCell="H12" sqref="H12"/>
    </sheetView>
  </sheetViews>
  <sheetFormatPr defaultRowHeight="15" x14ac:dyDescent="0.25"/>
  <sheetData>
    <row r="1" spans="1:7" ht="15.75" thickBot="1" x14ac:dyDescent="0.3">
      <c r="A1" s="11" t="s">
        <v>59</v>
      </c>
    </row>
    <row r="2" spans="1:7" x14ac:dyDescent="0.25">
      <c r="A2" s="17" t="s">
        <v>50</v>
      </c>
      <c r="B2" s="18"/>
      <c r="C2" s="19"/>
      <c r="E2" s="12" t="s">
        <v>22</v>
      </c>
      <c r="F2" s="7" t="s">
        <v>21</v>
      </c>
      <c r="G2" s="7" t="s">
        <v>20</v>
      </c>
    </row>
    <row r="3" spans="1:7" ht="15.75" thickBot="1" x14ac:dyDescent="0.3">
      <c r="A3" s="20" t="s">
        <v>51</v>
      </c>
      <c r="B3" s="21"/>
      <c r="C3" s="22"/>
      <c r="E3" s="26">
        <v>0</v>
      </c>
      <c r="F3" s="27">
        <v>1</v>
      </c>
      <c r="G3" s="27">
        <v>0.25</v>
      </c>
    </row>
    <row r="4" spans="1:7" x14ac:dyDescent="0.25">
      <c r="A4" t="s">
        <v>62</v>
      </c>
      <c r="E4" s="7" t="s">
        <v>19</v>
      </c>
      <c r="F4" s="7" t="s">
        <v>18</v>
      </c>
      <c r="G4" s="7" t="s">
        <v>17</v>
      </c>
    </row>
    <row r="5" spans="1:7" x14ac:dyDescent="0.25">
      <c r="A5" s="2" t="s">
        <v>5</v>
      </c>
      <c r="E5" s="27">
        <v>1</v>
      </c>
      <c r="F5" s="27">
        <v>3.5</v>
      </c>
      <c r="G5" s="28">
        <f>SQRT(F5)</f>
        <v>1.8708286933869707</v>
      </c>
    </row>
    <row r="6" spans="1:7" x14ac:dyDescent="0.25">
      <c r="A6" s="25">
        <v>0.05</v>
      </c>
    </row>
    <row r="7" spans="1:7" ht="15.75" thickBot="1" x14ac:dyDescent="0.3">
      <c r="A7" s="39" t="s">
        <v>4</v>
      </c>
      <c r="B7" s="41" t="s">
        <v>0</v>
      </c>
    </row>
    <row r="8" spans="1:7" x14ac:dyDescent="0.25">
      <c r="A8" s="32">
        <v>0</v>
      </c>
      <c r="B8" s="42">
        <f>-A1_x*SIN(p_x*A8)+A2_x*SIN(w_x*A8)</f>
        <v>0</v>
      </c>
      <c r="F8" s="4" t="s">
        <v>7</v>
      </c>
      <c r="G8" s="24">
        <f>1/SQRT(L_x*C_x)</f>
        <v>2</v>
      </c>
    </row>
    <row r="9" spans="1:7" x14ac:dyDescent="0.25">
      <c r="A9" s="34">
        <f t="shared" ref="A9:A72" si="0">A8+$A$6</f>
        <v>0.05</v>
      </c>
      <c r="B9" s="42">
        <f t="shared" ref="B9:B71" si="1">-A1_x*SIN(p_x*A9)+A2_x*SIN(w_x*A9)</f>
        <v>3.8939070406224241E-5</v>
      </c>
      <c r="F9" s="4" t="s">
        <v>6</v>
      </c>
      <c r="G9" s="24">
        <f>E0_x/(L_x*(p_x^2-w_x^2))</f>
        <v>2</v>
      </c>
    </row>
    <row r="10" spans="1:7" x14ac:dyDescent="0.25">
      <c r="A10" s="34">
        <f t="shared" si="0"/>
        <v>0.1</v>
      </c>
      <c r="B10" s="42">
        <f t="shared" si="1"/>
        <v>3.106370815098014E-4</v>
      </c>
      <c r="F10" s="6" t="s">
        <v>23</v>
      </c>
      <c r="G10" s="24">
        <f>K_x*w_x/p_x</f>
        <v>1.8708286933869707</v>
      </c>
    </row>
    <row r="11" spans="1:7" x14ac:dyDescent="0.25">
      <c r="A11" s="34">
        <f t="shared" si="0"/>
        <v>0.15000000000000002</v>
      </c>
      <c r="B11" s="42">
        <f t="shared" si="1"/>
        <v>1.0434887656500802E-3</v>
      </c>
      <c r="F11" s="4" t="s">
        <v>16</v>
      </c>
      <c r="G11" s="24">
        <f>K_x</f>
        <v>2</v>
      </c>
    </row>
    <row r="12" spans="1:7" x14ac:dyDescent="0.25">
      <c r="A12" s="34">
        <f t="shared" si="0"/>
        <v>0.2</v>
      </c>
      <c r="B12" s="42">
        <f t="shared" si="1"/>
        <v>2.4572218685574576E-3</v>
      </c>
    </row>
    <row r="13" spans="1:7" x14ac:dyDescent="0.25">
      <c r="A13" s="34">
        <f t="shared" si="0"/>
        <v>0.25</v>
      </c>
      <c r="B13" s="42">
        <f t="shared" si="1"/>
        <v>4.7587164616770261E-3</v>
      </c>
    </row>
    <row r="14" spans="1:7" x14ac:dyDescent="0.25">
      <c r="A14" s="34">
        <f t="shared" si="0"/>
        <v>0.3</v>
      </c>
      <c r="B14" s="42">
        <f t="shared" si="1"/>
        <v>8.1380054753097397E-3</v>
      </c>
    </row>
    <row r="15" spans="1:7" x14ac:dyDescent="0.25">
      <c r="A15" s="34">
        <f t="shared" si="0"/>
        <v>0.35</v>
      </c>
      <c r="B15" s="42">
        <f t="shared" si="1"/>
        <v>1.2764513310004277E-2</v>
      </c>
    </row>
    <row r="16" spans="1:7" x14ac:dyDescent="0.25">
      <c r="A16" s="34">
        <f t="shared" si="0"/>
        <v>0.39999999999999997</v>
      </c>
      <c r="B16" s="42">
        <f t="shared" si="1"/>
        <v>1.8783586394993446E-2</v>
      </c>
    </row>
    <row r="17" spans="1:2" x14ac:dyDescent="0.25">
      <c r="A17" s="34">
        <f t="shared" si="0"/>
        <v>0.44999999999999996</v>
      </c>
      <c r="B17" s="42">
        <f t="shared" si="1"/>
        <v>2.6313365893183116E-2</v>
      </c>
    </row>
    <row r="18" spans="1:2" x14ac:dyDescent="0.25">
      <c r="A18" s="34">
        <f t="shared" si="0"/>
        <v>0.49999999999999994</v>
      </c>
      <c r="B18" s="42">
        <f t="shared" si="1"/>
        <v>3.5442048445522012E-2</v>
      </c>
    </row>
    <row r="19" spans="1:2" x14ac:dyDescent="0.25">
      <c r="A19" s="34">
        <f t="shared" si="0"/>
        <v>0.54999999999999993</v>
      </c>
      <c r="B19" s="42">
        <f t="shared" si="1"/>
        <v>4.6225575954291998E-2</v>
      </c>
    </row>
    <row r="20" spans="1:2" x14ac:dyDescent="0.25">
      <c r="A20" s="34">
        <f t="shared" si="0"/>
        <v>0.6</v>
      </c>
      <c r="B20" s="42">
        <f t="shared" si="1"/>
        <v>5.8685789982747094E-2</v>
      </c>
    </row>
    <row r="21" spans="1:2" x14ac:dyDescent="0.25">
      <c r="A21" s="34">
        <f t="shared" si="0"/>
        <v>0.65</v>
      </c>
      <c r="B21" s="42">
        <f t="shared" si="1"/>
        <v>7.280908046168455E-2</v>
      </c>
    </row>
    <row r="22" spans="1:2" x14ac:dyDescent="0.25">
      <c r="A22" s="34">
        <f t="shared" si="0"/>
        <v>0.70000000000000007</v>
      </c>
      <c r="B22" s="42">
        <f t="shared" si="1"/>
        <v>8.8545552111675141E-2</v>
      </c>
    </row>
    <row r="23" spans="1:2" x14ac:dyDescent="0.25">
      <c r="A23" s="34">
        <f t="shared" si="0"/>
        <v>0.75000000000000011</v>
      </c>
      <c r="B23" s="42">
        <f t="shared" si="1"/>
        <v>0.10580872538729302</v>
      </c>
    </row>
    <row r="24" spans="1:2" x14ac:dyDescent="0.25">
      <c r="A24" s="34">
        <f t="shared" si="0"/>
        <v>0.80000000000000016</v>
      </c>
      <c r="B24" s="42">
        <f t="shared" si="1"/>
        <v>0.1244757819052611</v>
      </c>
    </row>
    <row r="25" spans="1:2" x14ac:dyDescent="0.25">
      <c r="A25" s="34">
        <f t="shared" si="0"/>
        <v>0.8500000000000002</v>
      </c>
      <c r="B25" s="42">
        <f t="shared" si="1"/>
        <v>0.1443883573134952</v>
      </c>
    </row>
    <row r="26" spans="1:2" x14ac:dyDescent="0.25">
      <c r="A26" s="34">
        <f t="shared" si="0"/>
        <v>0.90000000000000024</v>
      </c>
      <c r="B26" s="42">
        <f t="shared" si="1"/>
        <v>0.16535387747623909</v>
      </c>
    </row>
    <row r="27" spans="1:2" x14ac:dyDescent="0.25">
      <c r="A27" s="34">
        <f t="shared" si="0"/>
        <v>0.95000000000000029</v>
      </c>
      <c r="B27" s="42">
        <f t="shared" si="1"/>
        <v>0.18714742677671437</v>
      </c>
    </row>
    <row r="28" spans="1:2" x14ac:dyDescent="0.25">
      <c r="A28" s="34">
        <f t="shared" si="0"/>
        <v>1.0000000000000002</v>
      </c>
      <c r="B28" s="42">
        <f t="shared" si="1"/>
        <v>0.20951413035802657</v>
      </c>
    </row>
    <row r="29" spans="1:2" x14ac:dyDescent="0.25">
      <c r="A29" s="34">
        <f t="shared" si="0"/>
        <v>1.0500000000000003</v>
      </c>
      <c r="B29" s="42">
        <f t="shared" si="1"/>
        <v>0.23217202531973324</v>
      </c>
    </row>
    <row r="30" spans="1:2" x14ac:dyDescent="0.25">
      <c r="A30" s="34">
        <f t="shared" si="0"/>
        <v>1.1000000000000003</v>
      </c>
      <c r="B30" s="42">
        <f t="shared" si="1"/>
        <v>0.25481538934409542</v>
      </c>
    </row>
    <row r="31" spans="1:2" x14ac:dyDescent="0.25">
      <c r="A31" s="34">
        <f t="shared" si="0"/>
        <v>1.1500000000000004</v>
      </c>
      <c r="B31" s="42">
        <f t="shared" si="1"/>
        <v>0.27711848902247183</v>
      </c>
    </row>
    <row r="32" spans="1:2" x14ac:dyDescent="0.25">
      <c r="A32" s="34">
        <f t="shared" si="0"/>
        <v>1.2000000000000004</v>
      </c>
      <c r="B32" s="42">
        <f t="shared" si="1"/>
        <v>0.29873970436479169</v>
      </c>
    </row>
    <row r="33" spans="1:2" x14ac:dyDescent="0.25">
      <c r="A33" s="34">
        <f t="shared" si="0"/>
        <v>1.2500000000000004</v>
      </c>
      <c r="B33" s="42">
        <f t="shared" si="1"/>
        <v>0.31932598067540519</v>
      </c>
    </row>
    <row r="34" spans="1:2" x14ac:dyDescent="0.25">
      <c r="A34" s="34">
        <f t="shared" si="0"/>
        <v>1.3000000000000005</v>
      </c>
      <c r="B34" s="42">
        <f t="shared" si="1"/>
        <v>0.33851755423318197</v>
      </c>
    </row>
    <row r="35" spans="1:2" x14ac:dyDescent="0.25">
      <c r="A35" s="34">
        <f t="shared" si="0"/>
        <v>1.3500000000000005</v>
      </c>
      <c r="B35" s="42">
        <f t="shared" si="1"/>
        <v>0.35595289408293174</v>
      </c>
    </row>
    <row r="36" spans="1:2" x14ac:dyDescent="0.25">
      <c r="A36" s="34">
        <f t="shared" si="0"/>
        <v>1.4000000000000006</v>
      </c>
      <c r="B36" s="42">
        <f t="shared" si="1"/>
        <v>0.37127379878240463</v>
      </c>
    </row>
    <row r="37" spans="1:2" x14ac:dyDescent="0.25">
      <c r="A37" s="34">
        <f t="shared" si="0"/>
        <v>1.4500000000000006</v>
      </c>
      <c r="B37" s="42">
        <f t="shared" si="1"/>
        <v>0.38413058420041202</v>
      </c>
    </row>
    <row r="38" spans="1:2" x14ac:dyDescent="0.25">
      <c r="A38" s="34">
        <f t="shared" si="0"/>
        <v>1.5000000000000007</v>
      </c>
      <c r="B38" s="42">
        <f t="shared" si="1"/>
        <v>0.39418729646483747</v>
      </c>
    </row>
    <row r="39" spans="1:2" x14ac:dyDescent="0.25">
      <c r="A39" s="34">
        <f t="shared" si="0"/>
        <v>1.5500000000000007</v>
      </c>
      <c r="B39" s="42">
        <f t="shared" si="1"/>
        <v>0.40112688294403037</v>
      </c>
    </row>
    <row r="40" spans="1:2" x14ac:dyDescent="0.25">
      <c r="A40" s="34">
        <f t="shared" si="0"/>
        <v>1.6000000000000008</v>
      </c>
      <c r="B40" s="42">
        <f t="shared" si="1"/>
        <v>0.40465625373180508</v>
      </c>
    </row>
    <row r="41" spans="1:2" x14ac:dyDescent="0.25">
      <c r="A41" s="34">
        <f t="shared" si="0"/>
        <v>1.6500000000000008</v>
      </c>
      <c r="B41" s="42">
        <f t="shared" si="1"/>
        <v>0.40451116650643892</v>
      </c>
    </row>
    <row r="42" spans="1:2" x14ac:dyDescent="0.25">
      <c r="A42" s="34">
        <f t="shared" si="0"/>
        <v>1.7000000000000008</v>
      </c>
      <c r="B42" s="42">
        <f t="shared" si="1"/>
        <v>0.40046086884973764</v>
      </c>
    </row>
    <row r="43" spans="1:2" x14ac:dyDescent="0.25">
      <c r="A43" s="34">
        <f t="shared" si="0"/>
        <v>1.7500000000000009</v>
      </c>
      <c r="B43" s="42">
        <f t="shared" si="1"/>
        <v>0.39231243413607159</v>
      </c>
    </row>
    <row r="44" spans="1:2" x14ac:dyDescent="0.25">
      <c r="A44" s="34">
        <f t="shared" si="0"/>
        <v>1.8000000000000009</v>
      </c>
      <c r="B44" s="42">
        <f t="shared" si="1"/>
        <v>0.37991472991654923</v>
      </c>
    </row>
    <row r="45" spans="1:2" x14ac:dyDescent="0.25">
      <c r="A45" s="34">
        <f t="shared" si="0"/>
        <v>1.850000000000001</v>
      </c>
      <c r="B45" s="42">
        <f t="shared" si="1"/>
        <v>0.36316196130421774</v>
      </c>
    </row>
    <row r="46" spans="1:2" x14ac:dyDescent="0.25">
      <c r="A46" s="34">
        <f t="shared" si="0"/>
        <v>1.900000000000001</v>
      </c>
      <c r="B46" s="42">
        <f t="shared" si="1"/>
        <v>0.34199673617737747</v>
      </c>
    </row>
    <row r="47" spans="1:2" x14ac:dyDescent="0.25">
      <c r="A47" s="34">
        <f t="shared" si="0"/>
        <v>1.9500000000000011</v>
      </c>
      <c r="B47" s="42">
        <f t="shared" si="1"/>
        <v>0.31641260401613436</v>
      </c>
    </row>
    <row r="48" spans="1:2" x14ac:dyDescent="0.25">
      <c r="A48" s="34">
        <f t="shared" si="0"/>
        <v>2.0000000000000009</v>
      </c>
      <c r="B48" s="42">
        <f t="shared" si="1"/>
        <v>0.28645602582031526</v>
      </c>
    </row>
    <row r="49" spans="1:2" x14ac:dyDescent="0.25">
      <c r="A49" s="34">
        <f t="shared" si="0"/>
        <v>2.0500000000000007</v>
      </c>
      <c r="B49" s="42">
        <f t="shared" si="1"/>
        <v>0.25222773876530225</v>
      </c>
    </row>
    <row r="50" spans="1:2" x14ac:dyDescent="0.25">
      <c r="A50" s="34">
        <f t="shared" si="0"/>
        <v>2.1000000000000005</v>
      </c>
      <c r="B50" s="42">
        <f t="shared" si="1"/>
        <v>0.2138834859695713</v>
      </c>
    </row>
    <row r="51" spans="1:2" x14ac:dyDescent="0.25">
      <c r="A51" s="34">
        <f t="shared" si="0"/>
        <v>2.1500000000000004</v>
      </c>
      <c r="B51" s="42">
        <f t="shared" si="1"/>
        <v>0.17163408890078791</v>
      </c>
    </row>
    <row r="52" spans="1:2" x14ac:dyDescent="0.25">
      <c r="A52" s="34">
        <f t="shared" si="0"/>
        <v>2.2000000000000002</v>
      </c>
      <c r="B52" s="42">
        <f t="shared" si="1"/>
        <v>0.12574484745766412</v>
      </c>
    </row>
    <row r="53" spans="1:2" x14ac:dyDescent="0.25">
      <c r="A53" s="34">
        <f t="shared" si="0"/>
        <v>2.25</v>
      </c>
      <c r="B53" s="42">
        <f t="shared" si="1"/>
        <v>7.6534260549146582E-2</v>
      </c>
    </row>
    <row r="54" spans="1:2" x14ac:dyDescent="0.25">
      <c r="A54" s="34">
        <f t="shared" si="0"/>
        <v>2.2999999999999998</v>
      </c>
      <c r="B54" s="42">
        <f t="shared" si="1"/>
        <v>2.4372067963753352E-2</v>
      </c>
    </row>
    <row r="55" spans="1:2" x14ac:dyDescent="0.25">
      <c r="A55" s="34">
        <f t="shared" si="0"/>
        <v>2.3499999999999996</v>
      </c>
      <c r="B55" s="42">
        <f t="shared" si="1"/>
        <v>-3.032337760991699E-2</v>
      </c>
    </row>
    <row r="56" spans="1:2" x14ac:dyDescent="0.25">
      <c r="A56" s="34">
        <f t="shared" si="0"/>
        <v>2.3999999999999995</v>
      </c>
      <c r="B56" s="42">
        <f t="shared" si="1"/>
        <v>-8.7088391477281535E-2</v>
      </c>
    </row>
    <row r="57" spans="1:2" x14ac:dyDescent="0.25">
      <c r="A57" s="34">
        <f t="shared" si="0"/>
        <v>2.4499999999999993</v>
      </c>
      <c r="B57" s="42">
        <f t="shared" si="1"/>
        <v>-0.14541786582665073</v>
      </c>
    </row>
    <row r="58" spans="1:2" x14ac:dyDescent="0.25">
      <c r="A58" s="34">
        <f t="shared" si="0"/>
        <v>2.4999999999999991</v>
      </c>
      <c r="B58" s="42">
        <f t="shared" si="1"/>
        <v>-0.20476977388779516</v>
      </c>
    </row>
    <row r="59" spans="1:2" x14ac:dyDescent="0.25">
      <c r="A59" s="34">
        <f t="shared" si="0"/>
        <v>2.5499999999999989</v>
      </c>
      <c r="B59" s="42">
        <f t="shared" si="1"/>
        <v>-0.26457022910139028</v>
      </c>
    </row>
    <row r="60" spans="1:2" x14ac:dyDescent="0.25">
      <c r="A60" s="34">
        <f t="shared" si="0"/>
        <v>2.5999999999999988</v>
      </c>
      <c r="B60" s="42">
        <f t="shared" si="1"/>
        <v>-0.32421905186762645</v>
      </c>
    </row>
    <row r="61" spans="1:2" x14ac:dyDescent="0.25">
      <c r="A61" s="34">
        <f t="shared" si="0"/>
        <v>2.6499999999999986</v>
      </c>
      <c r="B61" s="42">
        <f t="shared" si="1"/>
        <v>-0.3830957897159899</v>
      </c>
    </row>
    <row r="62" spans="1:2" x14ac:dyDescent="0.25">
      <c r="A62" s="34">
        <f t="shared" si="0"/>
        <v>2.6999999999999984</v>
      </c>
      <c r="B62" s="42">
        <f t="shared" si="1"/>
        <v>-0.44056613054029903</v>
      </c>
    </row>
    <row r="63" spans="1:2" x14ac:dyDescent="0.25">
      <c r="A63" s="34">
        <f t="shared" si="0"/>
        <v>2.7499999999999982</v>
      </c>
      <c r="B63" s="42">
        <f t="shared" si="1"/>
        <v>-0.49598864295000067</v>
      </c>
    </row>
    <row r="64" spans="1:2" x14ac:dyDescent="0.25">
      <c r="A64" s="34">
        <f t="shared" si="0"/>
        <v>2.799999999999998</v>
      </c>
      <c r="B64" s="42">
        <f t="shared" si="1"/>
        <v>-0.54872177287091772</v>
      </c>
    </row>
    <row r="65" spans="1:2" x14ac:dyDescent="0.25">
      <c r="A65" s="34">
        <f t="shared" si="0"/>
        <v>2.8499999999999979</v>
      </c>
      <c r="B65" s="42">
        <f t="shared" si="1"/>
        <v>-0.59813102134972396</v>
      </c>
    </row>
    <row r="66" spans="1:2" x14ac:dyDescent="0.25">
      <c r="A66" s="34">
        <f t="shared" si="0"/>
        <v>2.8999999999999977</v>
      </c>
      <c r="B66" s="42">
        <f t="shared" si="1"/>
        <v>-0.64359622513220993</v>
      </c>
    </row>
    <row r="67" spans="1:2" x14ac:dyDescent="0.25">
      <c r="A67" s="34">
        <f t="shared" si="0"/>
        <v>2.9499999999999975</v>
      </c>
      <c r="B67" s="42">
        <f t="shared" si="1"/>
        <v>-0.68451885904355547</v>
      </c>
    </row>
    <row r="68" spans="1:2" x14ac:dyDescent="0.25">
      <c r="A68" s="34">
        <f t="shared" si="0"/>
        <v>2.9999999999999973</v>
      </c>
      <c r="B68" s="42">
        <f t="shared" si="1"/>
        <v>-0.72032927753796661</v>
      </c>
    </row>
    <row r="69" spans="1:2" x14ac:dyDescent="0.25">
      <c r="A69" s="34">
        <f t="shared" si="0"/>
        <v>3.0499999999999972</v>
      </c>
      <c r="B69" s="42">
        <f t="shared" si="1"/>
        <v>-0.75049381203427978</v>
      </c>
    </row>
    <row r="70" spans="1:2" x14ac:dyDescent="0.25">
      <c r="A70" s="34">
        <f t="shared" si="0"/>
        <v>3.099999999999997</v>
      </c>
      <c r="B70" s="42">
        <f t="shared" si="1"/>
        <v>-0.77452164083308883</v>
      </c>
    </row>
    <row r="71" spans="1:2" x14ac:dyDescent="0.25">
      <c r="A71" s="34">
        <f t="shared" si="0"/>
        <v>3.1499999999999968</v>
      </c>
      <c r="B71" s="42">
        <f t="shared" si="1"/>
        <v>-0.7919713495285402</v>
      </c>
    </row>
    <row r="72" spans="1:2" x14ac:dyDescent="0.25">
      <c r="A72" s="34">
        <f t="shared" si="0"/>
        <v>3.1999999999999966</v>
      </c>
      <c r="B72" s="42">
        <f t="shared" ref="B72:B135" si="2">-A1_x*SIN(p_x*A72)+A2_x*SIN(w_x*A72)</f>
        <v>-0.80245710188345876</v>
      </c>
    </row>
    <row r="73" spans="1:2" x14ac:dyDescent="0.25">
      <c r="A73" s="34">
        <f t="shared" ref="A73:A136" si="3">A72+$A$6</f>
        <v>3.2499999999999964</v>
      </c>
      <c r="B73" s="42">
        <f t="shared" si="2"/>
        <v>-0.80565434411807146</v>
      </c>
    </row>
    <row r="74" spans="1:2" x14ac:dyDescent="0.25">
      <c r="A74" s="34">
        <f t="shared" si="3"/>
        <v>3.2999999999999963</v>
      </c>
      <c r="B74" s="42">
        <f t="shared" si="2"/>
        <v>-0.80130496944882001</v>
      </c>
    </row>
    <row r="75" spans="1:2" x14ac:dyDescent="0.25">
      <c r="A75" s="34">
        <f t="shared" si="3"/>
        <v>3.3499999999999961</v>
      </c>
      <c r="B75" s="42">
        <f t="shared" si="2"/>
        <v>-0.78922187447219283</v>
      </c>
    </row>
    <row r="76" spans="1:2" x14ac:dyDescent="0.25">
      <c r="A76" s="34">
        <f t="shared" si="3"/>
        <v>3.3999999999999959</v>
      </c>
      <c r="B76" s="42">
        <f t="shared" si="2"/>
        <v>-0.769292844577528</v>
      </c>
    </row>
    <row r="77" spans="1:2" x14ac:dyDescent="0.25">
      <c r="A77" s="34">
        <f t="shared" si="3"/>
        <v>3.4499999999999957</v>
      </c>
      <c r="B77" s="42">
        <f t="shared" si="2"/>
        <v>-0.74148371194038143</v>
      </c>
    </row>
    <row r="78" spans="1:2" x14ac:dyDescent="0.25">
      <c r="A78" s="34">
        <f t="shared" si="3"/>
        <v>3.4999999999999956</v>
      </c>
      <c r="B78" s="42">
        <f t="shared" si="2"/>
        <v>-0.70584073673403369</v>
      </c>
    </row>
    <row r="79" spans="1:2" x14ac:dyDescent="0.25">
      <c r="A79" s="34">
        <f t="shared" si="3"/>
        <v>3.5499999999999954</v>
      </c>
      <c r="B79" s="42">
        <f t="shared" si="2"/>
        <v>-0.66249216993141813</v>
      </c>
    </row>
    <row r="80" spans="1:2" x14ac:dyDescent="0.25">
      <c r="A80" s="34">
        <f t="shared" si="3"/>
        <v>3.5999999999999952</v>
      </c>
      <c r="B80" s="42">
        <f t="shared" si="2"/>
        <v>-0.61164896437649685</v>
      </c>
    </row>
    <row r="81" spans="1:2" x14ac:dyDescent="0.25">
      <c r="A81" s="34">
        <f t="shared" si="3"/>
        <v>3.649999999999995</v>
      </c>
      <c r="B81" s="42">
        <f t="shared" si="2"/>
        <v>-0.55360460959852853</v>
      </c>
    </row>
    <row r="82" spans="1:2" x14ac:dyDescent="0.25">
      <c r="A82" s="34">
        <f t="shared" si="3"/>
        <v>3.6999999999999948</v>
      </c>
      <c r="B82" s="42">
        <f t="shared" si="2"/>
        <v>-0.48873407503444133</v>
      </c>
    </row>
    <row r="83" spans="1:2" x14ac:dyDescent="0.25">
      <c r="A83" s="34">
        <f t="shared" si="3"/>
        <v>3.7499999999999947</v>
      </c>
      <c r="B83" s="42">
        <f t="shared" si="2"/>
        <v>-0.41749185581815818</v>
      </c>
    </row>
    <row r="84" spans="1:2" x14ac:dyDescent="0.25">
      <c r="A84" s="34">
        <f t="shared" si="3"/>
        <v>3.7999999999999945</v>
      </c>
      <c r="B84" s="42">
        <f t="shared" si="2"/>
        <v>-0.34040912499093579</v>
      </c>
    </row>
    <row r="85" spans="1:2" x14ac:dyDescent="0.25">
      <c r="A85" s="34">
        <f t="shared" si="3"/>
        <v>3.8499999999999943</v>
      </c>
      <c r="B85" s="42">
        <f t="shared" si="2"/>
        <v>-0.25809000578070185</v>
      </c>
    </row>
    <row r="86" spans="1:2" x14ac:dyDescent="0.25">
      <c r="A86" s="34">
        <f t="shared" si="3"/>
        <v>3.8999999999999941</v>
      </c>
      <c r="B86" s="42">
        <f t="shared" si="2"/>
        <v>-0.1712069873852069</v>
      </c>
    </row>
    <row r="87" spans="1:2" x14ac:dyDescent="0.25">
      <c r="A87" s="34">
        <f t="shared" si="3"/>
        <v>3.949999999999994</v>
      </c>
      <c r="B87" s="42">
        <f t="shared" si="2"/>
        <v>-8.0495517367425773E-2</v>
      </c>
    </row>
    <row r="88" spans="1:2" x14ac:dyDescent="0.25">
      <c r="A88" s="34">
        <f t="shared" si="3"/>
        <v>3.9999999999999938</v>
      </c>
      <c r="B88" s="42">
        <f t="shared" si="2"/>
        <v>1.3252186774714625E-2</v>
      </c>
    </row>
    <row r="89" spans="1:2" x14ac:dyDescent="0.25">
      <c r="A89" s="34">
        <f t="shared" si="3"/>
        <v>4.0499999999999936</v>
      </c>
      <c r="B89" s="42">
        <f t="shared" si="2"/>
        <v>0.1091940551733801</v>
      </c>
    </row>
    <row r="90" spans="1:2" x14ac:dyDescent="0.25">
      <c r="A90" s="34">
        <f t="shared" si="3"/>
        <v>4.0999999999999934</v>
      </c>
      <c r="B90" s="42">
        <f t="shared" si="2"/>
        <v>0.20644575189888914</v>
      </c>
    </row>
    <row r="91" spans="1:2" x14ac:dyDescent="0.25">
      <c r="A91" s="34">
        <f t="shared" si="3"/>
        <v>4.1499999999999932</v>
      </c>
      <c r="B91" s="42">
        <f t="shared" si="2"/>
        <v>0.30408886144512692</v>
      </c>
    </row>
    <row r="92" spans="1:2" x14ac:dyDescent="0.25">
      <c r="A92" s="34">
        <f t="shared" si="3"/>
        <v>4.1999999999999931</v>
      </c>
      <c r="B92" s="42">
        <f t="shared" si="2"/>
        <v>0.40117959927473201</v>
      </c>
    </row>
    <row r="93" spans="1:2" x14ac:dyDescent="0.25">
      <c r="A93" s="34">
        <f t="shared" si="3"/>
        <v>4.2499999999999929</v>
      </c>
      <c r="B93" s="42">
        <f t="shared" si="2"/>
        <v>0.49675796346531342</v>
      </c>
    </row>
    <row r="94" spans="1:2" x14ac:dyDescent="0.25">
      <c r="A94" s="34">
        <f t="shared" si="3"/>
        <v>4.2999999999999927</v>
      </c>
      <c r="B94" s="42">
        <f t="shared" si="2"/>
        <v>0.58985723845016103</v>
      </c>
    </row>
    <row r="95" spans="1:2" x14ac:dyDescent="0.25">
      <c r="A95" s="34">
        <f t="shared" si="3"/>
        <v>4.3499999999999925</v>
      </c>
      <c r="B95" s="42">
        <f t="shared" si="2"/>
        <v>0.67951375666710168</v>
      </c>
    </row>
    <row r="96" spans="1:2" x14ac:dyDescent="0.25">
      <c r="A96" s="34">
        <f t="shared" si="3"/>
        <v>4.3999999999999924</v>
      </c>
      <c r="B96" s="42">
        <f t="shared" si="2"/>
        <v>0.76477681968371125</v>
      </c>
    </row>
    <row r="97" spans="1:2" x14ac:dyDescent="0.25">
      <c r="A97" s="34">
        <f t="shared" si="3"/>
        <v>4.4499999999999922</v>
      </c>
      <c r="B97" s="42">
        <f t="shared" si="2"/>
        <v>0.84471867711296345</v>
      </c>
    </row>
    <row r="98" spans="1:2" x14ac:dyDescent="0.25">
      <c r="A98" s="34">
        <f t="shared" si="3"/>
        <v>4.499999999999992</v>
      </c>
      <c r="B98" s="42">
        <f t="shared" si="2"/>
        <v>0.91844445941764841</v>
      </c>
    </row>
    <row r="99" spans="1:2" x14ac:dyDescent="0.25">
      <c r="A99" s="34">
        <f t="shared" si="3"/>
        <v>4.5499999999999918</v>
      </c>
      <c r="B99" s="42">
        <f t="shared" si="2"/>
        <v>0.98510195956100244</v>
      </c>
    </row>
    <row r="100" spans="1:2" x14ac:dyDescent="0.25">
      <c r="A100" s="34">
        <f t="shared" si="3"/>
        <v>4.5999999999999917</v>
      </c>
      <c r="B100" s="42">
        <f t="shared" si="2"/>
        <v>1.0438911584202697</v>
      </c>
    </row>
    <row r="101" spans="1:2" x14ac:dyDescent="0.25">
      <c r="A101" s="34">
        <f t="shared" si="3"/>
        <v>4.6499999999999915</v>
      </c>
      <c r="B101" s="42">
        <f t="shared" si="2"/>
        <v>1.09407338995352</v>
      </c>
    </row>
    <row r="102" spans="1:2" x14ac:dyDescent="0.25">
      <c r="A102" s="34">
        <f t="shared" si="3"/>
        <v>4.6999999999999913</v>
      </c>
      <c r="B102" s="42">
        <f t="shared" si="2"/>
        <v>1.1349800443000049</v>
      </c>
    </row>
    <row r="103" spans="1:2" x14ac:dyDescent="0.25">
      <c r="A103" s="34">
        <f t="shared" si="3"/>
        <v>4.7499999999999911</v>
      </c>
      <c r="B103" s="42">
        <f t="shared" si="2"/>
        <v>1.1660207102913116</v>
      </c>
    </row>
    <row r="104" spans="1:2" x14ac:dyDescent="0.25">
      <c r="A104" s="34">
        <f t="shared" si="3"/>
        <v>4.7999999999999909</v>
      </c>
      <c r="B104" s="42">
        <f t="shared" si="2"/>
        <v>1.1866906632329746</v>
      </c>
    </row>
    <row r="105" spans="1:2" x14ac:dyDescent="0.25">
      <c r="A105" s="34">
        <f t="shared" si="3"/>
        <v>4.8499999999999908</v>
      </c>
      <c r="B105" s="42">
        <f t="shared" si="2"/>
        <v>1.1965776092511455</v>
      </c>
    </row>
    <row r="106" spans="1:2" x14ac:dyDescent="0.25">
      <c r="A106" s="34">
        <f t="shared" si="3"/>
        <v>4.8999999999999906</v>
      </c>
      <c r="B106" s="42">
        <f t="shared" si="2"/>
        <v>1.195367603941448</v>
      </c>
    </row>
    <row r="107" spans="1:2" x14ac:dyDescent="0.25">
      <c r="A107" s="34">
        <f t="shared" si="3"/>
        <v>4.9499999999999904</v>
      </c>
      <c r="B107" s="42">
        <f t="shared" si="2"/>
        <v>1.182850070451767</v>
      </c>
    </row>
    <row r="108" spans="1:2" x14ac:dyDescent="0.25">
      <c r="A108" s="34">
        <f t="shared" si="3"/>
        <v>4.9999999999999902</v>
      </c>
      <c r="B108" s="42">
        <f t="shared" si="2"/>
        <v>1.1589218504110361</v>
      </c>
    </row>
    <row r="109" spans="1:2" x14ac:dyDescent="0.25">
      <c r="A109" s="34">
        <f t="shared" si="3"/>
        <v>5.0499999999999901</v>
      </c>
      <c r="B109" s="42">
        <f t="shared" si="2"/>
        <v>1.1235902302053409</v>
      </c>
    </row>
    <row r="110" spans="1:2" x14ac:dyDescent="0.25">
      <c r="A110" s="34">
        <f t="shared" si="3"/>
        <v>5.0999999999999899</v>
      </c>
      <c r="B110" s="42">
        <f t="shared" si="2"/>
        <v>1.0769748949154854</v>
      </c>
    </row>
    <row r="111" spans="1:2" x14ac:dyDescent="0.25">
      <c r="A111" s="34">
        <f t="shared" si="3"/>
        <v>5.1499999999999897</v>
      </c>
      <c r="B111" s="42">
        <f t="shared" si="2"/>
        <v>1.0193087726718075</v>
      </c>
    </row>
    <row r="112" spans="1:2" x14ac:dyDescent="0.25">
      <c r="A112" s="34">
        <f t="shared" si="3"/>
        <v>5.1999999999999895</v>
      </c>
      <c r="B112" s="42">
        <f t="shared" si="2"/>
        <v>0.95093774315099211</v>
      </c>
    </row>
    <row r="113" spans="1:2" x14ac:dyDescent="0.25">
      <c r="A113" s="34">
        <f t="shared" si="3"/>
        <v>5.2499999999999893</v>
      </c>
      <c r="B113" s="42">
        <f t="shared" si="2"/>
        <v>0.87231919532683211</v>
      </c>
    </row>
    <row r="114" spans="1:2" x14ac:dyDescent="0.25">
      <c r="A114" s="34">
        <f t="shared" si="3"/>
        <v>5.2999999999999892</v>
      </c>
      <c r="B114" s="42">
        <f t="shared" si="2"/>
        <v>0.78401943127872031</v>
      </c>
    </row>
    <row r="115" spans="1:2" x14ac:dyDescent="0.25">
      <c r="A115" s="34">
        <f t="shared" si="3"/>
        <v>5.349999999999989</v>
      </c>
      <c r="B115" s="42">
        <f t="shared" si="2"/>
        <v>0.68670992473917924</v>
      </c>
    </row>
    <row r="116" spans="1:2" x14ac:dyDescent="0.25">
      <c r="A116" s="34">
        <f t="shared" si="3"/>
        <v>5.3999999999999888</v>
      </c>
      <c r="B116" s="42">
        <f t="shared" si="2"/>
        <v>0.58116245500363606</v>
      </c>
    </row>
    <row r="117" spans="1:2" x14ac:dyDescent="0.25">
      <c r="A117" s="34">
        <f t="shared" si="3"/>
        <v>5.4499999999999886</v>
      </c>
      <c r="B117" s="42">
        <f t="shared" si="2"/>
        <v>0.46824314870778516</v>
      </c>
    </row>
    <row r="118" spans="1:2" x14ac:dyDescent="0.25">
      <c r="A118" s="34">
        <f t="shared" si="3"/>
        <v>5.4999999999999885</v>
      </c>
      <c r="B118" s="42">
        <f t="shared" si="2"/>
        <v>0.34890547367637637</v>
      </c>
    </row>
    <row r="119" spans="1:2" x14ac:dyDescent="0.25">
      <c r="A119" s="34">
        <f t="shared" si="3"/>
        <v>5.5499999999999883</v>
      </c>
      <c r="B119" s="42">
        <f t="shared" si="2"/>
        <v>0.22418224043790902</v>
      </c>
    </row>
    <row r="120" spans="1:2" x14ac:dyDescent="0.25">
      <c r="A120" s="34">
        <f t="shared" si="3"/>
        <v>5.5999999999999881</v>
      </c>
      <c r="B120" s="42">
        <f t="shared" si="2"/>
        <v>9.5176677961072764E-2</v>
      </c>
    </row>
    <row r="121" spans="1:2" x14ac:dyDescent="0.25">
      <c r="A121" s="34">
        <f t="shared" si="3"/>
        <v>5.6499999999999879</v>
      </c>
      <c r="B121" s="42">
        <f t="shared" si="2"/>
        <v>-3.6947339418240244E-2</v>
      </c>
    </row>
    <row r="122" spans="1:2" x14ac:dyDescent="0.25">
      <c r="A122" s="34">
        <f t="shared" si="3"/>
        <v>5.6999999999999877</v>
      </c>
      <c r="B122" s="42">
        <f t="shared" si="2"/>
        <v>-0.17097582715980142</v>
      </c>
    </row>
    <row r="123" spans="1:2" x14ac:dyDescent="0.25">
      <c r="A123" s="34">
        <f t="shared" si="3"/>
        <v>5.7499999999999876</v>
      </c>
      <c r="B123" s="42">
        <f t="shared" si="2"/>
        <v>-0.30565589207240662</v>
      </c>
    </row>
    <row r="124" spans="1:2" x14ac:dyDescent="0.25">
      <c r="A124" s="34">
        <f t="shared" si="3"/>
        <v>5.7999999999999874</v>
      </c>
      <c r="B124" s="42">
        <f t="shared" si="2"/>
        <v>-0.43970749645118401</v>
      </c>
    </row>
    <row r="125" spans="1:2" x14ac:dyDescent="0.25">
      <c r="A125" s="34">
        <f t="shared" si="3"/>
        <v>5.8499999999999872</v>
      </c>
      <c r="B125" s="42">
        <f t="shared" si="2"/>
        <v>-0.57183567385128264</v>
      </c>
    </row>
    <row r="126" spans="1:2" x14ac:dyDescent="0.25">
      <c r="A126" s="34">
        <f t="shared" si="3"/>
        <v>5.899999999999987</v>
      </c>
      <c r="B126" s="42">
        <f t="shared" si="2"/>
        <v>-0.70074307946029224</v>
      </c>
    </row>
    <row r="127" spans="1:2" x14ac:dyDescent="0.25">
      <c r="A127" s="34">
        <f t="shared" si="3"/>
        <v>5.9499999999999869</v>
      </c>
      <c r="B127" s="42">
        <f t="shared" si="2"/>
        <v>-0.82514275306713691</v>
      </c>
    </row>
    <row r="128" spans="1:2" x14ac:dyDescent="0.25">
      <c r="A128" s="34">
        <f t="shared" si="3"/>
        <v>5.9999999999999867</v>
      </c>
      <c r="B128" s="42">
        <f t="shared" si="2"/>
        <v>-0.94377096884994893</v>
      </c>
    </row>
    <row r="129" spans="1:2" x14ac:dyDescent="0.25">
      <c r="A129" s="34">
        <f t="shared" si="3"/>
        <v>6.0499999999999865</v>
      </c>
      <c r="B129" s="42">
        <f t="shared" si="2"/>
        <v>-1.0554000436715891</v>
      </c>
    </row>
    <row r="130" spans="1:2" x14ac:dyDescent="0.25">
      <c r="A130" s="34">
        <f t="shared" si="3"/>
        <v>6.0999999999999863</v>
      </c>
      <c r="B130" s="42">
        <f t="shared" si="2"/>
        <v>-1.1588509743190185</v>
      </c>
    </row>
    <row r="131" spans="1:2" x14ac:dyDescent="0.25">
      <c r="A131" s="34">
        <f t="shared" si="3"/>
        <v>6.1499999999999861</v>
      </c>
      <c r="B131" s="42">
        <f t="shared" si="2"/>
        <v>-1.2530057741787168</v>
      </c>
    </row>
    <row r="132" spans="1:2" x14ac:dyDescent="0.25">
      <c r="A132" s="34">
        <f t="shared" si="3"/>
        <v>6.199999999999986</v>
      </c>
      <c r="B132" s="42">
        <f t="shared" si="2"/>
        <v>-1.3368193812186513</v>
      </c>
    </row>
    <row r="133" spans="1:2" x14ac:dyDescent="0.25">
      <c r="A133" s="34">
        <f t="shared" si="3"/>
        <v>6.2499999999999858</v>
      </c>
      <c r="B133" s="42">
        <f t="shared" si="2"/>
        <v>-1.4093310118483453</v>
      </c>
    </row>
    <row r="134" spans="1:2" x14ac:dyDescent="0.25">
      <c r="A134" s="34">
        <f t="shared" si="3"/>
        <v>6.2999999999999856</v>
      </c>
      <c r="B134" s="42">
        <f t="shared" si="2"/>
        <v>-1.4696748392393588</v>
      </c>
    </row>
    <row r="135" spans="1:2" x14ac:dyDescent="0.25">
      <c r="A135" s="34">
        <f t="shared" si="3"/>
        <v>6.3499999999999854</v>
      </c>
      <c r="B135" s="42">
        <f t="shared" si="2"/>
        <v>-1.5170898799820096</v>
      </c>
    </row>
    <row r="136" spans="1:2" x14ac:dyDescent="0.25">
      <c r="A136" s="34">
        <f t="shared" si="3"/>
        <v>6.3999999999999853</v>
      </c>
      <c r="B136" s="42">
        <f t="shared" ref="B136:B199" si="4">-A1_x*SIN(p_x*A136)+A2_x*SIN(w_x*A136)</f>
        <v>-1.5509289794905237</v>
      </c>
    </row>
    <row r="137" spans="1:2" x14ac:dyDescent="0.25">
      <c r="A137" s="34">
        <f t="shared" ref="A137:A200" si="5">A136+$A$6</f>
        <v>6.4499999999999851</v>
      </c>
      <c r="B137" s="42">
        <f t="shared" si="4"/>
        <v>-1.5706667942944739</v>
      </c>
    </row>
    <row r="138" spans="1:2" x14ac:dyDescent="0.25">
      <c r="A138" s="34">
        <f t="shared" si="5"/>
        <v>6.4999999999999849</v>
      </c>
      <c r="B138" s="42">
        <f t="shared" si="4"/>
        <v>-1.575906678203618</v>
      </c>
    </row>
    <row r="139" spans="1:2" x14ac:dyDescent="0.25">
      <c r="A139" s="34">
        <f t="shared" si="5"/>
        <v>6.5499999999999847</v>
      </c>
      <c r="B139" s="42">
        <f t="shared" si="4"/>
        <v>-1.5663863892275669</v>
      </c>
    </row>
    <row r="140" spans="1:2" x14ac:dyDescent="0.25">
      <c r="A140" s="34">
        <f t="shared" si="5"/>
        <v>6.5999999999999845</v>
      </c>
      <c r="B140" s="42">
        <f t="shared" si="4"/>
        <v>-1.5419825449818698</v>
      </c>
    </row>
    <row r="141" spans="1:2" x14ac:dyDescent="0.25">
      <c r="A141" s="34">
        <f t="shared" si="5"/>
        <v>6.6499999999999844</v>
      </c>
      <c r="B141" s="42">
        <f t="shared" si="4"/>
        <v>-1.5027137660174821</v>
      </c>
    </row>
    <row r="142" spans="1:2" x14ac:dyDescent="0.25">
      <c r="A142" s="34">
        <f t="shared" si="5"/>
        <v>6.6999999999999842</v>
      </c>
      <c r="B142" s="42">
        <f t="shared" si="4"/>
        <v>-1.448742458961588</v>
      </c>
    </row>
    <row r="143" spans="1:2" x14ac:dyDescent="0.25">
      <c r="A143" s="34">
        <f t="shared" si="5"/>
        <v>6.749999999999984</v>
      </c>
      <c r="B143" s="42">
        <f t="shared" si="4"/>
        <v>-1.3803752044353097</v>
      </c>
    </row>
    <row r="144" spans="1:2" x14ac:dyDescent="0.25">
      <c r="A144" s="34">
        <f t="shared" si="5"/>
        <v>6.7999999999999838</v>
      </c>
      <c r="B144" s="42">
        <f t="shared" si="4"/>
        <v>-1.2980617282922016</v>
      </c>
    </row>
    <row r="145" spans="1:2" x14ac:dyDescent="0.25">
      <c r="A145" s="34">
        <f t="shared" si="5"/>
        <v>6.8499999999999837</v>
      </c>
      <c r="B145" s="42">
        <f t="shared" si="4"/>
        <v>-1.2023924486677007</v>
      </c>
    </row>
    <row r="146" spans="1:2" x14ac:dyDescent="0.25">
      <c r="A146" s="34">
        <f t="shared" si="5"/>
        <v>6.8999999999999835</v>
      </c>
      <c r="B146" s="42">
        <f t="shared" si="4"/>
        <v>-1.0940946055067746</v>
      </c>
    </row>
    <row r="147" spans="1:2" x14ac:dyDescent="0.25">
      <c r="A147" s="34">
        <f t="shared" si="5"/>
        <v>6.9499999999999833</v>
      </c>
      <c r="B147" s="42">
        <f t="shared" si="4"/>
        <v>-0.97402699350323663</v>
      </c>
    </row>
    <row r="148" spans="1:2" x14ac:dyDescent="0.25">
      <c r="A148" s="34">
        <f t="shared" si="5"/>
        <v>6.9999999999999831</v>
      </c>
      <c r="B148" s="42">
        <f t="shared" si="4"/>
        <v>-0.84317333359647662</v>
      </c>
    </row>
    <row r="149" spans="1:2" x14ac:dyDescent="0.25">
      <c r="A149" s="34">
        <f t="shared" si="5"/>
        <v>7.0499999999999829</v>
      </c>
      <c r="B149" s="42">
        <f t="shared" si="4"/>
        <v>-0.7026343321854065</v>
      </c>
    </row>
    <row r="150" spans="1:2" x14ac:dyDescent="0.25">
      <c r="A150" s="34">
        <f t="shared" si="5"/>
        <v>7.0999999999999828</v>
      </c>
      <c r="B150" s="42">
        <f t="shared" si="4"/>
        <v>-0.5536184908913182</v>
      </c>
    </row>
    <row r="151" spans="1:2" x14ac:dyDescent="0.25">
      <c r="A151" s="34">
        <f t="shared" si="5"/>
        <v>7.1499999999999826</v>
      </c>
      <c r="B151" s="42">
        <f t="shared" si="4"/>
        <v>-0.39743174289003647</v>
      </c>
    </row>
    <row r="152" spans="1:2" x14ac:dyDescent="0.25">
      <c r="A152" s="34">
        <f t="shared" si="5"/>
        <v>7.1999999999999824</v>
      </c>
      <c r="B152" s="42">
        <f t="shared" si="4"/>
        <v>-0.23546600440086318</v>
      </c>
    </row>
    <row r="153" spans="1:2" x14ac:dyDescent="0.25">
      <c r="A153" s="34">
        <f t="shared" si="5"/>
        <v>7.2499999999999822</v>
      </c>
      <c r="B153" s="42">
        <f t="shared" si="4"/>
        <v>-6.9186741732835344E-2</v>
      </c>
    </row>
    <row r="154" spans="1:2" x14ac:dyDescent="0.25">
      <c r="A154" s="34">
        <f t="shared" si="5"/>
        <v>7.2999999999999821</v>
      </c>
      <c r="B154" s="42">
        <f t="shared" si="4"/>
        <v>9.9880334779253177E-2</v>
      </c>
    </row>
    <row r="155" spans="1:2" x14ac:dyDescent="0.25">
      <c r="A155" s="34">
        <f t="shared" si="5"/>
        <v>7.3499999999999819</v>
      </c>
      <c r="B155" s="42">
        <f t="shared" si="4"/>
        <v>0.27016332868413384</v>
      </c>
    </row>
    <row r="156" spans="1:2" x14ac:dyDescent="0.25">
      <c r="A156" s="34">
        <f t="shared" si="5"/>
        <v>7.3999999999999817</v>
      </c>
      <c r="B156" s="42">
        <f t="shared" si="4"/>
        <v>0.44005883708086979</v>
      </c>
    </row>
    <row r="157" spans="1:2" x14ac:dyDescent="0.25">
      <c r="A157" s="34">
        <f t="shared" si="5"/>
        <v>7.4499999999999815</v>
      </c>
      <c r="B157" s="42">
        <f t="shared" si="4"/>
        <v>0.60794711434149873</v>
      </c>
    </row>
    <row r="158" spans="1:2" x14ac:dyDescent="0.25">
      <c r="A158" s="34">
        <f t="shared" si="5"/>
        <v>7.4999999999999813</v>
      </c>
      <c r="B158" s="42">
        <f t="shared" si="4"/>
        <v>0.77220757587147371</v>
      </c>
    </row>
    <row r="159" spans="1:2" x14ac:dyDescent="0.25">
      <c r="A159" s="34">
        <f t="shared" si="5"/>
        <v>7.5499999999999812</v>
      </c>
      <c r="B159" s="42">
        <f t="shared" si="4"/>
        <v>0.93123449294688365</v>
      </c>
    </row>
    <row r="160" spans="1:2" x14ac:dyDescent="0.25">
      <c r="A160" s="34">
        <f t="shared" si="5"/>
        <v>7.599999999999981</v>
      </c>
      <c r="B160" s="42">
        <f t="shared" si="4"/>
        <v>1.0834527261608389</v>
      </c>
    </row>
    <row r="161" spans="1:2" x14ac:dyDescent="0.25">
      <c r="A161" s="34">
        <f t="shared" si="5"/>
        <v>7.6499999999999808</v>
      </c>
      <c r="B161" s="42">
        <f t="shared" si="4"/>
        <v>1.2273333429902209</v>
      </c>
    </row>
    <row r="162" spans="1:2" x14ac:dyDescent="0.25">
      <c r="A162" s="34">
        <f t="shared" si="5"/>
        <v>7.6999999999999806</v>
      </c>
      <c r="B162" s="42">
        <f t="shared" si="4"/>
        <v>1.3614089644926313</v>
      </c>
    </row>
    <row r="163" spans="1:2" x14ac:dyDescent="0.25">
      <c r="A163" s="34">
        <f t="shared" si="5"/>
        <v>7.7499999999999805</v>
      </c>
      <c r="B163" s="42">
        <f t="shared" si="4"/>
        <v>1.4842886871814118</v>
      </c>
    </row>
    <row r="164" spans="1:2" x14ac:dyDescent="0.25">
      <c r="A164" s="34">
        <f t="shared" si="5"/>
        <v>7.7999999999999803</v>
      </c>
      <c r="B164" s="42">
        <f t="shared" si="4"/>
        <v>1.594672428708247</v>
      </c>
    </row>
    <row r="165" spans="1:2" x14ac:dyDescent="0.25">
      <c r="A165" s="34">
        <f t="shared" si="5"/>
        <v>7.8499999999999801</v>
      </c>
      <c r="B165" s="42">
        <f t="shared" si="4"/>
        <v>1.6913645500968328</v>
      </c>
    </row>
    <row r="166" spans="1:2" x14ac:dyDescent="0.25">
      <c r="A166" s="34">
        <f t="shared" si="5"/>
        <v>7.8999999999999799</v>
      </c>
      <c r="B166" s="42">
        <f t="shared" si="4"/>
        <v>1.7732866128906919</v>
      </c>
    </row>
    <row r="167" spans="1:2" x14ac:dyDescent="0.25">
      <c r="A167" s="34">
        <f t="shared" si="5"/>
        <v>7.9499999999999797</v>
      </c>
      <c r="B167" s="42">
        <f t="shared" si="4"/>
        <v>1.8394891366612931</v>
      </c>
    </row>
    <row r="168" spans="1:2" x14ac:dyDescent="0.25">
      <c r="A168" s="34">
        <f t="shared" si="5"/>
        <v>7.9999999999999796</v>
      </c>
      <c r="B168" s="42">
        <f t="shared" si="4"/>
        <v>1.8891622308121969</v>
      </c>
    </row>
    <row r="169" spans="1:2" x14ac:dyDescent="0.25">
      <c r="A169" s="34">
        <f t="shared" si="5"/>
        <v>8.0499999999999794</v>
      </c>
      <c r="B169" s="42">
        <f t="shared" si="4"/>
        <v>1.9216449844390686</v>
      </c>
    </row>
    <row r="170" spans="1:2" x14ac:dyDescent="0.25">
      <c r="A170" s="34">
        <f t="shared" si="5"/>
        <v>8.0999999999999801</v>
      </c>
      <c r="B170" s="42">
        <f t="shared" si="4"/>
        <v>1.9364335090786056</v>
      </c>
    </row>
    <row r="171" spans="1:2" x14ac:dyDescent="0.25">
      <c r="A171" s="34">
        <f t="shared" si="5"/>
        <v>8.1499999999999808</v>
      </c>
      <c r="B171" s="42">
        <f t="shared" si="4"/>
        <v>1.9331875414024995</v>
      </c>
    </row>
    <row r="172" spans="1:2" x14ac:dyDescent="0.25">
      <c r="A172" s="34">
        <f t="shared" si="5"/>
        <v>8.1999999999999815</v>
      </c>
      <c r="B172" s="42">
        <f t="shared" si="4"/>
        <v>1.9117355261744964</v>
      </c>
    </row>
    <row r="173" spans="1:2" x14ac:dyDescent="0.25">
      <c r="A173" s="34">
        <f t="shared" si="5"/>
        <v>8.2499999999999822</v>
      </c>
      <c r="B173" s="42">
        <f t="shared" si="4"/>
        <v>1.8720781139663787</v>
      </c>
    </row>
    <row r="174" spans="1:2" x14ac:dyDescent="0.25">
      <c r="A174" s="34">
        <f t="shared" si="5"/>
        <v>8.2999999999999829</v>
      </c>
      <c r="B174" s="42">
        <f t="shared" si="4"/>
        <v>1.8143900230898271</v>
      </c>
    </row>
    <row r="175" spans="1:2" x14ac:dyDescent="0.25">
      <c r="A175" s="34">
        <f t="shared" si="5"/>
        <v>8.3499999999999837</v>
      </c>
      <c r="B175" s="42">
        <f t="shared" si="4"/>
        <v>1.7390202308034357</v>
      </c>
    </row>
    <row r="176" spans="1:2" x14ac:dyDescent="0.25">
      <c r="A176" s="34">
        <f t="shared" si="5"/>
        <v>8.3999999999999844</v>
      </c>
      <c r="B176" s="42">
        <f t="shared" si="4"/>
        <v>1.64649047494865</v>
      </c>
    </row>
    <row r="177" spans="1:2" x14ac:dyDescent="0.25">
      <c r="A177" s="34">
        <f t="shared" si="5"/>
        <v>8.4499999999999851</v>
      </c>
      <c r="B177" s="42">
        <f t="shared" si="4"/>
        <v>1.5374920635990259</v>
      </c>
    </row>
    <row r="178" spans="1:2" x14ac:dyDescent="0.25">
      <c r="A178" s="34">
        <f t="shared" si="5"/>
        <v>8.4999999999999858</v>
      </c>
      <c r="B178" s="42">
        <f t="shared" si="4"/>
        <v>1.4128810069142048</v>
      </c>
    </row>
    <row r="179" spans="1:2" x14ac:dyDescent="0.25">
      <c r="A179" s="34">
        <f t="shared" si="5"/>
        <v>8.5499999999999865</v>
      </c>
      <c r="B179" s="42">
        <f t="shared" si="4"/>
        <v>1.2736715020097382</v>
      </c>
    </row>
    <row r="180" spans="1:2" x14ac:dyDescent="0.25">
      <c r="A180" s="34">
        <f t="shared" si="5"/>
        <v>8.5999999999999872</v>
      </c>
      <c r="B180" s="42">
        <f t="shared" si="4"/>
        <v>1.1210278181216355</v>
      </c>
    </row>
    <row r="181" spans="1:2" x14ac:dyDescent="0.25">
      <c r="A181" s="34">
        <f t="shared" si="5"/>
        <v>8.6499999999999879</v>
      </c>
      <c r="B181" s="42">
        <f t="shared" si="4"/>
        <v>0.95625464549584471</v>
      </c>
    </row>
    <row r="182" spans="1:2" x14ac:dyDescent="0.25">
      <c r="A182" s="34">
        <f t="shared" si="5"/>
        <v>8.6999999999999886</v>
      </c>
      <c r="B182" s="42">
        <f t="shared" si="4"/>
        <v>0.78078598710440805</v>
      </c>
    </row>
    <row r="183" spans="1:2" x14ac:dyDescent="0.25">
      <c r="A183" s="34">
        <f t="shared" si="5"/>
        <v>8.7499999999999893</v>
      </c>
      <c r="B183" s="42">
        <f t="shared" si="4"/>
        <v>0.59617268732324691</v>
      </c>
    </row>
    <row r="184" spans="1:2" x14ac:dyDescent="0.25">
      <c r="A184" s="34">
        <f t="shared" si="5"/>
        <v>8.7999999999999901</v>
      </c>
      <c r="B184" s="42">
        <f t="shared" si="4"/>
        <v>0.40406870594588962</v>
      </c>
    </row>
    <row r="185" spans="1:2" x14ac:dyDescent="0.25">
      <c r="A185" s="34">
        <f t="shared" si="5"/>
        <v>8.8499999999999908</v>
      </c>
      <c r="B185" s="42">
        <f t="shared" si="4"/>
        <v>0.20621625920668163</v>
      </c>
    </row>
    <row r="186" spans="1:2" x14ac:dyDescent="0.25">
      <c r="A186" s="34">
        <f t="shared" si="5"/>
        <v>8.8999999999999915</v>
      </c>
      <c r="B186" s="42">
        <f t="shared" si="4"/>
        <v>4.4299617050678197E-3</v>
      </c>
    </row>
    <row r="187" spans="1:2" x14ac:dyDescent="0.25">
      <c r="A187" s="34">
        <f t="shared" si="5"/>
        <v>8.9499999999999922</v>
      </c>
      <c r="B187" s="42">
        <f t="shared" si="4"/>
        <v>-0.19941988586921378</v>
      </c>
    </row>
    <row r="188" spans="1:2" x14ac:dyDescent="0.25">
      <c r="A188" s="34">
        <f t="shared" si="5"/>
        <v>8.9999999999999929</v>
      </c>
      <c r="B188" s="42">
        <f t="shared" si="4"/>
        <v>-0.40342470863152169</v>
      </c>
    </row>
    <row r="189" spans="1:2" x14ac:dyDescent="0.25">
      <c r="A189" s="34">
        <f t="shared" si="5"/>
        <v>9.0499999999999936</v>
      </c>
      <c r="B189" s="42">
        <f t="shared" si="4"/>
        <v>-0.60565560619723979</v>
      </c>
    </row>
    <row r="190" spans="1:2" x14ac:dyDescent="0.25">
      <c r="A190" s="34">
        <f t="shared" si="5"/>
        <v>9.0999999999999943</v>
      </c>
      <c r="B190" s="42">
        <f t="shared" si="4"/>
        <v>-0.80418166864165275</v>
      </c>
    </row>
    <row r="191" spans="1:2" x14ac:dyDescent="0.25">
      <c r="A191" s="34">
        <f t="shared" si="5"/>
        <v>9.149999999999995</v>
      </c>
      <c r="B191" s="42">
        <f t="shared" si="4"/>
        <v>-0.99708848508527637</v>
      </c>
    </row>
    <row r="192" spans="1:2" x14ac:dyDescent="0.25">
      <c r="A192" s="34">
        <f t="shared" si="5"/>
        <v>9.1999999999999957</v>
      </c>
      <c r="B192" s="42">
        <f t="shared" si="4"/>
        <v>-1.1824966668316668</v>
      </c>
    </row>
    <row r="193" spans="1:2" x14ac:dyDescent="0.25">
      <c r="A193" s="34">
        <f t="shared" si="5"/>
        <v>9.2499999999999964</v>
      </c>
      <c r="B193" s="42">
        <f t="shared" si="4"/>
        <v>-1.3585802052707354</v>
      </c>
    </row>
    <row r="194" spans="1:2" x14ac:dyDescent="0.25">
      <c r="A194" s="34">
        <f t="shared" si="5"/>
        <v>9.2999999999999972</v>
      </c>
      <c r="B194" s="42">
        <f t="shared" si="4"/>
        <v>-1.5235844847966771</v>
      </c>
    </row>
    <row r="195" spans="1:2" x14ac:dyDescent="0.25">
      <c r="A195" s="34">
        <f t="shared" si="5"/>
        <v>9.3499999999999979</v>
      </c>
      <c r="B195" s="42">
        <f t="shared" si="4"/>
        <v>-1.6758437727894961</v>
      </c>
    </row>
    <row r="196" spans="1:2" x14ac:dyDescent="0.25">
      <c r="A196" s="34">
        <f t="shared" si="5"/>
        <v>9.3999999999999986</v>
      </c>
      <c r="B196" s="42">
        <f t="shared" si="4"/>
        <v>-1.8137980122694111</v>
      </c>
    </row>
    <row r="197" spans="1:2" x14ac:dyDescent="0.25">
      <c r="A197" s="34">
        <f t="shared" si="5"/>
        <v>9.4499999999999993</v>
      </c>
      <c r="B197" s="42">
        <f t="shared" si="4"/>
        <v>-1.9360087481328632</v>
      </c>
    </row>
    <row r="198" spans="1:2" x14ac:dyDescent="0.25">
      <c r="A198" s="34">
        <f t="shared" si="5"/>
        <v>9.5</v>
      </c>
      <c r="B198" s="42">
        <f t="shared" si="4"/>
        <v>-2.0411740248793535</v>
      </c>
    </row>
    <row r="199" spans="1:2" x14ac:dyDescent="0.25">
      <c r="A199" s="34">
        <f t="shared" si="5"/>
        <v>9.5500000000000007</v>
      </c>
      <c r="B199" s="42">
        <f t="shared" si="4"/>
        <v>-2.1281421023840918</v>
      </c>
    </row>
    <row r="200" spans="1:2" x14ac:dyDescent="0.25">
      <c r="A200" s="34">
        <f t="shared" si="5"/>
        <v>9.6000000000000014</v>
      </c>
      <c r="B200" s="42">
        <f t="shared" ref="B200:B263" si="6">-A1_x*SIN(p_x*A200)+A2_x*SIN(w_x*A200)</f>
        <v>-2.1959238464907718</v>
      </c>
    </row>
    <row r="201" spans="1:2" x14ac:dyDescent="0.25">
      <c r="A201" s="34">
        <f t="shared" ref="A201:A264" si="7">A200+$A$6</f>
        <v>9.6500000000000021</v>
      </c>
      <c r="B201" s="42">
        <f t="shared" si="6"/>
        <v>-2.2437036629029499</v>
      </c>
    </row>
    <row r="202" spans="1:2" x14ac:dyDescent="0.25">
      <c r="A202" s="34">
        <f t="shared" si="7"/>
        <v>9.7000000000000028</v>
      </c>
      <c r="B202" s="42">
        <f t="shared" si="6"/>
        <v>-2.2708488559385018</v>
      </c>
    </row>
    <row r="203" spans="1:2" x14ac:dyDescent="0.25">
      <c r="A203" s="34">
        <f t="shared" si="7"/>
        <v>9.7500000000000036</v>
      </c>
      <c r="B203" s="42">
        <f t="shared" si="6"/>
        <v>-2.2769173080613117</v>
      </c>
    </row>
    <row r="204" spans="1:2" x14ac:dyDescent="0.25">
      <c r="A204" s="34">
        <f t="shared" si="7"/>
        <v>9.8000000000000043</v>
      </c>
      <c r="B204" s="42">
        <f t="shared" si="6"/>
        <v>-2.2616633915862252</v>
      </c>
    </row>
    <row r="205" spans="1:2" x14ac:dyDescent="0.25">
      <c r="A205" s="34">
        <f t="shared" si="7"/>
        <v>9.850000000000005</v>
      </c>
      <c r="B205" s="42">
        <f t="shared" si="6"/>
        <v>-2.2250420404248015</v>
      </c>
    </row>
    <row r="206" spans="1:2" x14ac:dyDescent="0.25">
      <c r="A206" s="34">
        <f t="shared" si="7"/>
        <v>9.9000000000000057</v>
      </c>
      <c r="B206" s="42">
        <f t="shared" si="6"/>
        <v>-2.1672109270452395</v>
      </c>
    </row>
    <row r="207" spans="1:2" x14ac:dyDescent="0.25">
      <c r="A207" s="34">
        <f t="shared" si="7"/>
        <v>9.9500000000000064</v>
      </c>
      <c r="B207" s="42">
        <f t="shared" si="6"/>
        <v>-2.0885307077976876</v>
      </c>
    </row>
    <row r="208" spans="1:2" x14ac:dyDescent="0.25">
      <c r="A208" s="34">
        <f t="shared" si="7"/>
        <v>10.000000000000007</v>
      </c>
      <c r="B208" s="42">
        <f t="shared" si="6"/>
        <v>-1.9895633182339627</v>
      </c>
    </row>
    <row r="209" spans="1:2" x14ac:dyDescent="0.25">
      <c r="A209" s="34">
        <f t="shared" si="7"/>
        <v>10.050000000000008</v>
      </c>
      <c r="B209" s="42">
        <f t="shared" si="6"/>
        <v>-1.8710683188510333</v>
      </c>
    </row>
    <row r="210" spans="1:2" x14ac:dyDescent="0.25">
      <c r="A210" s="34">
        <f t="shared" si="7"/>
        <v>10.100000000000009</v>
      </c>
      <c r="B210" s="42">
        <f t="shared" si="6"/>
        <v>-1.7339973106294475</v>
      </c>
    </row>
    <row r="211" spans="1:2" x14ac:dyDescent="0.25">
      <c r="A211" s="34">
        <f t="shared" si="7"/>
        <v>10.150000000000009</v>
      </c>
      <c r="B211" s="42">
        <f t="shared" si="6"/>
        <v>-1.5794864586352715</v>
      </c>
    </row>
    <row r="212" spans="1:2" x14ac:dyDescent="0.25">
      <c r="A212" s="34">
        <f t="shared" si="7"/>
        <v>10.20000000000001</v>
      </c>
      <c r="B212" s="42">
        <f t="shared" si="6"/>
        <v>-1.4088471806230303</v>
      </c>
    </row>
    <row r="213" spans="1:2" x14ac:dyDescent="0.25">
      <c r="A213" s="34">
        <f t="shared" si="7"/>
        <v>10.250000000000011</v>
      </c>
      <c r="B213" s="42">
        <f t="shared" si="6"/>
        <v>-1.2235550758322344</v>
      </c>
    </row>
    <row r="214" spans="1:2" x14ac:dyDescent="0.25">
      <c r="A214" s="34">
        <f t="shared" si="7"/>
        <v>10.300000000000011</v>
      </c>
      <c r="B214" s="42">
        <f t="shared" si="6"/>
        <v>-1.0252371868296581</v>
      </c>
    </row>
    <row r="215" spans="1:2" x14ac:dyDescent="0.25">
      <c r="A215" s="34">
        <f t="shared" si="7"/>
        <v>10.350000000000012</v>
      </c>
      <c r="B215" s="42">
        <f t="shared" si="6"/>
        <v>-0.81565770413733218</v>
      </c>
    </row>
    <row r="216" spans="1:2" x14ac:dyDescent="0.25">
      <c r="A216" s="34">
        <f t="shared" si="7"/>
        <v>10.400000000000013</v>
      </c>
      <c r="B216" s="42">
        <f t="shared" si="6"/>
        <v>-0.59670223933010358</v>
      </c>
    </row>
    <row r="217" spans="1:2" x14ac:dyDescent="0.25">
      <c r="A217" s="34">
        <f t="shared" si="7"/>
        <v>10.450000000000014</v>
      </c>
      <c r="B217" s="42">
        <f t="shared" si="6"/>
        <v>-0.37036080712528974</v>
      </c>
    </row>
    <row r="218" spans="1:2" x14ac:dyDescent="0.25">
      <c r="A218" s="34">
        <f t="shared" si="7"/>
        <v>10.500000000000014</v>
      </c>
      <c r="B218" s="42">
        <f t="shared" si="6"/>
        <v>-0.13870967056658534</v>
      </c>
    </row>
    <row r="219" spans="1:2" x14ac:dyDescent="0.25">
      <c r="A219" s="34">
        <f t="shared" si="7"/>
        <v>10.550000000000015</v>
      </c>
      <c r="B219" s="42">
        <f t="shared" si="6"/>
        <v>9.6107784416557429E-2</v>
      </c>
    </row>
    <row r="220" spans="1:2" x14ac:dyDescent="0.25">
      <c r="A220" s="34">
        <f t="shared" si="7"/>
        <v>10.600000000000016</v>
      </c>
      <c r="B220" s="42">
        <f t="shared" si="6"/>
        <v>0.33190096814257042</v>
      </c>
    </row>
    <row r="221" spans="1:2" x14ac:dyDescent="0.25">
      <c r="A221" s="34">
        <f t="shared" si="7"/>
        <v>10.650000000000016</v>
      </c>
      <c r="B221" s="42">
        <f t="shared" si="6"/>
        <v>0.56645261406722747</v>
      </c>
    </row>
    <row r="222" spans="1:2" x14ac:dyDescent="0.25">
      <c r="A222" s="34">
        <f t="shared" si="7"/>
        <v>10.700000000000017</v>
      </c>
      <c r="B222" s="42">
        <f t="shared" si="6"/>
        <v>0.79753972022892516</v>
      </c>
    </row>
    <row r="223" spans="1:2" x14ac:dyDescent="0.25">
      <c r="A223" s="34">
        <f t="shared" si="7"/>
        <v>10.750000000000018</v>
      </c>
      <c r="B223" s="42">
        <f t="shared" si="6"/>
        <v>1.0229547066135787</v>
      </c>
    </row>
    <row r="224" spans="1:2" x14ac:dyDescent="0.25">
      <c r="A224" s="34">
        <f t="shared" si="7"/>
        <v>10.800000000000018</v>
      </c>
      <c r="B224" s="42">
        <f t="shared" si="6"/>
        <v>1.2405265862587866</v>
      </c>
    </row>
    <row r="225" spans="1:2" x14ac:dyDescent="0.25">
      <c r="A225" s="34">
        <f t="shared" si="7"/>
        <v>10.850000000000019</v>
      </c>
      <c r="B225" s="42">
        <f t="shared" si="6"/>
        <v>1.4481419463120142</v>
      </c>
    </row>
    <row r="226" spans="1:2" x14ac:dyDescent="0.25">
      <c r="A226" s="34">
        <f t="shared" si="7"/>
        <v>10.90000000000002</v>
      </c>
      <c r="B226" s="42">
        <f t="shared" si="6"/>
        <v>1.6437655356213943</v>
      </c>
    </row>
    <row r="227" spans="1:2" x14ac:dyDescent="0.25">
      <c r="A227" s="34">
        <f t="shared" si="7"/>
        <v>10.950000000000021</v>
      </c>
      <c r="B227" s="42">
        <f t="shared" si="6"/>
        <v>1.8254602577794767</v>
      </c>
    </row>
    <row r="228" spans="1:2" x14ac:dyDescent="0.25">
      <c r="A228" s="34">
        <f t="shared" si="7"/>
        <v>11.000000000000021</v>
      </c>
      <c r="B228" s="42">
        <f t="shared" si="6"/>
        <v>1.9914063728508626</v>
      </c>
    </row>
    <row r="229" spans="1:2" x14ac:dyDescent="0.25">
      <c r="A229" s="34">
        <f t="shared" si="7"/>
        <v>11.050000000000022</v>
      </c>
      <c r="B229" s="42">
        <f t="shared" si="6"/>
        <v>2.1399197172650473</v>
      </c>
    </row>
    <row r="230" spans="1:2" x14ac:dyDescent="0.25">
      <c r="A230" s="34">
        <f t="shared" si="7"/>
        <v>11.100000000000023</v>
      </c>
      <c r="B230" s="42">
        <f t="shared" si="6"/>
        <v>2.2694687594981104</v>
      </c>
    </row>
    <row r="231" spans="1:2" x14ac:dyDescent="0.25">
      <c r="A231" s="34">
        <f t="shared" si="7"/>
        <v>11.150000000000023</v>
      </c>
      <c r="B231" s="42">
        <f t="shared" si="6"/>
        <v>2.3786903191342996</v>
      </c>
    </row>
    <row r="232" spans="1:2" x14ac:dyDescent="0.25">
      <c r="A232" s="34">
        <f t="shared" si="7"/>
        <v>11.200000000000024</v>
      </c>
      <c r="B232" s="42">
        <f t="shared" si="6"/>
        <v>2.4664037886060703</v>
      </c>
    </row>
    <row r="233" spans="1:2" x14ac:dyDescent="0.25">
      <c r="A233" s="34">
        <f t="shared" si="7"/>
        <v>11.250000000000025</v>
      </c>
      <c r="B233" s="42">
        <f t="shared" si="6"/>
        <v>2.5316237102562313</v>
      </c>
    </row>
    <row r="234" spans="1:2" x14ac:dyDescent="0.25">
      <c r="A234" s="34">
        <f t="shared" si="7"/>
        <v>11.300000000000026</v>
      </c>
      <c r="B234" s="42">
        <f t="shared" si="6"/>
        <v>2.5735705762290628</v>
      </c>
    </row>
    <row r="235" spans="1:2" x14ac:dyDescent="0.25">
      <c r="A235" s="34">
        <f t="shared" si="7"/>
        <v>11.350000000000026</v>
      </c>
      <c r="B235" s="42">
        <f t="shared" si="6"/>
        <v>2.5916797349443064</v>
      </c>
    </row>
    <row r="236" spans="1:2" x14ac:dyDescent="0.25">
      <c r="A236" s="34">
        <f t="shared" si="7"/>
        <v>11.400000000000027</v>
      </c>
      <c r="B236" s="42">
        <f t="shared" si="6"/>
        <v>2.5856083053890062</v>
      </c>
    </row>
    <row r="237" spans="1:2" x14ac:dyDescent="0.25">
      <c r="A237" s="34">
        <f t="shared" si="7"/>
        <v>11.450000000000028</v>
      </c>
      <c r="B237" s="42">
        <f t="shared" si="6"/>
        <v>2.5552400190158084</v>
      </c>
    </row>
    <row r="238" spans="1:2" x14ac:dyDescent="0.25">
      <c r="A238" s="34">
        <f t="shared" si="7"/>
        <v>11.500000000000028</v>
      </c>
      <c r="B238" s="42">
        <f t="shared" si="6"/>
        <v>2.5006879284886754</v>
      </c>
    </row>
    <row r="239" spans="1:2" x14ac:dyDescent="0.25">
      <c r="A239" s="34">
        <f t="shared" si="7"/>
        <v>11.550000000000029</v>
      </c>
      <c r="B239" s="42">
        <f t="shared" si="6"/>
        <v>2.4222949426843288</v>
      </c>
    </row>
    <row r="240" spans="1:2" x14ac:dyDescent="0.25">
      <c r="A240" s="34">
        <f t="shared" si="7"/>
        <v>11.60000000000003</v>
      </c>
      <c r="B240" s="42">
        <f t="shared" si="6"/>
        <v>2.320632168049535</v>
      </c>
    </row>
    <row r="241" spans="1:2" x14ac:dyDescent="0.25">
      <c r="A241" s="34">
        <f t="shared" si="7"/>
        <v>11.650000000000031</v>
      </c>
      <c r="B241" s="42">
        <f t="shared" si="6"/>
        <v>2.1964950574315565</v>
      </c>
    </row>
    <row r="242" spans="1:2" x14ac:dyDescent="0.25">
      <c r="A242" s="34">
        <f t="shared" si="7"/>
        <v>11.700000000000031</v>
      </c>
      <c r="B242" s="42">
        <f t="shared" si="6"/>
        <v>2.0508973886408186</v>
      </c>
    </row>
    <row r="243" spans="1:2" x14ac:dyDescent="0.25">
      <c r="A243" s="34">
        <f t="shared" si="7"/>
        <v>11.750000000000032</v>
      </c>
      <c r="B243" s="42">
        <f t="shared" si="6"/>
        <v>1.8850631160658062</v>
      </c>
    </row>
    <row r="244" spans="1:2" x14ac:dyDescent="0.25">
      <c r="A244" s="34">
        <f t="shared" si="7"/>
        <v>11.800000000000033</v>
      </c>
      <c r="B244" s="42">
        <f t="shared" si="6"/>
        <v>1.7004161594353202</v>
      </c>
    </row>
    <row r="245" spans="1:2" x14ac:dyDescent="0.25">
      <c r="A245" s="34">
        <f t="shared" si="7"/>
        <v>11.850000000000033</v>
      </c>
      <c r="B245" s="42">
        <f t="shared" si="6"/>
        <v>1.4985682141100358</v>
      </c>
    </row>
    <row r="246" spans="1:2" x14ac:dyDescent="0.25">
      <c r="A246" s="34">
        <f t="shared" si="7"/>
        <v>11.900000000000034</v>
      </c>
      <c r="B246" s="42">
        <f t="shared" si="6"/>
        <v>1.281304686882476</v>
      </c>
    </row>
    <row r="247" spans="1:2" x14ac:dyDescent="0.25">
      <c r="A247" s="34">
        <f t="shared" si="7"/>
        <v>11.950000000000035</v>
      </c>
      <c r="B247" s="42">
        <f t="shared" si="6"/>
        <v>1.0505688799792114</v>
      </c>
    </row>
    <row r="248" spans="1:2" x14ac:dyDescent="0.25">
      <c r="A248" s="34">
        <f t="shared" si="7"/>
        <v>12.000000000000036</v>
      </c>
      <c r="B248" s="42">
        <f t="shared" si="6"/>
        <v>0.80844456360350936</v>
      </c>
    </row>
    <row r="249" spans="1:2" x14ac:dyDescent="0.25">
      <c r="A249" s="34">
        <f t="shared" si="7"/>
        <v>12.050000000000036</v>
      </c>
      <c r="B249" s="42">
        <f t="shared" si="6"/>
        <v>0.5571370937532929</v>
      </c>
    </row>
    <row r="250" spans="1:2" x14ac:dyDescent="0.25">
      <c r="A250" s="34">
        <f t="shared" si="7"/>
        <v>12.100000000000037</v>
      </c>
      <c r="B250" s="42">
        <f t="shared" si="6"/>
        <v>0.29895324703260306</v>
      </c>
    </row>
    <row r="251" spans="1:2" x14ac:dyDescent="0.25">
      <c r="A251" s="34">
        <f t="shared" si="7"/>
        <v>12.150000000000038</v>
      </c>
      <c r="B251" s="42">
        <f t="shared" si="6"/>
        <v>3.6279957589709033E-2</v>
      </c>
    </row>
    <row r="252" spans="1:2" x14ac:dyDescent="0.25">
      <c r="A252" s="34">
        <f t="shared" si="7"/>
        <v>12.200000000000038</v>
      </c>
      <c r="B252" s="42">
        <f t="shared" si="6"/>
        <v>-0.22843784697618896</v>
      </c>
    </row>
    <row r="253" spans="1:2" x14ac:dyDescent="0.25">
      <c r="A253" s="34">
        <f t="shared" si="7"/>
        <v>12.250000000000039</v>
      </c>
      <c r="B253" s="42">
        <f t="shared" si="6"/>
        <v>-0.49272010401951349</v>
      </c>
    </row>
    <row r="254" spans="1:2" x14ac:dyDescent="0.25">
      <c r="A254" s="34">
        <f t="shared" si="7"/>
        <v>12.30000000000004</v>
      </c>
      <c r="B254" s="42">
        <f t="shared" si="6"/>
        <v>-0.75407495390251345</v>
      </c>
    </row>
    <row r="255" spans="1:2" x14ac:dyDescent="0.25">
      <c r="A255" s="34">
        <f t="shared" si="7"/>
        <v>12.350000000000041</v>
      </c>
      <c r="B255" s="42">
        <f t="shared" si="6"/>
        <v>-1.0100223371203834</v>
      </c>
    </row>
    <row r="256" spans="1:2" x14ac:dyDescent="0.25">
      <c r="A256" s="34">
        <f t="shared" si="7"/>
        <v>12.400000000000041</v>
      </c>
      <c r="B256" s="42">
        <f t="shared" si="6"/>
        <v>-1.2581176260956797</v>
      </c>
    </row>
    <row r="257" spans="1:2" x14ac:dyDescent="0.25">
      <c r="A257" s="34">
        <f t="shared" si="7"/>
        <v>12.450000000000042</v>
      </c>
      <c r="B257" s="42">
        <f t="shared" si="6"/>
        <v>-1.4959750655598045</v>
      </c>
    </row>
    <row r="258" spans="1:2" x14ac:dyDescent="0.25">
      <c r="A258" s="34">
        <f t="shared" si="7"/>
        <v>12.500000000000043</v>
      </c>
      <c r="B258" s="42">
        <f t="shared" si="6"/>
        <v>-1.7212907959300954</v>
      </c>
    </row>
    <row r="259" spans="1:2" x14ac:dyDescent="0.25">
      <c r="A259" s="34">
        <f t="shared" si="7"/>
        <v>12.550000000000043</v>
      </c>
      <c r="B259" s="42">
        <f t="shared" si="6"/>
        <v>-1.9318652367605398</v>
      </c>
    </row>
    <row r="260" spans="1:2" x14ac:dyDescent="0.25">
      <c r="A260" s="34">
        <f t="shared" si="7"/>
        <v>12.600000000000044</v>
      </c>
      <c r="B260" s="42">
        <f t="shared" si="6"/>
        <v>-2.1256246121785507</v>
      </c>
    </row>
    <row r="261" spans="1:2" x14ac:dyDescent="0.25">
      <c r="A261" s="34">
        <f t="shared" si="7"/>
        <v>12.650000000000045</v>
      </c>
      <c r="B261" s="42">
        <f t="shared" si="6"/>
        <v>-2.3006414071852874</v>
      </c>
    </row>
    <row r="262" spans="1:2" x14ac:dyDescent="0.25">
      <c r="A262" s="34">
        <f t="shared" si="7"/>
        <v>12.700000000000045</v>
      </c>
      <c r="B262" s="42">
        <f t="shared" si="6"/>
        <v>-2.4551535527368338</v>
      </c>
    </row>
    <row r="263" spans="1:2" x14ac:dyDescent="0.25">
      <c r="A263" s="34">
        <f t="shared" si="7"/>
        <v>12.750000000000046</v>
      </c>
      <c r="B263" s="42">
        <f t="shared" si="6"/>
        <v>-2.5875821485623733</v>
      </c>
    </row>
    <row r="264" spans="1:2" x14ac:dyDescent="0.25">
      <c r="A264" s="34">
        <f t="shared" si="7"/>
        <v>12.800000000000047</v>
      </c>
      <c r="B264" s="42">
        <f t="shared" ref="B264:B327" si="8">-A1_x*SIN(p_x*A264)+A2_x*SIN(w_x*A264)</f>
        <v>-2.6965475456175021</v>
      </c>
    </row>
    <row r="265" spans="1:2" x14ac:dyDescent="0.25">
      <c r="A265" s="34">
        <f t="shared" ref="A265:A328" si="9">A264+$A$6</f>
        <v>12.850000000000048</v>
      </c>
      <c r="B265" s="42">
        <f t="shared" si="8"/>
        <v>-2.7808836248013096</v>
      </c>
    </row>
    <row r="266" spans="1:2" x14ac:dyDescent="0.25">
      <c r="A266" s="34">
        <f t="shared" si="9"/>
        <v>12.900000000000048</v>
      </c>
      <c r="B266" s="42">
        <f t="shared" si="8"/>
        <v>-2.8396501249520973</v>
      </c>
    </row>
    <row r="267" spans="1:2" x14ac:dyDescent="0.25">
      <c r="A267" s="34">
        <f t="shared" si="9"/>
        <v>12.950000000000049</v>
      </c>
      <c r="B267" s="42">
        <f t="shared" si="8"/>
        <v>-2.8721428910292248</v>
      </c>
    </row>
    <row r="268" spans="1:2" x14ac:dyDescent="0.25">
      <c r="A268" s="34">
        <f t="shared" si="9"/>
        <v>13.00000000000005</v>
      </c>
      <c r="B268" s="42">
        <f t="shared" si="8"/>
        <v>-2.8779019326228727</v>
      </c>
    </row>
    <row r="269" spans="1:2" x14ac:dyDescent="0.25">
      <c r="A269" s="34">
        <f t="shared" si="9"/>
        <v>13.05000000000005</v>
      </c>
      <c r="B269" s="42">
        <f t="shared" si="8"/>
        <v>-2.8567172033304811</v>
      </c>
    </row>
    <row r="270" spans="1:2" x14ac:dyDescent="0.25">
      <c r="A270" s="34">
        <f t="shared" si="9"/>
        <v>13.100000000000051</v>
      </c>
      <c r="B270" s="42">
        <f t="shared" si="8"/>
        <v>-2.8086320329079033</v>
      </c>
    </row>
    <row r="271" spans="1:2" x14ac:dyDescent="0.25">
      <c r="A271" s="34">
        <f t="shared" si="9"/>
        <v>13.150000000000052</v>
      </c>
      <c r="B271" s="42">
        <f t="shared" si="8"/>
        <v>-2.7339441662433543</v>
      </c>
    </row>
    <row r="272" spans="1:2" x14ac:dyDescent="0.25">
      <c r="A272" s="34">
        <f t="shared" si="9"/>
        <v>13.200000000000053</v>
      </c>
      <c r="B272" s="42">
        <f t="shared" si="8"/>
        <v>-2.6332043859030945</v>
      </c>
    </row>
    <row r="273" spans="1:2" x14ac:dyDescent="0.25">
      <c r="A273" s="34">
        <f t="shared" si="9"/>
        <v>13.250000000000053</v>
      </c>
      <c r="B273" s="42">
        <f t="shared" si="8"/>
        <v>-2.5072127180440398</v>
      </c>
    </row>
    <row r="274" spans="1:2" x14ac:dyDescent="0.25">
      <c r="A274" s="34">
        <f t="shared" si="9"/>
        <v>13.300000000000054</v>
      </c>
      <c r="B274" s="42">
        <f t="shared" si="8"/>
        <v>-2.3570122446582462</v>
      </c>
    </row>
    <row r="275" spans="1:2" x14ac:dyDescent="0.25">
      <c r="A275" s="34">
        <f t="shared" si="9"/>
        <v>13.350000000000055</v>
      </c>
      <c r="B275" s="42">
        <f t="shared" si="8"/>
        <v>-2.1838805681857463</v>
      </c>
    </row>
    <row r="276" spans="1:2" x14ac:dyDescent="0.25">
      <c r="A276" s="34">
        <f t="shared" si="9"/>
        <v>13.400000000000055</v>
      </c>
      <c r="B276" s="42">
        <f t="shared" si="8"/>
        <v>-1.9893189972816028</v>
      </c>
    </row>
    <row r="277" spans="1:2" x14ac:dyDescent="0.25">
      <c r="A277" s="34">
        <f t="shared" si="9"/>
        <v>13.450000000000056</v>
      </c>
      <c r="B277" s="42">
        <f t="shared" si="8"/>
        <v>-1.775039544729148</v>
      </c>
    </row>
    <row r="278" spans="1:2" x14ac:dyDescent="0.25">
      <c r="A278" s="34">
        <f t="shared" si="9"/>
        <v>13.500000000000057</v>
      </c>
      <c r="B278" s="42">
        <f t="shared" si="8"/>
        <v>-1.5429498499381031</v>
      </c>
    </row>
    <row r="279" spans="1:2" x14ac:dyDescent="0.25">
      <c r="A279" s="34">
        <f t="shared" si="9"/>
        <v>13.550000000000058</v>
      </c>
      <c r="B279" s="42">
        <f t="shared" si="8"/>
        <v>-1.2951361589415686</v>
      </c>
    </row>
    <row r="280" spans="1:2" x14ac:dyDescent="0.25">
      <c r="A280" s="34">
        <f t="shared" si="9"/>
        <v>13.600000000000058</v>
      </c>
      <c r="B280" s="42">
        <f t="shared" si="8"/>
        <v>-1.0338445141088455</v>
      </c>
    </row>
    <row r="281" spans="1:2" x14ac:dyDescent="0.25">
      <c r="A281" s="34">
        <f t="shared" si="9"/>
        <v>13.650000000000059</v>
      </c>
      <c r="B281" s="42">
        <f t="shared" si="8"/>
        <v>-0.76146032372886741</v>
      </c>
    </row>
    <row r="282" spans="1:2" x14ac:dyDescent="0.25">
      <c r="A282" s="34">
        <f t="shared" si="9"/>
        <v>13.70000000000006</v>
      </c>
      <c r="B282" s="42">
        <f t="shared" si="8"/>
        <v>-0.48048649801201737</v>
      </c>
    </row>
    <row r="283" spans="1:2" x14ac:dyDescent="0.25">
      <c r="A283" s="34">
        <f t="shared" si="9"/>
        <v>13.75000000000006</v>
      </c>
      <c r="B283" s="42">
        <f t="shared" si="8"/>
        <v>-0.19352035274159118</v>
      </c>
    </row>
    <row r="284" spans="1:2" x14ac:dyDescent="0.25">
      <c r="A284" s="34">
        <f t="shared" si="9"/>
        <v>13.800000000000061</v>
      </c>
      <c r="B284" s="42">
        <f t="shared" si="8"/>
        <v>9.6770505371148952E-2</v>
      </c>
    </row>
    <row r="285" spans="1:2" x14ac:dyDescent="0.25">
      <c r="A285" s="34">
        <f t="shared" si="9"/>
        <v>13.850000000000062</v>
      </c>
      <c r="B285" s="42">
        <f t="shared" si="8"/>
        <v>0.38767308674363554</v>
      </c>
    </row>
    <row r="286" spans="1:2" x14ac:dyDescent="0.25">
      <c r="A286" s="34">
        <f t="shared" si="9"/>
        <v>13.900000000000063</v>
      </c>
      <c r="B286" s="42">
        <f t="shared" si="8"/>
        <v>0.67645448678176634</v>
      </c>
    </row>
    <row r="287" spans="1:2" x14ac:dyDescent="0.25">
      <c r="A287" s="34">
        <f t="shared" si="9"/>
        <v>13.950000000000063</v>
      </c>
      <c r="B287" s="42">
        <f t="shared" si="8"/>
        <v>0.96038767341108355</v>
      </c>
    </row>
    <row r="288" spans="1:2" x14ac:dyDescent="0.25">
      <c r="A288" s="34">
        <f t="shared" si="9"/>
        <v>14.000000000000064</v>
      </c>
      <c r="B288" s="42">
        <f t="shared" si="8"/>
        <v>1.2367773498980741</v>
      </c>
    </row>
    <row r="289" spans="1:2" x14ac:dyDescent="0.25">
      <c r="A289" s="34">
        <f t="shared" si="9"/>
        <v>14.050000000000065</v>
      </c>
      <c r="B289" s="42">
        <f t="shared" si="8"/>
        <v>1.5029856466569731</v>
      </c>
    </row>
    <row r="290" spans="1:2" x14ac:dyDescent="0.25">
      <c r="A290" s="34">
        <f t="shared" si="9"/>
        <v>14.100000000000065</v>
      </c>
      <c r="B290" s="42">
        <f t="shared" si="8"/>
        <v>1.7564573961687449</v>
      </c>
    </row>
    <row r="291" spans="1:2" x14ac:dyDescent="0.25">
      <c r="A291" s="34">
        <f t="shared" si="9"/>
        <v>14.150000000000066</v>
      </c>
      <c r="B291" s="42">
        <f t="shared" si="8"/>
        <v>1.9947447479324645</v>
      </c>
    </row>
    <row r="292" spans="1:2" x14ac:dyDescent="0.25">
      <c r="A292" s="34">
        <f t="shared" si="9"/>
        <v>14.200000000000067</v>
      </c>
      <c r="B292" s="42">
        <f t="shared" si="8"/>
        <v>2.2155308855089473</v>
      </c>
    </row>
    <row r="293" spans="1:2" x14ac:dyDescent="0.25">
      <c r="A293" s="34">
        <f t="shared" si="9"/>
        <v>14.250000000000068</v>
      </c>
      <c r="B293" s="42">
        <f t="shared" si="8"/>
        <v>2.4166526151633207</v>
      </c>
    </row>
    <row r="294" spans="1:2" x14ac:dyDescent="0.25">
      <c r="A294" s="34">
        <f t="shared" si="9"/>
        <v>14.300000000000068</v>
      </c>
      <c r="B294" s="42">
        <f t="shared" si="8"/>
        <v>2.5961216053067178</v>
      </c>
    </row>
    <row r="295" spans="1:2" x14ac:dyDescent="0.25">
      <c r="A295" s="34">
        <f t="shared" si="9"/>
        <v>14.350000000000069</v>
      </c>
      <c r="B295" s="42">
        <f t="shared" si="8"/>
        <v>2.7521440677938362</v>
      </c>
    </row>
    <row r="296" spans="1:2" x14ac:dyDescent="0.25">
      <c r="A296" s="34">
        <f t="shared" si="9"/>
        <v>14.40000000000007</v>
      </c>
      <c r="B296" s="42">
        <f t="shared" si="8"/>
        <v>2.883138686048909</v>
      </c>
    </row>
    <row r="297" spans="1:2" x14ac:dyDescent="0.25">
      <c r="A297" s="34">
        <f t="shared" si="9"/>
        <v>14.45000000000007</v>
      </c>
      <c r="B297" s="42">
        <f t="shared" si="8"/>
        <v>2.987752610842807</v>
      </c>
    </row>
    <row r="298" spans="1:2" x14ac:dyDescent="0.25">
      <c r="A298" s="34">
        <f t="shared" si="9"/>
        <v>14.500000000000071</v>
      </c>
      <c r="B298" s="42">
        <f t="shared" si="8"/>
        <v>3.0648753621849023</v>
      </c>
    </row>
    <row r="299" spans="1:2" x14ac:dyDescent="0.25">
      <c r="A299" s="34">
        <f t="shared" si="9"/>
        <v>14.550000000000072</v>
      </c>
      <c r="B299" s="42">
        <f t="shared" si="8"/>
        <v>3.1136504950631694</v>
      </c>
    </row>
    <row r="300" spans="1:2" x14ac:dyDescent="0.25">
      <c r="A300" s="34">
        <f t="shared" si="9"/>
        <v>14.600000000000072</v>
      </c>
      <c r="B300" s="42">
        <f t="shared" si="8"/>
        <v>3.1334849074867566</v>
      </c>
    </row>
    <row r="301" spans="1:2" x14ac:dyDescent="0.25">
      <c r="A301" s="34">
        <f t="shared" si="9"/>
        <v>14.650000000000073</v>
      </c>
      <c r="B301" s="42">
        <f t="shared" si="8"/>
        <v>3.1240556912641209</v>
      </c>
    </row>
    <row r="302" spans="1:2" x14ac:dyDescent="0.25">
      <c r="A302" s="34">
        <f t="shared" si="9"/>
        <v>14.700000000000074</v>
      </c>
      <c r="B302" s="42">
        <f t="shared" si="8"/>
        <v>3.0853144489807098</v>
      </c>
    </row>
    <row r="303" spans="1:2" x14ac:dyDescent="0.25">
      <c r="A303" s="34">
        <f t="shared" si="9"/>
        <v>14.750000000000075</v>
      </c>
      <c r="B303" s="42">
        <f t="shared" si="8"/>
        <v>3.017489024506812</v>
      </c>
    </row>
    <row r="304" spans="1:2" x14ac:dyDescent="0.25">
      <c r="A304" s="34">
        <f t="shared" si="9"/>
        <v>14.800000000000075</v>
      </c>
      <c r="B304" s="42">
        <f t="shared" si="8"/>
        <v>2.9210826188420835</v>
      </c>
    </row>
    <row r="305" spans="1:2" x14ac:dyDescent="0.25">
      <c r="A305" s="34">
        <f t="shared" si="9"/>
        <v>14.850000000000076</v>
      </c>
      <c r="B305" s="42">
        <f t="shared" si="8"/>
        <v>2.7968702879564606</v>
      </c>
    </row>
    <row r="306" spans="1:2" x14ac:dyDescent="0.25">
      <c r="A306" s="34">
        <f t="shared" si="9"/>
        <v>14.900000000000077</v>
      </c>
      <c r="B306" s="42">
        <f t="shared" si="8"/>
        <v>2.6458928442801875</v>
      </c>
    </row>
    <row r="307" spans="1:2" x14ac:dyDescent="0.25">
      <c r="A307" s="34">
        <f t="shared" si="9"/>
        <v>14.950000000000077</v>
      </c>
      <c r="B307" s="42">
        <f t="shared" si="8"/>
        <v>2.4694482083886329</v>
      </c>
    </row>
    <row r="308" spans="1:2" x14ac:dyDescent="0.25">
      <c r="A308" s="34">
        <f t="shared" si="9"/>
        <v>15.000000000000078</v>
      </c>
      <c r="B308" s="42">
        <f t="shared" si="8"/>
        <v>2.2690802819819118</v>
      </c>
    </row>
    <row r="309" spans="1:2" x14ac:dyDescent="0.25">
      <c r="A309" s="34">
        <f t="shared" si="9"/>
        <v>15.050000000000079</v>
      </c>
      <c r="B309" s="42">
        <f t="shared" si="8"/>
        <v>2.0465654372363873</v>
      </c>
    </row>
    <row r="310" spans="1:2" x14ac:dyDescent="0.25">
      <c r="A310" s="34">
        <f t="shared" si="9"/>
        <v>15.10000000000008</v>
      </c>
      <c r="B310" s="42">
        <f t="shared" si="8"/>
        <v>1.8038967407735806</v>
      </c>
    </row>
    <row r="311" spans="1:2" x14ac:dyDescent="0.25">
      <c r="A311" s="34">
        <f t="shared" si="9"/>
        <v>15.15000000000008</v>
      </c>
      <c r="B311" s="42">
        <f t="shared" si="8"/>
        <v>1.5432660526252289</v>
      </c>
    </row>
    <row r="312" spans="1:2" x14ac:dyDescent="0.25">
      <c r="A312" s="34">
        <f t="shared" si="9"/>
        <v>15.200000000000081</v>
      </c>
      <c r="B312" s="42">
        <f t="shared" si="8"/>
        <v>1.2670441614543759</v>
      </c>
    </row>
    <row r="313" spans="1:2" x14ac:dyDescent="0.25">
      <c r="A313" s="34">
        <f t="shared" si="9"/>
        <v>15.250000000000082</v>
      </c>
      <c r="B313" s="42">
        <f t="shared" si="8"/>
        <v>0.97775913671683601</v>
      </c>
    </row>
    <row r="314" spans="1:2" x14ac:dyDescent="0.25">
      <c r="A314" s="34">
        <f t="shared" si="9"/>
        <v>15.300000000000082</v>
      </c>
      <c r="B314" s="42">
        <f t="shared" si="8"/>
        <v>0.67807309622129952</v>
      </c>
    </row>
    <row r="315" spans="1:2" x14ac:dyDescent="0.25">
      <c r="A315" s="34">
        <f t="shared" si="9"/>
        <v>15.350000000000083</v>
      </c>
      <c r="B315" s="42">
        <f t="shared" si="8"/>
        <v>0.37075760349399733</v>
      </c>
    </row>
    <row r="316" spans="1:2" x14ac:dyDescent="0.25">
      <c r="A316" s="34">
        <f t="shared" si="9"/>
        <v>15.400000000000084</v>
      </c>
      <c r="B316" s="42">
        <f t="shared" si="8"/>
        <v>5.8667923313917125E-2</v>
      </c>
    </row>
    <row r="317" spans="1:2" x14ac:dyDescent="0.25">
      <c r="A317" s="34">
        <f t="shared" si="9"/>
        <v>15.450000000000085</v>
      </c>
      <c r="B317" s="42">
        <f t="shared" si="8"/>
        <v>-0.25528362438470209</v>
      </c>
    </row>
    <row r="318" spans="1:2" x14ac:dyDescent="0.25">
      <c r="A318" s="34">
        <f t="shared" si="9"/>
        <v>15.500000000000085</v>
      </c>
      <c r="B318" s="42">
        <f t="shared" si="8"/>
        <v>-0.56815496246557862</v>
      </c>
    </row>
    <row r="319" spans="1:2" x14ac:dyDescent="0.25">
      <c r="A319" s="34">
        <f t="shared" si="9"/>
        <v>15.550000000000086</v>
      </c>
      <c r="B319" s="42">
        <f t="shared" si="8"/>
        <v>-0.87700194939447274</v>
      </c>
    </row>
    <row r="320" spans="1:2" x14ac:dyDescent="0.25">
      <c r="A320" s="34">
        <f t="shared" si="9"/>
        <v>15.600000000000087</v>
      </c>
      <c r="B320" s="42">
        <f t="shared" si="8"/>
        <v>-1.1789062050911188</v>
      </c>
    </row>
    <row r="321" spans="1:2" x14ac:dyDescent="0.25">
      <c r="A321" s="34">
        <f t="shared" si="9"/>
        <v>15.650000000000087</v>
      </c>
      <c r="B321" s="42">
        <f t="shared" si="8"/>
        <v>-1.4710028057136793</v>
      </c>
    </row>
    <row r="322" spans="1:2" x14ac:dyDescent="0.25">
      <c r="A322" s="34">
        <f t="shared" si="9"/>
        <v>15.700000000000088</v>
      </c>
      <c r="B322" s="42">
        <f t="shared" si="8"/>
        <v>-1.7505075834655306</v>
      </c>
    </row>
    <row r="323" spans="1:2" x14ac:dyDescent="0.25">
      <c r="A323" s="34">
        <f t="shared" si="9"/>
        <v>15.750000000000089</v>
      </c>
      <c r="B323" s="42">
        <f t="shared" si="8"/>
        <v>-2.0147437702438382</v>
      </c>
    </row>
    <row r="324" spans="1:2" x14ac:dyDescent="0.25">
      <c r="A324" s="34">
        <f t="shared" si="9"/>
        <v>15.80000000000009</v>
      </c>
      <c r="B324" s="42">
        <f t="shared" si="8"/>
        <v>-2.2611677291878207</v>
      </c>
    </row>
    <row r="325" spans="1:2" x14ac:dyDescent="0.25">
      <c r="A325" s="34">
        <f t="shared" si="9"/>
        <v>15.85000000000009</v>
      </c>
      <c r="B325" s="42">
        <f t="shared" si="8"/>
        <v>-2.487393525890103</v>
      </c>
    </row>
    <row r="326" spans="1:2" x14ac:dyDescent="0.25">
      <c r="A326" s="34">
        <f t="shared" si="9"/>
        <v>15.900000000000091</v>
      </c>
      <c r="B326" s="42">
        <f t="shared" si="8"/>
        <v>-2.6912161011430644</v>
      </c>
    </row>
    <row r="327" spans="1:2" x14ac:dyDescent="0.25">
      <c r="A327" s="34">
        <f t="shared" si="9"/>
        <v>15.950000000000092</v>
      </c>
      <c r="B327" s="42">
        <f t="shared" si="8"/>
        <v>-2.8706328195153565</v>
      </c>
    </row>
    <row r="328" spans="1:2" x14ac:dyDescent="0.25">
      <c r="A328" s="34">
        <f t="shared" si="9"/>
        <v>16.000000000000092</v>
      </c>
      <c r="B328" s="42">
        <f t="shared" ref="B328:B391" si="10">-A1_x*SIN(p_x*A328)+A2_x*SIN(w_x*A328)</f>
        <v>-3.0238631826811218</v>
      </c>
    </row>
    <row r="329" spans="1:2" x14ac:dyDescent="0.25">
      <c r="A329" s="34">
        <f t="shared" ref="A329:A392" si="11">A328+$A$6</f>
        <v>16.050000000000093</v>
      </c>
      <c r="B329" s="42">
        <f t="shared" si="10"/>
        <v>-3.1493665131239679</v>
      </c>
    </row>
    <row r="330" spans="1:2" x14ac:dyDescent="0.25">
      <c r="A330" s="34">
        <f t="shared" si="11"/>
        <v>16.100000000000094</v>
      </c>
      <c r="B330" s="42">
        <f t="shared" si="10"/>
        <v>-3.2458574324566882</v>
      </c>
    </row>
    <row r="331" spans="1:2" x14ac:dyDescent="0.25">
      <c r="A331" s="34">
        <f t="shared" si="11"/>
        <v>16.150000000000095</v>
      </c>
      <c r="B331" s="42">
        <f t="shared" si="10"/>
        <v>-3.3123189789647158</v>
      </c>
    </row>
    <row r="332" spans="1:2" x14ac:dyDescent="0.25">
      <c r="A332" s="34">
        <f t="shared" si="11"/>
        <v>16.200000000000095</v>
      </c>
      <c r="B332" s="42">
        <f t="shared" si="10"/>
        <v>-3.3480132309072732</v>
      </c>
    </row>
    <row r="333" spans="1:2" x14ac:dyDescent="0.25">
      <c r="A333" s="34">
        <f t="shared" si="11"/>
        <v>16.250000000000096</v>
      </c>
      <c r="B333" s="42">
        <f t="shared" si="10"/>
        <v>-3.3524893253908448</v>
      </c>
    </row>
    <row r="334" spans="1:2" x14ac:dyDescent="0.25">
      <c r="A334" s="34">
        <f t="shared" si="11"/>
        <v>16.300000000000097</v>
      </c>
      <c r="B334" s="42">
        <f t="shared" si="10"/>
        <v>-3.3255887870463265</v>
      </c>
    </row>
    <row r="335" spans="1:2" x14ac:dyDescent="0.25">
      <c r="A335" s="34">
        <f t="shared" si="11"/>
        <v>16.350000000000097</v>
      </c>
      <c r="B335" s="42">
        <f t="shared" si="10"/>
        <v>-3.2674481060644536</v>
      </c>
    </row>
    <row r="336" spans="1:2" x14ac:dyDescent="0.25">
      <c r="A336" s="34">
        <f t="shared" si="11"/>
        <v>16.400000000000098</v>
      </c>
      <c r="B336" s="42">
        <f t="shared" si="10"/>
        <v>-3.1784985311342533</v>
      </c>
    </row>
    <row r="337" spans="1:2" x14ac:dyDescent="0.25">
      <c r="A337" s="34">
        <f t="shared" si="11"/>
        <v>16.450000000000099</v>
      </c>
      <c r="B337" s="42">
        <f t="shared" si="10"/>
        <v>-3.0594630692395359</v>
      </c>
    </row>
    <row r="338" spans="1:2" x14ac:dyDescent="0.25">
      <c r="A338" s="34">
        <f t="shared" si="11"/>
        <v>16.500000000000099</v>
      </c>
      <c r="B338" s="42">
        <f t="shared" si="10"/>
        <v>-2.911350710847894</v>
      </c>
    </row>
    <row r="339" spans="1:2" x14ac:dyDescent="0.25">
      <c r="A339" s="34">
        <f t="shared" si="11"/>
        <v>16.5500000000001</v>
      </c>
      <c r="B339" s="42">
        <f t="shared" si="10"/>
        <v>-2.7354479255205382</v>
      </c>
    </row>
    <row r="340" spans="1:2" x14ac:dyDescent="0.25">
      <c r="A340" s="34">
        <f t="shared" si="11"/>
        <v>16.600000000000101</v>
      </c>
      <c r="B340" s="42">
        <f t="shared" si="10"/>
        <v>-2.533307499126404</v>
      </c>
    </row>
    <row r="341" spans="1:2" x14ac:dyDescent="0.25">
      <c r="A341" s="34">
        <f t="shared" si="11"/>
        <v>16.650000000000102</v>
      </c>
      <c r="B341" s="42">
        <f t="shared" si="10"/>
        <v>-2.3067348094083386</v>
      </c>
    </row>
    <row r="342" spans="1:2" x14ac:dyDescent="0.25">
      <c r="A342" s="34">
        <f t="shared" si="11"/>
        <v>16.700000000000102</v>
      </c>
      <c r="B342" s="42">
        <f t="shared" si="10"/>
        <v>-2.0577716613758295</v>
      </c>
    </row>
    <row r="343" spans="1:2" x14ac:dyDescent="0.25">
      <c r="A343" s="34">
        <f t="shared" si="11"/>
        <v>16.750000000000103</v>
      </c>
      <c r="B343" s="42">
        <f t="shared" si="10"/>
        <v>-1.7886778276492161</v>
      </c>
    </row>
    <row r="344" spans="1:2" x14ac:dyDescent="0.25">
      <c r="A344" s="34">
        <f t="shared" si="11"/>
        <v>16.800000000000104</v>
      </c>
      <c r="B344" s="42">
        <f t="shared" si="10"/>
        <v>-1.5019104612232501</v>
      </c>
    </row>
    <row r="345" spans="1:2" x14ac:dyDescent="0.25">
      <c r="A345" s="34">
        <f t="shared" si="11"/>
        <v>16.850000000000104</v>
      </c>
      <c r="B345" s="42">
        <f t="shared" si="10"/>
        <v>-1.2001015689365704</v>
      </c>
    </row>
    <row r="346" spans="1:2" x14ac:dyDescent="0.25">
      <c r="A346" s="34">
        <f t="shared" si="11"/>
        <v>16.900000000000105</v>
      </c>
      <c r="B346" s="42">
        <f t="shared" si="10"/>
        <v>-0.88603375302309306</v>
      </c>
    </row>
    <row r="347" spans="1:2" x14ac:dyDescent="0.25">
      <c r="A347" s="34">
        <f t="shared" si="11"/>
        <v>16.950000000000106</v>
      </c>
      <c r="B347" s="42">
        <f t="shared" si="10"/>
        <v>-0.56261444529322413</v>
      </c>
    </row>
    <row r="348" spans="1:2" x14ac:dyDescent="0.25">
      <c r="A348" s="34">
        <f t="shared" si="11"/>
        <v>17.000000000000107</v>
      </c>
      <c r="B348" s="42">
        <f t="shared" si="10"/>
        <v>-0.23284887357769501</v>
      </c>
    </row>
    <row r="349" spans="1:2" x14ac:dyDescent="0.25">
      <c r="A349" s="34">
        <f t="shared" si="11"/>
        <v>17.050000000000107</v>
      </c>
      <c r="B349" s="42">
        <f t="shared" si="10"/>
        <v>0.10018798708767274</v>
      </c>
    </row>
    <row r="350" spans="1:2" x14ac:dyDescent="0.25">
      <c r="A350" s="34">
        <f t="shared" si="11"/>
        <v>17.100000000000108</v>
      </c>
      <c r="B350" s="42">
        <f t="shared" si="10"/>
        <v>0.43338021558033579</v>
      </c>
    </row>
    <row r="351" spans="1:2" x14ac:dyDescent="0.25">
      <c r="A351" s="34">
        <f t="shared" si="11"/>
        <v>17.150000000000109</v>
      </c>
      <c r="B351" s="42">
        <f t="shared" si="10"/>
        <v>0.76360022715534437</v>
      </c>
    </row>
    <row r="352" spans="1:2" x14ac:dyDescent="0.25">
      <c r="A352" s="34">
        <f t="shared" si="11"/>
        <v>17.200000000000109</v>
      </c>
      <c r="B352" s="42">
        <f t="shared" si="10"/>
        <v>1.0877382608576187</v>
      </c>
    </row>
    <row r="353" spans="1:2" x14ac:dyDescent="0.25">
      <c r="A353" s="34">
        <f t="shared" si="11"/>
        <v>17.25000000000011</v>
      </c>
      <c r="B353" s="42">
        <f t="shared" si="10"/>
        <v>1.4027317926632308</v>
      </c>
    </row>
    <row r="354" spans="1:2" x14ac:dyDescent="0.25">
      <c r="A354" s="34">
        <f t="shared" si="11"/>
        <v>17.300000000000111</v>
      </c>
      <c r="B354" s="42">
        <f t="shared" si="10"/>
        <v>1.7055945949651405</v>
      </c>
    </row>
    <row r="355" spans="1:2" x14ac:dyDescent="0.25">
      <c r="A355" s="34">
        <f t="shared" si="11"/>
        <v>17.350000000000112</v>
      </c>
      <c r="B355" s="42">
        <f t="shared" si="10"/>
        <v>1.9934451655179004</v>
      </c>
    </row>
    <row r="356" spans="1:2" x14ac:dyDescent="0.25">
      <c r="A356" s="34">
        <f t="shared" si="11"/>
        <v>17.400000000000112</v>
      </c>
      <c r="B356" s="42">
        <f t="shared" si="10"/>
        <v>2.2635342541038064</v>
      </c>
    </row>
    <row r="357" spans="1:2" x14ac:dyDescent="0.25">
      <c r="A357" s="34">
        <f t="shared" si="11"/>
        <v>17.450000000000113</v>
      </c>
      <c r="B357" s="42">
        <f t="shared" si="10"/>
        <v>2.5132712229379917</v>
      </c>
    </row>
    <row r="358" spans="1:2" x14ac:dyDescent="0.25">
      <c r="A358" s="34">
        <f t="shared" si="11"/>
        <v>17.500000000000114</v>
      </c>
      <c r="B358" s="42">
        <f t="shared" si="10"/>
        <v>2.7402489871264928</v>
      </c>
    </row>
    <row r="359" spans="1:2" x14ac:dyDescent="0.25">
      <c r="A359" s="34">
        <f t="shared" si="11"/>
        <v>17.550000000000114</v>
      </c>
      <c r="B359" s="42">
        <f t="shared" si="10"/>
        <v>2.9422672942374297</v>
      </c>
    </row>
    <row r="360" spans="1:2" x14ac:dyDescent="0.25">
      <c r="A360" s="34">
        <f t="shared" si="11"/>
        <v>17.600000000000115</v>
      </c>
      <c r="B360" s="42">
        <f t="shared" si="10"/>
        <v>3.1173541171267312</v>
      </c>
    </row>
    <row r="361" spans="1:2" x14ac:dyDescent="0.25">
      <c r="A361" s="34">
        <f t="shared" si="11"/>
        <v>17.650000000000116</v>
      </c>
      <c r="B361" s="42">
        <f t="shared" si="10"/>
        <v>3.2637849514391499</v>
      </c>
    </row>
    <row r="362" spans="1:2" x14ac:dyDescent="0.25">
      <c r="A362" s="34">
        <f t="shared" si="11"/>
        <v>17.700000000000117</v>
      </c>
      <c r="B362" s="42">
        <f t="shared" si="10"/>
        <v>3.3800998285231856</v>
      </c>
    </row>
    <row r="363" spans="1:2" x14ac:dyDescent="0.25">
      <c r="A363" s="34">
        <f t="shared" si="11"/>
        <v>17.750000000000117</v>
      </c>
      <c r="B363" s="42">
        <f t="shared" si="10"/>
        <v>3.4651178756765426</v>
      </c>
    </row>
    <row r="364" spans="1:2" x14ac:dyDescent="0.25">
      <c r="A364" s="34">
        <f t="shared" si="11"/>
        <v>17.800000000000118</v>
      </c>
      <c r="B364" s="42">
        <f t="shared" si="10"/>
        <v>3.5179492784794544</v>
      </c>
    </row>
    <row r="365" spans="1:2" x14ac:dyDescent="0.25">
      <c r="A365" s="34">
        <f t="shared" si="11"/>
        <v>17.850000000000119</v>
      </c>
      <c r="B365" s="42">
        <f t="shared" si="10"/>
        <v>3.5380045242631457</v>
      </c>
    </row>
    <row r="366" spans="1:2" x14ac:dyDescent="0.25">
      <c r="A366" s="34">
        <f t="shared" si="11"/>
        <v>17.900000000000119</v>
      </c>
      <c r="B366" s="42">
        <f t="shared" si="10"/>
        <v>3.5250008312714902</v>
      </c>
    </row>
    <row r="367" spans="1:2" x14ac:dyDescent="0.25">
      <c r="A367" s="34">
        <f t="shared" si="11"/>
        <v>17.95000000000012</v>
      </c>
      <c r="B367" s="42">
        <f t="shared" si="10"/>
        <v>3.4789656945655305</v>
      </c>
    </row>
    <row r="368" spans="1:2" x14ac:dyDescent="0.25">
      <c r="A368" s="34">
        <f t="shared" si="11"/>
        <v>18.000000000000121</v>
      </c>
      <c r="B368" s="42">
        <f t="shared" si="10"/>
        <v>3.4002375069420676</v>
      </c>
    </row>
    <row r="369" spans="1:2" x14ac:dyDescent="0.25">
      <c r="A369" s="34">
        <f t="shared" si="11"/>
        <v>18.050000000000122</v>
      </c>
      <c r="B369" s="42">
        <f t="shared" si="10"/>
        <v>3.2894632408310835</v>
      </c>
    </row>
    <row r="370" spans="1:2" x14ac:dyDescent="0.25">
      <c r="A370" s="34">
        <f t="shared" si="11"/>
        <v>18.100000000000122</v>
      </c>
      <c r="B370" s="42">
        <f t="shared" si="10"/>
        <v>3.1475932050393185</v>
      </c>
    </row>
    <row r="371" spans="1:2" x14ac:dyDescent="0.25">
      <c r="A371" s="34">
        <f t="shared" si="11"/>
        <v>18.150000000000123</v>
      </c>
      <c r="B371" s="42">
        <f t="shared" si="10"/>
        <v>2.9758729180521346</v>
      </c>
    </row>
    <row r="372" spans="1:2" x14ac:dyDescent="0.25">
      <c r="A372" s="34">
        <f t="shared" si="11"/>
        <v>18.200000000000124</v>
      </c>
      <c r="B372" s="42">
        <f t="shared" si="10"/>
        <v>2.7758321671276347</v>
      </c>
    </row>
    <row r="373" spans="1:2" x14ac:dyDescent="0.25">
      <c r="A373" s="34">
        <f t="shared" si="11"/>
        <v>18.250000000000124</v>
      </c>
      <c r="B373" s="42">
        <f t="shared" si="10"/>
        <v>2.5492713493512182</v>
      </c>
    </row>
    <row r="374" spans="1:2" x14ac:dyDescent="0.25">
      <c r="A374" s="34">
        <f t="shared" si="11"/>
        <v>18.300000000000125</v>
      </c>
      <c r="B374" s="42">
        <f t="shared" si="10"/>
        <v>2.2982452169077283</v>
      </c>
    </row>
    <row r="375" spans="1:2" x14ac:dyDescent="0.25">
      <c r="A375" s="34">
        <f t="shared" si="11"/>
        <v>18.350000000000126</v>
      </c>
      <c r="B375" s="42">
        <f t="shared" si="10"/>
        <v>2.0250441738193805</v>
      </c>
    </row>
    <row r="376" spans="1:2" x14ac:dyDescent="0.25">
      <c r="A376" s="34">
        <f t="shared" si="11"/>
        <v>18.400000000000126</v>
      </c>
      <c r="B376" s="42">
        <f t="shared" si="10"/>
        <v>1.7321732950503208</v>
      </c>
    </row>
    <row r="377" spans="1:2" x14ac:dyDescent="0.25">
      <c r="A377" s="34">
        <f t="shared" si="11"/>
        <v>18.450000000000127</v>
      </c>
      <c r="B377" s="42">
        <f t="shared" si="10"/>
        <v>1.4223292609637956</v>
      </c>
    </row>
    <row r="378" spans="1:2" x14ac:dyDescent="0.25">
      <c r="A378" s="34">
        <f t="shared" si="11"/>
        <v>18.500000000000128</v>
      </c>
      <c r="B378" s="42">
        <f t="shared" si="10"/>
        <v>1.0983754204196756</v>
      </c>
    </row>
    <row r="379" spans="1:2" x14ac:dyDescent="0.25">
      <c r="A379" s="34">
        <f t="shared" si="11"/>
        <v>18.550000000000129</v>
      </c>
      <c r="B379" s="42">
        <f t="shared" si="10"/>
        <v>0.76331521412122483</v>
      </c>
    </row>
    <row r="380" spans="1:2" x14ac:dyDescent="0.25">
      <c r="A380" s="34">
        <f t="shared" si="11"/>
        <v>18.600000000000129</v>
      </c>
      <c r="B380" s="42">
        <f t="shared" si="10"/>
        <v>0.42026420598088671</v>
      </c>
    </row>
    <row r="381" spans="1:2" x14ac:dyDescent="0.25">
      <c r="A381" s="34">
        <f t="shared" si="11"/>
        <v>18.65000000000013</v>
      </c>
      <c r="B381" s="42">
        <f t="shared" si="10"/>
        <v>7.2420984114646814E-2</v>
      </c>
    </row>
    <row r="382" spans="1:2" x14ac:dyDescent="0.25">
      <c r="A382" s="34">
        <f t="shared" si="11"/>
        <v>18.700000000000131</v>
      </c>
      <c r="B382" s="42">
        <f t="shared" si="10"/>
        <v>-0.27696279554270875</v>
      </c>
    </row>
    <row r="383" spans="1:2" x14ac:dyDescent="0.25">
      <c r="A383" s="34">
        <f t="shared" si="11"/>
        <v>18.750000000000131</v>
      </c>
      <c r="B383" s="42">
        <f t="shared" si="10"/>
        <v>-0.6246129411995256</v>
      </c>
    </row>
    <row r="384" spans="1:2" x14ac:dyDescent="0.25">
      <c r="A384" s="34">
        <f t="shared" si="11"/>
        <v>18.800000000000132</v>
      </c>
      <c r="B384" s="42">
        <f t="shared" si="10"/>
        <v>-0.96726354479660004</v>
      </c>
    </row>
    <row r="385" spans="1:2" x14ac:dyDescent="0.25">
      <c r="A385" s="34">
        <f t="shared" si="11"/>
        <v>18.850000000000133</v>
      </c>
      <c r="B385" s="42">
        <f t="shared" si="10"/>
        <v>-1.301687797854485</v>
      </c>
    </row>
    <row r="386" spans="1:2" x14ac:dyDescent="0.25">
      <c r="A386" s="34">
        <f t="shared" si="11"/>
        <v>18.900000000000134</v>
      </c>
      <c r="B386" s="42">
        <f t="shared" si="10"/>
        <v>-1.6247285115557764</v>
      </c>
    </row>
    <row r="387" spans="1:2" x14ac:dyDescent="0.25">
      <c r="A387" s="34">
        <f t="shared" si="11"/>
        <v>18.950000000000134</v>
      </c>
      <c r="B387" s="42">
        <f t="shared" si="10"/>
        <v>-1.9333280511644162</v>
      </c>
    </row>
    <row r="388" spans="1:2" x14ac:dyDescent="0.25">
      <c r="A388" s="34">
        <f t="shared" si="11"/>
        <v>19.000000000000135</v>
      </c>
      <c r="B388" s="42">
        <f t="shared" si="10"/>
        <v>-2.2245573997747634</v>
      </c>
    </row>
    <row r="389" spans="1:2" x14ac:dyDescent="0.25">
      <c r="A389" s="34">
        <f t="shared" si="11"/>
        <v>19.050000000000136</v>
      </c>
      <c r="B389" s="42">
        <f t="shared" si="10"/>
        <v>-2.4956440739979917</v>
      </c>
    </row>
    <row r="390" spans="1:2" x14ac:dyDescent="0.25">
      <c r="A390" s="34">
        <f t="shared" si="11"/>
        <v>19.100000000000136</v>
      </c>
      <c r="B390" s="42">
        <f t="shared" si="10"/>
        <v>-2.743998624465938</v>
      </c>
    </row>
    <row r="391" spans="1:2" x14ac:dyDescent="0.25">
      <c r="A391" s="34">
        <f t="shared" si="11"/>
        <v>19.150000000000137</v>
      </c>
      <c r="B391" s="42">
        <f t="shared" si="10"/>
        <v>-2.9672394668714102</v>
      </c>
    </row>
    <row r="392" spans="1:2" x14ac:dyDescent="0.25">
      <c r="A392" s="34">
        <f t="shared" si="11"/>
        <v>19.200000000000138</v>
      </c>
      <c r="B392" s="42">
        <f t="shared" ref="B392:B455" si="12">-A1_x*SIN(p_x*A392)+A2_x*SIN(w_x*A392)</f>
        <v>-3.1632158045511396</v>
      </c>
    </row>
    <row r="393" spans="1:2" x14ac:dyDescent="0.25">
      <c r="A393" s="34">
        <f t="shared" ref="A393:A456" si="13">A392+$A$6</f>
        <v>19.250000000000139</v>
      </c>
      <c r="B393" s="42">
        <f t="shared" si="12"/>
        <v>-3.3300284212134406</v>
      </c>
    </row>
    <row r="394" spans="1:2" x14ac:dyDescent="0.25">
      <c r="A394" s="34">
        <f t="shared" si="13"/>
        <v>19.300000000000139</v>
      </c>
      <c r="B394" s="42">
        <f t="shared" si="12"/>
        <v>-3.4660481421535438</v>
      </c>
    </row>
    <row r="395" spans="1:2" x14ac:dyDescent="0.25">
      <c r="A395" s="34">
        <f t="shared" si="13"/>
        <v>19.35000000000014</v>
      </c>
      <c r="B395" s="42">
        <f t="shared" si="12"/>
        <v>-3.5699317840023714</v>
      </c>
    </row>
    <row r="396" spans="1:2" x14ac:dyDescent="0.25">
      <c r="A396" s="34">
        <f t="shared" si="13"/>
        <v>19.400000000000141</v>
      </c>
      <c r="B396" s="42">
        <f t="shared" si="12"/>
        <v>-3.6406354365157592</v>
      </c>
    </row>
    <row r="397" spans="1:2" x14ac:dyDescent="0.25">
      <c r="A397" s="34">
        <f t="shared" si="13"/>
        <v>19.450000000000141</v>
      </c>
      <c r="B397" s="42">
        <f t="shared" si="12"/>
        <v>-3.6774249449109502</v>
      </c>
    </row>
    <row r="398" spans="1:2" x14ac:dyDescent="0.25">
      <c r="A398" s="34">
        <f t="shared" si="13"/>
        <v>19.500000000000142</v>
      </c>
      <c r="B398" s="42">
        <f t="shared" si="12"/>
        <v>-3.6798834875603088</v>
      </c>
    </row>
    <row r="399" spans="1:2" x14ac:dyDescent="0.25">
      <c r="A399" s="34">
        <f t="shared" si="13"/>
        <v>19.550000000000143</v>
      </c>
      <c r="B399" s="42">
        <f t="shared" si="12"/>
        <v>-3.6479161712101256</v>
      </c>
    </row>
    <row r="400" spans="1:2" x14ac:dyDescent="0.25">
      <c r="A400" s="34">
        <f t="shared" si="13"/>
        <v>19.600000000000144</v>
      </c>
      <c r="B400" s="42">
        <f t="shared" si="12"/>
        <v>-3.5817515940467626</v>
      </c>
    </row>
    <row r="401" spans="1:2" x14ac:dyDescent="0.25">
      <c r="A401" s="34">
        <f t="shared" si="13"/>
        <v>19.650000000000144</v>
      </c>
      <c r="B401" s="42">
        <f t="shared" si="12"/>
        <v>-3.481940355615837</v>
      </c>
    </row>
    <row r="402" spans="1:2" x14ac:dyDescent="0.25">
      <c r="A402" s="34">
        <f t="shared" si="13"/>
        <v>19.700000000000145</v>
      </c>
      <c r="B402" s="42">
        <f t="shared" si="12"/>
        <v>-3.3493505215403294</v>
      </c>
    </row>
    <row r="403" spans="1:2" x14ac:dyDescent="0.25">
      <c r="A403" s="34">
        <f t="shared" si="13"/>
        <v>19.750000000000146</v>
      </c>
      <c r="B403" s="42">
        <f t="shared" si="12"/>
        <v>-3.1851600799053559</v>
      </c>
    </row>
    <row r="404" spans="1:2" x14ac:dyDescent="0.25">
      <c r="A404" s="34">
        <f t="shared" si="13"/>
        <v>19.800000000000146</v>
      </c>
      <c r="B404" s="42">
        <f t="shared" si="12"/>
        <v>-2.9908464548041689</v>
      </c>
    </row>
    <row r="405" spans="1:2" x14ac:dyDescent="0.25">
      <c r="A405" s="34">
        <f t="shared" si="13"/>
        <v>19.850000000000147</v>
      </c>
      <c r="B405" s="42">
        <f t="shared" si="12"/>
        <v>-2.7681731705992392</v>
      </c>
    </row>
    <row r="406" spans="1:2" x14ac:dyDescent="0.25">
      <c r="A406" s="34">
        <f t="shared" si="13"/>
        <v>19.900000000000148</v>
      </c>
      <c r="B406" s="42">
        <f t="shared" si="12"/>
        <v>-2.5191737876744482</v>
      </c>
    </row>
    <row r="407" spans="1:2" x14ac:dyDescent="0.25">
      <c r="A407" s="34">
        <f t="shared" si="13"/>
        <v>19.950000000000149</v>
      </c>
      <c r="B407" s="42">
        <f t="shared" si="12"/>
        <v>-2.2461332565795065</v>
      </c>
    </row>
    <row r="408" spans="1:2" x14ac:dyDescent="0.25">
      <c r="A408" s="34">
        <f t="shared" si="13"/>
        <v>20.000000000000149</v>
      </c>
      <c r="B408" s="42">
        <f t="shared" si="12"/>
        <v>-1.95156686224334</v>
      </c>
    </row>
    <row r="409" spans="1:2" x14ac:dyDescent="0.25">
      <c r="A409" s="34">
        <f t="shared" si="13"/>
        <v>20.05000000000015</v>
      </c>
      <c r="B409" s="42">
        <f t="shared" si="12"/>
        <v>-1.6381969531216145</v>
      </c>
    </row>
    <row r="410" spans="1:2" x14ac:dyDescent="0.25">
      <c r="A410" s="34">
        <f t="shared" si="13"/>
        <v>20.100000000000151</v>
      </c>
      <c r="B410" s="42">
        <f t="shared" si="12"/>
        <v>-1.308927671521037</v>
      </c>
    </row>
    <row r="411" spans="1:2" x14ac:dyDescent="0.25">
      <c r="A411" s="34">
        <f t="shared" si="13"/>
        <v>20.150000000000151</v>
      </c>
      <c r="B411" s="42">
        <f t="shared" si="12"/>
        <v>-0.96681792070149908</v>
      </c>
    </row>
    <row r="412" spans="1:2" x14ac:dyDescent="0.25">
      <c r="A412" s="34">
        <f t="shared" si="13"/>
        <v>20.200000000000152</v>
      </c>
      <c r="B412" s="42">
        <f t="shared" si="12"/>
        <v>-0.61505282150946483</v>
      </c>
    </row>
    <row r="413" spans="1:2" x14ac:dyDescent="0.25">
      <c r="A413" s="34">
        <f t="shared" si="13"/>
        <v>20.250000000000153</v>
      </c>
      <c r="B413" s="42">
        <f t="shared" si="12"/>
        <v>-0.25691392607502644</v>
      </c>
    </row>
    <row r="414" spans="1:2" x14ac:dyDescent="0.25">
      <c r="A414" s="34">
        <f t="shared" si="13"/>
        <v>20.300000000000153</v>
      </c>
      <c r="B414" s="42">
        <f t="shared" si="12"/>
        <v>0.10425153163544765</v>
      </c>
    </row>
    <row r="415" spans="1:2" x14ac:dyDescent="0.25">
      <c r="A415" s="34">
        <f t="shared" si="13"/>
        <v>20.350000000000154</v>
      </c>
      <c r="B415" s="42">
        <f t="shared" si="12"/>
        <v>0.46506205899854153</v>
      </c>
    </row>
    <row r="416" spans="1:2" x14ac:dyDescent="0.25">
      <c r="A416" s="34">
        <f t="shared" si="13"/>
        <v>20.400000000000155</v>
      </c>
      <c r="B416" s="42">
        <f t="shared" si="12"/>
        <v>0.82213370534836594</v>
      </c>
    </row>
    <row r="417" spans="1:2" x14ac:dyDescent="0.25">
      <c r="A417" s="34">
        <f t="shared" si="13"/>
        <v>20.450000000000156</v>
      </c>
      <c r="B417" s="42">
        <f t="shared" si="12"/>
        <v>1.1721119396510626</v>
      </c>
    </row>
    <row r="418" spans="1:2" x14ac:dyDescent="0.25">
      <c r="A418" s="34">
        <f t="shared" si="13"/>
        <v>20.500000000000156</v>
      </c>
      <c r="B418" s="42">
        <f t="shared" si="12"/>
        <v>1.5117033036352201</v>
      </c>
    </row>
    <row r="419" spans="1:2" x14ac:dyDescent="0.25">
      <c r="A419" s="34">
        <f t="shared" si="13"/>
        <v>20.550000000000157</v>
      </c>
      <c r="B419" s="42">
        <f t="shared" si="12"/>
        <v>1.8377065404108477</v>
      </c>
    </row>
    <row r="420" spans="1:2" x14ac:dyDescent="0.25">
      <c r="A420" s="34">
        <f t="shared" si="13"/>
        <v>20.600000000000158</v>
      </c>
      <c r="B420" s="42">
        <f t="shared" si="12"/>
        <v>2.1470429031005867</v>
      </c>
    </row>
    <row r="421" spans="1:2" x14ac:dyDescent="0.25">
      <c r="A421" s="34">
        <f t="shared" si="13"/>
        <v>20.650000000000158</v>
      </c>
      <c r="B421" s="42">
        <f t="shared" si="12"/>
        <v>2.4367853553148686</v>
      </c>
    </row>
    <row r="422" spans="1:2" x14ac:dyDescent="0.25">
      <c r="A422" s="34">
        <f t="shared" si="13"/>
        <v>20.700000000000159</v>
      </c>
      <c r="B422" s="42">
        <f t="shared" si="12"/>
        <v>2.7041863853614201</v>
      </c>
    </row>
    <row r="423" spans="1:2" x14ac:dyDescent="0.25">
      <c r="A423" s="34">
        <f t="shared" si="13"/>
        <v>20.75000000000016</v>
      </c>
      <c r="B423" s="42">
        <f t="shared" si="12"/>
        <v>2.9467041687973965</v>
      </c>
    </row>
    <row r="424" spans="1:2" x14ac:dyDescent="0.25">
      <c r="A424" s="34">
        <f t="shared" si="13"/>
        <v>20.800000000000161</v>
      </c>
      <c r="B424" s="42">
        <f t="shared" si="12"/>
        <v>3.1620268291931719</v>
      </c>
    </row>
    <row r="425" spans="1:2" x14ac:dyDescent="0.25">
      <c r="A425" s="34">
        <f t="shared" si="13"/>
        <v>20.850000000000161</v>
      </c>
      <c r="B425" s="42">
        <f t="shared" si="12"/>
        <v>3.3480945646375937</v>
      </c>
    </row>
    <row r="426" spans="1:2" x14ac:dyDescent="0.25">
      <c r="A426" s="34">
        <f t="shared" si="13"/>
        <v>20.900000000000162</v>
      </c>
      <c r="B426" s="42">
        <f t="shared" si="12"/>
        <v>3.5031194274115993</v>
      </c>
    </row>
    <row r="427" spans="1:2" x14ac:dyDescent="0.25">
      <c r="A427" s="34">
        <f t="shared" si="13"/>
        <v>20.950000000000163</v>
      </c>
      <c r="B427" s="42">
        <f t="shared" si="12"/>
        <v>3.6256025662034026</v>
      </c>
    </row>
    <row r="428" spans="1:2" x14ac:dyDescent="0.25">
      <c r="A428" s="34">
        <f t="shared" si="13"/>
        <v>21.000000000000163</v>
      </c>
      <c r="B428" s="42">
        <f t="shared" si="12"/>
        <v>3.7143487640285566</v>
      </c>
    </row>
    <row r="429" spans="1:2" x14ac:dyDescent="0.25">
      <c r="A429" s="34">
        <f t="shared" si="13"/>
        <v>21.050000000000164</v>
      </c>
      <c r="B429" s="42">
        <f t="shared" si="12"/>
        <v>3.7684781304274209</v>
      </c>
    </row>
    <row r="430" spans="1:2" x14ac:dyDescent="0.25">
      <c r="A430" s="34">
        <f t="shared" si="13"/>
        <v>21.100000000000165</v>
      </c>
      <c r="B430" s="42">
        <f t="shared" si="12"/>
        <v>3.787434833301484</v>
      </c>
    </row>
    <row r="431" spans="1:2" x14ac:dyDescent="0.25">
      <c r="A431" s="34">
        <f t="shared" si="13"/>
        <v>21.150000000000166</v>
      </c>
      <c r="B431" s="42">
        <f t="shared" si="12"/>
        <v>3.7709927836652799</v>
      </c>
    </row>
    <row r="432" spans="1:2" x14ac:dyDescent="0.25">
      <c r="A432" s="34">
        <f t="shared" si="13"/>
        <v>21.200000000000166</v>
      </c>
      <c r="B432" s="42">
        <f t="shared" si="12"/>
        <v>3.7192582153677485</v>
      </c>
    </row>
    <row r="433" spans="1:2" x14ac:dyDescent="0.25">
      <c r="A433" s="34">
        <f t="shared" si="13"/>
        <v>21.250000000000167</v>
      </c>
      <c r="B433" s="42">
        <f t="shared" si="12"/>
        <v>3.6326691312031425</v>
      </c>
    </row>
    <row r="434" spans="1:2" x14ac:dyDescent="0.25">
      <c r="A434" s="34">
        <f t="shared" si="13"/>
        <v>21.300000000000168</v>
      </c>
      <c r="B434" s="42">
        <f t="shared" si="12"/>
        <v>3.5119916165077787</v>
      </c>
    </row>
    <row r="435" spans="1:2" x14ac:dyDescent="0.25">
      <c r="A435" s="34">
        <f t="shared" si="13"/>
        <v>21.350000000000168</v>
      </c>
      <c r="B435" s="42">
        <f t="shared" si="12"/>
        <v>3.3583130510431132</v>
      </c>
    </row>
    <row r="436" spans="1:2" x14ac:dyDescent="0.25">
      <c r="A436" s="34">
        <f t="shared" si="13"/>
        <v>21.400000000000169</v>
      </c>
      <c r="B436" s="42">
        <f t="shared" si="12"/>
        <v>3.1730322794145858</v>
      </c>
    </row>
    <row r="437" spans="1:2" x14ac:dyDescent="0.25">
      <c r="A437" s="34">
        <f t="shared" si="13"/>
        <v>21.45000000000017</v>
      </c>
      <c r="B437" s="42">
        <f t="shared" si="12"/>
        <v>2.9578468291892488</v>
      </c>
    </row>
    <row r="438" spans="1:2" x14ac:dyDescent="0.25">
      <c r="A438" s="34">
        <f t="shared" si="13"/>
        <v>21.500000000000171</v>
      </c>
      <c r="B438" s="42">
        <f t="shared" si="12"/>
        <v>2.7147372939766501</v>
      </c>
    </row>
    <row r="439" spans="1:2" x14ac:dyDescent="0.25">
      <c r="A439" s="34">
        <f t="shared" si="13"/>
        <v>21.550000000000171</v>
      </c>
      <c r="B439" s="42">
        <f t="shared" si="12"/>
        <v>2.445949025758626</v>
      </c>
    </row>
    <row r="440" spans="1:2" x14ac:dyDescent="0.25">
      <c r="A440" s="34">
        <f t="shared" si="13"/>
        <v>21.600000000000172</v>
      </c>
      <c r="B440" s="42">
        <f t="shared" si="12"/>
        <v>2.1539713064363863</v>
      </c>
    </row>
    <row r="441" spans="1:2" x14ac:dyDescent="0.25">
      <c r="A441" s="34">
        <f t="shared" si="13"/>
        <v>21.650000000000173</v>
      </c>
      <c r="B441" s="42">
        <f t="shared" si="12"/>
        <v>1.8415141926604011</v>
      </c>
    </row>
    <row r="442" spans="1:2" x14ac:dyDescent="0.25">
      <c r="A442" s="34">
        <f t="shared" si="13"/>
        <v>21.700000000000173</v>
      </c>
      <c r="B442" s="42">
        <f t="shared" si="12"/>
        <v>1.5114832502897477</v>
      </c>
    </row>
    <row r="443" spans="1:2" x14ac:dyDescent="0.25">
      <c r="A443" s="34">
        <f t="shared" si="13"/>
        <v>21.750000000000174</v>
      </c>
      <c r="B443" s="42">
        <f t="shared" si="12"/>
        <v>1.1669524150787085</v>
      </c>
    </row>
    <row r="444" spans="1:2" x14ac:dyDescent="0.25">
      <c r="A444" s="34">
        <f t="shared" si="13"/>
        <v>21.800000000000175</v>
      </c>
      <c r="B444" s="42">
        <f t="shared" si="12"/>
        <v>0.81113523421331535</v>
      </c>
    </row>
    <row r="445" spans="1:2" x14ac:dyDescent="0.25">
      <c r="A445" s="34">
        <f t="shared" si="13"/>
        <v>21.850000000000176</v>
      </c>
      <c r="B445" s="42">
        <f t="shared" si="12"/>
        <v>0.44735475894676718</v>
      </c>
    </row>
    <row r="446" spans="1:2" x14ac:dyDescent="0.25">
      <c r="A446" s="34">
        <f t="shared" si="13"/>
        <v>21.900000000000176</v>
      </c>
      <c r="B446" s="42">
        <f t="shared" si="12"/>
        <v>7.9012371657409874E-2</v>
      </c>
    </row>
    <row r="447" spans="1:2" x14ac:dyDescent="0.25">
      <c r="A447" s="34">
        <f t="shared" si="13"/>
        <v>21.950000000000177</v>
      </c>
      <c r="B447" s="42">
        <f t="shared" si="12"/>
        <v>-0.29044415894929709</v>
      </c>
    </row>
    <row r="448" spans="1:2" x14ac:dyDescent="0.25">
      <c r="A448" s="34">
        <f t="shared" si="13"/>
        <v>22.000000000000178</v>
      </c>
      <c r="B448" s="42">
        <f t="shared" si="12"/>
        <v>-0.6575530931561151</v>
      </c>
    </row>
    <row r="449" spans="1:2" x14ac:dyDescent="0.25">
      <c r="A449" s="34">
        <f t="shared" si="13"/>
        <v>22.050000000000178</v>
      </c>
      <c r="B449" s="42">
        <f t="shared" si="12"/>
        <v>-1.0188712999651353</v>
      </c>
    </row>
    <row r="450" spans="1:2" x14ac:dyDescent="0.25">
      <c r="A450" s="34">
        <f t="shared" si="13"/>
        <v>22.100000000000179</v>
      </c>
      <c r="B450" s="42">
        <f t="shared" si="12"/>
        <v>-1.3710066932829359</v>
      </c>
    </row>
    <row r="451" spans="1:2" x14ac:dyDescent="0.25">
      <c r="A451" s="34">
        <f t="shared" si="13"/>
        <v>22.15000000000018</v>
      </c>
      <c r="B451" s="42">
        <f t="shared" si="12"/>
        <v>-1.7106502176621072</v>
      </c>
    </row>
    <row r="452" spans="1:2" x14ac:dyDescent="0.25">
      <c r="A452" s="34">
        <f t="shared" si="13"/>
        <v>22.20000000000018</v>
      </c>
      <c r="B452" s="42">
        <f t="shared" si="12"/>
        <v>-2.0346070806811629</v>
      </c>
    </row>
    <row r="453" spans="1:2" x14ac:dyDescent="0.25">
      <c r="A453" s="34">
        <f t="shared" si="13"/>
        <v>22.250000000000181</v>
      </c>
      <c r="B453" s="42">
        <f t="shared" si="12"/>
        <v>-2.3398269359051316</v>
      </c>
    </row>
    <row r="454" spans="1:2" x14ac:dyDescent="0.25">
      <c r="A454" s="34">
        <f t="shared" si="13"/>
        <v>22.300000000000182</v>
      </c>
      <c r="B454" s="42">
        <f t="shared" si="12"/>
        <v>-2.6234327300483335</v>
      </c>
    </row>
    <row r="455" spans="1:2" x14ac:dyDescent="0.25">
      <c r="A455" s="34">
        <f t="shared" si="13"/>
        <v>22.350000000000183</v>
      </c>
      <c r="B455" s="42">
        <f t="shared" si="12"/>
        <v>-2.8827479403677803</v>
      </c>
    </row>
    <row r="456" spans="1:2" x14ac:dyDescent="0.25">
      <c r="A456" s="34">
        <f t="shared" si="13"/>
        <v>22.400000000000183</v>
      </c>
      <c r="B456" s="42">
        <f t="shared" ref="B456:B519" si="14">-A1_x*SIN(p_x*A456)+A2_x*SIN(w_x*A456)</f>
        <v>-3.1153219433359487</v>
      </c>
    </row>
    <row r="457" spans="1:2" x14ac:dyDescent="0.25">
      <c r="A457" s="34">
        <f t="shared" ref="A457:A520" si="15">A456+$A$6</f>
        <v>22.450000000000184</v>
      </c>
      <c r="B457" s="42">
        <f t="shared" si="14"/>
        <v>-3.3189532731333511</v>
      </c>
    </row>
    <row r="458" spans="1:2" x14ac:dyDescent="0.25">
      <c r="A458" s="34">
        <f t="shared" si="15"/>
        <v>22.500000000000185</v>
      </c>
      <c r="B458" s="42">
        <f t="shared" si="14"/>
        <v>-3.491710548301115</v>
      </c>
    </row>
    <row r="459" spans="1:2" x14ac:dyDescent="0.25">
      <c r="A459" s="34">
        <f t="shared" si="15"/>
        <v>22.550000000000185</v>
      </c>
      <c r="B459" s="42">
        <f t="shared" si="14"/>
        <v>-3.6319508668141776</v>
      </c>
    </row>
    <row r="460" spans="1:2" x14ac:dyDescent="0.25">
      <c r="A460" s="34">
        <f t="shared" si="15"/>
        <v>22.600000000000186</v>
      </c>
      <c r="B460" s="42">
        <f t="shared" si="14"/>
        <v>-3.7383354936699305</v>
      </c>
    </row>
    <row r="461" spans="1:2" x14ac:dyDescent="0.25">
      <c r="A461" s="34">
        <f t="shared" si="15"/>
        <v>22.650000000000187</v>
      </c>
      <c r="B461" s="42">
        <f t="shared" si="14"/>
        <v>-3.8098426906103406</v>
      </c>
    </row>
    <row r="462" spans="1:2" x14ac:dyDescent="0.25">
      <c r="A462" s="34">
        <f t="shared" si="15"/>
        <v>22.700000000000188</v>
      </c>
      <c r="B462" s="42">
        <f t="shared" si="14"/>
        <v>-3.8457775645653527</v>
      </c>
    </row>
    <row r="463" spans="1:2" x14ac:dyDescent="0.25">
      <c r="A463" s="34">
        <f t="shared" si="15"/>
        <v>22.750000000000188</v>
      </c>
      <c r="B463" s="42">
        <f t="shared" si="14"/>
        <v>-3.8457788395666048</v>
      </c>
    </row>
    <row r="464" spans="1:2" x14ac:dyDescent="0.25">
      <c r="A464" s="34">
        <f t="shared" si="15"/>
        <v>22.800000000000189</v>
      </c>
      <c r="B464" s="42">
        <f t="shared" si="14"/>
        <v>-3.8098224859659107</v>
      </c>
    </row>
    <row r="465" spans="1:2" x14ac:dyDescent="0.25">
      <c r="A465" s="34">
        <f t="shared" si="15"/>
        <v>22.85000000000019</v>
      </c>
      <c r="B465" s="42">
        <f t="shared" si="14"/>
        <v>-3.738222170526333</v>
      </c>
    </row>
    <row r="466" spans="1:2" x14ac:dyDescent="0.25">
      <c r="A466" s="34">
        <f t="shared" si="15"/>
        <v>22.90000000000019</v>
      </c>
      <c r="B466" s="42">
        <f t="shared" si="14"/>
        <v>-3.6316265210525449</v>
      </c>
    </row>
    <row r="467" spans="1:2" x14ac:dyDescent="0.25">
      <c r="A467" s="34">
        <f t="shared" si="15"/>
        <v>22.950000000000191</v>
      </c>
      <c r="B467" s="42">
        <f t="shared" si="14"/>
        <v>-3.4910132294054663</v>
      </c>
    </row>
    <row r="468" spans="1:2" x14ac:dyDescent="0.25">
      <c r="A468" s="34">
        <f t="shared" si="15"/>
        <v>23.000000000000192</v>
      </c>
      <c r="B468" s="42">
        <f t="shared" si="14"/>
        <v>-3.3176800467166179</v>
      </c>
    </row>
    <row r="469" spans="1:2" x14ac:dyDescent="0.25">
      <c r="A469" s="34">
        <f t="shared" si="15"/>
        <v>23.050000000000193</v>
      </c>
      <c r="B469" s="42">
        <f t="shared" si="14"/>
        <v>-3.1132327540949118</v>
      </c>
    </row>
    <row r="470" spans="1:2" x14ac:dyDescent="0.25">
      <c r="A470" s="34">
        <f t="shared" si="15"/>
        <v>23.100000000000193</v>
      </c>
      <c r="B470" s="42">
        <f t="shared" si="14"/>
        <v>-2.8795702208223908</v>
      </c>
    </row>
    <row r="471" spans="1:2" x14ac:dyDescent="0.25">
      <c r="A471" s="34">
        <f t="shared" si="15"/>
        <v>23.150000000000194</v>
      </c>
      <c r="B471" s="42">
        <f t="shared" si="14"/>
        <v>-2.6188666896914712</v>
      </c>
    </row>
    <row r="472" spans="1:2" x14ac:dyDescent="0.25">
      <c r="A472" s="34">
        <f t="shared" si="15"/>
        <v>23.200000000000195</v>
      </c>
      <c r="B472" s="42">
        <f t="shared" si="14"/>
        <v>-2.3335514554813086</v>
      </c>
    </row>
    <row r="473" spans="1:2" x14ac:dyDescent="0.25">
      <c r="A473" s="34">
        <f t="shared" si="15"/>
        <v>23.250000000000195</v>
      </c>
      <c r="B473" s="42">
        <f t="shared" si="14"/>
        <v>-2.0262861273539401</v>
      </c>
    </row>
    <row r="474" spans="1:2" x14ac:dyDescent="0.25">
      <c r="A474" s="34">
        <f t="shared" si="15"/>
        <v>23.300000000000196</v>
      </c>
      <c r="B474" s="42">
        <f t="shared" si="14"/>
        <v>-1.6999396889342826</v>
      </c>
    </row>
    <row r="475" spans="1:2" x14ac:dyDescent="0.25">
      <c r="A475" s="34">
        <f t="shared" si="15"/>
        <v>23.350000000000197</v>
      </c>
      <c r="B475" s="42">
        <f t="shared" si="14"/>
        <v>-1.3575615908036096</v>
      </c>
    </row>
    <row r="476" spans="1:2" x14ac:dyDescent="0.25">
      <c r="A476" s="34">
        <f t="shared" si="15"/>
        <v>23.400000000000198</v>
      </c>
      <c r="B476" s="42">
        <f t="shared" si="14"/>
        <v>-1.0023531288821792</v>
      </c>
    </row>
    <row r="477" spans="1:2" x14ac:dyDescent="0.25">
      <c r="A477" s="34">
        <f t="shared" si="15"/>
        <v>23.450000000000198</v>
      </c>
      <c r="B477" s="42">
        <f t="shared" si="14"/>
        <v>-0.63763737852528324</v>
      </c>
    </row>
    <row r="478" spans="1:2" x14ac:dyDescent="0.25">
      <c r="A478" s="34">
        <f t="shared" si="15"/>
        <v>23.500000000000199</v>
      </c>
      <c r="B478" s="42">
        <f t="shared" si="14"/>
        <v>-0.26682796795005059</v>
      </c>
    </row>
    <row r="479" spans="1:2" x14ac:dyDescent="0.25">
      <c r="A479" s="34">
        <f t="shared" si="15"/>
        <v>23.5500000000002</v>
      </c>
      <c r="B479" s="42">
        <f t="shared" si="14"/>
        <v>0.10660301428327522</v>
      </c>
    </row>
    <row r="480" spans="1:2" x14ac:dyDescent="0.25">
      <c r="A480" s="34">
        <f t="shared" si="15"/>
        <v>23.6000000000002</v>
      </c>
      <c r="B480" s="42">
        <f t="shared" si="14"/>
        <v>0.47915767469874304</v>
      </c>
    </row>
    <row r="481" spans="1:2" x14ac:dyDescent="0.25">
      <c r="A481" s="34">
        <f t="shared" si="15"/>
        <v>23.650000000000201</v>
      </c>
      <c r="B481" s="42">
        <f t="shared" si="14"/>
        <v>0.8473452247653539</v>
      </c>
    </row>
    <row r="482" spans="1:2" x14ac:dyDescent="0.25">
      <c r="A482" s="34">
        <f t="shared" si="15"/>
        <v>23.700000000000202</v>
      </c>
      <c r="B482" s="42">
        <f t="shared" si="14"/>
        <v>1.207714834203069</v>
      </c>
    </row>
    <row r="483" spans="1:2" x14ac:dyDescent="0.25">
      <c r="A483" s="34">
        <f t="shared" si="15"/>
        <v>23.750000000000203</v>
      </c>
      <c r="B483" s="42">
        <f t="shared" si="14"/>
        <v>1.5568881171847224</v>
      </c>
    </row>
    <row r="484" spans="1:2" x14ac:dyDescent="0.25">
      <c r="A484" s="34">
        <f t="shared" si="15"/>
        <v>23.800000000000203</v>
      </c>
      <c r="B484" s="42">
        <f t="shared" si="14"/>
        <v>1.8915909442718011</v>
      </c>
    </row>
    <row r="485" spans="1:2" x14ac:dyDescent="0.25">
      <c r="A485" s="34">
        <f t="shared" si="15"/>
        <v>23.850000000000204</v>
      </c>
      <c r="B485" s="42">
        <f t="shared" si="14"/>
        <v>2.2086842792252508</v>
      </c>
    </row>
    <row r="486" spans="1:2" x14ac:dyDescent="0.25">
      <c r="A486" s="34">
        <f t="shared" si="15"/>
        <v>23.900000000000205</v>
      </c>
      <c r="B486" s="42">
        <f t="shared" si="14"/>
        <v>2.5051937489938876</v>
      </c>
    </row>
    <row r="487" spans="1:2" x14ac:dyDescent="0.25">
      <c r="A487" s="34">
        <f t="shared" si="15"/>
        <v>23.950000000000205</v>
      </c>
      <c r="B487" s="42">
        <f t="shared" si="14"/>
        <v>2.7783376671146414</v>
      </c>
    </row>
    <row r="488" spans="1:2" x14ac:dyDescent="0.25">
      <c r="A488" s="34">
        <f t="shared" si="15"/>
        <v>24.000000000000206</v>
      </c>
      <c r="B488" s="42">
        <f t="shared" si="14"/>
        <v>3.0255532453494762</v>
      </c>
    </row>
    <row r="489" spans="1:2" x14ac:dyDescent="0.25">
      <c r="A489" s="34">
        <f t="shared" si="15"/>
        <v>24.050000000000207</v>
      </c>
      <c r="B489" s="42">
        <f t="shared" si="14"/>
        <v>3.244520745493932</v>
      </c>
    </row>
    <row r="490" spans="1:2" x14ac:dyDescent="0.25">
      <c r="A490" s="34">
        <f t="shared" si="15"/>
        <v>24.100000000000207</v>
      </c>
      <c r="B490" s="42">
        <f t="shared" si="14"/>
        <v>3.4331853427597849</v>
      </c>
    </row>
    <row r="491" spans="1:2" x14ac:dyDescent="0.25">
      <c r="A491" s="34">
        <f t="shared" si="15"/>
        <v>24.150000000000208</v>
      </c>
      <c r="B491" s="42">
        <f t="shared" si="14"/>
        <v>3.5897764937752603</v>
      </c>
    </row>
    <row r="492" spans="1:2" x14ac:dyDescent="0.25">
      <c r="A492" s="34">
        <f t="shared" si="15"/>
        <v>24.200000000000209</v>
      </c>
      <c r="B492" s="42">
        <f t="shared" si="14"/>
        <v>3.7128246258541502</v>
      </c>
    </row>
    <row r="493" spans="1:2" x14ac:dyDescent="0.25">
      <c r="A493" s="34">
        <f t="shared" si="15"/>
        <v>24.25000000000021</v>
      </c>
      <c r="B493" s="42">
        <f t="shared" si="14"/>
        <v>3.8011749895360429</v>
      </c>
    </row>
    <row r="494" spans="1:2" x14ac:dyDescent="0.25">
      <c r="A494" s="34">
        <f t="shared" si="15"/>
        <v>24.30000000000021</v>
      </c>
      <c r="B494" s="42">
        <f t="shared" si="14"/>
        <v>3.8539985432532178</v>
      </c>
    </row>
    <row r="495" spans="1:2" x14ac:dyDescent="0.25">
      <c r="A495" s="34">
        <f t="shared" si="15"/>
        <v>24.350000000000211</v>
      </c>
      <c r="B495" s="42">
        <f t="shared" si="14"/>
        <v>3.870799767079605</v>
      </c>
    </row>
    <row r="496" spans="1:2" x14ac:dyDescent="0.25">
      <c r="A496" s="34">
        <f t="shared" si="15"/>
        <v>24.400000000000212</v>
      </c>
      <c r="B496" s="42">
        <f t="shared" si="14"/>
        <v>3.8514213315967814</v>
      </c>
    </row>
    <row r="497" spans="1:2" x14ac:dyDescent="0.25">
      <c r="A497" s="34">
        <f t="shared" si="15"/>
        <v>24.450000000000212</v>
      </c>
      <c r="B497" s="42">
        <f t="shared" si="14"/>
        <v>3.7960455776947675</v>
      </c>
    </row>
    <row r="498" spans="1:2" x14ac:dyDescent="0.25">
      <c r="A498" s="34">
        <f t="shared" si="15"/>
        <v>24.500000000000213</v>
      </c>
      <c r="B498" s="42">
        <f t="shared" si="14"/>
        <v>3.7051927933279512</v>
      </c>
    </row>
    <row r="499" spans="1:2" x14ac:dyDescent="0.25">
      <c r="A499" s="34">
        <f t="shared" si="15"/>
        <v>24.550000000000214</v>
      </c>
      <c r="B499" s="42">
        <f t="shared" si="14"/>
        <v>3.5797163035816792</v>
      </c>
    </row>
    <row r="500" spans="1:2" x14ac:dyDescent="0.25">
      <c r="A500" s="34">
        <f t="shared" si="15"/>
        <v>24.600000000000215</v>
      </c>
      <c r="B500" s="42">
        <f t="shared" si="14"/>
        <v>3.420794420584464</v>
      </c>
    </row>
    <row r="501" spans="1:2" x14ac:dyDescent="0.25">
      <c r="A501" s="34">
        <f t="shared" si="15"/>
        <v>24.650000000000215</v>
      </c>
      <c r="B501" s="42">
        <f t="shared" si="14"/>
        <v>3.2299193295371875</v>
      </c>
    </row>
    <row r="502" spans="1:2" x14ac:dyDescent="0.25">
      <c r="A502" s="34">
        <f t="shared" si="15"/>
        <v>24.700000000000216</v>
      </c>
      <c r="B502" s="42">
        <f t="shared" si="14"/>
        <v>3.0088830161413886</v>
      </c>
    </row>
    <row r="503" spans="1:2" x14ac:dyDescent="0.25">
      <c r="A503" s="34">
        <f t="shared" si="15"/>
        <v>24.750000000000217</v>
      </c>
      <c r="B503" s="42">
        <f t="shared" si="14"/>
        <v>2.7597603687181058</v>
      </c>
    </row>
    <row r="504" spans="1:2" x14ac:dyDescent="0.25">
      <c r="A504" s="34">
        <f t="shared" si="15"/>
        <v>24.800000000000217</v>
      </c>
      <c r="B504" s="42">
        <f t="shared" si="14"/>
        <v>2.4848896150500694</v>
      </c>
    </row>
    <row r="505" spans="1:2" x14ac:dyDescent="0.25">
      <c r="A505" s="34">
        <f t="shared" si="15"/>
        <v>24.850000000000218</v>
      </c>
      <c r="B505" s="42">
        <f t="shared" si="14"/>
        <v>2.1868502791993265</v>
      </c>
    </row>
    <row r="506" spans="1:2" x14ac:dyDescent="0.25">
      <c r="A506" s="34">
        <f t="shared" si="15"/>
        <v>24.900000000000219</v>
      </c>
      <c r="B506" s="42">
        <f t="shared" si="14"/>
        <v>1.8684388670104408</v>
      </c>
    </row>
    <row r="507" spans="1:2" x14ac:dyDescent="0.25">
      <c r="A507" s="34">
        <f t="shared" si="15"/>
        <v>24.95000000000022</v>
      </c>
      <c r="B507" s="42">
        <f t="shared" si="14"/>
        <v>1.53264251048237</v>
      </c>
    </row>
    <row r="508" spans="1:2" x14ac:dyDescent="0.25">
      <c r="A508" s="34">
        <f t="shared" si="15"/>
        <v>25.00000000000022</v>
      </c>
      <c r="B508" s="42">
        <f t="shared" si="14"/>
        <v>1.1826108204773091</v>
      </c>
    </row>
    <row r="509" spans="1:2" x14ac:dyDescent="0.25">
      <c r="A509" s="34">
        <f t="shared" si="15"/>
        <v>25.050000000000221</v>
      </c>
      <c r="B509" s="42">
        <f t="shared" si="14"/>
        <v>0.82162621414806214</v>
      </c>
    </row>
    <row r="510" spans="1:2" x14ac:dyDescent="0.25">
      <c r="A510" s="34">
        <f t="shared" si="15"/>
        <v>25.100000000000222</v>
      </c>
      <c r="B510" s="42">
        <f t="shared" si="14"/>
        <v>0.45307299784781663</v>
      </c>
    </row>
    <row r="511" spans="1:2" x14ac:dyDescent="0.25">
      <c r="A511" s="34">
        <f t="shared" si="15"/>
        <v>25.150000000000222</v>
      </c>
      <c r="B511" s="42">
        <f t="shared" si="14"/>
        <v>8.0405497999863365E-2</v>
      </c>
    </row>
    <row r="512" spans="1:2" x14ac:dyDescent="0.25">
      <c r="A512" s="34">
        <f t="shared" si="15"/>
        <v>25.200000000000223</v>
      </c>
      <c r="B512" s="42">
        <f t="shared" si="14"/>
        <v>-0.29288445865988211</v>
      </c>
    </row>
    <row r="513" spans="1:2" x14ac:dyDescent="0.25">
      <c r="A513" s="34">
        <f t="shared" si="15"/>
        <v>25.250000000000224</v>
      </c>
      <c r="B513" s="42">
        <f t="shared" si="14"/>
        <v>-0.6633004079817989</v>
      </c>
    </row>
    <row r="514" spans="1:2" x14ac:dyDescent="0.25">
      <c r="A514" s="34">
        <f t="shared" si="15"/>
        <v>25.300000000000225</v>
      </c>
      <c r="B514" s="42">
        <f t="shared" si="14"/>
        <v>-1.0273741438048458</v>
      </c>
    </row>
    <row r="515" spans="1:2" x14ac:dyDescent="0.25">
      <c r="A515" s="34">
        <f t="shared" si="15"/>
        <v>25.350000000000225</v>
      </c>
      <c r="B515" s="42">
        <f t="shared" si="14"/>
        <v>-1.3816983350203185</v>
      </c>
    </row>
    <row r="516" spans="1:2" x14ac:dyDescent="0.25">
      <c r="A516" s="34">
        <f t="shared" si="15"/>
        <v>25.400000000000226</v>
      </c>
      <c r="B516" s="42">
        <f t="shared" si="14"/>
        <v>-1.722958556200832</v>
      </c>
    </row>
    <row r="517" spans="1:2" x14ac:dyDescent="0.25">
      <c r="A517" s="34">
        <f t="shared" si="15"/>
        <v>25.450000000000227</v>
      </c>
      <c r="B517" s="42">
        <f t="shared" si="14"/>
        <v>-2.0479644293675436</v>
      </c>
    </row>
    <row r="518" spans="1:2" x14ac:dyDescent="0.25">
      <c r="A518" s="34">
        <f t="shared" si="15"/>
        <v>25.500000000000227</v>
      </c>
      <c r="B518" s="42">
        <f t="shared" si="14"/>
        <v>-2.3536795830047863</v>
      </c>
    </row>
    <row r="519" spans="1:2" x14ac:dyDescent="0.25">
      <c r="A519" s="34">
        <f t="shared" si="15"/>
        <v>25.550000000000228</v>
      </c>
      <c r="B519" s="42">
        <f t="shared" si="14"/>
        <v>-2.6372501457536477</v>
      </c>
    </row>
    <row r="520" spans="1:2" x14ac:dyDescent="0.25">
      <c r="A520" s="34">
        <f t="shared" si="15"/>
        <v>25.600000000000229</v>
      </c>
      <c r="B520" s="42">
        <f t="shared" ref="B520:B583" si="16">-A1_x*SIN(p_x*A520)+A2_x*SIN(w_x*A520)</f>
        <v>-2.8960315062142765</v>
      </c>
    </row>
    <row r="521" spans="1:2" x14ac:dyDescent="0.25">
      <c r="A521" s="34">
        <f t="shared" ref="A521:A584" si="17">A520+$A$6</f>
        <v>25.65000000000023</v>
      </c>
      <c r="B521" s="42">
        <f t="shared" si="16"/>
        <v>-3.1276130868282062</v>
      </c>
    </row>
    <row r="522" spans="1:2" x14ac:dyDescent="0.25">
      <c r="A522" s="34">
        <f t="shared" si="17"/>
        <v>25.70000000000023</v>
      </c>
      <c r="B522" s="42">
        <f t="shared" si="16"/>
        <v>-3.3298408987370545</v>
      </c>
    </row>
    <row r="523" spans="1:2" x14ac:dyDescent="0.25">
      <c r="A523" s="34">
        <f t="shared" si="17"/>
        <v>25.750000000000231</v>
      </c>
      <c r="B523" s="42">
        <f t="shared" si="16"/>
        <v>-3.5008376656417663</v>
      </c>
    </row>
    <row r="524" spans="1:2" x14ac:dyDescent="0.25">
      <c r="A524" s="34">
        <f t="shared" si="17"/>
        <v>25.800000000000232</v>
      </c>
      <c r="B524" s="42">
        <f t="shared" si="16"/>
        <v>-3.6390203278158975</v>
      </c>
    </row>
    <row r="525" spans="1:2" x14ac:dyDescent="0.25">
      <c r="A525" s="34">
        <f t="shared" si="17"/>
        <v>25.850000000000232</v>
      </c>
      <c r="B525" s="42">
        <f t="shared" si="16"/>
        <v>-3.7431147623353915</v>
      </c>
    </row>
    <row r="526" spans="1:2" x14ac:dyDescent="0.25">
      <c r="A526" s="34">
        <f t="shared" si="17"/>
        <v>25.900000000000233</v>
      </c>
      <c r="B526" s="42">
        <f t="shared" si="16"/>
        <v>-3.8121675820383745</v>
      </c>
    </row>
    <row r="527" spans="1:2" x14ac:dyDescent="0.25">
      <c r="A527" s="34">
        <f t="shared" si="17"/>
        <v>25.950000000000234</v>
      </c>
      <c r="B527" s="42">
        <f t="shared" si="16"/>
        <v>-3.8455549034698127</v>
      </c>
    </row>
    <row r="528" spans="1:2" x14ac:dyDescent="0.25">
      <c r="A528" s="34">
        <f t="shared" si="17"/>
        <v>26.000000000000234</v>
      </c>
      <c r="B528" s="42">
        <f t="shared" si="16"/>
        <v>-3.8429880028321026</v>
      </c>
    </row>
    <row r="529" spans="1:2" x14ac:dyDescent="0.25">
      <c r="A529" s="34">
        <f t="shared" si="17"/>
        <v>26.050000000000235</v>
      </c>
      <c r="B529" s="42">
        <f t="shared" si="16"/>
        <v>-3.8045158084803221</v>
      </c>
    </row>
    <row r="530" spans="1:2" x14ac:dyDescent="0.25">
      <c r="A530" s="34">
        <f t="shared" si="17"/>
        <v>26.100000000000236</v>
      </c>
      <c r="B530" s="42">
        <f t="shared" si="16"/>
        <v>-3.7305242084883496</v>
      </c>
    </row>
    <row r="531" spans="1:2" x14ac:dyDescent="0.25">
      <c r="A531" s="34">
        <f t="shared" si="17"/>
        <v>26.150000000000237</v>
      </c>
      <c r="B531" s="42">
        <f t="shared" si="16"/>
        <v>-3.6217321819843127</v>
      </c>
    </row>
    <row r="532" spans="1:2" x14ac:dyDescent="0.25">
      <c r="A532" s="34">
        <f t="shared" si="17"/>
        <v>26.200000000000237</v>
      </c>
      <c r="B532" s="42">
        <f t="shared" si="16"/>
        <v>-3.4791847930233848</v>
      </c>
    </row>
    <row r="533" spans="1:2" x14ac:dyDescent="0.25">
      <c r="A533" s="34">
        <f t="shared" si="17"/>
        <v>26.250000000000238</v>
      </c>
      <c r="B533" s="42">
        <f t="shared" si="16"/>
        <v>-3.3042431154473562</v>
      </c>
    </row>
    <row r="534" spans="1:2" x14ac:dyDescent="0.25">
      <c r="A534" s="34">
        <f t="shared" si="17"/>
        <v>26.300000000000239</v>
      </c>
      <c r="B534" s="42">
        <f t="shared" si="16"/>
        <v>-3.0985711861913501</v>
      </c>
    </row>
    <row r="535" spans="1:2" x14ac:dyDescent="0.25">
      <c r="A535" s="34">
        <f t="shared" si="17"/>
        <v>26.350000000000239</v>
      </c>
      <c r="B535" s="42">
        <f t="shared" si="16"/>
        <v>-2.8641201125631968</v>
      </c>
    </row>
    <row r="536" spans="1:2" x14ac:dyDescent="0.25">
      <c r="A536" s="34">
        <f t="shared" si="17"/>
        <v>26.40000000000024</v>
      </c>
      <c r="B536" s="42">
        <f t="shared" si="16"/>
        <v>-2.6031094858744388</v>
      </c>
    </row>
    <row r="537" spans="1:2" x14ac:dyDescent="0.25">
      <c r="A537" s="34">
        <f t="shared" si="17"/>
        <v>26.450000000000241</v>
      </c>
      <c r="B537" s="42">
        <f t="shared" si="16"/>
        <v>-2.318006279188578</v>
      </c>
    </row>
    <row r="538" spans="1:2" x14ac:dyDescent="0.25">
      <c r="A538" s="34">
        <f t="shared" si="17"/>
        <v>26.500000000000242</v>
      </c>
      <c r="B538" s="42">
        <f t="shared" si="16"/>
        <v>-2.011501430632503</v>
      </c>
    </row>
    <row r="539" spans="1:2" x14ac:dyDescent="0.25">
      <c r="A539" s="34">
        <f t="shared" si="17"/>
        <v>26.550000000000242</v>
      </c>
      <c r="B539" s="42">
        <f t="shared" si="16"/>
        <v>-1.6864843354663139</v>
      </c>
    </row>
    <row r="540" spans="1:2" x14ac:dyDescent="0.25">
      <c r="A540" s="34">
        <f t="shared" si="17"/>
        <v>26.600000000000243</v>
      </c>
      <c r="B540" s="42">
        <f t="shared" si="16"/>
        <v>-1.3460154897207857</v>
      </c>
    </row>
    <row r="541" spans="1:2" x14ac:dyDescent="0.25">
      <c r="A541" s="34">
        <f t="shared" si="17"/>
        <v>26.650000000000244</v>
      </c>
      <c r="B541" s="42">
        <f t="shared" si="16"/>
        <v>-0.99329754550448146</v>
      </c>
    </row>
    <row r="542" spans="1:2" x14ac:dyDescent="0.25">
      <c r="A542" s="34">
        <f t="shared" si="17"/>
        <v>26.700000000000244</v>
      </c>
      <c r="B542" s="42">
        <f t="shared" si="16"/>
        <v>-0.63164505289237571</v>
      </c>
    </row>
    <row r="543" spans="1:2" x14ac:dyDescent="0.25">
      <c r="A543" s="34">
        <f t="shared" si="17"/>
        <v>26.750000000000245</v>
      </c>
      <c r="B543" s="42">
        <f t="shared" si="16"/>
        <v>-0.26445317549621727</v>
      </c>
    </row>
    <row r="544" spans="1:2" x14ac:dyDescent="0.25">
      <c r="A544" s="34">
        <f t="shared" si="17"/>
        <v>26.800000000000246</v>
      </c>
      <c r="B544" s="42">
        <f t="shared" si="16"/>
        <v>0.10483432373085122</v>
      </c>
    </row>
    <row r="545" spans="1:2" x14ac:dyDescent="0.25">
      <c r="A545" s="34">
        <f t="shared" si="17"/>
        <v>26.850000000000247</v>
      </c>
      <c r="B545" s="42">
        <f t="shared" si="16"/>
        <v>0.47275752327324522</v>
      </c>
    </row>
    <row r="546" spans="1:2" x14ac:dyDescent="0.25">
      <c r="A546" s="34">
        <f t="shared" si="17"/>
        <v>26.900000000000247</v>
      </c>
      <c r="B546" s="42">
        <f t="shared" si="16"/>
        <v>0.83587290348652421</v>
      </c>
    </row>
    <row r="547" spans="1:2" x14ac:dyDescent="0.25">
      <c r="A547" s="34">
        <f t="shared" si="17"/>
        <v>26.950000000000248</v>
      </c>
      <c r="B547" s="42">
        <f t="shared" si="16"/>
        <v>1.1907857189270574</v>
      </c>
    </row>
    <row r="548" spans="1:2" x14ac:dyDescent="0.25">
      <c r="A548" s="34">
        <f t="shared" si="17"/>
        <v>27.000000000000249</v>
      </c>
      <c r="B548" s="42">
        <f t="shared" si="16"/>
        <v>1.5341818769100888</v>
      </c>
    </row>
    <row r="549" spans="1:2" x14ac:dyDescent="0.25">
      <c r="A549" s="34">
        <f t="shared" si="17"/>
        <v>27.050000000000249</v>
      </c>
      <c r="B549" s="42">
        <f t="shared" si="16"/>
        <v>1.8628590216187892</v>
      </c>
    </row>
    <row r="550" spans="1:2" x14ac:dyDescent="0.25">
      <c r="A550" s="34">
        <f t="shared" si="17"/>
        <v>27.10000000000025</v>
      </c>
      <c r="B550" s="42">
        <f t="shared" si="16"/>
        <v>2.1737565309245248</v>
      </c>
    </row>
    <row r="551" spans="1:2" x14ac:dyDescent="0.25">
      <c r="A551" s="34">
        <f t="shared" si="17"/>
        <v>27.150000000000251</v>
      </c>
      <c r="B551" s="42">
        <f t="shared" si="16"/>
        <v>2.4639841436879326</v>
      </c>
    </row>
    <row r="552" spans="1:2" x14ac:dyDescent="0.25">
      <c r="A552" s="34">
        <f t="shared" si="17"/>
        <v>27.200000000000252</v>
      </c>
      <c r="B552" s="42">
        <f t="shared" si="16"/>
        <v>2.7308489485863863</v>
      </c>
    </row>
    <row r="553" spans="1:2" x14ac:dyDescent="0.25">
      <c r="A553" s="34">
        <f t="shared" si="17"/>
        <v>27.250000000000252</v>
      </c>
      <c r="B553" s="42">
        <f t="shared" si="16"/>
        <v>2.9718804813270432</v>
      </c>
    </row>
    <row r="554" spans="1:2" x14ac:dyDescent="0.25">
      <c r="A554" s="34">
        <f t="shared" si="17"/>
        <v>27.300000000000253</v>
      </c>
      <c r="B554" s="42">
        <f t="shared" si="16"/>
        <v>3.1848536953038491</v>
      </c>
    </row>
    <row r="555" spans="1:2" x14ac:dyDescent="0.25">
      <c r="A555" s="34">
        <f t="shared" si="17"/>
        <v>27.350000000000254</v>
      </c>
      <c r="B555" s="42">
        <f t="shared" si="16"/>
        <v>3.3678095911647361</v>
      </c>
    </row>
    <row r="556" spans="1:2" x14ac:dyDescent="0.25">
      <c r="A556" s="34">
        <f t="shared" si="17"/>
        <v>27.400000000000254</v>
      </c>
      <c r="B556" s="42">
        <f t="shared" si="16"/>
        <v>3.5190733131754497</v>
      </c>
    </row>
    <row r="557" spans="1:2" x14ac:dyDescent="0.25">
      <c r="A557" s="34">
        <f t="shared" si="17"/>
        <v>27.450000000000255</v>
      </c>
      <c r="B557" s="42">
        <f t="shared" si="16"/>
        <v>3.6372695444843357</v>
      </c>
    </row>
    <row r="558" spans="1:2" x14ac:dyDescent="0.25">
      <c r="A558" s="34">
        <f t="shared" si="17"/>
        <v>27.500000000000256</v>
      </c>
      <c r="B558" s="42">
        <f t="shared" si="16"/>
        <v>3.7213350591742604</v>
      </c>
    </row>
    <row r="559" spans="1:2" x14ac:dyDescent="0.25">
      <c r="A559" s="34">
        <f t="shared" si="17"/>
        <v>27.550000000000257</v>
      </c>
      <c r="B559" s="42">
        <f t="shared" si="16"/>
        <v>3.770528316087761</v>
      </c>
    </row>
    <row r="560" spans="1:2" x14ac:dyDescent="0.25">
      <c r="A560" s="34">
        <f t="shared" si="17"/>
        <v>27.600000000000257</v>
      </c>
      <c r="B560" s="42">
        <f t="shared" si="16"/>
        <v>3.7844360075691892</v>
      </c>
    </row>
    <row r="561" spans="1:2" x14ac:dyDescent="0.25">
      <c r="A561" s="34">
        <f t="shared" si="17"/>
        <v>27.650000000000258</v>
      </c>
      <c r="B561" s="42">
        <f t="shared" si="16"/>
        <v>3.7629765052148789</v>
      </c>
    </row>
    <row r="562" spans="1:2" x14ac:dyDescent="0.25">
      <c r="A562" s="34">
        <f t="shared" si="17"/>
        <v>27.700000000000259</v>
      </c>
      <c r="B562" s="42">
        <f t="shared" si="16"/>
        <v>3.7064001741821779</v>
      </c>
    </row>
    <row r="563" spans="1:2" x14ac:dyDescent="0.25">
      <c r="A563" s="34">
        <f t="shared" si="17"/>
        <v>27.750000000000259</v>
      </c>
      <c r="B563" s="42">
        <f t="shared" si="16"/>
        <v>3.6152865572999247</v>
      </c>
    </row>
    <row r="564" spans="1:2" x14ac:dyDescent="0.25">
      <c r="A564" s="34">
        <f t="shared" si="17"/>
        <v>27.80000000000026</v>
      </c>
      <c r="B564" s="42">
        <f t="shared" si="16"/>
        <v>3.4905384598642124</v>
      </c>
    </row>
    <row r="565" spans="1:2" x14ac:dyDescent="0.25">
      <c r="A565" s="34">
        <f t="shared" si="17"/>
        <v>27.850000000000261</v>
      </c>
      <c r="B565" s="42">
        <f t="shared" si="16"/>
        <v>3.3333729953116462</v>
      </c>
    </row>
    <row r="566" spans="1:2" x14ac:dyDescent="0.25">
      <c r="A566" s="34">
        <f t="shared" si="17"/>
        <v>27.900000000000261</v>
      </c>
      <c r="B566" s="42">
        <f t="shared" si="16"/>
        <v>3.1453096806599148</v>
      </c>
    </row>
    <row r="567" spans="1:2" x14ac:dyDescent="0.25">
      <c r="A567" s="34">
        <f t="shared" si="17"/>
        <v>27.950000000000262</v>
      </c>
      <c r="B567" s="42">
        <f t="shared" si="16"/>
        <v>2.9281556984199115</v>
      </c>
    </row>
    <row r="568" spans="1:2" x14ac:dyDescent="0.25">
      <c r="A568" s="34">
        <f t="shared" si="17"/>
        <v>28.000000000000263</v>
      </c>
      <c r="B568" s="42">
        <f t="shared" si="16"/>
        <v>2.6839884683516626</v>
      </c>
    </row>
    <row r="569" spans="1:2" x14ac:dyDescent="0.25">
      <c r="A569" s="34">
        <f t="shared" si="17"/>
        <v>28.050000000000264</v>
      </c>
      <c r="B569" s="42">
        <f t="shared" si="16"/>
        <v>2.4151356977056428</v>
      </c>
    </row>
    <row r="570" spans="1:2" x14ac:dyDescent="0.25">
      <c r="A570" s="34">
        <f t="shared" si="17"/>
        <v>28.100000000000264</v>
      </c>
      <c r="B570" s="42">
        <f t="shared" si="16"/>
        <v>2.1241531022237052</v>
      </c>
    </row>
    <row r="571" spans="1:2" x14ac:dyDescent="0.25">
      <c r="A571" s="34">
        <f t="shared" si="17"/>
        <v>28.150000000000265</v>
      </c>
      <c r="B571" s="42">
        <f t="shared" si="16"/>
        <v>1.8138000119467683</v>
      </c>
    </row>
    <row r="572" spans="1:2" x14ac:dyDescent="0.25">
      <c r="A572" s="34">
        <f t="shared" si="17"/>
        <v>28.200000000000266</v>
      </c>
      <c r="B572" s="42">
        <f t="shared" si="16"/>
        <v>1.4870130955854903</v>
      </c>
    </row>
    <row r="573" spans="1:2" x14ac:dyDescent="0.25">
      <c r="A573" s="34">
        <f t="shared" si="17"/>
        <v>28.250000000000266</v>
      </c>
      <c r="B573" s="42">
        <f t="shared" si="16"/>
        <v>1.1468784546712636</v>
      </c>
    </row>
    <row r="574" spans="1:2" x14ac:dyDescent="0.25">
      <c r="A574" s="34">
        <f t="shared" si="17"/>
        <v>28.300000000000267</v>
      </c>
      <c r="B574" s="42">
        <f t="shared" si="16"/>
        <v>0.79660235375437916</v>
      </c>
    </row>
    <row r="575" spans="1:2" x14ac:dyDescent="0.25">
      <c r="A575" s="34">
        <f t="shared" si="17"/>
        <v>28.350000000000268</v>
      </c>
      <c r="B575" s="42">
        <f t="shared" si="16"/>
        <v>0.43948086541523973</v>
      </c>
    </row>
    <row r="576" spans="1:2" x14ac:dyDescent="0.25">
      <c r="A576" s="34">
        <f t="shared" si="17"/>
        <v>28.400000000000269</v>
      </c>
      <c r="B576" s="42">
        <f t="shared" si="16"/>
        <v>7.8868718688284933E-2</v>
      </c>
    </row>
    <row r="577" spans="1:2" x14ac:dyDescent="0.25">
      <c r="A577" s="34">
        <f t="shared" si="17"/>
        <v>28.450000000000269</v>
      </c>
      <c r="B577" s="42">
        <f t="shared" si="16"/>
        <v>-0.28185235342365</v>
      </c>
    </row>
    <row r="578" spans="1:2" x14ac:dyDescent="0.25">
      <c r="A578" s="34">
        <f t="shared" si="17"/>
        <v>28.50000000000027</v>
      </c>
      <c r="B578" s="42">
        <f t="shared" si="16"/>
        <v>-0.63930546740660155</v>
      </c>
    </row>
    <row r="579" spans="1:2" x14ac:dyDescent="0.25">
      <c r="A579" s="34">
        <f t="shared" si="17"/>
        <v>28.550000000000271</v>
      </c>
      <c r="B579" s="42">
        <f t="shared" si="16"/>
        <v>-0.99015034231993737</v>
      </c>
    </row>
    <row r="580" spans="1:2" x14ac:dyDescent="0.25">
      <c r="A580" s="34">
        <f t="shared" si="17"/>
        <v>28.600000000000271</v>
      </c>
      <c r="B580" s="42">
        <f t="shared" si="16"/>
        <v>-1.3311146526208872</v>
      </c>
    </row>
    <row r="581" spans="1:2" x14ac:dyDescent="0.25">
      <c r="A581" s="34">
        <f t="shared" si="17"/>
        <v>28.650000000000272</v>
      </c>
      <c r="B581" s="42">
        <f t="shared" si="16"/>
        <v>-1.6590246851429142</v>
      </c>
    </row>
    <row r="582" spans="1:2" x14ac:dyDescent="0.25">
      <c r="A582" s="34">
        <f t="shared" si="17"/>
        <v>28.700000000000273</v>
      </c>
      <c r="B582" s="42">
        <f t="shared" si="16"/>
        <v>-1.9708350117421474</v>
      </c>
    </row>
    <row r="583" spans="1:2" x14ac:dyDescent="0.25">
      <c r="A583" s="34">
        <f t="shared" si="17"/>
        <v>28.750000000000274</v>
      </c>
      <c r="B583" s="42">
        <f t="shared" si="16"/>
        <v>-2.2636568989522354</v>
      </c>
    </row>
    <row r="584" spans="1:2" x14ac:dyDescent="0.25">
      <c r="A584" s="34">
        <f t="shared" si="17"/>
        <v>28.800000000000274</v>
      </c>
      <c r="B584" s="42">
        <f t="shared" ref="B584:B647" si="18">-A1_x*SIN(p_x*A584)+A2_x*SIN(w_x*A584)</f>
        <v>-2.5347851884434931</v>
      </c>
    </row>
    <row r="585" spans="1:2" x14ac:dyDescent="0.25">
      <c r="A585" s="34">
        <f t="shared" ref="A585:A648" si="19">A584+$A$6</f>
        <v>28.850000000000275</v>
      </c>
      <c r="B585" s="42">
        <f t="shared" si="18"/>
        <v>-2.78172339704274</v>
      </c>
    </row>
    <row r="586" spans="1:2" x14ac:dyDescent="0.25">
      <c r="A586" s="34">
        <f t="shared" si="19"/>
        <v>28.900000000000276</v>
      </c>
      <c r="B586" s="42">
        <f t="shared" si="18"/>
        <v>-3.0022068023891713</v>
      </c>
    </row>
    <row r="587" spans="1:2" x14ac:dyDescent="0.25">
      <c r="A587" s="34">
        <f t="shared" si="19"/>
        <v>28.950000000000276</v>
      </c>
      <c r="B587" s="42">
        <f t="shared" si="18"/>
        <v>-3.194223299811124</v>
      </c>
    </row>
    <row r="588" spans="1:2" x14ac:dyDescent="0.25">
      <c r="A588" s="34">
        <f t="shared" si="19"/>
        <v>29.000000000000277</v>
      </c>
      <c r="B588" s="42">
        <f t="shared" si="18"/>
        <v>-3.3560318375179583</v>
      </c>
    </row>
    <row r="589" spans="1:2" x14ac:dyDescent="0.25">
      <c r="A589" s="34">
        <f t="shared" si="19"/>
        <v>29.050000000000278</v>
      </c>
      <c r="B589" s="42">
        <f t="shared" si="18"/>
        <v>-3.4861782605024088</v>
      </c>
    </row>
    <row r="590" spans="1:2" x14ac:dyDescent="0.25">
      <c r="A590" s="34">
        <f t="shared" si="19"/>
        <v>29.100000000000279</v>
      </c>
      <c r="B590" s="42">
        <f t="shared" si="18"/>
        <v>-3.5835084184176385</v>
      </c>
    </row>
    <row r="591" spans="1:2" x14ac:dyDescent="0.25">
      <c r="A591" s="34">
        <f t="shared" si="19"/>
        <v>29.150000000000279</v>
      </c>
      <c r="B591" s="42">
        <f t="shared" si="18"/>
        <v>-3.6471784188888678</v>
      </c>
    </row>
    <row r="592" spans="1:2" x14ac:dyDescent="0.25">
      <c r="A592" s="34">
        <f t="shared" si="19"/>
        <v>29.20000000000028</v>
      </c>
      <c r="B592" s="42">
        <f t="shared" si="18"/>
        <v>-3.6766619349914098</v>
      </c>
    </row>
    <row r="593" spans="1:2" x14ac:dyDescent="0.25">
      <c r="A593" s="34">
        <f t="shared" si="19"/>
        <v>29.250000000000281</v>
      </c>
      <c r="B593" s="42">
        <f t="shared" si="18"/>
        <v>-3.6717545037125152</v>
      </c>
    </row>
    <row r="594" spans="1:2" x14ac:dyDescent="0.25">
      <c r="A594" s="34">
        <f t="shared" si="19"/>
        <v>29.300000000000281</v>
      </c>
      <c r="B594" s="42">
        <f t="shared" si="18"/>
        <v>-3.6325747808458857</v>
      </c>
    </row>
    <row r="595" spans="1:2" x14ac:dyDescent="0.25">
      <c r="A595" s="34">
        <f t="shared" si="19"/>
        <v>29.350000000000282</v>
      </c>
      <c r="B595" s="42">
        <f t="shared" si="18"/>
        <v>-3.5595627466706317</v>
      </c>
    </row>
    <row r="596" spans="1:2" x14ac:dyDescent="0.25">
      <c r="A596" s="34">
        <f t="shared" si="19"/>
        <v>29.400000000000283</v>
      </c>
      <c r="B596" s="42">
        <f t="shared" si="18"/>
        <v>-3.4534748856655644</v>
      </c>
    </row>
    <row r="597" spans="1:2" x14ac:dyDescent="0.25">
      <c r="A597" s="34">
        <f t="shared" si="19"/>
        <v>29.450000000000284</v>
      </c>
      <c r="B597" s="42">
        <f t="shared" si="18"/>
        <v>-3.3153763921301631</v>
      </c>
    </row>
    <row r="598" spans="1:2" x14ac:dyDescent="0.25">
      <c r="A598" s="34">
        <f t="shared" si="19"/>
        <v>29.500000000000284</v>
      </c>
      <c r="B598" s="42">
        <f t="shared" si="18"/>
        <v>-3.1466304816531343</v>
      </c>
    </row>
    <row r="599" spans="1:2" x14ac:dyDescent="0.25">
      <c r="A599" s="34">
        <f t="shared" si="19"/>
        <v>29.550000000000285</v>
      </c>
      <c r="B599" s="42">
        <f t="shared" si="18"/>
        <v>-2.9488849156223189</v>
      </c>
    </row>
    <row r="600" spans="1:2" x14ac:dyDescent="0.25">
      <c r="A600" s="34">
        <f t="shared" si="19"/>
        <v>29.600000000000286</v>
      </c>
      <c r="B600" s="42">
        <f t="shared" si="18"/>
        <v>-2.7240558721480741</v>
      </c>
    </row>
    <row r="601" spans="1:2" x14ac:dyDescent="0.25">
      <c r="A601" s="34">
        <f t="shared" si="19"/>
        <v>29.650000000000286</v>
      </c>
      <c r="B601" s="42">
        <f t="shared" si="18"/>
        <v>-2.4743093216290979</v>
      </c>
    </row>
    <row r="602" spans="1:2" x14ac:dyDescent="0.25">
      <c r="A602" s="34">
        <f t="shared" si="19"/>
        <v>29.700000000000287</v>
      </c>
      <c r="B602" s="42">
        <f t="shared" si="18"/>
        <v>-2.2020400884910249</v>
      </c>
    </row>
    <row r="603" spans="1:2" x14ac:dyDescent="0.25">
      <c r="A603" s="34">
        <f t="shared" si="19"/>
        <v>29.750000000000288</v>
      </c>
      <c r="B603" s="42">
        <f t="shared" si="18"/>
        <v>-1.9098488021558178</v>
      </c>
    </row>
    <row r="604" spans="1:2" x14ac:dyDescent="0.25">
      <c r="A604" s="34">
        <f t="shared" si="19"/>
        <v>29.800000000000288</v>
      </c>
      <c r="B604" s="42">
        <f t="shared" si="18"/>
        <v>-1.6005169598522839</v>
      </c>
    </row>
    <row r="605" spans="1:2" x14ac:dyDescent="0.25">
      <c r="A605" s="34">
        <f t="shared" si="19"/>
        <v>29.850000000000289</v>
      </c>
      <c r="B605" s="42">
        <f t="shared" si="18"/>
        <v>-1.2769803412733494</v>
      </c>
    </row>
    <row r="606" spans="1:2" x14ac:dyDescent="0.25">
      <c r="A606" s="34">
        <f t="shared" si="19"/>
        <v>29.90000000000029</v>
      </c>
      <c r="B606" s="42">
        <f t="shared" si="18"/>
        <v>-0.94230103016338607</v>
      </c>
    </row>
    <row r="607" spans="1:2" x14ac:dyDescent="0.25">
      <c r="A607" s="34">
        <f t="shared" si="19"/>
        <v>29.950000000000291</v>
      </c>
      <c r="B607" s="42">
        <f t="shared" si="18"/>
        <v>-0.59963831053961503</v>
      </c>
    </row>
    <row r="608" spans="1:2" x14ac:dyDescent="0.25">
      <c r="A608" s="34">
        <f t="shared" si="19"/>
        <v>30.000000000000291</v>
      </c>
      <c r="B608" s="42">
        <f t="shared" si="18"/>
        <v>-0.25221871530124873</v>
      </c>
    </row>
    <row r="609" spans="1:2" x14ac:dyDescent="0.25">
      <c r="A609" s="34">
        <f t="shared" si="19"/>
        <v>30.050000000000292</v>
      </c>
      <c r="B609" s="42">
        <f t="shared" si="18"/>
        <v>9.6694487631103887E-2</v>
      </c>
    </row>
    <row r="610" spans="1:2" x14ac:dyDescent="0.25">
      <c r="A610" s="34">
        <f t="shared" si="19"/>
        <v>30.100000000000293</v>
      </c>
      <c r="B610" s="42">
        <f t="shared" si="18"/>
        <v>0.44383208184070272</v>
      </c>
    </row>
    <row r="611" spans="1:2" x14ac:dyDescent="0.25">
      <c r="A611" s="34">
        <f t="shared" si="19"/>
        <v>30.150000000000293</v>
      </c>
      <c r="B611" s="42">
        <f t="shared" si="18"/>
        <v>0.78594966990005499</v>
      </c>
    </row>
    <row r="612" spans="1:2" x14ac:dyDescent="0.25">
      <c r="A612" s="34">
        <f t="shared" si="19"/>
        <v>30.200000000000294</v>
      </c>
      <c r="B612" s="42">
        <f t="shared" si="18"/>
        <v>1.1198581309886191</v>
      </c>
    </row>
    <row r="613" spans="1:2" x14ac:dyDescent="0.25">
      <c r="A613" s="34">
        <f t="shared" si="19"/>
        <v>30.250000000000295</v>
      </c>
      <c r="B613" s="42">
        <f t="shared" si="18"/>
        <v>1.4424534814517511</v>
      </c>
    </row>
    <row r="614" spans="1:2" x14ac:dyDescent="0.25">
      <c r="A614" s="34">
        <f t="shared" si="19"/>
        <v>30.300000000000296</v>
      </c>
      <c r="B614" s="42">
        <f t="shared" si="18"/>
        <v>1.7507458574671269</v>
      </c>
    </row>
    <row r="615" spans="1:2" x14ac:dyDescent="0.25">
      <c r="A615" s="34">
        <f t="shared" si="19"/>
        <v>30.350000000000296</v>
      </c>
      <c r="B615" s="42">
        <f t="shared" si="18"/>
        <v>2.0418873479945563</v>
      </c>
    </row>
    <row r="616" spans="1:2" x14ac:dyDescent="0.25">
      <c r="A616" s="34">
        <f t="shared" si="19"/>
        <v>30.400000000000297</v>
      </c>
      <c r="B616" s="42">
        <f t="shared" si="18"/>
        <v>2.3131984177551352</v>
      </c>
    </row>
    <row r="617" spans="1:2" x14ac:dyDescent="0.25">
      <c r="A617" s="34">
        <f t="shared" si="19"/>
        <v>30.450000000000298</v>
      </c>
      <c r="B617" s="42">
        <f t="shared" si="18"/>
        <v>2.5621926740007743</v>
      </c>
    </row>
    <row r="618" spans="1:2" x14ac:dyDescent="0.25">
      <c r="A618" s="34">
        <f t="shared" si="19"/>
        <v>30.500000000000298</v>
      </c>
      <c r="B618" s="42">
        <f t="shared" si="18"/>
        <v>2.7865997471548454</v>
      </c>
    </row>
    <row r="619" spans="1:2" x14ac:dyDescent="0.25">
      <c r="A619" s="34">
        <f t="shared" si="19"/>
        <v>30.550000000000299</v>
      </c>
      <c r="B619" s="42">
        <f t="shared" si="18"/>
        <v>2.9843860738678876</v>
      </c>
    </row>
    <row r="620" spans="1:2" x14ac:dyDescent="0.25">
      <c r="A620" s="34">
        <f t="shared" si="19"/>
        <v>30.6000000000003</v>
      </c>
      <c r="B620" s="42">
        <f t="shared" si="18"/>
        <v>3.1537733914591497</v>
      </c>
    </row>
    <row r="621" spans="1:2" x14ac:dyDescent="0.25">
      <c r="A621" s="34">
        <f t="shared" si="19"/>
        <v>30.650000000000301</v>
      </c>
      <c r="B621" s="42">
        <f t="shared" si="18"/>
        <v>3.2932547749040295</v>
      </c>
    </row>
    <row r="622" spans="1:2" x14ac:dyDescent="0.25">
      <c r="A622" s="34">
        <f t="shared" si="19"/>
        <v>30.700000000000301</v>
      </c>
      <c r="B622" s="42">
        <f t="shared" si="18"/>
        <v>3.4016080712650032</v>
      </c>
    </row>
    <row r="623" spans="1:2" x14ac:dyDescent="0.25">
      <c r="A623" s="34">
        <f t="shared" si="19"/>
        <v>30.750000000000302</v>
      </c>
      <c r="B623" s="42">
        <f t="shared" si="18"/>
        <v>3.4779066115179083</v>
      </c>
    </row>
    <row r="624" spans="1:2" x14ac:dyDescent="0.25">
      <c r="A624" s="34">
        <f t="shared" si="19"/>
        <v>30.800000000000303</v>
      </c>
      <c r="B624" s="42">
        <f t="shared" si="18"/>
        <v>3.5215271058559292</v>
      </c>
    </row>
    <row r="625" spans="1:2" x14ac:dyDescent="0.25">
      <c r="A625" s="34">
        <f t="shared" si="19"/>
        <v>30.850000000000303</v>
      </c>
      <c r="B625" s="42">
        <f t="shared" si="18"/>
        <v>3.5321546555074592</v>
      </c>
    </row>
    <row r="626" spans="1:2" x14ac:dyDescent="0.25">
      <c r="A626" s="34">
        <f t="shared" si="19"/>
        <v>30.900000000000304</v>
      </c>
      <c r="B626" s="42">
        <f t="shared" si="18"/>
        <v>3.5097848416225119</v>
      </c>
    </row>
    <row r="627" spans="1:2" x14ac:dyDescent="0.25">
      <c r="A627" s="34">
        <f t="shared" si="19"/>
        <v>30.950000000000305</v>
      </c>
      <c r="B627" s="42">
        <f t="shared" si="18"/>
        <v>3.4547228796025298</v>
      </c>
    </row>
    <row r="628" spans="1:2" x14ac:dyDescent="0.25">
      <c r="A628" s="34">
        <f t="shared" si="19"/>
        <v>31.000000000000306</v>
      </c>
      <c r="B628" s="42">
        <f t="shared" si="18"/>
        <v>3.3675798551035045</v>
      </c>
    </row>
    <row r="629" spans="1:2" x14ac:dyDescent="0.25">
      <c r="A629" s="34">
        <f t="shared" si="19"/>
        <v>31.050000000000306</v>
      </c>
      <c r="B629" s="42">
        <f t="shared" si="18"/>
        <v>3.2492660855672728</v>
      </c>
    </row>
    <row r="630" spans="1:2" x14ac:dyDescent="0.25">
      <c r="A630" s="34">
        <f t="shared" si="19"/>
        <v>31.100000000000307</v>
      </c>
      <c r="B630" s="42">
        <f t="shared" si="18"/>
        <v>3.1009816782681847</v>
      </c>
    </row>
    <row r="631" spans="1:2" x14ac:dyDescent="0.25">
      <c r="A631" s="34">
        <f t="shared" si="19"/>
        <v>31.150000000000308</v>
      </c>
      <c r="B631" s="42">
        <f t="shared" si="18"/>
        <v>2.9242043822444614</v>
      </c>
    </row>
    <row r="632" spans="1:2" x14ac:dyDescent="0.25">
      <c r="A632" s="34">
        <f t="shared" si="19"/>
        <v>31.200000000000308</v>
      </c>
      <c r="B632" s="42">
        <f t="shared" si="18"/>
        <v>2.7206748568664159</v>
      </c>
    </row>
    <row r="633" spans="1:2" x14ac:dyDescent="0.25">
      <c r="A633" s="34">
        <f t="shared" si="19"/>
        <v>31.250000000000309</v>
      </c>
      <c r="B633" s="42">
        <f t="shared" si="18"/>
        <v>2.4923795039380563</v>
      </c>
    </row>
    <row r="634" spans="1:2" x14ac:dyDescent="0.25">
      <c r="A634" s="34">
        <f t="shared" si="19"/>
        <v>31.30000000000031</v>
      </c>
      <c r="B634" s="42">
        <f t="shared" si="18"/>
        <v>2.2415310329077873</v>
      </c>
    </row>
    <row r="635" spans="1:2" x14ac:dyDescent="0.25">
      <c r="A635" s="34">
        <f t="shared" si="19"/>
        <v>31.350000000000311</v>
      </c>
      <c r="B635" s="42">
        <f t="shared" si="18"/>
        <v>1.9705469497658099</v>
      </c>
    </row>
    <row r="636" spans="1:2" x14ac:dyDescent="0.25">
      <c r="A636" s="34">
        <f t="shared" si="19"/>
        <v>31.400000000000311</v>
      </c>
      <c r="B636" s="42">
        <f t="shared" si="18"/>
        <v>1.6820261793352931</v>
      </c>
    </row>
    <row r="637" spans="1:2" x14ac:dyDescent="0.25">
      <c r="A637" s="34">
        <f t="shared" si="19"/>
        <v>31.450000000000312</v>
      </c>
      <c r="B637" s="42">
        <f t="shared" si="18"/>
        <v>1.3787240477439986</v>
      </c>
    </row>
    <row r="638" spans="1:2" x14ac:dyDescent="0.25">
      <c r="A638" s="34">
        <f t="shared" si="19"/>
        <v>31.500000000000313</v>
      </c>
      <c r="B638" s="42">
        <f t="shared" si="18"/>
        <v>1.0635258667360905</v>
      </c>
    </row>
    <row r="639" spans="1:2" x14ac:dyDescent="0.25">
      <c r="A639" s="34">
        <f t="shared" si="19"/>
        <v>31.550000000000313</v>
      </c>
      <c r="B639" s="42">
        <f t="shared" si="18"/>
        <v>0.7394193740152899</v>
      </c>
    </row>
    <row r="640" spans="1:2" x14ac:dyDescent="0.25">
      <c r="A640" s="34">
        <f t="shared" si="19"/>
        <v>31.600000000000314</v>
      </c>
      <c r="B640" s="42">
        <f t="shared" si="18"/>
        <v>0.40946629388686662</v>
      </c>
    </row>
    <row r="641" spans="1:2" x14ac:dyDescent="0.25">
      <c r="A641" s="34">
        <f t="shared" si="19"/>
        <v>31.650000000000315</v>
      </c>
      <c r="B641" s="42">
        <f t="shared" si="18"/>
        <v>7.6773289999377936E-2</v>
      </c>
    </row>
    <row r="642" spans="1:2" x14ac:dyDescent="0.25">
      <c r="A642" s="34">
        <f t="shared" si="19"/>
        <v>31.700000000000315</v>
      </c>
      <c r="B642" s="42">
        <f t="shared" si="18"/>
        <v>-0.25553741308776745</v>
      </c>
    </row>
    <row r="643" spans="1:2" x14ac:dyDescent="0.25">
      <c r="A643" s="34">
        <f t="shared" si="19"/>
        <v>31.750000000000316</v>
      </c>
      <c r="B643" s="42">
        <f t="shared" si="18"/>
        <v>-0.58435746050584392</v>
      </c>
    </row>
    <row r="644" spans="1:2" x14ac:dyDescent="0.25">
      <c r="A644" s="34">
        <f t="shared" si="19"/>
        <v>31.800000000000317</v>
      </c>
      <c r="B644" s="42">
        <f t="shared" si="18"/>
        <v>-0.90662157122473053</v>
      </c>
    </row>
    <row r="645" spans="1:2" x14ac:dyDescent="0.25">
      <c r="A645" s="34">
        <f t="shared" si="19"/>
        <v>31.850000000000318</v>
      </c>
      <c r="B645" s="42">
        <f t="shared" si="18"/>
        <v>-1.2193362401555177</v>
      </c>
    </row>
    <row r="646" spans="1:2" x14ac:dyDescent="0.25">
      <c r="A646" s="34">
        <f t="shared" si="19"/>
        <v>31.900000000000318</v>
      </c>
      <c r="B646" s="42">
        <f t="shared" si="18"/>
        <v>-1.5196076682586157</v>
      </c>
    </row>
    <row r="647" spans="1:2" x14ac:dyDescent="0.25">
      <c r="A647" s="34">
        <f t="shared" si="19"/>
        <v>31.950000000000319</v>
      </c>
      <c r="B647" s="42">
        <f t="shared" si="18"/>
        <v>-1.8046686589014835</v>
      </c>
    </row>
    <row r="648" spans="1:2" x14ac:dyDescent="0.25">
      <c r="A648" s="34">
        <f t="shared" si="19"/>
        <v>32.00000000000032</v>
      </c>
      <c r="B648" s="42">
        <f t="shared" ref="B648:B711" si="20">-A1_x*SIN(p_x*A648)+A2_x*SIN(w_x*A648)</f>
        <v>-2.0719042293670831</v>
      </c>
    </row>
    <row r="649" spans="1:2" x14ac:dyDescent="0.25">
      <c r="A649" s="34">
        <f t="shared" ref="A649:A712" si="21">A648+$A$6</f>
        <v>32.050000000000317</v>
      </c>
      <c r="B649" s="42">
        <f t="shared" si="20"/>
        <v>-2.3188756994253552</v>
      </c>
    </row>
    <row r="650" spans="1:2" x14ac:dyDescent="0.25">
      <c r="A650" s="34">
        <f t="shared" si="21"/>
        <v>32.100000000000314</v>
      </c>
      <c r="B650" s="42">
        <f t="shared" si="20"/>
        <v>-2.5433430341152694</v>
      </c>
    </row>
    <row r="651" spans="1:2" x14ac:dyDescent="0.25">
      <c r="A651" s="34">
        <f t="shared" si="21"/>
        <v>32.150000000000311</v>
      </c>
      <c r="B651" s="42">
        <f t="shared" si="20"/>
        <v>-2.7432852351901866</v>
      </c>
    </row>
    <row r="652" spans="1:2" x14ac:dyDescent="0.25">
      <c r="A652" s="34">
        <f t="shared" si="21"/>
        <v>32.200000000000308</v>
      </c>
      <c r="B652" s="42">
        <f t="shared" si="20"/>
        <v>-2.9169185948838443</v>
      </c>
    </row>
    <row r="653" spans="1:2" x14ac:dyDescent="0.25">
      <c r="A653" s="34">
        <f t="shared" si="21"/>
        <v>32.250000000000306</v>
      </c>
      <c r="B653" s="42">
        <f t="shared" si="20"/>
        <v>-3.0627126465686021</v>
      </c>
    </row>
    <row r="654" spans="1:2" x14ac:dyDescent="0.25">
      <c r="A654" s="34">
        <f t="shared" si="21"/>
        <v>32.300000000000303</v>
      </c>
      <c r="B654" s="42">
        <f t="shared" si="20"/>
        <v>-3.1794036692965841</v>
      </c>
    </row>
    <row r="655" spans="1:2" x14ac:dyDescent="0.25">
      <c r="A655" s="34">
        <f t="shared" si="21"/>
        <v>32.3500000000003</v>
      </c>
      <c r="B655" s="42">
        <f t="shared" si="20"/>
        <v>-3.266005626918719</v>
      </c>
    </row>
    <row r="656" spans="1:2" x14ac:dyDescent="0.25">
      <c r="A656" s="34">
        <f t="shared" si="21"/>
        <v>32.400000000000297</v>
      </c>
      <c r="B656" s="42">
        <f t="shared" si="20"/>
        <v>-3.3218184472371504</v>
      </c>
    </row>
    <row r="657" spans="1:2" x14ac:dyDescent="0.25">
      <c r="A657" s="34">
        <f t="shared" si="21"/>
        <v>32.450000000000294</v>
      </c>
      <c r="B657" s="42">
        <f t="shared" si="20"/>
        <v>-3.3464335722222147</v>
      </c>
    </row>
    <row r="658" spans="1:2" x14ac:dyDescent="0.25">
      <c r="A658" s="34">
        <f t="shared" si="21"/>
        <v>32.500000000000291</v>
      </c>
      <c r="B658" s="42">
        <f t="shared" si="20"/>
        <v>-3.3397367364695452</v>
      </c>
    </row>
    <row r="659" spans="1:2" x14ac:dyDescent="0.25">
      <c r="A659" s="34">
        <f t="shared" si="21"/>
        <v>32.550000000000288</v>
      </c>
      <c r="B659" s="42">
        <f t="shared" si="20"/>
        <v>-3.3019079575352124</v>
      </c>
    </row>
    <row r="660" spans="1:2" x14ac:dyDescent="0.25">
      <c r="A660" s="34">
        <f t="shared" si="21"/>
        <v>32.600000000000286</v>
      </c>
      <c r="B660" s="42">
        <f t="shared" si="20"/>
        <v>-3.2334187483126482</v>
      </c>
    </row>
    <row r="661" spans="1:2" x14ac:dyDescent="0.25">
      <c r="A661" s="34">
        <f t="shared" si="21"/>
        <v>32.650000000000283</v>
      </c>
      <c r="B661" s="42">
        <f t="shared" si="20"/>
        <v>-3.1350265879511694</v>
      </c>
    </row>
    <row r="662" spans="1:2" x14ac:dyDescent="0.25">
      <c r="A662" s="34">
        <f t="shared" si="21"/>
        <v>32.70000000000028</v>
      </c>
      <c r="B662" s="42">
        <f t="shared" si="20"/>
        <v>-3.0077667137122788</v>
      </c>
    </row>
    <row r="663" spans="1:2" x14ac:dyDescent="0.25">
      <c r="A663" s="34">
        <f t="shared" si="21"/>
        <v>32.750000000000277</v>
      </c>
      <c r="B663" s="42">
        <f t="shared" si="20"/>
        <v>-2.8529413213696215</v>
      </c>
    </row>
    <row r="664" spans="1:2" x14ac:dyDescent="0.25">
      <c r="A664" s="34">
        <f t="shared" si="21"/>
        <v>32.800000000000274</v>
      </c>
      <c r="B664" s="42">
        <f t="shared" si="20"/>
        <v>-2.6721062860445191</v>
      </c>
    </row>
    <row r="665" spans="1:2" x14ac:dyDescent="0.25">
      <c r="A665" s="34">
        <f t="shared" si="21"/>
        <v>32.850000000000271</v>
      </c>
      <c r="B665" s="42">
        <f t="shared" si="20"/>
        <v>-2.4670555385018269</v>
      </c>
    </row>
    <row r="666" spans="1:2" x14ac:dyDescent="0.25">
      <c r="A666" s="34">
        <f t="shared" si="21"/>
        <v>32.900000000000269</v>
      </c>
      <c r="B666" s="42">
        <f t="shared" si="20"/>
        <v>-2.2398032536942609</v>
      </c>
    </row>
    <row r="667" spans="1:2" x14ac:dyDescent="0.25">
      <c r="A667" s="34">
        <f t="shared" si="21"/>
        <v>32.950000000000266</v>
      </c>
      <c r="B667" s="42">
        <f t="shared" si="20"/>
        <v>-1.9925640285341775</v>
      </c>
    </row>
    <row r="668" spans="1:2" x14ac:dyDescent="0.25">
      <c r="A668" s="34">
        <f t="shared" si="21"/>
        <v>33.000000000000263</v>
      </c>
      <c r="B668" s="42">
        <f t="shared" si="20"/>
        <v>-1.7277312443028301</v>
      </c>
    </row>
    <row r="669" spans="1:2" x14ac:dyDescent="0.25">
      <c r="A669" s="34">
        <f t="shared" si="21"/>
        <v>33.05000000000026</v>
      </c>
      <c r="B669" s="42">
        <f t="shared" si="20"/>
        <v>-1.4478538256091089</v>
      </c>
    </row>
    <row r="670" spans="1:2" x14ac:dyDescent="0.25">
      <c r="A670" s="34">
        <f t="shared" si="21"/>
        <v>33.100000000000257</v>
      </c>
      <c r="B670" s="42">
        <f t="shared" si="20"/>
        <v>-1.155611622231419</v>
      </c>
    </row>
    <row r="671" spans="1:2" x14ac:dyDescent="0.25">
      <c r="A671" s="34">
        <f t="shared" si="21"/>
        <v>33.150000000000254</v>
      </c>
      <c r="B671" s="42">
        <f t="shared" si="20"/>
        <v>-0.85378965238852611</v>
      </c>
    </row>
    <row r="672" spans="1:2" x14ac:dyDescent="0.25">
      <c r="A672" s="34">
        <f t="shared" si="21"/>
        <v>33.200000000000252</v>
      </c>
      <c r="B672" s="42">
        <f t="shared" si="20"/>
        <v>-0.5452514558784276</v>
      </c>
    </row>
    <row r="673" spans="1:2" x14ac:dyDescent="0.25">
      <c r="A673" s="34">
        <f t="shared" si="21"/>
        <v>33.250000000000249</v>
      </c>
      <c r="B673" s="42">
        <f t="shared" si="20"/>
        <v>-0.2329118130132416</v>
      </c>
    </row>
    <row r="674" spans="1:2" x14ac:dyDescent="0.25">
      <c r="A674" s="34">
        <f t="shared" si="21"/>
        <v>33.300000000000246</v>
      </c>
      <c r="B674" s="42">
        <f t="shared" si="20"/>
        <v>8.0290909699527013E-2</v>
      </c>
    </row>
    <row r="675" spans="1:2" x14ac:dyDescent="0.25">
      <c r="A675" s="34">
        <f t="shared" si="21"/>
        <v>33.350000000000243</v>
      </c>
      <c r="B675" s="42">
        <f t="shared" si="20"/>
        <v>0.3914225236627501</v>
      </c>
    </row>
    <row r="676" spans="1:2" x14ac:dyDescent="0.25">
      <c r="A676" s="34">
        <f t="shared" si="21"/>
        <v>33.40000000000024</v>
      </c>
      <c r="B676" s="42">
        <f t="shared" si="20"/>
        <v>0.69758062861961179</v>
      </c>
    </row>
    <row r="677" spans="1:2" x14ac:dyDescent="0.25">
      <c r="A677" s="34">
        <f t="shared" si="21"/>
        <v>33.450000000000237</v>
      </c>
      <c r="B677" s="42">
        <f t="shared" si="20"/>
        <v>0.99592180845868705</v>
      </c>
    </row>
    <row r="678" spans="1:2" x14ac:dyDescent="0.25">
      <c r="A678" s="34">
        <f t="shared" si="21"/>
        <v>33.500000000000234</v>
      </c>
      <c r="B678" s="42">
        <f t="shared" si="20"/>
        <v>1.2836881564364193</v>
      </c>
    </row>
    <row r="679" spans="1:2" x14ac:dyDescent="0.25">
      <c r="A679" s="34">
        <f t="shared" si="21"/>
        <v>33.550000000000232</v>
      </c>
      <c r="B679" s="42">
        <f t="shared" si="20"/>
        <v>1.5582328812698159</v>
      </c>
    </row>
    <row r="680" spans="1:2" x14ac:dyDescent="0.25">
      <c r="A680" s="34">
        <f t="shared" si="21"/>
        <v>33.600000000000229</v>
      </c>
      <c r="B680" s="42">
        <f t="shared" si="20"/>
        <v>1.8170447553014655</v>
      </c>
    </row>
    <row r="681" spans="1:2" x14ac:dyDescent="0.25">
      <c r="A681" s="34">
        <f t="shared" si="21"/>
        <v>33.650000000000226</v>
      </c>
      <c r="B681" s="42">
        <f t="shared" si="20"/>
        <v>2.0577711779264276</v>
      </c>
    </row>
    <row r="682" spans="1:2" x14ac:dyDescent="0.25">
      <c r="A682" s="34">
        <f t="shared" si="21"/>
        <v>33.700000000000223</v>
      </c>
      <c r="B682" s="42">
        <f t="shared" si="20"/>
        <v>2.2782396415699573</v>
      </c>
    </row>
    <row r="683" spans="1:2" x14ac:dyDescent="0.25">
      <c r="A683" s="34">
        <f t="shared" si="21"/>
        <v>33.75000000000022</v>
      </c>
      <c r="B683" s="42">
        <f t="shared" si="20"/>
        <v>2.476477403576002</v>
      </c>
    </row>
    <row r="684" spans="1:2" x14ac:dyDescent="0.25">
      <c r="A684" s="34">
        <f t="shared" si="21"/>
        <v>33.800000000000217</v>
      </c>
      <c r="B684" s="42">
        <f t="shared" si="20"/>
        <v>2.6507291852456332</v>
      </c>
    </row>
    <row r="685" spans="1:2" x14ac:dyDescent="0.25">
      <c r="A685" s="34">
        <f t="shared" si="21"/>
        <v>33.850000000000215</v>
      </c>
      <c r="B685" s="42">
        <f t="shared" si="20"/>
        <v>2.7994727387739871</v>
      </c>
    </row>
    <row r="686" spans="1:2" x14ac:dyDescent="0.25">
      <c r="A686" s="34">
        <f t="shared" si="21"/>
        <v>33.900000000000212</v>
      </c>
      <c r="B686" s="42">
        <f t="shared" si="20"/>
        <v>2.9214321437818263</v>
      </c>
    </row>
    <row r="687" spans="1:2" x14ac:dyDescent="0.25">
      <c r="A687" s="34">
        <f t="shared" si="21"/>
        <v>33.950000000000209</v>
      </c>
      <c r="B687" s="42">
        <f t="shared" si="20"/>
        <v>3.0155887173161515</v>
      </c>
    </row>
    <row r="688" spans="1:2" x14ac:dyDescent="0.25">
      <c r="A688" s="34">
        <f t="shared" si="21"/>
        <v>34.000000000000206</v>
      </c>
      <c r="B688" s="42">
        <f t="shared" si="20"/>
        <v>3.0811894443863039</v>
      </c>
    </row>
    <row r="689" spans="1:2" x14ac:dyDescent="0.25">
      <c r="A689" s="34">
        <f t="shared" si="21"/>
        <v>34.050000000000203</v>
      </c>
      <c r="B689" s="42">
        <f t="shared" si="20"/>
        <v>3.1177528600827298</v>
      </c>
    </row>
    <row r="690" spans="1:2" x14ac:dyDescent="0.25">
      <c r="A690" s="34">
        <f t="shared" si="21"/>
        <v>34.1000000000002</v>
      </c>
      <c r="B690" s="42">
        <f t="shared" si="20"/>
        <v>3.1250723388612123</v>
      </c>
    </row>
    <row r="691" spans="1:2" x14ac:dyDescent="0.25">
      <c r="A691" s="34">
        <f t="shared" si="21"/>
        <v>34.150000000000198</v>
      </c>
      <c r="B691" s="42">
        <f t="shared" si="20"/>
        <v>3.1032167714290391</v>
      </c>
    </row>
    <row r="692" spans="1:2" x14ac:dyDescent="0.25">
      <c r="A692" s="34">
        <f t="shared" si="21"/>
        <v>34.200000000000195</v>
      </c>
      <c r="B692" s="42">
        <f t="shared" si="20"/>
        <v>3.0525286346032168</v>
      </c>
    </row>
    <row r="693" spans="1:2" x14ac:dyDescent="0.25">
      <c r="A693" s="34">
        <f t="shared" si="21"/>
        <v>34.250000000000192</v>
      </c>
      <c r="B693" s="42">
        <f t="shared" si="20"/>
        <v>2.973619484283764</v>
      </c>
    </row>
    <row r="694" spans="1:2" x14ac:dyDescent="0.25">
      <c r="A694" s="34">
        <f t="shared" si="21"/>
        <v>34.300000000000189</v>
      </c>
      <c r="B694" s="42">
        <f t="shared" si="20"/>
        <v>2.8673629260627354</v>
      </c>
    </row>
    <row r="695" spans="1:2" x14ac:dyDescent="0.25">
      <c r="A695" s="34">
        <f t="shared" si="21"/>
        <v>34.350000000000186</v>
      </c>
      <c r="B695" s="42">
        <f t="shared" si="20"/>
        <v>2.7348851417390092</v>
      </c>
    </row>
    <row r="696" spans="1:2" x14ac:dyDescent="0.25">
      <c r="A696" s="34">
        <f t="shared" si="21"/>
        <v>34.400000000000183</v>
      </c>
      <c r="B696" s="42">
        <f t="shared" si="20"/>
        <v>2.5775530729062588</v>
      </c>
    </row>
    <row r="697" spans="1:2" x14ac:dyDescent="0.25">
      <c r="A697" s="34">
        <f t="shared" si="21"/>
        <v>34.45000000000018</v>
      </c>
      <c r="B697" s="42">
        <f t="shared" si="20"/>
        <v>2.3969603846109391</v>
      </c>
    </row>
    <row r="698" spans="1:2" x14ac:dyDescent="0.25">
      <c r="A698" s="34">
        <f t="shared" si="21"/>
        <v>34.500000000000178</v>
      </c>
      <c r="B698" s="42">
        <f t="shared" si="20"/>
        <v>2.1949113526346058</v>
      </c>
    </row>
    <row r="699" spans="1:2" x14ac:dyDescent="0.25">
      <c r="A699" s="34">
        <f t="shared" si="21"/>
        <v>34.550000000000175</v>
      </c>
      <c r="B699" s="42">
        <f t="shared" si="20"/>
        <v>1.9734028370491141</v>
      </c>
    </row>
    <row r="700" spans="1:2" x14ac:dyDescent="0.25">
      <c r="A700" s="34">
        <f t="shared" si="21"/>
        <v>34.600000000000172</v>
      </c>
      <c r="B700" s="42">
        <f t="shared" si="20"/>
        <v>1.734604522147678</v>
      </c>
    </row>
    <row r="701" spans="1:2" x14ac:dyDescent="0.25">
      <c r="A701" s="34">
        <f t="shared" si="21"/>
        <v>34.650000000000169</v>
      </c>
      <c r="B701" s="42">
        <f t="shared" si="20"/>
        <v>1.4808376185101022</v>
      </c>
    </row>
    <row r="702" spans="1:2" x14ac:dyDescent="0.25">
      <c r="A702" s="34">
        <f t="shared" si="21"/>
        <v>34.700000000000166</v>
      </c>
      <c r="B702" s="42">
        <f t="shared" si="20"/>
        <v>1.2145522366741512</v>
      </c>
    </row>
    <row r="703" spans="1:2" x14ac:dyDescent="0.25">
      <c r="A703" s="34">
        <f t="shared" si="21"/>
        <v>34.750000000000163</v>
      </c>
      <c r="B703" s="42">
        <f t="shared" si="20"/>
        <v>0.93830365353510292</v>
      </c>
    </row>
    <row r="704" spans="1:2" x14ac:dyDescent="0.25">
      <c r="A704" s="34">
        <f t="shared" si="21"/>
        <v>34.800000000000161</v>
      </c>
      <c r="B704" s="42">
        <f t="shared" si="20"/>
        <v>0.6547277020796437</v>
      </c>
    </row>
    <row r="705" spans="1:2" x14ac:dyDescent="0.25">
      <c r="A705" s="34">
        <f t="shared" si="21"/>
        <v>34.850000000000158</v>
      </c>
      <c r="B705" s="42">
        <f t="shared" si="20"/>
        <v>0.36651552229672468</v>
      </c>
    </row>
    <row r="706" spans="1:2" x14ac:dyDescent="0.25">
      <c r="A706" s="34">
        <f t="shared" si="21"/>
        <v>34.900000000000155</v>
      </c>
      <c r="B706" s="42">
        <f t="shared" si="20"/>
        <v>7.6387916039364123E-2</v>
      </c>
    </row>
    <row r="707" spans="1:2" x14ac:dyDescent="0.25">
      <c r="A707" s="34">
        <f t="shared" si="21"/>
        <v>34.950000000000152</v>
      </c>
      <c r="B707" s="42">
        <f t="shared" si="20"/>
        <v>-0.2129304488007715</v>
      </c>
    </row>
    <row r="708" spans="1:2" x14ac:dyDescent="0.25">
      <c r="A708" s="34">
        <f t="shared" si="21"/>
        <v>35.000000000000149</v>
      </c>
      <c r="B708" s="42">
        <f t="shared" si="20"/>
        <v>-0.49873673921180073</v>
      </c>
    </row>
    <row r="709" spans="1:2" x14ac:dyDescent="0.25">
      <c r="A709" s="34">
        <f t="shared" si="21"/>
        <v>35.050000000000146</v>
      </c>
      <c r="B709" s="42">
        <f t="shared" si="20"/>
        <v>-0.77837531959548178</v>
      </c>
    </row>
    <row r="710" spans="1:2" x14ac:dyDescent="0.25">
      <c r="A710" s="34">
        <f t="shared" si="21"/>
        <v>35.100000000000144</v>
      </c>
      <c r="B710" s="42">
        <f t="shared" si="20"/>
        <v>-1.0492625368704918</v>
      </c>
    </row>
    <row r="711" spans="1:2" x14ac:dyDescent="0.25">
      <c r="A711" s="34">
        <f t="shared" si="21"/>
        <v>35.150000000000141</v>
      </c>
      <c r="B711" s="42">
        <f t="shared" si="20"/>
        <v>-1.3089106957940411</v>
      </c>
    </row>
    <row r="712" spans="1:2" x14ac:dyDescent="0.25">
      <c r="A712" s="34">
        <f t="shared" si="21"/>
        <v>35.200000000000138</v>
      </c>
      <c r="B712" s="42">
        <f t="shared" ref="B712:B775" si="22">-A1_x*SIN(p_x*A712)+A2_x*SIN(w_x*A712)</f>
        <v>-1.5549510010343104</v>
      </c>
    </row>
    <row r="713" spans="1:2" x14ac:dyDescent="0.25">
      <c r="A713" s="34">
        <f t="shared" ref="A713:A776" si="23">A712+$A$6</f>
        <v>35.250000000000135</v>
      </c>
      <c r="B713" s="42">
        <f t="shared" si="22"/>
        <v>-1.7851552535005586</v>
      </c>
    </row>
    <row r="714" spans="1:2" x14ac:dyDescent="0.25">
      <c r="A714" s="34">
        <f t="shared" si="23"/>
        <v>35.300000000000132</v>
      </c>
      <c r="B714" s="42">
        <f t="shared" si="22"/>
        <v>-1.9974561013895205</v>
      </c>
    </row>
    <row r="715" spans="1:2" x14ac:dyDescent="0.25">
      <c r="A715" s="34">
        <f t="shared" si="23"/>
        <v>35.350000000000129</v>
      </c>
      <c r="B715" s="42">
        <f t="shared" si="22"/>
        <v>-2.1899656612023639</v>
      </c>
    </row>
    <row r="716" spans="1:2" x14ac:dyDescent="0.25">
      <c r="A716" s="34">
        <f t="shared" si="23"/>
        <v>35.400000000000126</v>
      </c>
      <c r="B716" s="42">
        <f t="shared" si="22"/>
        <v>-2.3609923404726043</v>
      </c>
    </row>
    <row r="717" spans="1:2" x14ac:dyDescent="0.25">
      <c r="A717" s="34">
        <f t="shared" si="23"/>
        <v>35.450000000000124</v>
      </c>
      <c r="B717" s="42">
        <f t="shared" si="22"/>
        <v>-2.5090557119579073</v>
      </c>
    </row>
    <row r="718" spans="1:2" x14ac:dyDescent="0.25">
      <c r="A718" s="34">
        <f t="shared" si="23"/>
        <v>35.500000000000121</v>
      </c>
      <c r="B718" s="42">
        <f t="shared" si="22"/>
        <v>-2.6328993084071985</v>
      </c>
    </row>
    <row r="719" spans="1:2" x14ac:dyDescent="0.25">
      <c r="A719" s="34">
        <f t="shared" si="23"/>
        <v>35.550000000000118</v>
      </c>
      <c r="B719" s="42">
        <f t="shared" si="22"/>
        <v>-2.7315012275242543</v>
      </c>
    </row>
    <row r="720" spans="1:2" x14ac:dyDescent="0.25">
      <c r="A720" s="34">
        <f t="shared" si="23"/>
        <v>35.600000000000115</v>
      </c>
      <c r="B720" s="42">
        <f t="shared" si="22"/>
        <v>-2.8040824582096953</v>
      </c>
    </row>
    <row r="721" spans="1:2" x14ac:dyDescent="0.25">
      <c r="A721" s="34">
        <f t="shared" si="23"/>
        <v>35.650000000000112</v>
      </c>
      <c r="B721" s="42">
        <f t="shared" si="22"/>
        <v>-2.8501128613641216</v>
      </c>
    </row>
    <row r="722" spans="1:2" x14ac:dyDescent="0.25">
      <c r="A722" s="34">
        <f t="shared" si="23"/>
        <v>35.700000000000109</v>
      </c>
      <c r="B722" s="42">
        <f t="shared" si="22"/>
        <v>-2.8693147612570851</v>
      </c>
    </row>
    <row r="723" spans="1:2" x14ac:dyDescent="0.25">
      <c r="A723" s="34">
        <f t="shared" si="23"/>
        <v>35.750000000000107</v>
      </c>
      <c r="B723" s="42">
        <f t="shared" si="22"/>
        <v>-2.8616641264911138</v>
      </c>
    </row>
    <row r="724" spans="1:2" x14ac:dyDescent="0.25">
      <c r="A724" s="34">
        <f t="shared" si="23"/>
        <v>35.800000000000104</v>
      </c>
      <c r="B724" s="42">
        <f t="shared" si="22"/>
        <v>-2.8273893426941932</v>
      </c>
    </row>
    <row r="725" spans="1:2" x14ac:dyDescent="0.25">
      <c r="A725" s="34">
        <f t="shared" si="23"/>
        <v>35.850000000000101</v>
      </c>
      <c r="B725" s="42">
        <f t="shared" si="22"/>
        <v>-2.7669676020338714</v>
      </c>
    </row>
    <row r="726" spans="1:2" x14ac:dyDescent="0.25">
      <c r="A726" s="34">
        <f t="shared" si="23"/>
        <v>35.900000000000098</v>
      </c>
      <c r="B726" s="42">
        <f t="shared" si="22"/>
        <v>-2.681118957243867</v>
      </c>
    </row>
    <row r="727" spans="1:2" x14ac:dyDescent="0.25">
      <c r="A727" s="34">
        <f t="shared" si="23"/>
        <v>35.950000000000095</v>
      </c>
      <c r="B727" s="42">
        <f t="shared" si="22"/>
        <v>-2.5707981098738872</v>
      </c>
    </row>
    <row r="728" spans="1:2" x14ac:dyDescent="0.25">
      <c r="A728" s="34">
        <f t="shared" si="23"/>
        <v>36.000000000000092</v>
      </c>
      <c r="B728" s="42">
        <f t="shared" si="22"/>
        <v>-2.4371840237057079</v>
      </c>
    </row>
    <row r="729" spans="1:2" x14ac:dyDescent="0.25">
      <c r="A729" s="34">
        <f t="shared" si="23"/>
        <v>36.05000000000009</v>
      </c>
      <c r="B729" s="42">
        <f t="shared" si="22"/>
        <v>-2.2816674745253662</v>
      </c>
    </row>
    <row r="730" spans="1:2" x14ac:dyDescent="0.25">
      <c r="A730" s="34">
        <f t="shared" si="23"/>
        <v>36.100000000000087</v>
      </c>
      <c r="B730" s="42">
        <f t="shared" si="22"/>
        <v>-2.105836666511741</v>
      </c>
    </row>
    <row r="731" spans="1:2" x14ac:dyDescent="0.25">
      <c r="A731" s="34">
        <f t="shared" si="23"/>
        <v>36.150000000000084</v>
      </c>
      <c r="B731" s="42">
        <f t="shared" si="22"/>
        <v>-1.9114610632199347</v>
      </c>
    </row>
    <row r="732" spans="1:2" x14ac:dyDescent="0.25">
      <c r="A732" s="34">
        <f t="shared" si="23"/>
        <v>36.200000000000081</v>
      </c>
      <c r="B732" s="42">
        <f t="shared" si="22"/>
        <v>-1.7004735973396881</v>
      </c>
    </row>
    <row r="733" spans="1:2" x14ac:dyDescent="0.25">
      <c r="A733" s="34">
        <f t="shared" si="23"/>
        <v>36.250000000000078</v>
      </c>
      <c r="B733" s="42">
        <f t="shared" si="22"/>
        <v>-1.4749514379479427</v>
      </c>
    </row>
    <row r="734" spans="1:2" x14ac:dyDescent="0.25">
      <c r="A734" s="34">
        <f t="shared" si="23"/>
        <v>36.300000000000075</v>
      </c>
      <c r="B734" s="42">
        <f t="shared" si="22"/>
        <v>-1.2370955067191238</v>
      </c>
    </row>
    <row r="735" spans="1:2" x14ac:dyDescent="0.25">
      <c r="A735" s="34">
        <f t="shared" si="23"/>
        <v>36.350000000000072</v>
      </c>
      <c r="B735" s="42">
        <f t="shared" si="22"/>
        <v>-0.98920894539434778</v>
      </c>
    </row>
    <row r="736" spans="1:2" x14ac:dyDescent="0.25">
      <c r="A736" s="34">
        <f t="shared" si="23"/>
        <v>36.40000000000007</v>
      </c>
      <c r="B736" s="42">
        <f t="shared" si="22"/>
        <v>-0.7336747456479833</v>
      </c>
    </row>
    <row r="737" spans="1:2" x14ac:dyDescent="0.25">
      <c r="A737" s="34">
        <f t="shared" si="23"/>
        <v>36.450000000000067</v>
      </c>
      <c r="B737" s="42">
        <f t="shared" si="22"/>
        <v>-0.47293275925211775</v>
      </c>
    </row>
    <row r="738" spans="1:2" x14ac:dyDescent="0.25">
      <c r="A738" s="34">
        <f t="shared" si="23"/>
        <v>36.500000000000064</v>
      </c>
      <c r="B738" s="42">
        <f t="shared" si="22"/>
        <v>-0.20945631107402085</v>
      </c>
    </row>
    <row r="739" spans="1:2" x14ac:dyDescent="0.25">
      <c r="A739" s="34">
        <f t="shared" si="23"/>
        <v>36.550000000000061</v>
      </c>
      <c r="B739" s="42">
        <f t="shared" si="22"/>
        <v>5.4271360084589437E-2</v>
      </c>
    </row>
    <row r="740" spans="1:2" x14ac:dyDescent="0.25">
      <c r="A740" s="34">
        <f t="shared" si="23"/>
        <v>36.600000000000058</v>
      </c>
      <c r="B740" s="42">
        <f t="shared" si="22"/>
        <v>0.31578060749704862</v>
      </c>
    </row>
    <row r="741" spans="1:2" x14ac:dyDescent="0.25">
      <c r="A741" s="34">
        <f t="shared" si="23"/>
        <v>36.650000000000055</v>
      </c>
      <c r="B741" s="42">
        <f t="shared" si="22"/>
        <v>0.57263860592210913</v>
      </c>
    </row>
    <row r="742" spans="1:2" x14ac:dyDescent="0.25">
      <c r="A742" s="34">
        <f t="shared" si="23"/>
        <v>36.700000000000053</v>
      </c>
      <c r="B742" s="42">
        <f t="shared" si="22"/>
        <v>0.82247208496184554</v>
      </c>
    </row>
    <row r="743" spans="1:2" x14ac:dyDescent="0.25">
      <c r="A743" s="34">
        <f t="shared" si="23"/>
        <v>36.75000000000005</v>
      </c>
      <c r="B743" s="42">
        <f t="shared" si="22"/>
        <v>1.0629893529912398</v>
      </c>
    </row>
    <row r="744" spans="1:2" x14ac:dyDescent="0.25">
      <c r="A744" s="34">
        <f t="shared" si="23"/>
        <v>36.800000000000047</v>
      </c>
      <c r="B744" s="42">
        <f t="shared" si="22"/>
        <v>1.2920014063714733</v>
      </c>
    </row>
    <row r="745" spans="1:2" x14ac:dyDescent="0.25">
      <c r="A745" s="34">
        <f t="shared" si="23"/>
        <v>36.850000000000044</v>
      </c>
      <c r="B745" s="42">
        <f t="shared" si="22"/>
        <v>1.507441928669325</v>
      </c>
    </row>
    <row r="746" spans="1:2" x14ac:dyDescent="0.25">
      <c r="A746" s="34">
        <f t="shared" si="23"/>
        <v>36.900000000000041</v>
      </c>
      <c r="B746" s="42">
        <f t="shared" si="22"/>
        <v>1.7073859964307203</v>
      </c>
    </row>
    <row r="747" spans="1:2" x14ac:dyDescent="0.25">
      <c r="A747" s="34">
        <f t="shared" si="23"/>
        <v>36.950000000000038</v>
      </c>
      <c r="B747" s="42">
        <f t="shared" si="22"/>
        <v>1.8900673215702961</v>
      </c>
    </row>
    <row r="748" spans="1:2" x14ac:dyDescent="0.25">
      <c r="A748" s="34">
        <f t="shared" si="23"/>
        <v>37.000000000000036</v>
      </c>
      <c r="B748" s="42">
        <f t="shared" si="22"/>
        <v>2.0538938755039231</v>
      </c>
    </row>
    <row r="749" spans="1:2" x14ac:dyDescent="0.25">
      <c r="A749" s="34">
        <f t="shared" si="23"/>
        <v>37.050000000000033</v>
      </c>
      <c r="B749" s="42">
        <f t="shared" si="22"/>
        <v>2.1974617566099601</v>
      </c>
    </row>
    <row r="750" spans="1:2" x14ac:dyDescent="0.25">
      <c r="A750" s="34">
        <f t="shared" si="23"/>
        <v>37.10000000000003</v>
      </c>
      <c r="B750" s="42">
        <f t="shared" si="22"/>
        <v>2.319567180293852</v>
      </c>
    </row>
    <row r="751" spans="1:2" x14ac:dyDescent="0.25">
      <c r="A751" s="34">
        <f t="shared" si="23"/>
        <v>37.150000000000027</v>
      </c>
      <c r="B751" s="42">
        <f t="shared" si="22"/>
        <v>2.4192164896680399</v>
      </c>
    </row>
    <row r="752" spans="1:2" x14ac:dyDescent="0.25">
      <c r="A752" s="34">
        <f t="shared" si="23"/>
        <v>37.200000000000024</v>
      </c>
      <c r="B752" s="42">
        <f t="shared" si="22"/>
        <v>2.4956341044606383</v>
      </c>
    </row>
    <row r="753" spans="1:2" x14ac:dyDescent="0.25">
      <c r="A753" s="34">
        <f t="shared" si="23"/>
        <v>37.250000000000021</v>
      </c>
      <c r="B753" s="42">
        <f t="shared" si="22"/>
        <v>2.5482683460374709</v>
      </c>
    </row>
    <row r="754" spans="1:2" x14ac:dyDescent="0.25">
      <c r="A754" s="34">
        <f t="shared" si="23"/>
        <v>37.300000000000018</v>
      </c>
      <c r="B754" s="42">
        <f t="shared" si="22"/>
        <v>2.5767950971610305</v>
      </c>
    </row>
    <row r="755" spans="1:2" x14ac:dyDescent="0.25">
      <c r="A755" s="34">
        <f t="shared" si="23"/>
        <v>37.350000000000016</v>
      </c>
      <c r="B755" s="42">
        <f t="shared" si="22"/>
        <v>2.5811192761160182</v>
      </c>
    </row>
    <row r="756" spans="1:2" x14ac:dyDescent="0.25">
      <c r="A756" s="34">
        <f t="shared" si="23"/>
        <v>37.400000000000013</v>
      </c>
      <c r="B756" s="42">
        <f t="shared" si="22"/>
        <v>2.5613741258997198</v>
      </c>
    </row>
    <row r="757" spans="1:2" x14ac:dyDescent="0.25">
      <c r="A757" s="34">
        <f t="shared" si="23"/>
        <v>37.45000000000001</v>
      </c>
      <c r="B757" s="42">
        <f t="shared" si="22"/>
        <v>2.517918340100838</v>
      </c>
    </row>
    <row r="758" spans="1:2" x14ac:dyDescent="0.25">
      <c r="A758" s="34">
        <f t="shared" si="23"/>
        <v>37.500000000000007</v>
      </c>
      <c r="B758" s="42">
        <f t="shared" si="22"/>
        <v>2.451331067673582</v>
      </c>
    </row>
    <row r="759" spans="1:2" x14ac:dyDescent="0.25">
      <c r="A759" s="34">
        <f t="shared" si="23"/>
        <v>37.550000000000004</v>
      </c>
      <c r="B759" s="42">
        <f t="shared" si="22"/>
        <v>2.3624048588577047</v>
      </c>
    </row>
    <row r="760" spans="1:2" x14ac:dyDescent="0.25">
      <c r="A760" s="34">
        <f t="shared" si="23"/>
        <v>37.6</v>
      </c>
      <c r="B760" s="42">
        <f t="shared" si="22"/>
        <v>2.2521366338080826</v>
      </c>
    </row>
    <row r="761" spans="1:2" x14ac:dyDescent="0.25">
      <c r="A761" s="34">
        <f t="shared" si="23"/>
        <v>37.65</v>
      </c>
      <c r="B761" s="42">
        <f t="shared" si="22"/>
        <v>2.1217167738992702</v>
      </c>
    </row>
    <row r="762" spans="1:2" x14ac:dyDescent="0.25">
      <c r="A762" s="34">
        <f t="shared" si="23"/>
        <v>37.699999999999996</v>
      </c>
      <c r="B762" s="42">
        <f t="shared" si="22"/>
        <v>1.9725164529885293</v>
      </c>
    </row>
    <row r="763" spans="1:2" x14ac:dyDescent="0.25">
      <c r="A763" s="34">
        <f t="shared" si="23"/>
        <v>37.749999999999993</v>
      </c>
      <c r="B763" s="42">
        <f t="shared" si="22"/>
        <v>1.806073341993905</v>
      </c>
    </row>
    <row r="764" spans="1:2" x14ac:dyDescent="0.25">
      <c r="A764" s="34">
        <f t="shared" si="23"/>
        <v>37.79999999999999</v>
      </c>
      <c r="B764" s="42">
        <f t="shared" si="22"/>
        <v>1.6240758348258579</v>
      </c>
    </row>
    <row r="765" spans="1:2" x14ac:dyDescent="0.25">
      <c r="A765" s="34">
        <f t="shared" si="23"/>
        <v>37.849999999999987</v>
      </c>
      <c r="B765" s="42">
        <f t="shared" si="22"/>
        <v>1.4283459568681995</v>
      </c>
    </row>
    <row r="766" spans="1:2" x14ac:dyDescent="0.25">
      <c r="A766" s="34">
        <f t="shared" si="23"/>
        <v>37.899999999999984</v>
      </c>
      <c r="B766" s="42">
        <f t="shared" si="22"/>
        <v>1.2208211287190089</v>
      </c>
    </row>
    <row r="767" spans="1:2" x14ac:dyDescent="0.25">
      <c r="A767" s="34">
        <f t="shared" si="23"/>
        <v>37.949999999999982</v>
      </c>
      <c r="B767" s="42">
        <f t="shared" si="22"/>
        <v>1.0035349676749403</v>
      </c>
    </row>
    <row r="768" spans="1:2" x14ac:dyDescent="0.25">
      <c r="A768" s="34">
        <f t="shared" si="23"/>
        <v>37.999999999999979</v>
      </c>
      <c r="B768" s="42">
        <f t="shared" si="22"/>
        <v>0.77859731738904503</v>
      </c>
    </row>
    <row r="769" spans="1:2" x14ac:dyDescent="0.25">
      <c r="A769" s="34">
        <f t="shared" si="23"/>
        <v>38.049999999999976</v>
      </c>
      <c r="B769" s="42">
        <f t="shared" si="22"/>
        <v>0.54817370218864503</v>
      </c>
    </row>
    <row r="770" spans="1:2" x14ac:dyDescent="0.25">
      <c r="A770" s="34">
        <f t="shared" si="23"/>
        <v>38.099999999999973</v>
      </c>
      <c r="B770" s="42">
        <f t="shared" si="22"/>
        <v>0.3144644066594442</v>
      </c>
    </row>
    <row r="771" spans="1:2" x14ac:dyDescent="0.25">
      <c r="A771" s="34">
        <f t="shared" si="23"/>
        <v>38.14999999999997</v>
      </c>
      <c r="B771" s="42">
        <f t="shared" si="22"/>
        <v>7.9683383258625007E-2</v>
      </c>
    </row>
    <row r="772" spans="1:2" x14ac:dyDescent="0.25">
      <c r="A772" s="34">
        <f t="shared" si="23"/>
        <v>38.199999999999967</v>
      </c>
      <c r="B772" s="42">
        <f t="shared" si="22"/>
        <v>-0.15396280909557536</v>
      </c>
    </row>
    <row r="773" spans="1:2" x14ac:dyDescent="0.25">
      <c r="A773" s="34">
        <f t="shared" si="23"/>
        <v>38.249999999999964</v>
      </c>
      <c r="B773" s="42">
        <f t="shared" si="22"/>
        <v>-0.38429583428445535</v>
      </c>
    </row>
    <row r="774" spans="1:2" x14ac:dyDescent="0.25">
      <c r="A774" s="34">
        <f t="shared" si="23"/>
        <v>38.299999999999962</v>
      </c>
      <c r="B774" s="42">
        <f t="shared" si="22"/>
        <v>-0.60918597862957058</v>
      </c>
    </row>
    <row r="775" spans="1:2" x14ac:dyDescent="0.25">
      <c r="A775" s="34">
        <f t="shared" si="23"/>
        <v>38.349999999999959</v>
      </c>
      <c r="B775" s="42">
        <f t="shared" si="22"/>
        <v>-0.82657192902751797</v>
      </c>
    </row>
    <row r="776" spans="1:2" x14ac:dyDescent="0.25">
      <c r="A776" s="34">
        <f t="shared" si="23"/>
        <v>38.399999999999956</v>
      </c>
      <c r="B776" s="42">
        <f t="shared" ref="B776:B839" si="24">-A1_x*SIN(p_x*A776)+A2_x*SIN(w_x*A776)</f>
        <v>-1.034479745088517</v>
      </c>
    </row>
    <row r="777" spans="1:2" x14ac:dyDescent="0.25">
      <c r="A777" s="34">
        <f t="shared" ref="A777:A840" si="25">A776+$A$6</f>
        <v>38.449999999999953</v>
      </c>
      <c r="B777" s="42">
        <f t="shared" si="24"/>
        <v>-1.2310408499132728</v>
      </c>
    </row>
    <row r="778" spans="1:2" x14ac:dyDescent="0.25">
      <c r="A778" s="34">
        <f t="shared" si="25"/>
        <v>38.49999999999995</v>
      </c>
      <c r="B778" s="42">
        <f t="shared" si="24"/>
        <v>-1.4145088748962102</v>
      </c>
    </row>
    <row r="779" spans="1:2" x14ac:dyDescent="0.25">
      <c r="A779" s="34">
        <f t="shared" si="25"/>
        <v>38.549999999999947</v>
      </c>
      <c r="B779" s="42">
        <f t="shared" si="24"/>
        <v>-1.5832752062077855</v>
      </c>
    </row>
    <row r="780" spans="1:2" x14ac:dyDescent="0.25">
      <c r="A780" s="34">
        <f t="shared" si="25"/>
        <v>38.599999999999945</v>
      </c>
      <c r="B780" s="42">
        <f t="shared" si="24"/>
        <v>-1.735883094256393</v>
      </c>
    </row>
    <row r="781" spans="1:2" x14ac:dyDescent="0.25">
      <c r="A781" s="34">
        <f t="shared" si="25"/>
        <v>38.649999999999942</v>
      </c>
      <c r="B781" s="42">
        <f t="shared" si="24"/>
        <v>-1.871040202319421</v>
      </c>
    </row>
    <row r="782" spans="1:2" x14ac:dyDescent="0.25">
      <c r="A782" s="34">
        <f t="shared" si="25"/>
        <v>38.699999999999939</v>
      </c>
      <c r="B782" s="42">
        <f t="shared" si="24"/>
        <v>-1.9876294865075295</v>
      </c>
    </row>
    <row r="783" spans="1:2" x14ac:dyDescent="0.25">
      <c r="A783" s="34">
        <f t="shared" si="25"/>
        <v>38.749999999999936</v>
      </c>
      <c r="B783" s="42">
        <f t="shared" si="24"/>
        <v>-2.0847183161254899</v>
      </c>
    </row>
    <row r="784" spans="1:2" x14ac:dyDescent="0.25">
      <c r="A784" s="34">
        <f t="shared" si="25"/>
        <v>38.799999999999933</v>
      </c>
      <c r="B784" s="42">
        <f t="shared" si="24"/>
        <v>-2.1615657611462065</v>
      </c>
    </row>
    <row r="785" spans="1:2" x14ac:dyDescent="0.25">
      <c r="A785" s="34">
        <f t="shared" si="25"/>
        <v>38.84999999999993</v>
      </c>
      <c r="B785" s="42">
        <f t="shared" si="24"/>
        <v>-2.2176279917424861</v>
      </c>
    </row>
    <row r="786" spans="1:2" x14ac:dyDescent="0.25">
      <c r="A786" s="34">
        <f t="shared" si="25"/>
        <v>38.899999999999928</v>
      </c>
      <c r="B786" s="42">
        <f t="shared" si="24"/>
        <v>-2.2525617534446583</v>
      </c>
    </row>
    <row r="787" spans="1:2" x14ac:dyDescent="0.25">
      <c r="A787" s="34">
        <f t="shared" si="25"/>
        <v>38.949999999999925</v>
      </c>
      <c r="B787" s="42">
        <f t="shared" si="24"/>
        <v>-2.2662259003272922</v>
      </c>
    </row>
    <row r="788" spans="1:2" x14ac:dyDescent="0.25">
      <c r="A788" s="34">
        <f t="shared" si="25"/>
        <v>38.999999999999922</v>
      </c>
      <c r="B788" s="42">
        <f t="shared" si="24"/>
        <v>-2.258680987487744</v>
      </c>
    </row>
    <row r="789" spans="1:2" x14ac:dyDescent="0.25">
      <c r="A789" s="34">
        <f t="shared" si="25"/>
        <v>39.049999999999919</v>
      </c>
      <c r="B789" s="42">
        <f t="shared" si="24"/>
        <v>-2.2301869427828462</v>
      </c>
    </row>
    <row r="790" spans="1:2" x14ac:dyDescent="0.25">
      <c r="A790" s="34">
        <f t="shared" si="25"/>
        <v>39.099999999999916</v>
      </c>
      <c r="B790" s="42">
        <f t="shared" si="24"/>
        <v>-2.1811988561537827</v>
      </c>
    </row>
    <row r="791" spans="1:2" x14ac:dyDescent="0.25">
      <c r="A791" s="34">
        <f t="shared" si="25"/>
        <v>39.149999999999913</v>
      </c>
      <c r="B791" s="42">
        <f t="shared" si="24"/>
        <v>-2.1123609427196159</v>
      </c>
    </row>
    <row r="792" spans="1:2" x14ac:dyDescent="0.25">
      <c r="A792" s="34">
        <f t="shared" si="25"/>
        <v>39.19999999999991</v>
      </c>
      <c r="B792" s="42">
        <f t="shared" si="24"/>
        <v>-2.0244987529842411</v>
      </c>
    </row>
    <row r="793" spans="1:2" x14ac:dyDescent="0.25">
      <c r="A793" s="34">
        <f t="shared" si="25"/>
        <v>39.249999999999908</v>
      </c>
      <c r="B793" s="42">
        <f t="shared" si="24"/>
        <v>-1.9186097198198837</v>
      </c>
    </row>
    <row r="794" spans="1:2" x14ac:dyDescent="0.25">
      <c r="A794" s="34">
        <f t="shared" si="25"/>
        <v>39.299999999999905</v>
      </c>
      <c r="B794" s="42">
        <f t="shared" si="24"/>
        <v>-1.7958521472095814</v>
      </c>
    </row>
    <row r="795" spans="1:2" x14ac:dyDescent="0.25">
      <c r="A795" s="34">
        <f t="shared" si="25"/>
        <v>39.349999999999902</v>
      </c>
      <c r="B795" s="42">
        <f t="shared" si="24"/>
        <v>-1.6575327599084579</v>
      </c>
    </row>
    <row r="796" spans="1:2" x14ac:dyDescent="0.25">
      <c r="A796" s="34">
        <f t="shared" si="25"/>
        <v>39.399999999999899</v>
      </c>
      <c r="B796" s="42">
        <f t="shared" si="24"/>
        <v>-1.5050929460911264</v>
      </c>
    </row>
    <row r="797" spans="1:2" x14ac:dyDescent="0.25">
      <c r="A797" s="34">
        <f t="shared" si="25"/>
        <v>39.449999999999896</v>
      </c>
      <c r="B797" s="42">
        <f t="shared" si="24"/>
        <v>-1.3400938365735162</v>
      </c>
    </row>
    <row r="798" spans="1:2" x14ac:dyDescent="0.25">
      <c r="A798" s="34">
        <f t="shared" si="25"/>
        <v>39.499999999999893</v>
      </c>
      <c r="B798" s="42">
        <f t="shared" si="24"/>
        <v>-1.1642003742295595</v>
      </c>
    </row>
    <row r="799" spans="1:2" x14ac:dyDescent="0.25">
      <c r="A799" s="34">
        <f t="shared" si="25"/>
        <v>39.549999999999891</v>
      </c>
      <c r="B799" s="42">
        <f t="shared" si="24"/>
        <v>-0.97916453568123596</v>
      </c>
    </row>
    <row r="800" spans="1:2" x14ac:dyDescent="0.25">
      <c r="A800" s="34">
        <f t="shared" si="25"/>
        <v>39.599999999999888</v>
      </c>
      <c r="B800" s="42">
        <f t="shared" si="24"/>
        <v>-0.78680787415349829</v>
      </c>
    </row>
    <row r="801" spans="1:2" x14ac:dyDescent="0.25">
      <c r="A801" s="34">
        <f t="shared" si="25"/>
        <v>39.649999999999885</v>
      </c>
      <c r="B801" s="42">
        <f t="shared" si="24"/>
        <v>-0.58900355750010114</v>
      </c>
    </row>
    <row r="802" spans="1:2" x14ac:dyDescent="0.25">
      <c r="A802" s="34">
        <f t="shared" si="25"/>
        <v>39.699999999999882</v>
      </c>
      <c r="B802" s="42">
        <f t="shared" si="24"/>
        <v>-0.38765807878622005</v>
      </c>
    </row>
    <row r="803" spans="1:2" x14ac:dyDescent="0.25">
      <c r="A803" s="34">
        <f t="shared" si="25"/>
        <v>39.749999999999879</v>
      </c>
      <c r="B803" s="42">
        <f t="shared" si="24"/>
        <v>-0.18469281843904239</v>
      </c>
    </row>
    <row r="804" spans="1:2" x14ac:dyDescent="0.25">
      <c r="A804" s="34">
        <f t="shared" si="25"/>
        <v>39.799999999999876</v>
      </c>
      <c r="B804" s="42">
        <f t="shared" si="24"/>
        <v>1.797436315287082E-2</v>
      </c>
    </row>
    <row r="805" spans="1:2" x14ac:dyDescent="0.25">
      <c r="A805" s="34">
        <f t="shared" si="25"/>
        <v>39.849999999999874</v>
      </c>
      <c r="B805" s="42">
        <f t="shared" si="24"/>
        <v>0.21844732558155067</v>
      </c>
    </row>
    <row r="806" spans="1:2" x14ac:dyDescent="0.25">
      <c r="A806" s="34">
        <f t="shared" si="25"/>
        <v>39.899999999999871</v>
      </c>
      <c r="B806" s="42">
        <f t="shared" si="24"/>
        <v>0.4148694674727007</v>
      </c>
    </row>
    <row r="807" spans="1:2" x14ac:dyDescent="0.25">
      <c r="A807" s="34">
        <f t="shared" si="25"/>
        <v>39.949999999999868</v>
      </c>
      <c r="B807" s="42">
        <f t="shared" si="24"/>
        <v>0.6054409964579115</v>
      </c>
    </row>
    <row r="808" spans="1:2" x14ac:dyDescent="0.25">
      <c r="A808" s="34">
        <f t="shared" si="25"/>
        <v>39.999999999999865</v>
      </c>
      <c r="B808" s="42">
        <f t="shared" si="24"/>
        <v>0.78843548870678504</v>
      </c>
    </row>
    <row r="809" spans="1:2" x14ac:dyDescent="0.25">
      <c r="A809" s="34">
        <f t="shared" si="25"/>
        <v>40.049999999999862</v>
      </c>
      <c r="B809" s="42">
        <f t="shared" si="24"/>
        <v>0.96221558500764237</v>
      </c>
    </row>
    <row r="810" spans="1:2" x14ac:dyDescent="0.25">
      <c r="A810" s="34">
        <f t="shared" si="25"/>
        <v>40.099999999999859</v>
      </c>
      <c r="B810" s="42">
        <f t="shared" si="24"/>
        <v>1.1252476801520692</v>
      </c>
    </row>
    <row r="811" spans="1:2" x14ac:dyDescent="0.25">
      <c r="A811" s="34">
        <f t="shared" si="25"/>
        <v>40.149999999999856</v>
      </c>
      <c r="B811" s="42">
        <f t="shared" si="24"/>
        <v>1.2761154734589077</v>
      </c>
    </row>
    <row r="812" spans="1:2" x14ac:dyDescent="0.25">
      <c r="A812" s="34">
        <f t="shared" si="25"/>
        <v>40.199999999999854</v>
      </c>
      <c r="B812" s="42">
        <f t="shared" si="24"/>
        <v>1.413532260545205</v>
      </c>
    </row>
    <row r="813" spans="1:2" x14ac:dyDescent="0.25">
      <c r="A813" s="34">
        <f t="shared" si="25"/>
        <v>40.249999999999851</v>
      </c>
      <c r="B813" s="42">
        <f t="shared" si="24"/>
        <v>1.5363518597875065</v>
      </c>
    </row>
    <row r="814" spans="1:2" x14ac:dyDescent="0.25">
      <c r="A814" s="34">
        <f t="shared" si="25"/>
        <v>40.299999999999848</v>
      </c>
      <c r="B814" s="42">
        <f t="shared" si="24"/>
        <v>1.6435780811736931</v>
      </c>
    </row>
    <row r="815" spans="1:2" x14ac:dyDescent="0.25">
      <c r="A815" s="34">
        <f t="shared" si="25"/>
        <v>40.349999999999845</v>
      </c>
      <c r="B815" s="42">
        <f t="shared" si="24"/>
        <v>1.7343726602776879</v>
      </c>
    </row>
    <row r="816" spans="1:2" x14ac:dyDescent="0.25">
      <c r="A816" s="34">
        <f t="shared" si="25"/>
        <v>40.399999999999842</v>
      </c>
      <c r="B816" s="42">
        <f t="shared" si="24"/>
        <v>1.8080615957427455</v>
      </c>
    </row>
    <row r="817" spans="1:2" x14ac:dyDescent="0.25">
      <c r="A817" s="34">
        <f t="shared" si="25"/>
        <v>40.449999999999839</v>
      </c>
      <c r="B817" s="42">
        <f t="shared" si="24"/>
        <v>1.8641398447720827</v>
      </c>
    </row>
    <row r="818" spans="1:2" x14ac:dyDescent="0.25">
      <c r="A818" s="34">
        <f t="shared" si="25"/>
        <v>40.499999999999837</v>
      </c>
      <c r="B818" s="42">
        <f t="shared" si="24"/>
        <v>1.9022743475382518</v>
      </c>
    </row>
    <row r="819" spans="1:2" x14ac:dyDescent="0.25">
      <c r="A819" s="34">
        <f t="shared" si="25"/>
        <v>40.549999999999834</v>
      </c>
      <c r="B819" s="42">
        <f t="shared" si="24"/>
        <v>1.9223053679708211</v>
      </c>
    </row>
    <row r="820" spans="1:2" x14ac:dyDescent="0.25">
      <c r="A820" s="34">
        <f t="shared" si="25"/>
        <v>40.599999999999831</v>
      </c>
      <c r="B820" s="42">
        <f t="shared" si="24"/>
        <v>1.9242461548992731</v>
      </c>
    </row>
    <row r="821" spans="1:2" x14ac:dyDescent="0.25">
      <c r="A821" s="34">
        <f t="shared" si="25"/>
        <v>40.649999999999828</v>
      </c>
      <c r="B821" s="42">
        <f t="shared" si="24"/>
        <v>1.9082809438545771</v>
      </c>
    </row>
    <row r="822" spans="1:2" x14ac:dyDescent="0.25">
      <c r="A822" s="34">
        <f t="shared" si="25"/>
        <v>40.699999999999825</v>
      </c>
      <c r="B822" s="42">
        <f t="shared" si="24"/>
        <v>1.8747613358092701</v>
      </c>
    </row>
    <row r="823" spans="1:2" x14ac:dyDescent="0.25">
      <c r="A823" s="34">
        <f t="shared" si="25"/>
        <v>40.749999999999822</v>
      </c>
      <c r="B823" s="42">
        <f t="shared" si="24"/>
        <v>1.8242011046056992</v>
      </c>
    </row>
    <row r="824" spans="1:2" x14ac:dyDescent="0.25">
      <c r="A824" s="34">
        <f t="shared" si="25"/>
        <v>40.79999999999982</v>
      </c>
      <c r="B824" s="42">
        <f t="shared" si="24"/>
        <v>1.7572694996395639</v>
      </c>
    </row>
    <row r="825" spans="1:2" x14ac:dyDescent="0.25">
      <c r="A825" s="34">
        <f t="shared" si="25"/>
        <v>40.849999999999817</v>
      </c>
      <c r="B825" s="42">
        <f t="shared" si="24"/>
        <v>1.6747831243902984</v>
      </c>
    </row>
    <row r="826" spans="1:2" x14ac:dyDescent="0.25">
      <c r="A826" s="34">
        <f t="shared" si="25"/>
        <v>40.899999999999814</v>
      </c>
      <c r="B826" s="42">
        <f t="shared" si="24"/>
        <v>1.5776964844882719</v>
      </c>
    </row>
    <row r="827" spans="1:2" x14ac:dyDescent="0.25">
      <c r="A827" s="34">
        <f t="shared" si="25"/>
        <v>40.949999999999811</v>
      </c>
      <c r="B827" s="42">
        <f t="shared" si="24"/>
        <v>1.4670913110621768</v>
      </c>
    </row>
    <row r="828" spans="1:2" x14ac:dyDescent="0.25">
      <c r="A828" s="34">
        <f t="shared" si="25"/>
        <v>40.999999999999808</v>
      </c>
      <c r="B828" s="42">
        <f t="shared" si="24"/>
        <v>1.3441647760082631</v>
      </c>
    </row>
    <row r="829" spans="1:2" x14ac:dyDescent="0.25">
      <c r="A829" s="34">
        <f t="shared" si="25"/>
        <v>41.049999999999805</v>
      </c>
      <c r="B829" s="42">
        <f t="shared" si="24"/>
        <v>1.2102167254678431</v>
      </c>
    </row>
    <row r="830" spans="1:2" x14ac:dyDescent="0.25">
      <c r="A830" s="34">
        <f t="shared" si="25"/>
        <v>41.099999999999802</v>
      </c>
      <c r="B830" s="42">
        <f t="shared" si="24"/>
        <v>1.0666360661087384</v>
      </c>
    </row>
    <row r="831" spans="1:2" x14ac:dyDescent="0.25">
      <c r="A831" s="34">
        <f t="shared" si="25"/>
        <v>41.1499999999998</v>
      </c>
      <c r="B831" s="42">
        <f t="shared" si="24"/>
        <v>0.91488644570859301</v>
      </c>
    </row>
    <row r="832" spans="1:2" x14ac:dyDescent="0.25">
      <c r="A832" s="34">
        <f t="shared" si="25"/>
        <v>41.199999999999797</v>
      </c>
      <c r="B832" s="42">
        <f t="shared" si="24"/>
        <v>0.75649137497904029</v>
      </c>
    </row>
    <row r="833" spans="1:2" x14ac:dyDescent="0.25">
      <c r="A833" s="34">
        <f t="shared" si="25"/>
        <v>41.249999999999794</v>
      </c>
      <c r="B833" s="42">
        <f t="shared" si="24"/>
        <v>0.59301894150835954</v>
      </c>
    </row>
    <row r="834" spans="1:2" x14ac:dyDescent="0.25">
      <c r="A834" s="34">
        <f t="shared" si="25"/>
        <v>41.299999999999791</v>
      </c>
      <c r="B834" s="42">
        <f t="shared" si="24"/>
        <v>0.42606626911237777</v>
      </c>
    </row>
    <row r="835" spans="1:2" x14ac:dyDescent="0.25">
      <c r="A835" s="34">
        <f t="shared" si="25"/>
        <v>41.349999999999788</v>
      </c>
      <c r="B835" s="42">
        <f t="shared" si="24"/>
        <v>0.2572438767587546</v>
      </c>
    </row>
    <row r="836" spans="1:2" x14ac:dyDescent="0.25">
      <c r="A836" s="34">
        <f t="shared" si="25"/>
        <v>41.399999999999785</v>
      </c>
      <c r="B836" s="42">
        <f t="shared" si="24"/>
        <v>8.8160090574574745E-2</v>
      </c>
    </row>
    <row r="837" spans="1:2" x14ac:dyDescent="0.25">
      <c r="A837" s="34">
        <f t="shared" si="25"/>
        <v>41.449999999999783</v>
      </c>
      <c r="B837" s="42">
        <f t="shared" si="24"/>
        <v>-7.9594339717405482E-2</v>
      </c>
    </row>
    <row r="838" spans="1:2" x14ac:dyDescent="0.25">
      <c r="A838" s="34">
        <f t="shared" si="25"/>
        <v>41.49999999999978</v>
      </c>
      <c r="B838" s="42">
        <f t="shared" si="24"/>
        <v>-0.24446127222728586</v>
      </c>
    </row>
    <row r="839" spans="1:2" x14ac:dyDescent="0.25">
      <c r="A839" s="34">
        <f t="shared" si="25"/>
        <v>41.549999999999777</v>
      </c>
      <c r="B839" s="42">
        <f t="shared" si="24"/>
        <v>-0.40492970954637353</v>
      </c>
    </row>
    <row r="840" spans="1:2" x14ac:dyDescent="0.25">
      <c r="A840" s="34">
        <f t="shared" si="25"/>
        <v>41.599999999999774</v>
      </c>
      <c r="B840" s="42">
        <f t="shared" ref="B840:B903" si="26">-A1_x*SIN(p_x*A840)+A2_x*SIN(w_x*A840)</f>
        <v>-0.55954970439135243</v>
      </c>
    </row>
    <row r="841" spans="1:2" x14ac:dyDescent="0.25">
      <c r="A841" s="34">
        <f t="shared" ref="A841:A904" si="27">A840+$A$6</f>
        <v>41.649999999999771</v>
      </c>
      <c r="B841" s="42">
        <f t="shared" si="26"/>
        <v>-0.70694550572411896</v>
      </c>
    </row>
    <row r="842" spans="1:2" x14ac:dyDescent="0.25">
      <c r="A842" s="34">
        <f t="shared" si="27"/>
        <v>41.699999999999768</v>
      </c>
      <c r="B842" s="42">
        <f t="shared" si="26"/>
        <v>-0.84582782572308535</v>
      </c>
    </row>
    <row r="843" spans="1:2" x14ac:dyDescent="0.25">
      <c r="A843" s="34">
        <f t="shared" si="27"/>
        <v>41.749999999999766</v>
      </c>
      <c r="B843" s="42">
        <f t="shared" si="26"/>
        <v>-0.97500511797068645</v>
      </c>
    </row>
    <row r="844" spans="1:2" x14ac:dyDescent="0.25">
      <c r="A844" s="34">
        <f t="shared" si="27"/>
        <v>41.799999999999763</v>
      </c>
      <c r="B844" s="42">
        <f t="shared" si="26"/>
        <v>-1.0933937681939083</v>
      </c>
    </row>
    <row r="845" spans="1:2" x14ac:dyDescent="0.25">
      <c r="A845" s="34">
        <f t="shared" si="27"/>
        <v>41.84999999999976</v>
      </c>
      <c r="B845" s="42">
        <f t="shared" si="26"/>
        <v>-1.2000271107286924</v>
      </c>
    </row>
    <row r="846" spans="1:2" x14ac:dyDescent="0.25">
      <c r="A846" s="34">
        <f t="shared" si="27"/>
        <v>41.899999999999757</v>
      </c>
      <c r="B846" s="42">
        <f t="shared" si="26"/>
        <v>-1.2940631964500693</v>
      </c>
    </row>
    <row r="847" spans="1:2" x14ac:dyDescent="0.25">
      <c r="A847" s="34">
        <f t="shared" si="27"/>
        <v>41.949999999999754</v>
      </c>
      <c r="B847" s="42">
        <f t="shared" si="26"/>
        <v>-1.374791251085246</v>
      </c>
    </row>
    <row r="848" spans="1:2" x14ac:dyDescent="0.25">
      <c r="A848" s="34">
        <f t="shared" si="27"/>
        <v>41.999999999999751</v>
      </c>
      <c r="B848" s="42">
        <f t="shared" si="26"/>
        <v>-1.4416367764665587</v>
      </c>
    </row>
    <row r="849" spans="1:2" x14ac:dyDescent="0.25">
      <c r="A849" s="34">
        <f t="shared" si="27"/>
        <v>42.049999999999748</v>
      </c>
      <c r="B849" s="42">
        <f t="shared" si="26"/>
        <v>-1.494165261246216</v>
      </c>
    </row>
    <row r="850" spans="1:2" x14ac:dyDescent="0.25">
      <c r="A850" s="34">
        <f t="shared" si="27"/>
        <v>42.099999999999746</v>
      </c>
      <c r="B850" s="42">
        <f t="shared" si="26"/>
        <v>-1.5320844817421411</v>
      </c>
    </row>
    <row r="851" spans="1:2" x14ac:dyDescent="0.25">
      <c r="A851" s="34">
        <f t="shared" si="27"/>
        <v>42.149999999999743</v>
      </c>
      <c r="B851" s="42">
        <f t="shared" si="26"/>
        <v>-1.5552453877678327</v>
      </c>
    </row>
    <row r="852" spans="1:2" x14ac:dyDescent="0.25">
      <c r="A852" s="34">
        <f t="shared" si="27"/>
        <v>42.19999999999974</v>
      </c>
      <c r="B852" s="42">
        <f t="shared" si="26"/>
        <v>-1.5636415823799377</v>
      </c>
    </row>
    <row r="853" spans="1:2" x14ac:dyDescent="0.25">
      <c r="A853" s="34">
        <f t="shared" si="27"/>
        <v>42.249999999999737</v>
      </c>
      <c r="B853" s="42">
        <f t="shared" si="26"/>
        <v>-1.5574074183117126</v>
      </c>
    </row>
    <row r="854" spans="1:2" x14ac:dyDescent="0.25">
      <c r="A854" s="34">
        <f t="shared" si="27"/>
        <v>42.299999999999734</v>
      </c>
      <c r="B854" s="42">
        <f t="shared" si="26"/>
        <v>-1.5368147473156237</v>
      </c>
    </row>
    <row r="855" spans="1:2" x14ac:dyDescent="0.25">
      <c r="A855" s="34">
        <f t="shared" si="27"/>
        <v>42.349999999999731</v>
      </c>
      <c r="B855" s="42">
        <f t="shared" si="26"/>
        <v>-1.5022683715793264</v>
      </c>
    </row>
    <row r="856" spans="1:2" x14ac:dyDescent="0.25">
      <c r="A856" s="34">
        <f t="shared" si="27"/>
        <v>42.399999999999729</v>
      </c>
      <c r="B856" s="42">
        <f t="shared" si="26"/>
        <v>-1.4543002586839826</v>
      </c>
    </row>
    <row r="857" spans="1:2" x14ac:dyDescent="0.25">
      <c r="A857" s="34">
        <f t="shared" si="27"/>
        <v>42.449999999999726</v>
      </c>
      <c r="B857" s="42">
        <f t="shared" si="26"/>
        <v>-1.3935625931249127</v>
      </c>
    </row>
    <row r="858" spans="1:2" x14ac:dyDescent="0.25">
      <c r="A858" s="34">
        <f t="shared" si="27"/>
        <v>42.499999999999723</v>
      </c>
      <c r="B858" s="42">
        <f t="shared" si="26"/>
        <v>-1.32081974810162</v>
      </c>
    </row>
    <row r="859" spans="1:2" x14ac:dyDescent="0.25">
      <c r="A859" s="34">
        <f t="shared" si="27"/>
        <v>42.54999999999972</v>
      </c>
      <c r="B859" s="42">
        <f t="shared" si="26"/>
        <v>-1.2369392710108702</v>
      </c>
    </row>
    <row r="860" spans="1:2" x14ac:dyDescent="0.25">
      <c r="A860" s="34">
        <f t="shared" si="27"/>
        <v>42.599999999999717</v>
      </c>
      <c r="B860" s="42">
        <f t="shared" si="26"/>
        <v>-1.142881984754357</v>
      </c>
    </row>
    <row r="861" spans="1:2" x14ac:dyDescent="0.25">
      <c r="A861" s="34">
        <f t="shared" si="27"/>
        <v>42.649999999999714</v>
      </c>
      <c r="B861" s="42">
        <f t="shared" si="26"/>
        <v>-1.0396913145237385</v>
      </c>
    </row>
    <row r="862" spans="1:2" x14ac:dyDescent="0.25">
      <c r="A862" s="34">
        <f t="shared" si="27"/>
        <v>42.699999999999712</v>
      </c>
      <c r="B862" s="42">
        <f t="shared" si="26"/>
        <v>-0.92848195608804907</v>
      </c>
    </row>
    <row r="863" spans="1:2" x14ac:dyDescent="0.25">
      <c r="A863" s="34">
        <f t="shared" si="27"/>
        <v>42.749999999999709</v>
      </c>
      <c r="B863" s="42">
        <f t="shared" si="26"/>
        <v>-0.81042800672948623</v>
      </c>
    </row>
    <row r="864" spans="1:2" x14ac:dyDescent="0.25">
      <c r="A864" s="34">
        <f t="shared" si="27"/>
        <v>42.799999999999706</v>
      </c>
      <c r="B864" s="42">
        <f t="shared" si="26"/>
        <v>-0.68675068381419657</v>
      </c>
    </row>
    <row r="865" spans="1:2" x14ac:dyDescent="0.25">
      <c r="A865" s="34">
        <f t="shared" si="27"/>
        <v>42.849999999999703</v>
      </c>
      <c r="B865" s="42">
        <f t="shared" si="26"/>
        <v>-0.55870575852111815</v>
      </c>
    </row>
    <row r="866" spans="1:2" x14ac:dyDescent="0.25">
      <c r="A866" s="34">
        <f t="shared" si="27"/>
        <v>42.8999999999997</v>
      </c>
      <c r="B866" s="42">
        <f t="shared" si="26"/>
        <v>-0.42757083347204472</v>
      </c>
    </row>
    <row r="867" spans="1:2" x14ac:dyDescent="0.25">
      <c r="A867" s="34">
        <f t="shared" si="27"/>
        <v>42.949999999999697</v>
      </c>
      <c r="B867" s="42">
        <f t="shared" si="26"/>
        <v>-0.29463259291169774</v>
      </c>
    </row>
    <row r="868" spans="1:2" x14ac:dyDescent="0.25">
      <c r="A868" s="34">
        <f t="shared" si="27"/>
        <v>42.999999999999694</v>
      </c>
      <c r="B868" s="42">
        <f t="shared" si="26"/>
        <v>-0.16117415269380531</v>
      </c>
    </row>
    <row r="869" spans="1:2" x14ac:dyDescent="0.25">
      <c r="A869" s="34">
        <f t="shared" si="27"/>
        <v>43.049999999999692</v>
      </c>
      <c r="B869" s="42">
        <f t="shared" si="26"/>
        <v>-2.8462634665727959E-2</v>
      </c>
    </row>
    <row r="870" spans="1:2" x14ac:dyDescent="0.25">
      <c r="A870" s="34">
        <f t="shared" si="27"/>
        <v>43.099999999999689</v>
      </c>
      <c r="B870" s="42">
        <f t="shared" si="26"/>
        <v>0.10226291384812281</v>
      </c>
    </row>
    <row r="871" spans="1:2" x14ac:dyDescent="0.25">
      <c r="A871" s="34">
        <f t="shared" si="27"/>
        <v>43.149999999999686</v>
      </c>
      <c r="B871" s="42">
        <f t="shared" si="26"/>
        <v>0.22980313983222422</v>
      </c>
    </row>
    <row r="872" spans="1:2" x14ac:dyDescent="0.25">
      <c r="A872" s="34">
        <f t="shared" si="27"/>
        <v>43.199999999999683</v>
      </c>
      <c r="B872" s="42">
        <f t="shared" si="26"/>
        <v>0.35300943418232</v>
      </c>
    </row>
    <row r="873" spans="1:2" x14ac:dyDescent="0.25">
      <c r="A873" s="34">
        <f t="shared" si="27"/>
        <v>43.24999999999968</v>
      </c>
      <c r="B873" s="42">
        <f t="shared" si="26"/>
        <v>0.4707943088864921</v>
      </c>
    </row>
    <row r="874" spans="1:2" x14ac:dyDescent="0.25">
      <c r="A874" s="34">
        <f t="shared" si="27"/>
        <v>43.299999999999677</v>
      </c>
      <c r="B874" s="42">
        <f t="shared" si="26"/>
        <v>0.58214100771171573</v>
      </c>
    </row>
    <row r="875" spans="1:2" x14ac:dyDescent="0.25">
      <c r="A875" s="34">
        <f t="shared" si="27"/>
        <v>43.349999999999675</v>
      </c>
      <c r="B875" s="42">
        <f t="shared" si="26"/>
        <v>0.68611226534329517</v>
      </c>
    </row>
    <row r="876" spans="1:2" x14ac:dyDescent="0.25">
      <c r="A876" s="34">
        <f t="shared" si="27"/>
        <v>43.399999999999672</v>
      </c>
      <c r="B876" s="42">
        <f t="shared" si="26"/>
        <v>0.78185813969976126</v>
      </c>
    </row>
    <row r="877" spans="1:2" x14ac:dyDescent="0.25">
      <c r="A877" s="34">
        <f t="shared" si="27"/>
        <v>43.449999999999669</v>
      </c>
      <c r="B877" s="42">
        <f t="shared" si="26"/>
        <v>0.86862285256505201</v>
      </c>
    </row>
    <row r="878" spans="1:2" x14ac:dyDescent="0.25">
      <c r="A878" s="34">
        <f t="shared" si="27"/>
        <v>43.499999999999666</v>
      </c>
      <c r="B878" s="42">
        <f t="shared" si="26"/>
        <v>0.94575058463030548</v>
      </c>
    </row>
    <row r="879" spans="1:2" x14ac:dyDescent="0.25">
      <c r="A879" s="34">
        <f t="shared" si="27"/>
        <v>43.549999999999663</v>
      </c>
      <c r="B879" s="42">
        <f t="shared" si="26"/>
        <v>1.0126901824012389</v>
      </c>
    </row>
    <row r="880" spans="1:2" x14ac:dyDescent="0.25">
      <c r="A880" s="34">
        <f t="shared" si="27"/>
        <v>43.59999999999966</v>
      </c>
      <c r="B880" s="42">
        <f t="shared" si="26"/>
        <v>1.068998746080235</v>
      </c>
    </row>
    <row r="881" spans="1:2" x14ac:dyDescent="0.25">
      <c r="A881" s="34">
        <f t="shared" si="27"/>
        <v>43.649999999999658</v>
      </c>
      <c r="B881" s="42">
        <f t="shared" si="26"/>
        <v>1.1143440793534742</v>
      </c>
    </row>
    <row r="882" spans="1:2" x14ac:dyDescent="0.25">
      <c r="A882" s="34">
        <f t="shared" si="27"/>
        <v>43.699999999999655</v>
      </c>
      <c r="B882" s="42">
        <f t="shared" si="26"/>
        <v>1.1485059938793647</v>
      </c>
    </row>
    <row r="883" spans="1:2" x14ac:dyDescent="0.25">
      <c r="A883" s="34">
        <f t="shared" si="27"/>
        <v>43.749999999999652</v>
      </c>
      <c r="B883" s="42">
        <f t="shared" si="26"/>
        <v>1.1713764730598428</v>
      </c>
    </row>
    <row r="884" spans="1:2" x14ac:dyDescent="0.25">
      <c r="A884" s="34">
        <f t="shared" si="27"/>
        <v>43.799999999999649</v>
      </c>
      <c r="B884" s="42">
        <f t="shared" si="26"/>
        <v>1.1829587112623852</v>
      </c>
    </row>
    <row r="885" spans="1:2" x14ac:dyDescent="0.25">
      <c r="A885" s="34">
        <f t="shared" si="27"/>
        <v>43.849999999999646</v>
      </c>
      <c r="B885" s="42">
        <f t="shared" si="26"/>
        <v>1.1833650559303885</v>
      </c>
    </row>
    <row r="886" spans="1:2" x14ac:dyDescent="0.25">
      <c r="A886" s="34">
        <f t="shared" si="27"/>
        <v>43.899999999999643</v>
      </c>
      <c r="B886" s="42">
        <f t="shared" si="26"/>
        <v>1.1728138908577461</v>
      </c>
    </row>
    <row r="887" spans="1:2" x14ac:dyDescent="0.25">
      <c r="A887" s="34">
        <f t="shared" si="27"/>
        <v>43.94999999999964</v>
      </c>
      <c r="B887" s="42">
        <f t="shared" si="26"/>
        <v>1.1516255092050955</v>
      </c>
    </row>
    <row r="888" spans="1:2" x14ac:dyDescent="0.25">
      <c r="A888" s="34">
        <f t="shared" si="27"/>
        <v>43.999999999999638</v>
      </c>
      <c r="B888" s="42">
        <f t="shared" si="26"/>
        <v>1.1202170344997175</v>
      </c>
    </row>
    <row r="889" spans="1:2" x14ac:dyDescent="0.25">
      <c r="A889" s="34">
        <f t="shared" si="27"/>
        <v>44.049999999999635</v>
      </c>
      <c r="B889" s="42">
        <f t="shared" si="26"/>
        <v>1.079096456793476</v>
      </c>
    </row>
    <row r="890" spans="1:2" x14ac:dyDescent="0.25">
      <c r="A890" s="34">
        <f t="shared" si="27"/>
        <v>44.099999999999632</v>
      </c>
      <c r="B890" s="42">
        <f t="shared" si="26"/>
        <v>1.0288558592716064</v>
      </c>
    </row>
    <row r="891" spans="1:2" x14ac:dyDescent="0.25">
      <c r="A891" s="34">
        <f t="shared" si="27"/>
        <v>44.149999999999629</v>
      </c>
      <c r="B891" s="42">
        <f t="shared" si="26"/>
        <v>0.97016391783452804</v>
      </c>
    </row>
    <row r="892" spans="1:2" x14ac:dyDescent="0.25">
      <c r="A892" s="34">
        <f t="shared" si="27"/>
        <v>44.199999999999626</v>
      </c>
      <c r="B892" s="42">
        <f t="shared" si="26"/>
        <v>0.90375776244843808</v>
      </c>
    </row>
    <row r="893" spans="1:2" x14ac:dyDescent="0.25">
      <c r="A893" s="34">
        <f t="shared" si="27"/>
        <v>44.249999999999623</v>
      </c>
      <c r="B893" s="42">
        <f t="shared" si="26"/>
        <v>0.83043429432710425</v>
      </c>
    </row>
    <row r="894" spans="1:2" x14ac:dyDescent="0.25">
      <c r="A894" s="34">
        <f t="shared" si="27"/>
        <v>44.299999999999621</v>
      </c>
      <c r="B894" s="42">
        <f t="shared" si="26"/>
        <v>0.75104105722156178</v>
      </c>
    </row>
    <row r="895" spans="1:2" x14ac:dyDescent="0.25">
      <c r="A895" s="34">
        <f t="shared" si="27"/>
        <v>44.349999999999618</v>
      </c>
      <c r="B895" s="42">
        <f t="shared" si="26"/>
        <v>0.66646676422709006</v>
      </c>
    </row>
    <row r="896" spans="1:2" x14ac:dyDescent="0.25">
      <c r="A896" s="34">
        <f t="shared" si="27"/>
        <v>44.399999999999615</v>
      </c>
      <c r="B896" s="42">
        <f t="shared" si="26"/>
        <v>0.57763158354601374</v>
      </c>
    </row>
    <row r="897" spans="1:2" x14ac:dyDescent="0.25">
      <c r="A897" s="34">
        <f t="shared" si="27"/>
        <v>44.449999999999612</v>
      </c>
      <c r="B897" s="42">
        <f t="shared" si="26"/>
        <v>0.4854772875643909</v>
      </c>
    </row>
    <row r="898" spans="1:2" x14ac:dyDescent="0.25">
      <c r="A898" s="34">
        <f t="shared" si="27"/>
        <v>44.499999999999609</v>
      </c>
      <c r="B898" s="42">
        <f t="shared" si="26"/>
        <v>0.39095736941365833</v>
      </c>
    </row>
    <row r="899" spans="1:2" x14ac:dyDescent="0.25">
      <c r="A899" s="34">
        <f t="shared" si="27"/>
        <v>44.549999999999606</v>
      </c>
      <c r="B899" s="42">
        <f t="shared" si="26"/>
        <v>0.29502722990977626</v>
      </c>
    </row>
    <row r="900" spans="1:2" x14ac:dyDescent="0.25">
      <c r="A900" s="34">
        <f t="shared" si="27"/>
        <v>44.599999999999604</v>
      </c>
      <c r="B900" s="42">
        <f t="shared" si="26"/>
        <v>0.19863453542009202</v>
      </c>
    </row>
    <row r="901" spans="1:2" x14ac:dyDescent="0.25">
      <c r="A901" s="34">
        <f t="shared" si="27"/>
        <v>44.649999999999601</v>
      </c>
      <c r="B901" s="42">
        <f t="shared" si="26"/>
        <v>0.10270984383907278</v>
      </c>
    </row>
    <row r="902" spans="1:2" x14ac:dyDescent="0.25">
      <c r="A902" s="34">
        <f t="shared" si="27"/>
        <v>44.699999999999598</v>
      </c>
      <c r="B902" s="42">
        <f t="shared" si="26"/>
        <v>8.1575915065750237E-3</v>
      </c>
    </row>
    <row r="903" spans="1:2" x14ac:dyDescent="0.25">
      <c r="A903" s="34">
        <f t="shared" si="27"/>
        <v>44.749999999999595</v>
      </c>
      <c r="B903" s="42">
        <f t="shared" si="26"/>
        <v>-8.4152471365197545E-2</v>
      </c>
    </row>
    <row r="904" spans="1:2" x14ac:dyDescent="0.25">
      <c r="A904" s="34">
        <f t="shared" si="27"/>
        <v>44.799999999999592</v>
      </c>
      <c r="B904" s="42">
        <f t="shared" ref="B904:B967" si="28">-A1_x*SIN(p_x*A904)+A2_x*SIN(w_x*A904)</f>
        <v>-0.17339331531101587</v>
      </c>
    </row>
    <row r="905" spans="1:2" x14ac:dyDescent="0.25">
      <c r="A905" s="34">
        <f t="shared" ref="A905:A968" si="29">A904+$A$6</f>
        <v>44.849999999999589</v>
      </c>
      <c r="B905" s="42">
        <f t="shared" si="28"/>
        <v>-0.25878806173160385</v>
      </c>
    </row>
    <row r="906" spans="1:2" x14ac:dyDescent="0.25">
      <c r="A906" s="34">
        <f t="shared" si="29"/>
        <v>44.899999999999586</v>
      </c>
      <c r="B906" s="42">
        <f t="shared" si="28"/>
        <v>-0.33961674155873789</v>
      </c>
    </row>
    <row r="907" spans="1:2" x14ac:dyDescent="0.25">
      <c r="A907" s="34">
        <f t="shared" si="29"/>
        <v>44.949999999999584</v>
      </c>
      <c r="B907" s="42">
        <f t="shared" si="28"/>
        <v>-0.41522232371190504</v>
      </c>
    </row>
    <row r="908" spans="1:2" x14ac:dyDescent="0.25">
      <c r="A908" s="34">
        <f t="shared" si="29"/>
        <v>44.999999999999581</v>
      </c>
      <c r="B908" s="42">
        <f t="shared" si="28"/>
        <v>-0.48501596330047003</v>
      </c>
    </row>
    <row r="909" spans="1:2" x14ac:dyDescent="0.25">
      <c r="A909" s="34">
        <f t="shared" si="29"/>
        <v>45.049999999999578</v>
      </c>
      <c r="B909" s="42">
        <f t="shared" si="28"/>
        <v>-0.54848142864499483</v>
      </c>
    </row>
    <row r="910" spans="1:2" x14ac:dyDescent="0.25">
      <c r="A910" s="34">
        <f t="shared" si="29"/>
        <v>45.099999999999575</v>
      </c>
      <c r="B910" s="42">
        <f t="shared" si="28"/>
        <v>-0.60517867562003536</v>
      </c>
    </row>
    <row r="911" spans="1:2" x14ac:dyDescent="0.25">
      <c r="A911" s="34">
        <f t="shared" si="29"/>
        <v>45.149999999999572</v>
      </c>
      <c r="B911" s="42">
        <f t="shared" si="28"/>
        <v>-0.65474654745148708</v>
      </c>
    </row>
    <row r="912" spans="1:2" x14ac:dyDescent="0.25">
      <c r="A912" s="34">
        <f t="shared" si="29"/>
        <v>45.199999999999569</v>
      </c>
      <c r="B912" s="42">
        <f t="shared" si="28"/>
        <v>-0.69690458783100662</v>
      </c>
    </row>
    <row r="913" spans="1:2" x14ac:dyDescent="0.25">
      <c r="A913" s="34">
        <f t="shared" si="29"/>
        <v>45.249999999999567</v>
      </c>
      <c r="B913" s="42">
        <f t="shared" si="28"/>
        <v>-0.73145396492974213</v>
      </c>
    </row>
    <row r="914" spans="1:2" x14ac:dyDescent="0.25">
      <c r="A914" s="34">
        <f t="shared" si="29"/>
        <v>45.299999999999564</v>
      </c>
      <c r="B914" s="42">
        <f t="shared" si="28"/>
        <v>-0.75827751350181449</v>
      </c>
    </row>
    <row r="915" spans="1:2" x14ac:dyDescent="0.25">
      <c r="A915" s="34">
        <f t="shared" si="29"/>
        <v>45.349999999999561</v>
      </c>
      <c r="B915" s="42">
        <f t="shared" si="28"/>
        <v>-0.77733891165912505</v>
      </c>
    </row>
    <row r="916" spans="1:2" x14ac:dyDescent="0.25">
      <c r="A916" s="34">
        <f t="shared" si="29"/>
        <v>45.399999999999558</v>
      </c>
      <c r="B916" s="42">
        <f t="shared" si="28"/>
        <v>-0.78868101797654033</v>
      </c>
    </row>
    <row r="917" spans="1:2" x14ac:dyDescent="0.25">
      <c r="A917" s="34">
        <f t="shared" si="29"/>
        <v>45.449999999999555</v>
      </c>
      <c r="B917" s="42">
        <f t="shared" si="28"/>
        <v>-0.79242340325598026</v>
      </c>
    </row>
    <row r="918" spans="1:2" x14ac:dyDescent="0.25">
      <c r="A918" s="34">
        <f t="shared" si="29"/>
        <v>45.499999999999552</v>
      </c>
      <c r="B918" s="42">
        <f t="shared" si="28"/>
        <v>-0.78875911944800814</v>
      </c>
    </row>
    <row r="919" spans="1:2" x14ac:dyDescent="0.25">
      <c r="A919" s="34">
        <f t="shared" si="29"/>
        <v>45.54999999999955</v>
      </c>
      <c r="B919" s="42">
        <f t="shared" si="28"/>
        <v>-0.7779507558197557</v>
      </c>
    </row>
    <row r="920" spans="1:2" x14ac:dyDescent="0.25">
      <c r="A920" s="34">
        <f t="shared" si="29"/>
        <v>45.599999999999547</v>
      </c>
      <c r="B920" s="42">
        <f t="shared" si="28"/>
        <v>-0.76032583939285947</v>
      </c>
    </row>
    <row r="921" spans="1:2" x14ac:dyDescent="0.25">
      <c r="A921" s="34">
        <f t="shared" si="29"/>
        <v>45.649999999999544</v>
      </c>
      <c r="B921" s="42">
        <f t="shared" si="28"/>
        <v>-0.73627164288459257</v>
      </c>
    </row>
    <row r="922" spans="1:2" x14ac:dyDescent="0.25">
      <c r="A922" s="34">
        <f t="shared" si="29"/>
        <v>45.699999999999541</v>
      </c>
      <c r="B922" s="42">
        <f t="shared" si="28"/>
        <v>-0.70622946881284199</v>
      </c>
    </row>
    <row r="923" spans="1:2" x14ac:dyDescent="0.25">
      <c r="A923" s="34">
        <f t="shared" si="29"/>
        <v>45.749999999999538</v>
      </c>
      <c r="B923" s="42">
        <f t="shared" si="28"/>
        <v>-0.670688483020903</v>
      </c>
    </row>
    <row r="924" spans="1:2" x14ac:dyDescent="0.25">
      <c r="A924" s="34">
        <f t="shared" si="29"/>
        <v>45.799999999999535</v>
      </c>
      <c r="B924" s="42">
        <f t="shared" si="28"/>
        <v>-0.63017917459885586</v>
      </c>
    </row>
    <row r="925" spans="1:2" x14ac:dyDescent="0.25">
      <c r="A925" s="34">
        <f t="shared" si="29"/>
        <v>45.849999999999532</v>
      </c>
      <c r="B925" s="42">
        <f t="shared" si="28"/>
        <v>-0.58526652199646345</v>
      </c>
    </row>
    <row r="926" spans="1:2" x14ac:dyDescent="0.25">
      <c r="A926" s="34">
        <f t="shared" si="29"/>
        <v>45.89999999999953</v>
      </c>
      <c r="B926" s="42">
        <f t="shared" si="28"/>
        <v>-0.53654294701751959</v>
      </c>
    </row>
    <row r="927" spans="1:2" x14ac:dyDescent="0.25">
      <c r="A927" s="34">
        <f t="shared" si="29"/>
        <v>45.949999999999527</v>
      </c>
      <c r="B927" s="42">
        <f t="shared" si="28"/>
        <v>-0.48462113934595585</v>
      </c>
    </row>
    <row r="928" spans="1:2" x14ac:dyDescent="0.25">
      <c r="A928" s="34">
        <f t="shared" si="29"/>
        <v>45.999999999999524</v>
      </c>
      <c r="B928" s="42">
        <f t="shared" si="28"/>
        <v>-0.43012683428223109</v>
      </c>
    </row>
    <row r="929" spans="1:2" x14ac:dyDescent="0.25">
      <c r="A929" s="34">
        <f t="shared" si="29"/>
        <v>46.049999999999521</v>
      </c>
      <c r="B929" s="42">
        <f t="shared" si="28"/>
        <v>-0.37369162547486057</v>
      </c>
    </row>
    <row r="930" spans="1:2" x14ac:dyDescent="0.25">
      <c r="A930" s="34">
        <f t="shared" si="29"/>
        <v>46.099999999999518</v>
      </c>
      <c r="B930" s="42">
        <f t="shared" si="28"/>
        <v>-0.31594589263610273</v>
      </c>
    </row>
    <row r="931" spans="1:2" x14ac:dyDescent="0.25">
      <c r="A931" s="34">
        <f t="shared" si="29"/>
        <v>46.149999999999515</v>
      </c>
      <c r="B931" s="42">
        <f t="shared" si="28"/>
        <v>-0.25751192156493907</v>
      </c>
    </row>
    <row r="932" spans="1:2" x14ac:dyDescent="0.25">
      <c r="A932" s="34">
        <f t="shared" si="29"/>
        <v>46.199999999999513</v>
      </c>
      <c r="B932" s="42">
        <f t="shared" si="28"/>
        <v>-0.19899729030376601</v>
      </c>
    </row>
    <row r="933" spans="1:2" x14ac:dyDescent="0.25">
      <c r="A933" s="34">
        <f t="shared" si="29"/>
        <v>46.24999999999951</v>
      </c>
      <c r="B933" s="42">
        <f t="shared" si="28"/>
        <v>-0.1409885909759625</v>
      </c>
    </row>
    <row r="934" spans="1:2" x14ac:dyDescent="0.25">
      <c r="A934" s="34">
        <f t="shared" si="29"/>
        <v>46.299999999999507</v>
      </c>
      <c r="B934" s="42">
        <f t="shared" si="28"/>
        <v>-8.4045551847499844E-2</v>
      </c>
    </row>
    <row r="935" spans="1:2" x14ac:dyDescent="0.25">
      <c r="A935" s="34">
        <f t="shared" si="29"/>
        <v>46.349999999999504</v>
      </c>
      <c r="B935" s="42">
        <f t="shared" si="28"/>
        <v>-2.8695618490842234E-2</v>
      </c>
    </row>
    <row r="936" spans="1:2" x14ac:dyDescent="0.25">
      <c r="A936" s="34">
        <f t="shared" si="29"/>
        <v>46.399999999999501</v>
      </c>
      <c r="B936" s="42">
        <f t="shared" si="28"/>
        <v>2.4570953325171452E-2</v>
      </c>
    </row>
    <row r="937" spans="1:2" x14ac:dyDescent="0.25">
      <c r="A937" s="34">
        <f t="shared" si="29"/>
        <v>46.449999999999498</v>
      </c>
      <c r="B937" s="42">
        <f t="shared" si="28"/>
        <v>7.5305447162802963E-2</v>
      </c>
    </row>
    <row r="938" spans="1:2" x14ac:dyDescent="0.25">
      <c r="A938" s="34">
        <f t="shared" si="29"/>
        <v>46.499999999999496</v>
      </c>
      <c r="B938" s="42">
        <f t="shared" si="28"/>
        <v>0.12310443920082204</v>
      </c>
    </row>
    <row r="939" spans="1:2" x14ac:dyDescent="0.25">
      <c r="A939" s="34">
        <f t="shared" si="29"/>
        <v>46.549999999999493</v>
      </c>
      <c r="B939" s="42">
        <f t="shared" si="28"/>
        <v>0.16761292416052553</v>
      </c>
    </row>
    <row r="940" spans="1:2" x14ac:dyDescent="0.25">
      <c r="A940" s="34">
        <f t="shared" si="29"/>
        <v>46.59999999999949</v>
      </c>
      <c r="B940" s="42">
        <f t="shared" si="28"/>
        <v>0.20852679055166079</v>
      </c>
    </row>
    <row r="941" spans="1:2" x14ac:dyDescent="0.25">
      <c r="A941" s="34">
        <f t="shared" si="29"/>
        <v>46.649999999999487</v>
      </c>
      <c r="B941" s="42">
        <f t="shared" si="28"/>
        <v>0.24559462987805469</v>
      </c>
    </row>
    <row r="942" spans="1:2" x14ac:dyDescent="0.25">
      <c r="A942" s="34">
        <f t="shared" si="29"/>
        <v>46.699999999999484</v>
      </c>
      <c r="B942" s="42">
        <f t="shared" si="28"/>
        <v>0.27861887247546924</v>
      </c>
    </row>
    <row r="943" spans="1:2" x14ac:dyDescent="0.25">
      <c r="A943" s="34">
        <f t="shared" si="29"/>
        <v>46.749999999999481</v>
      </c>
      <c r="B943" s="42">
        <f t="shared" si="28"/>
        <v>0.3074562506652182</v>
      </c>
    </row>
    <row r="944" spans="1:2" x14ac:dyDescent="0.25">
      <c r="A944" s="34">
        <f t="shared" si="29"/>
        <v>46.799999999999478</v>
      </c>
      <c r="B944" s="42">
        <f t="shared" si="28"/>
        <v>0.33201759780632867</v>
      </c>
    </row>
    <row r="945" spans="1:2" x14ac:dyDescent="0.25">
      <c r="A945" s="34">
        <f t="shared" si="29"/>
        <v>46.849999999999476</v>
      </c>
      <c r="B945" s="42">
        <f t="shared" si="28"/>
        <v>0.35226699952782803</v>
      </c>
    </row>
    <row r="946" spans="1:2" x14ac:dyDescent="0.25">
      <c r="A946" s="34">
        <f t="shared" si="29"/>
        <v>46.899999999999473</v>
      </c>
      <c r="B946" s="42">
        <f t="shared" si="28"/>
        <v>0.36822032083278572</v>
      </c>
    </row>
    <row r="947" spans="1:2" x14ac:dyDescent="0.25">
      <c r="A947" s="34">
        <f t="shared" si="29"/>
        <v>46.94999999999947</v>
      </c>
      <c r="B947" s="42">
        <f t="shared" si="28"/>
        <v>0.37994313980658162</v>
      </c>
    </row>
    <row r="948" spans="1:2" x14ac:dyDescent="0.25">
      <c r="A948" s="34">
        <f t="shared" si="29"/>
        <v>46.999999999999467</v>
      </c>
      <c r="B948" s="42">
        <f t="shared" si="28"/>
        <v>0.38754812525643517</v>
      </c>
    </row>
    <row r="949" spans="1:2" x14ac:dyDescent="0.25">
      <c r="A949" s="34">
        <f t="shared" si="29"/>
        <v>47.049999999999464</v>
      </c>
      <c r="B949" s="42">
        <f t="shared" si="28"/>
        <v>0.39119190168353485</v>
      </c>
    </row>
    <row r="950" spans="1:2" x14ac:dyDescent="0.25">
      <c r="A950" s="34">
        <f t="shared" si="29"/>
        <v>47.099999999999461</v>
      </c>
      <c r="B950" s="42">
        <f t="shared" si="28"/>
        <v>0.39107145048003306</v>
      </c>
    </row>
    <row r="951" spans="1:2" x14ac:dyDescent="0.25">
      <c r="A951" s="34">
        <f t="shared" si="29"/>
        <v>47.149999999999459</v>
      </c>
      <c r="B951" s="42">
        <f t="shared" si="28"/>
        <v>0.38742010109282154</v>
      </c>
    </row>
    <row r="952" spans="1:2" x14ac:dyDescent="0.25">
      <c r="A952" s="34">
        <f t="shared" si="29"/>
        <v>47.199999999999456</v>
      </c>
      <c r="B952" s="42">
        <f t="shared" si="28"/>
        <v>0.38050317005139178</v>
      </c>
    </row>
    <row r="953" spans="1:2" x14ac:dyDescent="0.25">
      <c r="A953" s="34">
        <f t="shared" si="29"/>
        <v>47.249999999999453</v>
      </c>
      <c r="B953" s="42">
        <f t="shared" si="28"/>
        <v>0.37061330917974367</v>
      </c>
    </row>
    <row r="954" spans="1:2" x14ac:dyDescent="0.25">
      <c r="A954" s="34">
        <f t="shared" si="29"/>
        <v>47.29999999999945</v>
      </c>
      <c r="B954" s="42">
        <f t="shared" si="28"/>
        <v>0.35806562696556743</v>
      </c>
    </row>
    <row r="955" spans="1:2" x14ac:dyDescent="0.25">
      <c r="A955" s="34">
        <f t="shared" si="29"/>
        <v>47.349999999999447</v>
      </c>
      <c r="B955" s="42">
        <f t="shared" si="28"/>
        <v>0.3431926489227316</v>
      </c>
    </row>
    <row r="956" spans="1:2" x14ac:dyDescent="0.25">
      <c r="A956" s="34">
        <f t="shared" si="29"/>
        <v>47.399999999999444</v>
      </c>
      <c r="B956" s="42">
        <f t="shared" si="28"/>
        <v>0.32633918383694693</v>
      </c>
    </row>
    <row r="957" spans="1:2" x14ac:dyDescent="0.25">
      <c r="A957" s="34">
        <f t="shared" si="29"/>
        <v>47.449999999999442</v>
      </c>
      <c r="B957" s="42">
        <f t="shared" si="28"/>
        <v>0.30785716302624189</v>
      </c>
    </row>
    <row r="958" spans="1:2" x14ac:dyDescent="0.25">
      <c r="A958" s="34">
        <f t="shared" si="29"/>
        <v>47.499999999999439</v>
      </c>
      <c r="B958" s="42">
        <f t="shared" si="28"/>
        <v>0.28810051918098067</v>
      </c>
    </row>
    <row r="959" spans="1:2" x14ac:dyDescent="0.25">
      <c r="A959" s="34">
        <f t="shared" si="29"/>
        <v>47.549999999999436</v>
      </c>
      <c r="B959" s="42">
        <f t="shared" si="28"/>
        <v>0.26742016998368934</v>
      </c>
    </row>
    <row r="960" spans="1:2" x14ac:dyDescent="0.25">
      <c r="A960" s="34">
        <f t="shared" si="29"/>
        <v>47.599999999999433</v>
      </c>
      <c r="B960" s="42">
        <f t="shared" si="28"/>
        <v>0.24615916957113759</v>
      </c>
    </row>
    <row r="961" spans="1:2" x14ac:dyDescent="0.25">
      <c r="A961" s="34">
        <f t="shared" si="29"/>
        <v>47.64999999999943</v>
      </c>
      <c r="B961" s="42">
        <f t="shared" si="28"/>
        <v>0.22464808802044134</v>
      </c>
    </row>
    <row r="962" spans="1:2" x14ac:dyDescent="0.25">
      <c r="A962" s="34">
        <f t="shared" si="29"/>
        <v>47.699999999999427</v>
      </c>
      <c r="B962" s="42">
        <f t="shared" si="28"/>
        <v>0.2032006754552671</v>
      </c>
    </row>
    <row r="963" spans="1:2" x14ac:dyDescent="0.25">
      <c r="A963" s="34">
        <f t="shared" si="29"/>
        <v>47.749999999999424</v>
      </c>
      <c r="B963" s="42">
        <f t="shared" si="28"/>
        <v>0.18210986312659561</v>
      </c>
    </row>
    <row r="964" spans="1:2" x14ac:dyDescent="0.25">
      <c r="A964" s="34">
        <f t="shared" si="29"/>
        <v>47.799999999999422</v>
      </c>
      <c r="B964" s="42">
        <f t="shared" si="28"/>
        <v>0.16164414897890489</v>
      </c>
    </row>
    <row r="965" spans="1:2" x14ac:dyDescent="0.25">
      <c r="A965" s="34">
        <f t="shared" si="29"/>
        <v>47.849999999999419</v>
      </c>
      <c r="B965" s="42">
        <f t="shared" si="28"/>
        <v>0.14204440982762034</v>
      </c>
    </row>
    <row r="966" spans="1:2" x14ac:dyDescent="0.25">
      <c r="A966" s="34">
        <f t="shared" si="29"/>
        <v>47.899999999999416</v>
      </c>
      <c r="B966" s="42">
        <f t="shared" si="28"/>
        <v>0.12352117641573801</v>
      </c>
    </row>
    <row r="967" spans="1:2" x14ac:dyDescent="0.25">
      <c r="A967" s="34">
        <f t="shared" si="29"/>
        <v>47.949999999999413</v>
      </c>
      <c r="B967" s="42">
        <f t="shared" si="28"/>
        <v>0.10625240135850289</v>
      </c>
    </row>
    <row r="968" spans="1:2" x14ac:dyDescent="0.25">
      <c r="A968" s="34">
        <f t="shared" si="29"/>
        <v>47.99999999999941</v>
      </c>
      <c r="B968" s="42">
        <f t="shared" ref="B968:B1031" si="30">-A1_x*SIN(p_x*A968)+A2_x*SIN(w_x*A968)</f>
        <v>9.0381743401566572E-2</v>
      </c>
    </row>
    <row r="969" spans="1:2" x14ac:dyDescent="0.25">
      <c r="A969" s="34">
        <f t="shared" ref="A969:A1032" si="31">A968+$A$6</f>
        <v>48.049999999999407</v>
      </c>
      <c r="B969" s="42">
        <f t="shared" si="30"/>
        <v>7.6017384591100523E-2</v>
      </c>
    </row>
    <row r="970" spans="1:2" x14ac:dyDescent="0.25">
      <c r="A970" s="34">
        <f t="shared" si="31"/>
        <v>48.099999999999405</v>
      </c>
      <c r="B970" s="42">
        <f t="shared" si="30"/>
        <v>6.3231389965950902E-2</v>
      </c>
    </row>
    <row r="971" spans="1:2" x14ac:dyDescent="0.25">
      <c r="A971" s="34">
        <f t="shared" si="31"/>
        <v>48.149999999999402</v>
      </c>
      <c r="B971" s="42">
        <f t="shared" si="30"/>
        <v>5.2059612317010284E-2</v>
      </c>
    </row>
    <row r="972" spans="1:2" x14ac:dyDescent="0.25">
      <c r="A972" s="34">
        <f t="shared" si="31"/>
        <v>48.199999999999399</v>
      </c>
      <c r="B972" s="42">
        <f t="shared" si="30"/>
        <v>4.2502137502483883E-2</v>
      </c>
    </row>
    <row r="973" spans="1:2" x14ac:dyDescent="0.25">
      <c r="A973" s="34">
        <f t="shared" si="31"/>
        <v>48.249999999999396</v>
      </c>
      <c r="B973" s="42">
        <f t="shared" si="30"/>
        <v>3.4524258843493305E-2</v>
      </c>
    </row>
    <row r="974" spans="1:2" x14ac:dyDescent="0.25">
      <c r="A974" s="34">
        <f t="shared" si="31"/>
        <v>48.299999999999393</v>
      </c>
      <c r="B974" s="42">
        <f t="shared" si="30"/>
        <v>2.8057962337119324E-2</v>
      </c>
    </row>
    <row r="975" spans="1:2" x14ac:dyDescent="0.25">
      <c r="A975" s="34">
        <f t="shared" si="31"/>
        <v>48.34999999999939</v>
      </c>
      <c r="B975" s="42">
        <f t="shared" si="30"/>
        <v>2.3003897892885039E-2</v>
      </c>
    </row>
    <row r="976" spans="1:2" x14ac:dyDescent="0.25">
      <c r="A976" s="34">
        <f t="shared" si="31"/>
        <v>48.399999999999388</v>
      </c>
      <c r="B976" s="42">
        <f t="shared" si="30"/>
        <v>1.9233805603243281E-2</v>
      </c>
    </row>
    <row r="977" spans="1:2" x14ac:dyDescent="0.25">
      <c r="A977" s="34">
        <f t="shared" si="31"/>
        <v>48.449999999999385</v>
      </c>
      <c r="B977" s="42">
        <f t="shared" si="30"/>
        <v>1.6593360270366952E-2</v>
      </c>
    </row>
    <row r="978" spans="1:2" x14ac:dyDescent="0.25">
      <c r="A978" s="34">
        <f t="shared" si="31"/>
        <v>48.499999999999382</v>
      </c>
      <c r="B978" s="42">
        <f t="shared" si="30"/>
        <v>1.4905392101567494E-2</v>
      </c>
    </row>
    <row r="979" spans="1:2" x14ac:dyDescent="0.25">
      <c r="A979" s="34">
        <f t="shared" si="31"/>
        <v>48.549999999999379</v>
      </c>
      <c r="B979" s="42">
        <f t="shared" si="30"/>
        <v>1.3973436715304266E-2</v>
      </c>
    </row>
    <row r="980" spans="1:2" x14ac:dyDescent="0.25">
      <c r="A980" s="34">
        <f t="shared" si="31"/>
        <v>48.599999999999376</v>
      </c>
      <c r="B980" s="42">
        <f t="shared" si="30"/>
        <v>1.3585563425093483E-2</v>
      </c>
    </row>
    <row r="981" spans="1:2" x14ac:dyDescent="0.25">
      <c r="A981" s="34">
        <f t="shared" si="31"/>
        <v>48.649999999999373</v>
      </c>
      <c r="B981" s="42">
        <f t="shared" si="30"/>
        <v>1.3518427241294734E-2</v>
      </c>
    </row>
    <row r="982" spans="1:2" x14ac:dyDescent="0.25">
      <c r="A982" s="34">
        <f t="shared" si="31"/>
        <v>48.69999999999937</v>
      </c>
      <c r="B982" s="42">
        <f t="shared" si="30"/>
        <v>1.3541487190592769E-2</v>
      </c>
    </row>
    <row r="983" spans="1:2" x14ac:dyDescent="0.25">
      <c r="A983" s="34">
        <f t="shared" si="31"/>
        <v>48.749999999999368</v>
      </c>
      <c r="B983" s="42">
        <f t="shared" si="30"/>
        <v>1.342133143340446E-2</v>
      </c>
    </row>
    <row r="984" spans="1:2" x14ac:dyDescent="0.25">
      <c r="A984" s="34">
        <f t="shared" si="31"/>
        <v>48.799999999999365</v>
      </c>
      <c r="B984" s="42">
        <f t="shared" si="30"/>
        <v>1.2926048287958014E-2</v>
      </c>
    </row>
    <row r="985" spans="1:2" x14ac:dyDescent="0.25">
      <c r="A985" s="34">
        <f t="shared" si="31"/>
        <v>48.849999999999362</v>
      </c>
      <c r="B985" s="42">
        <f t="shared" si="30"/>
        <v>1.1829581660541821E-2</v>
      </c>
    </row>
    <row r="986" spans="1:2" x14ac:dyDescent="0.25">
      <c r="A986" s="34">
        <f t="shared" si="31"/>
        <v>48.899999999999359</v>
      </c>
      <c r="B986" s="42">
        <f t="shared" si="30"/>
        <v>9.9160095417458738E-3</v>
      </c>
    </row>
    <row r="987" spans="1:2" x14ac:dyDescent="0.25">
      <c r="A987" s="34">
        <f t="shared" si="31"/>
        <v>48.949999999999356</v>
      </c>
      <c r="B987" s="42">
        <f t="shared" si="30"/>
        <v>6.98368515911163E-3</v>
      </c>
    </row>
    <row r="988" spans="1:2" x14ac:dyDescent="0.25">
      <c r="A988" s="34">
        <f t="shared" si="31"/>
        <v>48.999999999999353</v>
      </c>
      <c r="B988" s="42">
        <f t="shared" si="30"/>
        <v>2.8491820643965493E-3</v>
      </c>
    </row>
    <row r="989" spans="1:2" x14ac:dyDescent="0.25">
      <c r="A989" s="34">
        <f t="shared" si="31"/>
        <v>49.049999999999351</v>
      </c>
      <c r="B989" s="42">
        <f t="shared" si="30"/>
        <v>-2.6490131408478668E-3</v>
      </c>
    </row>
    <row r="990" spans="1:2" x14ac:dyDescent="0.25">
      <c r="A990" s="34">
        <f t="shared" si="31"/>
        <v>49.099999999999348</v>
      </c>
      <c r="B990" s="42">
        <f t="shared" si="30"/>
        <v>-9.6471136006499592E-3</v>
      </c>
    </row>
    <row r="991" spans="1:2" x14ac:dyDescent="0.25">
      <c r="A991" s="34">
        <f t="shared" si="31"/>
        <v>49.149999999999345</v>
      </c>
      <c r="B991" s="42">
        <f t="shared" si="30"/>
        <v>-1.8252999870672415E-2</v>
      </c>
    </row>
    <row r="992" spans="1:2" x14ac:dyDescent="0.25">
      <c r="A992" s="34">
        <f t="shared" si="31"/>
        <v>49.199999999999342</v>
      </c>
      <c r="B992" s="42">
        <f t="shared" si="30"/>
        <v>-2.8543587366985479E-2</v>
      </c>
    </row>
    <row r="993" spans="1:2" x14ac:dyDescent="0.25">
      <c r="A993" s="34">
        <f t="shared" si="31"/>
        <v>49.249999999999339</v>
      </c>
      <c r="B993" s="42">
        <f t="shared" si="30"/>
        <v>-4.05626334941116E-2</v>
      </c>
    </row>
    <row r="994" spans="1:2" x14ac:dyDescent="0.25">
      <c r="A994" s="34">
        <f t="shared" si="31"/>
        <v>49.299999999999336</v>
      </c>
      <c r="B994" s="42">
        <f t="shared" si="30"/>
        <v>-5.4319018816731512E-2</v>
      </c>
    </row>
    <row r="995" spans="1:2" x14ac:dyDescent="0.25">
      <c r="A995" s="34">
        <f t="shared" si="31"/>
        <v>49.349999999999334</v>
      </c>
      <c r="B995" s="42">
        <f t="shared" si="30"/>
        <v>-6.9785530655329886E-2</v>
      </c>
    </row>
    <row r="996" spans="1:2" x14ac:dyDescent="0.25">
      <c r="A996" s="34">
        <f t="shared" si="31"/>
        <v>49.399999999999331</v>
      </c>
      <c r="B996" s="42">
        <f t="shared" si="30"/>
        <v>-8.6898171119360601E-2</v>
      </c>
    </row>
    <row r="997" spans="1:2" x14ac:dyDescent="0.25">
      <c r="A997" s="34">
        <f t="shared" si="31"/>
        <v>49.449999999999328</v>
      </c>
      <c r="B997" s="42">
        <f t="shared" si="30"/>
        <v>-0.10555600491967909</v>
      </c>
    </row>
    <row r="998" spans="1:2" x14ac:dyDescent="0.25">
      <c r="A998" s="34">
        <f t="shared" si="31"/>
        <v>49.499999999999325</v>
      </c>
      <c r="B998" s="42">
        <f t="shared" si="30"/>
        <v>-0.12562155540244824</v>
      </c>
    </row>
    <row r="999" spans="1:2" x14ac:dyDescent="0.25">
      <c r="A999" s="34">
        <f t="shared" si="31"/>
        <v>49.549999999999322</v>
      </c>
      <c r="B999" s="42">
        <f t="shared" si="30"/>
        <v>-0.14692175020293208</v>
      </c>
    </row>
    <row r="1000" spans="1:2" x14ac:dyDescent="0.25">
      <c r="A1000" s="34">
        <f t="shared" si="31"/>
        <v>49.599999999999319</v>
      </c>
      <c r="B1000" s="42">
        <f t="shared" si="30"/>
        <v>-0.16924941081236233</v>
      </c>
    </row>
    <row r="1001" spans="1:2" x14ac:dyDescent="0.25">
      <c r="A1001" s="34">
        <f t="shared" si="31"/>
        <v>49.649999999999316</v>
      </c>
      <c r="B1001" s="42">
        <f t="shared" si="30"/>
        <v>-0.1923652732706489</v>
      </c>
    </row>
    <row r="1002" spans="1:2" x14ac:dyDescent="0.25">
      <c r="A1002" s="34">
        <f t="shared" si="31"/>
        <v>49.699999999999314</v>
      </c>
      <c r="B1002" s="42">
        <f t="shared" si="30"/>
        <v>-0.21600052022649852</v>
      </c>
    </row>
    <row r="1003" spans="1:2" x14ac:dyDescent="0.25">
      <c r="A1003" s="34">
        <f t="shared" si="31"/>
        <v>49.749999999999311</v>
      </c>
      <c r="B1003" s="42">
        <f t="shared" si="30"/>
        <v>-0.23985979782889566</v>
      </c>
    </row>
    <row r="1004" spans="1:2" x14ac:dyDescent="0.25">
      <c r="A1004" s="34">
        <f t="shared" si="31"/>
        <v>49.799999999999308</v>
      </c>
      <c r="B1004" s="42">
        <f t="shared" si="30"/>
        <v>-0.26362468441252362</v>
      </c>
    </row>
    <row r="1005" spans="1:2" x14ac:dyDescent="0.25">
      <c r="A1005" s="34">
        <f t="shared" si="31"/>
        <v>49.849999999999305</v>
      </c>
      <c r="B1005" s="42">
        <f t="shared" si="30"/>
        <v>-0.28695757179327397</v>
      </c>
    </row>
    <row r="1006" spans="1:2" x14ac:dyDescent="0.25">
      <c r="A1006" s="34">
        <f t="shared" si="31"/>
        <v>49.899999999999302</v>
      </c>
      <c r="B1006" s="42">
        <f t="shared" si="30"/>
        <v>-0.30950591427504492</v>
      </c>
    </row>
    <row r="1007" spans="1:2" x14ac:dyDescent="0.25">
      <c r="A1007" s="34">
        <f t="shared" si="31"/>
        <v>49.949999999999299</v>
      </c>
      <c r="B1007" s="42">
        <f t="shared" si="30"/>
        <v>-0.33090679525622635</v>
      </c>
    </row>
    <row r="1008" spans="1:2" x14ac:dyDescent="0.25">
      <c r="A1008" s="34">
        <f t="shared" si="31"/>
        <v>49.999999999999297</v>
      </c>
      <c r="B1008" s="42">
        <f t="shared" si="30"/>
        <v>-0.35079175667848783</v>
      </c>
    </row>
    <row r="1009" spans="1:2" x14ac:dyDescent="0.25">
      <c r="A1009" s="34">
        <f t="shared" si="31"/>
        <v>50.049999999999294</v>
      </c>
      <c r="B1009" s="42">
        <f t="shared" si="30"/>
        <v>-0.36879183254244874</v>
      </c>
    </row>
    <row r="1010" spans="1:2" x14ac:dyDescent="0.25">
      <c r="A1010" s="34">
        <f t="shared" si="31"/>
        <v>50.099999999999291</v>
      </c>
      <c r="B1010" s="42">
        <f t="shared" si="30"/>
        <v>-0.3845427243758176</v>
      </c>
    </row>
    <row r="1011" spans="1:2" x14ac:dyDescent="0.25">
      <c r="A1011" s="34">
        <f t="shared" si="31"/>
        <v>50.149999999999288</v>
      </c>
      <c r="B1011" s="42">
        <f t="shared" si="30"/>
        <v>-0.39769005392384232</v>
      </c>
    </row>
    <row r="1012" spans="1:2" x14ac:dyDescent="0.25">
      <c r="A1012" s="34">
        <f t="shared" si="31"/>
        <v>50.199999999999285</v>
      </c>
      <c r="B1012" s="42">
        <f t="shared" si="30"/>
        <v>-0.40789462647788277</v>
      </c>
    </row>
    <row r="1013" spans="1:2" x14ac:dyDescent="0.25">
      <c r="A1013" s="34">
        <f t="shared" si="31"/>
        <v>50.249999999999282</v>
      </c>
      <c r="B1013" s="42">
        <f t="shared" si="30"/>
        <v>-0.4148376371920553</v>
      </c>
    </row>
    <row r="1014" spans="1:2" x14ac:dyDescent="0.25">
      <c r="A1014" s="34">
        <f t="shared" si="31"/>
        <v>50.29999999999928</v>
      </c>
      <c r="B1014" s="42">
        <f t="shared" si="30"/>
        <v>-0.41822575247880145</v>
      </c>
    </row>
    <row r="1015" spans="1:2" x14ac:dyDescent="0.25">
      <c r="A1015" s="34">
        <f t="shared" si="31"/>
        <v>50.349999999999277</v>
      </c>
      <c r="B1015" s="42">
        <f t="shared" si="30"/>
        <v>-0.41779599913422705</v>
      </c>
    </row>
    <row r="1016" spans="1:2" x14ac:dyDescent="0.25">
      <c r="A1016" s="34">
        <f t="shared" si="31"/>
        <v>50.399999999999274</v>
      </c>
      <c r="B1016" s="42">
        <f t="shared" si="30"/>
        <v>-0.41332039522032143</v>
      </c>
    </row>
    <row r="1017" spans="1:2" x14ac:dyDescent="0.25">
      <c r="A1017" s="34">
        <f t="shared" si="31"/>
        <v>50.449999999999271</v>
      </c>
      <c r="B1017" s="42">
        <f t="shared" si="30"/>
        <v>-0.40461025891780272</v>
      </c>
    </row>
    <row r="1018" spans="1:2" x14ac:dyDescent="0.25">
      <c r="A1018" s="34">
        <f t="shared" si="31"/>
        <v>50.499999999999268</v>
      </c>
      <c r="B1018" s="42">
        <f t="shared" si="30"/>
        <v>-0.39152013453871526</v>
      </c>
    </row>
    <row r="1019" spans="1:2" x14ac:dyDescent="0.25">
      <c r="A1019" s="34">
        <f t="shared" si="31"/>
        <v>50.549999999999265</v>
      </c>
      <c r="B1019" s="42">
        <f t="shared" si="30"/>
        <v>-0.37395127862792654</v>
      </c>
    </row>
    <row r="1020" spans="1:2" x14ac:dyDescent="0.25">
      <c r="A1020" s="34">
        <f t="shared" si="31"/>
        <v>50.599999999999262</v>
      </c>
      <c r="B1020" s="42">
        <f t="shared" si="30"/>
        <v>-0.35185465354814416</v>
      </c>
    </row>
    <row r="1021" spans="1:2" x14ac:dyDescent="0.25">
      <c r="A1021" s="34">
        <f t="shared" si="31"/>
        <v>50.64999999999926</v>
      </c>
      <c r="B1021" s="42">
        <f t="shared" si="30"/>
        <v>-0.32523338108882749</v>
      </c>
    </row>
    <row r="1022" spans="1:2" x14ac:dyDescent="0.25">
      <c r="A1022" s="34">
        <f t="shared" si="31"/>
        <v>50.699999999999257</v>
      </c>
      <c r="B1022" s="42">
        <f t="shared" si="30"/>
        <v>-0.29414461441427253</v>
      </c>
    </row>
    <row r="1023" spans="1:2" x14ac:dyDescent="0.25">
      <c r="A1023" s="34">
        <f t="shared" si="31"/>
        <v>50.749999999999254</v>
      </c>
      <c r="B1023" s="42">
        <f t="shared" si="30"/>
        <v>-0.25870079300686522</v>
      </c>
    </row>
    <row r="1024" spans="1:2" x14ac:dyDescent="0.25">
      <c r="A1024" s="34">
        <f t="shared" si="31"/>
        <v>50.799999999999251</v>
      </c>
      <c r="B1024" s="42">
        <f t="shared" si="30"/>
        <v>-0.21907025210021835</v>
      </c>
    </row>
    <row r="1025" spans="1:2" x14ac:dyDescent="0.25">
      <c r="A1025" s="34">
        <f t="shared" si="31"/>
        <v>50.849999999999248</v>
      </c>
      <c r="B1025" s="42">
        <f t="shared" si="30"/>
        <v>-0.1754771653614533</v>
      </c>
    </row>
    <row r="1026" spans="1:2" x14ac:dyDescent="0.25">
      <c r="A1026" s="34">
        <f t="shared" si="31"/>
        <v>50.899999999999245</v>
      </c>
      <c r="B1026" s="42">
        <f t="shared" si="30"/>
        <v>-0.12820080719031468</v>
      </c>
    </row>
    <row r="1027" spans="1:2" x14ac:dyDescent="0.25">
      <c r="A1027" s="34">
        <f t="shared" si="31"/>
        <v>50.949999999999243</v>
      </c>
      <c r="B1027" s="42">
        <f t="shared" si="30"/>
        <v>-7.7574128871206849E-2</v>
      </c>
    </row>
    <row r="1028" spans="1:2" x14ac:dyDescent="0.25">
      <c r="A1028" s="34">
        <f t="shared" si="31"/>
        <v>50.99999999999924</v>
      </c>
      <c r="B1028" s="42">
        <f t="shared" si="30"/>
        <v>-2.3981650856241155E-2</v>
      </c>
    </row>
    <row r="1029" spans="1:2" x14ac:dyDescent="0.25">
      <c r="A1029" s="34">
        <f t="shared" si="31"/>
        <v>51.049999999999237</v>
      </c>
      <c r="B1029" s="42">
        <f t="shared" si="30"/>
        <v>3.2143318419679101E-2</v>
      </c>
    </row>
    <row r="1030" spans="1:2" x14ac:dyDescent="0.25">
      <c r="A1030" s="34">
        <f t="shared" si="31"/>
        <v>51.099999999999234</v>
      </c>
      <c r="B1030" s="42">
        <f t="shared" si="30"/>
        <v>9.032211867870088E-2</v>
      </c>
    </row>
    <row r="1031" spans="1:2" x14ac:dyDescent="0.25">
      <c r="A1031" s="34">
        <f t="shared" si="31"/>
        <v>51.149999999999231</v>
      </c>
      <c r="B1031" s="42">
        <f t="shared" si="30"/>
        <v>0.15003480237280509</v>
      </c>
    </row>
    <row r="1032" spans="1:2" x14ac:dyDescent="0.25">
      <c r="A1032" s="34">
        <f t="shared" si="31"/>
        <v>51.199999999999228</v>
      </c>
      <c r="B1032" s="42">
        <f t="shared" ref="B1032:B1095" si="32">-A1_x*SIN(p_x*A1032)+A2_x*SIN(w_x*A1032)</f>
        <v>0.2107247933559544</v>
      </c>
    </row>
    <row r="1033" spans="1:2" x14ac:dyDescent="0.25">
      <c r="A1033" s="34">
        <f t="shared" ref="A1033:A1096" si="33">A1032+$A$6</f>
        <v>51.249999999999226</v>
      </c>
      <c r="B1033" s="42">
        <f t="shared" si="32"/>
        <v>0.2718040977985241</v>
      </c>
    </row>
    <row r="1034" spans="1:2" x14ac:dyDescent="0.25">
      <c r="A1034" s="34">
        <f t="shared" si="33"/>
        <v>51.299999999999223</v>
      </c>
      <c r="B1034" s="42">
        <f t="shared" si="32"/>
        <v>0.33265901834027023</v>
      </c>
    </row>
    <row r="1035" spans="1:2" x14ac:dyDescent="0.25">
      <c r="A1035" s="34">
        <f t="shared" si="33"/>
        <v>51.34999999999922</v>
      </c>
      <c r="B1035" s="42">
        <f t="shared" si="32"/>
        <v>0.39265631579470228</v>
      </c>
    </row>
    <row r="1036" spans="1:2" x14ac:dyDescent="0.25">
      <c r="A1036" s="34">
        <f t="shared" si="33"/>
        <v>51.399999999999217</v>
      </c>
      <c r="B1036" s="42">
        <f t="shared" si="32"/>
        <v>0.45114975657819367</v>
      </c>
    </row>
    <row r="1037" spans="1:2" x14ac:dyDescent="0.25">
      <c r="A1037" s="34">
        <f t="shared" si="33"/>
        <v>51.449999999999214</v>
      </c>
      <c r="B1037" s="42">
        <f t="shared" si="32"/>
        <v>0.50748697851776359</v>
      </c>
    </row>
    <row r="1038" spans="1:2" x14ac:dyDescent="0.25">
      <c r="A1038" s="34">
        <f t="shared" si="33"/>
        <v>51.499999999999211</v>
      </c>
      <c r="B1038" s="42">
        <f t="shared" si="32"/>
        <v>0.56101660286170629</v>
      </c>
    </row>
    <row r="1039" spans="1:2" x14ac:dyDescent="0.25">
      <c r="A1039" s="34">
        <f t="shared" si="33"/>
        <v>51.549999999999208</v>
      </c>
      <c r="B1039" s="42">
        <f t="shared" si="32"/>
        <v>0.61109551624020741</v>
      </c>
    </row>
    <row r="1040" spans="1:2" x14ac:dyDescent="0.25">
      <c r="A1040" s="34">
        <f t="shared" si="33"/>
        <v>51.599999999999206</v>
      </c>
      <c r="B1040" s="42">
        <f t="shared" si="32"/>
        <v>0.65709624305274461</v>
      </c>
    </row>
    <row r="1041" spans="1:2" x14ac:dyDescent="0.25">
      <c r="A1041" s="34">
        <f t="shared" si="33"/>
        <v>51.649999999999203</v>
      </c>
      <c r="B1041" s="42">
        <f t="shared" si="32"/>
        <v>0.69841432634305312</v>
      </c>
    </row>
    <row r="1042" spans="1:2" x14ac:dyDescent="0.25">
      <c r="A1042" s="34">
        <f t="shared" si="33"/>
        <v>51.6999999999992</v>
      </c>
      <c r="B1042" s="42">
        <f t="shared" si="32"/>
        <v>0.73447563369740942</v>
      </c>
    </row>
    <row r="1043" spans="1:2" x14ac:dyDescent="0.25">
      <c r="A1043" s="34">
        <f t="shared" si="33"/>
        <v>51.749999999999197</v>
      </c>
      <c r="B1043" s="42">
        <f t="shared" si="32"/>
        <v>0.76474350409518554</v>
      </c>
    </row>
    <row r="1044" spans="1:2" x14ac:dyDescent="0.25">
      <c r="A1044" s="34">
        <f t="shared" si="33"/>
        <v>51.799999999999194</v>
      </c>
      <c r="B1044" s="42">
        <f t="shared" si="32"/>
        <v>0.78872565197161493</v>
      </c>
    </row>
    <row r="1045" spans="1:2" x14ac:dyDescent="0.25">
      <c r="A1045" s="34">
        <f t="shared" si="33"/>
        <v>51.849999999999191</v>
      </c>
      <c r="B1045" s="42">
        <f t="shared" si="32"/>
        <v>0.80598074602790593</v>
      </c>
    </row>
    <row r="1046" spans="1:2" x14ac:dyDescent="0.25">
      <c r="A1046" s="34">
        <f t="shared" si="33"/>
        <v>51.899999999999189</v>
      </c>
      <c r="B1046" s="42">
        <f t="shared" si="32"/>
        <v>0.81612458254009901</v>
      </c>
    </row>
    <row r="1047" spans="1:2" x14ac:dyDescent="0.25">
      <c r="A1047" s="34">
        <f t="shared" si="33"/>
        <v>51.949999999999186</v>
      </c>
      <c r="B1047" s="42">
        <f t="shared" si="32"/>
        <v>0.81883577606429692</v>
      </c>
    </row>
    <row r="1048" spans="1:2" x14ac:dyDescent="0.25">
      <c r="A1048" s="34">
        <f t="shared" si="33"/>
        <v>51.999999999999183</v>
      </c>
      <c r="B1048" s="42">
        <f t="shared" si="32"/>
        <v>0.81386089448685461</v>
      </c>
    </row>
    <row r="1049" spans="1:2" x14ac:dyDescent="0.25">
      <c r="A1049" s="34">
        <f t="shared" si="33"/>
        <v>52.04999999999918</v>
      </c>
      <c r="B1049" s="42">
        <f t="shared" si="32"/>
        <v>0.8010189702897007</v>
      </c>
    </row>
    <row r="1050" spans="1:2" x14ac:dyDescent="0.25">
      <c r="A1050" s="34">
        <f t="shared" si="33"/>
        <v>52.099999999999177</v>
      </c>
      <c r="B1050" s="42">
        <f t="shared" si="32"/>
        <v>0.78020532565183753</v>
      </c>
    </row>
    <row r="1051" spans="1:2" x14ac:dyDescent="0.25">
      <c r="A1051" s="34">
        <f t="shared" si="33"/>
        <v>52.149999999999174</v>
      </c>
      <c r="B1051" s="42">
        <f t="shared" si="32"/>
        <v>0.75139465553282592</v>
      </c>
    </row>
    <row r="1052" spans="1:2" x14ac:dyDescent="0.25">
      <c r="A1052" s="34">
        <f t="shared" si="33"/>
        <v>52.199999999999172</v>
      </c>
      <c r="B1052" s="42">
        <f t="shared" si="32"/>
        <v>0.71464332012028875</v>
      </c>
    </row>
    <row r="1053" spans="1:2" x14ac:dyDescent="0.25">
      <c r="A1053" s="34">
        <f t="shared" si="33"/>
        <v>52.249999999999169</v>
      </c>
      <c r="B1053" s="42">
        <f t="shared" si="32"/>
        <v>0.67009080590275161</v>
      </c>
    </row>
    <row r="1054" spans="1:2" x14ac:dyDescent="0.25">
      <c r="A1054" s="34">
        <f t="shared" si="33"/>
        <v>52.299999999999166</v>
      </c>
      <c r="B1054" s="42">
        <f t="shared" si="32"/>
        <v>0.61796032307062354</v>
      </c>
    </row>
    <row r="1055" spans="1:2" x14ac:dyDescent="0.25">
      <c r="A1055" s="34">
        <f t="shared" si="33"/>
        <v>52.349999999999163</v>
      </c>
      <c r="B1055" s="42">
        <f t="shared" si="32"/>
        <v>0.5585585158663009</v>
      </c>
    </row>
    <row r="1056" spans="1:2" x14ac:dyDescent="0.25">
      <c r="A1056" s="34">
        <f t="shared" si="33"/>
        <v>52.39999999999916</v>
      </c>
      <c r="B1056" s="42">
        <f t="shared" si="32"/>
        <v>0.49227427181011585</v>
      </c>
    </row>
    <row r="1057" spans="1:2" x14ac:dyDescent="0.25">
      <c r="A1057" s="34">
        <f t="shared" si="33"/>
        <v>52.449999999999157</v>
      </c>
      <c r="B1057" s="42">
        <f t="shared" si="32"/>
        <v>0.41957662532183893</v>
      </c>
    </row>
    <row r="1058" spans="1:2" x14ac:dyDescent="0.25">
      <c r="A1058" s="34">
        <f t="shared" si="33"/>
        <v>52.499999999999154</v>
      </c>
      <c r="B1058" s="42">
        <f t="shared" si="32"/>
        <v>0.34101176103985642</v>
      </c>
    </row>
    <row r="1059" spans="1:2" x14ac:dyDescent="0.25">
      <c r="A1059" s="34">
        <f t="shared" si="33"/>
        <v>52.549999999999152</v>
      </c>
      <c r="B1059" s="42">
        <f t="shared" si="32"/>
        <v>0.25719913200481503</v>
      </c>
    </row>
    <row r="1060" spans="1:2" x14ac:dyDescent="0.25">
      <c r="A1060" s="34">
        <f t="shared" si="33"/>
        <v>52.599999999999149</v>
      </c>
      <c r="B1060" s="42">
        <f t="shared" si="32"/>
        <v>0.16882671771842017</v>
      </c>
    </row>
    <row r="1061" spans="1:2" x14ac:dyDescent="0.25">
      <c r="A1061" s="34">
        <f t="shared" si="33"/>
        <v>52.649999999999146</v>
      </c>
      <c r="B1061" s="42">
        <f t="shared" si="32"/>
        <v>7.6645456801646139E-2</v>
      </c>
    </row>
    <row r="1062" spans="1:2" x14ac:dyDescent="0.25">
      <c r="A1062" s="34">
        <f t="shared" si="33"/>
        <v>52.699999999999143</v>
      </c>
      <c r="B1062" s="42">
        <f t="shared" si="32"/>
        <v>-1.8537101546419965E-2</v>
      </c>
    </row>
    <row r="1063" spans="1:2" x14ac:dyDescent="0.25">
      <c r="A1063" s="34">
        <f t="shared" si="33"/>
        <v>52.74999999999914</v>
      </c>
      <c r="B1063" s="42">
        <f t="shared" si="32"/>
        <v>-0.11586387395164111</v>
      </c>
    </row>
    <row r="1064" spans="1:2" x14ac:dyDescent="0.25">
      <c r="A1064" s="34">
        <f t="shared" si="33"/>
        <v>52.799999999999137</v>
      </c>
      <c r="B1064" s="42">
        <f t="shared" si="32"/>
        <v>-0.21443598510151629</v>
      </c>
    </row>
    <row r="1065" spans="1:2" x14ac:dyDescent="0.25">
      <c r="A1065" s="34">
        <f t="shared" si="33"/>
        <v>52.849999999999135</v>
      </c>
      <c r="B1065" s="42">
        <f t="shared" si="32"/>
        <v>-0.31332110564032556</v>
      </c>
    </row>
    <row r="1066" spans="1:2" x14ac:dyDescent="0.25">
      <c r="A1066" s="34">
        <f t="shared" si="33"/>
        <v>52.899999999999132</v>
      </c>
      <c r="B1066" s="42">
        <f t="shared" si="32"/>
        <v>-0.41156230803846916</v>
      </c>
    </row>
    <row r="1067" spans="1:2" x14ac:dyDescent="0.25">
      <c r="A1067" s="34">
        <f t="shared" si="33"/>
        <v>52.949999999999129</v>
      </c>
      <c r="B1067" s="42">
        <f t="shared" si="32"/>
        <v>-0.50818735597017684</v>
      </c>
    </row>
    <row r="1068" spans="1:2" x14ac:dyDescent="0.25">
      <c r="A1068" s="34">
        <f t="shared" si="33"/>
        <v>52.999999999999126</v>
      </c>
      <c r="B1068" s="42">
        <f t="shared" si="32"/>
        <v>-0.60221833676087777</v>
      </c>
    </row>
    <row r="1069" spans="1:2" x14ac:dyDescent="0.25">
      <c r="A1069" s="34">
        <f t="shared" si="33"/>
        <v>53.049999999999123</v>
      </c>
      <c r="B1069" s="42">
        <f t="shared" si="32"/>
        <v>-0.69268154137528204</v>
      </c>
    </row>
    <row r="1070" spans="1:2" x14ac:dyDescent="0.25">
      <c r="A1070" s="34">
        <f t="shared" si="33"/>
        <v>53.09999999999912</v>
      </c>
      <c r="B1070" s="42">
        <f t="shared" si="32"/>
        <v>-0.77861749227557375</v>
      </c>
    </row>
    <row r="1071" spans="1:2" x14ac:dyDescent="0.25">
      <c r="A1071" s="34">
        <f t="shared" si="33"/>
        <v>53.149999999999118</v>
      </c>
      <c r="B1071" s="42">
        <f t="shared" si="32"/>
        <v>-0.8590910163413038</v>
      </c>
    </row>
    <row r="1072" spans="1:2" x14ac:dyDescent="0.25">
      <c r="A1072" s="34">
        <f t="shared" si="33"/>
        <v>53.199999999999115</v>
      </c>
      <c r="B1072" s="42">
        <f t="shared" si="32"/>
        <v>-0.93320125795508113</v>
      </c>
    </row>
    <row r="1073" spans="1:2" x14ac:dyDescent="0.25">
      <c r="A1073" s="34">
        <f t="shared" si="33"/>
        <v>53.249999999999112</v>
      </c>
      <c r="B1073" s="42">
        <f t="shared" si="32"/>
        <v>-1.0000915263560226</v>
      </c>
    </row>
    <row r="1074" spans="1:2" x14ac:dyDescent="0.25">
      <c r="A1074" s="34">
        <f t="shared" si="33"/>
        <v>53.299999999999109</v>
      </c>
      <c r="B1074" s="42">
        <f t="shared" si="32"/>
        <v>-1.0589588714695171</v>
      </c>
    </row>
    <row r="1075" spans="1:2" x14ac:dyDescent="0.25">
      <c r="A1075" s="34">
        <f t="shared" si="33"/>
        <v>53.349999999999106</v>
      </c>
      <c r="B1075" s="42">
        <f t="shared" si="32"/>
        <v>-1.1090632836507839</v>
      </c>
    </row>
    <row r="1076" spans="1:2" x14ac:dyDescent="0.25">
      <c r="A1076" s="34">
        <f t="shared" si="33"/>
        <v>53.399999999999103</v>
      </c>
      <c r="B1076" s="42">
        <f t="shared" si="32"/>
        <v>-1.1497364151310148</v>
      </c>
    </row>
    <row r="1077" spans="1:2" x14ac:dyDescent="0.25">
      <c r="A1077" s="34">
        <f t="shared" si="33"/>
        <v>53.4499999999991</v>
      </c>
      <c r="B1077" s="42">
        <f t="shared" si="32"/>
        <v>-1.1803897244166364</v>
      </c>
    </row>
    <row r="1078" spans="1:2" x14ac:dyDescent="0.25">
      <c r="A1078" s="34">
        <f t="shared" si="33"/>
        <v>53.499999999999098</v>
      </c>
      <c r="B1078" s="42">
        <f t="shared" si="32"/>
        <v>-1.200521949443428</v>
      </c>
    </row>
    <row r="1079" spans="1:2" x14ac:dyDescent="0.25">
      <c r="A1079" s="34">
        <f t="shared" si="33"/>
        <v>53.549999999999095</v>
      </c>
      <c r="B1079" s="42">
        <f t="shared" si="32"/>
        <v>-1.2097258208904837</v>
      </c>
    </row>
    <row r="1080" spans="1:2" x14ac:dyDescent="0.25">
      <c r="A1080" s="34">
        <f t="shared" si="33"/>
        <v>53.599999999999092</v>
      </c>
      <c r="B1080" s="42">
        <f t="shared" si="32"/>
        <v>-1.2076939336704742</v>
      </c>
    </row>
    <row r="1081" spans="1:2" x14ac:dyDescent="0.25">
      <c r="A1081" s="34">
        <f t="shared" si="33"/>
        <v>53.649999999999089</v>
      </c>
      <c r="B1081" s="42">
        <f t="shared" si="32"/>
        <v>-1.1942237021720761</v>
      </c>
    </row>
    <row r="1082" spans="1:2" x14ac:dyDescent="0.25">
      <c r="A1082" s="34">
        <f t="shared" si="33"/>
        <v>53.699999999999086</v>
      </c>
      <c r="B1082" s="42">
        <f t="shared" si="32"/>
        <v>-1.1692213332728172</v>
      </c>
    </row>
    <row r="1083" spans="1:2" x14ac:dyDescent="0.25">
      <c r="A1083" s="34">
        <f t="shared" si="33"/>
        <v>53.749999999999083</v>
      </c>
      <c r="B1083" s="42">
        <f t="shared" si="32"/>
        <v>-1.1327047603856095</v>
      </c>
    </row>
    <row r="1084" spans="1:2" x14ac:dyDescent="0.25">
      <c r="A1084" s="34">
        <f t="shared" si="33"/>
        <v>53.799999999999081</v>
      </c>
      <c r="B1084" s="42">
        <f t="shared" si="32"/>
        <v>-1.0848054917623449</v>
      </c>
    </row>
    <row r="1085" spans="1:2" x14ac:dyDescent="0.25">
      <c r="A1085" s="34">
        <f t="shared" si="33"/>
        <v>53.849999999999078</v>
      </c>
      <c r="B1085" s="42">
        <f t="shared" si="32"/>
        <v>-1.0257693368595624</v>
      </c>
    </row>
    <row r="1086" spans="1:2" x14ac:dyDescent="0.25">
      <c r="A1086" s="34">
        <f t="shared" si="33"/>
        <v>53.899999999999075</v>
      </c>
      <c r="B1086" s="42">
        <f t="shared" si="32"/>
        <v>-0.9559559856687726</v>
      </c>
    </row>
    <row r="1087" spans="1:2" x14ac:dyDescent="0.25">
      <c r="A1087" s="34">
        <f t="shared" si="33"/>
        <v>53.949999999999072</v>
      </c>
      <c r="B1087" s="42">
        <f t="shared" si="32"/>
        <v>-0.87583742741754944</v>
      </c>
    </row>
    <row r="1088" spans="1:2" x14ac:dyDescent="0.25">
      <c r="A1088" s="34">
        <f t="shared" si="33"/>
        <v>53.999999999999069</v>
      </c>
      <c r="B1088" s="42">
        <f t="shared" si="32"/>
        <v>-0.78599520684402058</v>
      </c>
    </row>
    <row r="1089" spans="1:2" x14ac:dyDescent="0.25">
      <c r="A1089" s="34">
        <f t="shared" si="33"/>
        <v>54.049999999999066</v>
      </c>
      <c r="B1089" s="42">
        <f t="shared" si="32"/>
        <v>-0.68711652821490565</v>
      </c>
    </row>
    <row r="1090" spans="1:2" x14ac:dyDescent="0.25">
      <c r="A1090" s="34">
        <f t="shared" si="33"/>
        <v>54.099999999999064</v>
      </c>
      <c r="B1090" s="42">
        <f t="shared" si="32"/>
        <v>-0.57998922927326313</v>
      </c>
    </row>
    <row r="1091" spans="1:2" x14ac:dyDescent="0.25">
      <c r="A1091" s="34">
        <f t="shared" si="33"/>
        <v>54.149999999999061</v>
      </c>
      <c r="B1091" s="42">
        <f t="shared" si="32"/>
        <v>-0.46549565924428449</v>
      </c>
    </row>
    <row r="1092" spans="1:2" x14ac:dyDescent="0.25">
      <c r="A1092" s="34">
        <f t="shared" si="33"/>
        <v>54.199999999999058</v>
      </c>
      <c r="B1092" s="42">
        <f t="shared" si="32"/>
        <v>-0.34460550676848123</v>
      </c>
    </row>
    <row r="1093" spans="1:2" x14ac:dyDescent="0.25">
      <c r="A1093" s="34">
        <f t="shared" si="33"/>
        <v>54.249999999999055</v>
      </c>
      <c r="B1093" s="42">
        <f t="shared" si="32"/>
        <v>-0.21836763504761314</v>
      </c>
    </row>
    <row r="1094" spans="1:2" x14ac:dyDescent="0.25">
      <c r="A1094" s="34">
        <f t="shared" si="33"/>
        <v>54.299999999999052</v>
      </c>
      <c r="B1094" s="42">
        <f t="shared" si="32"/>
        <v>-8.7900992459242877E-2</v>
      </c>
    </row>
    <row r="1095" spans="1:2" x14ac:dyDescent="0.25">
      <c r="A1095" s="34">
        <f t="shared" si="33"/>
        <v>54.349999999999049</v>
      </c>
      <c r="B1095" s="42">
        <f t="shared" si="32"/>
        <v>4.5615322699922745E-2</v>
      </c>
    </row>
    <row r="1096" spans="1:2" x14ac:dyDescent="0.25">
      <c r="A1096" s="34">
        <f t="shared" si="33"/>
        <v>54.399999999999046</v>
      </c>
      <c r="B1096" s="42">
        <f t="shared" ref="B1096:B1159" si="34">-A1_x*SIN(p_x*A1096)+A2_x*SIN(w_x*A1096)</f>
        <v>0.1809527549574006</v>
      </c>
    </row>
    <row r="1097" spans="1:2" x14ac:dyDescent="0.25">
      <c r="A1097" s="34">
        <f t="shared" ref="A1097:A1160" si="35">A1096+$A$6</f>
        <v>54.449999999999044</v>
      </c>
      <c r="B1097" s="42">
        <f t="shared" si="34"/>
        <v>0.31684464457309836</v>
      </c>
    </row>
    <row r="1098" spans="1:2" x14ac:dyDescent="0.25">
      <c r="A1098" s="34">
        <f t="shared" si="35"/>
        <v>54.499999999999041</v>
      </c>
      <c r="B1098" s="42">
        <f t="shared" si="34"/>
        <v>0.45199813524313348</v>
      </c>
    </row>
    <row r="1099" spans="1:2" x14ac:dyDescent="0.25">
      <c r="A1099" s="34">
        <f t="shared" si="35"/>
        <v>54.549999999999038</v>
      </c>
      <c r="B1099" s="42">
        <f t="shared" si="34"/>
        <v>0.5851065241645661</v>
      </c>
    </row>
    <row r="1100" spans="1:2" x14ac:dyDescent="0.25">
      <c r="A1100" s="34">
        <f t="shared" si="35"/>
        <v>54.599999999999035</v>
      </c>
      <c r="B1100" s="42">
        <f t="shared" si="34"/>
        <v>0.71486193602742132</v>
      </c>
    </row>
    <row r="1101" spans="1:2" x14ac:dyDescent="0.25">
      <c r="A1101" s="34">
        <f t="shared" si="35"/>
        <v>54.649999999999032</v>
      </c>
      <c r="B1101" s="42">
        <f t="shared" si="34"/>
        <v>0.83996819764092923</v>
      </c>
    </row>
    <row r="1102" spans="1:2" x14ac:dyDescent="0.25">
      <c r="A1102" s="34">
        <f t="shared" si="35"/>
        <v>54.699999999999029</v>
      </c>
      <c r="B1102" s="42">
        <f t="shared" si="34"/>
        <v>0.95915378624455994</v>
      </c>
    </row>
    <row r="1103" spans="1:2" x14ac:dyDescent="0.25">
      <c r="A1103" s="34">
        <f t="shared" si="35"/>
        <v>54.749999999999027</v>
      </c>
      <c r="B1103" s="42">
        <f t="shared" si="34"/>
        <v>1.0711847221515565</v>
      </c>
    </row>
    <row r="1104" spans="1:2" x14ac:dyDescent="0.25">
      <c r="A1104" s="34">
        <f t="shared" si="35"/>
        <v>54.799999999999024</v>
      </c>
      <c r="B1104" s="42">
        <f t="shared" si="34"/>
        <v>1.1748772752619907</v>
      </c>
    </row>
    <row r="1105" spans="1:2" x14ac:dyDescent="0.25">
      <c r="A1105" s="34">
        <f t="shared" si="35"/>
        <v>54.849999999999021</v>
      </c>
      <c r="B1105" s="42">
        <f t="shared" si="34"/>
        <v>1.2691103551898917</v>
      </c>
    </row>
    <row r="1106" spans="1:2" x14ac:dyDescent="0.25">
      <c r="A1106" s="34">
        <f t="shared" si="35"/>
        <v>54.899999999999018</v>
      </c>
      <c r="B1106" s="42">
        <f t="shared" si="34"/>
        <v>1.3528374562863177</v>
      </c>
    </row>
    <row r="1107" spans="1:2" x14ac:dyDescent="0.25">
      <c r="A1107" s="34">
        <f t="shared" si="35"/>
        <v>54.949999999999015</v>
      </c>
      <c r="B1107" s="42">
        <f t="shared" si="34"/>
        <v>1.4250980317071542</v>
      </c>
    </row>
    <row r="1108" spans="1:2" x14ac:dyDescent="0.25">
      <c r="A1108" s="34">
        <f t="shared" si="35"/>
        <v>54.999999999999012</v>
      </c>
      <c r="B1108" s="42">
        <f t="shared" si="34"/>
        <v>1.4850281748556153</v>
      </c>
    </row>
    <row r="1109" spans="1:2" x14ac:dyDescent="0.25">
      <c r="A1109" s="34">
        <f t="shared" si="35"/>
        <v>55.04999999999901</v>
      </c>
      <c r="B1109" s="42">
        <f t="shared" si="34"/>
        <v>1.5318704919958661</v>
      </c>
    </row>
    <row r="1110" spans="1:2" x14ac:dyDescent="0.25">
      <c r="A1110" s="34">
        <f t="shared" si="35"/>
        <v>55.099999999999007</v>
      </c>
      <c r="B1110" s="42">
        <f t="shared" si="34"/>
        <v>1.5649830565453577</v>
      </c>
    </row>
    <row r="1111" spans="1:2" x14ac:dyDescent="0.25">
      <c r="A1111" s="34">
        <f t="shared" si="35"/>
        <v>55.149999999999004</v>
      </c>
      <c r="B1111" s="42">
        <f t="shared" si="34"/>
        <v>1.5838473434533158</v>
      </c>
    </row>
    <row r="1112" spans="1:2" x14ac:dyDescent="0.25">
      <c r="A1112" s="34">
        <f t="shared" si="35"/>
        <v>55.199999999999001</v>
      </c>
      <c r="B1112" s="42">
        <f t="shared" si="34"/>
        <v>1.5880750510929802</v>
      </c>
    </row>
    <row r="1113" spans="1:2" x14ac:dyDescent="0.25">
      <c r="A1113" s="34">
        <f t="shared" si="35"/>
        <v>55.249999999998998</v>
      </c>
      <c r="B1113" s="42">
        <f t="shared" si="34"/>
        <v>1.5774137281577185</v>
      </c>
    </row>
    <row r="1114" spans="1:2" x14ac:dyDescent="0.25">
      <c r="A1114" s="34">
        <f t="shared" si="35"/>
        <v>55.299999999998995</v>
      </c>
      <c r="B1114" s="42">
        <f t="shared" si="34"/>
        <v>1.5517511340630783</v>
      </c>
    </row>
    <row r="1115" spans="1:2" x14ac:dyDescent="0.25">
      <c r="A1115" s="34">
        <f t="shared" si="35"/>
        <v>55.349999999998992</v>
      </c>
      <c r="B1115" s="42">
        <f t="shared" si="34"/>
        <v>1.5111182732159161</v>
      </c>
    </row>
    <row r="1116" spans="1:2" x14ac:dyDescent="0.25">
      <c r="A1116" s="34">
        <f t="shared" si="35"/>
        <v>55.39999999999899</v>
      </c>
      <c r="B1116" s="42">
        <f t="shared" si="34"/>
        <v>1.4556910561086107</v>
      </c>
    </row>
    <row r="1117" spans="1:2" x14ac:dyDescent="0.25">
      <c r="A1117" s="34">
        <f t="shared" si="35"/>
        <v>55.449999999998987</v>
      </c>
      <c r="B1117" s="42">
        <f t="shared" si="34"/>
        <v>1.3857905534089041</v>
      </c>
    </row>
    <row r="1118" spans="1:2" x14ac:dyDescent="0.25">
      <c r="A1118" s="34">
        <f t="shared" si="35"/>
        <v>55.499999999998984</v>
      </c>
      <c r="B1118" s="42">
        <f t="shared" si="34"/>
        <v>1.3018818229162457</v>
      </c>
    </row>
    <row r="1119" spans="1:2" x14ac:dyDescent="0.25">
      <c r="A1119" s="34">
        <f t="shared" si="35"/>
        <v>55.549999999998981</v>
      </c>
      <c r="B1119" s="42">
        <f t="shared" si="34"/>
        <v>1.2045713033125911</v>
      </c>
    </row>
    <row r="1120" spans="1:2" x14ac:dyDescent="0.25">
      <c r="A1120" s="34">
        <f t="shared" si="35"/>
        <v>55.599999999998978</v>
      </c>
      <c r="B1120" s="42">
        <f t="shared" si="34"/>
        <v>1.0946027829071308</v>
      </c>
    </row>
    <row r="1121" spans="1:2" x14ac:dyDescent="0.25">
      <c r="A1121" s="34">
        <f t="shared" si="35"/>
        <v>55.649999999998975</v>
      </c>
      <c r="B1121" s="42">
        <f t="shared" si="34"/>
        <v>0.97285196592161027</v>
      </c>
    </row>
    <row r="1122" spans="1:2" x14ac:dyDescent="0.25">
      <c r="A1122" s="34">
        <f t="shared" si="35"/>
        <v>55.699999999998973</v>
      </c>
      <c r="B1122" s="42">
        <f t="shared" si="34"/>
        <v>0.84031967313807265</v>
      </c>
    </row>
    <row r="1123" spans="1:2" x14ac:dyDescent="0.25">
      <c r="A1123" s="34">
        <f t="shared" si="35"/>
        <v>55.74999999999897</v>
      </c>
      <c r="B1123" s="42">
        <f t="shared" si="34"/>
        <v>0.69812372779266041</v>
      </c>
    </row>
    <row r="1124" spans="1:2" x14ac:dyDescent="0.25">
      <c r="A1124" s="34">
        <f t="shared" si="35"/>
        <v>55.799999999998967</v>
      </c>
      <c r="B1124" s="42">
        <f t="shared" si="34"/>
        <v>0.54748959130074093</v>
      </c>
    </row>
    <row r="1125" spans="1:2" x14ac:dyDescent="0.25">
      <c r="A1125" s="34">
        <f t="shared" si="35"/>
        <v>55.849999999998964</v>
      </c>
      <c r="B1125" s="42">
        <f t="shared" si="34"/>
        <v>0.38973982659850193</v>
      </c>
    </row>
    <row r="1126" spans="1:2" x14ac:dyDescent="0.25">
      <c r="A1126" s="34">
        <f t="shared" si="35"/>
        <v>55.899999999998961</v>
      </c>
      <c r="B1126" s="42">
        <f t="shared" si="34"/>
        <v>0.22628247944819613</v>
      </c>
    </row>
    <row r="1127" spans="1:2" x14ac:dyDescent="0.25">
      <c r="A1127" s="34">
        <f t="shared" si="35"/>
        <v>55.949999999998958</v>
      </c>
      <c r="B1127" s="42">
        <f t="shared" si="34"/>
        <v>5.8598479843241069E-2</v>
      </c>
    </row>
    <row r="1128" spans="1:2" x14ac:dyDescent="0.25">
      <c r="A1128" s="34">
        <f t="shared" si="35"/>
        <v>55.999999999998956</v>
      </c>
      <c r="B1128" s="42">
        <f t="shared" si="34"/>
        <v>-0.11177182346048009</v>
      </c>
    </row>
    <row r="1129" spans="1:2" x14ac:dyDescent="0.25">
      <c r="A1129" s="34">
        <f t="shared" si="35"/>
        <v>56.049999999998953</v>
      </c>
      <c r="B1129" s="42">
        <f t="shared" si="34"/>
        <v>-0.28324287238645973</v>
      </c>
    </row>
    <row r="1130" spans="1:2" x14ac:dyDescent="0.25">
      <c r="A1130" s="34">
        <f t="shared" si="35"/>
        <v>56.09999999999895</v>
      </c>
      <c r="B1130" s="42">
        <f t="shared" si="34"/>
        <v>-0.45419872130450756</v>
      </c>
    </row>
    <row r="1131" spans="1:2" x14ac:dyDescent="0.25">
      <c r="A1131" s="34">
        <f t="shared" si="35"/>
        <v>56.149999999998947</v>
      </c>
      <c r="B1131" s="42">
        <f t="shared" si="34"/>
        <v>-0.62300833195263827</v>
      </c>
    </row>
    <row r="1132" spans="1:2" x14ac:dyDescent="0.25">
      <c r="A1132" s="34">
        <f t="shared" si="35"/>
        <v>56.199999999998944</v>
      </c>
      <c r="B1132" s="42">
        <f t="shared" si="34"/>
        <v>-0.78804119613337886</v>
      </c>
    </row>
    <row r="1133" spans="1:2" x14ac:dyDescent="0.25">
      <c r="A1133" s="34">
        <f t="shared" si="35"/>
        <v>56.249999999998941</v>
      </c>
      <c r="B1133" s="42">
        <f t="shared" si="34"/>
        <v>-0.94768313598173859</v>
      </c>
    </row>
    <row r="1134" spans="1:2" x14ac:dyDescent="0.25">
      <c r="A1134" s="34">
        <f t="shared" si="35"/>
        <v>56.299999999998938</v>
      </c>
      <c r="B1134" s="42">
        <f t="shared" si="34"/>
        <v>-1.1003521282290405</v>
      </c>
    </row>
    <row r="1135" spans="1:2" x14ac:dyDescent="0.25">
      <c r="A1135" s="34">
        <f t="shared" si="35"/>
        <v>56.349999999998936</v>
      </c>
      <c r="B1135" s="42">
        <f t="shared" si="34"/>
        <v>-1.2445139970103467</v>
      </c>
    </row>
    <row r="1136" spans="1:2" x14ac:dyDescent="0.25">
      <c r="A1136" s="34">
        <f t="shared" si="35"/>
        <v>56.399999999998933</v>
      </c>
      <c r="B1136" s="42">
        <f t="shared" si="34"/>
        <v>-1.3786978194171144</v>
      </c>
    </row>
    <row r="1137" spans="1:2" x14ac:dyDescent="0.25">
      <c r="A1137" s="34">
        <f t="shared" si="35"/>
        <v>56.44999999999893</v>
      </c>
      <c r="B1137" s="42">
        <f t="shared" si="34"/>
        <v>-1.5015108891983329</v>
      </c>
    </row>
    <row r="1138" spans="1:2" x14ac:dyDescent="0.25">
      <c r="A1138" s="34">
        <f t="shared" si="35"/>
        <v>56.499999999998927</v>
      </c>
      <c r="B1138" s="42">
        <f t="shared" si="34"/>
        <v>-1.6116530867656571</v>
      </c>
    </row>
    <row r="1139" spans="1:2" x14ac:dyDescent="0.25">
      <c r="A1139" s="34">
        <f t="shared" si="35"/>
        <v>56.549999999998924</v>
      </c>
      <c r="B1139" s="42">
        <f t="shared" si="34"/>
        <v>-1.7079305079477556</v>
      </c>
    </row>
    <row r="1140" spans="1:2" x14ac:dyDescent="0.25">
      <c r="A1140" s="34">
        <f t="shared" si="35"/>
        <v>56.599999999998921</v>
      </c>
      <c r="B1140" s="42">
        <f t="shared" si="34"/>
        <v>-1.7892682097382064</v>
      </c>
    </row>
    <row r="1141" spans="1:2" x14ac:dyDescent="0.25">
      <c r="A1141" s="34">
        <f t="shared" si="35"/>
        <v>56.649999999998919</v>
      </c>
      <c r="B1141" s="42">
        <f t="shared" si="34"/>
        <v>-1.8547219385449409</v>
      </c>
    </row>
    <row r="1142" spans="1:2" x14ac:dyDescent="0.25">
      <c r="A1142" s="34">
        <f t="shared" si="35"/>
        <v>56.699999999998916</v>
      </c>
      <c r="B1142" s="42">
        <f t="shared" si="34"/>
        <v>-1.9034887151197644</v>
      </c>
    </row>
    <row r="1143" spans="1:2" x14ac:dyDescent="0.25">
      <c r="A1143" s="34">
        <f t="shared" si="35"/>
        <v>56.749999999998913</v>
      </c>
      <c r="B1143" s="42">
        <f t="shared" si="34"/>
        <v>-1.9349161603496188</v>
      </c>
    </row>
    <row r="1144" spans="1:2" x14ac:dyDescent="0.25">
      <c r="A1144" s="34">
        <f t="shared" si="35"/>
        <v>56.79999999999891</v>
      </c>
      <c r="B1144" s="42">
        <f t="shared" si="34"/>
        <v>-1.9485104573388252</v>
      </c>
    </row>
    <row r="1145" spans="1:2" x14ac:dyDescent="0.25">
      <c r="A1145" s="34">
        <f t="shared" si="35"/>
        <v>56.849999999998907</v>
      </c>
      <c r="B1145" s="42">
        <f t="shared" si="34"/>
        <v>-1.943942857604537</v>
      </c>
    </row>
    <row r="1146" spans="1:2" x14ac:dyDescent="0.25">
      <c r="A1146" s="34">
        <f t="shared" si="35"/>
        <v>56.899999999998904</v>
      </c>
      <c r="B1146" s="42">
        <f t="shared" si="34"/>
        <v>-1.9210546526317098</v>
      </c>
    </row>
    <row r="1147" spans="1:2" x14ac:dyDescent="0.25">
      <c r="A1147" s="34">
        <f t="shared" si="35"/>
        <v>56.949999999998902</v>
      </c>
      <c r="B1147" s="42">
        <f t="shared" si="34"/>
        <v>-1.8798605463642022</v>
      </c>
    </row>
    <row r="1148" spans="1:2" x14ac:dyDescent="0.25">
      <c r="A1148" s="34">
        <f t="shared" si="35"/>
        <v>56.999999999998899</v>
      </c>
      <c r="B1148" s="42">
        <f t="shared" si="34"/>
        <v>-1.8205503793129092</v>
      </c>
    </row>
    <row r="1149" spans="1:2" x14ac:dyDescent="0.25">
      <c r="A1149" s="34">
        <f t="shared" si="35"/>
        <v>57.049999999998896</v>
      </c>
      <c r="B1149" s="42">
        <f t="shared" si="34"/>
        <v>-1.7434891706949378</v>
      </c>
    </row>
    <row r="1150" spans="1:2" x14ac:dyDescent="0.25">
      <c r="A1150" s="34">
        <f t="shared" si="35"/>
        <v>57.099999999998893</v>
      </c>
      <c r="B1150" s="42">
        <f t="shared" si="34"/>
        <v>-1.6492154612287417</v>
      </c>
    </row>
    <row r="1151" spans="1:2" x14ac:dyDescent="0.25">
      <c r="A1151" s="34">
        <f t="shared" si="35"/>
        <v>57.14999999999889</v>
      </c>
      <c r="B1151" s="42">
        <f t="shared" si="34"/>
        <v>-1.5384379557443506</v>
      </c>
    </row>
    <row r="1152" spans="1:2" x14ac:dyDescent="0.25">
      <c r="A1152" s="34">
        <f t="shared" si="35"/>
        <v>57.199999999998887</v>
      </c>
      <c r="B1152" s="42">
        <f t="shared" si="34"/>
        <v>-1.4120304814618969</v>
      </c>
    </row>
    <row r="1153" spans="1:2" x14ac:dyDescent="0.25">
      <c r="A1153" s="34">
        <f t="shared" si="35"/>
        <v>57.249999999998884</v>
      </c>
      <c r="B1153" s="42">
        <f t="shared" si="34"/>
        <v>-1.2710252944811993</v>
      </c>
    </row>
    <row r="1154" spans="1:2" x14ac:dyDescent="0.25">
      <c r="A1154" s="34">
        <f t="shared" si="35"/>
        <v>57.299999999998882</v>
      </c>
      <c r="B1154" s="42">
        <f t="shared" si="34"/>
        <v>-1.1166047835470347</v>
      </c>
    </row>
    <row r="1155" spans="1:2" x14ac:dyDescent="0.25">
      <c r="A1155" s="34">
        <f t="shared" si="35"/>
        <v>57.349999999998879</v>
      </c>
      <c r="B1155" s="42">
        <f t="shared" si="34"/>
        <v>-0.9500916363413312</v>
      </c>
    </row>
    <row r="1156" spans="1:2" x14ac:dyDescent="0.25">
      <c r="A1156" s="34">
        <f t="shared" si="35"/>
        <v>57.399999999998876</v>
      </c>
      <c r="B1156" s="42">
        <f t="shared" si="34"/>
        <v>-0.77293754924168923</v>
      </c>
    </row>
    <row r="1157" spans="1:2" x14ac:dyDescent="0.25">
      <c r="A1157" s="34">
        <f t="shared" si="35"/>
        <v>57.449999999998873</v>
      </c>
      <c r="B1157" s="42">
        <f t="shared" si="34"/>
        <v>-0.58671057651799829</v>
      </c>
    </row>
    <row r="1158" spans="1:2" x14ac:dyDescent="0.25">
      <c r="A1158" s="34">
        <f t="shared" si="35"/>
        <v>57.49999999999887</v>
      </c>
      <c r="B1158" s="42">
        <f t="shared" si="34"/>
        <v>-0.39308122915873422</v>
      </c>
    </row>
    <row r="1159" spans="1:2" x14ac:dyDescent="0.25">
      <c r="A1159" s="34">
        <f t="shared" si="35"/>
        <v>57.549999999998867</v>
      </c>
      <c r="B1159" s="42">
        <f t="shared" si="34"/>
        <v>-0.19380744677848982</v>
      </c>
    </row>
    <row r="1160" spans="1:2" x14ac:dyDescent="0.25">
      <c r="A1160" s="34">
        <f t="shared" si="35"/>
        <v>57.599999999998865</v>
      </c>
      <c r="B1160" s="42">
        <f t="shared" ref="B1160:B1223" si="36">-A1_x*SIN(p_x*A1160)+A2_x*SIN(w_x*A1160)</f>
        <v>9.2814217786632014E-3</v>
      </c>
    </row>
    <row r="1161" spans="1:2" x14ac:dyDescent="0.25">
      <c r="A1161" s="34">
        <f t="shared" ref="A1161:A1224" si="37">A1160+$A$6</f>
        <v>57.649999999998862</v>
      </c>
      <c r="B1161" s="42">
        <f t="shared" si="36"/>
        <v>0.214301482591718</v>
      </c>
    </row>
    <row r="1162" spans="1:2" x14ac:dyDescent="0.25">
      <c r="A1162" s="34">
        <f t="shared" si="37"/>
        <v>57.699999999998859</v>
      </c>
      <c r="B1162" s="42">
        <f t="shared" si="36"/>
        <v>0.41933184943418467</v>
      </c>
    </row>
    <row r="1163" spans="1:2" x14ac:dyDescent="0.25">
      <c r="A1163" s="34">
        <f t="shared" si="37"/>
        <v>57.749999999998856</v>
      </c>
      <c r="B1163" s="42">
        <f t="shared" si="36"/>
        <v>0.62243272089184298</v>
      </c>
    </row>
    <row r="1164" spans="1:2" x14ac:dyDescent="0.25">
      <c r="A1164" s="34">
        <f t="shared" si="37"/>
        <v>57.799999999998853</v>
      </c>
      <c r="B1164" s="42">
        <f t="shared" si="36"/>
        <v>0.82166381096163432</v>
      </c>
    </row>
    <row r="1165" spans="1:2" x14ac:dyDescent="0.25">
      <c r="A1165" s="34">
        <f t="shared" si="37"/>
        <v>57.84999999999885</v>
      </c>
      <c r="B1165" s="42">
        <f t="shared" si="36"/>
        <v>1.0151029572966126</v>
      </c>
    </row>
    <row r="1166" spans="1:2" x14ac:dyDescent="0.25">
      <c r="A1166" s="34">
        <f t="shared" si="37"/>
        <v>57.899999999998847</v>
      </c>
      <c r="B1166" s="42">
        <f t="shared" si="36"/>
        <v>1.2008647279762017</v>
      </c>
    </row>
    <row r="1167" spans="1:2" x14ac:dyDescent="0.25">
      <c r="A1167" s="34">
        <f t="shared" si="37"/>
        <v>57.949999999998845</v>
      </c>
      <c r="B1167" s="42">
        <f t="shared" si="36"/>
        <v>1.3771188461249433</v>
      </c>
    </row>
    <row r="1168" spans="1:2" x14ac:dyDescent="0.25">
      <c r="A1168" s="34">
        <f t="shared" si="37"/>
        <v>57.999999999998842</v>
      </c>
      <c r="B1168" s="42">
        <f t="shared" si="36"/>
        <v>1.5421082519068694</v>
      </c>
    </row>
    <row r="1169" spans="1:2" x14ac:dyDescent="0.25">
      <c r="A1169" s="34">
        <f t="shared" si="37"/>
        <v>58.049999999998839</v>
      </c>
      <c r="B1169" s="42">
        <f t="shared" si="36"/>
        <v>1.6941666233979973</v>
      </c>
    </row>
    <row r="1170" spans="1:2" x14ac:dyDescent="0.25">
      <c r="A1170" s="34">
        <f t="shared" si="37"/>
        <v>58.099999999998836</v>
      </c>
      <c r="B1170" s="42">
        <f t="shared" si="36"/>
        <v>1.8317351815809066</v>
      </c>
    </row>
    <row r="1171" spans="1:2" x14ac:dyDescent="0.25">
      <c r="A1171" s="34">
        <f t="shared" si="37"/>
        <v>58.149999999998833</v>
      </c>
      <c r="B1171" s="42">
        <f t="shared" si="36"/>
        <v>1.9533786101905328</v>
      </c>
    </row>
    <row r="1172" spans="1:2" x14ac:dyDescent="0.25">
      <c r="A1172" s="34">
        <f t="shared" si="37"/>
        <v>58.19999999999883</v>
      </c>
      <c r="B1172" s="42">
        <f t="shared" si="36"/>
        <v>2.057799928328353</v>
      </c>
    </row>
    <row r="1173" spans="1:2" x14ac:dyDescent="0.25">
      <c r="A1173" s="34">
        <f t="shared" si="37"/>
        <v>58.249999999998828</v>
      </c>
      <c r="B1173" s="42">
        <f t="shared" si="36"/>
        <v>2.1438541625962699</v>
      </c>
    </row>
    <row r="1174" spans="1:2" x14ac:dyDescent="0.25">
      <c r="A1174" s="34">
        <f t="shared" si="37"/>
        <v>58.299999999998825</v>
      </c>
      <c r="B1174" s="42">
        <f t="shared" si="36"/>
        <v>2.2105606759075829</v>
      </c>
    </row>
    <row r="1175" spans="1:2" x14ac:dyDescent="0.25">
      <c r="A1175" s="34">
        <f t="shared" si="37"/>
        <v>58.349999999998822</v>
      </c>
      <c r="B1175" s="42">
        <f t="shared" si="36"/>
        <v>2.2571140220197035</v>
      </c>
    </row>
    <row r="1176" spans="1:2" x14ac:dyDescent="0.25">
      <c r="A1176" s="34">
        <f t="shared" si="37"/>
        <v>58.399999999998819</v>
      </c>
      <c r="B1176" s="42">
        <f t="shared" si="36"/>
        <v>2.2828932080976152</v>
      </c>
    </row>
    <row r="1177" spans="1:2" x14ac:dyDescent="0.25">
      <c r="A1177" s="34">
        <f t="shared" si="37"/>
        <v>58.449999999998816</v>
      </c>
      <c r="B1177" s="42">
        <f t="shared" si="36"/>
        <v>2.2874692621379809</v>
      </c>
    </row>
    <row r="1178" spans="1:2" x14ac:dyDescent="0.25">
      <c r="A1178" s="34">
        <f t="shared" si="37"/>
        <v>58.499999999998813</v>
      </c>
      <c r="B1178" s="42">
        <f t="shared" si="36"/>
        <v>2.2706110177276626</v>
      </c>
    </row>
    <row r="1179" spans="1:2" x14ac:dyDescent="0.25">
      <c r="A1179" s="34">
        <f t="shared" si="37"/>
        <v>58.549999999998811</v>
      </c>
      <c r="B1179" s="42">
        <f t="shared" si="36"/>
        <v>2.2322890452342721</v>
      </c>
    </row>
    <row r="1180" spans="1:2" x14ac:dyDescent="0.25">
      <c r="A1180" s="34">
        <f t="shared" si="37"/>
        <v>58.599999999998808</v>
      </c>
      <c r="B1180" s="42">
        <f t="shared" si="36"/>
        <v>2.1726776759719657</v>
      </c>
    </row>
    <row r="1181" spans="1:2" x14ac:dyDescent="0.25">
      <c r="A1181" s="34">
        <f t="shared" si="37"/>
        <v>58.649999999998805</v>
      </c>
      <c r="B1181" s="42">
        <f t="shared" si="36"/>
        <v>2.0921550839906171</v>
      </c>
    </row>
    <row r="1182" spans="1:2" x14ac:dyDescent="0.25">
      <c r="A1182" s="34">
        <f t="shared" si="37"/>
        <v>58.699999999998802</v>
      </c>
      <c r="B1182" s="42">
        <f t="shared" si="36"/>
        <v>1.9913014087253844</v>
      </c>
    </row>
    <row r="1183" spans="1:2" x14ac:dyDescent="0.25">
      <c r="A1183" s="34">
        <f t="shared" si="37"/>
        <v>58.749999999998799</v>
      </c>
      <c r="B1183" s="42">
        <f t="shared" si="36"/>
        <v>1.8708949206410082</v>
      </c>
    </row>
    <row r="1184" spans="1:2" x14ac:dyDescent="0.25">
      <c r="A1184" s="34">
        <f t="shared" si="37"/>
        <v>58.799999999998796</v>
      </c>
      <c r="B1184" s="42">
        <f t="shared" si="36"/>
        <v>1.7319062510259553</v>
      </c>
    </row>
    <row r="1185" spans="1:2" x14ac:dyDescent="0.25">
      <c r="A1185" s="34">
        <f t="shared" si="37"/>
        <v>58.849999999998793</v>
      </c>
      <c r="B1185" s="42">
        <f t="shared" si="36"/>
        <v>1.5754907260500475</v>
      </c>
    </row>
    <row r="1186" spans="1:2" x14ac:dyDescent="0.25">
      <c r="A1186" s="34">
        <f t="shared" si="37"/>
        <v>58.899999999998791</v>
      </c>
      <c r="B1186" s="42">
        <f t="shared" si="36"/>
        <v>1.4029788639118559</v>
      </c>
    </row>
    <row r="1187" spans="1:2" x14ac:dyDescent="0.25">
      <c r="A1187" s="34">
        <f t="shared" si="37"/>
        <v>58.949999999998788</v>
      </c>
      <c r="B1187" s="42">
        <f t="shared" si="36"/>
        <v>1.2158651121816333</v>
      </c>
    </row>
    <row r="1188" spans="1:2" x14ac:dyDescent="0.25">
      <c r="A1188" s="34">
        <f t="shared" si="37"/>
        <v>58.999999999998785</v>
      </c>
      <c r="B1188" s="42">
        <f t="shared" si="36"/>
        <v>1.0157949201098706</v>
      </c>
    </row>
    <row r="1189" spans="1:2" x14ac:dyDescent="0.25">
      <c r="A1189" s="34">
        <f t="shared" si="37"/>
        <v>59.049999999998782</v>
      </c>
      <c r="B1189" s="42">
        <f t="shared" si="36"/>
        <v>0.80455025754581744</v>
      </c>
    </row>
    <row r="1190" spans="1:2" x14ac:dyDescent="0.25">
      <c r="A1190" s="34">
        <f t="shared" si="37"/>
        <v>59.099999999998779</v>
      </c>
      <c r="B1190" s="42">
        <f t="shared" si="36"/>
        <v>0.58403370802146504</v>
      </c>
    </row>
    <row r="1191" spans="1:2" x14ac:dyDescent="0.25">
      <c r="A1191" s="34">
        <f t="shared" si="37"/>
        <v>59.149999999998776</v>
      </c>
      <c r="B1191" s="42">
        <f t="shared" si="36"/>
        <v>0.35625127834231085</v>
      </c>
    </row>
    <row r="1192" spans="1:2" x14ac:dyDescent="0.25">
      <c r="A1192" s="34">
        <f t="shared" si="37"/>
        <v>59.199999999998774</v>
      </c>
      <c r="B1192" s="42">
        <f t="shared" si="36"/>
        <v>0.12329408053637114</v>
      </c>
    </row>
    <row r="1193" spans="1:2" x14ac:dyDescent="0.25">
      <c r="A1193" s="34">
        <f t="shared" si="37"/>
        <v>59.249999999998771</v>
      </c>
      <c r="B1193" s="42">
        <f t="shared" si="36"/>
        <v>-0.11268094589589994</v>
      </c>
    </row>
    <row r="1194" spans="1:2" x14ac:dyDescent="0.25">
      <c r="A1194" s="34">
        <f t="shared" si="37"/>
        <v>59.299999999998768</v>
      </c>
      <c r="B1194" s="42">
        <f t="shared" si="36"/>
        <v>-0.34947109294353851</v>
      </c>
    </row>
    <row r="1195" spans="1:2" x14ac:dyDescent="0.25">
      <c r="A1195" s="34">
        <f t="shared" si="37"/>
        <v>59.349999999998765</v>
      </c>
      <c r="B1195" s="42">
        <f t="shared" si="36"/>
        <v>-0.58484853688563287</v>
      </c>
    </row>
    <row r="1196" spans="1:2" x14ac:dyDescent="0.25">
      <c r="A1196" s="34">
        <f t="shared" si="37"/>
        <v>59.399999999998762</v>
      </c>
      <c r="B1196" s="42">
        <f t="shared" si="36"/>
        <v>-0.81658139043018885</v>
      </c>
    </row>
    <row r="1197" spans="1:2" x14ac:dyDescent="0.25">
      <c r="A1197" s="34">
        <f t="shared" si="37"/>
        <v>59.449999999998759</v>
      </c>
      <c r="B1197" s="42">
        <f t="shared" si="36"/>
        <v>-1.0424549544038593</v>
      </c>
    </row>
    <row r="1198" spans="1:2" x14ac:dyDescent="0.25">
      <c r="A1198" s="34">
        <f t="shared" si="37"/>
        <v>59.499999999998757</v>
      </c>
      <c r="B1198" s="42">
        <f t="shared" si="36"/>
        <v>-1.260292965820951</v>
      </c>
    </row>
    <row r="1199" spans="1:2" x14ac:dyDescent="0.25">
      <c r="A1199" s="34">
        <f t="shared" si="37"/>
        <v>59.549999999998754</v>
      </c>
      <c r="B1199" s="42">
        <f t="shared" si="36"/>
        <v>-1.467978637726514</v>
      </c>
    </row>
    <row r="1200" spans="1:2" x14ac:dyDescent="0.25">
      <c r="A1200" s="34">
        <f t="shared" si="37"/>
        <v>59.599999999998751</v>
      </c>
      <c r="B1200" s="42">
        <f t="shared" si="36"/>
        <v>-1.6634752867517939</v>
      </c>
    </row>
    <row r="1201" spans="1:2" x14ac:dyDescent="0.25">
      <c r="A1201" s="34">
        <f t="shared" si="37"/>
        <v>59.649999999998748</v>
      </c>
      <c r="B1201" s="42">
        <f t="shared" si="36"/>
        <v>-1.8448463468482936</v>
      </c>
    </row>
    <row r="1202" spans="1:2" x14ac:dyDescent="0.25">
      <c r="A1202" s="34">
        <f t="shared" si="37"/>
        <v>59.699999999998745</v>
      </c>
      <c r="B1202" s="42">
        <f t="shared" si="36"/>
        <v>-2.0102745721689068</v>
      </c>
    </row>
    <row r="1203" spans="1:2" x14ac:dyDescent="0.25">
      <c r="A1203" s="34">
        <f t="shared" si="37"/>
        <v>59.749999999998742</v>
      </c>
      <c r="B1203" s="42">
        <f t="shared" si="36"/>
        <v>-2.1580802385095055</v>
      </c>
    </row>
    <row r="1204" spans="1:2" x14ac:dyDescent="0.25">
      <c r="A1204" s="34">
        <f t="shared" si="37"/>
        <v>59.799999999998739</v>
      </c>
      <c r="B1204" s="42">
        <f t="shared" si="36"/>
        <v>-2.2867381610624138</v>
      </c>
    </row>
    <row r="1205" spans="1:2" x14ac:dyDescent="0.25">
      <c r="A1205" s="34">
        <f t="shared" si="37"/>
        <v>59.849999999998737</v>
      </c>
      <c r="B1205" s="42">
        <f t="shared" si="36"/>
        <v>-2.3948933563955226</v>
      </c>
    </row>
    <row r="1206" spans="1:2" x14ac:dyDescent="0.25">
      <c r="A1206" s="34">
        <f t="shared" si="37"/>
        <v>59.899999999998734</v>
      </c>
      <c r="B1206" s="42">
        <f t="shared" si="36"/>
        <v>-2.4813751884707433</v>
      </c>
    </row>
    <row r="1207" spans="1:2" x14ac:dyDescent="0.25">
      <c r="A1207" s="34">
        <f t="shared" si="37"/>
        <v>59.949999999998731</v>
      </c>
      <c r="B1207" s="42">
        <f t="shared" si="36"/>
        <v>-2.5452098520477966</v>
      </c>
    </row>
    <row r="1208" spans="1:2" x14ac:dyDescent="0.25">
      <c r="A1208" s="34">
        <f t="shared" si="37"/>
        <v>59.999999999998728</v>
      </c>
      <c r="B1208" s="42">
        <f t="shared" si="36"/>
        <v>-2.58563106186388</v>
      </c>
    </row>
    <row r="1209" spans="1:2" x14ac:dyDescent="0.25">
      <c r="A1209" s="34">
        <f t="shared" si="37"/>
        <v>60.049999999998725</v>
      </c>
      <c r="B1209" s="42">
        <f t="shared" si="36"/>
        <v>-2.6020888323994225</v>
      </c>
    </row>
    <row r="1210" spans="1:2" x14ac:dyDescent="0.25">
      <c r="A1210" s="34">
        <f t="shared" si="37"/>
        <v>60.099999999998722</v>
      </c>
      <c r="B1210" s="42">
        <f t="shared" si="36"/>
        <v>-2.5942562506834523</v>
      </c>
    </row>
    <row r="1211" spans="1:2" x14ac:dyDescent="0.25">
      <c r="A1211" s="34">
        <f t="shared" si="37"/>
        <v>60.14999999999872</v>
      </c>
      <c r="B1211" s="42">
        <f t="shared" si="36"/>
        <v>-2.5620341632967802</v>
      </c>
    </row>
    <row r="1212" spans="1:2" x14ac:dyDescent="0.25">
      <c r="A1212" s="34">
        <f t="shared" si="37"/>
        <v>60.199999999998717</v>
      </c>
      <c r="B1212" s="42">
        <f t="shared" si="36"/>
        <v>-2.505553718321095</v>
      </c>
    </row>
    <row r="1213" spans="1:2" x14ac:dyDescent="0.25">
      <c r="A1213" s="34">
        <f t="shared" si="37"/>
        <v>60.249999999998714</v>
      </c>
      <c r="B1213" s="42">
        <f t="shared" si="36"/>
        <v>-2.4251767232717882</v>
      </c>
    </row>
    <row r="1214" spans="1:2" x14ac:dyDescent="0.25">
      <c r="A1214" s="34">
        <f t="shared" si="37"/>
        <v>60.299999999998711</v>
      </c>
      <c r="B1214" s="42">
        <f t="shared" si="36"/>
        <v>-2.321493800851183</v>
      </c>
    </row>
    <row r="1215" spans="1:2" x14ac:dyDescent="0.25">
      <c r="A1215" s="34">
        <f t="shared" si="37"/>
        <v>60.349999999998708</v>
      </c>
      <c r="B1215" s="42">
        <f t="shared" si="36"/>
        <v>-2.1953203454661692</v>
      </c>
    </row>
    <row r="1216" spans="1:2" x14ac:dyDescent="0.25">
      <c r="A1216" s="34">
        <f t="shared" si="37"/>
        <v>60.399999999998705</v>
      </c>
      <c r="B1216" s="42">
        <f t="shared" si="36"/>
        <v>-2.047690304666832</v>
      </c>
    </row>
    <row r="1217" spans="1:2" x14ac:dyDescent="0.25">
      <c r="A1217" s="34">
        <f t="shared" si="37"/>
        <v>60.449999999998703</v>
      </c>
      <c r="B1217" s="42">
        <f t="shared" si="36"/>
        <v>-1.8798478307772213</v>
      </c>
    </row>
    <row r="1218" spans="1:2" x14ac:dyDescent="0.25">
      <c r="A1218" s="34">
        <f t="shared" si="37"/>
        <v>60.4999999999987</v>
      </c>
      <c r="B1218" s="42">
        <f t="shared" si="36"/>
        <v>-1.6932368687985162</v>
      </c>
    </row>
    <row r="1219" spans="1:2" x14ac:dyDescent="0.25">
      <c r="A1219" s="34">
        <f t="shared" si="37"/>
        <v>60.549999999998697</v>
      </c>
      <c r="B1219" s="42">
        <f t="shared" si="36"/>
        <v>-1.4894887669643593</v>
      </c>
    </row>
    <row r="1220" spans="1:2" x14ac:dyDescent="0.25">
      <c r="A1220" s="34">
        <f t="shared" si="37"/>
        <v>60.599999999998694</v>
      </c>
      <c r="B1220" s="42">
        <f t="shared" si="36"/>
        <v>-1.270408015920756</v>
      </c>
    </row>
    <row r="1221" spans="1:2" x14ac:dyDescent="0.25">
      <c r="A1221" s="34">
        <f t="shared" si="37"/>
        <v>60.649999999998691</v>
      </c>
      <c r="B1221" s="42">
        <f t="shared" si="36"/>
        <v>-1.0379562411907219</v>
      </c>
    </row>
    <row r="1222" spans="1:2" x14ac:dyDescent="0.25">
      <c r="A1222" s="34">
        <f t="shared" si="37"/>
        <v>60.699999999998688</v>
      </c>
      <c r="B1222" s="42">
        <f t="shared" si="36"/>
        <v>-0.79423459118356632</v>
      </c>
    </row>
    <row r="1223" spans="1:2" x14ac:dyDescent="0.25">
      <c r="A1223" s="34">
        <f t="shared" si="37"/>
        <v>60.749999999998685</v>
      </c>
      <c r="B1223" s="42">
        <f t="shared" si="36"/>
        <v>-0.54146467933981723</v>
      </c>
    </row>
    <row r="1224" spans="1:2" x14ac:dyDescent="0.25">
      <c r="A1224" s="34">
        <f t="shared" si="37"/>
        <v>60.799999999998683</v>
      </c>
      <c r="B1224" s="42">
        <f t="shared" ref="B1224:B1287" si="38">-A1_x*SIN(p_x*A1224)+A2_x*SIN(w_x*A1224)</f>
        <v>-0.28196825390310365</v>
      </c>
    </row>
    <row r="1225" spans="1:2" x14ac:dyDescent="0.25">
      <c r="A1225" s="34">
        <f t="shared" ref="A1225:A1288" si="39">A1224+$A$6</f>
        <v>60.84999999999868</v>
      </c>
      <c r="B1225" s="42">
        <f t="shared" si="38"/>
        <v>-1.814578212428497E-2</v>
      </c>
    </row>
    <row r="1226" spans="1:2" x14ac:dyDescent="0.25">
      <c r="A1226" s="34">
        <f t="shared" si="39"/>
        <v>60.899999999998677</v>
      </c>
      <c r="B1226" s="42">
        <f t="shared" si="38"/>
        <v>0.24754585270722074</v>
      </c>
    </row>
    <row r="1227" spans="1:2" x14ac:dyDescent="0.25">
      <c r="A1227" s="34">
        <f t="shared" si="39"/>
        <v>60.949999999998674</v>
      </c>
      <c r="B1227" s="42">
        <f t="shared" si="38"/>
        <v>0.51261633326496625</v>
      </c>
    </row>
    <row r="1228" spans="1:2" x14ac:dyDescent="0.25">
      <c r="A1228" s="34">
        <f t="shared" si="39"/>
        <v>60.999999999998671</v>
      </c>
      <c r="B1228" s="42">
        <f t="shared" si="38"/>
        <v>0.77456535328685072</v>
      </c>
    </row>
    <row r="1229" spans="1:2" x14ac:dyDescent="0.25">
      <c r="A1229" s="34">
        <f t="shared" si="39"/>
        <v>61.049999999998668</v>
      </c>
      <c r="B1229" s="42">
        <f t="shared" si="38"/>
        <v>1.0309063040884374</v>
      </c>
    </row>
    <row r="1230" spans="1:2" x14ac:dyDescent="0.25">
      <c r="A1230" s="34">
        <f t="shared" si="39"/>
        <v>61.099999999998666</v>
      </c>
      <c r="B1230" s="42">
        <f t="shared" si="38"/>
        <v>1.2791899771494624</v>
      </c>
    </row>
    <row r="1231" spans="1:2" x14ac:dyDescent="0.25">
      <c r="A1231" s="34">
        <f t="shared" si="39"/>
        <v>61.149999999998663</v>
      </c>
      <c r="B1231" s="42">
        <f t="shared" si="38"/>
        <v>1.5170280559371345</v>
      </c>
    </row>
    <row r="1232" spans="1:2" x14ac:dyDescent="0.25">
      <c r="A1232" s="34">
        <f t="shared" si="39"/>
        <v>61.19999999999866</v>
      </c>
      <c r="B1232" s="42">
        <f t="shared" si="38"/>
        <v>1.742116170811455</v>
      </c>
    </row>
    <row r="1233" spans="1:2" x14ac:dyDescent="0.25">
      <c r="A1233" s="34">
        <f t="shared" si="39"/>
        <v>61.249999999998657</v>
      </c>
      <c r="B1233" s="42">
        <f t="shared" si="38"/>
        <v>1.9522562937234111</v>
      </c>
    </row>
    <row r="1234" spans="1:2" x14ac:dyDescent="0.25">
      <c r="A1234" s="34">
        <f t="shared" si="39"/>
        <v>61.299999999998654</v>
      </c>
      <c r="B1234" s="42">
        <f t="shared" si="38"/>
        <v>2.1453782544523716</v>
      </c>
    </row>
    <row r="1235" spans="1:2" x14ac:dyDescent="0.25">
      <c r="A1235" s="34">
        <f t="shared" si="39"/>
        <v>61.349999999998651</v>
      </c>
      <c r="B1235" s="42">
        <f t="shared" si="38"/>
        <v>2.3195601672969755</v>
      </c>
    </row>
    <row r="1236" spans="1:2" x14ac:dyDescent="0.25">
      <c r="A1236" s="34">
        <f t="shared" si="39"/>
        <v>61.399999999998649</v>
      </c>
      <c r="B1236" s="42">
        <f t="shared" si="38"/>
        <v>2.4730475663764677</v>
      </c>
    </row>
    <row r="1237" spans="1:2" x14ac:dyDescent="0.25">
      <c r="A1237" s="34">
        <f t="shared" si="39"/>
        <v>61.449999999998646</v>
      </c>
      <c r="B1237" s="42">
        <f t="shared" si="38"/>
        <v>2.6042710589395321</v>
      </c>
    </row>
    <row r="1238" spans="1:2" x14ac:dyDescent="0.25">
      <c r="A1238" s="34">
        <f t="shared" si="39"/>
        <v>61.499999999998643</v>
      </c>
      <c r="B1238" s="42">
        <f t="shared" si="38"/>
        <v>2.711862319216785</v>
      </c>
    </row>
    <row r="1239" spans="1:2" x14ac:dyDescent="0.25">
      <c r="A1239" s="34">
        <f t="shared" si="39"/>
        <v>61.54999999999864</v>
      </c>
      <c r="B1239" s="42">
        <f t="shared" si="38"/>
        <v>2.7946682602748458</v>
      </c>
    </row>
    <row r="1240" spans="1:2" x14ac:dyDescent="0.25">
      <c r="A1240" s="34">
        <f t="shared" si="39"/>
        <v>61.599999999998637</v>
      </c>
      <c r="B1240" s="42">
        <f t="shared" si="38"/>
        <v>2.8517632378998874</v>
      </c>
    </row>
    <row r="1241" spans="1:2" x14ac:dyDescent="0.25">
      <c r="A1241" s="34">
        <f t="shared" si="39"/>
        <v>61.649999999998634</v>
      </c>
      <c r="B1241" s="42">
        <f t="shared" si="38"/>
        <v>2.8824591586047257</v>
      </c>
    </row>
    <row r="1242" spans="1:2" x14ac:dyDescent="0.25">
      <c r="A1242" s="34">
        <f t="shared" si="39"/>
        <v>61.699999999998631</v>
      </c>
      <c r="B1242" s="42">
        <f t="shared" si="38"/>
        <v>2.8863133832505614</v>
      </c>
    </row>
    <row r="1243" spans="1:2" x14ac:dyDescent="0.25">
      <c r="A1243" s="34">
        <f t="shared" si="39"/>
        <v>61.749999999998629</v>
      </c>
      <c r="B1243" s="42">
        <f t="shared" si="38"/>
        <v>2.8631343383207182</v>
      </c>
    </row>
    <row r="1244" spans="1:2" x14ac:dyDescent="0.25">
      <c r="A1244" s="34">
        <f t="shared" si="39"/>
        <v>61.799999999998626</v>
      </c>
      <c r="B1244" s="42">
        <f t="shared" si="38"/>
        <v>2.8129847683882692</v>
      </c>
    </row>
    <row r="1245" spans="1:2" x14ac:dyDescent="0.25">
      <c r="A1245" s="34">
        <f t="shared" si="39"/>
        <v>61.849999999998623</v>
      </c>
      <c r="B1245" s="42">
        <f t="shared" si="38"/>
        <v>2.7361825855778008</v>
      </c>
    </row>
    <row r="1246" spans="1:2" x14ac:dyDescent="0.25">
      <c r="A1246" s="34">
        <f t="shared" si="39"/>
        <v>61.89999999999862</v>
      </c>
      <c r="B1246" s="42">
        <f t="shared" si="38"/>
        <v>2.6332992946249325</v>
      </c>
    </row>
    <row r="1247" spans="1:2" x14ac:dyDescent="0.25">
      <c r="A1247" s="34">
        <f t="shared" si="39"/>
        <v>61.949999999998617</v>
      </c>
      <c r="B1247" s="42">
        <f t="shared" si="38"/>
        <v>2.5051559952669495</v>
      </c>
    </row>
    <row r="1248" spans="1:2" x14ac:dyDescent="0.25">
      <c r="A1248" s="34">
        <f t="shared" si="39"/>
        <v>61.999999999998614</v>
      </c>
      <c r="B1248" s="42">
        <f t="shared" si="38"/>
        <v>2.3528169869319044</v>
      </c>
    </row>
    <row r="1249" spans="1:2" x14ac:dyDescent="0.25">
      <c r="A1249" s="34">
        <f t="shared" si="39"/>
        <v>62.049999999998612</v>
      </c>
      <c r="B1249" s="42">
        <f t="shared" si="38"/>
        <v>2.1775810238103408</v>
      </c>
    </row>
    <row r="1250" spans="1:2" x14ac:dyDescent="0.25">
      <c r="A1250" s="34">
        <f t="shared" si="39"/>
        <v>62.099999999998609</v>
      </c>
      <c r="B1250" s="42">
        <f t="shared" si="38"/>
        <v>1.9809702911678972</v>
      </c>
    </row>
    <row r="1251" spans="1:2" x14ac:dyDescent="0.25">
      <c r="A1251" s="34">
        <f t="shared" si="39"/>
        <v>62.149999999998606</v>
      </c>
      <c r="B1251" s="42">
        <f t="shared" si="38"/>
        <v>1.7647171959667338</v>
      </c>
    </row>
    <row r="1252" spans="1:2" x14ac:dyDescent="0.25">
      <c r="A1252" s="34">
        <f t="shared" si="39"/>
        <v>62.199999999998603</v>
      </c>
      <c r="B1252" s="42">
        <f t="shared" si="38"/>
        <v>1.5307490862943285</v>
      </c>
    </row>
    <row r="1253" spans="1:2" x14ac:dyDescent="0.25">
      <c r="A1253" s="34">
        <f t="shared" si="39"/>
        <v>62.2499999999986</v>
      </c>
      <c r="B1253" s="42">
        <f t="shared" si="38"/>
        <v>1.2811710345369307</v>
      </c>
    </row>
    <row r="1254" spans="1:2" x14ac:dyDescent="0.25">
      <c r="A1254" s="34">
        <f t="shared" si="39"/>
        <v>62.299999999998597</v>
      </c>
      <c r="B1254" s="42">
        <f t="shared" si="38"/>
        <v>1.0182468384797796</v>
      </c>
    </row>
    <row r="1255" spans="1:2" x14ac:dyDescent="0.25">
      <c r="A1255" s="34">
        <f t="shared" si="39"/>
        <v>62.349999999998595</v>
      </c>
      <c r="B1255" s="42">
        <f t="shared" si="38"/>
        <v>0.74437841237803548</v>
      </c>
    </row>
    <row r="1256" spans="1:2" x14ac:dyDescent="0.25">
      <c r="A1256" s="34">
        <f t="shared" si="39"/>
        <v>62.399999999998592</v>
      </c>
      <c r="B1256" s="42">
        <f t="shared" si="38"/>
        <v>0.46208375633992227</v>
      </c>
    </row>
    <row r="1257" spans="1:2" x14ac:dyDescent="0.25">
      <c r="A1257" s="34">
        <f t="shared" si="39"/>
        <v>62.449999999998589</v>
      </c>
      <c r="B1257" s="42">
        <f t="shared" si="38"/>
        <v>0.17397370693227288</v>
      </c>
    </row>
    <row r="1258" spans="1:2" x14ac:dyDescent="0.25">
      <c r="A1258" s="34">
        <f t="shared" si="39"/>
        <v>62.499999999998586</v>
      </c>
      <c r="B1258" s="42">
        <f t="shared" si="38"/>
        <v>-0.11727231538808014</v>
      </c>
    </row>
    <row r="1259" spans="1:2" x14ac:dyDescent="0.25">
      <c r="A1259" s="34">
        <f t="shared" si="39"/>
        <v>62.549999999998583</v>
      </c>
      <c r="B1259" s="42">
        <f t="shared" si="38"/>
        <v>-0.40893133572943929</v>
      </c>
    </row>
    <row r="1260" spans="1:2" x14ac:dyDescent="0.25">
      <c r="A1260" s="34">
        <f t="shared" si="39"/>
        <v>62.59999999999858</v>
      </c>
      <c r="B1260" s="42">
        <f t="shared" si="38"/>
        <v>-0.69826239625645148</v>
      </c>
    </row>
    <row r="1261" spans="1:2" x14ac:dyDescent="0.25">
      <c r="A1261" s="34">
        <f t="shared" si="39"/>
        <v>62.649999999998577</v>
      </c>
      <c r="B1261" s="42">
        <f t="shared" si="38"/>
        <v>-0.98253242851595912</v>
      </c>
    </row>
    <row r="1262" spans="1:2" x14ac:dyDescent="0.25">
      <c r="A1262" s="34">
        <f t="shared" si="39"/>
        <v>62.699999999998575</v>
      </c>
      <c r="B1262" s="42">
        <f t="shared" si="38"/>
        <v>-1.2590421813315202</v>
      </c>
    </row>
    <row r="1263" spans="1:2" x14ac:dyDescent="0.25">
      <c r="A1263" s="34">
        <f t="shared" si="39"/>
        <v>62.749999999998572</v>
      </c>
      <c r="B1263" s="42">
        <f t="shared" si="38"/>
        <v>-1.5251519572697552</v>
      </c>
    </row>
    <row r="1264" spans="1:2" x14ac:dyDescent="0.25">
      <c r="A1264" s="34">
        <f t="shared" si="39"/>
        <v>62.799999999998569</v>
      </c>
      <c r="B1264" s="42">
        <f t="shared" si="38"/>
        <v>-1.7783069113143708</v>
      </c>
    </row>
    <row r="1265" spans="1:2" x14ac:dyDescent="0.25">
      <c r="A1265" s="34">
        <f t="shared" si="39"/>
        <v>62.849999999998566</v>
      </c>
      <c r="B1265" s="42">
        <f t="shared" si="38"/>
        <v>-2.0160616683825077</v>
      </c>
    </row>
    <row r="1266" spans="1:2" x14ac:dyDescent="0.25">
      <c r="A1266" s="34">
        <f t="shared" si="39"/>
        <v>62.899999999998563</v>
      </c>
      <c r="B1266" s="42">
        <f t="shared" si="38"/>
        <v>-2.2361040216669332</v>
      </c>
    </row>
    <row r="1267" spans="1:2" x14ac:dyDescent="0.25">
      <c r="A1267" s="34">
        <f t="shared" si="39"/>
        <v>62.94999999999856</v>
      </c>
      <c r="B1267" s="42">
        <f t="shared" si="38"/>
        <v>-2.4362774814451473</v>
      </c>
    </row>
    <row r="1268" spans="1:2" x14ac:dyDescent="0.25">
      <c r="A1268" s="34">
        <f t="shared" si="39"/>
        <v>62.999999999998558</v>
      </c>
      <c r="B1268" s="42">
        <f t="shared" si="38"/>
        <v>-2.6146024538989447</v>
      </c>
    </row>
    <row r="1269" spans="1:2" x14ac:dyDescent="0.25">
      <c r="A1269" s="34">
        <f t="shared" si="39"/>
        <v>63.049999999998555</v>
      </c>
      <c r="B1269" s="42">
        <f t="shared" si="38"/>
        <v>-2.7692958415513456</v>
      </c>
    </row>
    <row r="1270" spans="1:2" x14ac:dyDescent="0.25">
      <c r="A1270" s="34">
        <f t="shared" si="39"/>
        <v>63.099999999998552</v>
      </c>
      <c r="B1270" s="42">
        <f t="shared" si="38"/>
        <v>-2.8987888710450505</v>
      </c>
    </row>
    <row r="1271" spans="1:2" x14ac:dyDescent="0.25">
      <c r="A1271" s="34">
        <f t="shared" si="39"/>
        <v>63.149999999998549</v>
      </c>
      <c r="B1271" s="42">
        <f t="shared" si="38"/>
        <v>-3.0017429700311338</v>
      </c>
    </row>
    <row r="1272" spans="1:2" x14ac:dyDescent="0.25">
      <c r="A1272" s="34">
        <f t="shared" si="39"/>
        <v>63.199999999998546</v>
      </c>
      <c r="B1272" s="42">
        <f t="shared" si="38"/>
        <v>-3.0770635327632956</v>
      </c>
    </row>
    <row r="1273" spans="1:2" x14ac:dyDescent="0.25">
      <c r="A1273" s="34">
        <f t="shared" si="39"/>
        <v>63.249999999998543</v>
      </c>
      <c r="B1273" s="42">
        <f t="shared" si="38"/>
        <v>-3.1239114334373568</v>
      </c>
    </row>
    <row r="1274" spans="1:2" x14ac:dyDescent="0.25">
      <c r="A1274" s="34">
        <f t="shared" si="39"/>
        <v>63.299999999998541</v>
      </c>
      <c r="B1274" s="42">
        <f t="shared" si="38"/>
        <v>-3.1417121671986732</v>
      </c>
    </row>
    <row r="1275" spans="1:2" x14ac:dyDescent="0.25">
      <c r="A1275" s="34">
        <f t="shared" si="39"/>
        <v>63.349999999998538</v>
      </c>
      <c r="B1275" s="42">
        <f t="shared" si="38"/>
        <v>-3.1301625208670831</v>
      </c>
    </row>
    <row r="1276" spans="1:2" x14ac:dyDescent="0.25">
      <c r="A1276" s="34">
        <f t="shared" si="39"/>
        <v>63.399999999998535</v>
      </c>
      <c r="B1276" s="42">
        <f t="shared" si="38"/>
        <v>-3.0892346985918517</v>
      </c>
    </row>
    <row r="1277" spans="1:2" x14ac:dyDescent="0.25">
      <c r="A1277" s="34">
        <f t="shared" si="39"/>
        <v>63.449999999998532</v>
      </c>
      <c r="B1277" s="42">
        <f t="shared" si="38"/>
        <v>-3.0191778516310661</v>
      </c>
    </row>
    <row r="1278" spans="1:2" x14ac:dyDescent="0.25">
      <c r="A1278" s="34">
        <f t="shared" si="39"/>
        <v>63.499999999998529</v>
      </c>
      <c r="B1278" s="42">
        <f t="shared" si="38"/>
        <v>-2.9205169860231872</v>
      </c>
    </row>
    <row r="1279" spans="1:2" x14ac:dyDescent="0.25">
      <c r="A1279" s="34">
        <f t="shared" si="39"/>
        <v>63.549999999998526</v>
      </c>
      <c r="B1279" s="42">
        <f t="shared" si="38"/>
        <v>-2.7940492468487919</v>
      </c>
    </row>
    <row r="1280" spans="1:2" x14ac:dyDescent="0.25">
      <c r="A1280" s="34">
        <f t="shared" si="39"/>
        <v>63.599999999998523</v>
      </c>
      <c r="B1280" s="42">
        <f t="shared" si="38"/>
        <v>-2.6408376028317884</v>
      </c>
    </row>
    <row r="1281" spans="1:2" x14ac:dyDescent="0.25">
      <c r="A1281" s="34">
        <f t="shared" si="39"/>
        <v>63.649999999998521</v>
      </c>
      <c r="B1281" s="42">
        <f t="shared" si="38"/>
        <v>-2.4622019799599082</v>
      </c>
    </row>
    <row r="1282" spans="1:2" x14ac:dyDescent="0.25">
      <c r="A1282" s="34">
        <f t="shared" si="39"/>
        <v>63.699999999998518</v>
      </c>
      <c r="B1282" s="42">
        <f t="shared" si="38"/>
        <v>-2.2597079173736634</v>
      </c>
    </row>
    <row r="1283" spans="1:2" x14ac:dyDescent="0.25">
      <c r="A1283" s="34">
        <f t="shared" si="39"/>
        <v>63.749999999998515</v>
      </c>
      <c r="B1283" s="42">
        <f t="shared" si="38"/>
        <v>-2.0351528427462009</v>
      </c>
    </row>
    <row r="1284" spans="1:2" x14ac:dyDescent="0.25">
      <c r="A1284" s="34">
        <f t="shared" si="39"/>
        <v>63.799999999998512</v>
      </c>
      <c r="B1284" s="42">
        <f t="shared" si="38"/>
        <v>-1.7905500875176954</v>
      </c>
    </row>
    <row r="1285" spans="1:2" x14ac:dyDescent="0.25">
      <c r="A1285" s="34">
        <f t="shared" si="39"/>
        <v>63.849999999998509</v>
      </c>
      <c r="B1285" s="42">
        <f t="shared" si="38"/>
        <v>-1.5281107844346222</v>
      </c>
    </row>
    <row r="1286" spans="1:2" x14ac:dyDescent="0.25">
      <c r="A1286" s="34">
        <f t="shared" si="39"/>
        <v>63.899999999998506</v>
      </c>
      <c r="B1286" s="42">
        <f t="shared" si="38"/>
        <v>-1.2502238106568058</v>
      </c>
    </row>
    <row r="1287" spans="1:2" x14ac:dyDescent="0.25">
      <c r="A1287" s="34">
        <f t="shared" si="39"/>
        <v>63.949999999998504</v>
      </c>
      <c r="B1287" s="42">
        <f t="shared" si="38"/>
        <v>-0.95943395903220685</v>
      </c>
    </row>
    <row r="1288" spans="1:2" x14ac:dyDescent="0.25">
      <c r="A1288" s="34">
        <f t="shared" si="39"/>
        <v>63.999999999998501</v>
      </c>
      <c r="B1288" s="42">
        <f t="shared" ref="B1288:B1351" si="40">-A1_x*SIN(p_x*A1288)+A2_x*SIN(w_x*A1288)</f>
        <v>-0.6584185378068379</v>
      </c>
    </row>
    <row r="1289" spans="1:2" x14ac:dyDescent="0.25">
      <c r="A1289" s="34">
        <f t="shared" ref="A1289:A1352" si="41">A1288+$A$6</f>
        <v>64.049999999998505</v>
      </c>
      <c r="B1289" s="42">
        <f t="shared" si="40"/>
        <v>-0.34996261485880864</v>
      </c>
    </row>
    <row r="1290" spans="1:2" x14ac:dyDescent="0.25">
      <c r="A1290" s="34">
        <f t="shared" si="41"/>
        <v>64.099999999998502</v>
      </c>
      <c r="B1290" s="42">
        <f t="shared" si="40"/>
        <v>-3.6933136364827535E-2</v>
      </c>
    </row>
    <row r="1291" spans="1:2" x14ac:dyDescent="0.25">
      <c r="A1291" s="34">
        <f t="shared" si="41"/>
        <v>64.149999999998499</v>
      </c>
      <c r="B1291" s="42">
        <f t="shared" si="40"/>
        <v>0.27774783851991502</v>
      </c>
    </row>
    <row r="1292" spans="1:2" x14ac:dyDescent="0.25">
      <c r="A1292" s="34">
        <f t="shared" si="41"/>
        <v>64.199999999998496</v>
      </c>
      <c r="B1292" s="42">
        <f t="shared" si="40"/>
        <v>0.59113053597809051</v>
      </c>
    </row>
    <row r="1293" spans="1:2" x14ac:dyDescent="0.25">
      <c r="A1293" s="34">
        <f t="shared" si="41"/>
        <v>64.249999999998494</v>
      </c>
      <c r="B1293" s="42">
        <f t="shared" si="40"/>
        <v>0.90026524080873793</v>
      </c>
    </row>
    <row r="1294" spans="1:2" x14ac:dyDescent="0.25">
      <c r="A1294" s="34">
        <f t="shared" si="41"/>
        <v>64.299999999998491</v>
      </c>
      <c r="B1294" s="42">
        <f t="shared" si="40"/>
        <v>1.2022301820292363</v>
      </c>
    </row>
    <row r="1295" spans="1:2" x14ac:dyDescent="0.25">
      <c r="A1295" s="34">
        <f t="shared" si="41"/>
        <v>64.349999999998488</v>
      </c>
      <c r="B1295" s="42">
        <f t="shared" si="40"/>
        <v>1.494159266053404</v>
      </c>
    </row>
    <row r="1296" spans="1:2" x14ac:dyDescent="0.25">
      <c r="A1296" s="34">
        <f t="shared" si="41"/>
        <v>64.399999999998485</v>
      </c>
      <c r="B1296" s="42">
        <f t="shared" si="40"/>
        <v>1.7732693931120949</v>
      </c>
    </row>
    <row r="1297" spans="1:2" x14ac:dyDescent="0.25">
      <c r="A1297" s="34">
        <f t="shared" si="41"/>
        <v>64.449999999998482</v>
      </c>
      <c r="B1297" s="42">
        <f t="shared" si="40"/>
        <v>2.0368870955267164</v>
      </c>
    </row>
    <row r="1298" spans="1:2" x14ac:dyDescent="0.25">
      <c r="A1298" s="34">
        <f t="shared" si="41"/>
        <v>64.499999999998479</v>
      </c>
      <c r="B1298" s="42">
        <f t="shared" si="40"/>
        <v>2.2824742419011472</v>
      </c>
    </row>
    <row r="1299" spans="1:2" x14ac:dyDescent="0.25">
      <c r="A1299" s="34">
        <f t="shared" si="41"/>
        <v>64.549999999998477</v>
      </c>
      <c r="B1299" s="42">
        <f t="shared" si="40"/>
        <v>2.507652559219502</v>
      </c>
    </row>
    <row r="1300" spans="1:2" x14ac:dyDescent="0.25">
      <c r="A1300" s="34">
        <f t="shared" si="41"/>
        <v>64.599999999998474</v>
      </c>
      <c r="B1300" s="42">
        <f t="shared" si="40"/>
        <v>2.7102267351608105</v>
      </c>
    </row>
    <row r="1301" spans="1:2" x14ac:dyDescent="0.25">
      <c r="A1301" s="34">
        <f t="shared" si="41"/>
        <v>64.649999999998471</v>
      </c>
      <c r="B1301" s="42">
        <f t="shared" si="40"/>
        <v>2.8882058755761424</v>
      </c>
    </row>
    <row r="1302" spans="1:2" x14ac:dyDescent="0.25">
      <c r="A1302" s="34">
        <f t="shared" si="41"/>
        <v>64.699999999998468</v>
      </c>
      <c r="B1302" s="42">
        <f t="shared" si="40"/>
        <v>3.0398231069058594</v>
      </c>
    </row>
    <row r="1303" spans="1:2" x14ac:dyDescent="0.25">
      <c r="A1303" s="34">
        <f t="shared" si="41"/>
        <v>64.749999999998465</v>
      </c>
      <c r="B1303" s="42">
        <f t="shared" si="40"/>
        <v>3.1635531302112834</v>
      </c>
    </row>
    <row r="1304" spans="1:2" x14ac:dyDescent="0.25">
      <c r="A1304" s="34">
        <f t="shared" si="41"/>
        <v>64.799999999998462</v>
      </c>
      <c r="B1304" s="42">
        <f t="shared" si="40"/>
        <v>3.2581275523009499</v>
      </c>
    </row>
    <row r="1305" spans="1:2" x14ac:dyDescent="0.25">
      <c r="A1305" s="34">
        <f t="shared" si="41"/>
        <v>64.84999999999846</v>
      </c>
      <c r="B1305" s="42">
        <f t="shared" si="40"/>
        <v>3.322547839973538</v>
      </c>
    </row>
    <row r="1306" spans="1:2" x14ac:dyDescent="0.25">
      <c r="A1306" s="34">
        <f t="shared" si="41"/>
        <v>64.899999999998457</v>
      </c>
      <c r="B1306" s="42">
        <f t="shared" si="40"/>
        <v>3.3560957654871855</v>
      </c>
    </row>
    <row r="1307" spans="1:2" x14ac:dyDescent="0.25">
      <c r="A1307" s="34">
        <f t="shared" si="41"/>
        <v>64.949999999998454</v>
      </c>
      <c r="B1307" s="42">
        <f t="shared" si="40"/>
        <v>3.3583412347913839</v>
      </c>
    </row>
    <row r="1308" spans="1:2" x14ac:dyDescent="0.25">
      <c r="A1308" s="34">
        <f t="shared" si="41"/>
        <v>64.999999999998451</v>
      </c>
      <c r="B1308" s="42">
        <f t="shared" si="40"/>
        <v>3.3291474146041624</v>
      </c>
    </row>
    <row r="1309" spans="1:2" x14ac:dyDescent="0.25">
      <c r="A1309" s="34">
        <f t="shared" si="41"/>
        <v>65.049999999998448</v>
      </c>
      <c r="B1309" s="42">
        <f t="shared" si="40"/>
        <v>3.2686730998516111</v>
      </c>
    </row>
    <row r="1310" spans="1:2" x14ac:dyDescent="0.25">
      <c r="A1310" s="34">
        <f t="shared" si="41"/>
        <v>65.099999999998445</v>
      </c>
      <c r="B1310" s="42">
        <f t="shared" si="40"/>
        <v>3.1773722890695368</v>
      </c>
    </row>
    <row r="1311" spans="1:2" x14ac:dyDescent="0.25">
      <c r="A1311" s="34">
        <f t="shared" si="41"/>
        <v>65.149999999998442</v>
      </c>
      <c r="B1311" s="42">
        <f t="shared" si="40"/>
        <v>3.0559909618490746</v>
      </c>
    </row>
    <row r="1312" spans="1:2" x14ac:dyDescent="0.25">
      <c r="A1312" s="34">
        <f t="shared" si="41"/>
        <v>65.19999999999844</v>
      </c>
      <c r="B1312" s="42">
        <f t="shared" si="40"/>
        <v>2.9055610790390043</v>
      </c>
    </row>
    <row r="1313" spans="1:2" x14ac:dyDescent="0.25">
      <c r="A1313" s="34">
        <f t="shared" si="41"/>
        <v>65.249999999998437</v>
      </c>
      <c r="B1313" s="42">
        <f t="shared" si="40"/>
        <v>2.7273918529416634</v>
      </c>
    </row>
    <row r="1314" spans="1:2" x14ac:dyDescent="0.25">
      <c r="A1314" s="34">
        <f t="shared" si="41"/>
        <v>65.299999999998434</v>
      </c>
      <c r="B1314" s="42">
        <f t="shared" si="40"/>
        <v>2.5230583609019055</v>
      </c>
    </row>
    <row r="1315" spans="1:2" x14ac:dyDescent="0.25">
      <c r="A1315" s="34">
        <f t="shared" si="41"/>
        <v>65.349999999998431</v>
      </c>
      <c r="B1315" s="42">
        <f t="shared" si="40"/>
        <v>2.2943876012397828</v>
      </c>
    </row>
    <row r="1316" spans="1:2" x14ac:dyDescent="0.25">
      <c r="A1316" s="34">
        <f t="shared" si="41"/>
        <v>65.399999999998428</v>
      </c>
      <c r="B1316" s="42">
        <f t="shared" si="40"/>
        <v>2.0434421151693032</v>
      </c>
    </row>
    <row r="1317" spans="1:2" x14ac:dyDescent="0.25">
      <c r="A1317" s="34">
        <f t="shared" si="41"/>
        <v>65.449999999998425</v>
      </c>
      <c r="B1317" s="42">
        <f t="shared" si="40"/>
        <v>1.7725013219381625</v>
      </c>
    </row>
    <row r="1318" spans="1:2" x14ac:dyDescent="0.25">
      <c r="A1318" s="34">
        <f t="shared" si="41"/>
        <v>65.499999999998423</v>
      </c>
      <c r="B1318" s="42">
        <f t="shared" si="40"/>
        <v>1.4840407366897044</v>
      </c>
    </row>
    <row r="1319" spans="1:2" x14ac:dyDescent="0.25">
      <c r="A1319" s="34">
        <f t="shared" si="41"/>
        <v>65.54999999999842</v>
      </c>
      <c r="B1319" s="42">
        <f t="shared" si="40"/>
        <v>1.1807092612690058</v>
      </c>
    </row>
    <row r="1320" spans="1:2" x14ac:dyDescent="0.25">
      <c r="A1320" s="34">
        <f t="shared" si="41"/>
        <v>65.599999999998417</v>
      </c>
      <c r="B1320" s="42">
        <f t="shared" si="40"/>
        <v>0.86530475716658328</v>
      </c>
    </row>
    <row r="1321" spans="1:2" x14ac:dyDescent="0.25">
      <c r="A1321" s="34">
        <f t="shared" si="41"/>
        <v>65.649999999998414</v>
      </c>
      <c r="B1321" s="42">
        <f t="shared" si="40"/>
        <v>0.54074812683097051</v>
      </c>
    </row>
    <row r="1322" spans="1:2" x14ac:dyDescent="0.25">
      <c r="A1322" s="34">
        <f t="shared" si="41"/>
        <v>65.699999999998411</v>
      </c>
      <c r="B1322" s="42">
        <f t="shared" si="40"/>
        <v>0.21005614451393939</v>
      </c>
    </row>
    <row r="1323" spans="1:2" x14ac:dyDescent="0.25">
      <c r="A1323" s="34">
        <f t="shared" si="41"/>
        <v>65.749999999998408</v>
      </c>
      <c r="B1323" s="42">
        <f t="shared" si="40"/>
        <v>-0.12368670951001559</v>
      </c>
    </row>
    <row r="1324" spans="1:2" x14ac:dyDescent="0.25">
      <c r="A1324" s="34">
        <f t="shared" si="41"/>
        <v>65.799999999998406</v>
      </c>
      <c r="B1324" s="42">
        <f t="shared" si="40"/>
        <v>-0.45735714721115572</v>
      </c>
    </row>
    <row r="1325" spans="1:2" x14ac:dyDescent="0.25">
      <c r="A1325" s="34">
        <f t="shared" si="41"/>
        <v>65.849999999998403</v>
      </c>
      <c r="B1325" s="42">
        <f t="shared" si="40"/>
        <v>-0.78782243161188437</v>
      </c>
    </row>
    <row r="1326" spans="1:2" x14ac:dyDescent="0.25">
      <c r="A1326" s="34">
        <f t="shared" si="41"/>
        <v>65.8999999999984</v>
      </c>
      <c r="B1326" s="42">
        <f t="shared" si="40"/>
        <v>-1.1119699189497125</v>
      </c>
    </row>
    <row r="1327" spans="1:2" x14ac:dyDescent="0.25">
      <c r="A1327" s="34">
        <f t="shared" si="41"/>
        <v>65.949999999998397</v>
      </c>
      <c r="B1327" s="42">
        <f t="shared" si="40"/>
        <v>-1.4267365044008606</v>
      </c>
    </row>
    <row r="1328" spans="1:2" x14ac:dyDescent="0.25">
      <c r="A1328" s="34">
        <f t="shared" si="41"/>
        <v>65.999999999998394</v>
      </c>
      <c r="B1328" s="42">
        <f t="shared" si="40"/>
        <v>-1.7291376916216321</v>
      </c>
    </row>
    <row r="1329" spans="1:2" x14ac:dyDescent="0.25">
      <c r="A1329" s="34">
        <f t="shared" si="41"/>
        <v>66.049999999998391</v>
      </c>
      <c r="B1329" s="42">
        <f t="shared" si="40"/>
        <v>-2.0162960090841069</v>
      </c>
    </row>
    <row r="1330" spans="1:2" x14ac:dyDescent="0.25">
      <c r="A1330" s="34">
        <f t="shared" si="41"/>
        <v>66.099999999998388</v>
      </c>
      <c r="B1330" s="42">
        <f t="shared" si="40"/>
        <v>-2.285468501553892</v>
      </c>
    </row>
    <row r="1331" spans="1:2" x14ac:dyDescent="0.25">
      <c r="A1331" s="34">
        <f t="shared" si="41"/>
        <v>66.149999999998386</v>
      </c>
      <c r="B1331" s="42">
        <f t="shared" si="40"/>
        <v>-2.5340730330345029</v>
      </c>
    </row>
    <row r="1332" spans="1:2" x14ac:dyDescent="0.25">
      <c r="A1332" s="34">
        <f t="shared" si="41"/>
        <v>66.199999999998383</v>
      </c>
      <c r="B1332" s="42">
        <f t="shared" si="40"/>
        <v>-2.7597131480188111</v>
      </c>
    </row>
    <row r="1333" spans="1:2" x14ac:dyDescent="0.25">
      <c r="A1333" s="34">
        <f t="shared" si="41"/>
        <v>66.24999999999838</v>
      </c>
      <c r="B1333" s="42">
        <f t="shared" si="40"/>
        <v>-2.9602012508491375</v>
      </c>
    </row>
    <row r="1334" spans="1:2" x14ac:dyDescent="0.25">
      <c r="A1334" s="34">
        <f t="shared" si="41"/>
        <v>66.299999999998377</v>
      </c>
      <c r="B1334" s="42">
        <f t="shared" si="40"/>
        <v>-3.1335798782762128</v>
      </c>
    </row>
    <row r="1335" spans="1:2" x14ac:dyDescent="0.25">
      <c r="A1335" s="34">
        <f t="shared" si="41"/>
        <v>66.349999999998374</v>
      </c>
      <c r="B1335" s="42">
        <f t="shared" si="40"/>
        <v>-3.2781408577851541</v>
      </c>
    </row>
    <row r="1336" spans="1:2" x14ac:dyDescent="0.25">
      <c r="A1336" s="34">
        <f t="shared" si="41"/>
        <v>66.399999999998371</v>
      </c>
      <c r="B1336" s="42">
        <f t="shared" si="40"/>
        <v>-3.3924421637623619</v>
      </c>
    </row>
    <row r="1337" spans="1:2" x14ac:dyDescent="0.25">
      <c r="A1337" s="34">
        <f t="shared" si="41"/>
        <v>66.449999999998369</v>
      </c>
      <c r="B1337" s="42">
        <f t="shared" si="40"/>
        <v>-3.4753223049297448</v>
      </c>
    </row>
    <row r="1338" spans="1:2" x14ac:dyDescent="0.25">
      <c r="A1338" s="34">
        <f t="shared" si="41"/>
        <v>66.499999999998366</v>
      </c>
      <c r="B1338" s="42">
        <f t="shared" si="40"/>
        <v>-3.5259120994738185</v>
      </c>
    </row>
    <row r="1339" spans="1:2" x14ac:dyDescent="0.25">
      <c r="A1339" s="34">
        <f t="shared" si="41"/>
        <v>66.549999999998363</v>
      </c>
      <c r="B1339" s="42">
        <f t="shared" si="40"/>
        <v>-3.5436437187309533</v>
      </c>
    </row>
    <row r="1340" spans="1:2" x14ac:dyDescent="0.25">
      <c r="A1340" s="34">
        <f t="shared" si="41"/>
        <v>66.59999999999836</v>
      </c>
      <c r="B1340" s="42">
        <f t="shared" si="40"/>
        <v>-3.5282569059273348</v>
      </c>
    </row>
    <row r="1341" spans="1:2" x14ac:dyDescent="0.25">
      <c r="A1341" s="34">
        <f t="shared" si="41"/>
        <v>66.649999999998357</v>
      </c>
      <c r="B1341" s="42">
        <f t="shared" si="40"/>
        <v>-3.4798023030712955</v>
      </c>
    </row>
    <row r="1342" spans="1:2" x14ac:dyDescent="0.25">
      <c r="A1342" s="34">
        <f t="shared" si="41"/>
        <v>66.699999999998354</v>
      </c>
      <c r="B1342" s="42">
        <f t="shared" si="40"/>
        <v>-3.3986418464044625</v>
      </c>
    </row>
    <row r="1343" spans="1:2" x14ac:dyDescent="0.25">
      <c r="A1343" s="34">
        <f t="shared" si="41"/>
        <v>66.749999999998352</v>
      </c>
      <c r="B1343" s="42">
        <f t="shared" si="40"/>
        <v>-3.2854462185785978</v>
      </c>
    </row>
    <row r="1344" spans="1:2" x14ac:dyDescent="0.25">
      <c r="A1344" s="34">
        <f t="shared" si="41"/>
        <v>66.799999999998349</v>
      </c>
      <c r="B1344" s="42">
        <f t="shared" si="40"/>
        <v>-3.1411893736725878</v>
      </c>
    </row>
    <row r="1345" spans="1:2" x14ac:dyDescent="0.25">
      <c r="A1345" s="34">
        <f t="shared" si="41"/>
        <v>66.849999999998346</v>
      </c>
      <c r="B1345" s="42">
        <f t="shared" si="40"/>
        <v>-2.9671401790315568</v>
      </c>
    </row>
    <row r="1346" spans="1:2" x14ac:dyDescent="0.25">
      <c r="A1346" s="34">
        <f t="shared" si="41"/>
        <v>66.899999999998343</v>
      </c>
      <c r="B1346" s="42">
        <f t="shared" si="40"/>
        <v>-2.764851245432888</v>
      </c>
    </row>
    <row r="1347" spans="1:2" x14ac:dyDescent="0.25">
      <c r="A1347" s="34">
        <f t="shared" si="41"/>
        <v>66.94999999999834</v>
      </c>
      <c r="B1347" s="42">
        <f t="shared" si="40"/>
        <v>-2.5361450439969433</v>
      </c>
    </row>
    <row r="1348" spans="1:2" x14ac:dyDescent="0.25">
      <c r="A1348" s="34">
        <f t="shared" si="41"/>
        <v>66.999999999998337</v>
      </c>
      <c r="B1348" s="42">
        <f t="shared" si="40"/>
        <v>-2.2830974343044499</v>
      </c>
    </row>
    <row r="1349" spans="1:2" x14ac:dyDescent="0.25">
      <c r="A1349" s="34">
        <f t="shared" si="41"/>
        <v>67.049999999998334</v>
      </c>
      <c r="B1349" s="42">
        <f t="shared" si="40"/>
        <v>-2.0080187531091918</v>
      </c>
    </row>
    <row r="1350" spans="1:2" x14ac:dyDescent="0.25">
      <c r="A1350" s="34">
        <f t="shared" si="41"/>
        <v>67.099999999998332</v>
      </c>
      <c r="B1350" s="42">
        <f t="shared" si="40"/>
        <v>-1.71343263660009</v>
      </c>
    </row>
    <row r="1351" spans="1:2" x14ac:dyDescent="0.25">
      <c r="A1351" s="34">
        <f t="shared" si="41"/>
        <v>67.149999999998329</v>
      </c>
      <c r="B1351" s="42">
        <f t="shared" si="40"/>
        <v>-1.4020527711453541</v>
      </c>
    </row>
    <row r="1352" spans="1:2" x14ac:dyDescent="0.25">
      <c r="A1352" s="34">
        <f t="shared" si="41"/>
        <v>67.199999999998326</v>
      </c>
      <c r="B1352" s="42">
        <f t="shared" ref="B1352:B1415" si="42">-A1_x*SIN(p_x*A1352)+A2_x*SIN(w_x*A1352)</f>
        <v>-1.0767577876263914</v>
      </c>
    </row>
    <row r="1353" spans="1:2" x14ac:dyDescent="0.25">
      <c r="A1353" s="34">
        <f t="shared" ref="A1353:A1416" si="43">A1352+$A$6</f>
        <v>67.249999999998323</v>
      </c>
      <c r="B1353" s="42">
        <f t="shared" si="42"/>
        <v>-0.74056453264686661</v>
      </c>
    </row>
    <row r="1354" spans="1:2" x14ac:dyDescent="0.25">
      <c r="A1354" s="34">
        <f t="shared" si="43"/>
        <v>67.29999999999832</v>
      </c>
      <c r="B1354" s="42">
        <f t="shared" si="42"/>
        <v>-0.39659996590193547</v>
      </c>
    </row>
    <row r="1355" spans="1:2" x14ac:dyDescent="0.25">
      <c r="A1355" s="34">
        <f t="shared" si="43"/>
        <v>67.349999999998317</v>
      </c>
      <c r="B1355" s="42">
        <f t="shared" si="42"/>
        <v>-4.8071946656201847E-2</v>
      </c>
    </row>
    <row r="1356" spans="1:2" x14ac:dyDescent="0.25">
      <c r="A1356" s="34">
        <f t="shared" si="43"/>
        <v>67.399999999998315</v>
      </c>
      <c r="B1356" s="42">
        <f t="shared" si="42"/>
        <v>0.30176081652726072</v>
      </c>
    </row>
    <row r="1357" spans="1:2" x14ac:dyDescent="0.25">
      <c r="A1357" s="34">
        <f t="shared" si="43"/>
        <v>67.449999999998312</v>
      </c>
      <c r="B1357" s="42">
        <f t="shared" si="42"/>
        <v>0.64961937005543047</v>
      </c>
    </row>
    <row r="1358" spans="1:2" x14ac:dyDescent="0.25">
      <c r="A1358" s="34">
        <f t="shared" si="43"/>
        <v>67.499999999998309</v>
      </c>
      <c r="B1358" s="42">
        <f t="shared" si="42"/>
        <v>0.99223538488380014</v>
      </c>
    </row>
    <row r="1359" spans="1:2" x14ac:dyDescent="0.25">
      <c r="A1359" s="34">
        <f t="shared" si="43"/>
        <v>67.549999999998306</v>
      </c>
      <c r="B1359" s="42">
        <f t="shared" si="42"/>
        <v>1.3263819995144353</v>
      </c>
    </row>
    <row r="1360" spans="1:2" x14ac:dyDescent="0.25">
      <c r="A1360" s="34">
        <f t="shared" si="43"/>
        <v>67.599999999998303</v>
      </c>
      <c r="B1360" s="42">
        <f t="shared" si="42"/>
        <v>1.648904344093151</v>
      </c>
    </row>
    <row r="1361" spans="1:2" x14ac:dyDescent="0.25">
      <c r="A1361" s="34">
        <f t="shared" si="43"/>
        <v>67.6499999999983</v>
      </c>
      <c r="B1361" s="42">
        <f t="shared" si="42"/>
        <v>1.9567494556379159</v>
      </c>
    </row>
    <row r="1362" spans="1:2" x14ac:dyDescent="0.25">
      <c r="A1362" s="34">
        <f t="shared" si="43"/>
        <v>67.699999999998298</v>
      </c>
      <c r="B1362" s="42">
        <f t="shared" si="42"/>
        <v>2.2469952995478</v>
      </c>
    </row>
    <row r="1363" spans="1:2" x14ac:dyDescent="0.25">
      <c r="A1363" s="34">
        <f t="shared" si="43"/>
        <v>67.749999999998295</v>
      </c>
      <c r="B1363" s="42">
        <f t="shared" si="42"/>
        <v>2.5168786203830749</v>
      </c>
    </row>
    <row r="1364" spans="1:2" x14ac:dyDescent="0.25">
      <c r="A1364" s="34">
        <f t="shared" si="43"/>
        <v>67.799999999998292</v>
      </c>
      <c r="B1364" s="42">
        <f t="shared" si="42"/>
        <v>2.7638213554031505</v>
      </c>
    </row>
    <row r="1365" spans="1:2" x14ac:dyDescent="0.25">
      <c r="A1365" s="34">
        <f t="shared" si="43"/>
        <v>67.849999999998289</v>
      </c>
      <c r="B1365" s="42">
        <f t="shared" si="42"/>
        <v>2.985455357404124</v>
      </c>
    </row>
    <row r="1366" spans="1:2" x14ac:dyDescent="0.25">
      <c r="A1366" s="34">
        <f t="shared" si="43"/>
        <v>67.899999999998286</v>
      </c>
      <c r="B1366" s="42">
        <f t="shared" si="42"/>
        <v>3.1796451888946047</v>
      </c>
    </row>
    <row r="1367" spans="1:2" x14ac:dyDescent="0.25">
      <c r="A1367" s="34">
        <f t="shared" si="43"/>
        <v>67.949999999998283</v>
      </c>
      <c r="B1367" s="42">
        <f t="shared" si="42"/>
        <v>3.3445087674438438</v>
      </c>
    </row>
    <row r="1368" spans="1:2" x14ac:dyDescent="0.25">
      <c r="A1368" s="34">
        <f t="shared" si="43"/>
        <v>67.99999999999828</v>
      </c>
      <c r="B1368" s="42">
        <f t="shared" si="42"/>
        <v>3.4784356619644159</v>
      </c>
    </row>
    <row r="1369" spans="1:2" x14ac:dyDescent="0.25">
      <c r="A1369" s="34">
        <f t="shared" si="43"/>
        <v>68.049999999998278</v>
      </c>
      <c r="B1369" s="42">
        <f t="shared" si="42"/>
        <v>3.5801028615684176</v>
      </c>
    </row>
    <row r="1370" spans="1:2" x14ac:dyDescent="0.25">
      <c r="A1370" s="34">
        <f t="shared" si="43"/>
        <v>68.099999999998275</v>
      </c>
      <c r="B1370" s="42">
        <f t="shared" si="42"/>
        <v>3.6484878622557551</v>
      </c>
    </row>
    <row r="1371" spans="1:2" x14ac:dyDescent="0.25">
      <c r="A1371" s="34">
        <f t="shared" si="43"/>
        <v>68.149999999998272</v>
      </c>
      <c r="B1371" s="42">
        <f t="shared" si="42"/>
        <v>3.682878941834328</v>
      </c>
    </row>
    <row r="1372" spans="1:2" x14ac:dyDescent="0.25">
      <c r="A1372" s="34">
        <f t="shared" si="43"/>
        <v>68.199999999998269</v>
      </c>
      <c r="B1372" s="42">
        <f t="shared" si="42"/>
        <v>3.6828825198978352</v>
      </c>
    </row>
    <row r="1373" spans="1:2" x14ac:dyDescent="0.25">
      <c r="A1373" s="34">
        <f t="shared" si="43"/>
        <v>68.249999999998266</v>
      </c>
      <c r="B1373" s="42">
        <f t="shared" si="42"/>
        <v>3.6484275271484314</v>
      </c>
    </row>
    <row r="1374" spans="1:2" x14ac:dyDescent="0.25">
      <c r="A1374" s="34">
        <f t="shared" si="43"/>
        <v>68.299999999998263</v>
      </c>
      <c r="B1374" s="42">
        <f t="shared" si="42"/>
        <v>3.5797667365881098</v>
      </c>
    </row>
    <row r="1375" spans="1:2" x14ac:dyDescent="0.25">
      <c r="A1375" s="34">
        <f t="shared" si="43"/>
        <v>68.349999999998261</v>
      </c>
      <c r="B1375" s="42">
        <f t="shared" si="42"/>
        <v>3.4774750378474106</v>
      </c>
    </row>
    <row r="1376" spans="1:2" x14ac:dyDescent="0.25">
      <c r="A1376" s="34">
        <f t="shared" si="43"/>
        <v>68.399999999998258</v>
      </c>
      <c r="B1376" s="42">
        <f t="shared" si="42"/>
        <v>3.3424446648994746</v>
      </c>
    </row>
    <row r="1377" spans="1:2" x14ac:dyDescent="0.25">
      <c r="A1377" s="34">
        <f t="shared" si="43"/>
        <v>68.449999999998255</v>
      </c>
      <c r="B1377" s="42">
        <f t="shared" si="42"/>
        <v>3.1758774163450516</v>
      </c>
    </row>
    <row r="1378" spans="1:2" x14ac:dyDescent="0.25">
      <c r="A1378" s="34">
        <f t="shared" si="43"/>
        <v>68.499999999998252</v>
      </c>
      <c r="B1378" s="42">
        <f t="shared" si="42"/>
        <v>2.9792739360753275</v>
      </c>
    </row>
    <row r="1379" spans="1:2" x14ac:dyDescent="0.25">
      <c r="A1379" s="34">
        <f t="shared" si="43"/>
        <v>68.549999999998249</v>
      </c>
      <c r="B1379" s="42">
        <f t="shared" si="42"/>
        <v>2.754420150149107</v>
      </c>
    </row>
    <row r="1380" spans="1:2" x14ac:dyDescent="0.25">
      <c r="A1380" s="34">
        <f t="shared" si="43"/>
        <v>68.599999999998246</v>
      </c>
      <c r="B1380" s="42">
        <f t="shared" si="42"/>
        <v>2.5033709828922617</v>
      </c>
    </row>
    <row r="1381" spans="1:2" x14ac:dyDescent="0.25">
      <c r="A1381" s="34">
        <f t="shared" si="43"/>
        <v>68.649999999998244</v>
      </c>
      <c r="B1381" s="42">
        <f t="shared" si="42"/>
        <v>2.228431501278616</v>
      </c>
    </row>
    <row r="1382" spans="1:2" x14ac:dyDescent="0.25">
      <c r="A1382" s="34">
        <f t="shared" si="43"/>
        <v>68.699999999998241</v>
      </c>
      <c r="B1382" s="42">
        <f t="shared" si="42"/>
        <v>1.9321356613320224</v>
      </c>
    </row>
    <row r="1383" spans="1:2" x14ac:dyDescent="0.25">
      <c r="A1383" s="34">
        <f t="shared" si="43"/>
        <v>68.749999999998238</v>
      </c>
      <c r="B1383" s="42">
        <f t="shared" si="42"/>
        <v>1.6172228533644331</v>
      </c>
    </row>
    <row r="1384" spans="1:2" x14ac:dyDescent="0.25">
      <c r="A1384" s="34">
        <f t="shared" si="43"/>
        <v>68.799999999998235</v>
      </c>
      <c r="B1384" s="42">
        <f t="shared" si="42"/>
        <v>1.2866124641064061</v>
      </c>
    </row>
    <row r="1385" spans="1:2" x14ac:dyDescent="0.25">
      <c r="A1385" s="34">
        <f t="shared" si="43"/>
        <v>68.849999999998232</v>
      </c>
      <c r="B1385" s="42">
        <f t="shared" si="42"/>
        <v>0.94337669299301319</v>
      </c>
    </row>
    <row r="1386" spans="1:2" x14ac:dyDescent="0.25">
      <c r="A1386" s="34">
        <f t="shared" si="43"/>
        <v>68.899999999998229</v>
      </c>
      <c r="B1386" s="42">
        <f t="shared" si="42"/>
        <v>0.59071187685345516</v>
      </c>
    </row>
    <row r="1387" spans="1:2" x14ac:dyDescent="0.25">
      <c r="A1387" s="34">
        <f t="shared" si="43"/>
        <v>68.949999999998226</v>
      </c>
      <c r="B1387" s="42">
        <f t="shared" si="42"/>
        <v>0.23190859184646795</v>
      </c>
    </row>
    <row r="1388" spans="1:2" x14ac:dyDescent="0.25">
      <c r="A1388" s="34">
        <f t="shared" si="43"/>
        <v>68.999999999998224</v>
      </c>
      <c r="B1388" s="42">
        <f t="shared" si="42"/>
        <v>-0.12967918645283483</v>
      </c>
    </row>
    <row r="1389" spans="1:2" x14ac:dyDescent="0.25">
      <c r="A1389" s="34">
        <f t="shared" si="43"/>
        <v>69.049999999998221</v>
      </c>
      <c r="B1389" s="42">
        <f t="shared" si="42"/>
        <v>-0.49066557449475545</v>
      </c>
    </row>
    <row r="1390" spans="1:2" x14ac:dyDescent="0.25">
      <c r="A1390" s="34">
        <f t="shared" si="43"/>
        <v>69.099999999998218</v>
      </c>
      <c r="B1390" s="42">
        <f t="shared" si="42"/>
        <v>-0.84766462673927767</v>
      </c>
    </row>
    <row r="1391" spans="1:2" x14ac:dyDescent="0.25">
      <c r="A1391" s="34">
        <f t="shared" si="43"/>
        <v>69.149999999998215</v>
      </c>
      <c r="B1391" s="42">
        <f t="shared" si="42"/>
        <v>-1.1973222353417003</v>
      </c>
    </row>
    <row r="1392" spans="1:2" x14ac:dyDescent="0.25">
      <c r="A1392" s="34">
        <f t="shared" si="43"/>
        <v>69.199999999998212</v>
      </c>
      <c r="B1392" s="42">
        <f t="shared" si="42"/>
        <v>-1.5363477816964106</v>
      </c>
    </row>
    <row r="1393" spans="1:2" x14ac:dyDescent="0.25">
      <c r="A1393" s="34">
        <f t="shared" si="43"/>
        <v>69.249999999998209</v>
      </c>
      <c r="B1393" s="42">
        <f t="shared" si="42"/>
        <v>-1.8615452398646357</v>
      </c>
    </row>
    <row r="1394" spans="1:2" x14ac:dyDescent="0.25">
      <c r="A1394" s="34">
        <f t="shared" si="43"/>
        <v>69.299999999998207</v>
      </c>
      <c r="B1394" s="42">
        <f t="shared" si="42"/>
        <v>-2.169843436634316</v>
      </c>
    </row>
    <row r="1395" spans="1:2" x14ac:dyDescent="0.25">
      <c r="A1395" s="34">
        <f t="shared" si="43"/>
        <v>69.349999999998204</v>
      </c>
      <c r="B1395" s="42">
        <f t="shared" si="42"/>
        <v>-2.4583251804958541</v>
      </c>
    </row>
    <row r="1396" spans="1:2" x14ac:dyDescent="0.25">
      <c r="A1396" s="34">
        <f t="shared" si="43"/>
        <v>69.399999999998201</v>
      </c>
      <c r="B1396" s="42">
        <f t="shared" si="42"/>
        <v>-2.7242549821024546</v>
      </c>
    </row>
    <row r="1397" spans="1:2" x14ac:dyDescent="0.25">
      <c r="A1397" s="34">
        <f t="shared" si="43"/>
        <v>69.449999999998198</v>
      </c>
      <c r="B1397" s="42">
        <f t="shared" si="42"/>
        <v>-2.9651051017201135</v>
      </c>
    </row>
    <row r="1398" spans="1:2" x14ac:dyDescent="0.25">
      <c r="A1398" s="34">
        <f t="shared" si="43"/>
        <v>69.499999999998195</v>
      </c>
      <c r="B1398" s="42">
        <f t="shared" si="42"/>
        <v>-3.1785796746416271</v>
      </c>
    </row>
    <row r="1399" spans="1:2" x14ac:dyDescent="0.25">
      <c r="A1399" s="34">
        <f t="shared" si="43"/>
        <v>69.549999999998192</v>
      </c>
      <c r="B1399" s="42">
        <f t="shared" si="42"/>
        <v>-3.3626366834002881</v>
      </c>
    </row>
    <row r="1400" spans="1:2" x14ac:dyDescent="0.25">
      <c r="A1400" s="34">
        <f t="shared" si="43"/>
        <v>69.59999999999819</v>
      </c>
      <c r="B1400" s="42">
        <f t="shared" si="42"/>
        <v>-3.5155075657020274</v>
      </c>
    </row>
    <row r="1401" spans="1:2" x14ac:dyDescent="0.25">
      <c r="A1401" s="34">
        <f t="shared" si="43"/>
        <v>69.649999999998187</v>
      </c>
      <c r="B1401" s="42">
        <f t="shared" si="42"/>
        <v>-3.6357142691127837</v>
      </c>
    </row>
    <row r="1402" spans="1:2" x14ac:dyDescent="0.25">
      <c r="A1402" s="34">
        <f t="shared" si="43"/>
        <v>69.699999999998184</v>
      </c>
      <c r="B1402" s="42">
        <f t="shared" si="42"/>
        <v>-3.7220835874846405</v>
      </c>
    </row>
    <row r="1403" spans="1:2" x14ac:dyDescent="0.25">
      <c r="A1403" s="34">
        <f t="shared" si="43"/>
        <v>69.749999999998181</v>
      </c>
      <c r="B1403" s="42">
        <f t="shared" si="42"/>
        <v>-3.7737586396508758</v>
      </c>
    </row>
    <row r="1404" spans="1:2" x14ac:dyDescent="0.25">
      <c r="A1404" s="34">
        <f t="shared" si="43"/>
        <v>69.799999999998178</v>
      </c>
      <c r="B1404" s="42">
        <f t="shared" si="42"/>
        <v>-3.7902073778287484</v>
      </c>
    </row>
    <row r="1405" spans="1:2" x14ac:dyDescent="0.25">
      <c r="A1405" s="34">
        <f t="shared" si="43"/>
        <v>69.849999999998175</v>
      </c>
      <c r="B1405" s="42">
        <f t="shared" si="42"/>
        <v>-3.7712280411824803</v>
      </c>
    </row>
    <row r="1406" spans="1:2" x14ac:dyDescent="0.25">
      <c r="A1406" s="34">
        <f t="shared" si="43"/>
        <v>69.899999999998172</v>
      </c>
      <c r="B1406" s="42">
        <f t="shared" si="42"/>
        <v>-3.7169514988539158</v>
      </c>
    </row>
    <row r="1407" spans="1:2" x14ac:dyDescent="0.25">
      <c r="A1407" s="34">
        <f t="shared" si="43"/>
        <v>69.94999999999817</v>
      </c>
      <c r="B1407" s="42">
        <f t="shared" si="42"/>
        <v>-3.6278404561900821</v>
      </c>
    </row>
    <row r="1408" spans="1:2" x14ac:dyDescent="0.25">
      <c r="A1408" s="34">
        <f t="shared" si="43"/>
        <v>69.999999999998167</v>
      </c>
      <c r="B1408" s="42">
        <f t="shared" si="42"/>
        <v>-3.5046855276057531</v>
      </c>
    </row>
    <row r="1409" spans="1:2" x14ac:dyDescent="0.25">
      <c r="A1409" s="34">
        <f t="shared" si="43"/>
        <v>70.049999999998164</v>
      </c>
      <c r="B1409" s="42">
        <f t="shared" si="42"/>
        <v>-3.3485982092339182</v>
      </c>
    </row>
    <row r="1410" spans="1:2" x14ac:dyDescent="0.25">
      <c r="A1410" s="34">
        <f t="shared" si="43"/>
        <v>70.099999999998161</v>
      </c>
      <c r="B1410" s="42">
        <f t="shared" si="42"/>
        <v>-3.1610008139527941</v>
      </c>
    </row>
    <row r="1411" spans="1:2" x14ac:dyDescent="0.25">
      <c r="A1411" s="34">
        <f t="shared" si="43"/>
        <v>70.149999999998158</v>
      </c>
      <c r="B1411" s="42">
        <f t="shared" si="42"/>
        <v>-2.9436134602551043</v>
      </c>
    </row>
    <row r="1412" spans="1:2" x14ac:dyDescent="0.25">
      <c r="A1412" s="34">
        <f t="shared" si="43"/>
        <v>70.199999999998155</v>
      </c>
      <c r="B1412" s="42">
        <f t="shared" si="42"/>
        <v>-2.6984382344695046</v>
      </c>
    </row>
    <row r="1413" spans="1:2" x14ac:dyDescent="0.25">
      <c r="A1413" s="34">
        <f t="shared" si="43"/>
        <v>70.249999999998153</v>
      </c>
      <c r="B1413" s="42">
        <f t="shared" si="42"/>
        <v>-2.4277406727839672</v>
      </c>
    </row>
    <row r="1414" spans="1:2" x14ac:dyDescent="0.25">
      <c r="A1414" s="34">
        <f t="shared" si="43"/>
        <v>70.29999999999815</v>
      </c>
      <c r="B1414" s="42">
        <f t="shared" si="42"/>
        <v>-2.1340287351012948</v>
      </c>
    </row>
    <row r="1415" spans="1:2" x14ac:dyDescent="0.25">
      <c r="A1415" s="34">
        <f t="shared" si="43"/>
        <v>70.349999999998147</v>
      </c>
      <c r="B1415" s="42">
        <f t="shared" si="42"/>
        <v>-1.8200294667336179</v>
      </c>
    </row>
    <row r="1416" spans="1:2" x14ac:dyDescent="0.25">
      <c r="A1416" s="34">
        <f t="shared" si="43"/>
        <v>70.399999999998144</v>
      </c>
      <c r="B1416" s="42">
        <f t="shared" ref="B1416:B1479" si="44">-A1_x*SIN(p_x*A1416)+A2_x*SIN(w_x*A1416)</f>
        <v>-1.488663566081637</v>
      </c>
    </row>
    <row r="1417" spans="1:2" x14ac:dyDescent="0.25">
      <c r="A1417" s="34">
        <f t="shared" ref="A1417:A1480" si="45">A1416+$A$6</f>
        <v>70.449999999998141</v>
      </c>
      <c r="B1417" s="42">
        <f t="shared" si="44"/>
        <v>-1.143018096536119</v>
      </c>
    </row>
    <row r="1418" spans="1:2" x14ac:dyDescent="0.25">
      <c r="A1418" s="34">
        <f t="shared" si="45"/>
        <v>70.499999999998138</v>
      </c>
      <c r="B1418" s="42">
        <f t="shared" si="44"/>
        <v>-0.78631759869098861</v>
      </c>
    </row>
    <row r="1419" spans="1:2" x14ac:dyDescent="0.25">
      <c r="A1419" s="34">
        <f t="shared" si="45"/>
        <v>70.549999999998136</v>
      </c>
      <c r="B1419" s="42">
        <f t="shared" si="44"/>
        <v>-0.42189387439239012</v>
      </c>
    </row>
    <row r="1420" spans="1:2" x14ac:dyDescent="0.25">
      <c r="A1420" s="34">
        <f t="shared" si="45"/>
        <v>70.599999999998133</v>
      </c>
      <c r="B1420" s="42">
        <f t="shared" si="44"/>
        <v>-5.3154727021061277E-2</v>
      </c>
    </row>
    <row r="1421" spans="1:2" x14ac:dyDescent="0.25">
      <c r="A1421" s="34">
        <f t="shared" si="45"/>
        <v>70.64999999999813</v>
      </c>
      <c r="B1421" s="42">
        <f t="shared" si="44"/>
        <v>0.31644804740851462</v>
      </c>
    </row>
    <row r="1422" spans="1:2" x14ac:dyDescent="0.25">
      <c r="A1422" s="34">
        <f t="shared" si="45"/>
        <v>70.699999999998127</v>
      </c>
      <c r="B1422" s="42">
        <f t="shared" si="44"/>
        <v>0.68345111635382449</v>
      </c>
    </row>
    <row r="1423" spans="1:2" x14ac:dyDescent="0.25">
      <c r="A1423" s="34">
        <f t="shared" si="45"/>
        <v>70.749999999998124</v>
      </c>
      <c r="B1423" s="42">
        <f t="shared" si="44"/>
        <v>1.0444122075413755</v>
      </c>
    </row>
    <row r="1424" spans="1:2" x14ac:dyDescent="0.25">
      <c r="A1424" s="34">
        <f t="shared" si="45"/>
        <v>70.799999999998121</v>
      </c>
      <c r="B1424" s="42">
        <f t="shared" si="44"/>
        <v>1.3959425383120183</v>
      </c>
    </row>
    <row r="1425" spans="1:2" x14ac:dyDescent="0.25">
      <c r="A1425" s="34">
        <f t="shared" si="45"/>
        <v>70.849999999998118</v>
      </c>
      <c r="B1425" s="42">
        <f t="shared" si="44"/>
        <v>1.734738770670385</v>
      </c>
    </row>
    <row r="1426" spans="1:2" x14ac:dyDescent="0.25">
      <c r="A1426" s="34">
        <f t="shared" si="45"/>
        <v>70.899999999998116</v>
      </c>
      <c r="B1426" s="42">
        <f t="shared" si="44"/>
        <v>2.05761418940721</v>
      </c>
    </row>
    <row r="1427" spans="1:2" x14ac:dyDescent="0.25">
      <c r="A1427" s="34">
        <f t="shared" si="45"/>
        <v>70.949999999998113</v>
      </c>
      <c r="B1427" s="42">
        <f t="shared" si="44"/>
        <v>2.3615288077531789</v>
      </c>
    </row>
    <row r="1428" spans="1:2" x14ac:dyDescent="0.25">
      <c r="A1428" s="34">
        <f t="shared" si="45"/>
        <v>70.99999999999811</v>
      </c>
      <c r="B1428" s="42">
        <f t="shared" si="44"/>
        <v>2.6436181149288407</v>
      </c>
    </row>
    <row r="1429" spans="1:2" x14ac:dyDescent="0.25">
      <c r="A1429" s="34">
        <f t="shared" si="45"/>
        <v>71.049999999998107</v>
      </c>
      <c r="B1429" s="42">
        <f t="shared" si="44"/>
        <v>2.9012201925806957</v>
      </c>
    </row>
    <row r="1430" spans="1:2" x14ac:dyDescent="0.25">
      <c r="A1430" s="34">
        <f t="shared" si="45"/>
        <v>71.099999999998104</v>
      </c>
      <c r="B1430" s="42">
        <f t="shared" si="44"/>
        <v>3.1319009423217041</v>
      </c>
    </row>
    <row r="1431" spans="1:2" x14ac:dyDescent="0.25">
      <c r="A1431" s="34">
        <f t="shared" si="45"/>
        <v>71.149999999998101</v>
      </c>
      <c r="B1431" s="42">
        <f t="shared" si="44"/>
        <v>3.3334771842855533</v>
      </c>
    </row>
    <row r="1432" spans="1:2" x14ac:dyDescent="0.25">
      <c r="A1432" s="34">
        <f t="shared" si="45"/>
        <v>71.199999999998099</v>
      </c>
      <c r="B1432" s="42">
        <f t="shared" si="44"/>
        <v>3.5040374065877709</v>
      </c>
    </row>
    <row r="1433" spans="1:2" x14ac:dyDescent="0.25">
      <c r="A1433" s="34">
        <f t="shared" si="45"/>
        <v>71.249999999998096</v>
      </c>
      <c r="B1433" s="42">
        <f t="shared" si="44"/>
        <v>3.6419599676759287</v>
      </c>
    </row>
    <row r="1434" spans="1:2" x14ac:dyDescent="0.25">
      <c r="A1434" s="34">
        <f t="shared" si="45"/>
        <v>71.299999999998093</v>
      </c>
      <c r="B1434" s="42">
        <f t="shared" si="44"/>
        <v>3.7459285775390985</v>
      </c>
    </row>
    <row r="1435" spans="1:2" x14ac:dyDescent="0.25">
      <c r="A1435" s="34">
        <f t="shared" si="45"/>
        <v>71.34999999999809</v>
      </c>
      <c r="B1435" s="42">
        <f t="shared" si="44"/>
        <v>3.8149449094037298</v>
      </c>
    </row>
    <row r="1436" spans="1:2" x14ac:dyDescent="0.25">
      <c r="A1436" s="34">
        <f t="shared" si="45"/>
        <v>71.399999999998087</v>
      </c>
      <c r="B1436" s="42">
        <f t="shared" si="44"/>
        <v>3.8483382206273982</v>
      </c>
    </row>
    <row r="1437" spans="1:2" x14ac:dyDescent="0.25">
      <c r="A1437" s="34">
        <f t="shared" si="45"/>
        <v>71.449999999998084</v>
      </c>
      <c r="B1437" s="42">
        <f t="shared" si="44"/>
        <v>3.8457718897576494</v>
      </c>
    </row>
    <row r="1438" spans="1:2" x14ac:dyDescent="0.25">
      <c r="A1438" s="34">
        <f t="shared" si="45"/>
        <v>71.499999999998082</v>
      </c>
      <c r="B1438" s="42">
        <f t="shared" si="44"/>
        <v>3.8072468058804478</v>
      </c>
    </row>
    <row r="1439" spans="1:2" x14ac:dyDescent="0.25">
      <c r="A1439" s="34">
        <f t="shared" si="45"/>
        <v>71.549999999998079</v>
      </c>
      <c r="B1439" s="42">
        <f t="shared" si="44"/>
        <v>3.7331015761662036</v>
      </c>
    </row>
    <row r="1440" spans="1:2" x14ac:dyDescent="0.25">
      <c r="A1440" s="34">
        <f t="shared" si="45"/>
        <v>71.599999999998076</v>
      </c>
      <c r="B1440" s="42">
        <f t="shared" si="44"/>
        <v>3.6240095476473773</v>
      </c>
    </row>
    <row r="1441" spans="1:2" x14ac:dyDescent="0.25">
      <c r="A1441" s="34">
        <f t="shared" si="45"/>
        <v>71.649999999998073</v>
      </c>
      <c r="B1441" s="42">
        <f t="shared" si="44"/>
        <v>3.4809726694433687</v>
      </c>
    </row>
    <row r="1442" spans="1:2" x14ac:dyDescent="0.25">
      <c r="A1442" s="34">
        <f t="shared" si="45"/>
        <v>71.69999999999807</v>
      </c>
      <c r="B1442" s="42">
        <f t="shared" si="44"/>
        <v>3.3053122516003208</v>
      </c>
    </row>
    <row r="1443" spans="1:2" x14ac:dyDescent="0.25">
      <c r="A1443" s="34">
        <f t="shared" si="45"/>
        <v>71.749999999998067</v>
      </c>
      <c r="B1443" s="42">
        <f t="shared" si="44"/>
        <v>3.0986567061473611</v>
      </c>
    </row>
    <row r="1444" spans="1:2" x14ac:dyDescent="0.25">
      <c r="A1444" s="34">
        <f t="shared" si="45"/>
        <v>71.799999999998064</v>
      </c>
      <c r="B1444" s="42">
        <f t="shared" si="44"/>
        <v>2.8629263846106294</v>
      </c>
    </row>
    <row r="1445" spans="1:2" x14ac:dyDescent="0.25">
      <c r="A1445" s="34">
        <f t="shared" si="45"/>
        <v>71.849999999998062</v>
      </c>
      <c r="B1445" s="42">
        <f t="shared" si="44"/>
        <v>2.6003156537949526</v>
      </c>
    </row>
    <row r="1446" spans="1:2" x14ac:dyDescent="0.25">
      <c r="A1446" s="34">
        <f t="shared" si="45"/>
        <v>71.899999999998059</v>
      </c>
      <c r="B1446" s="42">
        <f t="shared" si="44"/>
        <v>2.3132723778797706</v>
      </c>
    </row>
    <row r="1447" spans="1:2" x14ac:dyDescent="0.25">
      <c r="A1447" s="34">
        <f t="shared" si="45"/>
        <v>71.949999999998056</v>
      </c>
      <c r="B1447" s="42">
        <f t="shared" si="44"/>
        <v>2.0044749995316291</v>
      </c>
    </row>
    <row r="1448" spans="1:2" x14ac:dyDescent="0.25">
      <c r="A1448" s="34">
        <f t="shared" si="45"/>
        <v>71.999999999998053</v>
      </c>
      <c r="B1448" s="42">
        <f t="shared" si="44"/>
        <v>1.676807435571309</v>
      </c>
    </row>
    <row r="1449" spans="1:2" x14ac:dyDescent="0.25">
      <c r="A1449" s="34">
        <f t="shared" si="45"/>
        <v>72.04999999999805</v>
      </c>
      <c r="B1449" s="42">
        <f t="shared" si="44"/>
        <v>1.3333320235342749</v>
      </c>
    </row>
    <row r="1450" spans="1:2" x14ac:dyDescent="0.25">
      <c r="A1450" s="34">
        <f t="shared" si="45"/>
        <v>72.099999999998047</v>
      </c>
      <c r="B1450" s="42">
        <f t="shared" si="44"/>
        <v>0.97726077403066469</v>
      </c>
    </row>
    <row r="1451" spans="1:2" x14ac:dyDescent="0.25">
      <c r="A1451" s="34">
        <f t="shared" si="45"/>
        <v>72.149999999998045</v>
      </c>
      <c r="B1451" s="42">
        <f t="shared" si="44"/>
        <v>0.61192519996368921</v>
      </c>
    </row>
    <row r="1452" spans="1:2" x14ac:dyDescent="0.25">
      <c r="A1452" s="34">
        <f t="shared" si="45"/>
        <v>72.199999999998042</v>
      </c>
      <c r="B1452" s="42">
        <f t="shared" si="44"/>
        <v>0.24074500725218553</v>
      </c>
    </row>
    <row r="1453" spans="1:2" x14ac:dyDescent="0.25">
      <c r="A1453" s="34">
        <f t="shared" si="45"/>
        <v>72.249999999998039</v>
      </c>
      <c r="B1453" s="42">
        <f t="shared" si="44"/>
        <v>-0.13280405740547879</v>
      </c>
    </row>
    <row r="1454" spans="1:2" x14ac:dyDescent="0.25">
      <c r="A1454" s="34">
        <f t="shared" si="45"/>
        <v>72.299999999998036</v>
      </c>
      <c r="B1454" s="42">
        <f t="shared" si="44"/>
        <v>-0.50522289810218579</v>
      </c>
    </row>
    <row r="1455" spans="1:2" x14ac:dyDescent="0.25">
      <c r="A1455" s="34">
        <f t="shared" si="45"/>
        <v>72.349999999998033</v>
      </c>
      <c r="B1455" s="42">
        <f t="shared" si="44"/>
        <v>-0.87302199179492646</v>
      </c>
    </row>
    <row r="1456" spans="1:2" x14ac:dyDescent="0.25">
      <c r="A1456" s="34">
        <f t="shared" si="45"/>
        <v>72.39999999999803</v>
      </c>
      <c r="B1456" s="42">
        <f t="shared" si="44"/>
        <v>-1.2327542297669347</v>
      </c>
    </row>
    <row r="1457" spans="1:2" x14ac:dyDescent="0.25">
      <c r="A1457" s="34">
        <f t="shared" si="45"/>
        <v>72.449999999998028</v>
      </c>
      <c r="B1457" s="42">
        <f t="shared" si="44"/>
        <v>-1.5810473680417891</v>
      </c>
    </row>
    <row r="1458" spans="1:2" x14ac:dyDescent="0.25">
      <c r="A1458" s="34">
        <f t="shared" si="45"/>
        <v>72.499999999998025</v>
      </c>
      <c r="B1458" s="42">
        <f t="shared" si="44"/>
        <v>-1.9146357799330516</v>
      </c>
    </row>
    <row r="1459" spans="1:2" x14ac:dyDescent="0.25">
      <c r="A1459" s="34">
        <f t="shared" si="45"/>
        <v>72.549999999998022</v>
      </c>
      <c r="B1459" s="42">
        <f t="shared" si="44"/>
        <v>-2.2303912104458297</v>
      </c>
    </row>
    <row r="1460" spans="1:2" x14ac:dyDescent="0.25">
      <c r="A1460" s="34">
        <f t="shared" si="45"/>
        <v>72.599999999998019</v>
      </c>
      <c r="B1460" s="42">
        <f t="shared" si="44"/>
        <v>-2.5253522416343124</v>
      </c>
    </row>
    <row r="1461" spans="1:2" x14ac:dyDescent="0.25">
      <c r="A1461" s="34">
        <f t="shared" si="45"/>
        <v>72.649999999998016</v>
      </c>
      <c r="B1461" s="42">
        <f t="shared" si="44"/>
        <v>-2.7967521901685126</v>
      </c>
    </row>
    <row r="1462" spans="1:2" x14ac:dyDescent="0.25">
      <c r="A1462" s="34">
        <f t="shared" si="45"/>
        <v>72.699999999998013</v>
      </c>
      <c r="B1462" s="42">
        <f t="shared" si="44"/>
        <v>-3.0420451731598188</v>
      </c>
    </row>
    <row r="1463" spans="1:2" x14ac:dyDescent="0.25">
      <c r="A1463" s="34">
        <f t="shared" si="45"/>
        <v>72.74999999999801</v>
      </c>
      <c r="B1463" s="42">
        <f t="shared" si="44"/>
        <v>-3.2589300956018139</v>
      </c>
    </row>
    <row r="1464" spans="1:2" x14ac:dyDescent="0.25">
      <c r="A1464" s="34">
        <f t="shared" si="45"/>
        <v>72.799999999998008</v>
      </c>
      <c r="B1464" s="42">
        <f t="shared" si="44"/>
        <v>-3.4453723324318588</v>
      </c>
    </row>
    <row r="1465" spans="1:2" x14ac:dyDescent="0.25">
      <c r="A1465" s="34">
        <f t="shared" si="45"/>
        <v>72.849999999998005</v>
      </c>
      <c r="B1465" s="42">
        <f t="shared" si="44"/>
        <v>-3.5996229000244742</v>
      </c>
    </row>
    <row r="1466" spans="1:2" x14ac:dyDescent="0.25">
      <c r="A1466" s="34">
        <f t="shared" si="45"/>
        <v>72.899999999998002</v>
      </c>
      <c r="B1466" s="42">
        <f t="shared" si="44"/>
        <v>-3.7202349356851618</v>
      </c>
    </row>
    <row r="1467" spans="1:2" x14ac:dyDescent="0.25">
      <c r="A1467" s="34">
        <f t="shared" si="45"/>
        <v>72.949999999997999</v>
      </c>
      <c r="B1467" s="42">
        <f t="shared" si="44"/>
        <v>-3.8060773291937617</v>
      </c>
    </row>
    <row r="1468" spans="1:2" x14ac:dyDescent="0.25">
      <c r="A1468" s="34">
        <f t="shared" si="45"/>
        <v>72.999999999997996</v>
      </c>
      <c r="B1468" s="42">
        <f t="shared" si="44"/>
        <v>-3.8563453774088217</v>
      </c>
    </row>
    <row r="1469" spans="1:2" x14ac:dyDescent="0.25">
      <c r="A1469" s="34">
        <f t="shared" si="45"/>
        <v>73.049999999997993</v>
      </c>
      <c r="B1469" s="42">
        <f t="shared" si="44"/>
        <v>-3.8705683611337873</v>
      </c>
    </row>
    <row r="1470" spans="1:2" x14ac:dyDescent="0.25">
      <c r="A1470" s="34">
        <f t="shared" si="45"/>
        <v>73.099999999997991</v>
      </c>
      <c r="B1470" s="42">
        <f t="shared" si="44"/>
        <v>-3.8486139725917572</v>
      </c>
    </row>
    <row r="1471" spans="1:2" x14ac:dyDescent="0.25">
      <c r="A1471" s="34">
        <f t="shared" si="45"/>
        <v>73.149999999997988</v>
      </c>
      <c r="B1471" s="42">
        <f t="shared" si="44"/>
        <v>-3.7906895516822559</v>
      </c>
    </row>
    <row r="1472" spans="1:2" x14ac:dyDescent="0.25">
      <c r="A1472" s="34">
        <f t="shared" si="45"/>
        <v>73.199999999997985</v>
      </c>
      <c r="B1472" s="42">
        <f t="shared" si="44"/>
        <v>-3.6973401194174409</v>
      </c>
    </row>
    <row r="1473" spans="1:2" x14ac:dyDescent="0.25">
      <c r="A1473" s="34">
        <f t="shared" si="45"/>
        <v>73.249999999997982</v>
      </c>
      <c r="B1473" s="42">
        <f t="shared" si="44"/>
        <v>-3.5694432272677741</v>
      </c>
    </row>
    <row r="1474" spans="1:2" x14ac:dyDescent="0.25">
      <c r="A1474" s="34">
        <f t="shared" si="45"/>
        <v>73.299999999997979</v>
      </c>
      <c r="B1474" s="42">
        <f t="shared" si="44"/>
        <v>-3.4082006713014428</v>
      </c>
    </row>
    <row r="1475" spans="1:2" x14ac:dyDescent="0.25">
      <c r="A1475" s="34">
        <f t="shared" si="45"/>
        <v>73.349999999997976</v>
      </c>
      <c r="B1475" s="42">
        <f t="shared" si="44"/>
        <v>-3.2151271496897227</v>
      </c>
    </row>
    <row r="1476" spans="1:2" x14ac:dyDescent="0.25">
      <c r="A1476" s="34">
        <f t="shared" si="45"/>
        <v>73.399999999997974</v>
      </c>
      <c r="B1476" s="42">
        <f t="shared" si="44"/>
        <v>-2.9920359710899245</v>
      </c>
    </row>
    <row r="1477" spans="1:2" x14ac:dyDescent="0.25">
      <c r="A1477" s="34">
        <f t="shared" si="45"/>
        <v>73.449999999997971</v>
      </c>
      <c r="B1477" s="42">
        <f t="shared" si="44"/>
        <v>-2.74102194933482</v>
      </c>
    </row>
    <row r="1478" spans="1:2" x14ac:dyDescent="0.25">
      <c r="A1478" s="34">
        <f t="shared" si="45"/>
        <v>73.499999999997968</v>
      </c>
      <c r="B1478" s="42">
        <f t="shared" si="44"/>
        <v>-2.4644416464846248</v>
      </c>
    </row>
    <row r="1479" spans="1:2" x14ac:dyDescent="0.25">
      <c r="A1479" s="34">
        <f t="shared" si="45"/>
        <v>73.549999999997965</v>
      </c>
      <c r="B1479" s="42">
        <f t="shared" si="44"/>
        <v>-2.1648911513832849</v>
      </c>
    </row>
    <row r="1480" spans="1:2" x14ac:dyDescent="0.25">
      <c r="A1480" s="34">
        <f t="shared" si="45"/>
        <v>73.599999999997962</v>
      </c>
      <c r="B1480" s="42">
        <f t="shared" ref="B1480:B1543" si="46">-A1_x*SIN(p_x*A1480)+A2_x*SIN(w_x*A1480)</f>
        <v>-1.8451816041677171</v>
      </c>
    </row>
    <row r="1481" spans="1:2" x14ac:dyDescent="0.25">
      <c r="A1481" s="34">
        <f t="shared" ref="A1481:A1544" si="47">A1480+$A$6</f>
        <v>73.649999999997959</v>
      </c>
      <c r="B1481" s="42">
        <f t="shared" si="46"/>
        <v>-1.5083126984821096</v>
      </c>
    </row>
    <row r="1482" spans="1:2" x14ac:dyDescent="0.25">
      <c r="A1482" s="34">
        <f t="shared" si="47"/>
        <v>73.699999999997956</v>
      </c>
      <c r="B1482" s="42">
        <f t="shared" si="46"/>
        <v>-1.1574444122497589</v>
      </c>
    </row>
    <row r="1483" spans="1:2" x14ac:dyDescent="0.25">
      <c r="A1483" s="34">
        <f t="shared" si="47"/>
        <v>73.749999999997954</v>
      </c>
      <c r="B1483" s="42">
        <f t="shared" si="46"/>
        <v>-0.79586723457252351</v>
      </c>
    </row>
    <row r="1484" spans="1:2" x14ac:dyDescent="0.25">
      <c r="A1484" s="34">
        <f t="shared" si="47"/>
        <v>73.799999999997951</v>
      </c>
      <c r="B1484" s="42">
        <f t="shared" si="46"/>
        <v>-0.42697117049776101</v>
      </c>
    </row>
    <row r="1485" spans="1:2" x14ac:dyDescent="0.25">
      <c r="A1485" s="34">
        <f t="shared" si="47"/>
        <v>73.849999999997948</v>
      </c>
      <c r="B1485" s="42">
        <f t="shared" si="46"/>
        <v>-5.4213816890492955E-2</v>
      </c>
    </row>
    <row r="1486" spans="1:2" x14ac:dyDescent="0.25">
      <c r="A1486" s="34">
        <f t="shared" si="47"/>
        <v>73.899999999997945</v>
      </c>
      <c r="B1486" s="42">
        <f t="shared" si="46"/>
        <v>0.31891218864415283</v>
      </c>
    </row>
    <row r="1487" spans="1:2" x14ac:dyDescent="0.25">
      <c r="A1487" s="34">
        <f t="shared" si="47"/>
        <v>73.949999999997942</v>
      </c>
      <c r="B1487" s="42">
        <f t="shared" si="46"/>
        <v>0.68891203800218392</v>
      </c>
    </row>
    <row r="1488" spans="1:2" x14ac:dyDescent="0.25">
      <c r="A1488" s="34">
        <f t="shared" si="47"/>
        <v>73.999999999997939</v>
      </c>
      <c r="B1488" s="42">
        <f t="shared" si="46"/>
        <v>1.0523216312797288</v>
      </c>
    </row>
    <row r="1489" spans="1:2" x14ac:dyDescent="0.25">
      <c r="A1489" s="34">
        <f t="shared" si="47"/>
        <v>74.049999999997937</v>
      </c>
      <c r="B1489" s="42">
        <f t="shared" si="46"/>
        <v>1.4057401532565184</v>
      </c>
    </row>
    <row r="1490" spans="1:2" x14ac:dyDescent="0.25">
      <c r="A1490" s="34">
        <f t="shared" si="47"/>
        <v>74.099999999997934</v>
      </c>
      <c r="B1490" s="42">
        <f t="shared" si="46"/>
        <v>1.7458620399699272</v>
      </c>
    </row>
    <row r="1491" spans="1:2" x14ac:dyDescent="0.25">
      <c r="A1491" s="34">
        <f t="shared" si="47"/>
        <v>74.149999999997931</v>
      </c>
      <c r="B1491" s="42">
        <f t="shared" si="46"/>
        <v>2.0695080335821991</v>
      </c>
    </row>
    <row r="1492" spans="1:2" x14ac:dyDescent="0.25">
      <c r="A1492" s="34">
        <f t="shared" si="47"/>
        <v>74.199999999997928</v>
      </c>
      <c r="B1492" s="42">
        <f t="shared" si="46"/>
        <v>2.3736550325046482</v>
      </c>
    </row>
    <row r="1493" spans="1:2" x14ac:dyDescent="0.25">
      <c r="A1493" s="34">
        <f t="shared" si="47"/>
        <v>74.249999999997925</v>
      </c>
      <c r="B1493" s="42">
        <f t="shared" si="46"/>
        <v>2.6554644552791919</v>
      </c>
    </row>
    <row r="1494" spans="1:2" x14ac:dyDescent="0.25">
      <c r="A1494" s="34">
        <f t="shared" si="47"/>
        <v>74.299999999997922</v>
      </c>
      <c r="B1494" s="42">
        <f t="shared" si="46"/>
        <v>2.9123088509190849</v>
      </c>
    </row>
    <row r="1495" spans="1:2" x14ac:dyDescent="0.25">
      <c r="A1495" s="34">
        <f t="shared" si="47"/>
        <v>74.34999999999792</v>
      </c>
      <c r="B1495" s="42">
        <f t="shared" si="46"/>
        <v>3.1417965051449555</v>
      </c>
    </row>
    <row r="1496" spans="1:2" x14ac:dyDescent="0.25">
      <c r="A1496" s="34">
        <f t="shared" si="47"/>
        <v>74.399999999997917</v>
      </c>
      <c r="B1496" s="42">
        <f t="shared" si="46"/>
        <v>3.3417938110544618</v>
      </c>
    </row>
    <row r="1497" spans="1:2" x14ac:dyDescent="0.25">
      <c r="A1497" s="34">
        <f t="shared" si="47"/>
        <v>74.449999999997914</v>
      </c>
      <c r="B1497" s="42">
        <f t="shared" si="46"/>
        <v>3.5104451940520263</v>
      </c>
    </row>
    <row r="1498" spans="1:2" x14ac:dyDescent="0.25">
      <c r="A1498" s="34">
        <f t="shared" si="47"/>
        <v>74.499999999997911</v>
      </c>
      <c r="B1498" s="42">
        <f t="shared" si="46"/>
        <v>3.6461904041388697</v>
      </c>
    </row>
    <row r="1499" spans="1:2" x14ac:dyDescent="0.25">
      <c r="A1499" s="34">
        <f t="shared" si="47"/>
        <v>74.549999999997908</v>
      </c>
      <c r="B1499" s="42">
        <f t="shared" si="46"/>
        <v>3.7477790136966975</v>
      </c>
    </row>
    <row r="1500" spans="1:2" x14ac:dyDescent="0.25">
      <c r="A1500" s="34">
        <f t="shared" si="47"/>
        <v>74.599999999997905</v>
      </c>
      <c r="B1500" s="42">
        <f t="shared" si="46"/>
        <v>3.8142819854530092</v>
      </c>
    </row>
    <row r="1501" spans="1:2" x14ac:dyDescent="0.25">
      <c r="A1501" s="34">
        <f t="shared" si="47"/>
        <v>74.649999999997902</v>
      </c>
      <c r="B1501" s="42">
        <f t="shared" si="46"/>
        <v>3.8451002031407819</v>
      </c>
    </row>
    <row r="1502" spans="1:2" x14ac:dyDescent="0.25">
      <c r="A1502" s="34">
        <f t="shared" si="47"/>
        <v>74.6999999999979</v>
      </c>
      <c r="B1502" s="42">
        <f t="shared" si="46"/>
        <v>3.8399698861920228</v>
      </c>
    </row>
    <row r="1503" spans="1:2" x14ac:dyDescent="0.25">
      <c r="A1503" s="34">
        <f t="shared" si="47"/>
        <v>74.749999999997897</v>
      </c>
      <c r="B1503" s="42">
        <f t="shared" si="46"/>
        <v>3.7989648393598374</v>
      </c>
    </row>
    <row r="1504" spans="1:2" x14ac:dyDescent="0.25">
      <c r="A1504" s="34">
        <f t="shared" si="47"/>
        <v>74.799999999997894</v>
      </c>
      <c r="B1504" s="42">
        <f t="shared" si="46"/>
        <v>3.7224955181667432</v>
      </c>
    </row>
    <row r="1505" spans="1:2" x14ac:dyDescent="0.25">
      <c r="A1505" s="34">
        <f t="shared" si="47"/>
        <v>74.849999999997891</v>
      </c>
      <c r="B1505" s="42">
        <f t="shared" si="46"/>
        <v>3.6113049212403432</v>
      </c>
    </row>
    <row r="1506" spans="1:2" x14ac:dyDescent="0.25">
      <c r="A1506" s="34">
        <f t="shared" si="47"/>
        <v>74.899999999997888</v>
      </c>
      <c r="B1506" s="42">
        <f t="shared" si="46"/>
        <v>3.4664613506358943</v>
      </c>
    </row>
    <row r="1507" spans="1:2" x14ac:dyDescent="0.25">
      <c r="A1507" s="34">
        <f t="shared" si="47"/>
        <v>74.949999999997885</v>
      </c>
      <c r="B1507" s="42">
        <f t="shared" si="46"/>
        <v>3.2893481108724605</v>
      </c>
    </row>
    <row r="1508" spans="1:2" x14ac:dyDescent="0.25">
      <c r="A1508" s="34">
        <f t="shared" si="47"/>
        <v>74.999999999997883</v>
      </c>
      <c r="B1508" s="42">
        <f t="shared" si="46"/>
        <v>3.0816502463434894</v>
      </c>
    </row>
    <row r="1509" spans="1:2" x14ac:dyDescent="0.25">
      <c r="A1509" s="34">
        <f t="shared" si="47"/>
        <v>75.04999999999788</v>
      </c>
      <c r="B1509" s="42">
        <f t="shared" si="46"/>
        <v>2.8453384447304044</v>
      </c>
    </row>
    <row r="1510" spans="1:2" x14ac:dyDescent="0.25">
      <c r="A1510" s="34">
        <f t="shared" si="47"/>
        <v>75.099999999997877</v>
      </c>
      <c r="B1510" s="42">
        <f t="shared" si="46"/>
        <v>2.5826502607822448</v>
      </c>
    </row>
    <row r="1511" spans="1:2" x14ac:dyDescent="0.25">
      <c r="A1511" s="34">
        <f t="shared" si="47"/>
        <v>75.149999999997874</v>
      </c>
      <c r="B1511" s="42">
        <f t="shared" si="46"/>
        <v>2.2960688400730045</v>
      </c>
    </row>
    <row r="1512" spans="1:2" x14ac:dyDescent="0.25">
      <c r="A1512" s="34">
        <f t="shared" si="47"/>
        <v>75.199999999997871</v>
      </c>
      <c r="B1512" s="42">
        <f t="shared" si="46"/>
        <v>1.9882993458734637</v>
      </c>
    </row>
    <row r="1513" spans="1:2" x14ac:dyDescent="0.25">
      <c r="A1513" s="34">
        <f t="shared" si="47"/>
        <v>75.249999999997868</v>
      </c>
      <c r="B1513" s="42">
        <f t="shared" si="46"/>
        <v>1.662243313850774</v>
      </c>
    </row>
    <row r="1514" spans="1:2" x14ac:dyDescent="0.25">
      <c r="A1514" s="34">
        <f t="shared" si="47"/>
        <v>75.299999999997866</v>
      </c>
      <c r="B1514" s="42">
        <f t="shared" si="46"/>
        <v>1.3209711787352985</v>
      </c>
    </row>
    <row r="1515" spans="1:2" x14ac:dyDescent="0.25">
      <c r="A1515" s="34">
        <f t="shared" si="47"/>
        <v>75.349999999997863</v>
      </c>
      <c r="B1515" s="42">
        <f t="shared" si="46"/>
        <v>0.96769323418840136</v>
      </c>
    </row>
    <row r="1516" spans="1:2" x14ac:dyDescent="0.25">
      <c r="A1516" s="34">
        <f t="shared" si="47"/>
        <v>75.39999999999786</v>
      </c>
      <c r="B1516" s="42">
        <f t="shared" si="46"/>
        <v>0.60572930170266392</v>
      </c>
    </row>
    <row r="1517" spans="1:2" x14ac:dyDescent="0.25">
      <c r="A1517" s="34">
        <f t="shared" si="47"/>
        <v>75.449999999997857</v>
      </c>
      <c r="B1517" s="42">
        <f t="shared" si="46"/>
        <v>0.23847739633388668</v>
      </c>
    </row>
    <row r="1518" spans="1:2" x14ac:dyDescent="0.25">
      <c r="A1518" s="34">
        <f t="shared" si="47"/>
        <v>75.499999999997854</v>
      </c>
      <c r="B1518" s="42">
        <f t="shared" si="46"/>
        <v>-0.1306183137083855</v>
      </c>
    </row>
    <row r="1519" spans="1:2" x14ac:dyDescent="0.25">
      <c r="A1519" s="34">
        <f t="shared" si="47"/>
        <v>75.549999999997851</v>
      </c>
      <c r="B1519" s="42">
        <f t="shared" si="46"/>
        <v>-0.49809995018790887</v>
      </c>
    </row>
    <row r="1520" spans="1:2" x14ac:dyDescent="0.25">
      <c r="A1520" s="34">
        <f t="shared" si="47"/>
        <v>75.599999999997848</v>
      </c>
      <c r="B1520" s="42">
        <f t="shared" si="46"/>
        <v>-0.86052846374963388</v>
      </c>
    </row>
    <row r="1521" spans="1:2" x14ac:dyDescent="0.25">
      <c r="A1521" s="34">
        <f t="shared" si="47"/>
        <v>75.649999999997846</v>
      </c>
      <c r="B1521" s="42">
        <f t="shared" si="46"/>
        <v>-1.214515961073444</v>
      </c>
    </row>
    <row r="1522" spans="1:2" x14ac:dyDescent="0.25">
      <c r="A1522" s="34">
        <f t="shared" si="47"/>
        <v>75.699999999997843</v>
      </c>
      <c r="B1522" s="42">
        <f t="shared" si="46"/>
        <v>-1.5567575150625694</v>
      </c>
    </row>
    <row r="1523" spans="1:2" x14ac:dyDescent="0.25">
      <c r="A1523" s="34">
        <f t="shared" si="47"/>
        <v>75.74999999999784</v>
      </c>
      <c r="B1523" s="42">
        <f t="shared" si="46"/>
        <v>-1.8840621580719037</v>
      </c>
    </row>
    <row r="1524" spans="1:2" x14ac:dyDescent="0.25">
      <c r="A1524" s="34">
        <f t="shared" si="47"/>
        <v>75.799999999997837</v>
      </c>
      <c r="B1524" s="42">
        <f t="shared" si="46"/>
        <v>-2.1933827662372649</v>
      </c>
    </row>
    <row r="1525" spans="1:2" x14ac:dyDescent="0.25">
      <c r="A1525" s="34">
        <f t="shared" si="47"/>
        <v>75.849999999997834</v>
      </c>
      <c r="B1525" s="42">
        <f t="shared" si="46"/>
        <v>-2.4818445537893634</v>
      </c>
    </row>
    <row r="1526" spans="1:2" x14ac:dyDescent="0.25">
      <c r="A1526" s="34">
        <f t="shared" si="47"/>
        <v>75.899999999997831</v>
      </c>
      <c r="B1526" s="42">
        <f t="shared" si="46"/>
        <v>-2.7467719097088592</v>
      </c>
    </row>
    <row r="1527" spans="1:2" x14ac:dyDescent="0.25">
      <c r="A1527" s="34">
        <f t="shared" si="47"/>
        <v>75.949999999997829</v>
      </c>
      <c r="B1527" s="42">
        <f t="shared" si="46"/>
        <v>-2.9857133250815595</v>
      </c>
    </row>
    <row r="1528" spans="1:2" x14ac:dyDescent="0.25">
      <c r="A1528" s="34">
        <f t="shared" si="47"/>
        <v>75.999999999997826</v>
      </c>
      <c r="B1528" s="42">
        <f t="shared" si="46"/>
        <v>-3.1964641778832839</v>
      </c>
    </row>
    <row r="1529" spans="1:2" x14ac:dyDescent="0.25">
      <c r="A1529" s="34">
        <f t="shared" si="47"/>
        <v>76.049999999997823</v>
      </c>
      <c r="B1529" s="42">
        <f t="shared" si="46"/>
        <v>-3.3770871624860659</v>
      </c>
    </row>
    <row r="1530" spans="1:2" x14ac:dyDescent="0.25">
      <c r="A1530" s="34">
        <f t="shared" si="47"/>
        <v>76.09999999999782</v>
      </c>
      <c r="B1530" s="42">
        <f t="shared" si="46"/>
        <v>-3.5259301737366693</v>
      </c>
    </row>
    <row r="1531" spans="1:2" x14ac:dyDescent="0.25">
      <c r="A1531" s="34">
        <f t="shared" si="47"/>
        <v>76.149999999997817</v>
      </c>
      <c r="B1531" s="42">
        <f t="shared" si="46"/>
        <v>-3.6416414797938321</v>
      </c>
    </row>
    <row r="1532" spans="1:2" x14ac:dyDescent="0.25">
      <c r="A1532" s="34">
        <f t="shared" si="47"/>
        <v>76.199999999997814</v>
      </c>
      <c r="B1532" s="42">
        <f t="shared" si="46"/>
        <v>-3.7231820437895093</v>
      </c>
    </row>
    <row r="1533" spans="1:2" x14ac:dyDescent="0.25">
      <c r="A1533" s="34">
        <f t="shared" si="47"/>
        <v>76.249999999997812</v>
      </c>
      <c r="B1533" s="42">
        <f t="shared" si="46"/>
        <v>-3.7698348815565224</v>
      </c>
    </row>
    <row r="1534" spans="1:2" x14ac:dyDescent="0.25">
      <c r="A1534" s="34">
        <f t="shared" si="47"/>
        <v>76.299999999997809</v>
      </c>
      <c r="B1534" s="42">
        <f t="shared" si="46"/>
        <v>-3.781211370876723</v>
      </c>
    </row>
    <row r="1535" spans="1:2" x14ac:dyDescent="0.25">
      <c r="A1535" s="34">
        <f t="shared" si="47"/>
        <v>76.349999999997806</v>
      </c>
      <c r="B1535" s="42">
        <f t="shared" si="46"/>
        <v>-3.7572544566818209</v>
      </c>
    </row>
    <row r="1536" spans="1:2" x14ac:dyDescent="0.25">
      <c r="A1536" s="34">
        <f t="shared" si="47"/>
        <v>76.399999999997803</v>
      </c>
      <c r="B1536" s="42">
        <f t="shared" si="46"/>
        <v>-3.6982387261081588</v>
      </c>
    </row>
    <row r="1537" spans="1:2" x14ac:dyDescent="0.25">
      <c r="A1537" s="34">
        <f t="shared" si="47"/>
        <v>76.4499999999978</v>
      </c>
      <c r="B1537" s="42">
        <f t="shared" si="46"/>
        <v>-3.6047673569837722</v>
      </c>
    </row>
    <row r="1538" spans="1:2" x14ac:dyDescent="0.25">
      <c r="A1538" s="34">
        <f t="shared" si="47"/>
        <v>76.499999999997797</v>
      </c>
      <c r="B1538" s="42">
        <f t="shared" si="46"/>
        <v>-3.4777659729296815</v>
      </c>
    </row>
    <row r="1539" spans="1:2" x14ac:dyDescent="0.25">
      <c r="A1539" s="34">
        <f t="shared" si="47"/>
        <v>76.549999999997794</v>
      </c>
      <c r="B1539" s="42">
        <f t="shared" si="46"/>
        <v>-3.3184734675064416</v>
      </c>
    </row>
    <row r="1540" spans="1:2" x14ac:dyDescent="0.25">
      <c r="A1540" s="34">
        <f t="shared" si="47"/>
        <v>76.599999999997792</v>
      </c>
      <c r="B1540" s="42">
        <f t="shared" si="46"/>
        <v>-3.1284298884524335</v>
      </c>
    </row>
    <row r="1541" spans="1:2" x14ac:dyDescent="0.25">
      <c r="A1541" s="34">
        <f t="shared" si="47"/>
        <v>76.649999999997789</v>
      </c>
      <c r="B1541" s="42">
        <f t="shared" si="46"/>
        <v>-2.9094615007724354</v>
      </c>
    </row>
    <row r="1542" spans="1:2" x14ac:dyDescent="0.25">
      <c r="A1542" s="34">
        <f t="shared" si="47"/>
        <v>76.699999999997786</v>
      </c>
      <c r="B1542" s="42">
        <f t="shared" si="46"/>
        <v>-2.6636631739801286</v>
      </c>
    </row>
    <row r="1543" spans="1:2" x14ac:dyDescent="0.25">
      <c r="A1543" s="34">
        <f t="shared" si="47"/>
        <v>76.749999999997783</v>
      </c>
      <c r="B1543" s="42">
        <f t="shared" si="46"/>
        <v>-2.3933782639256815</v>
      </c>
    </row>
    <row r="1544" spans="1:2" x14ac:dyDescent="0.25">
      <c r="A1544" s="34">
        <f t="shared" si="47"/>
        <v>76.79999999999778</v>
      </c>
      <c r="B1544" s="42">
        <f t="shared" ref="B1544:B1607" si="48">-A1_x*SIN(p_x*A1544)+A2_x*SIN(w_x*A1544)</f>
        <v>-2.1011761831137643</v>
      </c>
    </row>
    <row r="1545" spans="1:2" x14ac:dyDescent="0.25">
      <c r="A1545" s="34">
        <f t="shared" ref="A1545:A1608" si="49">A1544+$A$6</f>
        <v>76.849999999997777</v>
      </c>
      <c r="B1545" s="42">
        <f t="shared" si="48"/>
        <v>-1.7898278750150292</v>
      </c>
    </row>
    <row r="1546" spans="1:2" x14ac:dyDescent="0.25">
      <c r="A1546" s="34">
        <f t="shared" si="49"/>
        <v>76.899999999997775</v>
      </c>
      <c r="B1546" s="42">
        <f t="shared" si="48"/>
        <v>-1.4622794273939923</v>
      </c>
    </row>
    <row r="1547" spans="1:2" x14ac:dyDescent="0.25">
      <c r="A1547" s="34">
        <f t="shared" si="49"/>
        <v>76.949999999997772</v>
      </c>
      <c r="B1547" s="42">
        <f t="shared" si="48"/>
        <v>-1.1216240769369716</v>
      </c>
    </row>
    <row r="1548" spans="1:2" x14ac:dyDescent="0.25">
      <c r="A1548" s="34">
        <f t="shared" si="49"/>
        <v>76.999999999997769</v>
      </c>
      <c r="B1548" s="42">
        <f t="shared" si="48"/>
        <v>-0.77107287230110599</v>
      </c>
    </row>
    <row r="1549" spans="1:2" x14ac:dyDescent="0.25">
      <c r="A1549" s="34">
        <f t="shared" si="49"/>
        <v>77.049999999997766</v>
      </c>
      <c r="B1549" s="42">
        <f t="shared" si="48"/>
        <v>-0.41392427498466872</v>
      </c>
    </row>
    <row r="1550" spans="1:2" x14ac:dyDescent="0.25">
      <c r="A1550" s="34">
        <f t="shared" si="49"/>
        <v>77.099999999997763</v>
      </c>
      <c r="B1550" s="42">
        <f t="shared" si="48"/>
        <v>-5.3532987028007073E-2</v>
      </c>
    </row>
    <row r="1551" spans="1:2" x14ac:dyDescent="0.25">
      <c r="A1551" s="34">
        <f t="shared" si="49"/>
        <v>77.14999999999776</v>
      </c>
      <c r="B1551" s="42">
        <f t="shared" si="48"/>
        <v>0.30672169859789566</v>
      </c>
    </row>
    <row r="1552" spans="1:2" x14ac:dyDescent="0.25">
      <c r="A1552" s="34">
        <f t="shared" si="49"/>
        <v>77.199999999997758</v>
      </c>
      <c r="B1552" s="42">
        <f t="shared" si="48"/>
        <v>0.66346772502919105</v>
      </c>
    </row>
    <row r="1553" spans="1:2" x14ac:dyDescent="0.25">
      <c r="A1553" s="34">
        <f t="shared" si="49"/>
        <v>77.249999999997755</v>
      </c>
      <c r="B1553" s="42">
        <f t="shared" si="48"/>
        <v>1.0133719749099248</v>
      </c>
    </row>
    <row r="1554" spans="1:2" x14ac:dyDescent="0.25">
      <c r="A1554" s="34">
        <f t="shared" si="49"/>
        <v>77.299999999997752</v>
      </c>
      <c r="B1554" s="42">
        <f t="shared" si="48"/>
        <v>1.3531715507780795</v>
      </c>
    </row>
    <row r="1555" spans="1:2" x14ac:dyDescent="0.25">
      <c r="A1555" s="34">
        <f t="shared" si="49"/>
        <v>77.349999999997749</v>
      </c>
      <c r="B1555" s="42">
        <f t="shared" si="48"/>
        <v>1.6797043375826841</v>
      </c>
    </row>
    <row r="1556" spans="1:2" x14ac:dyDescent="0.25">
      <c r="A1556" s="34">
        <f t="shared" si="49"/>
        <v>77.399999999997746</v>
      </c>
      <c r="B1556" s="42">
        <f t="shared" si="48"/>
        <v>1.9899385597910504</v>
      </c>
    </row>
    <row r="1557" spans="1:2" x14ac:dyDescent="0.25">
      <c r="A1557" s="34">
        <f t="shared" si="49"/>
        <v>77.449999999997743</v>
      </c>
      <c r="B1557" s="42">
        <f t="shared" si="48"/>
        <v>2.2810010555787037</v>
      </c>
    </row>
    <row r="1558" spans="1:2" x14ac:dyDescent="0.25">
      <c r="A1558" s="34">
        <f t="shared" si="49"/>
        <v>77.49999999999774</v>
      </c>
      <c r="B1558" s="42">
        <f t="shared" si="48"/>
        <v>2.5502040032434565</v>
      </c>
    </row>
    <row r="1559" spans="1:2" x14ac:dyDescent="0.25">
      <c r="A1559" s="34">
        <f t="shared" si="49"/>
        <v>77.549999999997738</v>
      </c>
      <c r="B1559" s="42">
        <f t="shared" si="48"/>
        <v>2.7950698501246034</v>
      </c>
    </row>
    <row r="1560" spans="1:2" x14ac:dyDescent="0.25">
      <c r="A1560" s="34">
        <f t="shared" si="49"/>
        <v>77.599999999997735</v>
      </c>
      <c r="B1560" s="42">
        <f t="shared" si="48"/>
        <v>3.0133542117944057</v>
      </c>
    </row>
    <row r="1561" spans="1:2" x14ac:dyDescent="0.25">
      <c r="A1561" s="34">
        <f t="shared" si="49"/>
        <v>77.649999999997732</v>
      </c>
      <c r="B1561" s="42">
        <f t="shared" si="48"/>
        <v>3.2030665289466009</v>
      </c>
    </row>
    <row r="1562" spans="1:2" x14ac:dyDescent="0.25">
      <c r="A1562" s="34">
        <f t="shared" si="49"/>
        <v>77.699999999997729</v>
      </c>
      <c r="B1562" s="42">
        <f t="shared" si="48"/>
        <v>3.3624882910452447</v>
      </c>
    </row>
    <row r="1563" spans="1:2" x14ac:dyDescent="0.25">
      <c r="A1563" s="34">
        <f t="shared" si="49"/>
        <v>77.749999999997726</v>
      </c>
      <c r="B1563" s="42">
        <f t="shared" si="48"/>
        <v>3.490188659211011</v>
      </c>
    </row>
    <row r="1564" spans="1:2" x14ac:dyDescent="0.25">
      <c r="A1564" s="34">
        <f t="shared" si="49"/>
        <v>77.799999999997723</v>
      </c>
      <c r="B1564" s="42">
        <f t="shared" si="48"/>
        <v>3.5850373457808189</v>
      </c>
    </row>
    <row r="1565" spans="1:2" x14ac:dyDescent="0.25">
      <c r="A1565" s="34">
        <f t="shared" si="49"/>
        <v>77.849999999997721</v>
      </c>
      <c r="B1565" s="42">
        <f t="shared" si="48"/>
        <v>3.6462146342405015</v>
      </c>
    </row>
    <row r="1566" spans="1:2" x14ac:dyDescent="0.25">
      <c r="A1566" s="34">
        <f t="shared" si="49"/>
        <v>77.899999999997718</v>
      </c>
      <c r="B1566" s="42">
        <f t="shared" si="48"/>
        <v>3.6732184505509475</v>
      </c>
    </row>
    <row r="1567" spans="1:2" x14ac:dyDescent="0.25">
      <c r="A1567" s="34">
        <f t="shared" si="49"/>
        <v>77.949999999997715</v>
      </c>
      <c r="B1567" s="42">
        <f t="shared" si="48"/>
        <v>3.6658684249967335</v>
      </c>
    </row>
    <row r="1568" spans="1:2" x14ac:dyDescent="0.25">
      <c r="A1568" s="34">
        <f t="shared" si="49"/>
        <v>77.999999999997712</v>
      </c>
      <c r="B1568" s="42">
        <f t="shared" si="48"/>
        <v>3.6243069123206215</v>
      </c>
    </row>
    <row r="1569" spans="1:2" x14ac:dyDescent="0.25">
      <c r="A1569" s="34">
        <f t="shared" si="49"/>
        <v>78.049999999997709</v>
      </c>
      <c r="B1569" s="42">
        <f t="shared" si="48"/>
        <v>3.5489969667891721</v>
      </c>
    </row>
    <row r="1570" spans="1:2" x14ac:dyDescent="0.25">
      <c r="A1570" s="34">
        <f t="shared" si="49"/>
        <v>78.099999999997706</v>
      </c>
      <c r="B1570" s="42">
        <f t="shared" si="48"/>
        <v>3.4407172976903073</v>
      </c>
    </row>
    <row r="1571" spans="1:2" x14ac:dyDescent="0.25">
      <c r="A1571" s="34">
        <f t="shared" si="49"/>
        <v>78.149999999997704</v>
      </c>
      <c r="B1571" s="42">
        <f t="shared" si="48"/>
        <v>3.3005542593193256</v>
      </c>
    </row>
    <row r="1572" spans="1:2" x14ac:dyDescent="0.25">
      <c r="A1572" s="34">
        <f t="shared" si="49"/>
        <v>78.199999999997701</v>
      </c>
      <c r="B1572" s="42">
        <f t="shared" si="48"/>
        <v>3.1298909574925387</v>
      </c>
    </row>
    <row r="1573" spans="1:2" x14ac:dyDescent="0.25">
      <c r="A1573" s="34">
        <f t="shared" si="49"/>
        <v>78.249999999997698</v>
      </c>
      <c r="B1573" s="42">
        <f t="shared" si="48"/>
        <v>2.9303935817735614</v>
      </c>
    </row>
    <row r="1574" spans="1:2" x14ac:dyDescent="0.25">
      <c r="A1574" s="34">
        <f t="shared" si="49"/>
        <v>78.299999999997695</v>
      </c>
      <c r="B1574" s="42">
        <f t="shared" si="48"/>
        <v>2.7039950986493118</v>
      </c>
    </row>
    <row r="1575" spans="1:2" x14ac:dyDescent="0.25">
      <c r="A1575" s="34">
        <f t="shared" si="49"/>
        <v>78.349999999997692</v>
      </c>
      <c r="B1575" s="42">
        <f t="shared" si="48"/>
        <v>2.452876465604616</v>
      </c>
    </row>
    <row r="1576" spans="1:2" x14ac:dyDescent="0.25">
      <c r="A1576" s="34">
        <f t="shared" si="49"/>
        <v>78.399999999997689</v>
      </c>
      <c r="B1576" s="42">
        <f t="shared" si="48"/>
        <v>2.1794455491849809</v>
      </c>
    </row>
    <row r="1577" spans="1:2" x14ac:dyDescent="0.25">
      <c r="A1577" s="34">
        <f t="shared" si="49"/>
        <v>78.449999999997686</v>
      </c>
      <c r="B1577" s="42">
        <f t="shared" si="48"/>
        <v>1.8863139514879381</v>
      </c>
    </row>
    <row r="1578" spans="1:2" x14ac:dyDescent="0.25">
      <c r="A1578" s="34">
        <f t="shared" si="49"/>
        <v>78.499999999997684</v>
      </c>
      <c r="B1578" s="42">
        <f t="shared" si="48"/>
        <v>1.5762719688856586</v>
      </c>
    </row>
    <row r="1579" spans="1:2" x14ac:dyDescent="0.25">
      <c r="A1579" s="34">
        <f t="shared" si="49"/>
        <v>78.549999999997681</v>
      </c>
      <c r="B1579" s="42">
        <f t="shared" si="48"/>
        <v>1.2522619239766097</v>
      </c>
    </row>
    <row r="1580" spans="1:2" x14ac:dyDescent="0.25">
      <c r="A1580" s="34">
        <f t="shared" si="49"/>
        <v>78.599999999997678</v>
      </c>
      <c r="B1580" s="42">
        <f t="shared" si="48"/>
        <v>0.9173501266300188</v>
      </c>
    </row>
    <row r="1581" spans="1:2" x14ac:dyDescent="0.25">
      <c r="A1581" s="34">
        <f t="shared" si="49"/>
        <v>78.649999999997675</v>
      </c>
      <c r="B1581" s="42">
        <f t="shared" si="48"/>
        <v>0.574697732389434</v>
      </c>
    </row>
    <row r="1582" spans="1:2" x14ac:dyDescent="0.25">
      <c r="A1582" s="34">
        <f t="shared" si="49"/>
        <v>78.699999999997672</v>
      </c>
      <c r="B1582" s="42">
        <f t="shared" si="48"/>
        <v>0.22753077632923646</v>
      </c>
    </row>
    <row r="1583" spans="1:2" x14ac:dyDescent="0.25">
      <c r="A1583" s="34">
        <f t="shared" si="49"/>
        <v>78.749999999997669</v>
      </c>
      <c r="B1583" s="42">
        <f t="shared" si="48"/>
        <v>-0.12089033238100122</v>
      </c>
    </row>
    <row r="1584" spans="1:2" x14ac:dyDescent="0.25">
      <c r="A1584" s="34">
        <f t="shared" si="49"/>
        <v>78.799999999997667</v>
      </c>
      <c r="B1584" s="42">
        <f t="shared" si="48"/>
        <v>-0.46730156551393726</v>
      </c>
    </row>
    <row r="1585" spans="1:2" x14ac:dyDescent="0.25">
      <c r="A1585" s="34">
        <f t="shared" si="49"/>
        <v>78.849999999997664</v>
      </c>
      <c r="B1585" s="42">
        <f t="shared" si="48"/>
        <v>-0.80846598905852618</v>
      </c>
    </row>
    <row r="1586" spans="1:2" x14ac:dyDescent="0.25">
      <c r="A1586" s="34">
        <f t="shared" si="49"/>
        <v>78.899999999997661</v>
      </c>
      <c r="B1586" s="42">
        <f t="shared" si="48"/>
        <v>-1.1412041444655414</v>
      </c>
    </row>
    <row r="1587" spans="1:2" x14ac:dyDescent="0.25">
      <c r="A1587" s="34">
        <f t="shared" si="49"/>
        <v>78.949999999997658</v>
      </c>
      <c r="B1587" s="42">
        <f t="shared" si="48"/>
        <v>-1.4624238114531056</v>
      </c>
    </row>
    <row r="1588" spans="1:2" x14ac:dyDescent="0.25">
      <c r="A1588" s="34">
        <f t="shared" si="49"/>
        <v>78.999999999997655</v>
      </c>
      <c r="B1588" s="42">
        <f t="shared" si="48"/>
        <v>-1.7691488725246272</v>
      </c>
    </row>
    <row r="1589" spans="1:2" x14ac:dyDescent="0.25">
      <c r="A1589" s="34">
        <f t="shared" si="49"/>
        <v>79.049999999997652</v>
      </c>
      <c r="B1589" s="42">
        <f t="shared" si="48"/>
        <v>-2.0585470085613076</v>
      </c>
    </row>
    <row r="1590" spans="1:2" x14ac:dyDescent="0.25">
      <c r="A1590" s="34">
        <f t="shared" si="49"/>
        <v>79.09999999999765</v>
      </c>
      <c r="B1590" s="42">
        <f t="shared" si="48"/>
        <v>-2.3279559666084109</v>
      </c>
    </row>
    <row r="1591" spans="1:2" x14ac:dyDescent="0.25">
      <c r="A1591" s="34">
        <f t="shared" si="49"/>
        <v>79.149999999997647</v>
      </c>
      <c r="B1591" s="42">
        <f t="shared" si="48"/>
        <v>-2.5749081551606205</v>
      </c>
    </row>
    <row r="1592" spans="1:2" x14ac:dyDescent="0.25">
      <c r="A1592" s="34">
        <f t="shared" si="49"/>
        <v>79.199999999997644</v>
      </c>
      <c r="B1592" s="42">
        <f t="shared" si="48"/>
        <v>-2.7971533387306011</v>
      </c>
    </row>
    <row r="1593" spans="1:2" x14ac:dyDescent="0.25">
      <c r="A1593" s="34">
        <f t="shared" si="49"/>
        <v>79.249999999997641</v>
      </c>
      <c r="B1593" s="42">
        <f t="shared" si="48"/>
        <v>-2.9926792220889809</v>
      </c>
    </row>
    <row r="1594" spans="1:2" x14ac:dyDescent="0.25">
      <c r="A1594" s="34">
        <f t="shared" si="49"/>
        <v>79.299999999997638</v>
      </c>
      <c r="B1594" s="42">
        <f t="shared" si="48"/>
        <v>-3.1597297351112519</v>
      </c>
    </row>
    <row r="1595" spans="1:2" x14ac:dyDescent="0.25">
      <c r="A1595" s="34">
        <f t="shared" si="49"/>
        <v>79.349999999997635</v>
      </c>
      <c r="B1595" s="42">
        <f t="shared" si="48"/>
        <v>-3.2968208514610993</v>
      </c>
    </row>
    <row r="1596" spans="1:2" x14ac:dyDescent="0.25">
      <c r="A1596" s="34">
        <f t="shared" si="49"/>
        <v>79.399999999997632</v>
      </c>
      <c r="B1596" s="42">
        <f t="shared" si="48"/>
        <v>-3.402753798159079</v>
      </c>
    </row>
    <row r="1597" spans="1:2" x14ac:dyDescent="0.25">
      <c r="A1597" s="34">
        <f t="shared" si="49"/>
        <v>79.44999999999763</v>
      </c>
      <c r="B1597" s="42">
        <f t="shared" si="48"/>
        <v>-3.4766255382002718</v>
      </c>
    </row>
    <row r="1598" spans="1:2" x14ac:dyDescent="0.25">
      <c r="A1598" s="34">
        <f t="shared" si="49"/>
        <v>79.499999999997627</v>
      </c>
      <c r="B1598" s="42">
        <f t="shared" si="48"/>
        <v>-3.5178364345553703</v>
      </c>
    </row>
    <row r="1599" spans="1:2" x14ac:dyDescent="0.25">
      <c r="A1599" s="34">
        <f t="shared" si="49"/>
        <v>79.549999999997624</v>
      </c>
      <c r="B1599" s="42">
        <f t="shared" si="48"/>
        <v>-3.5260950308604788</v>
      </c>
    </row>
    <row r="1600" spans="1:2" x14ac:dyDescent="0.25">
      <c r="A1600" s="34">
        <f t="shared" si="49"/>
        <v>79.599999999997621</v>
      </c>
      <c r="B1600" s="42">
        <f t="shared" si="48"/>
        <v>-3.5014199116137226</v>
      </c>
    </row>
    <row r="1601" spans="1:2" x14ac:dyDescent="0.25">
      <c r="A1601" s="34">
        <f t="shared" si="49"/>
        <v>79.649999999997618</v>
      </c>
      <c r="B1601" s="42">
        <f t="shared" si="48"/>
        <v>-3.4441386324903673</v>
      </c>
    </row>
    <row r="1602" spans="1:2" x14ac:dyDescent="0.25">
      <c r="A1602" s="34">
        <f t="shared" si="49"/>
        <v>79.699999999997615</v>
      </c>
      <c r="B1602" s="42">
        <f t="shared" si="48"/>
        <v>-3.3548837391937578</v>
      </c>
    </row>
    <row r="1603" spans="1:2" x14ac:dyDescent="0.25">
      <c r="A1603" s="34">
        <f t="shared" si="49"/>
        <v>79.749999999997613</v>
      </c>
      <c r="B1603" s="42">
        <f t="shared" si="48"/>
        <v>-3.2345859208133563</v>
      </c>
    </row>
    <row r="1604" spans="1:2" x14ac:dyDescent="0.25">
      <c r="A1604" s="34">
        <f t="shared" si="49"/>
        <v>79.79999999999761</v>
      </c>
      <c r="B1604" s="42">
        <f t="shared" si="48"/>
        <v>-3.0844643707026584</v>
      </c>
    </row>
    <row r="1605" spans="1:2" x14ac:dyDescent="0.25">
      <c r="A1605" s="34">
        <f t="shared" si="49"/>
        <v>79.849999999997607</v>
      </c>
      <c r="B1605" s="42">
        <f t="shared" si="48"/>
        <v>-2.9060144541605233</v>
      </c>
    </row>
    <row r="1606" spans="1:2" x14ac:dyDescent="0.25">
      <c r="A1606" s="34">
        <f t="shared" si="49"/>
        <v>79.899999999997604</v>
      </c>
      <c r="B1606" s="42">
        <f t="shared" si="48"/>
        <v>-2.7009928074526361</v>
      </c>
    </row>
    <row r="1607" spans="1:2" x14ac:dyDescent="0.25">
      <c r="A1607" s="34">
        <f t="shared" si="49"/>
        <v>79.949999999997601</v>
      </c>
      <c r="B1607" s="42">
        <f t="shared" si="48"/>
        <v>-2.471400016707074</v>
      </c>
    </row>
    <row r="1608" spans="1:2" x14ac:dyDescent="0.25">
      <c r="A1608" s="34">
        <f t="shared" si="49"/>
        <v>79.999999999997598</v>
      </c>
      <c r="B1608" s="42">
        <f t="shared" ref="B1608:B1671" si="50">-A1_x*SIN(p_x*A1608)+A2_x*SIN(w_x*A1608)</f>
        <v>-2.2194610477343057</v>
      </c>
    </row>
    <row r="1609" spans="1:2" x14ac:dyDescent="0.25">
      <c r="A1609" s="34">
        <f t="shared" ref="A1609:A1672" si="51">A1608+$A$6</f>
        <v>80.049999999997596</v>
      </c>
      <c r="B1609" s="42">
        <f t="shared" si="50"/>
        <v>-1.9476036186467427</v>
      </c>
    </row>
    <row r="1610" spans="1:2" x14ac:dyDescent="0.25">
      <c r="A1610" s="34">
        <f t="shared" si="51"/>
        <v>80.099999999997593</v>
      </c>
      <c r="B1610" s="42">
        <f t="shared" si="50"/>
        <v>-1.658434726092272</v>
      </c>
    </row>
    <row r="1611" spans="1:2" x14ac:dyDescent="0.25">
      <c r="A1611" s="34">
        <f t="shared" si="51"/>
        <v>80.14999999999759</v>
      </c>
      <c r="B1611" s="42">
        <f t="shared" si="50"/>
        <v>-1.3547155527963661</v>
      </c>
    </row>
    <row r="1612" spans="1:2" x14ac:dyDescent="0.25">
      <c r="A1612" s="34">
        <f t="shared" si="51"/>
        <v>80.199999999997587</v>
      </c>
      <c r="B1612" s="42">
        <f t="shared" si="50"/>
        <v>-1.0393349987711373</v>
      </c>
    </row>
    <row r="1613" spans="1:2" x14ac:dyDescent="0.25">
      <c r="A1613" s="34">
        <f t="shared" si="51"/>
        <v>80.249999999997584</v>
      </c>
      <c r="B1613" s="42">
        <f t="shared" si="50"/>
        <v>-0.71528209086517835</v>
      </c>
    </row>
    <row r="1614" spans="1:2" x14ac:dyDescent="0.25">
      <c r="A1614" s="34">
        <f t="shared" si="51"/>
        <v>80.299999999997581</v>
      </c>
      <c r="B1614" s="42">
        <f t="shared" si="50"/>
        <v>-0.38561753518588182</v>
      </c>
    </row>
    <row r="1615" spans="1:2" x14ac:dyDescent="0.25">
      <c r="A1615" s="34">
        <f t="shared" si="51"/>
        <v>80.349999999997578</v>
      </c>
      <c r="B1615" s="42">
        <f t="shared" si="50"/>
        <v>-5.3444684236168216E-2</v>
      </c>
    </row>
    <row r="1616" spans="1:2" x14ac:dyDescent="0.25">
      <c r="A1616" s="34">
        <f t="shared" si="51"/>
        <v>80.399999999997576</v>
      </c>
      <c r="B1616" s="42">
        <f t="shared" si="50"/>
        <v>0.27811980468934905</v>
      </c>
    </row>
    <row r="1617" spans="1:2" x14ac:dyDescent="0.25">
      <c r="A1617" s="34">
        <f t="shared" si="51"/>
        <v>80.449999999997573</v>
      </c>
      <c r="B1617" s="42">
        <f t="shared" si="50"/>
        <v>0.60597534124379471</v>
      </c>
    </row>
    <row r="1618" spans="1:2" x14ac:dyDescent="0.25">
      <c r="A1618" s="34">
        <f t="shared" si="51"/>
        <v>80.49999999999757</v>
      </c>
      <c r="B1618" s="42">
        <f t="shared" si="50"/>
        <v>0.9270665258970372</v>
      </c>
    </row>
    <row r="1619" spans="1:2" x14ac:dyDescent="0.25">
      <c r="A1619" s="34">
        <f t="shared" si="51"/>
        <v>80.549999999997567</v>
      </c>
      <c r="B1619" s="42">
        <f t="shared" si="50"/>
        <v>1.2384117511686832</v>
      </c>
    </row>
    <row r="1620" spans="1:2" x14ac:dyDescent="0.25">
      <c r="A1620" s="34">
        <f t="shared" si="51"/>
        <v>80.599999999997564</v>
      </c>
      <c r="B1620" s="42">
        <f t="shared" si="50"/>
        <v>1.5371310113016927</v>
      </c>
    </row>
    <row r="1621" spans="1:2" x14ac:dyDescent="0.25">
      <c r="A1621" s="34">
        <f t="shared" si="51"/>
        <v>80.649999999997561</v>
      </c>
      <c r="B1621" s="42">
        <f t="shared" si="50"/>
        <v>1.8204726598380387</v>
      </c>
    </row>
    <row r="1622" spans="1:2" x14ac:dyDescent="0.25">
      <c r="A1622" s="34">
        <f t="shared" si="51"/>
        <v>80.699999999997559</v>
      </c>
      <c r="B1622" s="42">
        <f t="shared" si="50"/>
        <v>2.0858388653930025</v>
      </c>
    </row>
    <row r="1623" spans="1:2" x14ac:dyDescent="0.25">
      <c r="A1623" s="34">
        <f t="shared" si="51"/>
        <v>80.749999999997556</v>
      </c>
      <c r="B1623" s="42">
        <f t="shared" si="50"/>
        <v>2.3308095290988726</v>
      </c>
    </row>
    <row r="1624" spans="1:2" x14ac:dyDescent="0.25">
      <c r="A1624" s="34">
        <f t="shared" si="51"/>
        <v>80.799999999997553</v>
      </c>
      <c r="B1624" s="42">
        <f t="shared" si="50"/>
        <v>2.5531644425736104</v>
      </c>
    </row>
    <row r="1625" spans="1:2" x14ac:dyDescent="0.25">
      <c r="A1625" s="34">
        <f t="shared" si="51"/>
        <v>80.84999999999755</v>
      </c>
      <c r="B1625" s="42">
        <f t="shared" si="50"/>
        <v>2.7509034827069971</v>
      </c>
    </row>
    <row r="1626" spans="1:2" x14ac:dyDescent="0.25">
      <c r="A1626" s="34">
        <f t="shared" si="51"/>
        <v>80.899999999997547</v>
      </c>
      <c r="B1626" s="42">
        <f t="shared" si="50"/>
        <v>2.9222646588729564</v>
      </c>
    </row>
    <row r="1627" spans="1:2" x14ac:dyDescent="0.25">
      <c r="A1627" s="34">
        <f t="shared" si="51"/>
        <v>80.949999999997544</v>
      </c>
      <c r="B1627" s="42">
        <f t="shared" si="50"/>
        <v>3.0657398491863379</v>
      </c>
    </row>
    <row r="1628" spans="1:2" x14ac:dyDescent="0.25">
      <c r="A1628" s="34">
        <f t="shared" si="51"/>
        <v>80.999999999997542</v>
      </c>
      <c r="B1628" s="42">
        <f t="shared" si="50"/>
        <v>3.1800880849146509</v>
      </c>
    </row>
    <row r="1629" spans="1:2" x14ac:dyDescent="0.25">
      <c r="A1629" s="34">
        <f t="shared" si="51"/>
        <v>81.049999999997539</v>
      </c>
      <c r="B1629" s="42">
        <f t="shared" si="50"/>
        <v>3.2643462659111657</v>
      </c>
    </row>
    <row r="1630" spans="1:2" x14ac:dyDescent="0.25">
      <c r="A1630" s="34">
        <f t="shared" si="51"/>
        <v>81.099999999997536</v>
      </c>
      <c r="B1630" s="42">
        <f t="shared" si="50"/>
        <v>3.3178372147283506</v>
      </c>
    </row>
    <row r="1631" spans="1:2" x14ac:dyDescent="0.25">
      <c r="A1631" s="34">
        <f t="shared" si="51"/>
        <v>81.149999999997533</v>
      </c>
      <c r="B1631" s="42">
        <f t="shared" si="50"/>
        <v>3.3401750026554575</v>
      </c>
    </row>
    <row r="1632" spans="1:2" x14ac:dyDescent="0.25">
      <c r="A1632" s="34">
        <f t="shared" si="51"/>
        <v>81.19999999999753</v>
      </c>
      <c r="B1632" s="42">
        <f t="shared" si="50"/>
        <v>3.3312675070551792</v>
      </c>
    </row>
    <row r="1633" spans="1:2" x14ac:dyDescent="0.25">
      <c r="A1633" s="34">
        <f t="shared" si="51"/>
        <v>81.249999999997527</v>
      </c>
      <c r="B1633" s="42">
        <f t="shared" si="50"/>
        <v>3.2913161858034203</v>
      </c>
    </row>
    <row r="1634" spans="1:2" x14ac:dyDescent="0.25">
      <c r="A1634" s="34">
        <f t="shared" si="51"/>
        <v>81.299999999997524</v>
      </c>
      <c r="B1634" s="42">
        <f t="shared" si="50"/>
        <v>3.2208130811064066</v>
      </c>
    </row>
    <row r="1635" spans="1:2" x14ac:dyDescent="0.25">
      <c r="A1635" s="34">
        <f t="shared" si="51"/>
        <v>81.349999999997522</v>
      </c>
      <c r="B1635" s="42">
        <f t="shared" si="50"/>
        <v>3.120535091228974</v>
      </c>
    </row>
    <row r="1636" spans="1:2" x14ac:dyDescent="0.25">
      <c r="A1636" s="34">
        <f t="shared" si="51"/>
        <v>81.399999999997519</v>
      </c>
      <c r="B1636" s="42">
        <f t="shared" si="50"/>
        <v>2.9915355744687382</v>
      </c>
    </row>
    <row r="1637" spans="1:2" x14ac:dyDescent="0.25">
      <c r="A1637" s="34">
        <f t="shared" si="51"/>
        <v>81.449999999997516</v>
      </c>
      <c r="B1637" s="42">
        <f t="shared" si="50"/>
        <v>2.8351333748057059</v>
      </c>
    </row>
    <row r="1638" spans="1:2" x14ac:dyDescent="0.25">
      <c r="A1638" s="34">
        <f t="shared" si="51"/>
        <v>81.499999999997513</v>
      </c>
      <c r="B1638" s="42">
        <f t="shared" si="50"/>
        <v>2.6528993828097871</v>
      </c>
    </row>
    <row r="1639" spans="1:2" x14ac:dyDescent="0.25">
      <c r="A1639" s="34">
        <f t="shared" si="51"/>
        <v>81.54999999999751</v>
      </c>
      <c r="B1639" s="42">
        <f t="shared" si="50"/>
        <v>2.4466407683730993</v>
      </c>
    </row>
    <row r="1640" spans="1:2" x14ac:dyDescent="0.25">
      <c r="A1640" s="34">
        <f t="shared" si="51"/>
        <v>81.599999999997507</v>
      </c>
      <c r="B1640" s="42">
        <f t="shared" si="50"/>
        <v>2.2183830434329592</v>
      </c>
    </row>
    <row r="1641" spans="1:2" x14ac:dyDescent="0.25">
      <c r="A1641" s="34">
        <f t="shared" si="51"/>
        <v>81.649999999997505</v>
      </c>
      <c r="B1641" s="42">
        <f t="shared" si="50"/>
        <v>1.9703501328652564</v>
      </c>
    </row>
    <row r="1642" spans="1:2" x14ac:dyDescent="0.25">
      <c r="A1642" s="34">
        <f t="shared" si="51"/>
        <v>81.699999999997502</v>
      </c>
      <c r="B1642" s="42">
        <f t="shared" si="50"/>
        <v>1.7049426499703508</v>
      </c>
    </row>
    <row r="1643" spans="1:2" x14ac:dyDescent="0.25">
      <c r="A1643" s="34">
        <f t="shared" si="51"/>
        <v>81.749999999997499</v>
      </c>
      <c r="B1643" s="42">
        <f t="shared" si="50"/>
        <v>1.4247145892767148</v>
      </c>
    </row>
    <row r="1644" spans="1:2" x14ac:dyDescent="0.25">
      <c r="A1644" s="34">
        <f t="shared" si="51"/>
        <v>81.799999999997496</v>
      </c>
      <c r="B1644" s="42">
        <f t="shared" si="50"/>
        <v>1.1323486636040845</v>
      </c>
    </row>
    <row r="1645" spans="1:2" x14ac:dyDescent="0.25">
      <c r="A1645" s="34">
        <f t="shared" si="51"/>
        <v>81.849999999997493</v>
      </c>
      <c r="B1645" s="42">
        <f t="shared" si="50"/>
        <v>0.83063052432776752</v>
      </c>
    </row>
    <row r="1646" spans="1:2" x14ac:dyDescent="0.25">
      <c r="A1646" s="34">
        <f t="shared" si="51"/>
        <v>81.89999999999749</v>
      </c>
      <c r="B1646" s="42">
        <f t="shared" si="50"/>
        <v>0.52242211346366629</v>
      </c>
    </row>
    <row r="1647" spans="1:2" x14ac:dyDescent="0.25">
      <c r="A1647" s="34">
        <f t="shared" si="51"/>
        <v>81.949999999997488</v>
      </c>
      <c r="B1647" s="42">
        <f t="shared" si="50"/>
        <v>0.21063440346744178</v>
      </c>
    </row>
    <row r="1648" spans="1:2" x14ac:dyDescent="0.25">
      <c r="A1648" s="34">
        <f t="shared" si="51"/>
        <v>81.999999999997485</v>
      </c>
      <c r="B1648" s="42">
        <f t="shared" si="50"/>
        <v>-0.10180021455440946</v>
      </c>
    </row>
    <row r="1649" spans="1:2" x14ac:dyDescent="0.25">
      <c r="A1649" s="34">
        <f t="shared" si="51"/>
        <v>82.049999999997482</v>
      </c>
      <c r="B1649" s="42">
        <f t="shared" si="50"/>
        <v>-0.41195563121809164</v>
      </c>
    </row>
    <row r="1650" spans="1:2" x14ac:dyDescent="0.25">
      <c r="A1650" s="34">
        <f t="shared" si="51"/>
        <v>82.099999999997479</v>
      </c>
      <c r="B1650" s="42">
        <f t="shared" si="50"/>
        <v>-0.71693954503001733</v>
      </c>
    </row>
    <row r="1651" spans="1:2" x14ac:dyDescent="0.25">
      <c r="A1651" s="34">
        <f t="shared" si="51"/>
        <v>82.149999999997476</v>
      </c>
      <c r="B1651" s="42">
        <f t="shared" si="50"/>
        <v>-1.013920554272842</v>
      </c>
    </row>
    <row r="1652" spans="1:2" x14ac:dyDescent="0.25">
      <c r="A1652" s="34">
        <f t="shared" si="51"/>
        <v>82.199999999997473</v>
      </c>
      <c r="B1652" s="42">
        <f t="shared" si="50"/>
        <v>-1.300154559715978</v>
      </c>
    </row>
    <row r="1653" spans="1:2" x14ac:dyDescent="0.25">
      <c r="A1653" s="34">
        <f t="shared" si="51"/>
        <v>82.24999999999747</v>
      </c>
      <c r="B1653" s="42">
        <f t="shared" si="50"/>
        <v>-1.5730102308493432</v>
      </c>
    </row>
    <row r="1654" spans="1:2" x14ac:dyDescent="0.25">
      <c r="A1654" s="34">
        <f t="shared" si="51"/>
        <v>82.299999999997468</v>
      </c>
      <c r="B1654" s="42">
        <f t="shared" si="50"/>
        <v>-1.8299932982573568</v>
      </c>
    </row>
    <row r="1655" spans="1:2" x14ac:dyDescent="0.25">
      <c r="A1655" s="34">
        <f t="shared" si="51"/>
        <v>82.349999999997465</v>
      </c>
      <c r="B1655" s="42">
        <f t="shared" si="50"/>
        <v>-2.0687694468894078</v>
      </c>
    </row>
    <row r="1656" spans="1:2" x14ac:dyDescent="0.25">
      <c r="A1656" s="34">
        <f t="shared" si="51"/>
        <v>82.399999999997462</v>
      </c>
      <c r="B1656" s="42">
        <f t="shared" si="50"/>
        <v>-2.2871855992229899</v>
      </c>
    </row>
    <row r="1657" spans="1:2" x14ac:dyDescent="0.25">
      <c r="A1657" s="34">
        <f t="shared" si="51"/>
        <v>82.449999999997459</v>
      </c>
      <c r="B1657" s="42">
        <f t="shared" si="50"/>
        <v>-2.4832893935074161</v>
      </c>
    </row>
    <row r="1658" spans="1:2" x14ac:dyDescent="0.25">
      <c r="A1658" s="34">
        <f t="shared" si="51"/>
        <v>82.499999999997456</v>
      </c>
      <c r="B1658" s="42">
        <f t="shared" si="50"/>
        <v>-2.6553466802566463</v>
      </c>
    </row>
    <row r="1659" spans="1:2" x14ac:dyDescent="0.25">
      <c r="A1659" s="34">
        <f t="shared" si="51"/>
        <v>82.549999999997453</v>
      </c>
      <c r="B1659" s="42">
        <f t="shared" si="50"/>
        <v>-2.8018568797547916</v>
      </c>
    </row>
    <row r="1660" spans="1:2" x14ac:dyDescent="0.25">
      <c r="A1660" s="34">
        <f t="shared" si="51"/>
        <v>82.599999999997451</v>
      </c>
      <c r="B1660" s="42">
        <f t="shared" si="50"/>
        <v>-2.921566064348561</v>
      </c>
    </row>
    <row r="1661" spans="1:2" x14ac:dyDescent="0.25">
      <c r="A1661" s="34">
        <f t="shared" si="51"/>
        <v>82.649999999997448</v>
      </c>
      <c r="B1661" s="42">
        <f t="shared" si="50"/>
        <v>-3.0134776515208568</v>
      </c>
    </row>
    <row r="1662" spans="1:2" x14ac:dyDescent="0.25">
      <c r="A1662" s="34">
        <f t="shared" si="51"/>
        <v>82.699999999997445</v>
      </c>
      <c r="B1662" s="42">
        <f t="shared" si="50"/>
        <v>-3.0768606169555484</v>
      </c>
    </row>
    <row r="1663" spans="1:2" x14ac:dyDescent="0.25">
      <c r="A1663" s="34">
        <f t="shared" si="51"/>
        <v>82.749999999997442</v>
      </c>
      <c r="B1663" s="42">
        <f t="shared" si="50"/>
        <v>-3.1112551607844399</v>
      </c>
    </row>
    <row r="1664" spans="1:2" x14ac:dyDescent="0.25">
      <c r="A1664" s="34">
        <f t="shared" si="51"/>
        <v>82.799999999997439</v>
      </c>
      <c r="B1664" s="42">
        <f t="shared" si="50"/>
        <v>-3.1164757847215681</v>
      </c>
    </row>
    <row r="1665" spans="1:2" x14ac:dyDescent="0.25">
      <c r="A1665" s="34">
        <f t="shared" si="51"/>
        <v>82.849999999997436</v>
      </c>
      <c r="B1665" s="42">
        <f t="shared" si="50"/>
        <v>-3.0926117626039966</v>
      </c>
    </row>
    <row r="1666" spans="1:2" x14ac:dyDescent="0.25">
      <c r="A1666" s="34">
        <f t="shared" si="51"/>
        <v>82.899999999997434</v>
      </c>
      <c r="B1666" s="42">
        <f t="shared" si="50"/>
        <v>-3.040025011729353</v>
      </c>
    </row>
    <row r="1667" spans="1:2" x14ac:dyDescent="0.25">
      <c r="A1667" s="34">
        <f t="shared" si="51"/>
        <v>82.949999999997431</v>
      </c>
      <c r="B1667" s="42">
        <f t="shared" si="50"/>
        <v>-2.9593453970713548</v>
      </c>
    </row>
    <row r="1668" spans="1:2" x14ac:dyDescent="0.25">
      <c r="A1668" s="34">
        <f t="shared" si="51"/>
        <v>82.999999999997428</v>
      </c>
      <c r="B1668" s="42">
        <f t="shared" si="50"/>
        <v>-2.8514635247322895</v>
      </c>
    </row>
    <row r="1669" spans="1:2" x14ac:dyDescent="0.25">
      <c r="A1669" s="34">
        <f t="shared" si="51"/>
        <v>83.049999999997425</v>
      </c>
      <c r="B1669" s="42">
        <f t="shared" si="50"/>
        <v>-2.7175211046221741</v>
      </c>
    </row>
    <row r="1670" spans="1:2" x14ac:dyDescent="0.25">
      <c r="A1670" s="34">
        <f t="shared" si="51"/>
        <v>83.099999999997422</v>
      </c>
      <c r="B1670" s="42">
        <f t="shared" si="50"/>
        <v>-2.5588989851158761</v>
      </c>
    </row>
    <row r="1671" spans="1:2" x14ac:dyDescent="0.25">
      <c r="A1671" s="34">
        <f t="shared" si="51"/>
        <v>83.149999999997419</v>
      </c>
      <c r="B1671" s="42">
        <f t="shared" si="50"/>
        <v>-2.3772029841190414</v>
      </c>
    </row>
    <row r="1672" spans="1:2" x14ac:dyDescent="0.25">
      <c r="A1672" s="34">
        <f t="shared" si="51"/>
        <v>83.199999999997416</v>
      </c>
      <c r="B1672" s="42">
        <f t="shared" ref="B1672:B1735" si="52">-A1_x*SIN(p_x*A1672)+A2_x*SIN(w_x*A1672)</f>
        <v>-2.1742476613662896</v>
      </c>
    </row>
    <row r="1673" spans="1:2" x14ac:dyDescent="0.25">
      <c r="A1673" s="34">
        <f t="shared" ref="A1673:A1736" si="53">A1672+$A$6</f>
        <v>83.249999999997414</v>
      </c>
      <c r="B1673" s="42">
        <f t="shared" si="52"/>
        <v>-1.9520381956926214</v>
      </c>
    </row>
    <row r="1674" spans="1:2" x14ac:dyDescent="0.25">
      <c r="A1674" s="34">
        <f t="shared" si="53"/>
        <v>83.299999999997411</v>
      </c>
      <c r="B1674" s="42">
        <f t="shared" si="52"/>
        <v>-1.7127505482867367</v>
      </c>
    </row>
    <row r="1675" spans="1:2" x14ac:dyDescent="0.25">
      <c r="A1675" s="34">
        <f t="shared" si="53"/>
        <v>83.349999999997408</v>
      </c>
      <c r="B1675" s="42">
        <f t="shared" si="52"/>
        <v>-1.4587101083940741</v>
      </c>
    </row>
    <row r="1676" spans="1:2" x14ac:dyDescent="0.25">
      <c r="A1676" s="34">
        <f t="shared" si="53"/>
        <v>83.399999999997405</v>
      </c>
      <c r="B1676" s="42">
        <f t="shared" si="52"/>
        <v>-1.1923690314494153</v>
      </c>
    </row>
    <row r="1677" spans="1:2" x14ac:dyDescent="0.25">
      <c r="A1677" s="34">
        <f t="shared" si="53"/>
        <v>83.449999999997402</v>
      </c>
      <c r="B1677" s="42">
        <f t="shared" si="52"/>
        <v>-0.91628249106190118</v>
      </c>
    </row>
    <row r="1678" spans="1:2" x14ac:dyDescent="0.25">
      <c r="A1678" s="34">
        <f t="shared" si="53"/>
        <v>83.499999999997399</v>
      </c>
      <c r="B1678" s="42">
        <f t="shared" si="52"/>
        <v>-0.6330840755494993</v>
      </c>
    </row>
    <row r="1679" spans="1:2" x14ac:dyDescent="0.25">
      <c r="A1679" s="34">
        <f t="shared" si="53"/>
        <v>83.549999999997397</v>
      </c>
      <c r="B1679" s="42">
        <f t="shared" si="52"/>
        <v>-0.34546056674789272</v>
      </c>
    </row>
    <row r="1680" spans="1:2" x14ac:dyDescent="0.25">
      <c r="A1680" s="34">
        <f t="shared" si="53"/>
        <v>83.599999999997394</v>
      </c>
      <c r="B1680" s="42">
        <f t="shared" si="52"/>
        <v>-5.612634354083279E-2</v>
      </c>
    </row>
    <row r="1681" spans="1:2" x14ac:dyDescent="0.25">
      <c r="A1681" s="34">
        <f t="shared" si="53"/>
        <v>83.649999999997391</v>
      </c>
      <c r="B1681" s="42">
        <f t="shared" si="52"/>
        <v>0.23220234505750681</v>
      </c>
    </row>
    <row r="1682" spans="1:2" x14ac:dyDescent="0.25">
      <c r="A1682" s="34">
        <f t="shared" si="53"/>
        <v>83.699999999997388</v>
      </c>
      <c r="B1682" s="42">
        <f t="shared" si="52"/>
        <v>0.51683299240349367</v>
      </c>
    </row>
    <row r="1683" spans="1:2" x14ac:dyDescent="0.25">
      <c r="A1683" s="34">
        <f t="shared" si="53"/>
        <v>83.749999999997385</v>
      </c>
      <c r="B1683" s="42">
        <f t="shared" si="52"/>
        <v>0.79512208975161824</v>
      </c>
    </row>
    <row r="1684" spans="1:2" x14ac:dyDescent="0.25">
      <c r="A1684" s="34">
        <f t="shared" si="53"/>
        <v>83.799999999997382</v>
      </c>
      <c r="B1684" s="42">
        <f t="shared" si="52"/>
        <v>1.0644997868660133</v>
      </c>
    </row>
    <row r="1685" spans="1:2" x14ac:dyDescent="0.25">
      <c r="A1685" s="34">
        <f t="shared" si="53"/>
        <v>83.84999999999738</v>
      </c>
      <c r="B1685" s="42">
        <f t="shared" si="52"/>
        <v>1.3224937266371535</v>
      </c>
    </row>
    <row r="1686" spans="1:2" x14ac:dyDescent="0.25">
      <c r="A1686" s="34">
        <f t="shared" si="53"/>
        <v>83.899999999997377</v>
      </c>
      <c r="B1686" s="42">
        <f t="shared" si="52"/>
        <v>1.5667518316664355</v>
      </c>
    </row>
    <row r="1687" spans="1:2" x14ac:dyDescent="0.25">
      <c r="A1687" s="34">
        <f t="shared" si="53"/>
        <v>83.949999999997374</v>
      </c>
      <c r="B1687" s="42">
        <f t="shared" si="52"/>
        <v>1.7950638318994077</v>
      </c>
    </row>
    <row r="1688" spans="1:2" x14ac:dyDescent="0.25">
      <c r="A1688" s="34">
        <f t="shared" si="53"/>
        <v>83.999999999997371</v>
      </c>
      <c r="B1688" s="42">
        <f t="shared" si="52"/>
        <v>2.0053813354652101</v>
      </c>
    </row>
    <row r="1689" spans="1:2" x14ac:dyDescent="0.25">
      <c r="A1689" s="34">
        <f t="shared" si="53"/>
        <v>84.049999999997368</v>
      </c>
      <c r="B1689" s="42">
        <f t="shared" si="52"/>
        <v>2.1958362597875323</v>
      </c>
    </row>
    <row r="1690" spans="1:2" x14ac:dyDescent="0.25">
      <c r="A1690" s="34">
        <f t="shared" si="53"/>
        <v>84.099999999997365</v>
      </c>
      <c r="B1690" s="42">
        <f t="shared" si="52"/>
        <v>2.3647574566078844</v>
      </c>
    </row>
    <row r="1691" spans="1:2" x14ac:dyDescent="0.25">
      <c r="A1691" s="34">
        <f t="shared" si="53"/>
        <v>84.149999999997362</v>
      </c>
      <c r="B1691" s="42">
        <f t="shared" si="52"/>
        <v>2.5106853826491111</v>
      </c>
    </row>
    <row r="1692" spans="1:2" x14ac:dyDescent="0.25">
      <c r="A1692" s="34">
        <f t="shared" si="53"/>
        <v>84.19999999999736</v>
      </c>
      <c r="B1692" s="42">
        <f t="shared" si="52"/>
        <v>2.6323846870576375</v>
      </c>
    </row>
    <row r="1693" spans="1:2" x14ac:dyDescent="0.25">
      <c r="A1693" s="34">
        <f t="shared" si="53"/>
        <v>84.249999999997357</v>
      </c>
      <c r="B1693" s="42">
        <f t="shared" si="52"/>
        <v>2.728854607304684</v>
      </c>
    </row>
    <row r="1694" spans="1:2" x14ac:dyDescent="0.25">
      <c r="A1694" s="34">
        <f t="shared" si="53"/>
        <v>84.299999999997354</v>
      </c>
      <c r="B1694" s="42">
        <f t="shared" si="52"/>
        <v>2.7993370867011711</v>
      </c>
    </row>
    <row r="1695" spans="1:2" x14ac:dyDescent="0.25">
      <c r="A1695" s="34">
        <f t="shared" si="53"/>
        <v>84.349999999997351</v>
      </c>
      <c r="B1695" s="42">
        <f t="shared" si="52"/>
        <v>2.8433225488727185</v>
      </c>
    </row>
    <row r="1696" spans="1:2" x14ac:dyDescent="0.25">
      <c r="A1696" s="34">
        <f t="shared" si="53"/>
        <v>84.399999999997348</v>
      </c>
      <c r="B1696" s="42">
        <f t="shared" si="52"/>
        <v>2.8605532872337491</v>
      </c>
    </row>
    <row r="1697" spans="1:2" x14ac:dyDescent="0.25">
      <c r="A1697" s="34">
        <f t="shared" si="53"/>
        <v>84.449999999997345</v>
      </c>
      <c r="B1697" s="42">
        <f t="shared" si="52"/>
        <v>2.851024450476753</v>
      </c>
    </row>
    <row r="1698" spans="1:2" x14ac:dyDescent="0.25">
      <c r="A1698" s="34">
        <f t="shared" si="53"/>
        <v>84.499999999997343</v>
      </c>
      <c r="B1698" s="42">
        <f t="shared" si="52"/>
        <v>2.8149826281276948</v>
      </c>
    </row>
    <row r="1699" spans="1:2" x14ac:dyDescent="0.25">
      <c r="A1699" s="34">
        <f t="shared" si="53"/>
        <v>84.54999999999734</v>
      </c>
      <c r="B1699" s="42">
        <f t="shared" si="52"/>
        <v>2.7529220630906814</v>
      </c>
    </row>
    <row r="1700" spans="1:2" x14ac:dyDescent="0.25">
      <c r="A1700" s="34">
        <f t="shared" si="53"/>
        <v>84.599999999997337</v>
      </c>
      <c r="B1700" s="42">
        <f t="shared" si="52"/>
        <v>2.6655785405985428</v>
      </c>
    </row>
    <row r="1701" spans="1:2" x14ac:dyDescent="0.25">
      <c r="A1701" s="34">
        <f t="shared" si="53"/>
        <v>84.649999999997334</v>
      </c>
      <c r="B1701" s="42">
        <f t="shared" si="52"/>
        <v>2.5539210248830346</v>
      </c>
    </row>
    <row r="1702" spans="1:2" x14ac:dyDescent="0.25">
      <c r="A1702" s="34">
        <f t="shared" si="53"/>
        <v>84.699999999997331</v>
      </c>
      <c r="B1702" s="42">
        <f t="shared" si="52"/>
        <v>2.4191411359729003</v>
      </c>
    </row>
    <row r="1703" spans="1:2" x14ac:dyDescent="0.25">
      <c r="A1703" s="34">
        <f t="shared" si="53"/>
        <v>84.749999999997328</v>
      </c>
      <c r="B1703" s="42">
        <f t="shared" si="52"/>
        <v>2.2626405791234099</v>
      </c>
    </row>
    <row r="1704" spans="1:2" x14ac:dyDescent="0.25">
      <c r="A1704" s="34">
        <f t="shared" si="53"/>
        <v>84.799999999997326</v>
      </c>
      <c r="B1704" s="42">
        <f t="shared" si="52"/>
        <v>2.0860166582867392</v>
      </c>
    </row>
    <row r="1705" spans="1:2" x14ac:dyDescent="0.25">
      <c r="A1705" s="34">
        <f t="shared" si="53"/>
        <v>84.849999999997323</v>
      </c>
      <c r="B1705" s="42">
        <f t="shared" si="52"/>
        <v>1.8910460225745866</v>
      </c>
    </row>
    <row r="1706" spans="1:2" x14ac:dyDescent="0.25">
      <c r="A1706" s="34">
        <f t="shared" si="53"/>
        <v>84.89999999999732</v>
      </c>
      <c r="B1706" s="42">
        <f t="shared" si="52"/>
        <v>1.6796668106821553</v>
      </c>
    </row>
    <row r="1707" spans="1:2" x14ac:dyDescent="0.25">
      <c r="A1707" s="34">
        <f t="shared" si="53"/>
        <v>84.949999999997317</v>
      </c>
      <c r="B1707" s="42">
        <f t="shared" si="52"/>
        <v>1.4539593725887088</v>
      </c>
    </row>
    <row r="1708" spans="1:2" x14ac:dyDescent="0.25">
      <c r="A1708" s="34">
        <f t="shared" si="53"/>
        <v>84.999999999997314</v>
      </c>
      <c r="B1708" s="42">
        <f t="shared" si="52"/>
        <v>1.2161257603969509</v>
      </c>
    </row>
    <row r="1709" spans="1:2" x14ac:dyDescent="0.25">
      <c r="A1709" s="34">
        <f t="shared" si="53"/>
        <v>85.049999999997311</v>
      </c>
      <c r="B1709" s="42">
        <f t="shared" si="52"/>
        <v>0.96846819081002133</v>
      </c>
    </row>
    <row r="1710" spans="1:2" x14ac:dyDescent="0.25">
      <c r="A1710" s="34">
        <f t="shared" si="53"/>
        <v>85.099999999997308</v>
      </c>
      <c r="B1710" s="42">
        <f t="shared" si="52"/>
        <v>0.71336669037888434</v>
      </c>
    </row>
    <row r="1711" spans="1:2" x14ac:dyDescent="0.25">
      <c r="A1711" s="34">
        <f t="shared" si="53"/>
        <v>85.149999999997306</v>
      </c>
      <c r="B1711" s="42">
        <f t="shared" si="52"/>
        <v>0.45325614121380098</v>
      </c>
    </row>
    <row r="1712" spans="1:2" x14ac:dyDescent="0.25">
      <c r="A1712" s="34">
        <f t="shared" si="53"/>
        <v>85.199999999997303</v>
      </c>
      <c r="B1712" s="42">
        <f t="shared" si="52"/>
        <v>0.19060294928795773</v>
      </c>
    </row>
    <row r="1713" spans="1:2" x14ac:dyDescent="0.25">
      <c r="A1713" s="34">
        <f t="shared" si="53"/>
        <v>85.2499999999973</v>
      </c>
      <c r="B1713" s="42">
        <f t="shared" si="52"/>
        <v>-7.2118440260552141E-2</v>
      </c>
    </row>
    <row r="1714" spans="1:2" x14ac:dyDescent="0.25">
      <c r="A1714" s="34">
        <f t="shared" si="53"/>
        <v>85.299999999997297</v>
      </c>
      <c r="B1714" s="42">
        <f t="shared" si="52"/>
        <v>-0.33244895630870852</v>
      </c>
    </row>
    <row r="1715" spans="1:2" x14ac:dyDescent="0.25">
      <c r="A1715" s="34">
        <f t="shared" si="53"/>
        <v>85.349999999997294</v>
      </c>
      <c r="B1715" s="42">
        <f t="shared" si="52"/>
        <v>-0.5879680209338578</v>
      </c>
    </row>
    <row r="1716" spans="1:2" x14ac:dyDescent="0.25">
      <c r="A1716" s="34">
        <f t="shared" si="53"/>
        <v>85.399999999997291</v>
      </c>
      <c r="B1716" s="42">
        <f t="shared" si="52"/>
        <v>-0.83631615629287814</v>
      </c>
    </row>
    <row r="1717" spans="1:2" x14ac:dyDescent="0.25">
      <c r="A1717" s="34">
        <f t="shared" si="53"/>
        <v>85.449999999997289</v>
      </c>
      <c r="B1717" s="42">
        <f t="shared" si="52"/>
        <v>-1.0752168671178435</v>
      </c>
    </row>
    <row r="1718" spans="1:2" x14ac:dyDescent="0.25">
      <c r="A1718" s="34">
        <f t="shared" si="53"/>
        <v>85.499999999997286</v>
      </c>
      <c r="B1718" s="42">
        <f t="shared" si="52"/>
        <v>-1.3024975949855271</v>
      </c>
    </row>
    <row r="1719" spans="1:2" x14ac:dyDescent="0.25">
      <c r="A1719" s="34">
        <f t="shared" si="53"/>
        <v>85.549999999997283</v>
      </c>
      <c r="B1719" s="42">
        <f t="shared" si="52"/>
        <v>-1.5161095506592615</v>
      </c>
    </row>
    <row r="1720" spans="1:2" x14ac:dyDescent="0.25">
      <c r="A1720" s="34">
        <f t="shared" si="53"/>
        <v>85.59999999999728</v>
      </c>
      <c r="B1720" s="42">
        <f t="shared" si="52"/>
        <v>-1.7141462427395524</v>
      </c>
    </row>
    <row r="1721" spans="1:2" x14ac:dyDescent="0.25">
      <c r="A1721" s="34">
        <f t="shared" si="53"/>
        <v>85.649999999997277</v>
      </c>
      <c r="B1721" s="42">
        <f t="shared" si="52"/>
        <v>-1.8948605344733715</v>
      </c>
    </row>
    <row r="1722" spans="1:2" x14ac:dyDescent="0.25">
      <c r="A1722" s="34">
        <f t="shared" si="53"/>
        <v>85.699999999997274</v>
      </c>
      <c r="B1722" s="42">
        <f t="shared" si="52"/>
        <v>-2.0566800757158941</v>
      </c>
    </row>
    <row r="1723" spans="1:2" x14ac:dyDescent="0.25">
      <c r="A1723" s="34">
        <f t="shared" si="53"/>
        <v>85.749999999997272</v>
      </c>
      <c r="B1723" s="42">
        <f t="shared" si="52"/>
        <v>-2.198220973557151</v>
      </c>
    </row>
    <row r="1724" spans="1:2" x14ac:dyDescent="0.25">
      <c r="A1724" s="34">
        <f t="shared" si="53"/>
        <v>85.799999999997269</v>
      </c>
      <c r="B1724" s="42">
        <f t="shared" si="52"/>
        <v>-2.3182995828567408</v>
      </c>
    </row>
    <row r="1725" spans="1:2" x14ac:dyDescent="0.25">
      <c r="A1725" s="34">
        <f t="shared" si="53"/>
        <v>85.849999999997266</v>
      </c>
      <c r="B1725" s="42">
        <f t="shared" si="52"/>
        <v>-2.4159423166895628</v>
      </c>
    </row>
    <row r="1726" spans="1:2" x14ac:dyDescent="0.25">
      <c r="A1726" s="34">
        <f t="shared" si="53"/>
        <v>85.899999999997263</v>
      </c>
      <c r="B1726" s="42">
        <f t="shared" si="52"/>
        <v>-2.4903933963072462</v>
      </c>
    </row>
    <row r="1727" spans="1:2" x14ac:dyDescent="0.25">
      <c r="A1727" s="34">
        <f t="shared" si="53"/>
        <v>85.94999999999726</v>
      </c>
      <c r="B1727" s="42">
        <f t="shared" si="52"/>
        <v>-2.5411204804738605</v>
      </c>
    </row>
    <row r="1728" spans="1:2" x14ac:dyDescent="0.25">
      <c r="A1728" s="34">
        <f t="shared" si="53"/>
        <v>85.999999999997257</v>
      </c>
      <c r="B1728" s="42">
        <f t="shared" si="52"/>
        <v>-2.5678181347365276</v>
      </c>
    </row>
    <row r="1729" spans="1:2" x14ac:dyDescent="0.25">
      <c r="A1729" s="34">
        <f t="shared" si="53"/>
        <v>86.049999999997254</v>
      </c>
      <c r="B1729" s="42">
        <f t="shared" si="52"/>
        <v>-2.5704091221390266</v>
      </c>
    </row>
    <row r="1730" spans="1:2" x14ac:dyDescent="0.25">
      <c r="A1730" s="34">
        <f t="shared" si="53"/>
        <v>86.099999999997252</v>
      </c>
      <c r="B1730" s="42">
        <f t="shared" si="52"/>
        <v>-2.5490435178817359</v>
      </c>
    </row>
    <row r="1731" spans="1:2" x14ac:dyDescent="0.25">
      <c r="A1731" s="34">
        <f t="shared" si="53"/>
        <v>86.149999999997249</v>
      </c>
      <c r="B1731" s="42">
        <f t="shared" si="52"/>
        <v>-2.5040956712615072</v>
      </c>
    </row>
    <row r="1732" spans="1:2" x14ac:dyDescent="0.25">
      <c r="A1732" s="34">
        <f t="shared" si="53"/>
        <v>86.199999999997246</v>
      </c>
      <c r="B1732" s="42">
        <f t="shared" si="52"/>
        <v>-2.4361590586998725</v>
      </c>
    </row>
    <row r="1733" spans="1:2" x14ac:dyDescent="0.25">
      <c r="A1733" s="34">
        <f t="shared" si="53"/>
        <v>86.249999999997243</v>
      </c>
      <c r="B1733" s="42">
        <f t="shared" si="52"/>
        <v>-2.3460390915854195</v>
      </c>
    </row>
    <row r="1734" spans="1:2" x14ac:dyDescent="0.25">
      <c r="A1734" s="34">
        <f t="shared" si="53"/>
        <v>86.29999999999724</v>
      </c>
      <c r="B1734" s="42">
        <f t="shared" si="52"/>
        <v>-2.2347439618287686</v>
      </c>
    </row>
    <row r="1735" spans="1:2" x14ac:dyDescent="0.25">
      <c r="A1735" s="34">
        <f t="shared" si="53"/>
        <v>86.349999999997237</v>
      </c>
      <c r="B1735" s="42">
        <f t="shared" si="52"/>
        <v>-2.1034736262782867</v>
      </c>
    </row>
    <row r="1736" spans="1:2" x14ac:dyDescent="0.25">
      <c r="A1736" s="34">
        <f t="shared" si="53"/>
        <v>86.399999999997235</v>
      </c>
      <c r="B1736" s="42">
        <f t="shared" ref="B1736:B1799" si="54">-A1_x*SIN(p_x*A1736)+A2_x*SIN(w_x*A1736)</f>
        <v>-1.9536070482977728</v>
      </c>
    </row>
    <row r="1737" spans="1:2" x14ac:dyDescent="0.25">
      <c r="A1737" s="34">
        <f t="shared" ref="A1737:A1800" si="55">A1736+$A$6</f>
        <v>86.449999999997232</v>
      </c>
      <c r="B1737" s="42">
        <f t="shared" si="54"/>
        <v>-1.7866878307061915</v>
      </c>
    </row>
    <row r="1738" spans="1:2" x14ac:dyDescent="0.25">
      <c r="A1738" s="34">
        <f t="shared" si="55"/>
        <v>86.499999999997229</v>
      </c>
      <c r="B1738" s="42">
        <f t="shared" si="54"/>
        <v>-1.6044083887799219</v>
      </c>
    </row>
    <row r="1739" spans="1:2" x14ac:dyDescent="0.25">
      <c r="A1739" s="34">
        <f t="shared" si="55"/>
        <v>86.549999999997226</v>
      </c>
      <c r="B1739" s="42">
        <f t="shared" si="54"/>
        <v>-1.4085928249865196</v>
      </c>
    </row>
    <row r="1740" spans="1:2" x14ac:dyDescent="0.25">
      <c r="A1740" s="34">
        <f t="shared" si="55"/>
        <v>86.599999999997223</v>
      </c>
      <c r="B1740" s="42">
        <f t="shared" si="54"/>
        <v>-1.2011786784416136</v>
      </c>
    </row>
    <row r="1741" spans="1:2" x14ac:dyDescent="0.25">
      <c r="A1741" s="34">
        <f t="shared" si="55"/>
        <v>86.64999999999722</v>
      </c>
      <c r="B1741" s="42">
        <f t="shared" si="54"/>
        <v>-0.9841977316585977</v>
      </c>
    </row>
    <row r="1742" spans="1:2" x14ac:dyDescent="0.25">
      <c r="A1742" s="34">
        <f t="shared" si="55"/>
        <v>86.699999999997218</v>
      </c>
      <c r="B1742" s="42">
        <f t="shared" si="54"/>
        <v>-0.75975606491207803</v>
      </c>
    </row>
    <row r="1743" spans="1:2" x14ac:dyDescent="0.25">
      <c r="A1743" s="34">
        <f t="shared" si="55"/>
        <v>86.749999999997215</v>
      </c>
      <c r="B1743" s="42">
        <f t="shared" si="54"/>
        <v>-0.53001355439918374</v>
      </c>
    </row>
    <row r="1744" spans="1:2" x14ac:dyDescent="0.25">
      <c r="A1744" s="34">
        <f t="shared" si="55"/>
        <v>86.799999999997212</v>
      </c>
      <c r="B1744" s="42">
        <f t="shared" si="54"/>
        <v>-0.29716301431239045</v>
      </c>
    </row>
    <row r="1745" spans="1:2" x14ac:dyDescent="0.25">
      <c r="A1745" s="34">
        <f t="shared" si="55"/>
        <v>86.849999999997209</v>
      </c>
      <c r="B1745" s="42">
        <f t="shared" si="54"/>
        <v>-6.3409184908780336E-2</v>
      </c>
    </row>
    <row r="1746" spans="1:2" x14ac:dyDescent="0.25">
      <c r="A1746" s="34">
        <f t="shared" si="55"/>
        <v>86.899999999997206</v>
      </c>
      <c r="B1746" s="42">
        <f t="shared" si="54"/>
        <v>0.16905223133082314</v>
      </c>
    </row>
    <row r="1747" spans="1:2" x14ac:dyDescent="0.25">
      <c r="A1747" s="34">
        <f t="shared" si="55"/>
        <v>86.949999999997203</v>
      </c>
      <c r="B1747" s="42">
        <f t="shared" si="54"/>
        <v>0.39805528530287027</v>
      </c>
    </row>
    <row r="1748" spans="1:2" x14ac:dyDescent="0.25">
      <c r="A1748" s="34">
        <f t="shared" si="55"/>
        <v>86.9999999999972</v>
      </c>
      <c r="B1748" s="42">
        <f t="shared" si="54"/>
        <v>0.62148405235385407</v>
      </c>
    </row>
    <row r="1749" spans="1:2" x14ac:dyDescent="0.25">
      <c r="A1749" s="34">
        <f t="shared" si="55"/>
        <v>87.049999999997198</v>
      </c>
      <c r="B1749" s="42">
        <f t="shared" si="54"/>
        <v>0.83729226826432868</v>
      </c>
    </row>
    <row r="1750" spans="1:2" x14ac:dyDescent="0.25">
      <c r="A1750" s="34">
        <f t="shared" si="55"/>
        <v>87.099999999997195</v>
      </c>
      <c r="B1750" s="42">
        <f t="shared" si="54"/>
        <v>1.0435221471128853</v>
      </c>
    </row>
    <row r="1751" spans="1:2" x14ac:dyDescent="0.25">
      <c r="A1751" s="34">
        <f t="shared" si="55"/>
        <v>87.149999999997192</v>
      </c>
      <c r="B1751" s="42">
        <f t="shared" si="54"/>
        <v>1.2383222072309952</v>
      </c>
    </row>
    <row r="1752" spans="1:2" x14ac:dyDescent="0.25">
      <c r="A1752" s="34">
        <f t="shared" si="55"/>
        <v>87.199999999997189</v>
      </c>
      <c r="B1752" s="42">
        <f t="shared" si="54"/>
        <v>1.4199639423121786</v>
      </c>
    </row>
    <row r="1753" spans="1:2" x14ac:dyDescent="0.25">
      <c r="A1753" s="34">
        <f t="shared" si="55"/>
        <v>87.249999999997186</v>
      </c>
      <c r="B1753" s="42">
        <f t="shared" si="54"/>
        <v>1.586857187089497</v>
      </c>
    </row>
    <row r="1754" spans="1:2" x14ac:dyDescent="0.25">
      <c r="A1754" s="34">
        <f t="shared" si="55"/>
        <v>87.299999999997183</v>
      </c>
      <c r="B1754" s="42">
        <f t="shared" si="54"/>
        <v>1.737564040709614</v>
      </c>
    </row>
    <row r="1755" spans="1:2" x14ac:dyDescent="0.25">
      <c r="A1755" s="34">
        <f t="shared" si="55"/>
        <v>87.349999999997181</v>
      </c>
      <c r="B1755" s="42">
        <f t="shared" si="54"/>
        <v>1.8708112258661782</v>
      </c>
    </row>
    <row r="1756" spans="1:2" x14ac:dyDescent="0.25">
      <c r="A1756" s="34">
        <f t="shared" si="55"/>
        <v>87.399999999997178</v>
      </c>
      <c r="B1756" s="42">
        <f t="shared" si="54"/>
        <v>1.9855007777609175</v>
      </c>
    </row>
    <row r="1757" spans="1:2" x14ac:dyDescent="0.25">
      <c r="A1757" s="34">
        <f t="shared" si="55"/>
        <v>87.449999999997175</v>
      </c>
      <c r="B1757" s="42">
        <f t="shared" si="54"/>
        <v>2.0807189738699798</v>
      </c>
    </row>
    <row r="1758" spans="1:2" x14ac:dyDescent="0.25">
      <c r="A1758" s="34">
        <f t="shared" si="55"/>
        <v>87.499999999997172</v>
      </c>
      <c r="B1758" s="42">
        <f t="shared" si="54"/>
        <v>2.1557434331346306</v>
      </c>
    </row>
    <row r="1759" spans="1:2" x14ac:dyDescent="0.25">
      <c r="A1759" s="34">
        <f t="shared" si="55"/>
        <v>87.549999999997169</v>
      </c>
      <c r="B1759" s="42">
        <f t="shared" si="54"/>
        <v>2.210048331397318</v>
      </c>
    </row>
    <row r="1760" spans="1:2" x14ac:dyDescent="0.25">
      <c r="A1760" s="34">
        <f t="shared" si="55"/>
        <v>87.599999999997166</v>
      </c>
      <c r="B1760" s="42">
        <f t="shared" si="54"/>
        <v>2.2433076984805194</v>
      </c>
    </row>
    <row r="1761" spans="1:2" x14ac:dyDescent="0.25">
      <c r="A1761" s="34">
        <f t="shared" si="55"/>
        <v>87.649999999997164</v>
      </c>
      <c r="B1761" s="42">
        <f t="shared" si="54"/>
        <v>2.2553967810734141</v>
      </c>
    </row>
    <row r="1762" spans="1:2" x14ac:dyDescent="0.25">
      <c r="A1762" s="34">
        <f t="shared" si="55"/>
        <v>87.699999999997161</v>
      </c>
      <c r="B1762" s="42">
        <f t="shared" si="54"/>
        <v>2.2463914743707094</v>
      </c>
    </row>
    <row r="1763" spans="1:2" x14ac:dyDescent="0.25">
      <c r="A1763" s="34">
        <f t="shared" si="55"/>
        <v>87.749999999997158</v>
      </c>
      <c r="B1763" s="42">
        <f t="shared" si="54"/>
        <v>2.2165658440112788</v>
      </c>
    </row>
    <row r="1764" spans="1:2" x14ac:dyDescent="0.25">
      <c r="A1764" s="34">
        <f t="shared" si="55"/>
        <v>87.799999999997155</v>
      </c>
      <c r="B1764" s="42">
        <f t="shared" si="54"/>
        <v>2.1663877781124863</v>
      </c>
    </row>
    <row r="1765" spans="1:2" x14ac:dyDescent="0.25">
      <c r="A1765" s="34">
        <f t="shared" si="55"/>
        <v>87.849999999997152</v>
      </c>
      <c r="B1765" s="42">
        <f t="shared" si="54"/>
        <v>2.096512826917809</v>
      </c>
    </row>
    <row r="1766" spans="1:2" x14ac:dyDescent="0.25">
      <c r="A1766" s="34">
        <f t="shared" si="55"/>
        <v>87.899999999997149</v>
      </c>
      <c r="B1766" s="42">
        <f t="shared" si="54"/>
        <v>2.0077763045977237</v>
      </c>
    </row>
    <row r="1767" spans="1:2" x14ac:dyDescent="0.25">
      <c r="A1767" s="34">
        <f t="shared" si="55"/>
        <v>87.949999999997146</v>
      </c>
      <c r="B1767" s="42">
        <f t="shared" si="54"/>
        <v>1.9011837439071602</v>
      </c>
    </row>
    <row r="1768" spans="1:2" x14ac:dyDescent="0.25">
      <c r="A1768" s="34">
        <f t="shared" si="55"/>
        <v>87.999999999997144</v>
      </c>
      <c r="B1768" s="42">
        <f t="shared" si="54"/>
        <v>1.7778998095588567</v>
      </c>
    </row>
    <row r="1769" spans="1:2" x14ac:dyDescent="0.25">
      <c r="A1769" s="34">
        <f t="shared" si="55"/>
        <v>88.049999999997141</v>
      </c>
      <c r="B1769" s="42">
        <f t="shared" si="54"/>
        <v>1.6392357901771903</v>
      </c>
    </row>
    <row r="1770" spans="1:2" x14ac:dyDescent="0.25">
      <c r="A1770" s="34">
        <f t="shared" si="55"/>
        <v>88.099999999997138</v>
      </c>
      <c r="B1770" s="42">
        <f t="shared" si="54"/>
        <v>1.4866358014248058</v>
      </c>
    </row>
    <row r="1771" spans="1:2" x14ac:dyDescent="0.25">
      <c r="A1771" s="34">
        <f t="shared" si="55"/>
        <v>88.149999999997135</v>
      </c>
      <c r="B1771" s="42">
        <f t="shared" si="54"/>
        <v>1.3216618442324524</v>
      </c>
    </row>
    <row r="1772" spans="1:2" x14ac:dyDescent="0.25">
      <c r="A1772" s="34">
        <f t="shared" si="55"/>
        <v>88.199999999997132</v>
      </c>
      <c r="B1772" s="42">
        <f t="shared" si="54"/>
        <v>1.1459778719071809</v>
      </c>
    </row>
    <row r="1773" spans="1:2" x14ac:dyDescent="0.25">
      <c r="A1773" s="34">
        <f t="shared" si="55"/>
        <v>88.249999999997129</v>
      </c>
      <c r="B1773" s="42">
        <f t="shared" si="54"/>
        <v>0.96133302816485799</v>
      </c>
    </row>
    <row r="1774" spans="1:2" x14ac:dyDescent="0.25">
      <c r="A1774" s="34">
        <f t="shared" si="55"/>
        <v>88.299999999997127</v>
      </c>
      <c r="B1774" s="42">
        <f t="shared" si="54"/>
        <v>0.76954422475863149</v>
      </c>
    </row>
    <row r="1775" spans="1:2" x14ac:dyDescent="0.25">
      <c r="A1775" s="34">
        <f t="shared" si="55"/>
        <v>88.349999999997124</v>
      </c>
      <c r="B1775" s="42">
        <f t="shared" si="54"/>
        <v>0.57247823230546668</v>
      </c>
    </row>
    <row r="1776" spans="1:2" x14ac:dyDescent="0.25">
      <c r="A1776" s="34">
        <f t="shared" si="55"/>
        <v>88.399999999997121</v>
      </c>
      <c r="B1776" s="42">
        <f t="shared" si="54"/>
        <v>0.37203346111289703</v>
      </c>
    </row>
    <row r="1777" spans="1:2" x14ac:dyDescent="0.25">
      <c r="A1777" s="34">
        <f t="shared" si="55"/>
        <v>88.449999999997118</v>
      </c>
      <c r="B1777" s="42">
        <f t="shared" si="54"/>
        <v>0.1701216102598393</v>
      </c>
    </row>
    <row r="1778" spans="1:2" x14ac:dyDescent="0.25">
      <c r="A1778" s="34">
        <f t="shared" si="55"/>
        <v>88.499999999997115</v>
      </c>
      <c r="B1778" s="42">
        <f t="shared" si="54"/>
        <v>-3.1350637109937907E-2</v>
      </c>
    </row>
    <row r="1779" spans="1:2" x14ac:dyDescent="0.25">
      <c r="A1779" s="34">
        <f t="shared" si="55"/>
        <v>88.549999999997112</v>
      </c>
      <c r="B1779" s="42">
        <f t="shared" si="54"/>
        <v>-0.23049969635021772</v>
      </c>
    </row>
    <row r="1780" spans="1:2" x14ac:dyDescent="0.25">
      <c r="A1780" s="34">
        <f t="shared" si="55"/>
        <v>88.59999999999711</v>
      </c>
      <c r="B1780" s="42">
        <f t="shared" si="54"/>
        <v>-0.42548276952321462</v>
      </c>
    </row>
    <row r="1781" spans="1:2" x14ac:dyDescent="0.25">
      <c r="A1781" s="34">
        <f t="shared" si="55"/>
        <v>88.649999999997107</v>
      </c>
      <c r="B1781" s="42">
        <f t="shared" si="54"/>
        <v>-0.61451497242089448</v>
      </c>
    </row>
    <row r="1782" spans="1:2" x14ac:dyDescent="0.25">
      <c r="A1782" s="34">
        <f t="shared" si="55"/>
        <v>88.699999999997104</v>
      </c>
      <c r="B1782" s="42">
        <f t="shared" si="54"/>
        <v>-0.79588574051024996</v>
      </c>
    </row>
    <row r="1783" spans="1:2" x14ac:dyDescent="0.25">
      <c r="A1783" s="34">
        <f t="shared" si="55"/>
        <v>88.749999999997101</v>
      </c>
      <c r="B1783" s="42">
        <f t="shared" si="54"/>
        <v>-0.96797436236636336</v>
      </c>
    </row>
    <row r="1784" spans="1:2" x14ac:dyDescent="0.25">
      <c r="A1784" s="34">
        <f t="shared" si="55"/>
        <v>88.799999999997098</v>
      </c>
      <c r="B1784" s="42">
        <f t="shared" si="54"/>
        <v>-1.1292644990097749</v>
      </c>
    </row>
    <row r="1785" spans="1:2" x14ac:dyDescent="0.25">
      <c r="A1785" s="34">
        <f t="shared" si="55"/>
        <v>88.849999999997095</v>
      </c>
      <c r="B1785" s="42">
        <f t="shared" si="54"/>
        <v>-1.2783575587152998</v>
      </c>
    </row>
    <row r="1786" spans="1:2" x14ac:dyDescent="0.25">
      <c r="A1786" s="34">
        <f t="shared" si="55"/>
        <v>88.899999999997092</v>
      </c>
      <c r="B1786" s="42">
        <f t="shared" si="54"/>
        <v>-1.4139848091843699</v>
      </c>
    </row>
    <row r="1787" spans="1:2" x14ac:dyDescent="0.25">
      <c r="A1787" s="34">
        <f t="shared" si="55"/>
        <v>88.94999999999709</v>
      </c>
      <c r="B1787" s="42">
        <f t="shared" si="54"/>
        <v>-1.5350181223405976</v>
      </c>
    </row>
    <row r="1788" spans="1:2" x14ac:dyDescent="0.25">
      <c r="A1788" s="34">
        <f t="shared" si="55"/>
        <v>88.999999999997087</v>
      </c>
      <c r="B1788" s="42">
        <f t="shared" si="54"/>
        <v>-1.6404792612828536</v>
      </c>
    </row>
    <row r="1789" spans="1:2" x14ac:dyDescent="0.25">
      <c r="A1789" s="34">
        <f t="shared" si="55"/>
        <v>89.049999999997084</v>
      </c>
      <c r="B1789" s="42">
        <f t="shared" si="54"/>
        <v>-1.7295476339597018</v>
      </c>
    </row>
    <row r="1790" spans="1:2" x14ac:dyDescent="0.25">
      <c r="A1790" s="34">
        <f t="shared" si="55"/>
        <v>89.099999999997081</v>
      </c>
      <c r="B1790" s="42">
        <f t="shared" si="54"/>
        <v>-1.8015664537589178</v>
      </c>
    </row>
    <row r="1791" spans="1:2" x14ac:dyDescent="0.25">
      <c r="A1791" s="34">
        <f t="shared" si="55"/>
        <v>89.149999999997078</v>
      </c>
      <c r="B1791" s="42">
        <f t="shared" si="54"/>
        <v>-1.8560472632818406</v>
      </c>
    </row>
    <row r="1792" spans="1:2" x14ac:dyDescent="0.25">
      <c r="A1792" s="34">
        <f t="shared" si="55"/>
        <v>89.199999999997075</v>
      </c>
      <c r="B1792" s="42">
        <f t="shared" si="54"/>
        <v>-1.8926727939279369</v>
      </c>
    </row>
    <row r="1793" spans="1:2" x14ac:dyDescent="0.25">
      <c r="A1793" s="34">
        <f t="shared" si="55"/>
        <v>89.249999999997073</v>
      </c>
      <c r="B1793" s="42">
        <f t="shared" si="54"/>
        <v>-1.9112981503866928</v>
      </c>
    </row>
    <row r="1794" spans="1:2" x14ac:dyDescent="0.25">
      <c r="A1794" s="34">
        <f t="shared" si="55"/>
        <v>89.29999999999707</v>
      </c>
      <c r="B1794" s="42">
        <f t="shared" si="54"/>
        <v>-1.9119503255632364</v>
      </c>
    </row>
    <row r="1795" spans="1:2" x14ac:dyDescent="0.25">
      <c r="A1795" s="34">
        <f t="shared" si="55"/>
        <v>89.349999999997067</v>
      </c>
      <c r="B1795" s="42">
        <f t="shared" si="54"/>
        <v>-1.8948260676846693</v>
      </c>
    </row>
    <row r="1796" spans="1:2" x14ac:dyDescent="0.25">
      <c r="A1796" s="34">
        <f t="shared" si="55"/>
        <v>89.399999999997064</v>
      </c>
      <c r="B1796" s="42">
        <f t="shared" si="54"/>
        <v>-1.8602881371883644</v>
      </c>
    </row>
    <row r="1797" spans="1:2" x14ac:dyDescent="0.25">
      <c r="A1797" s="34">
        <f t="shared" si="55"/>
        <v>89.449999999997061</v>
      </c>
      <c r="B1797" s="42">
        <f t="shared" si="54"/>
        <v>-1.8088600063324598</v>
      </c>
    </row>
    <row r="1798" spans="1:2" x14ac:dyDescent="0.25">
      <c r="A1798" s="34">
        <f t="shared" si="55"/>
        <v>89.499999999997058</v>
      </c>
      <c r="B1798" s="42">
        <f t="shared" si="54"/>
        <v>-1.7412190691412337</v>
      </c>
    </row>
    <row r="1799" spans="1:2" x14ac:dyDescent="0.25">
      <c r="A1799" s="34">
        <f t="shared" si="55"/>
        <v>89.549999999997056</v>
      </c>
      <c r="B1799" s="42">
        <f t="shared" si="54"/>
        <v>-1.6581884431659248</v>
      </c>
    </row>
    <row r="1800" spans="1:2" x14ac:dyDescent="0.25">
      <c r="A1800" s="34">
        <f t="shared" si="55"/>
        <v>89.599999999997053</v>
      </c>
      <c r="B1800" s="42">
        <f t="shared" ref="B1800:B1863" si="56">-A1_x*SIN(p_x*A1800)+A2_x*SIN(w_x*A1800)</f>
        <v>-1.5607274574784442</v>
      </c>
    </row>
    <row r="1801" spans="1:2" x14ac:dyDescent="0.25">
      <c r="A1801" s="34">
        <f t="shared" ref="A1801:A1864" si="57">A1800+$A$6</f>
        <v>89.64999999999705</v>
      </c>
      <c r="B1801" s="42">
        <f t="shared" si="56"/>
        <v>-1.4499209331980474</v>
      </c>
    </row>
    <row r="1802" spans="1:2" x14ac:dyDescent="0.25">
      <c r="A1802" s="34">
        <f t="shared" si="57"/>
        <v>89.699999999997047</v>
      </c>
      <c r="B1802" s="42">
        <f t="shared" si="56"/>
        <v>-1.3269673735726264</v>
      </c>
    </row>
    <row r="1803" spans="1:2" x14ac:dyDescent="0.25">
      <c r="A1803" s="34">
        <f t="shared" si="57"/>
        <v>89.749999999997044</v>
      </c>
      <c r="B1803" s="42">
        <f t="shared" si="56"/>
        <v>-1.1931661901036383</v>
      </c>
    </row>
    <row r="1804" spans="1:2" x14ac:dyDescent="0.25">
      <c r="A1804" s="34">
        <f t="shared" si="57"/>
        <v>89.799999999997041</v>
      </c>
      <c r="B1804" s="42">
        <f t="shared" si="56"/>
        <v>-1.0499040993316939</v>
      </c>
    </row>
    <row r="1805" spans="1:2" x14ac:dyDescent="0.25">
      <c r="A1805" s="34">
        <f t="shared" si="57"/>
        <v>89.849999999997038</v>
      </c>
      <c r="B1805" s="42">
        <f t="shared" si="56"/>
        <v>-0.89864083162169961</v>
      </c>
    </row>
    <row r="1806" spans="1:2" x14ac:dyDescent="0.25">
      <c r="A1806" s="34">
        <f t="shared" si="57"/>
        <v>89.899999999997036</v>
      </c>
      <c r="B1806" s="42">
        <f t="shared" si="56"/>
        <v>-0.74089429854965538</v>
      </c>
    </row>
    <row r="1807" spans="1:2" x14ac:dyDescent="0.25">
      <c r="A1807" s="34">
        <f t="shared" si="57"/>
        <v>89.949999999997033</v>
      </c>
      <c r="B1807" s="42">
        <f t="shared" si="56"/>
        <v>-0.57822536925735735</v>
      </c>
    </row>
    <row r="1808" spans="1:2" x14ac:dyDescent="0.25">
      <c r="A1808" s="34">
        <f t="shared" si="57"/>
        <v>89.99999999999703</v>
      </c>
      <c r="B1808" s="42">
        <f t="shared" si="56"/>
        <v>-0.41222240838452051</v>
      </c>
    </row>
    <row r="1809" spans="1:2" x14ac:dyDescent="0.25">
      <c r="A1809" s="34">
        <f t="shared" si="57"/>
        <v>90.049999999997027</v>
      </c>
      <c r="B1809" s="42">
        <f t="shared" si="56"/>
        <v>-0.24448572890199483</v>
      </c>
    </row>
    <row r="1810" spans="1:2" x14ac:dyDescent="0.25">
      <c r="A1810" s="34">
        <f t="shared" si="57"/>
        <v>90.099999999997024</v>
      </c>
      <c r="B1810" s="42">
        <f t="shared" si="56"/>
        <v>-7.6612112361603923E-2</v>
      </c>
    </row>
    <row r="1811" spans="1:2" x14ac:dyDescent="0.25">
      <c r="A1811" s="34">
        <f t="shared" si="57"/>
        <v>90.149999999997021</v>
      </c>
      <c r="B1811" s="42">
        <f t="shared" si="56"/>
        <v>8.9820453228077746E-2</v>
      </c>
    </row>
    <row r="1812" spans="1:2" x14ac:dyDescent="0.25">
      <c r="A1812" s="34">
        <f t="shared" si="57"/>
        <v>90.199999999997019</v>
      </c>
      <c r="B1812" s="42">
        <f t="shared" si="56"/>
        <v>0.25326767146047025</v>
      </c>
    </row>
    <row r="1813" spans="1:2" x14ac:dyDescent="0.25">
      <c r="A1813" s="34">
        <f t="shared" si="57"/>
        <v>90.249999999997016</v>
      </c>
      <c r="B1813" s="42">
        <f t="shared" si="56"/>
        <v>0.41223333026262843</v>
      </c>
    </row>
    <row r="1814" spans="1:2" x14ac:dyDescent="0.25">
      <c r="A1814" s="34">
        <f t="shared" si="57"/>
        <v>90.299999999997013</v>
      </c>
      <c r="B1814" s="42">
        <f t="shared" si="56"/>
        <v>0.56528305456284622</v>
      </c>
    </row>
    <row r="1815" spans="1:2" x14ac:dyDescent="0.25">
      <c r="A1815" s="34">
        <f t="shared" si="57"/>
        <v>90.34999999999701</v>
      </c>
      <c r="B1815" s="42">
        <f t="shared" si="56"/>
        <v>0.71105729194856382</v>
      </c>
    </row>
    <row r="1816" spans="1:2" x14ac:dyDescent="0.25">
      <c r="A1816" s="34">
        <f t="shared" si="57"/>
        <v>90.399999999997007</v>
      </c>
      <c r="B1816" s="42">
        <f t="shared" si="56"/>
        <v>0.84828341333567114</v>
      </c>
    </row>
    <row r="1817" spans="1:2" x14ac:dyDescent="0.25">
      <c r="A1817" s="34">
        <f t="shared" si="57"/>
        <v>90.449999999997004</v>
      </c>
      <c r="B1817" s="42">
        <f t="shared" si="56"/>
        <v>0.97578682071499956</v>
      </c>
    </row>
    <row r="1818" spans="1:2" x14ac:dyDescent="0.25">
      <c r="A1818" s="34">
        <f t="shared" si="57"/>
        <v>90.499999999997002</v>
      </c>
      <c r="B1818" s="42">
        <f t="shared" si="56"/>
        <v>1.0925009650508135</v>
      </c>
    </row>
    <row r="1819" spans="1:2" x14ac:dyDescent="0.25">
      <c r="A1819" s="34">
        <f t="shared" si="57"/>
        <v>90.549999999996999</v>
      </c>
      <c r="B1819" s="42">
        <f t="shared" si="56"/>
        <v>1.1974761892590435</v>
      </c>
    </row>
    <row r="1820" spans="1:2" x14ac:dyDescent="0.25">
      <c r="A1820" s="34">
        <f t="shared" si="57"/>
        <v>90.599999999996996</v>
      </c>
      <c r="B1820" s="42">
        <f t="shared" si="56"/>
        <v>1.2898873237672015</v>
      </c>
    </row>
    <row r="1821" spans="1:2" x14ac:dyDescent="0.25">
      <c r="A1821" s="34">
        <f t="shared" si="57"/>
        <v>90.649999999996993</v>
      </c>
      <c r="B1821" s="42">
        <f t="shared" si="56"/>
        <v>1.3690399753167295</v>
      </c>
    </row>
    <row r="1822" spans="1:2" x14ac:dyDescent="0.25">
      <c r="A1822" s="34">
        <f t="shared" si="57"/>
        <v>90.69999999999699</v>
      </c>
      <c r="B1822" s="42">
        <f t="shared" si="56"/>
        <v>1.4343754632738659</v>
      </c>
    </row>
    <row r="1823" spans="1:2" x14ac:dyDescent="0.25">
      <c r="A1823" s="34">
        <f t="shared" si="57"/>
        <v>90.749999999996987</v>
      </c>
      <c r="B1823" s="42">
        <f t="shared" si="56"/>
        <v>1.4854743716308154</v>
      </c>
    </row>
    <row r="1824" spans="1:2" x14ac:dyDescent="0.25">
      <c r="A1824" s="34">
        <f t="shared" si="57"/>
        <v>90.799999999996984</v>
      </c>
      <c r="B1824" s="42">
        <f t="shared" si="56"/>
        <v>1.5220586989581983</v>
      </c>
    </row>
    <row r="1825" spans="1:2" x14ac:dyDescent="0.25">
      <c r="A1825" s="34">
        <f t="shared" si="57"/>
        <v>90.849999999996982</v>
      </c>
      <c r="B1825" s="42">
        <f t="shared" si="56"/>
        <v>1.5439926026693749</v>
      </c>
    </row>
    <row r="1826" spans="1:2" x14ac:dyDescent="0.25">
      <c r="A1826" s="34">
        <f t="shared" si="57"/>
        <v>90.899999999996979</v>
      </c>
      <c r="B1826" s="42">
        <f t="shared" si="56"/>
        <v>1.5512817479402961</v>
      </c>
    </row>
    <row r="1827" spans="1:2" x14ac:dyDescent="0.25">
      <c r="A1827" s="34">
        <f t="shared" si="57"/>
        <v>90.949999999996976</v>
      </c>
      <c r="B1827" s="42">
        <f t="shared" si="56"/>
        <v>1.5440712853512057</v>
      </c>
    </row>
    <row r="1828" spans="1:2" x14ac:dyDescent="0.25">
      <c r="A1828" s="34">
        <f t="shared" si="57"/>
        <v>90.999999999996973</v>
      </c>
      <c r="B1828" s="42">
        <f t="shared" si="56"/>
        <v>1.5226424946437449</v>
      </c>
    </row>
    <row r="1829" spans="1:2" x14ac:dyDescent="0.25">
      <c r="A1829" s="34">
        <f t="shared" si="57"/>
        <v>91.04999999999697</v>
      </c>
      <c r="B1829" s="42">
        <f t="shared" si="56"/>
        <v>1.4874081447933429</v>
      </c>
    </row>
    <row r="1830" spans="1:2" x14ac:dyDescent="0.25">
      <c r="A1830" s="34">
        <f t="shared" si="57"/>
        <v>91.099999999996967</v>
      </c>
      <c r="B1830" s="42">
        <f t="shared" si="56"/>
        <v>1.438906632754122</v>
      </c>
    </row>
    <row r="1831" spans="1:2" x14ac:dyDescent="0.25">
      <c r="A1831" s="34">
        <f t="shared" si="57"/>
        <v>91.149999999996965</v>
      </c>
      <c r="B1831" s="42">
        <f t="shared" si="56"/>
        <v>1.3777949746268792</v>
      </c>
    </row>
    <row r="1832" spans="1:2" x14ac:dyDescent="0.25">
      <c r="A1832" s="34">
        <f t="shared" si="57"/>
        <v>91.199999999996962</v>
      </c>
      <c r="B1832" s="42">
        <f t="shared" si="56"/>
        <v>1.3048407335269763</v>
      </c>
    </row>
    <row r="1833" spans="1:2" x14ac:dyDescent="0.25">
      <c r="A1833" s="34">
        <f t="shared" si="57"/>
        <v>91.249999999996959</v>
      </c>
      <c r="B1833" s="42">
        <f t="shared" si="56"/>
        <v>1.2209129779870171</v>
      </c>
    </row>
    <row r="1834" spans="1:2" x14ac:dyDescent="0.25">
      <c r="A1834" s="34">
        <f t="shared" si="57"/>
        <v>91.299999999996956</v>
      </c>
      <c r="B1834" s="42">
        <f t="shared" si="56"/>
        <v>1.1269723732336607</v>
      </c>
    </row>
    <row r="1835" spans="1:2" x14ac:dyDescent="0.25">
      <c r="A1835" s="34">
        <f t="shared" si="57"/>
        <v>91.349999999996953</v>
      </c>
      <c r="B1835" s="42">
        <f t="shared" si="56"/>
        <v>1.0240605150570716</v>
      </c>
    </row>
    <row r="1836" spans="1:2" x14ac:dyDescent="0.25">
      <c r="A1836" s="34">
        <f t="shared" si="57"/>
        <v>91.39999999999695</v>
      </c>
      <c r="B1836" s="42">
        <f t="shared" si="56"/>
        <v>0.91328862217923312</v>
      </c>
    </row>
    <row r="1837" spans="1:2" x14ac:dyDescent="0.25">
      <c r="A1837" s="34">
        <f t="shared" si="57"/>
        <v>91.449999999996948</v>
      </c>
      <c r="B1837" s="42">
        <f t="shared" si="56"/>
        <v>0.79582570797511587</v>
      </c>
    </row>
    <row r="1838" spans="1:2" x14ac:dyDescent="0.25">
      <c r="A1838" s="34">
        <f t="shared" si="57"/>
        <v>91.499999999996945</v>
      </c>
      <c r="B1838" s="42">
        <f t="shared" si="56"/>
        <v>0.67288635607346503</v>
      </c>
    </row>
    <row r="1839" spans="1:2" x14ac:dyDescent="0.25">
      <c r="A1839" s="34">
        <f t="shared" si="57"/>
        <v>91.549999999996942</v>
      </c>
      <c r="B1839" s="42">
        <f t="shared" si="56"/>
        <v>0.54571822673590775</v>
      </c>
    </row>
    <row r="1840" spans="1:2" x14ac:dyDescent="0.25">
      <c r="A1840" s="34">
        <f t="shared" si="57"/>
        <v>91.599999999996939</v>
      </c>
      <c r="B1840" s="42">
        <f t="shared" si="56"/>
        <v>0.41558942197569215</v>
      </c>
    </row>
    <row r="1841" spans="1:2" x14ac:dyDescent="0.25">
      <c r="A1841" s="34">
        <f t="shared" si="57"/>
        <v>91.649999999996936</v>
      </c>
      <c r="B1841" s="42">
        <f t="shared" si="56"/>
        <v>0.28377583713463328</v>
      </c>
    </row>
    <row r="1842" spans="1:2" x14ac:dyDescent="0.25">
      <c r="A1842" s="34">
        <f t="shared" si="57"/>
        <v>91.699999999996933</v>
      </c>
      <c r="B1842" s="42">
        <f t="shared" si="56"/>
        <v>0.151548625104309</v>
      </c>
    </row>
    <row r="1843" spans="1:2" x14ac:dyDescent="0.25">
      <c r="A1843" s="34">
        <f t="shared" si="57"/>
        <v>91.74999999999693</v>
      </c>
      <c r="B1843" s="42">
        <f t="shared" si="56"/>
        <v>2.0161896586545769E-2</v>
      </c>
    </row>
    <row r="1844" spans="1:2" x14ac:dyDescent="0.25">
      <c r="A1844" s="34">
        <f t="shared" si="57"/>
        <v>91.799999999996928</v>
      </c>
      <c r="B1844" s="42">
        <f t="shared" si="56"/>
        <v>-0.10915922421974544</v>
      </c>
    </row>
    <row r="1845" spans="1:2" x14ac:dyDescent="0.25">
      <c r="A1845" s="34">
        <f t="shared" si="57"/>
        <v>91.849999999996925</v>
      </c>
      <c r="B1845" s="42">
        <f t="shared" si="56"/>
        <v>-0.23523007428885911</v>
      </c>
    </row>
    <row r="1846" spans="1:2" x14ac:dyDescent="0.25">
      <c r="A1846" s="34">
        <f t="shared" si="57"/>
        <v>91.899999999996922</v>
      </c>
      <c r="B1846" s="42">
        <f t="shared" si="56"/>
        <v>-0.35691734884501969</v>
      </c>
    </row>
    <row r="1847" spans="1:2" x14ac:dyDescent="0.25">
      <c r="A1847" s="34">
        <f t="shared" si="57"/>
        <v>91.949999999996919</v>
      </c>
      <c r="B1847" s="42">
        <f t="shared" si="56"/>
        <v>-0.47314932018189149</v>
      </c>
    </row>
    <row r="1848" spans="1:2" x14ac:dyDescent="0.25">
      <c r="A1848" s="34">
        <f t="shared" si="57"/>
        <v>91.999999999996916</v>
      </c>
      <c r="B1848" s="42">
        <f t="shared" si="56"/>
        <v>-0.58292528578206371</v>
      </c>
    </row>
    <row r="1849" spans="1:2" x14ac:dyDescent="0.25">
      <c r="A1849" s="34">
        <f t="shared" si="57"/>
        <v>92.049999999996913</v>
      </c>
      <c r="B1849" s="42">
        <f t="shared" si="56"/>
        <v>-0.6853241623523616</v>
      </c>
    </row>
    <row r="1850" spans="1:2" x14ac:dyDescent="0.25">
      <c r="A1850" s="34">
        <f t="shared" si="57"/>
        <v>92.099999999996911</v>
      </c>
      <c r="B1850" s="42">
        <f t="shared" si="56"/>
        <v>-0.7795121521882139</v>
      </c>
    </row>
    <row r="1851" spans="1:2" x14ac:dyDescent="0.25">
      <c r="A1851" s="34">
        <f t="shared" si="57"/>
        <v>92.149999999996908</v>
      </c>
      <c r="B1851" s="42">
        <f t="shared" si="56"/>
        <v>-0.86474941870500133</v>
      </c>
    </row>
    <row r="1852" spans="1:2" x14ac:dyDescent="0.25">
      <c r="A1852" s="34">
        <f t="shared" si="57"/>
        <v>92.199999999996905</v>
      </c>
      <c r="B1852" s="42">
        <f t="shared" si="56"/>
        <v>-0.94039571891055562</v>
      </c>
    </row>
    <row r="1853" spans="1:2" x14ac:dyDescent="0.25">
      <c r="A1853" s="34">
        <f t="shared" si="57"/>
        <v>92.249999999996902</v>
      </c>
      <c r="B1853" s="42">
        <f t="shared" si="56"/>
        <v>-1.0059149519288653</v>
      </c>
    </row>
    <row r="1854" spans="1:2" x14ac:dyDescent="0.25">
      <c r="A1854" s="34">
        <f t="shared" si="57"/>
        <v>92.299999999996899</v>
      </c>
      <c r="B1854" s="42">
        <f t="shared" si="56"/>
        <v>-1.0608785942896344</v>
      </c>
    </row>
    <row r="1855" spans="1:2" x14ac:dyDescent="0.25">
      <c r="A1855" s="34">
        <f t="shared" si="57"/>
        <v>92.349999999996896</v>
      </c>
      <c r="B1855" s="42">
        <f t="shared" si="56"/>
        <v>-1.1049680044585906</v>
      </c>
    </row>
    <row r="1856" spans="1:2" x14ac:dyDescent="0.25">
      <c r="A1856" s="34">
        <f t="shared" si="57"/>
        <v>92.399999999996894</v>
      </c>
      <c r="B1856" s="42">
        <f t="shared" si="56"/>
        <v>-1.1379755908702953</v>
      </c>
    </row>
    <row r="1857" spans="1:2" x14ac:dyDescent="0.25">
      <c r="A1857" s="34">
        <f t="shared" si="57"/>
        <v>92.449999999996891</v>
      </c>
      <c r="B1857" s="42">
        <f t="shared" si="56"/>
        <v>-1.1598048494166113</v>
      </c>
    </row>
    <row r="1858" spans="1:2" x14ac:dyDescent="0.25">
      <c r="A1858" s="34">
        <f t="shared" si="57"/>
        <v>92.499999999996888</v>
      </c>
      <c r="B1858" s="42">
        <f t="shared" si="56"/>
        <v>-1.1704692878248641</v>
      </c>
    </row>
    <row r="1859" spans="1:2" x14ac:dyDescent="0.25">
      <c r="A1859" s="34">
        <f t="shared" si="57"/>
        <v>92.549999999996885</v>
      </c>
      <c r="B1859" s="42">
        <f t="shared" si="56"/>
        <v>-1.1700902655092271</v>
      </c>
    </row>
    <row r="1860" spans="1:2" x14ac:dyDescent="0.25">
      <c r="A1860" s="34">
        <f t="shared" si="57"/>
        <v>92.599999999996882</v>
      </c>
      <c r="B1860" s="42">
        <f t="shared" si="56"/>
        <v>-1.1588937881852384</v>
      </c>
    </row>
    <row r="1861" spans="1:2" x14ac:dyDescent="0.25">
      <c r="A1861" s="34">
        <f t="shared" si="57"/>
        <v>92.649999999996879</v>
      </c>
      <c r="B1861" s="42">
        <f t="shared" si="56"/>
        <v>-1.1372063066994504</v>
      </c>
    </row>
    <row r="1862" spans="1:2" x14ac:dyDescent="0.25">
      <c r="A1862" s="34">
        <f t="shared" si="57"/>
        <v>92.699999999996876</v>
      </c>
      <c r="B1862" s="42">
        <f t="shared" si="56"/>
        <v>-1.105449579040177</v>
      </c>
    </row>
    <row r="1863" spans="1:2" x14ac:dyDescent="0.25">
      <c r="A1863" s="34">
        <f t="shared" si="57"/>
        <v>92.749999999996874</v>
      </c>
      <c r="B1863" s="42">
        <f t="shared" si="56"/>
        <v>-1.0641346632702691</v>
      </c>
    </row>
    <row r="1864" spans="1:2" x14ac:dyDescent="0.25">
      <c r="A1864" s="34">
        <f t="shared" si="57"/>
        <v>92.799999999996871</v>
      </c>
      <c r="B1864" s="42">
        <f t="shared" ref="B1864:B1927" si="58">-A1_x*SIN(p_x*A1864)+A2_x*SIN(w_x*A1864)</f>
        <v>-1.0138551170804018</v>
      </c>
    </row>
    <row r="1865" spans="1:2" x14ac:dyDescent="0.25">
      <c r="A1865" s="34">
        <f t="shared" ref="A1865:A1928" si="59">A1864+$A$6</f>
        <v>92.849999999996868</v>
      </c>
      <c r="B1865" s="42">
        <f t="shared" si="58"/>
        <v>-0.95527948672379348</v>
      </c>
    </row>
    <row r="1866" spans="1:2" x14ac:dyDescent="0.25">
      <c r="A1866" s="34">
        <f t="shared" si="59"/>
        <v>92.899999999996865</v>
      </c>
      <c r="B1866" s="42">
        <f t="shared" si="58"/>
        <v>-0.88914317419835709</v>
      </c>
    </row>
    <row r="1867" spans="1:2" x14ac:dyDescent="0.25">
      <c r="A1867" s="34">
        <f t="shared" si="59"/>
        <v>92.949999999996862</v>
      </c>
      <c r="B1867" s="42">
        <f t="shared" si="58"/>
        <v>-0.81623977664101055</v>
      </c>
    </row>
    <row r="1868" spans="1:2" x14ac:dyDescent="0.25">
      <c r="A1868" s="34">
        <f t="shared" si="59"/>
        <v>92.999999999996859</v>
      </c>
      <c r="B1868" s="42">
        <f t="shared" si="58"/>
        <v>-0.73741199594612339</v>
      </c>
    </row>
    <row r="1869" spans="1:2" x14ac:dyDescent="0.25">
      <c r="A1869" s="34">
        <f t="shared" si="59"/>
        <v>93.049999999996857</v>
      </c>
      <c r="B1869" s="42">
        <f t="shared" si="58"/>
        <v>-0.65354221958712433</v>
      </c>
    </row>
    <row r="1870" spans="1:2" x14ac:dyDescent="0.25">
      <c r="A1870" s="34">
        <f t="shared" si="59"/>
        <v>93.099999999996854</v>
      </c>
      <c r="B1870" s="42">
        <f t="shared" si="58"/>
        <v>-0.56554287549144266</v>
      </c>
    </row>
    <row r="1871" spans="1:2" x14ac:dyDescent="0.25">
      <c r="A1871" s="34">
        <f t="shared" si="59"/>
        <v>93.149999999996851</v>
      </c>
      <c r="B1871" s="42">
        <f t="shared" si="58"/>
        <v>-0.47434666458470565</v>
      </c>
    </row>
    <row r="1872" spans="1:2" x14ac:dyDescent="0.25">
      <c r="A1872" s="34">
        <f t="shared" si="59"/>
        <v>93.199999999996848</v>
      </c>
      <c r="B1872" s="42">
        <f t="shared" si="58"/>
        <v>-0.38089677428721447</v>
      </c>
    </row>
    <row r="1873" spans="1:2" x14ac:dyDescent="0.25">
      <c r="A1873" s="34">
        <f t="shared" si="59"/>
        <v>93.249999999996845</v>
      </c>
      <c r="B1873" s="42">
        <f t="shared" si="58"/>
        <v>-0.28613717483206313</v>
      </c>
    </row>
    <row r="1874" spans="1:2" x14ac:dyDescent="0.25">
      <c r="A1874" s="34">
        <f t="shared" si="59"/>
        <v>93.299999999996842</v>
      </c>
      <c r="B1874" s="42">
        <f t="shared" si="58"/>
        <v>-0.19100309780607416</v>
      </c>
    </row>
    <row r="1875" spans="1:2" x14ac:dyDescent="0.25">
      <c r="A1875" s="34">
        <f t="shared" si="59"/>
        <v>93.34999999999684</v>
      </c>
      <c r="B1875" s="42">
        <f t="shared" si="58"/>
        <v>-9.6411792832386656E-2</v>
      </c>
    </row>
    <row r="1876" spans="1:2" x14ac:dyDescent="0.25">
      <c r="A1876" s="34">
        <f t="shared" si="59"/>
        <v>93.399999999996837</v>
      </c>
      <c r="B1876" s="42">
        <f t="shared" si="58"/>
        <v>-3.2536538660834502E-3</v>
      </c>
    </row>
    <row r="1877" spans="1:2" x14ac:dyDescent="0.25">
      <c r="A1877" s="34">
        <f t="shared" si="59"/>
        <v>93.449999999996834</v>
      </c>
      <c r="B1877" s="42">
        <f t="shared" si="58"/>
        <v>8.7616198779957966E-2</v>
      </c>
    </row>
    <row r="1878" spans="1:2" x14ac:dyDescent="0.25">
      <c r="A1878" s="34">
        <f t="shared" si="59"/>
        <v>93.499999999996831</v>
      </c>
      <c r="B1878" s="42">
        <f t="shared" si="58"/>
        <v>0.17538580075339261</v>
      </c>
    </row>
    <row r="1879" spans="1:2" x14ac:dyDescent="0.25">
      <c r="A1879" s="34">
        <f t="shared" si="59"/>
        <v>93.549999999996828</v>
      </c>
      <c r="B1879" s="42">
        <f t="shared" si="58"/>
        <v>0.2592936173535807</v>
      </c>
    </row>
    <row r="1880" spans="1:2" x14ac:dyDescent="0.25">
      <c r="A1880" s="34">
        <f t="shared" si="59"/>
        <v>93.599999999996825</v>
      </c>
      <c r="B1880" s="42">
        <f t="shared" si="58"/>
        <v>0.3386351432571999</v>
      </c>
    </row>
    <row r="1881" spans="1:2" x14ac:dyDescent="0.25">
      <c r="A1881" s="34">
        <f t="shared" si="59"/>
        <v>93.649999999996822</v>
      </c>
      <c r="B1881" s="42">
        <f t="shared" si="58"/>
        <v>0.41276877116025279</v>
      </c>
    </row>
    <row r="1882" spans="1:2" x14ac:dyDescent="0.25">
      <c r="A1882" s="34">
        <f t="shared" si="59"/>
        <v>93.69999999999682</v>
      </c>
      <c r="B1882" s="42">
        <f t="shared" si="58"/>
        <v>0.48112088093387317</v>
      </c>
    </row>
    <row r="1883" spans="1:2" x14ac:dyDescent="0.25">
      <c r="A1883" s="34">
        <f t="shared" si="59"/>
        <v>93.749999999996817</v>
      </c>
      <c r="B1883" s="42">
        <f t="shared" si="58"/>
        <v>0.54319011000055872</v>
      </c>
    </row>
    <row r="1884" spans="1:2" x14ac:dyDescent="0.25">
      <c r="A1884" s="34">
        <f t="shared" si="59"/>
        <v>93.799999999996814</v>
      </c>
      <c r="B1884" s="42">
        <f t="shared" si="58"/>
        <v>0.59855077503674214</v>
      </c>
    </row>
    <row r="1885" spans="1:2" x14ac:dyDescent="0.25">
      <c r="A1885" s="34">
        <f t="shared" si="59"/>
        <v>93.849999999996811</v>
      </c>
      <c r="B1885" s="42">
        <f t="shared" si="58"/>
        <v>0.64685542469613311</v>
      </c>
    </row>
    <row r="1886" spans="1:2" x14ac:dyDescent="0.25">
      <c r="A1886" s="34">
        <f t="shared" si="59"/>
        <v>93.899999999996808</v>
      </c>
      <c r="B1886" s="42">
        <f t="shared" si="58"/>
        <v>0.68783651271746449</v>
      </c>
    </row>
    <row r="1887" spans="1:2" x14ac:dyDescent="0.25">
      <c r="A1887" s="34">
        <f t="shared" si="59"/>
        <v>93.949999999996805</v>
      </c>
      <c r="B1887" s="42">
        <f t="shared" si="58"/>
        <v>0.72130719042410618</v>
      </c>
    </row>
    <row r="1888" spans="1:2" x14ac:dyDescent="0.25">
      <c r="A1888" s="34">
        <f t="shared" si="59"/>
        <v>93.999999999996803</v>
      </c>
      <c r="B1888" s="42">
        <f t="shared" si="58"/>
        <v>0.7471612271419823</v>
      </c>
    </row>
    <row r="1889" spans="1:2" x14ac:dyDescent="0.25">
      <c r="A1889" s="34">
        <f t="shared" si="59"/>
        <v>94.0499999999968</v>
      </c>
      <c r="B1889" s="42">
        <f t="shared" si="58"/>
        <v>0.76537207635106186</v>
      </c>
    </row>
    <row r="1890" spans="1:2" x14ac:dyDescent="0.25">
      <c r="A1890" s="34">
        <f t="shared" si="59"/>
        <v>94.099999999996797</v>
      </c>
      <c r="B1890" s="42">
        <f t="shared" si="58"/>
        <v>0.77599111434601076</v>
      </c>
    </row>
    <row r="1891" spans="1:2" x14ac:dyDescent="0.25">
      <c r="A1891" s="34">
        <f t="shared" si="59"/>
        <v>94.149999999996794</v>
      </c>
      <c r="B1891" s="42">
        <f t="shared" si="58"/>
        <v>0.77914508672489458</v>
      </c>
    </row>
    <row r="1892" spans="1:2" x14ac:dyDescent="0.25">
      <c r="A1892" s="34">
        <f t="shared" si="59"/>
        <v>94.199999999996791</v>
      </c>
      <c r="B1892" s="42">
        <f t="shared" si="58"/>
        <v>0.77503280605887381</v>
      </c>
    </row>
    <row r="1893" spans="1:2" x14ac:dyDescent="0.25">
      <c r="A1893" s="34">
        <f t="shared" si="59"/>
        <v>94.249999999996788</v>
      </c>
      <c r="B1893" s="42">
        <f t="shared" si="58"/>
        <v>0.76392115153868634</v>
      </c>
    </row>
    <row r="1894" spans="1:2" x14ac:dyDescent="0.25">
      <c r="A1894" s="34">
        <f t="shared" si="59"/>
        <v>94.299999999996786</v>
      </c>
      <c r="B1894" s="42">
        <f t="shared" si="58"/>
        <v>0.74614042817843473</v>
      </c>
    </row>
    <row r="1895" spans="1:2" x14ac:dyDescent="0.25">
      <c r="A1895" s="34">
        <f t="shared" si="59"/>
        <v>94.349999999996783</v>
      </c>
      <c r="B1895" s="42">
        <f t="shared" si="58"/>
        <v>0.72207914920648875</v>
      </c>
    </row>
    <row r="1896" spans="1:2" x14ac:dyDescent="0.25">
      <c r="A1896" s="34">
        <f t="shared" si="59"/>
        <v>94.39999999999678</v>
      </c>
      <c r="B1896" s="42">
        <f t="shared" si="58"/>
        <v>0.6921783105409649</v>
      </c>
    </row>
    <row r="1897" spans="1:2" x14ac:dyDescent="0.25">
      <c r="A1897" s="34">
        <f t="shared" si="59"/>
        <v>94.449999999996777</v>
      </c>
      <c r="B1897" s="42">
        <f t="shared" si="58"/>
        <v>0.65692523067771236</v>
      </c>
    </row>
    <row r="1898" spans="1:2" x14ac:dyDescent="0.25">
      <c r="A1898" s="34">
        <f t="shared" si="59"/>
        <v>94.499999999996774</v>
      </c>
      <c r="B1898" s="42">
        <f t="shared" si="58"/>
        <v>0.61684703287452658</v>
      </c>
    </row>
    <row r="1899" spans="1:2" x14ac:dyDescent="0.25">
      <c r="A1899" s="34">
        <f t="shared" si="59"/>
        <v>94.549999999996771</v>
      </c>
      <c r="B1899" s="42">
        <f t="shared" si="58"/>
        <v>0.57250384917148667</v>
      </c>
    </row>
    <row r="1900" spans="1:2" x14ac:dyDescent="0.25">
      <c r="A1900" s="34">
        <f t="shared" si="59"/>
        <v>94.599999999996768</v>
      </c>
      <c r="B1900" s="42">
        <f t="shared" si="58"/>
        <v>0.52448182752107919</v>
      </c>
    </row>
    <row r="1901" spans="1:2" x14ac:dyDescent="0.25">
      <c r="A1901" s="34">
        <f t="shared" si="59"/>
        <v>94.649999999996766</v>
      </c>
      <c r="B1901" s="42">
        <f t="shared" si="58"/>
        <v>0.47338602410583785</v>
      </c>
    </row>
    <row r="1902" spans="1:2" x14ac:dyDescent="0.25">
      <c r="A1902" s="34">
        <f t="shared" si="59"/>
        <v>94.699999999996763</v>
      </c>
      <c r="B1902" s="42">
        <f t="shared" si="58"/>
        <v>0.41983326280056965</v>
      </c>
    </row>
    <row r="1903" spans="1:2" x14ac:dyDescent="0.25">
      <c r="A1903" s="34">
        <f t="shared" si="59"/>
        <v>94.74999999999676</v>
      </c>
      <c r="B1903" s="42">
        <f t="shared" si="58"/>
        <v>0.36444504269961442</v>
      </c>
    </row>
    <row r="1904" spans="1:2" x14ac:dyDescent="0.25">
      <c r="A1904" s="34">
        <f t="shared" si="59"/>
        <v>94.799999999996757</v>
      </c>
      <c r="B1904" s="42">
        <f t="shared" si="58"/>
        <v>0.30784057270038612</v>
      </c>
    </row>
    <row r="1905" spans="1:2" x14ac:dyDescent="0.25">
      <c r="A1905" s="34">
        <f t="shared" si="59"/>
        <v>94.849999999996754</v>
      </c>
      <c r="B1905" s="42">
        <f t="shared" si="58"/>
        <v>0.25063000934639001</v>
      </c>
    </row>
    <row r="1906" spans="1:2" x14ac:dyDescent="0.25">
      <c r="A1906" s="34">
        <f t="shared" si="59"/>
        <v>94.899999999996751</v>
      </c>
      <c r="B1906" s="42">
        <f t="shared" si="58"/>
        <v>0.19340797052450198</v>
      </c>
    </row>
    <row r="1907" spans="1:2" x14ac:dyDescent="0.25">
      <c r="A1907" s="34">
        <f t="shared" si="59"/>
        <v>94.949999999996749</v>
      </c>
      <c r="B1907" s="42">
        <f t="shared" si="58"/>
        <v>0.13674739323373974</v>
      </c>
    </row>
    <row r="1908" spans="1:2" x14ac:dyDescent="0.25">
      <c r="A1908" s="34">
        <f t="shared" si="59"/>
        <v>94.999999999996746</v>
      </c>
      <c r="B1908" s="42">
        <f t="shared" si="58"/>
        <v>8.1193798554414665E-2</v>
      </c>
    </row>
    <row r="1909" spans="1:2" x14ac:dyDescent="0.25">
      <c r="A1909" s="34">
        <f t="shared" si="59"/>
        <v>95.049999999996743</v>
      </c>
      <c r="B1909" s="42">
        <f t="shared" si="58"/>
        <v>2.7260021211252372E-2</v>
      </c>
    </row>
    <row r="1910" spans="1:2" x14ac:dyDescent="0.25">
      <c r="A1910" s="34">
        <f t="shared" si="59"/>
        <v>95.09999999999674</v>
      </c>
      <c r="B1910" s="42">
        <f t="shared" si="58"/>
        <v>-2.4578545184814615E-2</v>
      </c>
    </row>
    <row r="1911" spans="1:2" x14ac:dyDescent="0.25">
      <c r="A1911" s="34">
        <f t="shared" si="59"/>
        <v>95.149999999996737</v>
      </c>
      <c r="B1911" s="42">
        <f t="shared" si="58"/>
        <v>-7.3888142937310164E-2</v>
      </c>
    </row>
    <row r="1912" spans="1:2" x14ac:dyDescent="0.25">
      <c r="A1912" s="34">
        <f t="shared" si="59"/>
        <v>95.199999999996734</v>
      </c>
      <c r="B1912" s="42">
        <f t="shared" si="58"/>
        <v>-0.12028024804881077</v>
      </c>
    </row>
    <row r="1913" spans="1:2" x14ac:dyDescent="0.25">
      <c r="A1913" s="34">
        <f t="shared" si="59"/>
        <v>95.249999999996732</v>
      </c>
      <c r="B1913" s="42">
        <f t="shared" si="58"/>
        <v>-0.16341454147810297</v>
      </c>
    </row>
    <row r="1914" spans="1:2" x14ac:dyDescent="0.25">
      <c r="A1914" s="34">
        <f t="shared" si="59"/>
        <v>95.299999999996729</v>
      </c>
      <c r="B1914" s="42">
        <f t="shared" si="58"/>
        <v>-0.20300123214537935</v>
      </c>
    </row>
    <row r="1915" spans="1:2" x14ac:dyDescent="0.25">
      <c r="A1915" s="34">
        <f t="shared" si="59"/>
        <v>95.349999999996726</v>
      </c>
      <c r="B1915" s="42">
        <f t="shared" si="58"/>
        <v>-0.23880271789513241</v>
      </c>
    </row>
    <row r="1916" spans="1:2" x14ac:dyDescent="0.25">
      <c r="A1916" s="34">
        <f t="shared" si="59"/>
        <v>95.399999999996723</v>
      </c>
      <c r="B1916" s="42">
        <f t="shared" si="58"/>
        <v>-0.27063457861462292</v>
      </c>
    </row>
    <row r="1917" spans="1:2" x14ac:dyDescent="0.25">
      <c r="A1917" s="34">
        <f t="shared" si="59"/>
        <v>95.44999999999672</v>
      </c>
      <c r="B1917" s="42">
        <f t="shared" si="58"/>
        <v>-0.29836590365951565</v>
      </c>
    </row>
    <row r="1918" spans="1:2" x14ac:dyDescent="0.25">
      <c r="A1918" s="34">
        <f t="shared" si="59"/>
        <v>95.499999999996717</v>
      </c>
      <c r="B1918" s="42">
        <f t="shared" si="58"/>
        <v>-0.32191896356432559</v>
      </c>
    </row>
    <row r="1919" spans="1:2" x14ac:dyDescent="0.25">
      <c r="A1919" s="34">
        <f t="shared" si="59"/>
        <v>95.549999999996714</v>
      </c>
      <c r="B1919" s="42">
        <f t="shared" si="58"/>
        <v>-0.34126824362424113</v>
      </c>
    </row>
    <row r="1920" spans="1:2" x14ac:dyDescent="0.25">
      <c r="A1920" s="34">
        <f t="shared" si="59"/>
        <v>95.599999999996712</v>
      </c>
      <c r="B1920" s="42">
        <f t="shared" si="58"/>
        <v>-0.35643886424551807</v>
      </c>
    </row>
    <row r="1921" spans="1:2" x14ac:dyDescent="0.25">
      <c r="A1921" s="34">
        <f t="shared" si="59"/>
        <v>95.649999999996709</v>
      </c>
      <c r="B1921" s="42">
        <f t="shared" si="58"/>
        <v>-0.36750441988921928</v>
      </c>
    </row>
    <row r="1922" spans="1:2" x14ac:dyDescent="0.25">
      <c r="A1922" s="34">
        <f t="shared" si="59"/>
        <v>95.699999999996706</v>
      </c>
      <c r="B1922" s="42">
        <f t="shared" si="58"/>
        <v>-0.37458427490075741</v>
      </c>
    </row>
    <row r="1923" spans="1:2" x14ac:dyDescent="0.25">
      <c r="A1923" s="34">
        <f t="shared" si="59"/>
        <v>95.749999999996703</v>
      </c>
      <c r="B1923" s="42">
        <f t="shared" si="58"/>
        <v>-0.37784036045964986</v>
      </c>
    </row>
    <row r="1924" spans="1:2" x14ac:dyDescent="0.25">
      <c r="A1924" s="34">
        <f t="shared" si="59"/>
        <v>95.7999999999967</v>
      </c>
      <c r="B1924" s="42">
        <f t="shared" si="58"/>
        <v>-0.37747352223202757</v>
      </c>
    </row>
    <row r="1925" spans="1:2" x14ac:dyDescent="0.25">
      <c r="A1925" s="34">
        <f t="shared" si="59"/>
        <v>95.849999999996697</v>
      </c>
      <c r="B1925" s="42">
        <f t="shared" si="58"/>
        <v>-0.37371947300581276</v>
      </c>
    </row>
    <row r="1926" spans="1:2" x14ac:dyDescent="0.25">
      <c r="A1926" s="34">
        <f t="shared" si="59"/>
        <v>95.899999999996695</v>
      </c>
      <c r="B1926" s="42">
        <f t="shared" si="58"/>
        <v>-0.36684440859108391</v>
      </c>
    </row>
    <row r="1927" spans="1:2" x14ac:dyDescent="0.25">
      <c r="A1927" s="34">
        <f t="shared" si="59"/>
        <v>95.949999999996692</v>
      </c>
      <c r="B1927" s="42">
        <f t="shared" si="58"/>
        <v>-0.35714034853083743</v>
      </c>
    </row>
    <row r="1928" spans="1:2" x14ac:dyDescent="0.25">
      <c r="A1928" s="34">
        <f t="shared" si="59"/>
        <v>95.999999999996689</v>
      </c>
      <c r="B1928" s="42">
        <f t="shared" ref="B1928:B1991" si="60">-A1_x*SIN(p_x*A1928)+A2_x*SIN(w_x*A1928)</f>
        <v>-0.34492026565851586</v>
      </c>
    </row>
    <row r="1929" spans="1:2" x14ac:dyDescent="0.25">
      <c r="A1929" s="34">
        <f t="shared" ref="A1929:A1992" si="61">A1928+$A$6</f>
        <v>96.049999999996686</v>
      </c>
      <c r="B1929" s="42">
        <f t="shared" si="60"/>
        <v>-0.33051307024018628</v>
      </c>
    </row>
    <row r="1930" spans="1:2" x14ac:dyDescent="0.25">
      <c r="A1930" s="34">
        <f t="shared" si="61"/>
        <v>96.099999999996683</v>
      </c>
      <c r="B1930" s="42">
        <f t="shared" si="60"/>
        <v>-0.31425851533297322</v>
      </c>
    </row>
    <row r="1931" spans="1:2" x14ac:dyDescent="0.25">
      <c r="A1931" s="34">
        <f t="shared" si="61"/>
        <v>96.14999999999668</v>
      </c>
      <c r="B1931" s="42">
        <f t="shared" si="60"/>
        <v>-0.29650209007371586</v>
      </c>
    </row>
    <row r="1932" spans="1:2" x14ac:dyDescent="0.25">
      <c r="A1932" s="34">
        <f t="shared" si="61"/>
        <v>96.199999999996678</v>
      </c>
      <c r="B1932" s="42">
        <f t="shared" si="60"/>
        <v>-0.27758996689212534</v>
      </c>
    </row>
    <row r="1933" spans="1:2" x14ac:dyDescent="0.25">
      <c r="A1933" s="34">
        <f t="shared" si="61"/>
        <v>96.249999999996675</v>
      </c>
      <c r="B1933" s="42">
        <f t="shared" si="60"/>
        <v>-0.25786406713109877</v>
      </c>
    </row>
    <row r="1934" spans="1:2" x14ac:dyDescent="0.25">
      <c r="A1934" s="34">
        <f t="shared" si="61"/>
        <v>96.299999999996672</v>
      </c>
      <c r="B1934" s="42">
        <f t="shared" si="60"/>
        <v>-0.23765730727748746</v>
      </c>
    </row>
    <row r="1935" spans="1:2" x14ac:dyDescent="0.25">
      <c r="A1935" s="34">
        <f t="shared" si="61"/>
        <v>96.349999999996669</v>
      </c>
      <c r="B1935" s="42">
        <f t="shared" si="60"/>
        <v>-0.21728908499626676</v>
      </c>
    </row>
    <row r="1936" spans="1:2" x14ac:dyDescent="0.25">
      <c r="A1936" s="34">
        <f t="shared" si="61"/>
        <v>96.399999999996666</v>
      </c>
      <c r="B1936" s="42">
        <f t="shared" si="60"/>
        <v>-0.19706106045297411</v>
      </c>
    </row>
    <row r="1937" spans="1:2" x14ac:dyDescent="0.25">
      <c r="A1937" s="34">
        <f t="shared" si="61"/>
        <v>96.449999999996663</v>
      </c>
      <c r="B1937" s="42">
        <f t="shared" si="60"/>
        <v>-0.1772532840593477</v>
      </c>
    </row>
    <row r="1938" spans="1:2" x14ac:dyDescent="0.25">
      <c r="A1938" s="34">
        <f t="shared" si="61"/>
        <v>96.49999999999666</v>
      </c>
      <c r="B1938" s="42">
        <f t="shared" si="60"/>
        <v>-0.15812071683599438</v>
      </c>
    </row>
    <row r="1939" spans="1:2" x14ac:dyDescent="0.25">
      <c r="A1939" s="34">
        <f t="shared" si="61"/>
        <v>96.549999999996658</v>
      </c>
      <c r="B1939" s="42">
        <f t="shared" si="60"/>
        <v>-0.13989018411761189</v>
      </c>
    </row>
    <row r="1940" spans="1:2" x14ac:dyDescent="0.25">
      <c r="A1940" s="34">
        <f t="shared" si="61"/>
        <v>96.599999999996655</v>
      </c>
      <c r="B1940" s="42">
        <f t="shared" si="60"/>
        <v>-0.12275779740001957</v>
      </c>
    </row>
    <row r="1941" spans="1:2" x14ac:dyDescent="0.25">
      <c r="A1941" s="34">
        <f t="shared" si="61"/>
        <v>96.649999999996652</v>
      </c>
      <c r="B1941" s="42">
        <f t="shared" si="60"/>
        <v>-0.10688687281512332</v>
      </c>
    </row>
    <row r="1942" spans="1:2" x14ac:dyDescent="0.25">
      <c r="A1942" s="34">
        <f t="shared" si="61"/>
        <v>96.699999999996649</v>
      </c>
      <c r="B1942" s="42">
        <f t="shared" si="60"/>
        <v>-9.2406368098775227E-2</v>
      </c>
    </row>
    <row r="1943" spans="1:2" x14ac:dyDescent="0.25">
      <c r="A1943" s="34">
        <f t="shared" si="61"/>
        <v>96.749999999996646</v>
      </c>
      <c r="B1943" s="42">
        <f t="shared" si="60"/>
        <v>-7.9409853067686553E-2</v>
      </c>
    </row>
    <row r="1944" spans="1:2" x14ac:dyDescent="0.25">
      <c r="A1944" s="34">
        <f t="shared" si="61"/>
        <v>96.799999999996643</v>
      </c>
      <c r="B1944" s="42">
        <f t="shared" si="60"/>
        <v>-6.7955021627396528E-2</v>
      </c>
    </row>
    <row r="1945" spans="1:2" x14ac:dyDescent="0.25">
      <c r="A1945" s="34">
        <f t="shared" si="61"/>
        <v>96.849999999996641</v>
      </c>
      <c r="B1945" s="42">
        <f t="shared" si="60"/>
        <v>-5.80637462796183E-2</v>
      </c>
    </row>
    <row r="1946" spans="1:2" x14ac:dyDescent="0.25">
      <c r="A1946" s="34">
        <f t="shared" si="61"/>
        <v>96.899999999996638</v>
      </c>
      <c r="B1946" s="42">
        <f t="shared" si="60"/>
        <v>-4.9722669067417513E-2</v>
      </c>
    </row>
    <row r="1947" spans="1:2" x14ac:dyDescent="0.25">
      <c r="A1947" s="34">
        <f t="shared" si="61"/>
        <v>96.949999999996635</v>
      </c>
      <c r="B1947" s="42">
        <f t="shared" si="60"/>
        <v>-4.2884315975479925E-2</v>
      </c>
    </row>
    <row r="1948" spans="1:2" x14ac:dyDescent="0.25">
      <c r="A1948" s="34">
        <f t="shared" si="61"/>
        <v>96.999999999996632</v>
      </c>
      <c r="B1948" s="42">
        <f t="shared" si="60"/>
        <v>-3.7468715074346681E-2</v>
      </c>
    </row>
    <row r="1949" spans="1:2" x14ac:dyDescent="0.25">
      <c r="A1949" s="34">
        <f t="shared" si="61"/>
        <v>97.049999999996629</v>
      </c>
      <c r="B1949" s="42">
        <f t="shared" si="60"/>
        <v>-3.3365492239550543E-2</v>
      </c>
    </row>
    <row r="1950" spans="1:2" x14ac:dyDescent="0.25">
      <c r="A1950" s="34">
        <f t="shared" si="61"/>
        <v>97.099999999996626</v>
      </c>
      <c r="B1950" s="42">
        <f t="shared" si="60"/>
        <v>-3.0436412167914817E-2</v>
      </c>
    </row>
    <row r="1951" spans="1:2" x14ac:dyDescent="0.25">
      <c r="A1951" s="34">
        <f t="shared" si="61"/>
        <v>97.149999999996624</v>
      </c>
      <c r="B1951" s="42">
        <f t="shared" si="60"/>
        <v>-2.8518326727706156E-2</v>
      </c>
    </row>
    <row r="1952" spans="1:2" x14ac:dyDescent="0.25">
      <c r="A1952" s="34">
        <f t="shared" si="61"/>
        <v>97.199999999996621</v>
      </c>
      <c r="B1952" s="42">
        <f t="shared" si="60"/>
        <v>-2.7426487480864403E-2</v>
      </c>
    </row>
    <row r="1953" spans="1:2" x14ac:dyDescent="0.25">
      <c r="A1953" s="34">
        <f t="shared" si="61"/>
        <v>97.249999999996618</v>
      </c>
      <c r="B1953" s="42">
        <f t="shared" si="60"/>
        <v>-2.6958174568895155E-2</v>
      </c>
    </row>
    <row r="1954" spans="1:2" x14ac:dyDescent="0.25">
      <c r="A1954" s="34">
        <f t="shared" si="61"/>
        <v>97.299999999996615</v>
      </c>
      <c r="B1954" s="42">
        <f t="shared" si="60"/>
        <v>-2.6896590115332908E-2</v>
      </c>
    </row>
    <row r="1955" spans="1:2" x14ac:dyDescent="0.25">
      <c r="A1955" s="34">
        <f t="shared" si="61"/>
        <v>97.349999999996612</v>
      </c>
      <c r="B1955" s="42">
        <f t="shared" si="60"/>
        <v>-2.7014960910636349E-2</v>
      </c>
    </row>
    <row r="1956" spans="1:2" x14ac:dyDescent="0.25">
      <c r="A1956" s="34">
        <f t="shared" si="61"/>
        <v>97.399999999996609</v>
      </c>
      <c r="B1956" s="42">
        <f t="shared" si="60"/>
        <v>-2.7080792454177889E-2</v>
      </c>
    </row>
    <row r="1957" spans="1:2" x14ac:dyDescent="0.25">
      <c r="A1957" s="34">
        <f t="shared" si="61"/>
        <v>97.449999999996606</v>
      </c>
      <c r="B1957" s="42">
        <f t="shared" si="60"/>
        <v>-2.6860214465281085E-2</v>
      </c>
    </row>
    <row r="1958" spans="1:2" x14ac:dyDescent="0.25">
      <c r="A1958" s="34">
        <f t="shared" si="61"/>
        <v>97.499999999996604</v>
      </c>
      <c r="B1958" s="42">
        <f t="shared" si="60"/>
        <v>-2.6122356759913257E-2</v>
      </c>
    </row>
    <row r="1959" spans="1:2" x14ac:dyDescent="0.25">
      <c r="A1959" s="34">
        <f t="shared" si="61"/>
        <v>97.549999999996601</v>
      </c>
      <c r="B1959" s="42">
        <f t="shared" si="60"/>
        <v>-2.4643693940888056E-2</v>
      </c>
    </row>
    <row r="1960" spans="1:2" x14ac:dyDescent="0.25">
      <c r="A1960" s="34">
        <f t="shared" si="61"/>
        <v>97.599999999996598</v>
      </c>
      <c r="B1960" s="42">
        <f t="shared" si="60"/>
        <v>-2.2212297673163239E-2</v>
      </c>
    </row>
    <row r="1961" spans="1:2" x14ac:dyDescent="0.25">
      <c r="A1961" s="34">
        <f t="shared" si="61"/>
        <v>97.649999999996595</v>
      </c>
      <c r="B1961" s="42">
        <f t="shared" si="60"/>
        <v>-1.8631936404023608E-2</v>
      </c>
    </row>
    <row r="1962" spans="1:2" x14ac:dyDescent="0.25">
      <c r="A1962" s="34">
        <f t="shared" si="61"/>
        <v>97.699999999996592</v>
      </c>
      <c r="B1962" s="42">
        <f t="shared" si="60"/>
        <v>-1.3725964233010979E-2</v>
      </c>
    </row>
    <row r="1963" spans="1:2" x14ac:dyDescent="0.25">
      <c r="A1963" s="34">
        <f t="shared" si="61"/>
        <v>97.749999999996589</v>
      </c>
      <c r="B1963" s="42">
        <f t="shared" si="60"/>
        <v>-7.3409432169138089E-3</v>
      </c>
    </row>
    <row r="1964" spans="1:2" x14ac:dyDescent="0.25">
      <c r="A1964" s="34">
        <f t="shared" si="61"/>
        <v>97.799999999996587</v>
      </c>
      <c r="B1964" s="42">
        <f t="shared" si="60"/>
        <v>6.5005332327494614E-4</v>
      </c>
    </row>
    <row r="1965" spans="1:2" x14ac:dyDescent="0.25">
      <c r="A1965" s="34">
        <f t="shared" si="61"/>
        <v>97.849999999996584</v>
      </c>
      <c r="B1965" s="42">
        <f t="shared" si="60"/>
        <v>1.0344504977358948E-2</v>
      </c>
    </row>
    <row r="1966" spans="1:2" x14ac:dyDescent="0.25">
      <c r="A1966" s="34">
        <f t="shared" si="61"/>
        <v>97.899999999996581</v>
      </c>
      <c r="B1966" s="42">
        <f t="shared" si="60"/>
        <v>2.1807919816844379E-2</v>
      </c>
    </row>
    <row r="1967" spans="1:2" x14ac:dyDescent="0.25">
      <c r="A1967" s="34">
        <f t="shared" si="61"/>
        <v>97.949999999996578</v>
      </c>
      <c r="B1967" s="42">
        <f t="shared" si="60"/>
        <v>3.5071760142024955E-2</v>
      </c>
    </row>
    <row r="1968" spans="1:2" x14ac:dyDescent="0.25">
      <c r="A1968" s="34">
        <f t="shared" si="61"/>
        <v>97.999999999996575</v>
      </c>
      <c r="B1968" s="42">
        <f t="shared" si="60"/>
        <v>5.0131851544204853E-2</v>
      </c>
    </row>
    <row r="1969" spans="1:2" x14ac:dyDescent="0.25">
      <c r="A1969" s="34">
        <f t="shared" si="61"/>
        <v>98.049999999996572</v>
      </c>
      <c r="B1969" s="42">
        <f t="shared" si="60"/>
        <v>6.6947302340446768E-2</v>
      </c>
    </row>
    <row r="1970" spans="1:2" x14ac:dyDescent="0.25">
      <c r="A1970" s="34">
        <f t="shared" si="61"/>
        <v>98.099999999996569</v>
      </c>
      <c r="B1970" s="42">
        <f t="shared" si="60"/>
        <v>8.5439953990662731E-2</v>
      </c>
    </row>
    <row r="1971" spans="1:2" x14ac:dyDescent="0.25">
      <c r="A1971" s="34">
        <f t="shared" si="61"/>
        <v>98.149999999996567</v>
      </c>
      <c r="B1971" s="42">
        <f t="shared" si="60"/>
        <v>0.10549437636617442</v>
      </c>
    </row>
    <row r="1972" spans="1:2" x14ac:dyDescent="0.25">
      <c r="A1972" s="34">
        <f t="shared" si="61"/>
        <v>98.199999999996564</v>
      </c>
      <c r="B1972" s="42">
        <f t="shared" si="60"/>
        <v>0.12695841478618242</v>
      </c>
    </row>
    <row r="1973" spans="1:2" x14ac:dyDescent="0.25">
      <c r="A1973" s="34">
        <f t="shared" si="61"/>
        <v>98.249999999996561</v>
      </c>
      <c r="B1973" s="42">
        <f t="shared" si="60"/>
        <v>0.14964428865793811</v>
      </c>
    </row>
    <row r="1974" spans="1:2" x14ac:dyDescent="0.25">
      <c r="A1974" s="34">
        <f t="shared" si="61"/>
        <v>98.299999999996558</v>
      </c>
      <c r="B1974" s="42">
        <f t="shared" si="60"/>
        <v>0.17333023442995654</v>
      </c>
    </row>
    <row r="1975" spans="1:2" x14ac:dyDescent="0.25">
      <c r="A1975" s="34">
        <f t="shared" si="61"/>
        <v>98.349999999996555</v>
      </c>
      <c r="B1975" s="42">
        <f t="shared" si="60"/>
        <v>0.19776267848214024</v>
      </c>
    </row>
    <row r="1976" spans="1:2" x14ac:dyDescent="0.25">
      <c r="A1976" s="34">
        <f t="shared" si="61"/>
        <v>98.399999999996552</v>
      </c>
      <c r="B1976" s="42">
        <f t="shared" si="60"/>
        <v>0.22265891861713438</v>
      </c>
    </row>
    <row r="1977" spans="1:2" x14ac:dyDescent="0.25">
      <c r="A1977" s="34">
        <f t="shared" si="61"/>
        <v>98.44999999999655</v>
      </c>
      <c r="B1977" s="42">
        <f t="shared" si="60"/>
        <v>0.24771028606744783</v>
      </c>
    </row>
    <row r="1978" spans="1:2" x14ac:dyDescent="0.25">
      <c r="A1978" s="34">
        <f t="shared" si="61"/>
        <v>98.499999999996547</v>
      </c>
      <c r="B1978" s="42">
        <f t="shared" si="60"/>
        <v>0.27258575347512548</v>
      </c>
    </row>
    <row r="1979" spans="1:2" x14ac:dyDescent="0.25">
      <c r="A1979" s="34">
        <f t="shared" si="61"/>
        <v>98.549999999996544</v>
      </c>
      <c r="B1979" s="42">
        <f t="shared" si="60"/>
        <v>0.29693594821347902</v>
      </c>
    </row>
    <row r="1980" spans="1:2" x14ac:dyDescent="0.25">
      <c r="A1980" s="34">
        <f t="shared" si="61"/>
        <v>98.599999999996541</v>
      </c>
      <c r="B1980" s="42">
        <f t="shared" si="60"/>
        <v>0.32039752478013961</v>
      </c>
    </row>
    <row r="1981" spans="1:2" x14ac:dyDescent="0.25">
      <c r="A1981" s="34">
        <f t="shared" si="61"/>
        <v>98.649999999996538</v>
      </c>
      <c r="B1981" s="42">
        <f t="shared" si="60"/>
        <v>0.34259784486568723</v>
      </c>
    </row>
    <row r="1982" spans="1:2" x14ac:dyDescent="0.25">
      <c r="A1982" s="34">
        <f t="shared" si="61"/>
        <v>98.699999999996535</v>
      </c>
      <c r="B1982" s="42">
        <f t="shared" si="60"/>
        <v>0.36315990915808194</v>
      </c>
    </row>
    <row r="1983" spans="1:2" x14ac:dyDescent="0.25">
      <c r="A1983" s="34">
        <f t="shared" si="61"/>
        <v>98.749999999996533</v>
      </c>
      <c r="B1983" s="42">
        <f t="shared" si="60"/>
        <v>0.38170748103966301</v>
      </c>
    </row>
    <row r="1984" spans="1:2" x14ac:dyDescent="0.25">
      <c r="A1984" s="34">
        <f t="shared" si="61"/>
        <v>98.79999999999653</v>
      </c>
      <c r="B1984" s="42">
        <f t="shared" si="60"/>
        <v>0.39787033911847258</v>
      </c>
    </row>
    <row r="1985" spans="1:2" x14ac:dyDescent="0.25">
      <c r="A1985" s="34">
        <f t="shared" si="61"/>
        <v>98.849999999996527</v>
      </c>
      <c r="B1985" s="42">
        <f t="shared" si="60"/>
        <v>0.41128959305501456</v>
      </c>
    </row>
    <row r="1986" spans="1:2" x14ac:dyDescent="0.25">
      <c r="A1986" s="34">
        <f t="shared" si="61"/>
        <v>98.899999999996524</v>
      </c>
      <c r="B1986" s="42">
        <f t="shared" si="60"/>
        <v>0.42162299543549053</v>
      </c>
    </row>
    <row r="1987" spans="1:2" x14ac:dyDescent="0.25">
      <c r="A1987" s="34">
        <f t="shared" si="61"/>
        <v>98.949999999996521</v>
      </c>
      <c r="B1987" s="42">
        <f t="shared" si="60"/>
        <v>0.4285501815255493</v>
      </c>
    </row>
    <row r="1988" spans="1:2" x14ac:dyDescent="0.25">
      <c r="A1988" s="34">
        <f t="shared" si="61"/>
        <v>98.999999999996518</v>
      </c>
      <c r="B1988" s="42">
        <f t="shared" si="60"/>
        <v>0.43177776863559475</v>
      </c>
    </row>
    <row r="1989" spans="1:2" x14ac:dyDescent="0.25">
      <c r="A1989" s="34">
        <f t="shared" si="61"/>
        <v>99.049999999996515</v>
      </c>
      <c r="B1989" s="42">
        <f t="shared" si="60"/>
        <v>0.43104424754865855</v>
      </c>
    </row>
    <row r="1990" spans="1:2" x14ac:dyDescent="0.25">
      <c r="A1990" s="34">
        <f t="shared" si="61"/>
        <v>99.099999999996513</v>
      </c>
      <c r="B1990" s="42">
        <f t="shared" si="60"/>
        <v>0.42612459999896773</v>
      </c>
    </row>
    <row r="1991" spans="1:2" x14ac:dyDescent="0.25">
      <c r="A1991" s="34">
        <f t="shared" si="61"/>
        <v>99.14999999999651</v>
      </c>
      <c r="B1991" s="42">
        <f t="shared" si="60"/>
        <v>0.41683457853719758</v>
      </c>
    </row>
    <row r="1992" spans="1:2" x14ac:dyDescent="0.25">
      <c r="A1992" s="34">
        <f t="shared" si="61"/>
        <v>99.199999999996507</v>
      </c>
      <c r="B1992" s="42">
        <f t="shared" ref="B1992:B2008" si="62">-A1_x*SIN(p_x*A1992)+A2_x*SIN(w_x*A1992)</f>
        <v>0.40303458825726296</v>
      </c>
    </row>
    <row r="1993" spans="1:2" x14ac:dyDescent="0.25">
      <c r="A1993" s="34">
        <f t="shared" ref="A1993:A2008" si="63">A1992+$A$6</f>
        <v>99.249999999996504</v>
      </c>
      <c r="B1993" s="42">
        <f t="shared" si="62"/>
        <v>0.38463311375533538</v>
      </c>
    </row>
    <row r="1994" spans="1:2" x14ac:dyDescent="0.25">
      <c r="A1994" s="34">
        <f t="shared" si="63"/>
        <v>99.299999999996501</v>
      </c>
      <c r="B1994" s="42">
        <f t="shared" si="62"/>
        <v>0.36158963931099664</v>
      </c>
    </row>
    <row r="1995" spans="1:2" x14ac:dyDescent="0.25">
      <c r="A1995" s="34">
        <f t="shared" si="63"/>
        <v>99.349999999996498</v>
      </c>
      <c r="B1995" s="42">
        <f t="shared" si="62"/>
        <v>0.3339170155761888</v>
      </c>
    </row>
    <row r="1996" spans="1:2" x14ac:dyDescent="0.25">
      <c r="A1996" s="34">
        <f t="shared" si="63"/>
        <v>99.399999999996496</v>
      </c>
      <c r="B1996" s="42">
        <f t="shared" si="62"/>
        <v>0.30168323197040525</v>
      </c>
    </row>
    <row r="1997" spans="1:2" x14ac:dyDescent="0.25">
      <c r="A1997" s="34">
        <f t="shared" si="63"/>
        <v>99.449999999996493</v>
      </c>
      <c r="B1997" s="42">
        <f t="shared" si="62"/>
        <v>0.26501256045268939</v>
      </c>
    </row>
    <row r="1998" spans="1:2" x14ac:dyDescent="0.25">
      <c r="A1998" s="34">
        <f t="shared" si="63"/>
        <v>99.49999999999649</v>
      </c>
      <c r="B1998" s="42">
        <f t="shared" si="62"/>
        <v>0.22408604330267035</v>
      </c>
    </row>
    <row r="1999" spans="1:2" x14ac:dyDescent="0.25">
      <c r="A1999" s="34">
        <f t="shared" si="63"/>
        <v>99.549999999996487</v>
      </c>
      <c r="B1999" s="42">
        <f t="shared" si="62"/>
        <v>0.17914130491457647</v>
      </c>
    </row>
    <row r="2000" spans="1:2" x14ac:dyDescent="0.25">
      <c r="A2000" s="34">
        <f t="shared" si="63"/>
        <v>99.599999999996484</v>
      </c>
      <c r="B2000" s="42">
        <f t="shared" si="62"/>
        <v>0.13047167531354553</v>
      </c>
    </row>
    <row r="2001" spans="1:2" x14ac:dyDescent="0.25">
      <c r="A2001" s="34">
        <f t="shared" si="63"/>
        <v>99.649999999996481</v>
      </c>
      <c r="B2001" s="42">
        <f t="shared" si="62"/>
        <v>7.8424621056500055E-2</v>
      </c>
    </row>
    <row r="2002" spans="1:2" x14ac:dyDescent="0.25">
      <c r="A2002" s="34">
        <f t="shared" si="63"/>
        <v>99.699999999996479</v>
      </c>
      <c r="B2002" s="42">
        <f t="shared" si="62"/>
        <v>2.3399487288335852E-2</v>
      </c>
    </row>
    <row r="2003" spans="1:2" x14ac:dyDescent="0.25">
      <c r="A2003" s="34">
        <f t="shared" si="63"/>
        <v>99.749999999996476</v>
      </c>
      <c r="B2003" s="42">
        <f t="shared" si="62"/>
        <v>-3.4155437099350427E-2</v>
      </c>
    </row>
    <row r="2004" spans="1:2" x14ac:dyDescent="0.25">
      <c r="A2004" s="34">
        <f t="shared" si="63"/>
        <v>99.799999999996473</v>
      </c>
      <c r="B2004" s="42">
        <f t="shared" si="62"/>
        <v>-9.3746511109509933E-2</v>
      </c>
    </row>
    <row r="2005" spans="1:2" x14ac:dyDescent="0.25">
      <c r="A2005" s="34">
        <f t="shared" si="63"/>
        <v>99.84999999999647</v>
      </c>
      <c r="B2005" s="42">
        <f t="shared" si="62"/>
        <v>-0.15483896195482183</v>
      </c>
    </row>
    <row r="2006" spans="1:2" x14ac:dyDescent="0.25">
      <c r="A2006" s="34">
        <f t="shared" si="63"/>
        <v>99.899999999996467</v>
      </c>
      <c r="B2006" s="42">
        <f t="shared" si="62"/>
        <v>-0.21686169810414024</v>
      </c>
    </row>
    <row r="2007" spans="1:2" x14ac:dyDescent="0.25">
      <c r="A2007" s="34">
        <f t="shared" si="63"/>
        <v>99.949999999996464</v>
      </c>
      <c r="B2007" s="42">
        <f t="shared" si="62"/>
        <v>-0.27921267160567331</v>
      </c>
    </row>
    <row r="2008" spans="1:2" x14ac:dyDescent="0.25">
      <c r="A2008" s="34">
        <f t="shared" si="63"/>
        <v>99.999999999996461</v>
      </c>
      <c r="B2008" s="42">
        <f t="shared" si="62"/>
        <v>-0.34126473911493882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E296"/>
  <sheetViews>
    <sheetView zoomScale="230" zoomScaleNormal="230" workbookViewId="0">
      <selection activeCell="B11" sqref="B11"/>
    </sheetView>
  </sheetViews>
  <sheetFormatPr defaultRowHeight="15" x14ac:dyDescent="0.25"/>
  <sheetData>
    <row r="1" spans="1:5" x14ac:dyDescent="0.25">
      <c r="A1" s="8" t="s">
        <v>35</v>
      </c>
    </row>
    <row r="2" spans="1:5" x14ac:dyDescent="0.25">
      <c r="B2" t="s">
        <v>54</v>
      </c>
    </row>
    <row r="3" spans="1:5" x14ac:dyDescent="0.25">
      <c r="B3" t="s">
        <v>36</v>
      </c>
    </row>
    <row r="4" spans="1:5" ht="15.75" thickBot="1" x14ac:dyDescent="0.3">
      <c r="B4" t="s">
        <v>56</v>
      </c>
      <c r="C4" s="9"/>
      <c r="D4" s="9"/>
    </row>
    <row r="5" spans="1:5" x14ac:dyDescent="0.25">
      <c r="A5" s="17" t="s">
        <v>50</v>
      </c>
      <c r="B5" s="18"/>
      <c r="C5" s="19"/>
    </row>
    <row r="6" spans="1:5" ht="15.75" thickBot="1" x14ac:dyDescent="0.3">
      <c r="A6" s="20" t="s">
        <v>51</v>
      </c>
      <c r="B6" s="21"/>
      <c r="C6" s="22"/>
    </row>
    <row r="7" spans="1:5" x14ac:dyDescent="0.25">
      <c r="A7" s="7" t="s">
        <v>5</v>
      </c>
    </row>
    <row r="8" spans="1:5" x14ac:dyDescent="0.25">
      <c r="A8" s="26">
        <v>0.05</v>
      </c>
    </row>
    <row r="9" spans="1:5" x14ac:dyDescent="0.25">
      <c r="A9" s="4"/>
      <c r="B9" s="5"/>
      <c r="C9" s="7"/>
      <c r="D9" s="7"/>
    </row>
    <row r="10" spans="1:5" ht="15.75" thickBot="1" x14ac:dyDescent="0.3">
      <c r="A10" s="30" t="s">
        <v>4</v>
      </c>
      <c r="B10" s="31" t="s">
        <v>65</v>
      </c>
      <c r="C10" s="29" t="s">
        <v>8</v>
      </c>
      <c r="D10" s="29" t="s">
        <v>3</v>
      </c>
      <c r="E10" s="36" t="s">
        <v>12</v>
      </c>
    </row>
    <row r="11" spans="1:5" x14ac:dyDescent="0.25">
      <c r="A11" s="32">
        <v>0</v>
      </c>
      <c r="B11" s="33">
        <v>0</v>
      </c>
      <c r="C11" s="1">
        <f>D11</f>
        <v>0</v>
      </c>
      <c r="D11" s="23">
        <v>0</v>
      </c>
      <c r="E11" s="37">
        <f t="shared" ref="E11:E74" si="0" xml:space="preserve"> -R_x/L_x*D11-1/(L_x*C_x)*B11+E0_x*SIN(w_x*A11)/L_x</f>
        <v>0</v>
      </c>
    </row>
    <row r="12" spans="1:5" x14ac:dyDescent="0.25">
      <c r="A12" s="34">
        <f>A11+$A$8</f>
        <v>0.05</v>
      </c>
      <c r="B12" s="35">
        <f>B11+C11*$A$8</f>
        <v>0</v>
      </c>
      <c r="C12" s="1">
        <f>D12</f>
        <v>0</v>
      </c>
      <c r="D12" s="1">
        <f>D11+E11*$A$8</f>
        <v>0</v>
      </c>
      <c r="E12" s="37">
        <f t="shared" si="0"/>
        <v>9.3405079746074399E-2</v>
      </c>
    </row>
    <row r="13" spans="1:5" x14ac:dyDescent="0.25">
      <c r="A13" s="34">
        <f t="shared" ref="A13:A76" si="1">A12+$A$8</f>
        <v>0.1</v>
      </c>
      <c r="B13" s="35">
        <f t="shared" ref="B13:B76" si="2">B12+C12*$A$8</f>
        <v>0</v>
      </c>
      <c r="C13" s="1">
        <f t="shared" ref="C13:C76" si="3">D13</f>
        <v>4.6702539873037198E-3</v>
      </c>
      <c r="D13" s="1">
        <f t="shared" ref="D13:D76" si="4">D12+E12*$A$8</f>
        <v>4.6702539873037198E-3</v>
      </c>
      <c r="E13" s="37">
        <f t="shared" si="0"/>
        <v>0.18599346081444901</v>
      </c>
    </row>
    <row r="14" spans="1:5" x14ac:dyDescent="0.25">
      <c r="A14" s="34">
        <f t="shared" si="1"/>
        <v>0.15000000000000002</v>
      </c>
      <c r="B14" s="35">
        <f t="shared" si="2"/>
        <v>2.33512699365186E-4</v>
      </c>
      <c r="C14" s="1">
        <f t="shared" si="3"/>
        <v>1.3969927028026172E-2</v>
      </c>
      <c r="D14" s="1">
        <f t="shared" si="4"/>
        <v>1.3969927028026172E-2</v>
      </c>
      <c r="E14" s="37">
        <f t="shared" si="0"/>
        <v>0.27602153463420509</v>
      </c>
    </row>
    <row r="15" spans="1:5" x14ac:dyDescent="0.25">
      <c r="A15" s="34">
        <f t="shared" si="1"/>
        <v>0.2</v>
      </c>
      <c r="B15" s="35">
        <f t="shared" si="2"/>
        <v>9.3200905076649466E-4</v>
      </c>
      <c r="C15" s="1">
        <f t="shared" si="3"/>
        <v>2.7771003759736429E-2</v>
      </c>
      <c r="D15" s="1">
        <f t="shared" si="4"/>
        <v>2.7771003759736429E-2</v>
      </c>
      <c r="E15" s="37">
        <f t="shared" si="0"/>
        <v>0.36176807899231911</v>
      </c>
    </row>
    <row r="16" spans="1:5" x14ac:dyDescent="0.25">
      <c r="A16" s="34">
        <f t="shared" si="1"/>
        <v>0.25</v>
      </c>
      <c r="B16" s="35">
        <f t="shared" si="2"/>
        <v>2.3205592387533164E-3</v>
      </c>
      <c r="C16" s="1">
        <f t="shared" si="3"/>
        <v>4.5859407709352387E-2</v>
      </c>
      <c r="D16" s="1">
        <f t="shared" si="4"/>
        <v>4.5859407709352387E-2</v>
      </c>
      <c r="E16" s="37">
        <f t="shared" si="0"/>
        <v>0.44155864825744812</v>
      </c>
    </row>
    <row r="17" spans="1:5" x14ac:dyDescent="0.25">
      <c r="A17" s="34">
        <f t="shared" si="1"/>
        <v>0.3</v>
      </c>
      <c r="B17" s="35">
        <f t="shared" si="2"/>
        <v>4.6135296242209353E-3</v>
      </c>
      <c r="C17" s="1">
        <f t="shared" si="3"/>
        <v>6.7937340122224799E-2</v>
      </c>
      <c r="D17" s="1">
        <f t="shared" si="4"/>
        <v>6.7937340122224799E-2</v>
      </c>
      <c r="E17" s="37">
        <f t="shared" si="0"/>
        <v>0.51378955460698184</v>
      </c>
    </row>
    <row r="18" spans="1:5" x14ac:dyDescent="0.25">
      <c r="A18" s="34">
        <f t="shared" si="1"/>
        <v>0.35</v>
      </c>
      <c r="B18" s="35">
        <f t="shared" si="2"/>
        <v>8.0103966303321748E-3</v>
      </c>
      <c r="C18" s="1">
        <f t="shared" si="3"/>
        <v>9.3626817852573888E-2</v>
      </c>
      <c r="D18" s="1">
        <f t="shared" si="4"/>
        <v>9.3626817852573888E-2</v>
      </c>
      <c r="E18" s="37">
        <f t="shared" si="0"/>
        <v>0.57695113716950619</v>
      </c>
    </row>
    <row r="19" spans="1:5" x14ac:dyDescent="0.25">
      <c r="A19" s="34">
        <f t="shared" si="1"/>
        <v>0.39999999999999997</v>
      </c>
      <c r="B19" s="35">
        <f t="shared" si="2"/>
        <v>1.2691737522960871E-2</v>
      </c>
      <c r="C19" s="1">
        <f t="shared" si="3"/>
        <v>0.1224743747110492</v>
      </c>
      <c r="D19" s="1">
        <f t="shared" si="4"/>
        <v>0.1224743747110492</v>
      </c>
      <c r="E19" s="37">
        <f t="shared" si="0"/>
        <v>0.62965002222102273</v>
      </c>
    </row>
    <row r="20" spans="1:5" x14ac:dyDescent="0.25">
      <c r="A20" s="34">
        <f t="shared" si="1"/>
        <v>0.44999999999999996</v>
      </c>
      <c r="B20" s="35">
        <f t="shared" si="2"/>
        <v>1.881545625851333E-2</v>
      </c>
      <c r="C20" s="1">
        <f t="shared" si="3"/>
        <v>0.15395687582210033</v>
      </c>
      <c r="D20" s="1">
        <f t="shared" si="4"/>
        <v>0.15395687582210033</v>
      </c>
      <c r="E20" s="37">
        <f t="shared" si="0"/>
        <v>0.67063008732915741</v>
      </c>
    </row>
    <row r="21" spans="1:5" x14ac:dyDescent="0.25">
      <c r="A21" s="34">
        <f t="shared" si="1"/>
        <v>0.49999999999999994</v>
      </c>
      <c r="B21" s="35">
        <f t="shared" si="2"/>
        <v>2.6513300049618348E-2</v>
      </c>
      <c r="C21" s="1">
        <f t="shared" si="3"/>
        <v>0.18748838018855821</v>
      </c>
      <c r="D21" s="1">
        <f t="shared" si="4"/>
        <v>0.18748838018855821</v>
      </c>
      <c r="E21" s="37">
        <f t="shared" si="0"/>
        <v>0.69879185553988976</v>
      </c>
    </row>
    <row r="22" spans="1:5" x14ac:dyDescent="0.25">
      <c r="A22" s="34">
        <f t="shared" si="1"/>
        <v>0.54999999999999993</v>
      </c>
      <c r="B22" s="35">
        <f t="shared" si="2"/>
        <v>3.5887719059046259E-2</v>
      </c>
      <c r="C22" s="1">
        <f t="shared" si="3"/>
        <v>0.22242797296555269</v>
      </c>
      <c r="D22" s="1">
        <f t="shared" si="4"/>
        <v>0.22242797296555269</v>
      </c>
      <c r="E22" s="37">
        <f t="shared" si="0"/>
        <v>0.71321006222125427</v>
      </c>
    </row>
    <row r="23" spans="1:5" x14ac:dyDescent="0.25">
      <c r="A23" s="34">
        <f t="shared" si="1"/>
        <v>0.6</v>
      </c>
      <c r="B23" s="35">
        <f t="shared" si="2"/>
        <v>4.7009117707323897E-2</v>
      </c>
      <c r="C23" s="1">
        <f t="shared" si="3"/>
        <v>0.25808847607661539</v>
      </c>
      <c r="D23" s="1">
        <f t="shared" si="4"/>
        <v>0.25808847607661539</v>
      </c>
      <c r="E23" s="37">
        <f t="shared" si="0"/>
        <v>0.71314915685490421</v>
      </c>
    </row>
    <row r="24" spans="1:5" x14ac:dyDescent="0.25">
      <c r="A24" s="34">
        <f t="shared" si="1"/>
        <v>0.65</v>
      </c>
      <c r="B24" s="35">
        <f t="shared" si="2"/>
        <v>5.9913541511154668E-2</v>
      </c>
      <c r="C24" s="1">
        <f t="shared" si="3"/>
        <v>0.2937459339193606</v>
      </c>
      <c r="D24" s="1">
        <f t="shared" si="4"/>
        <v>0.2937459339193606</v>
      </c>
      <c r="E24" s="37">
        <f t="shared" si="0"/>
        <v>0.6980765246994074</v>
      </c>
    </row>
    <row r="25" spans="1:5" x14ac:dyDescent="0.25">
      <c r="A25" s="34">
        <f t="shared" si="1"/>
        <v>0.70000000000000007</v>
      </c>
      <c r="B25" s="35">
        <f t="shared" si="2"/>
        <v>7.4600838207122697E-2</v>
      </c>
      <c r="C25" s="1">
        <f t="shared" si="3"/>
        <v>0.32864976015433095</v>
      </c>
      <c r="D25" s="1">
        <f t="shared" si="4"/>
        <v>0.32864976015433095</v>
      </c>
      <c r="E25" s="37">
        <f t="shared" si="0"/>
        <v>0.66767323860377381</v>
      </c>
    </row>
    <row r="26" spans="1:5" x14ac:dyDescent="0.25">
      <c r="A26" s="34">
        <f t="shared" si="1"/>
        <v>0.75000000000000011</v>
      </c>
      <c r="B26" s="35">
        <f t="shared" si="2"/>
        <v>9.1033326214839241E-2</v>
      </c>
      <c r="C26" s="1">
        <f t="shared" si="3"/>
        <v>0.36203342208451966</v>
      </c>
      <c r="D26" s="1">
        <f t="shared" si="4"/>
        <v>0.36203342208451966</v>
      </c>
      <c r="E26" s="37">
        <f t="shared" si="0"/>
        <v>0.62184217905854799</v>
      </c>
    </row>
    <row r="27" spans="1:5" x14ac:dyDescent="0.25">
      <c r="A27" s="34">
        <f t="shared" si="1"/>
        <v>0.80000000000000016</v>
      </c>
      <c r="B27" s="35">
        <f t="shared" si="2"/>
        <v>0.10913499731906523</v>
      </c>
      <c r="C27" s="1">
        <f t="shared" si="3"/>
        <v>0.39312553103744707</v>
      </c>
      <c r="D27" s="1">
        <f t="shared" si="4"/>
        <v>0.39312553103744707</v>
      </c>
      <c r="E27" s="37">
        <f t="shared" si="0"/>
        <v>0.56071339053749236</v>
      </c>
    </row>
    <row r="28" spans="1:5" x14ac:dyDescent="0.25">
      <c r="A28" s="34">
        <f t="shared" si="1"/>
        <v>0.8500000000000002</v>
      </c>
      <c r="B28" s="35">
        <f t="shared" si="2"/>
        <v>0.12879127387093758</v>
      </c>
      <c r="C28" s="1">
        <f t="shared" si="3"/>
        <v>0.42116120056432171</v>
      </c>
      <c r="D28" s="1">
        <f t="shared" si="4"/>
        <v>0.42116120056432171</v>
      </c>
      <c r="E28" s="37">
        <f t="shared" si="0"/>
        <v>0.48464657398131217</v>
      </c>
    </row>
    <row r="29" spans="1:5" x14ac:dyDescent="0.25">
      <c r="A29" s="34">
        <f t="shared" si="1"/>
        <v>0.90000000000000024</v>
      </c>
      <c r="B29" s="35">
        <f t="shared" si="2"/>
        <v>0.14984933389915367</v>
      </c>
      <c r="C29" s="1">
        <f t="shared" si="3"/>
        <v>0.44539352926338732</v>
      </c>
      <c r="D29" s="1">
        <f t="shared" si="4"/>
        <v>0.44539352926338732</v>
      </c>
      <c r="E29" s="37">
        <f t="shared" si="0"/>
        <v>0.39423064855843015</v>
      </c>
    </row>
    <row r="30" spans="1:5" x14ac:dyDescent="0.25">
      <c r="A30" s="34">
        <f t="shared" si="1"/>
        <v>0.95000000000000029</v>
      </c>
      <c r="B30" s="35">
        <f t="shared" si="2"/>
        <v>0.17211901036232302</v>
      </c>
      <c r="C30" s="1">
        <f t="shared" si="3"/>
        <v>0.46510506169130883</v>
      </c>
      <c r="D30" s="1">
        <f t="shared" si="4"/>
        <v>0.46510506169130883</v>
      </c>
      <c r="E30" s="37">
        <f t="shared" si="0"/>
        <v>0.29028035023917553</v>
      </c>
    </row>
    <row r="31" spans="1:5" x14ac:dyDescent="0.25">
      <c r="A31" s="34">
        <f t="shared" si="1"/>
        <v>1.0000000000000002</v>
      </c>
      <c r="B31" s="35">
        <f t="shared" si="2"/>
        <v>0.19537426344688846</v>
      </c>
      <c r="C31" s="1">
        <f t="shared" si="3"/>
        <v>0.47961907920326763</v>
      </c>
      <c r="D31" s="1">
        <f t="shared" si="4"/>
        <v>0.47961907920326763</v>
      </c>
      <c r="E31" s="37">
        <f t="shared" si="0"/>
        <v>0.17382986985567161</v>
      </c>
    </row>
    <row r="32" spans="1:5" x14ac:dyDescent="0.25">
      <c r="A32" s="34">
        <f t="shared" si="1"/>
        <v>1.0500000000000003</v>
      </c>
      <c r="B32" s="35">
        <f t="shared" si="2"/>
        <v>0.21935521740705186</v>
      </c>
      <c r="C32" s="1">
        <f t="shared" si="3"/>
        <v>0.48831057269605121</v>
      </c>
      <c r="D32" s="1">
        <f t="shared" si="4"/>
        <v>0.48831057269605121</v>
      </c>
      <c r="E32" s="37">
        <f t="shared" si="0"/>
        <v>4.61235687952124E-2</v>
      </c>
    </row>
    <row r="33" spans="1:5" x14ac:dyDescent="0.25">
      <c r="A33" s="34">
        <f t="shared" si="1"/>
        <v>1.1000000000000003</v>
      </c>
      <c r="B33" s="35">
        <f t="shared" si="2"/>
        <v>0.24377074604185442</v>
      </c>
      <c r="C33" s="1">
        <f t="shared" si="3"/>
        <v>0.49061675113581182</v>
      </c>
      <c r="D33" s="1">
        <f t="shared" si="4"/>
        <v>0.49061675113581182</v>
      </c>
      <c r="E33" s="37">
        <f t="shared" si="0"/>
        <v>-9.1396154112435957E-2</v>
      </c>
    </row>
    <row r="34" spans="1:5" x14ac:dyDescent="0.25">
      <c r="A34" s="34">
        <f t="shared" si="1"/>
        <v>1.1500000000000004</v>
      </c>
      <c r="B34" s="35">
        <f t="shared" si="2"/>
        <v>0.26830158359864503</v>
      </c>
      <c r="C34" s="1">
        <f t="shared" si="3"/>
        <v>0.48604694343019</v>
      </c>
      <c r="D34" s="1">
        <f t="shared" si="4"/>
        <v>0.48604694343019</v>
      </c>
      <c r="E34" s="37">
        <f t="shared" si="0"/>
        <v>-0.23710373600913115</v>
      </c>
    </row>
    <row r="35" spans="1:5" x14ac:dyDescent="0.25">
      <c r="A35" s="34">
        <f t="shared" si="1"/>
        <v>1.2000000000000004</v>
      </c>
      <c r="B35" s="35">
        <f t="shared" si="2"/>
        <v>0.29260393077015456</v>
      </c>
      <c r="C35" s="1">
        <f t="shared" si="3"/>
        <v>0.47419175662973345</v>
      </c>
      <c r="D35" s="1">
        <f t="shared" si="4"/>
        <v>0.47419175662973345</v>
      </c>
      <c r="E35" s="37">
        <f t="shared" si="0"/>
        <v>-0.38920792114746439</v>
      </c>
    </row>
    <row r="36" spans="1:5" x14ac:dyDescent="0.25">
      <c r="A36" s="34">
        <f t="shared" si="1"/>
        <v>1.2500000000000004</v>
      </c>
      <c r="B36" s="35">
        <f t="shared" si="2"/>
        <v>0.31631351860164125</v>
      </c>
      <c r="C36" s="1">
        <f t="shared" si="3"/>
        <v>0.45473136057236024</v>
      </c>
      <c r="D36" s="1">
        <f t="shared" si="4"/>
        <v>0.45473136057236024</v>
      </c>
      <c r="E36" s="37">
        <f t="shared" si="0"/>
        <v>-0.54577165437761122</v>
      </c>
    </row>
    <row r="37" spans="1:5" x14ac:dyDescent="0.25">
      <c r="A37" s="34">
        <f t="shared" si="1"/>
        <v>1.3000000000000005</v>
      </c>
      <c r="B37" s="35">
        <f t="shared" si="2"/>
        <v>0.33905008663025926</v>
      </c>
      <c r="C37" s="1">
        <f t="shared" si="3"/>
        <v>0.42744277785347967</v>
      </c>
      <c r="D37" s="1">
        <f t="shared" si="4"/>
        <v>0.42744277785347967</v>
      </c>
      <c r="E37" s="37">
        <f t="shared" si="0"/>
        <v>-0.70473419046247643</v>
      </c>
    </row>
    <row r="38" spans="1:5" x14ac:dyDescent="0.25">
      <c r="A38" s="34">
        <f t="shared" si="1"/>
        <v>1.3500000000000005</v>
      </c>
      <c r="B38" s="35">
        <f t="shared" si="2"/>
        <v>0.36042222552293324</v>
      </c>
      <c r="C38" s="1">
        <f t="shared" si="3"/>
        <v>0.39220606833035587</v>
      </c>
      <c r="D38" s="1">
        <f t="shared" si="4"/>
        <v>0.39220606833035587</v>
      </c>
      <c r="E38" s="37">
        <f t="shared" si="0"/>
        <v>-0.86393518359139998</v>
      </c>
    </row>
    <row r="39" spans="1:5" x14ac:dyDescent="0.25">
      <c r="A39" s="34">
        <f t="shared" si="1"/>
        <v>1.4000000000000006</v>
      </c>
      <c r="B39" s="35">
        <f t="shared" si="2"/>
        <v>0.38003252893945105</v>
      </c>
      <c r="C39" s="1">
        <f t="shared" si="3"/>
        <v>0.34900930915078587</v>
      </c>
      <c r="D39" s="1">
        <f t="shared" si="4"/>
        <v>0.34900930915078587</v>
      </c>
      <c r="E39" s="37">
        <f t="shared" si="0"/>
        <v>-1.0211404947384579</v>
      </c>
    </row>
    <row r="40" spans="1:5" x14ac:dyDescent="0.25">
      <c r="A40" s="34">
        <f t="shared" si="1"/>
        <v>1.4500000000000006</v>
      </c>
      <c r="B40" s="35">
        <f t="shared" si="2"/>
        <v>0.39748299439699036</v>
      </c>
      <c r="C40" s="1">
        <f t="shared" si="3"/>
        <v>0.29795228441386296</v>
      </c>
      <c r="D40" s="1">
        <f t="shared" si="4"/>
        <v>0.29795228441386296</v>
      </c>
      <c r="E40" s="37">
        <f t="shared" si="0"/>
        <v>-1.1740694305042048</v>
      </c>
    </row>
    <row r="41" spans="1:5" x14ac:dyDescent="0.25">
      <c r="A41" s="34">
        <f t="shared" si="1"/>
        <v>1.5000000000000007</v>
      </c>
      <c r="B41" s="35">
        <f t="shared" si="2"/>
        <v>0.4123806086176835</v>
      </c>
      <c r="C41" s="1">
        <f t="shared" si="3"/>
        <v>0.23924881288865271</v>
      </c>
      <c r="D41" s="1">
        <f t="shared" si="4"/>
        <v>0.23924881288865271</v>
      </c>
      <c r="E41" s="37">
        <f t="shared" si="0"/>
        <v>-1.3204231060936165</v>
      </c>
    </row>
    <row r="42" spans="1:5" x14ac:dyDescent="0.25">
      <c r="A42" s="34">
        <f t="shared" si="1"/>
        <v>1.5500000000000007</v>
      </c>
      <c r="B42" s="35">
        <f t="shared" si="2"/>
        <v>0.42434304926211613</v>
      </c>
      <c r="C42" s="1">
        <f t="shared" si="3"/>
        <v>0.17322765758397191</v>
      </c>
      <c r="D42" s="1">
        <f t="shared" si="4"/>
        <v>0.17322765758397191</v>
      </c>
      <c r="E42" s="37">
        <f t="shared" si="0"/>
        <v>-1.4579136073913319</v>
      </c>
    </row>
    <row r="43" spans="1:5" x14ac:dyDescent="0.25">
      <c r="A43" s="34">
        <f t="shared" si="1"/>
        <v>1.6000000000000008</v>
      </c>
      <c r="B43" s="35">
        <f t="shared" si="2"/>
        <v>0.43300443214131473</v>
      </c>
      <c r="C43" s="1">
        <f t="shared" si="3"/>
        <v>0.1003319772144053</v>
      </c>
      <c r="D43" s="1">
        <f t="shared" si="4"/>
        <v>0.1003319772144053</v>
      </c>
      <c r="E43" s="37">
        <f t="shared" si="0"/>
        <v>-1.5842936129374592</v>
      </c>
    </row>
    <row r="44" spans="1:5" x14ac:dyDescent="0.25">
      <c r="A44" s="34">
        <f t="shared" si="1"/>
        <v>1.6500000000000008</v>
      </c>
      <c r="B44" s="35">
        <f t="shared" si="2"/>
        <v>0.43802103100203499</v>
      </c>
      <c r="C44" s="1">
        <f t="shared" si="3"/>
        <v>2.1117296567532334E-2</v>
      </c>
      <c r="D44" s="1">
        <f t="shared" si="4"/>
        <v>2.1117296567532334E-2</v>
      </c>
      <c r="E44" s="37">
        <f t="shared" si="0"/>
        <v>-1.6973861261856389</v>
      </c>
    </row>
    <row r="45" spans="1:5" x14ac:dyDescent="0.25">
      <c r="A45" s="34">
        <f t="shared" si="1"/>
        <v>1.7000000000000008</v>
      </c>
      <c r="B45" s="35">
        <f t="shared" si="2"/>
        <v>0.4390768958304116</v>
      </c>
      <c r="C45" s="1">
        <f t="shared" si="3"/>
        <v>-6.3752009741749618E-2</v>
      </c>
      <c r="D45" s="1">
        <f t="shared" si="4"/>
        <v>-6.3752009741749618E-2</v>
      </c>
      <c r="E45" s="37">
        <f t="shared" si="0"/>
        <v>-1.7951139619025407</v>
      </c>
    </row>
    <row r="46" spans="1:5" x14ac:dyDescent="0.25">
      <c r="A46" s="34">
        <f t="shared" si="1"/>
        <v>1.7500000000000009</v>
      </c>
      <c r="B46" s="35">
        <f t="shared" si="2"/>
        <v>0.4358892953433241</v>
      </c>
      <c r="C46" s="1">
        <f t="shared" si="3"/>
        <v>-0.15350770783687667</v>
      </c>
      <c r="D46" s="1">
        <f t="shared" si="4"/>
        <v>-0.15350770783687667</v>
      </c>
      <c r="E46" s="37">
        <f t="shared" si="0"/>
        <v>-1.8755286280655801</v>
      </c>
    </row>
    <row r="47" spans="1:5" x14ac:dyDescent="0.25">
      <c r="A47" s="34">
        <f t="shared" si="1"/>
        <v>1.8000000000000009</v>
      </c>
      <c r="B47" s="35">
        <f t="shared" si="2"/>
        <v>0.42821390995148029</v>
      </c>
      <c r="C47" s="1">
        <f t="shared" si="3"/>
        <v>-0.24728413924015569</v>
      </c>
      <c r="D47" s="1">
        <f t="shared" si="4"/>
        <v>-0.24728413924015569</v>
      </c>
      <c r="E47" s="37">
        <f t="shared" si="0"/>
        <v>-1.936838246210814</v>
      </c>
    </row>
    <row r="48" spans="1:5" x14ac:dyDescent="0.25">
      <c r="A48" s="34">
        <f t="shared" si="1"/>
        <v>1.850000000000001</v>
      </c>
      <c r="B48" s="35">
        <f t="shared" si="2"/>
        <v>0.41584970298947249</v>
      </c>
      <c r="C48" s="1">
        <f t="shared" si="3"/>
        <v>-0.34412605155069642</v>
      </c>
      <c r="D48" s="1">
        <f t="shared" si="4"/>
        <v>-0.34412605155069642</v>
      </c>
      <c r="E48" s="37">
        <f t="shared" si="0"/>
        <v>-1.9774341589082982</v>
      </c>
    </row>
    <row r="49" spans="1:5" x14ac:dyDescent="0.25">
      <c r="A49" s="34">
        <f t="shared" si="1"/>
        <v>1.900000000000001</v>
      </c>
      <c r="B49" s="35">
        <f t="shared" si="2"/>
        <v>0.39864340041193769</v>
      </c>
      <c r="C49" s="1">
        <f t="shared" si="3"/>
        <v>-0.44299775949611131</v>
      </c>
      <c r="D49" s="1">
        <f t="shared" si="4"/>
        <v>-0.44299775949611131</v>
      </c>
      <c r="E49" s="37">
        <f t="shared" si="0"/>
        <v>-1.9959158828845007</v>
      </c>
    </row>
    <row r="50" spans="1:5" x14ac:dyDescent="0.25">
      <c r="A50" s="34">
        <f t="shared" si="1"/>
        <v>1.9500000000000011</v>
      </c>
      <c r="B50" s="35">
        <f t="shared" si="2"/>
        <v>0.37649351243713214</v>
      </c>
      <c r="C50" s="1">
        <f t="shared" si="3"/>
        <v>-0.54279355364033632</v>
      </c>
      <c r="D50" s="1">
        <f t="shared" si="4"/>
        <v>-0.54279355364033632</v>
      </c>
      <c r="E50" s="37">
        <f t="shared" si="0"/>
        <v>-1.9911140802114273</v>
      </c>
    </row>
    <row r="51" spans="1:5" x14ac:dyDescent="0.25">
      <c r="A51" s="34">
        <f t="shared" si="1"/>
        <v>2.0000000000000009</v>
      </c>
      <c r="B51" s="35">
        <f t="shared" si="2"/>
        <v>0.34935383475511533</v>
      </c>
      <c r="C51" s="1">
        <f t="shared" si="3"/>
        <v>-0.64234925765090767</v>
      </c>
      <c r="D51" s="1">
        <f t="shared" si="4"/>
        <v>-0.64234925765090767</v>
      </c>
      <c r="E51" s="37">
        <f t="shared" si="0"/>
        <v>-1.96211123783477</v>
      </c>
    </row>
    <row r="52" spans="1:5" x14ac:dyDescent="0.25">
      <c r="A52" s="34">
        <f t="shared" si="1"/>
        <v>2.0500000000000007</v>
      </c>
      <c r="B52" s="35">
        <f t="shared" si="2"/>
        <v>0.31723637187256992</v>
      </c>
      <c r="C52" s="1">
        <f t="shared" si="3"/>
        <v>-0.74045481954264614</v>
      </c>
      <c r="D52" s="1">
        <f t="shared" si="4"/>
        <v>-0.74045481954264614</v>
      </c>
      <c r="E52" s="37">
        <f t="shared" si="0"/>
        <v>-1.9082597673681776</v>
      </c>
    </row>
    <row r="53" spans="1:5" x14ac:dyDescent="0.25">
      <c r="A53" s="34">
        <f t="shared" si="1"/>
        <v>2.1000000000000005</v>
      </c>
      <c r="B53" s="35">
        <f t="shared" si="2"/>
        <v>0.2802136308954376</v>
      </c>
      <c r="C53" s="1">
        <f t="shared" si="3"/>
        <v>-0.83586780791105508</v>
      </c>
      <c r="D53" s="1">
        <f t="shared" si="4"/>
        <v>-0.83586780791105508</v>
      </c>
      <c r="E53" s="37">
        <f t="shared" si="0"/>
        <v>-1.8291972623430917</v>
      </c>
    </row>
    <row r="54" spans="1:5" x14ac:dyDescent="0.25">
      <c r="A54" s="34">
        <f t="shared" si="1"/>
        <v>2.1500000000000004</v>
      </c>
      <c r="B54" s="35">
        <f t="shared" si="2"/>
        <v>0.23842024049988486</v>
      </c>
      <c r="C54" s="1">
        <f t="shared" si="3"/>
        <v>-0.92732767102820968</v>
      </c>
      <c r="D54" s="1">
        <f t="shared" si="4"/>
        <v>-0.92732767102820968</v>
      </c>
      <c r="E54" s="37">
        <f t="shared" si="0"/>
        <v>-1.7248586787364621</v>
      </c>
    </row>
    <row r="55" spans="1:5" x14ac:dyDescent="0.25">
      <c r="A55" s="34">
        <f t="shared" si="1"/>
        <v>2.2000000000000002</v>
      </c>
      <c r="B55" s="35">
        <f t="shared" si="2"/>
        <v>0.19205385694847438</v>
      </c>
      <c r="C55" s="1">
        <f t="shared" si="3"/>
        <v>-1.0135706049650328</v>
      </c>
      <c r="D55" s="1">
        <f t="shared" si="4"/>
        <v>-1.0135706049650328</v>
      </c>
      <c r="E55" s="37">
        <f t="shared" si="0"/>
        <v>-1.5954852363245928</v>
      </c>
    </row>
    <row r="56" spans="1:5" x14ac:dyDescent="0.25">
      <c r="A56" s="34">
        <f t="shared" si="1"/>
        <v>2.25</v>
      </c>
      <c r="B56" s="35">
        <f t="shared" si="2"/>
        <v>0.14137532670022274</v>
      </c>
      <c r="C56" s="1">
        <f t="shared" si="3"/>
        <v>-1.0933448667812624</v>
      </c>
      <c r="D56" s="1">
        <f t="shared" si="4"/>
        <v>-1.0933448667812624</v>
      </c>
      <c r="E56" s="37">
        <f t="shared" si="0"/>
        <v>-1.4416298729152204</v>
      </c>
    </row>
    <row r="57" spans="1:5" x14ac:dyDescent="0.25">
      <c r="A57" s="34">
        <f t="shared" si="1"/>
        <v>2.2999999999999998</v>
      </c>
      <c r="B57" s="35">
        <f t="shared" si="2"/>
        <v>8.6708083361159621E-2</v>
      </c>
      <c r="C57" s="1">
        <f t="shared" si="3"/>
        <v>-1.1654263604270234</v>
      </c>
      <c r="D57" s="1">
        <f t="shared" si="4"/>
        <v>-1.1654263604270234</v>
      </c>
      <c r="E57" s="37">
        <f t="shared" si="0"/>
        <v>-1.2641591204417528</v>
      </c>
    </row>
    <row r="58" spans="1:5" x14ac:dyDescent="0.25">
      <c r="A58" s="34">
        <f t="shared" si="1"/>
        <v>2.3499999999999996</v>
      </c>
      <c r="B58" s="35">
        <f t="shared" si="2"/>
        <v>2.8436765339808448E-2</v>
      </c>
      <c r="C58" s="1">
        <f t="shared" si="3"/>
        <v>-1.2286343164491111</v>
      </c>
      <c r="D58" s="1">
        <f t="shared" si="4"/>
        <v>-1.2286343164491111</v>
      </c>
      <c r="E58" s="37">
        <f t="shared" si="0"/>
        <v>-1.0642513108821374</v>
      </c>
    </row>
    <row r="59" spans="1:5" x14ac:dyDescent="0.25">
      <c r="A59" s="34">
        <f t="shared" si="1"/>
        <v>2.3999999999999995</v>
      </c>
      <c r="B59" s="35">
        <f t="shared" si="2"/>
        <v>-3.2994950482647112E-2</v>
      </c>
      <c r="C59" s="1">
        <f t="shared" si="3"/>
        <v>-1.2818468819932181</v>
      </c>
      <c r="D59" s="1">
        <f t="shared" si="4"/>
        <v>-1.2818468819932181</v>
      </c>
      <c r="E59" s="37">
        <f t="shared" si="0"/>
        <v>-0.84339106058140167</v>
      </c>
    </row>
    <row r="60" spans="1:5" x14ac:dyDescent="0.25">
      <c r="A60" s="34">
        <f t="shared" si="1"/>
        <v>2.4499999999999993</v>
      </c>
      <c r="B60" s="35">
        <f t="shared" si="2"/>
        <v>-9.7087294582308012E-2</v>
      </c>
      <c r="C60" s="1">
        <f t="shared" si="3"/>
        <v>-1.3240164350222881</v>
      </c>
      <c r="D60" s="1">
        <f t="shared" si="4"/>
        <v>-1.3240164350222881</v>
      </c>
      <c r="E60" s="37">
        <f t="shared" si="0"/>
        <v>-0.60336002337939143</v>
      </c>
    </row>
    <row r="61" spans="1:5" x14ac:dyDescent="0.25">
      <c r="A61" s="34">
        <f t="shared" si="1"/>
        <v>2.4999999999999991</v>
      </c>
      <c r="B61" s="35">
        <f t="shared" si="2"/>
        <v>-0.16328811633342241</v>
      </c>
      <c r="C61" s="1">
        <f t="shared" si="3"/>
        <v>-1.3541844361912576</v>
      </c>
      <c r="D61" s="1">
        <f t="shared" si="4"/>
        <v>-1.3541844361912576</v>
      </c>
      <c r="E61" s="37">
        <f t="shared" si="0"/>
        <v>-0.34622394552275237</v>
      </c>
    </row>
    <row r="62" spans="1:5" x14ac:dyDescent="0.25">
      <c r="A62" s="34">
        <f t="shared" si="1"/>
        <v>2.5499999999999989</v>
      </c>
      <c r="B62" s="35">
        <f t="shared" si="2"/>
        <v>-0.23099733814298529</v>
      </c>
      <c r="C62" s="1">
        <f t="shared" si="3"/>
        <v>-1.3714956334673953</v>
      </c>
      <c r="D62" s="1">
        <f t="shared" si="4"/>
        <v>-1.3714956334673953</v>
      </c>
      <c r="E62" s="37">
        <f t="shared" si="0"/>
        <v>-7.4316098207587111E-2</v>
      </c>
    </row>
    <row r="63" spans="1:5" x14ac:dyDescent="0.25">
      <c r="A63" s="34">
        <f t="shared" si="1"/>
        <v>2.5999999999999988</v>
      </c>
      <c r="B63" s="35">
        <f t="shared" si="2"/>
        <v>-0.29957211981635506</v>
      </c>
      <c r="C63" s="1">
        <f t="shared" si="3"/>
        <v>-1.3752114383777747</v>
      </c>
      <c r="D63" s="1">
        <f t="shared" si="4"/>
        <v>-1.3752114383777747</v>
      </c>
      <c r="E63" s="37">
        <f t="shared" si="0"/>
        <v>0.20978279371782071</v>
      </c>
    </row>
    <row r="64" spans="1:5" x14ac:dyDescent="0.25">
      <c r="A64" s="34">
        <f t="shared" si="1"/>
        <v>2.6499999999999986</v>
      </c>
      <c r="B64" s="35">
        <f t="shared" si="2"/>
        <v>-0.3683326917352438</v>
      </c>
      <c r="C64" s="1">
        <f t="shared" si="3"/>
        <v>-1.3647222986918837</v>
      </c>
      <c r="D64" s="1">
        <f t="shared" si="4"/>
        <v>-1.3647222986918837</v>
      </c>
      <c r="E64" s="37">
        <f t="shared" si="0"/>
        <v>0.50326796634085025</v>
      </c>
    </row>
    <row r="65" spans="1:5" x14ac:dyDescent="0.25">
      <c r="A65" s="34">
        <f t="shared" si="1"/>
        <v>2.6999999999999984</v>
      </c>
      <c r="B65" s="35">
        <f t="shared" si="2"/>
        <v>-0.43656880666983799</v>
      </c>
      <c r="C65" s="1">
        <f t="shared" si="3"/>
        <v>-1.3395589003748412</v>
      </c>
      <c r="D65" s="1">
        <f t="shared" si="4"/>
        <v>-1.3395589003748412</v>
      </c>
      <c r="E65" s="37">
        <f t="shared" si="0"/>
        <v>0.80313717313409072</v>
      </c>
    </row>
    <row r="66" spans="1:5" x14ac:dyDescent="0.25">
      <c r="A66" s="34">
        <f t="shared" si="1"/>
        <v>2.7499999999999982</v>
      </c>
      <c r="B66" s="35">
        <f t="shared" si="2"/>
        <v>-0.5035467516885801</v>
      </c>
      <c r="C66" s="1">
        <f t="shared" si="3"/>
        <v>-1.2994020417181367</v>
      </c>
      <c r="D66" s="1">
        <f t="shared" si="4"/>
        <v>-1.2994020417181367</v>
      </c>
      <c r="E66" s="37">
        <f t="shared" si="0"/>
        <v>1.1062201425699807</v>
      </c>
    </row>
    <row r="67" spans="1:5" x14ac:dyDescent="0.25">
      <c r="A67" s="34">
        <f t="shared" si="1"/>
        <v>2.799999999999998</v>
      </c>
      <c r="B67" s="35">
        <f t="shared" si="2"/>
        <v>-0.56851685377448691</v>
      </c>
      <c r="C67" s="1">
        <f t="shared" si="3"/>
        <v>-1.2440910345896377</v>
      </c>
      <c r="D67" s="1">
        <f t="shared" si="4"/>
        <v>-1.2440910345896377</v>
      </c>
      <c r="E67" s="37">
        <f t="shared" si="0"/>
        <v>1.4092106590077556</v>
      </c>
    </row>
    <row r="68" spans="1:5" x14ac:dyDescent="0.25">
      <c r="A68" s="34">
        <f t="shared" si="1"/>
        <v>2.8499999999999979</v>
      </c>
      <c r="B68" s="35">
        <f t="shared" si="2"/>
        <v>-0.63072140550396882</v>
      </c>
      <c r="C68" s="1">
        <f t="shared" si="3"/>
        <v>-1.1736305016392499</v>
      </c>
      <c r="D68" s="1">
        <f t="shared" si="4"/>
        <v>-1.1736305016392499</v>
      </c>
      <c r="E68" s="37">
        <f t="shared" si="0"/>
        <v>1.708700954278493</v>
      </c>
    </row>
    <row r="69" spans="1:5" x14ac:dyDescent="0.25">
      <c r="A69" s="34">
        <f t="shared" si="1"/>
        <v>2.8999999999999977</v>
      </c>
      <c r="B69" s="35">
        <f t="shared" si="2"/>
        <v>-0.68940293058593127</v>
      </c>
      <c r="C69" s="1">
        <f t="shared" si="3"/>
        <v>-1.0881954539253251</v>
      </c>
      <c r="D69" s="1">
        <f t="shared" si="4"/>
        <v>-1.0881954539253251</v>
      </c>
      <c r="E69" s="37">
        <f t="shared" si="0"/>
        <v>2.0012180656489269</v>
      </c>
    </row>
    <row r="70" spans="1:5" x14ac:dyDescent="0.25">
      <c r="A70" s="34">
        <f t="shared" si="1"/>
        <v>2.9499999999999975</v>
      </c>
      <c r="B70" s="35">
        <f t="shared" si="2"/>
        <v>-0.74381270328219751</v>
      </c>
      <c r="C70" s="1">
        <f t="shared" si="3"/>
        <v>-0.98813455064287881</v>
      </c>
      <c r="D70" s="1">
        <f t="shared" si="4"/>
        <v>-0.98813455064287881</v>
      </c>
      <c r="E70" s="37">
        <f t="shared" si="0"/>
        <v>2.2832617874308934</v>
      </c>
    </row>
    <row r="71" spans="1:5" x14ac:dyDescent="0.25">
      <c r="A71" s="34">
        <f t="shared" si="1"/>
        <v>2.9999999999999973</v>
      </c>
      <c r="B71" s="35">
        <f t="shared" si="2"/>
        <v>-0.79321943081434143</v>
      </c>
      <c r="C71" s="1">
        <f t="shared" si="3"/>
        <v>-0.87397146127133407</v>
      </c>
      <c r="D71" s="1">
        <f t="shared" si="4"/>
        <v>-0.87397146127133407</v>
      </c>
      <c r="E71" s="37">
        <f t="shared" si="0"/>
        <v>2.5513438187845949</v>
      </c>
    </row>
    <row r="72" spans="1:5" x14ac:dyDescent="0.25">
      <c r="A72" s="34">
        <f t="shared" si="1"/>
        <v>3.0499999999999972</v>
      </c>
      <c r="B72" s="35">
        <f t="shared" si="2"/>
        <v>-0.83691800387790816</v>
      </c>
      <c r="C72" s="1">
        <f t="shared" si="3"/>
        <v>-0.74640427033210432</v>
      </c>
      <c r="D72" s="1">
        <f t="shared" si="4"/>
        <v>-0.74640427033210432</v>
      </c>
      <c r="E72" s="37">
        <f t="shared" si="0"/>
        <v>2.8020276895687561</v>
      </c>
    </row>
    <row r="73" spans="1:5" x14ac:dyDescent="0.25">
      <c r="A73" s="34">
        <f t="shared" si="1"/>
        <v>3.099999999999997</v>
      </c>
      <c r="B73" s="35">
        <f t="shared" si="2"/>
        <v>-0.87423821739451335</v>
      </c>
      <c r="C73" s="1">
        <f t="shared" si="3"/>
        <v>-0.60630288585366654</v>
      </c>
      <c r="D73" s="1">
        <f t="shared" si="4"/>
        <v>-0.60630288585366654</v>
      </c>
      <c r="E73" s="37">
        <f t="shared" si="0"/>
        <v>3.031969029707823</v>
      </c>
    </row>
    <row r="74" spans="1:5" x14ac:dyDescent="0.25">
      <c r="A74" s="34">
        <f t="shared" si="1"/>
        <v>3.1499999999999968</v>
      </c>
      <c r="B74" s="35">
        <f t="shared" si="2"/>
        <v>-0.90455336168719669</v>
      </c>
      <c r="C74" s="1">
        <f t="shared" si="3"/>
        <v>-0.45470443436827535</v>
      </c>
      <c r="D74" s="1">
        <f t="shared" si="4"/>
        <v>-0.45470443436827535</v>
      </c>
      <c r="E74" s="37">
        <f t="shared" si="0"/>
        <v>3.2379557357214481</v>
      </c>
    </row>
    <row r="75" spans="1:5" x14ac:dyDescent="0.25">
      <c r="A75" s="34">
        <f t="shared" si="1"/>
        <v>3.1999999999999966</v>
      </c>
      <c r="B75" s="35">
        <f t="shared" si="2"/>
        <v>-0.92728858340561049</v>
      </c>
      <c r="C75" s="1">
        <f t="shared" si="3"/>
        <v>-0.29280664758220293</v>
      </c>
      <c r="D75" s="1">
        <f t="shared" si="4"/>
        <v>-0.29280664758220293</v>
      </c>
      <c r="E75" s="37">
        <f t="shared" ref="E75:E138" si="5" xml:space="preserve"> -R_x/L_x*D75-1/(L_x*C_x)*B75+E0_x*SIN(w_x*A75)/L_x</f>
        <v>3.4169475809935754</v>
      </c>
    </row>
    <row r="76" spans="1:5" x14ac:dyDescent="0.25">
      <c r="A76" s="34">
        <f t="shared" si="1"/>
        <v>3.2499999999999964</v>
      </c>
      <c r="B76" s="35">
        <f t="shared" si="2"/>
        <v>-0.9419289157847206</v>
      </c>
      <c r="C76" s="1">
        <f t="shared" si="3"/>
        <v>-0.12195926853252415</v>
      </c>
      <c r="D76" s="1">
        <f t="shared" si="4"/>
        <v>-0.12195926853252415</v>
      </c>
      <c r="E76" s="37">
        <f t="shared" si="5"/>
        <v>3.5661148141977144</v>
      </c>
    </row>
    <row r="77" spans="1:5" x14ac:dyDescent="0.25">
      <c r="A77" s="34">
        <f t="shared" ref="A77:A140" si="6">A76+$A$8</f>
        <v>3.2999999999999963</v>
      </c>
      <c r="B77" s="35">
        <f t="shared" ref="B77:B140" si="7">B76+C76*$A$8</f>
        <v>-0.94802687921134676</v>
      </c>
      <c r="C77" s="1">
        <f t="shared" ref="C77:C140" si="8">D77</f>
        <v>5.6346472177361578E-2</v>
      </c>
      <c r="D77" s="1">
        <f t="shared" ref="D77:D140" si="9">D76+E76*$A$8</f>
        <v>5.6346472177361578E-2</v>
      </c>
      <c r="E77" s="37">
        <f t="shared" si="5"/>
        <v>3.6828752931398347</v>
      </c>
    </row>
    <row r="78" spans="1:5" x14ac:dyDescent="0.25">
      <c r="A78" s="34">
        <f t="shared" si="6"/>
        <v>3.3499999999999961</v>
      </c>
      <c r="B78" s="35">
        <f t="shared" si="7"/>
        <v>-0.94520955560247866</v>
      </c>
      <c r="C78" s="1">
        <f t="shared" si="8"/>
        <v>0.24049023683435333</v>
      </c>
      <c r="D78" s="1">
        <f t="shared" si="9"/>
        <v>0.24049023683435333</v>
      </c>
      <c r="E78" s="37">
        <f t="shared" si="5"/>
        <v>3.7649297091762963</v>
      </c>
    </row>
    <row r="79" spans="1:5" x14ac:dyDescent="0.25">
      <c r="A79" s="34">
        <f t="shared" si="6"/>
        <v>3.3999999999999959</v>
      </c>
      <c r="B79" s="35">
        <f t="shared" si="7"/>
        <v>-0.93318504376076095</v>
      </c>
      <c r="C79" s="1">
        <f t="shared" si="8"/>
        <v>0.42873672229316817</v>
      </c>
      <c r="D79" s="1">
        <f t="shared" si="9"/>
        <v>0.42873672229316817</v>
      </c>
      <c r="E79" s="37">
        <f t="shared" si="5"/>
        <v>3.8102944703021233</v>
      </c>
    </row>
    <row r="80" spans="1:5" x14ac:dyDescent="0.25">
      <c r="A80" s="34">
        <f t="shared" si="6"/>
        <v>3.4499999999999957</v>
      </c>
      <c r="B80" s="35">
        <f t="shared" si="7"/>
        <v>-0.91174820764610254</v>
      </c>
      <c r="C80" s="1">
        <f t="shared" si="8"/>
        <v>0.61925144580827429</v>
      </c>
      <c r="D80" s="1">
        <f t="shared" si="9"/>
        <v>0.61925144580827429</v>
      </c>
      <c r="E80" s="37">
        <f t="shared" si="5"/>
        <v>3.8173318289209344</v>
      </c>
    </row>
    <row r="81" spans="1:5" x14ac:dyDescent="0.25">
      <c r="A81" s="34">
        <f t="shared" si="6"/>
        <v>3.4999999999999956</v>
      </c>
      <c r="B81" s="35">
        <f t="shared" si="7"/>
        <v>-0.88078563535568888</v>
      </c>
      <c r="C81" s="1">
        <f t="shared" si="8"/>
        <v>0.81011803725432108</v>
      </c>
      <c r="D81" s="1">
        <f t="shared" si="9"/>
        <v>0.81011803725432108</v>
      </c>
      <c r="E81" s="37">
        <f t="shared" si="5"/>
        <v>3.7847768630826435</v>
      </c>
    </row>
    <row r="82" spans="1:5" x14ac:dyDescent="0.25">
      <c r="A82" s="34">
        <f t="shared" si="6"/>
        <v>3.5499999999999954</v>
      </c>
      <c r="B82" s="35">
        <f t="shared" si="7"/>
        <v>-0.8402797334929728</v>
      </c>
      <c r="C82" s="1">
        <f t="shared" si="8"/>
        <v>0.99935688040845327</v>
      </c>
      <c r="D82" s="1">
        <f t="shared" si="9"/>
        <v>0.99935688040845327</v>
      </c>
      <c r="E82" s="37">
        <f t="shared" si="5"/>
        <v>3.7117609474352999</v>
      </c>
    </row>
    <row r="83" spans="1:5" x14ac:dyDescent="0.25">
      <c r="A83" s="34">
        <f t="shared" si="6"/>
        <v>3.5999999999999952</v>
      </c>
      <c r="B83" s="35">
        <f t="shared" si="7"/>
        <v>-0.79031188947255016</v>
      </c>
      <c r="C83" s="1">
        <f t="shared" si="8"/>
        <v>1.1849449277802182</v>
      </c>
      <c r="D83" s="1">
        <f t="shared" si="9"/>
        <v>1.1849449277802182</v>
      </c>
      <c r="E83" s="37">
        <f t="shared" si="5"/>
        <v>3.5978313820560164</v>
      </c>
    </row>
    <row r="84" spans="1:5" x14ac:dyDescent="0.25">
      <c r="A84" s="34">
        <f t="shared" si="6"/>
        <v>3.649999999999995</v>
      </c>
      <c r="B84" s="35">
        <f t="shared" si="7"/>
        <v>-0.73106464308353925</v>
      </c>
      <c r="C84" s="1">
        <f t="shared" si="8"/>
        <v>1.3648364968830191</v>
      </c>
      <c r="D84" s="1">
        <f t="shared" si="9"/>
        <v>1.3648364968830191</v>
      </c>
      <c r="E84" s="37">
        <f t="shared" si="5"/>
        <v>3.4429668834243721</v>
      </c>
    </row>
    <row r="85" spans="1:5" x14ac:dyDescent="0.25">
      <c r="A85" s="34">
        <f t="shared" si="6"/>
        <v>3.6999999999999948</v>
      </c>
      <c r="B85" s="35">
        <f t="shared" si="7"/>
        <v>-0.66282281823938827</v>
      </c>
      <c r="C85" s="1">
        <f t="shared" si="8"/>
        <v>1.5369848410542377</v>
      </c>
      <c r="D85" s="1">
        <f t="shared" si="9"/>
        <v>1.5369848410542377</v>
      </c>
      <c r="E85" s="37">
        <f t="shared" si="5"/>
        <v>3.2475886817521071</v>
      </c>
    </row>
    <row r="86" spans="1:5" x14ac:dyDescent="0.25">
      <c r="A86" s="34">
        <f t="shared" si="6"/>
        <v>3.7499999999999947</v>
      </c>
      <c r="B86" s="35">
        <f t="shared" si="7"/>
        <v>-0.58597357618667634</v>
      </c>
      <c r="C86" s="1">
        <f t="shared" si="8"/>
        <v>1.6993642751418432</v>
      </c>
      <c r="D86" s="1">
        <f t="shared" si="9"/>
        <v>1.6993642751418432</v>
      </c>
      <c r="E86" s="37">
        <f t="shared" si="5"/>
        <v>3.0125670123108694</v>
      </c>
    </row>
    <row r="87" spans="1:5" x14ac:dyDescent="0.25">
      <c r="A87" s="34">
        <f t="shared" si="6"/>
        <v>3.7999999999999945</v>
      </c>
      <c r="B87" s="35">
        <f t="shared" si="7"/>
        <v>-0.50100536242958416</v>
      </c>
      <c r="C87" s="1">
        <f t="shared" si="8"/>
        <v>1.8499926257573867</v>
      </c>
      <c r="D87" s="1">
        <f t="shared" si="9"/>
        <v>1.8499926257573867</v>
      </c>
      <c r="E87" s="37">
        <f t="shared" si="5"/>
        <v>2.7392228348879715</v>
      </c>
    </row>
    <row r="88" spans="1:5" x14ac:dyDescent="0.25">
      <c r="A88" s="34">
        <f t="shared" si="6"/>
        <v>3.8499999999999943</v>
      </c>
      <c r="B88" s="35">
        <f t="shared" si="7"/>
        <v>-0.40850573114171485</v>
      </c>
      <c r="C88" s="1">
        <f t="shared" si="8"/>
        <v>1.9869537675017852</v>
      </c>
      <c r="D88" s="1">
        <f t="shared" si="9"/>
        <v>1.9869537675017852</v>
      </c>
      <c r="E88" s="37">
        <f t="shared" si="5"/>
        <v>2.4293246645918165</v>
      </c>
    </row>
    <row r="89" spans="1:5" x14ac:dyDescent="0.25">
      <c r="A89" s="34">
        <f t="shared" si="6"/>
        <v>3.8999999999999941</v>
      </c>
      <c r="B89" s="35">
        <f t="shared" si="7"/>
        <v>-0.30915804276662556</v>
      </c>
      <c r="C89" s="1">
        <f t="shared" si="8"/>
        <v>2.108420000731376</v>
      </c>
      <c r="D89" s="1">
        <f t="shared" si="9"/>
        <v>2.108420000731376</v>
      </c>
      <c r="E89" s="37">
        <f t="shared" si="5"/>
        <v>2.0850804484326115</v>
      </c>
    </row>
    <row r="90" spans="1:5" x14ac:dyDescent="0.25">
      <c r="A90" s="34">
        <f t="shared" si="6"/>
        <v>3.949999999999994</v>
      </c>
      <c r="B90" s="35">
        <f t="shared" si="7"/>
        <v>-0.20373704273005677</v>
      </c>
      <c r="C90" s="1">
        <f t="shared" si="8"/>
        <v>2.2126740231530064</v>
      </c>
      <c r="D90" s="1">
        <f t="shared" si="9"/>
        <v>2.2126740231530064</v>
      </c>
      <c r="E90" s="37">
        <f t="shared" si="5"/>
        <v>1.7091244748986787</v>
      </c>
    </row>
    <row r="91" spans="1:5" x14ac:dyDescent="0.25">
      <c r="A91" s="34">
        <f t="shared" si="6"/>
        <v>3.9999999999999938</v>
      </c>
      <c r="B91" s="35">
        <f t="shared" si="7"/>
        <v>-9.3103341572406448E-2</v>
      </c>
      <c r="C91" s="1">
        <f t="shared" si="8"/>
        <v>2.2981302468979403</v>
      </c>
      <c r="D91" s="1">
        <f t="shared" si="9"/>
        <v>2.2981302468979403</v>
      </c>
      <c r="E91" s="37">
        <f t="shared" si="5"/>
        <v>1.3044993575880075</v>
      </c>
    </row>
    <row r="92" spans="1:5" x14ac:dyDescent="0.25">
      <c r="A92" s="34">
        <f t="shared" si="6"/>
        <v>4.0499999999999936</v>
      </c>
      <c r="B92" s="35">
        <f t="shared" si="7"/>
        <v>2.1803170772490568E-2</v>
      </c>
      <c r="C92" s="1">
        <f t="shared" si="8"/>
        <v>2.3633552147773407</v>
      </c>
      <c r="D92" s="1">
        <f t="shared" si="9"/>
        <v>2.3633552147773407</v>
      </c>
      <c r="E92" s="37">
        <f t="shared" si="5"/>
        <v>0.87463318827305514</v>
      </c>
    </row>
    <row r="93" spans="1:5" x14ac:dyDescent="0.25">
      <c r="A93" s="34">
        <f t="shared" si="6"/>
        <v>4.0999999999999934</v>
      </c>
      <c r="B93" s="35">
        <f t="shared" si="7"/>
        <v>0.13997093151135759</v>
      </c>
      <c r="C93" s="1">
        <f t="shared" si="8"/>
        <v>2.4070868741909934</v>
      </c>
      <c r="D93" s="1">
        <f t="shared" si="9"/>
        <v>2.4070868741909934</v>
      </c>
      <c r="E93" s="37">
        <f t="shared" si="5"/>
        <v>0.42331200899522692</v>
      </c>
    </row>
    <row r="94" spans="1:5" x14ac:dyDescent="0.25">
      <c r="A94" s="34">
        <f t="shared" si="6"/>
        <v>4.1499999999999932</v>
      </c>
      <c r="B94" s="35">
        <f t="shared" si="7"/>
        <v>0.26032527522090726</v>
      </c>
      <c r="C94" s="1">
        <f t="shared" si="8"/>
        <v>2.4282524746407548</v>
      </c>
      <c r="D94" s="1">
        <f t="shared" si="9"/>
        <v>2.4282524746407548</v>
      </c>
      <c r="E94" s="37">
        <f t="shared" si="5"/>
        <v>-4.5352193682652975E-2</v>
      </c>
    </row>
    <row r="95" spans="1:5" x14ac:dyDescent="0.25">
      <c r="A95" s="34">
        <f t="shared" si="6"/>
        <v>4.1999999999999931</v>
      </c>
      <c r="B95" s="35">
        <f t="shared" si="7"/>
        <v>0.38173789895294502</v>
      </c>
      <c r="C95" s="1">
        <f t="shared" si="8"/>
        <v>2.425984864956622</v>
      </c>
      <c r="D95" s="1">
        <f t="shared" si="9"/>
        <v>2.425984864956622</v>
      </c>
      <c r="E95" s="37">
        <f t="shared" si="5"/>
        <v>-0.52695771688004234</v>
      </c>
    </row>
    <row r="96" spans="1:5" x14ac:dyDescent="0.25">
      <c r="A96" s="34">
        <f t="shared" si="6"/>
        <v>4.2499999999999929</v>
      </c>
      <c r="B96" s="35">
        <f t="shared" si="7"/>
        <v>0.50303714220077611</v>
      </c>
      <c r="C96" s="1">
        <f t="shared" si="8"/>
        <v>2.39963697911262</v>
      </c>
      <c r="D96" s="1">
        <f t="shared" si="9"/>
        <v>2.39963697911262</v>
      </c>
      <c r="E96" s="37">
        <f t="shared" si="5"/>
        <v>-1.0168532862725701</v>
      </c>
    </row>
    <row r="97" spans="1:5" x14ac:dyDescent="0.25">
      <c r="A97" s="34">
        <f t="shared" si="6"/>
        <v>4.2999999999999927</v>
      </c>
      <c r="B97" s="35">
        <f t="shared" si="7"/>
        <v>0.62301899115640713</v>
      </c>
      <c r="C97" s="1">
        <f t="shared" si="8"/>
        <v>2.3487943147989916</v>
      </c>
      <c r="D97" s="1">
        <f t="shared" si="9"/>
        <v>2.3487943147989916</v>
      </c>
      <c r="E97" s="37">
        <f t="shared" si="5"/>
        <v>-1.5101817638790336</v>
      </c>
    </row>
    <row r="98" spans="1:5" x14ac:dyDescent="0.25">
      <c r="A98" s="34">
        <f t="shared" si="6"/>
        <v>4.3499999999999925</v>
      </c>
      <c r="B98" s="35">
        <f t="shared" si="7"/>
        <v>0.74045870689635673</v>
      </c>
      <c r="C98" s="1">
        <f t="shared" si="8"/>
        <v>2.2732852266050401</v>
      </c>
      <c r="D98" s="1">
        <f t="shared" si="9"/>
        <v>2.2732852266050401</v>
      </c>
      <c r="E98" s="37">
        <f t="shared" si="5"/>
        <v>-2.0019270200166579</v>
      </c>
    </row>
    <row r="99" spans="1:5" x14ac:dyDescent="0.25">
      <c r="A99" s="34">
        <f t="shared" si="6"/>
        <v>4.3999999999999924</v>
      </c>
      <c r="B99" s="35">
        <f t="shared" si="7"/>
        <v>0.85412296822660871</v>
      </c>
      <c r="C99" s="1">
        <f t="shared" si="8"/>
        <v>2.173188875604207</v>
      </c>
      <c r="D99" s="1">
        <f t="shared" si="9"/>
        <v>2.173188875604207</v>
      </c>
      <c r="E99" s="37">
        <f t="shared" si="5"/>
        <v>-2.4869635292059327</v>
      </c>
    </row>
    <row r="100" spans="1:5" x14ac:dyDescent="0.25">
      <c r="A100" s="34">
        <f t="shared" si="6"/>
        <v>4.4499999999999922</v>
      </c>
      <c r="B100" s="35">
        <f t="shared" si="7"/>
        <v>0.96278241200681913</v>
      </c>
      <c r="C100" s="1">
        <f t="shared" si="8"/>
        <v>2.0488406991439105</v>
      </c>
      <c r="D100" s="1">
        <f t="shared" si="9"/>
        <v>2.0488406991439105</v>
      </c>
      <c r="E100" s="37">
        <f t="shared" si="5"/>
        <v>-2.9601082123474192</v>
      </c>
    </row>
    <row r="101" spans="1:5" x14ac:dyDescent="0.25">
      <c r="A101" s="34">
        <f t="shared" si="6"/>
        <v>4.499999999999992</v>
      </c>
      <c r="B101" s="35">
        <f t="shared" si="7"/>
        <v>1.0652244469640146</v>
      </c>
      <c r="C101" s="1">
        <f t="shared" si="8"/>
        <v>1.9008352885265396</v>
      </c>
      <c r="D101" s="1">
        <f t="shared" si="9"/>
        <v>1.9008352885265396</v>
      </c>
      <c r="E101" s="37">
        <f t="shared" si="5"/>
        <v>-3.4161740145144943</v>
      </c>
    </row>
    <row r="102" spans="1:5" x14ac:dyDescent="0.25">
      <c r="A102" s="34">
        <f t="shared" si="6"/>
        <v>4.5499999999999918</v>
      </c>
      <c r="B102" s="35">
        <f t="shared" si="7"/>
        <v>1.1602662113903417</v>
      </c>
      <c r="C102" s="1">
        <f t="shared" si="8"/>
        <v>1.7300265878008148</v>
      </c>
      <c r="D102" s="1">
        <f t="shared" si="9"/>
        <v>1.7300265878008148</v>
      </c>
      <c r="E102" s="37">
        <f t="shared" si="5"/>
        <v>-3.8500246796328712</v>
      </c>
    </row>
    <row r="103" spans="1:5" x14ac:dyDescent="0.25">
      <c r="A103" s="34">
        <f t="shared" si="6"/>
        <v>4.5999999999999917</v>
      </c>
      <c r="B103" s="35">
        <f t="shared" si="7"/>
        <v>1.2467675407803824</v>
      </c>
      <c r="C103" s="1">
        <f t="shared" si="8"/>
        <v>1.5375253538191711</v>
      </c>
      <c r="D103" s="1">
        <f t="shared" si="9"/>
        <v>1.5375253538191711</v>
      </c>
      <c r="E103" s="37">
        <f t="shared" si="5"/>
        <v>-4.2566301605287302</v>
      </c>
    </row>
    <row r="104" spans="1:5" x14ac:dyDescent="0.25">
      <c r="A104" s="34">
        <f t="shared" si="6"/>
        <v>4.6499999999999915</v>
      </c>
      <c r="B104" s="35">
        <f t="shared" si="7"/>
        <v>1.3236438084713411</v>
      </c>
      <c r="C104" s="1">
        <f t="shared" si="8"/>
        <v>1.3246938457927346</v>
      </c>
      <c r="D104" s="1">
        <f t="shared" si="9"/>
        <v>1.3246938457927346</v>
      </c>
      <c r="E104" s="37">
        <f t="shared" si="5"/>
        <v>-4.631122085650615</v>
      </c>
    </row>
    <row r="105" spans="1:5" x14ac:dyDescent="0.25">
      <c r="A105" s="34">
        <f t="shared" si="6"/>
        <v>4.6999999999999913</v>
      </c>
      <c r="B105" s="35">
        <f t="shared" si="7"/>
        <v>1.3898785007609777</v>
      </c>
      <c r="C105" s="1">
        <f t="shared" si="8"/>
        <v>1.0931377415102039</v>
      </c>
      <c r="D105" s="1">
        <f t="shared" si="9"/>
        <v>1.0931377415102039</v>
      </c>
      <c r="E105" s="37">
        <f t="shared" si="5"/>
        <v>-4.9688486924793862</v>
      </c>
    </row>
    <row r="106" spans="1:5" x14ac:dyDescent="0.25">
      <c r="A106" s="34">
        <f t="shared" si="6"/>
        <v>4.7499999999999911</v>
      </c>
      <c r="B106" s="35">
        <f t="shared" si="7"/>
        <v>1.4445353878364879</v>
      </c>
      <c r="C106" s="1">
        <f t="shared" si="8"/>
        <v>0.84469530688623462</v>
      </c>
      <c r="D106" s="1">
        <f t="shared" si="9"/>
        <v>0.84469530688623462</v>
      </c>
      <c r="E106" s="37">
        <f t="shared" si="5"/>
        <v>-5.2654286324503463</v>
      </c>
    </row>
    <row r="107" spans="1:5" x14ac:dyDescent="0.25">
      <c r="A107" s="34">
        <f t="shared" si="6"/>
        <v>4.7999999999999909</v>
      </c>
      <c r="B107" s="35">
        <f t="shared" si="7"/>
        <v>1.4867701531807997</v>
      </c>
      <c r="C107" s="1">
        <f t="shared" si="8"/>
        <v>0.5814238752637173</v>
      </c>
      <c r="D107" s="1">
        <f t="shared" si="9"/>
        <v>0.5814238752637173</v>
      </c>
      <c r="E107" s="37">
        <f t="shared" si="5"/>
        <v>-5.5168030532755665</v>
      </c>
    </row>
    <row r="108" spans="1:5" x14ac:dyDescent="0.25">
      <c r="A108" s="34">
        <f t="shared" si="6"/>
        <v>4.8499999999999908</v>
      </c>
      <c r="B108" s="35">
        <f t="shared" si="7"/>
        <v>1.5158413469439855</v>
      </c>
      <c r="C108" s="1">
        <f t="shared" si="8"/>
        <v>0.30558372259993899</v>
      </c>
      <c r="D108" s="1">
        <f t="shared" si="9"/>
        <v>0.30558372259993899</v>
      </c>
      <c r="E108" s="37">
        <f t="shared" si="5"/>
        <v>-5.7192853719615577</v>
      </c>
    </row>
    <row r="109" spans="1:5" x14ac:dyDescent="0.25">
      <c r="A109" s="34">
        <f t="shared" si="6"/>
        <v>4.8999999999999906</v>
      </c>
      <c r="B109" s="35">
        <f t="shared" si="7"/>
        <v>1.5311205330739825</v>
      </c>
      <c r="C109" s="1">
        <f t="shared" si="8"/>
        <v>1.9619454001861103E-2</v>
      </c>
      <c r="D109" s="1">
        <f t="shared" si="9"/>
        <v>1.9619454001861103E-2</v>
      </c>
      <c r="E109" s="37">
        <f t="shared" si="5"/>
        <v>-5.8696081655911794</v>
      </c>
    </row>
    <row r="110" spans="1:5" x14ac:dyDescent="0.25">
      <c r="A110" s="34">
        <f t="shared" si="6"/>
        <v>4.9499999999999904</v>
      </c>
      <c r="B110" s="35">
        <f t="shared" si="7"/>
        <v>1.5321015057740757</v>
      </c>
      <c r="C110" s="1">
        <f t="shared" si="8"/>
        <v>-0.27386095427769785</v>
      </c>
      <c r="D110" s="1">
        <f t="shared" si="9"/>
        <v>-0.27386095427769785</v>
      </c>
      <c r="E110" s="37">
        <f t="shared" si="5"/>
        <v>-5.9649666270350652</v>
      </c>
    </row>
    <row r="111" spans="1:5" x14ac:dyDescent="0.25">
      <c r="A111" s="34">
        <f t="shared" si="6"/>
        <v>4.9999999999999902</v>
      </c>
      <c r="B111" s="35">
        <f t="shared" si="7"/>
        <v>1.5184084580601909</v>
      </c>
      <c r="C111" s="1">
        <f t="shared" si="8"/>
        <v>-0.57210928562945118</v>
      </c>
      <c r="D111" s="1">
        <f t="shared" si="9"/>
        <v>-0.57210928562945118</v>
      </c>
      <c r="E111" s="37">
        <f t="shared" si="5"/>
        <v>-6.0030580590652738</v>
      </c>
    </row>
    <row r="112" spans="1:5" x14ac:dyDescent="0.25">
      <c r="A112" s="34">
        <f t="shared" si="6"/>
        <v>5.0499999999999901</v>
      </c>
      <c r="B112" s="35">
        <f t="shared" si="7"/>
        <v>1.4898029937787183</v>
      </c>
      <c r="C112" s="1">
        <f t="shared" si="8"/>
        <v>-0.87226218858271487</v>
      </c>
      <c r="D112" s="1">
        <f t="shared" si="9"/>
        <v>-0.87226218858271487</v>
      </c>
      <c r="E112" s="37">
        <f t="shared" si="5"/>
        <v>-5.9821169126835967</v>
      </c>
    </row>
    <row r="113" spans="1:5" x14ac:dyDescent="0.25">
      <c r="A113" s="34">
        <f t="shared" si="6"/>
        <v>5.0999999999999899</v>
      </c>
      <c r="B113" s="35">
        <f t="shared" si="7"/>
        <v>1.4461898843495826</v>
      </c>
      <c r="C113" s="1">
        <f t="shared" si="8"/>
        <v>-1.1713680342168948</v>
      </c>
      <c r="D113" s="1">
        <f t="shared" si="9"/>
        <v>-1.1713680342168948</v>
      </c>
      <c r="E113" s="37">
        <f t="shared" si="5"/>
        <v>-5.9009449136031957</v>
      </c>
    </row>
    <row r="114" spans="1:5" x14ac:dyDescent="0.25">
      <c r="A114" s="34">
        <f t="shared" si="6"/>
        <v>5.1499999999999897</v>
      </c>
      <c r="B114" s="35">
        <f t="shared" si="7"/>
        <v>1.3876214826387379</v>
      </c>
      <c r="C114" s="1">
        <f t="shared" si="8"/>
        <v>-1.4664152798970547</v>
      </c>
      <c r="D114" s="1">
        <f t="shared" si="9"/>
        <v>-1.4664152798970547</v>
      </c>
      <c r="E114" s="37">
        <f t="shared" si="5"/>
        <v>-5.7589358644248954</v>
      </c>
    </row>
    <row r="115" spans="1:5" x14ac:dyDescent="0.25">
      <c r="A115" s="34">
        <f t="shared" si="6"/>
        <v>5.1999999999999895</v>
      </c>
      <c r="B115" s="35">
        <f t="shared" si="7"/>
        <v>1.3143007186438851</v>
      </c>
      <c r="C115" s="1">
        <f t="shared" si="8"/>
        <v>-1.7543620731182994</v>
      </c>
      <c r="D115" s="1">
        <f t="shared" si="9"/>
        <v>-1.7543620731182994</v>
      </c>
      <c r="E115" s="37">
        <f t="shared" si="5"/>
        <v>-5.5560947587553642</v>
      </c>
    </row>
    <row r="116" spans="1:5" x14ac:dyDescent="0.25">
      <c r="A116" s="34">
        <f t="shared" si="6"/>
        <v>5.2499999999999893</v>
      </c>
      <c r="B116" s="35">
        <f t="shared" si="7"/>
        <v>1.2265826149879702</v>
      </c>
      <c r="C116" s="1">
        <f t="shared" si="8"/>
        <v>-2.0321668110560678</v>
      </c>
      <c r="D116" s="1">
        <f t="shared" si="9"/>
        <v>-2.0321668110560678</v>
      </c>
      <c r="E116" s="37">
        <f t="shared" si="5"/>
        <v>-5.2930508968913843</v>
      </c>
    </row>
    <row r="117" spans="1:5" x14ac:dyDescent="0.25">
      <c r="A117" s="34">
        <f t="shared" si="6"/>
        <v>5.2999999999999892</v>
      </c>
      <c r="B117" s="35">
        <f t="shared" si="7"/>
        <v>1.1249742744351667</v>
      </c>
      <c r="C117" s="1">
        <f t="shared" si="8"/>
        <v>-2.2968193559006371</v>
      </c>
      <c r="D117" s="1">
        <f t="shared" si="9"/>
        <v>-2.2968193559006371</v>
      </c>
      <c r="E117" s="37">
        <f t="shared" si="5"/>
        <v>-4.9710647502540484</v>
      </c>
    </row>
    <row r="118" spans="1:5" x14ac:dyDescent="0.25">
      <c r="A118" s="34">
        <f t="shared" si="6"/>
        <v>5.349999999999989</v>
      </c>
      <c r="B118" s="35">
        <f t="shared" si="7"/>
        <v>1.0101333066401348</v>
      </c>
      <c r="C118" s="1">
        <f t="shared" si="8"/>
        <v>-2.5453725934133393</v>
      </c>
      <c r="D118" s="1">
        <f t="shared" si="9"/>
        <v>-2.5453725934133393</v>
      </c>
      <c r="E118" s="37">
        <f t="shared" si="5"/>
        <v>-4.5920283829594331</v>
      </c>
    </row>
    <row r="119" spans="1:5" x14ac:dyDescent="0.25">
      <c r="A119" s="34">
        <f t="shared" si="6"/>
        <v>5.3999999999999888</v>
      </c>
      <c r="B119" s="35">
        <f t="shared" si="7"/>
        <v>0.8828646769694678</v>
      </c>
      <c r="C119" s="1">
        <f t="shared" si="8"/>
        <v>-2.7749740125613109</v>
      </c>
      <c r="D119" s="1">
        <f t="shared" si="9"/>
        <v>-2.7749740125613109</v>
      </c>
      <c r="E119" s="37">
        <f t="shared" si="5"/>
        <v>-4.1584593031716661</v>
      </c>
    </row>
    <row r="120" spans="1:5" x14ac:dyDescent="0.25">
      <c r="A120" s="34">
        <f t="shared" si="6"/>
        <v>5.4499999999999886</v>
      </c>
      <c r="B120" s="35">
        <f t="shared" si="7"/>
        <v>0.74411597634140225</v>
      </c>
      <c r="C120" s="1">
        <f t="shared" si="8"/>
        <v>-2.9828969777198941</v>
      </c>
      <c r="D120" s="1">
        <f t="shared" si="9"/>
        <v>-2.9828969777198941</v>
      </c>
      <c r="E120" s="37">
        <f t="shared" si="5"/>
        <v>-3.6734876835733101</v>
      </c>
    </row>
    <row r="121" spans="1:5" x14ac:dyDescent="0.25">
      <c r="A121" s="34">
        <f t="shared" si="6"/>
        <v>5.4999999999999885</v>
      </c>
      <c r="B121" s="35">
        <f t="shared" si="7"/>
        <v>0.59497112745540748</v>
      </c>
      <c r="C121" s="1">
        <f t="shared" si="8"/>
        <v>-3.1665713618985598</v>
      </c>
      <c r="D121" s="1">
        <f t="shared" si="9"/>
        <v>-3.1665713618985598</v>
      </c>
      <c r="E121" s="37">
        <f t="shared" si="5"/>
        <v>-3.1408369587439515</v>
      </c>
    </row>
    <row r="122" spans="1:5" x14ac:dyDescent="0.25">
      <c r="A122" s="34">
        <f t="shared" si="6"/>
        <v>5.5499999999999883</v>
      </c>
      <c r="B122" s="35">
        <f t="shared" si="7"/>
        <v>0.43664255936047947</v>
      </c>
      <c r="C122" s="1">
        <f t="shared" si="8"/>
        <v>-3.3236132098357576</v>
      </c>
      <c r="D122" s="1">
        <f t="shared" si="9"/>
        <v>-3.3236132098357576</v>
      </c>
      <c r="E122" s="37">
        <f t="shared" si="5"/>
        <v>-2.5647978767701152</v>
      </c>
    </row>
    <row r="123" spans="1:5" x14ac:dyDescent="0.25">
      <c r="A123" s="34">
        <f t="shared" si="6"/>
        <v>5.5999999999999881</v>
      </c>
      <c r="B123" s="35">
        <f t="shared" si="7"/>
        <v>0.27046189886869154</v>
      </c>
      <c r="C123" s="1">
        <f t="shared" si="8"/>
        <v>-3.4518531036742632</v>
      </c>
      <c r="D123" s="1">
        <f t="shared" si="9"/>
        <v>-3.4518531036742632</v>
      </c>
      <c r="E123" s="37">
        <f t="shared" si="5"/>
        <v>-1.9501961523051241</v>
      </c>
    </row>
    <row r="124" spans="1:5" x14ac:dyDescent="0.25">
      <c r="A124" s="34">
        <f t="shared" si="6"/>
        <v>5.6499999999999879</v>
      </c>
      <c r="B124" s="35">
        <f t="shared" si="7"/>
        <v>9.7869243684978374E-2</v>
      </c>
      <c r="C124" s="1">
        <f t="shared" si="8"/>
        <v>-3.5493629112895193</v>
      </c>
      <c r="D124" s="1">
        <f t="shared" si="9"/>
        <v>-3.5493629112895193</v>
      </c>
      <c r="E124" s="37">
        <f t="shared" si="5"/>
        <v>-1.3023539378292122</v>
      </c>
    </row>
    <row r="125" spans="1:5" x14ac:dyDescent="0.25">
      <c r="A125" s="34">
        <f t="shared" si="6"/>
        <v>5.6999999999999877</v>
      </c>
      <c r="B125" s="35">
        <f t="shared" si="7"/>
        <v>-7.9598901879497613E-2</v>
      </c>
      <c r="C125" s="1">
        <f t="shared" si="8"/>
        <v>-3.6144806081809797</v>
      </c>
      <c r="D125" s="1">
        <f t="shared" si="9"/>
        <v>-3.6144806081809797</v>
      </c>
      <c r="E125" s="37">
        <f t="shared" si="5"/>
        <v>-0.62704539829322714</v>
      </c>
    </row>
    <row r="126" spans="1:5" x14ac:dyDescent="0.25">
      <c r="A126" s="34">
        <f t="shared" si="6"/>
        <v>5.7499999999999876</v>
      </c>
      <c r="B126" s="35">
        <f t="shared" si="7"/>
        <v>-0.26032293228854664</v>
      </c>
      <c r="C126" s="1">
        <f t="shared" si="8"/>
        <v>-3.645832878095641</v>
      </c>
      <c r="D126" s="1">
        <f t="shared" si="9"/>
        <v>-3.645832878095641</v>
      </c>
      <c r="E126" s="37">
        <f t="shared" si="5"/>
        <v>6.955325907040466E-2</v>
      </c>
    </row>
    <row r="127" spans="1:5" x14ac:dyDescent="0.25">
      <c r="A127" s="34">
        <f t="shared" si="6"/>
        <v>5.7999999999999874</v>
      </c>
      <c r="B127" s="35">
        <f t="shared" si="7"/>
        <v>-0.44261457619332867</v>
      </c>
      <c r="C127" s="1">
        <f t="shared" si="8"/>
        <v>-3.6423552151421208</v>
      </c>
      <c r="D127" s="1">
        <f t="shared" si="9"/>
        <v>-3.6423552151421208</v>
      </c>
      <c r="E127" s="37">
        <f t="shared" si="5"/>
        <v>0.78091888394433628</v>
      </c>
    </row>
    <row r="128" spans="1:5" x14ac:dyDescent="0.25">
      <c r="A128" s="34">
        <f t="shared" si="6"/>
        <v>5.8499999999999872</v>
      </c>
      <c r="B128" s="35">
        <f t="shared" si="7"/>
        <v>-0.62473233695043473</v>
      </c>
      <c r="C128" s="1">
        <f t="shared" si="8"/>
        <v>-3.6033092709449042</v>
      </c>
      <c r="D128" s="1">
        <f t="shared" si="9"/>
        <v>-3.6033092709449042</v>
      </c>
      <c r="E128" s="37">
        <f t="shared" si="5"/>
        <v>1.5002411345332995</v>
      </c>
    </row>
    <row r="129" spans="1:5" x14ac:dyDescent="0.25">
      <c r="A129" s="34">
        <f t="shared" si="6"/>
        <v>5.899999999999987</v>
      </c>
      <c r="B129" s="35">
        <f t="shared" si="7"/>
        <v>-0.80489780049767989</v>
      </c>
      <c r="C129" s="1">
        <f t="shared" si="8"/>
        <v>-3.5282972142182394</v>
      </c>
      <c r="D129" s="1">
        <f t="shared" si="9"/>
        <v>-3.5282972142182394</v>
      </c>
      <c r="E129" s="37">
        <f t="shared" si="5"/>
        <v>2.2204863481682198</v>
      </c>
    </row>
    <row r="130" spans="1:5" x14ac:dyDescent="0.25">
      <c r="A130" s="34">
        <f t="shared" si="6"/>
        <v>5.9499999999999869</v>
      </c>
      <c r="B130" s="35">
        <f t="shared" si="7"/>
        <v>-0.98131266120859184</v>
      </c>
      <c r="C130" s="1">
        <f t="shared" si="8"/>
        <v>-3.4172728968098283</v>
      </c>
      <c r="D130" s="1">
        <f t="shared" si="9"/>
        <v>-3.4172728968098283</v>
      </c>
      <c r="E130" s="37">
        <f t="shared" si="5"/>
        <v>2.9344649452905771</v>
      </c>
    </row>
    <row r="131" spans="1:5" x14ac:dyDescent="0.25">
      <c r="A131" s="34">
        <f t="shared" si="6"/>
        <v>5.9999999999999867</v>
      </c>
      <c r="B131" s="35">
        <f t="shared" si="7"/>
        <v>-1.1521763060490833</v>
      </c>
      <c r="C131" s="1">
        <f t="shared" si="8"/>
        <v>-3.2705496495452993</v>
      </c>
      <c r="D131" s="1">
        <f t="shared" si="9"/>
        <v>-3.2705496495452993</v>
      </c>
      <c r="E131" s="37">
        <f t="shared" si="5"/>
        <v>3.6349017342265437</v>
      </c>
    </row>
    <row r="132" spans="1:5" x14ac:dyDescent="0.25">
      <c r="A132" s="34">
        <f t="shared" si="6"/>
        <v>6.0499999999999865</v>
      </c>
      <c r="B132" s="35">
        <f t="shared" si="7"/>
        <v>-1.3157037885263483</v>
      </c>
      <c r="C132" s="1">
        <f t="shared" si="8"/>
        <v>-3.088804562833972</v>
      </c>
      <c r="D132" s="1">
        <f t="shared" si="9"/>
        <v>-3.088804562833972</v>
      </c>
      <c r="E132" s="37">
        <f t="shared" si="5"/>
        <v>4.3145084429895597</v>
      </c>
    </row>
    <row r="133" spans="1:5" x14ac:dyDescent="0.25">
      <c r="A133" s="34">
        <f t="shared" si="6"/>
        <v>6.0999999999999863</v>
      </c>
      <c r="B133" s="35">
        <f t="shared" si="7"/>
        <v>-1.4701440166680468</v>
      </c>
      <c r="C133" s="1">
        <f t="shared" si="8"/>
        <v>-2.873079140684494</v>
      </c>
      <c r="D133" s="1">
        <f t="shared" si="9"/>
        <v>-2.873079140684494</v>
      </c>
      <c r="E133" s="37">
        <f t="shared" si="5"/>
        <v>4.9660577695026156</v>
      </c>
    </row>
    <row r="134" spans="1:5" x14ac:dyDescent="0.25">
      <c r="A134" s="34">
        <f t="shared" si="6"/>
        <v>6.1499999999999861</v>
      </c>
      <c r="B134" s="35">
        <f t="shared" si="7"/>
        <v>-1.6137979737022716</v>
      </c>
      <c r="C134" s="1">
        <f t="shared" si="8"/>
        <v>-2.6247762522093634</v>
      </c>
      <c r="D134" s="1">
        <f t="shared" si="9"/>
        <v>-2.6247762522093634</v>
      </c>
      <c r="E134" s="37">
        <f t="shared" si="5"/>
        <v>5.5824582135703062</v>
      </c>
    </row>
    <row r="135" spans="1:5" x14ac:dyDescent="0.25">
      <c r="A135" s="34">
        <f t="shared" si="6"/>
        <v>6.199999999999986</v>
      </c>
      <c r="B135" s="35">
        <f t="shared" si="7"/>
        <v>-1.7450367863127398</v>
      </c>
      <c r="C135" s="1">
        <f t="shared" si="8"/>
        <v>-2.345653341530848</v>
      </c>
      <c r="D135" s="1">
        <f t="shared" si="9"/>
        <v>-2.345653341530848</v>
      </c>
      <c r="E135" s="37">
        <f t="shared" si="5"/>
        <v>6.1568289330549142</v>
      </c>
    </row>
    <row r="136" spans="1:5" x14ac:dyDescent="0.25">
      <c r="A136" s="34">
        <f t="shared" si="6"/>
        <v>6.2499999999999858</v>
      </c>
      <c r="B136" s="35">
        <f t="shared" si="7"/>
        <v>-1.8623194533892822</v>
      </c>
      <c r="C136" s="1">
        <f t="shared" si="8"/>
        <v>-2.0378118948781023</v>
      </c>
      <c r="D136" s="1">
        <f t="shared" si="9"/>
        <v>-2.0378118948781023</v>
      </c>
      <c r="E136" s="37">
        <f t="shared" si="5"/>
        <v>6.682573853350684</v>
      </c>
    </row>
    <row r="137" spans="1:5" x14ac:dyDescent="0.25">
      <c r="A137" s="34">
        <f t="shared" si="6"/>
        <v>6.2999999999999856</v>
      </c>
      <c r="B137" s="35">
        <f t="shared" si="7"/>
        <v>-1.9642100481331872</v>
      </c>
      <c r="C137" s="1">
        <f t="shared" si="8"/>
        <v>-1.7036832022105681</v>
      </c>
      <c r="D137" s="1">
        <f t="shared" si="9"/>
        <v>-1.7036832022105681</v>
      </c>
      <c r="E137" s="37">
        <f t="shared" si="5"/>
        <v>7.1534542536632468</v>
      </c>
    </row>
    <row r="138" spans="1:5" x14ac:dyDescent="0.25">
      <c r="A138" s="34">
        <f t="shared" si="6"/>
        <v>6.3499999999999854</v>
      </c>
      <c r="B138" s="35">
        <f t="shared" si="7"/>
        <v>-2.0493942082437155</v>
      </c>
      <c r="C138" s="1">
        <f t="shared" si="8"/>
        <v>-1.3460104895274059</v>
      </c>
      <c r="D138" s="1">
        <f t="shared" si="9"/>
        <v>-1.3460104895274059</v>
      </c>
      <c r="E138" s="37">
        <f t="shared" si="5"/>
        <v>7.5636590559673058</v>
      </c>
    </row>
    <row r="139" spans="1:5" x14ac:dyDescent="0.25">
      <c r="A139" s="34">
        <f t="shared" si="6"/>
        <v>6.3999999999999853</v>
      </c>
      <c r="B139" s="35">
        <f t="shared" si="7"/>
        <v>-2.1166947327200858</v>
      </c>
      <c r="C139" s="1">
        <f t="shared" si="8"/>
        <v>-0.96782753672904054</v>
      </c>
      <c r="D139" s="1">
        <f t="shared" si="9"/>
        <v>-0.96782753672904054</v>
      </c>
      <c r="E139" s="37">
        <f t="shared" ref="E139:E202" si="10" xml:space="preserve"> -R_x/L_x*D139-1/(L_x*C_x)*B139+E0_x*SIN(w_x*A139)/L_x</f>
        <v>7.9078720529355326</v>
      </c>
    </row>
    <row r="140" spans="1:5" x14ac:dyDescent="0.25">
      <c r="A140" s="34">
        <f t="shared" si="6"/>
        <v>6.4499999999999851</v>
      </c>
      <c r="B140" s="35">
        <f t="shared" si="7"/>
        <v>-2.1650861095565377</v>
      </c>
      <c r="C140" s="1">
        <f t="shared" si="8"/>
        <v>-0.57243393408226395</v>
      </c>
      <c r="D140" s="1">
        <f t="shared" si="9"/>
        <v>-0.57243393408226395</v>
      </c>
      <c r="E140" s="37">
        <f t="shared" si="10"/>
        <v>8.1813353296236873</v>
      </c>
    </row>
    <row r="141" spans="1:5" x14ac:dyDescent="0.25">
      <c r="A141" s="34">
        <f t="shared" ref="A141:A204" si="11">A140+$A$8</f>
        <v>6.4999999999999849</v>
      </c>
      <c r="B141" s="35">
        <f t="shared" ref="B141:B204" si="12">B140+C140*$A$8</f>
        <v>-2.193707806260651</v>
      </c>
      <c r="C141" s="1">
        <f t="shared" ref="C141:C204" si="13">D141</f>
        <v>-0.16336716760107955</v>
      </c>
      <c r="D141" s="1">
        <f t="shared" ref="D141:D204" si="14">D140+E140*$A$8</f>
        <v>-0.16336716760107955</v>
      </c>
      <c r="E141" s="37">
        <f t="shared" si="10"/>
        <v>8.3799081601960985</v>
      </c>
    </row>
    <row r="142" spans="1:5" x14ac:dyDescent="0.25">
      <c r="A142" s="34">
        <f t="shared" si="11"/>
        <v>6.5499999999999847</v>
      </c>
      <c r="B142" s="35">
        <f t="shared" si="12"/>
        <v>-2.201876164640705</v>
      </c>
      <c r="C142" s="1">
        <f t="shared" si="13"/>
        <v>0.25562824040872539</v>
      </c>
      <c r="D142" s="1">
        <f t="shared" si="14"/>
        <v>0.25562824040872539</v>
      </c>
      <c r="E142" s="37">
        <f t="shared" si="10"/>
        <v>8.500120695333047</v>
      </c>
    </row>
    <row r="143" spans="1:5" x14ac:dyDescent="0.25">
      <c r="A143" s="34">
        <f t="shared" si="11"/>
        <v>6.5999999999999845</v>
      </c>
      <c r="B143" s="35">
        <f t="shared" si="12"/>
        <v>-2.1890947526202686</v>
      </c>
      <c r="C143" s="1">
        <f t="shared" si="13"/>
        <v>0.68063427517537778</v>
      </c>
      <c r="D143" s="1">
        <f t="shared" si="14"/>
        <v>0.68063427517537778</v>
      </c>
      <c r="E143" s="37">
        <f t="shared" si="10"/>
        <v>8.5392217979444904</v>
      </c>
    </row>
    <row r="144" spans="1:5" x14ac:dyDescent="0.25">
      <c r="A144" s="34">
        <f t="shared" si="11"/>
        <v>6.6499999999999844</v>
      </c>
      <c r="B144" s="35">
        <f t="shared" si="12"/>
        <v>-2.1550630388615</v>
      </c>
      <c r="C144" s="1">
        <f t="shared" si="13"/>
        <v>1.1075953650726023</v>
      </c>
      <c r="D144" s="1">
        <f t="shared" si="14"/>
        <v>1.1075953650726023</v>
      </c>
      <c r="E144" s="37">
        <f t="shared" si="10"/>
        <v>8.4952204341080844</v>
      </c>
    </row>
    <row r="145" spans="1:5" x14ac:dyDescent="0.25">
      <c r="A145" s="34">
        <f t="shared" si="11"/>
        <v>6.6999999999999842</v>
      </c>
      <c r="B145" s="35">
        <f t="shared" si="12"/>
        <v>-2.0996832706078701</v>
      </c>
      <c r="C145" s="1">
        <f t="shared" si="13"/>
        <v>1.5323563867780066</v>
      </c>
      <c r="D145" s="1">
        <f t="shared" si="14"/>
        <v>1.5323563867780066</v>
      </c>
      <c r="E145" s="37">
        <f t="shared" si="10"/>
        <v>8.3669200823581438</v>
      </c>
    </row>
    <row r="146" spans="1:5" x14ac:dyDescent="0.25">
      <c r="A146" s="34">
        <f t="shared" si="11"/>
        <v>6.749999999999984</v>
      </c>
      <c r="B146" s="35">
        <f t="shared" si="12"/>
        <v>-2.0230654512689696</v>
      </c>
      <c r="C146" s="1">
        <f t="shared" si="13"/>
        <v>1.9507023908959138</v>
      </c>
      <c r="D146" s="1">
        <f t="shared" si="14"/>
        <v>1.9507023908959138</v>
      </c>
      <c r="E146" s="37">
        <f t="shared" si="10"/>
        <v>8.1539456871033877</v>
      </c>
    </row>
    <row r="147" spans="1:5" x14ac:dyDescent="0.25">
      <c r="A147" s="34">
        <f t="shared" si="11"/>
        <v>6.7999999999999838</v>
      </c>
      <c r="B147" s="35">
        <f t="shared" si="12"/>
        <v>-1.9255303317241739</v>
      </c>
      <c r="C147" s="1">
        <f t="shared" si="13"/>
        <v>2.358399675251083</v>
      </c>
      <c r="D147" s="1">
        <f t="shared" si="14"/>
        <v>2.358399675251083</v>
      </c>
      <c r="E147" s="37">
        <f t="shared" si="10"/>
        <v>7.8567627504985573</v>
      </c>
    </row>
    <row r="148" spans="1:5" x14ac:dyDescent="0.25">
      <c r="A148" s="34">
        <f t="shared" si="11"/>
        <v>6.8499999999999837</v>
      </c>
      <c r="B148" s="35">
        <f t="shared" si="12"/>
        <v>-1.8076103479616197</v>
      </c>
      <c r="C148" s="1">
        <f t="shared" si="13"/>
        <v>2.7512378127760106</v>
      </c>
      <c r="D148" s="1">
        <f t="shared" si="14"/>
        <v>2.7512378127760106</v>
      </c>
      <c r="E148" s="37">
        <f t="shared" si="10"/>
        <v>7.4766882309229503</v>
      </c>
    </row>
    <row r="149" spans="1:5" x14ac:dyDescent="0.25">
      <c r="A149" s="34">
        <f t="shared" si="11"/>
        <v>6.8999999999999835</v>
      </c>
      <c r="B149" s="35">
        <f t="shared" si="12"/>
        <v>-1.6700484573228191</v>
      </c>
      <c r="C149" s="1">
        <f t="shared" si="13"/>
        <v>3.125072224322158</v>
      </c>
      <c r="D149" s="1">
        <f t="shared" si="14"/>
        <v>3.125072224322158</v>
      </c>
      <c r="E149" s="37">
        <f t="shared" si="10"/>
        <v>7.0158929946484072</v>
      </c>
    </row>
    <row r="150" spans="1:5" x14ac:dyDescent="0.25">
      <c r="A150" s="34">
        <f t="shared" si="11"/>
        <v>6.9499999999999833</v>
      </c>
      <c r="B150" s="35">
        <f t="shared" si="12"/>
        <v>-1.5137948461067112</v>
      </c>
      <c r="C150" s="1">
        <f t="shared" si="13"/>
        <v>3.4758668740545784</v>
      </c>
      <c r="D150" s="1">
        <f t="shared" si="14"/>
        <v>3.4758668740545784</v>
      </c>
      <c r="E150" s="37">
        <f t="shared" si="10"/>
        <v>6.4773956495737677</v>
      </c>
    </row>
    <row r="151" spans="1:5" x14ac:dyDescent="0.25">
      <c r="A151" s="34">
        <f t="shared" si="11"/>
        <v>6.9999999999999831</v>
      </c>
      <c r="B151" s="35">
        <f t="shared" si="12"/>
        <v>-1.3400015024039824</v>
      </c>
      <c r="C151" s="1">
        <f t="shared" si="13"/>
        <v>3.7997366565332666</v>
      </c>
      <c r="D151" s="1">
        <f t="shared" si="14"/>
        <v>3.7997366565332666</v>
      </c>
      <c r="E151" s="37">
        <f t="shared" si="10"/>
        <v>5.8650476752747656</v>
      </c>
    </row>
    <row r="152" spans="1:5" x14ac:dyDescent="0.25">
      <c r="A152" s="34">
        <f t="shared" si="11"/>
        <v>7.0499999999999829</v>
      </c>
      <c r="B152" s="35">
        <f t="shared" si="12"/>
        <v>-1.150014669577319</v>
      </c>
      <c r="C152" s="1">
        <f t="shared" si="13"/>
        <v>4.0929890402970051</v>
      </c>
      <c r="D152" s="1">
        <f t="shared" si="14"/>
        <v>4.0929890402970051</v>
      </c>
      <c r="E152" s="37">
        <f t="shared" si="10"/>
        <v>5.1835098512368711</v>
      </c>
    </row>
    <row r="153" spans="1:5" x14ac:dyDescent="0.25">
      <c r="A153" s="34">
        <f t="shared" si="11"/>
        <v>7.0999999999999828</v>
      </c>
      <c r="B153" s="35">
        <f t="shared" si="12"/>
        <v>-0.94536521756246872</v>
      </c>
      <c r="C153" s="1">
        <f t="shared" si="13"/>
        <v>4.3521645328588487</v>
      </c>
      <c r="D153" s="1">
        <f t="shared" si="14"/>
        <v>4.3521645328588487</v>
      </c>
      <c r="E153" s="37">
        <f t="shared" si="10"/>
        <v>4.438220074137579</v>
      </c>
    </row>
    <row r="154" spans="1:5" x14ac:dyDescent="0.25">
      <c r="A154" s="34">
        <f t="shared" si="11"/>
        <v>7.1499999999999826</v>
      </c>
      <c r="B154" s="35">
        <f t="shared" si="12"/>
        <v>-0.72775699091952628</v>
      </c>
      <c r="C154" s="1">
        <f t="shared" si="13"/>
        <v>4.5740755365657275</v>
      </c>
      <c r="D154" s="1">
        <f t="shared" si="14"/>
        <v>4.5740755365657275</v>
      </c>
      <c r="E154" s="37">
        <f t="shared" si="10"/>
        <v>3.635352744530477</v>
      </c>
    </row>
    <row r="155" spans="1:5" x14ac:dyDescent="0.25">
      <c r="A155" s="34">
        <f t="shared" si="11"/>
        <v>7.1999999999999824</v>
      </c>
      <c r="B155" s="35">
        <f t="shared" si="12"/>
        <v>-0.49905321409123993</v>
      </c>
      <c r="C155" s="1">
        <f t="shared" si="13"/>
        <v>4.7558431737922513</v>
      </c>
      <c r="D155" s="1">
        <f t="shared" si="14"/>
        <v>4.7558431737922513</v>
      </c>
      <c r="E155" s="37">
        <f t="shared" si="10"/>
        <v>2.7817699923448629</v>
      </c>
    </row>
    <row r="156" spans="1:5" x14ac:dyDescent="0.25">
      <c r="A156" s="34">
        <f t="shared" si="11"/>
        <v>7.2499999999999822</v>
      </c>
      <c r="B156" s="35">
        <f t="shared" si="12"/>
        <v>-0.26126105540162736</v>
      </c>
      <c r="C156" s="1">
        <f t="shared" si="13"/>
        <v>4.8949316734094941</v>
      </c>
      <c r="D156" s="1">
        <f t="shared" si="14"/>
        <v>4.8949316734094941</v>
      </c>
      <c r="E156" s="37">
        <f t="shared" si="10"/>
        <v>1.8849650983306947</v>
      </c>
    </row>
    <row r="157" spans="1:5" x14ac:dyDescent="0.25">
      <c r="A157" s="34">
        <f t="shared" si="11"/>
        <v>7.2999999999999821</v>
      </c>
      <c r="B157" s="35">
        <f t="shared" si="12"/>
        <v>-1.6514471731152641E-2</v>
      </c>
      <c r="C157" s="1">
        <f t="shared" si="13"/>
        <v>4.9891799283260285</v>
      </c>
      <c r="D157" s="1">
        <f t="shared" si="14"/>
        <v>4.9891799283260285</v>
      </c>
      <c r="E157" s="37">
        <f t="shared" si="10"/>
        <v>0.95299855402915967</v>
      </c>
    </row>
    <row r="158" spans="1:5" x14ac:dyDescent="0.25">
      <c r="A158" s="34">
        <f t="shared" si="11"/>
        <v>7.3499999999999819</v>
      </c>
      <c r="B158" s="35">
        <f t="shared" si="12"/>
        <v>0.23294452468514878</v>
      </c>
      <c r="C158" s="1">
        <f t="shared" si="13"/>
        <v>5.0368298560274862</v>
      </c>
      <c r="D158" s="1">
        <f t="shared" si="14"/>
        <v>5.0368298560274862</v>
      </c>
      <c r="E158" s="37">
        <f t="shared" si="10"/>
        <v>-5.5727148768571766E-3</v>
      </c>
    </row>
    <row r="159" spans="1:5" x14ac:dyDescent="0.25">
      <c r="A159" s="34">
        <f t="shared" si="11"/>
        <v>7.3999999999999817</v>
      </c>
      <c r="B159" s="35">
        <f t="shared" si="12"/>
        <v>0.48478601748652306</v>
      </c>
      <c r="C159" s="1">
        <f t="shared" si="13"/>
        <v>5.0365512202836431</v>
      </c>
      <c r="D159" s="1">
        <f t="shared" si="14"/>
        <v>5.0365512202836431</v>
      </c>
      <c r="E159" s="37">
        <f t="shared" si="10"/>
        <v>-0.98177235877196523</v>
      </c>
    </row>
    <row r="160" spans="1:5" x14ac:dyDescent="0.25">
      <c r="A160" s="34">
        <f t="shared" si="11"/>
        <v>7.4499999999999815</v>
      </c>
      <c r="B160" s="35">
        <f t="shared" si="12"/>
        <v>0.7366135785007053</v>
      </c>
      <c r="C160" s="1">
        <f t="shared" si="13"/>
        <v>4.9874626023450448</v>
      </c>
      <c r="D160" s="1">
        <f t="shared" si="14"/>
        <v>4.9874626023450448</v>
      </c>
      <c r="E160" s="37">
        <f t="shared" si="10"/>
        <v>-1.9662871715413976</v>
      </c>
    </row>
    <row r="161" spans="1:5" x14ac:dyDescent="0.25">
      <c r="A161" s="34">
        <f t="shared" si="11"/>
        <v>7.4999999999999813</v>
      </c>
      <c r="B161" s="35">
        <f t="shared" si="12"/>
        <v>0.98598670861795756</v>
      </c>
      <c r="C161" s="1">
        <f t="shared" si="13"/>
        <v>4.8891482437679752</v>
      </c>
      <c r="D161" s="1">
        <f t="shared" si="14"/>
        <v>4.8891482437679752</v>
      </c>
      <c r="E161" s="37">
        <f t="shared" si="10"/>
        <v>-2.9495544713727799</v>
      </c>
    </row>
    <row r="162" spans="1:5" x14ac:dyDescent="0.25">
      <c r="A162" s="34">
        <f t="shared" si="11"/>
        <v>7.5499999999999812</v>
      </c>
      <c r="B162" s="35">
        <f t="shared" si="12"/>
        <v>1.2304441208063563</v>
      </c>
      <c r="C162" s="1">
        <f t="shared" si="13"/>
        <v>4.7416705201993361</v>
      </c>
      <c r="D162" s="1">
        <f t="shared" si="14"/>
        <v>4.7416705201993361</v>
      </c>
      <c r="E162" s="37">
        <f t="shared" si="10"/>
        <v>-3.9218534900855926</v>
      </c>
    </row>
    <row r="163" spans="1:5" x14ac:dyDescent="0.25">
      <c r="A163" s="34">
        <f t="shared" si="11"/>
        <v>7.599999999999981</v>
      </c>
      <c r="B163" s="35">
        <f t="shared" si="12"/>
        <v>1.4675276468163232</v>
      </c>
      <c r="C163" s="1">
        <f t="shared" si="13"/>
        <v>4.5455778456950569</v>
      </c>
      <c r="D163" s="1">
        <f t="shared" si="14"/>
        <v>4.5455778456950569</v>
      </c>
      <c r="E163" s="37">
        <f t="shared" si="10"/>
        <v>-4.8733999124180976</v>
      </c>
    </row>
    <row r="164" spans="1:5" x14ac:dyDescent="0.25">
      <c r="A164" s="34">
        <f t="shared" si="11"/>
        <v>7.6499999999999808</v>
      </c>
      <c r="B164" s="35">
        <f t="shared" si="12"/>
        <v>1.694806539101076</v>
      </c>
      <c r="C164" s="1">
        <f t="shared" si="13"/>
        <v>4.3019078500741523</v>
      </c>
      <c r="D164" s="1">
        <f t="shared" si="14"/>
        <v>4.3019078500741523</v>
      </c>
      <c r="E164" s="37">
        <f t="shared" si="10"/>
        <v>-5.7944426608873894</v>
      </c>
    </row>
    <row r="165" spans="1:5" x14ac:dyDescent="0.25">
      <c r="A165" s="34">
        <f t="shared" si="11"/>
        <v>7.6999999999999806</v>
      </c>
      <c r="B165" s="35">
        <f t="shared" si="12"/>
        <v>1.9099019316047836</v>
      </c>
      <c r="C165" s="1">
        <f t="shared" si="13"/>
        <v>4.0121857170297828</v>
      </c>
      <c r="D165" s="1">
        <f t="shared" si="14"/>
        <v>4.0121857170297828</v>
      </c>
      <c r="E165" s="37">
        <f t="shared" si="10"/>
        <v>-6.6753619845266998</v>
      </c>
    </row>
    <row r="166" spans="1:5" x14ac:dyDescent="0.25">
      <c r="A166" s="34">
        <f t="shared" si="11"/>
        <v>7.7499999999999805</v>
      </c>
      <c r="B166" s="35">
        <f t="shared" si="12"/>
        <v>2.1105112174562728</v>
      </c>
      <c r="C166" s="1">
        <f t="shared" si="13"/>
        <v>3.678417617803448</v>
      </c>
      <c r="D166" s="1">
        <f t="shared" si="14"/>
        <v>3.678417617803448</v>
      </c>
      <c r="E166" s="37">
        <f t="shared" si="10"/>
        <v>-7.5067678815040564</v>
      </c>
    </row>
    <row r="167" spans="1:5" x14ac:dyDescent="0.25">
      <c r="A167" s="34">
        <f t="shared" si="11"/>
        <v>7.7999999999999803</v>
      </c>
      <c r="B167" s="35">
        <f t="shared" si="12"/>
        <v>2.2944320983464452</v>
      </c>
      <c r="C167" s="1">
        <f t="shared" si="13"/>
        <v>3.3030792237282451</v>
      </c>
      <c r="D167" s="1">
        <f t="shared" si="14"/>
        <v>3.3030792237282451</v>
      </c>
      <c r="E167" s="37">
        <f t="shared" si="10"/>
        <v>-8.2795978667620993</v>
      </c>
    </row>
    <row r="168" spans="1:5" x14ac:dyDescent="0.25">
      <c r="A168" s="34">
        <f t="shared" si="11"/>
        <v>7.8499999999999801</v>
      </c>
      <c r="B168" s="35">
        <f t="shared" si="12"/>
        <v>2.4595860595328576</v>
      </c>
      <c r="C168" s="1">
        <f t="shared" si="13"/>
        <v>2.88909933039014</v>
      </c>
      <c r="D168" s="1">
        <f t="shared" si="14"/>
        <v>2.88909933039014</v>
      </c>
      <c r="E168" s="37">
        <f t="shared" si="10"/>
        <v>-8.9852130867242543</v>
      </c>
    </row>
    <row r="169" spans="1:5" x14ac:dyDescent="0.25">
      <c r="A169" s="34">
        <f t="shared" si="11"/>
        <v>7.8999999999999799</v>
      </c>
      <c r="B169" s="35">
        <f t="shared" si="12"/>
        <v>2.6040410260523648</v>
      </c>
      <c r="C169" s="1">
        <f t="shared" si="13"/>
        <v>2.4398386760539275</v>
      </c>
      <c r="D169" s="1">
        <f t="shared" si="14"/>
        <v>2.4398386760539275</v>
      </c>
      <c r="E169" s="37">
        <f t="shared" si="10"/>
        <v>-9.6154917840264584</v>
      </c>
    </row>
    <row r="170" spans="1:5" x14ac:dyDescent="0.25">
      <c r="A170" s="34">
        <f t="shared" si="11"/>
        <v>7.9499999999999797</v>
      </c>
      <c r="B170" s="35">
        <f t="shared" si="12"/>
        <v>2.7260329598550612</v>
      </c>
      <c r="C170" s="1">
        <f t="shared" si="13"/>
        <v>1.9590640868526046</v>
      </c>
      <c r="D170" s="1">
        <f t="shared" si="14"/>
        <v>1.9590640868526046</v>
      </c>
      <c r="E170" s="37">
        <f t="shared" si="10"/>
        <v>-10.162919126296543</v>
      </c>
    </row>
    <row r="171" spans="1:5" x14ac:dyDescent="0.25">
      <c r="A171" s="34">
        <f t="shared" si="11"/>
        <v>7.9999999999999796</v>
      </c>
      <c r="B171" s="35">
        <f t="shared" si="12"/>
        <v>2.8239861641976916</v>
      </c>
      <c r="C171" s="1">
        <f t="shared" si="13"/>
        <v>1.4509181305377774</v>
      </c>
      <c r="D171" s="1">
        <f t="shared" si="14"/>
        <v>1.4509181305377774</v>
      </c>
      <c r="E171" s="37">
        <f t="shared" si="10"/>
        <v>-10.620672434253771</v>
      </c>
    </row>
    <row r="172" spans="1:5" x14ac:dyDescent="0.25">
      <c r="A172" s="34">
        <f t="shared" si="11"/>
        <v>8.0499999999999794</v>
      </c>
      <c r="B172" s="35">
        <f t="shared" si="12"/>
        <v>2.8965320707245805</v>
      </c>
      <c r="C172" s="1">
        <f t="shared" si="13"/>
        <v>0.91988450882508876</v>
      </c>
      <c r="D172" s="1">
        <f t="shared" si="14"/>
        <v>0.91988450882508876</v>
      </c>
      <c r="E172" s="37">
        <f t="shared" si="10"/>
        <v>-10.982700875774185</v>
      </c>
    </row>
    <row r="173" spans="1:5" x14ac:dyDescent="0.25">
      <c r="A173" s="34">
        <f t="shared" si="11"/>
        <v>8.0999999999999801</v>
      </c>
      <c r="B173" s="35">
        <f t="shared" si="12"/>
        <v>2.9425262961658349</v>
      </c>
      <c r="C173" s="1">
        <f t="shared" si="13"/>
        <v>0.37074946503637951</v>
      </c>
      <c r="D173" s="1">
        <f t="shared" si="14"/>
        <v>0.37074946503637951</v>
      </c>
      <c r="E173" s="37">
        <f t="shared" si="10"/>
        <v>-11.243798733894565</v>
      </c>
    </row>
    <row r="174" spans="1:5" x14ac:dyDescent="0.25">
      <c r="A174" s="34">
        <f t="shared" si="11"/>
        <v>8.1499999999999808</v>
      </c>
      <c r="B174" s="35">
        <f t="shared" si="12"/>
        <v>2.9610637694176538</v>
      </c>
      <c r="C174" s="1">
        <f t="shared" si="13"/>
        <v>-0.19144047165834877</v>
      </c>
      <c r="D174" s="1">
        <f t="shared" si="14"/>
        <v>-0.19144047165834877</v>
      </c>
      <c r="E174" s="37">
        <f t="shared" si="10"/>
        <v>-11.399671407735873</v>
      </c>
    </row>
    <row r="175" spans="1:5" x14ac:dyDescent="0.25">
      <c r="A175" s="34">
        <f t="shared" si="11"/>
        <v>8.1999999999999815</v>
      </c>
      <c r="B175" s="35">
        <f t="shared" si="12"/>
        <v>2.9514917458347365</v>
      </c>
      <c r="C175" s="1">
        <f t="shared" si="13"/>
        <v>-0.76142404204514247</v>
      </c>
      <c r="D175" s="1">
        <f t="shared" si="14"/>
        <v>-0.76142404204514247</v>
      </c>
      <c r="E175" s="37">
        <f t="shared" si="10"/>
        <v>-11.446993365640925</v>
      </c>
    </row>
    <row r="176" spans="1:5" x14ac:dyDescent="0.25">
      <c r="A176" s="34">
        <f t="shared" si="11"/>
        <v>8.2499999999999822</v>
      </c>
      <c r="B176" s="35">
        <f t="shared" si="12"/>
        <v>2.9134205437324794</v>
      </c>
      <c r="C176" s="1">
        <f t="shared" si="13"/>
        <v>-1.3337737103271887</v>
      </c>
      <c r="D176" s="1">
        <f t="shared" si="14"/>
        <v>-1.3337737103271887</v>
      </c>
      <c r="E176" s="37">
        <f t="shared" si="10"/>
        <v>-11.383457338964917</v>
      </c>
    </row>
    <row r="177" spans="1:5" x14ac:dyDescent="0.25">
      <c r="A177" s="34">
        <f t="shared" si="11"/>
        <v>8.2999999999999829</v>
      </c>
      <c r="B177" s="35">
        <f t="shared" si="12"/>
        <v>2.8467318582161201</v>
      </c>
      <c r="C177" s="1">
        <f t="shared" si="13"/>
        <v>-1.9029465772754346</v>
      </c>
      <c r="D177" s="1">
        <f t="shared" si="14"/>
        <v>-1.9029465772754346</v>
      </c>
      <c r="E177" s="37">
        <f t="shared" si="10"/>
        <v>-11.207814122359222</v>
      </c>
    </row>
    <row r="178" spans="1:5" x14ac:dyDescent="0.25">
      <c r="A178" s="34">
        <f t="shared" si="11"/>
        <v>8.3499999999999837</v>
      </c>
      <c r="B178" s="35">
        <f t="shared" si="12"/>
        <v>2.7515845293523484</v>
      </c>
      <c r="C178" s="1">
        <f t="shared" si="13"/>
        <v>-2.463337283393396</v>
      </c>
      <c r="D178" s="1">
        <f t="shared" si="14"/>
        <v>-2.463337283393396</v>
      </c>
      <c r="E178" s="37">
        <f t="shared" si="10"/>
        <v>-10.919902431383823</v>
      </c>
    </row>
    <row r="179" spans="1:5" x14ac:dyDescent="0.25">
      <c r="A179" s="34">
        <f t="shared" si="11"/>
        <v>8.3999999999999844</v>
      </c>
      <c r="B179" s="35">
        <f t="shared" si="12"/>
        <v>2.6284176651826785</v>
      </c>
      <c r="C179" s="1">
        <f t="shared" si="13"/>
        <v>-3.0093324049625871</v>
      </c>
      <c r="D179" s="1">
        <f t="shared" si="14"/>
        <v>-3.0093324049625871</v>
      </c>
      <c r="E179" s="37">
        <f t="shared" si="10"/>
        <v>-10.520668360120693</v>
      </c>
    </row>
    <row r="180" spans="1:5" x14ac:dyDescent="0.25">
      <c r="A180" s="34">
        <f t="shared" si="11"/>
        <v>8.4499999999999851</v>
      </c>
      <c r="B180" s="35">
        <f t="shared" si="12"/>
        <v>2.477951044934549</v>
      </c>
      <c r="C180" s="1">
        <f t="shared" si="13"/>
        <v>-3.5353658229686218</v>
      </c>
      <c r="D180" s="1">
        <f t="shared" si="14"/>
        <v>-3.5353658229686218</v>
      </c>
      <c r="E180" s="37">
        <f t="shared" si="10"/>
        <v>-10.012174079307822</v>
      </c>
    </row>
    <row r="181" spans="1:5" x14ac:dyDescent="0.25">
      <c r="A181" s="34">
        <f t="shared" si="11"/>
        <v>8.4999999999999858</v>
      </c>
      <c r="B181" s="35">
        <f t="shared" si="12"/>
        <v>2.3011827537861178</v>
      </c>
      <c r="C181" s="1">
        <f t="shared" si="13"/>
        <v>-4.0359745269340133</v>
      </c>
      <c r="D181" s="1">
        <f t="shared" si="14"/>
        <v>-4.0359745269340133</v>
      </c>
      <c r="E181" s="37">
        <f t="shared" si="10"/>
        <v>-9.3975955184666322</v>
      </c>
    </row>
    <row r="182" spans="1:5" x14ac:dyDescent="0.25">
      <c r="A182" s="34">
        <f t="shared" si="11"/>
        <v>8.5499999999999865</v>
      </c>
      <c r="B182" s="35">
        <f t="shared" si="12"/>
        <v>2.0993840274394171</v>
      </c>
      <c r="C182" s="1">
        <f t="shared" si="13"/>
        <v>-4.5058543028573448</v>
      </c>
      <c r="D182" s="1">
        <f t="shared" si="14"/>
        <v>-4.5058543028573448</v>
      </c>
      <c r="E182" s="37">
        <f t="shared" si="10"/>
        <v>-8.6812088825851621</v>
      </c>
    </row>
    <row r="183" spans="1:5" x14ac:dyDescent="0.25">
      <c r="A183" s="34">
        <f t="shared" si="11"/>
        <v>8.5999999999999872</v>
      </c>
      <c r="B183" s="35">
        <f t="shared" si="12"/>
        <v>1.8740913122965499</v>
      </c>
      <c r="C183" s="1">
        <f t="shared" si="13"/>
        <v>-4.9399147469866032</v>
      </c>
      <c r="D183" s="1">
        <f t="shared" si="14"/>
        <v>-4.9399147469866032</v>
      </c>
      <c r="E183" s="37">
        <f t="shared" si="10"/>
        <v>-7.8683659641203718</v>
      </c>
    </row>
    <row r="184" spans="1:5" x14ac:dyDescent="0.25">
      <c r="A184" s="34">
        <f t="shared" si="11"/>
        <v>8.6499999999999879</v>
      </c>
      <c r="B184" s="35">
        <f t="shared" si="12"/>
        <v>1.6270955749472198</v>
      </c>
      <c r="C184" s="1">
        <f t="shared" si="13"/>
        <v>-5.3333330451926217</v>
      </c>
      <c r="D184" s="1">
        <f t="shared" si="14"/>
        <v>-5.3333330451926217</v>
      </c>
      <c r="E184" s="37">
        <f t="shared" si="10"/>
        <v>-6.9654583233239693</v>
      </c>
    </row>
    <row r="185" spans="1:5" x14ac:dyDescent="0.25">
      <c r="A185" s="34">
        <f t="shared" si="11"/>
        <v>8.6999999999999886</v>
      </c>
      <c r="B185" s="35">
        <f t="shared" si="12"/>
        <v>1.3604289226875887</v>
      </c>
      <c r="C185" s="1">
        <f t="shared" si="13"/>
        <v>-5.6816059613588203</v>
      </c>
      <c r="D185" s="1">
        <f t="shared" si="14"/>
        <v>-5.6816059613588203</v>
      </c>
      <c r="E185" s="37">
        <f t="shared" si="10"/>
        <v>-5.9798705230702502</v>
      </c>
    </row>
    <row r="186" spans="1:5" x14ac:dyDescent="0.25">
      <c r="A186" s="34">
        <f t="shared" si="11"/>
        <v>8.7499999999999893</v>
      </c>
      <c r="B186" s="35">
        <f t="shared" si="12"/>
        <v>1.0763486246196476</v>
      </c>
      <c r="C186" s="1">
        <f t="shared" si="13"/>
        <v>-5.9805994875123325</v>
      </c>
      <c r="D186" s="1">
        <f t="shared" si="14"/>
        <v>-5.9805994875123325</v>
      </c>
      <c r="E186" s="37">
        <f t="shared" si="10"/>
        <v>-4.9199227173391424</v>
      </c>
    </row>
    <row r="187" spans="1:5" x14ac:dyDescent="0.25">
      <c r="A187" s="34">
        <f t="shared" si="11"/>
        <v>8.7999999999999901</v>
      </c>
      <c r="B187" s="35">
        <f t="shared" si="12"/>
        <v>0.77731865024403102</v>
      </c>
      <c r="C187" s="1">
        <f t="shared" si="13"/>
        <v>-6.2265956233792892</v>
      </c>
      <c r="D187" s="1">
        <f t="shared" si="14"/>
        <v>-6.2265956233792892</v>
      </c>
      <c r="E187" s="37">
        <f t="shared" si="10"/>
        <v>-3.7948030041369756</v>
      </c>
    </row>
    <row r="188" spans="1:5" x14ac:dyDescent="0.25">
      <c r="A188" s="34">
        <f t="shared" si="11"/>
        <v>8.8499999999999908</v>
      </c>
      <c r="B188" s="35">
        <f t="shared" si="12"/>
        <v>0.46598886907506654</v>
      </c>
      <c r="C188" s="1">
        <f t="shared" si="13"/>
        <v>-6.4163357735861384</v>
      </c>
      <c r="D188" s="1">
        <f t="shared" si="14"/>
        <v>-6.4163357735861384</v>
      </c>
      <c r="E188" s="37">
        <f t="shared" si="10"/>
        <v>-2.6144900627722931</v>
      </c>
    </row>
    <row r="189" spans="1:5" x14ac:dyDescent="0.25">
      <c r="A189" s="34">
        <f t="shared" si="11"/>
        <v>8.8999999999999915</v>
      </c>
      <c r="B189" s="35">
        <f t="shared" si="12"/>
        <v>0.14517208039575957</v>
      </c>
      <c r="C189" s="1">
        <f t="shared" si="13"/>
        <v>-6.5470602767247534</v>
      </c>
      <c r="D189" s="1">
        <f t="shared" si="14"/>
        <v>-6.5470602767247534</v>
      </c>
      <c r="E189" s="37">
        <f t="shared" si="10"/>
        <v>-1.3896667009051842</v>
      </c>
    </row>
    <row r="190" spans="1:5" x14ac:dyDescent="0.25">
      <c r="A190" s="34">
        <f t="shared" si="11"/>
        <v>8.9499999999999922</v>
      </c>
      <c r="B190" s="35">
        <f t="shared" si="12"/>
        <v>-0.18218093344047814</v>
      </c>
      <c r="C190" s="1">
        <f t="shared" si="13"/>
        <v>-6.6165436117700125</v>
      </c>
      <c r="D190" s="1">
        <f t="shared" si="14"/>
        <v>-6.6165436117700125</v>
      </c>
      <c r="E190" s="37">
        <f t="shared" si="10"/>
        <v>-0.13162503753669474</v>
      </c>
    </row>
    <row r="191" spans="1:5" x14ac:dyDescent="0.25">
      <c r="A191" s="34">
        <f t="shared" si="11"/>
        <v>8.9999999999999929</v>
      </c>
      <c r="B191" s="35">
        <f t="shared" si="12"/>
        <v>-0.51300811402897883</v>
      </c>
      <c r="C191" s="1">
        <f t="shared" si="13"/>
        <v>-6.6231248636468472</v>
      </c>
      <c r="D191" s="1">
        <f t="shared" si="14"/>
        <v>-6.6231248636468472</v>
      </c>
      <c r="E191" s="37">
        <f t="shared" si="10"/>
        <v>1.1478358569860792</v>
      </c>
    </row>
    <row r="192" spans="1:5" x14ac:dyDescent="0.25">
      <c r="A192" s="34">
        <f t="shared" si="11"/>
        <v>9.0499999999999936</v>
      </c>
      <c r="B192" s="35">
        <f t="shared" si="12"/>
        <v>-0.84416435721132121</v>
      </c>
      <c r="C192" s="1">
        <f t="shared" si="13"/>
        <v>-6.5657330707975436</v>
      </c>
      <c r="D192" s="1">
        <f t="shared" si="14"/>
        <v>-6.5657330707975436</v>
      </c>
      <c r="E192" s="37">
        <f t="shared" si="10"/>
        <v>2.4365189548462789</v>
      </c>
    </row>
    <row r="193" spans="1:5" x14ac:dyDescent="0.25">
      <c r="A193" s="34">
        <f t="shared" si="11"/>
        <v>9.0999999999999943</v>
      </c>
      <c r="B193" s="35">
        <f t="shared" si="12"/>
        <v>-1.1724510107511983</v>
      </c>
      <c r="C193" s="1">
        <f t="shared" si="13"/>
        <v>-6.4439071230552294</v>
      </c>
      <c r="D193" s="1">
        <f t="shared" si="14"/>
        <v>-6.4439071230552294</v>
      </c>
      <c r="E193" s="37">
        <f t="shared" si="10"/>
        <v>3.7219439092540076</v>
      </c>
    </row>
    <row r="194" spans="1:5" x14ac:dyDescent="0.25">
      <c r="A194" s="34">
        <f t="shared" si="11"/>
        <v>9.149999999999995</v>
      </c>
      <c r="B194" s="35">
        <f t="shared" si="12"/>
        <v>-1.4946463669039598</v>
      </c>
      <c r="C194" s="1">
        <f t="shared" si="13"/>
        <v>-6.257809927592529</v>
      </c>
      <c r="D194" s="1">
        <f t="shared" si="14"/>
        <v>-6.257809927592529</v>
      </c>
      <c r="E194" s="37">
        <f t="shared" si="10"/>
        <v>4.9914662769351077</v>
      </c>
    </row>
    <row r="195" spans="1:5" x14ac:dyDescent="0.25">
      <c r="A195" s="34">
        <f t="shared" si="11"/>
        <v>9.1999999999999957</v>
      </c>
      <c r="B195" s="35">
        <f t="shared" si="12"/>
        <v>-1.8075368632835862</v>
      </c>
      <c r="C195" s="1">
        <f t="shared" si="13"/>
        <v>-6.0082366137457734</v>
      </c>
      <c r="D195" s="1">
        <f t="shared" si="14"/>
        <v>-6.0082366137457734</v>
      </c>
      <c r="E195" s="37">
        <f t="shared" si="10"/>
        <v>6.2324002022526743</v>
      </c>
    </row>
    <row r="196" spans="1:5" x14ac:dyDescent="0.25">
      <c r="A196" s="34">
        <f t="shared" si="11"/>
        <v>9.2499999999999964</v>
      </c>
      <c r="B196" s="35">
        <f t="shared" si="12"/>
        <v>-2.1079486939708749</v>
      </c>
      <c r="C196" s="1">
        <f t="shared" si="13"/>
        <v>-5.6966166036331396</v>
      </c>
      <c r="D196" s="1">
        <f t="shared" si="14"/>
        <v>-5.6966166036331396</v>
      </c>
      <c r="E196" s="37">
        <f t="shared" si="10"/>
        <v>7.4321433892671926</v>
      </c>
    </row>
    <row r="197" spans="1:5" x14ac:dyDescent="0.25">
      <c r="A197" s="34">
        <f t="shared" si="11"/>
        <v>9.2999999999999972</v>
      </c>
      <c r="B197" s="35">
        <f t="shared" si="12"/>
        <v>-2.392779524152532</v>
      </c>
      <c r="C197" s="1">
        <f t="shared" si="13"/>
        <v>-5.3250094341697798</v>
      </c>
      <c r="D197" s="1">
        <f t="shared" si="14"/>
        <v>-5.3250094341697798</v>
      </c>
      <c r="E197" s="37">
        <f t="shared" si="10"/>
        <v>8.5783031477679241</v>
      </c>
    </row>
    <row r="198" spans="1:5" x14ac:dyDescent="0.25">
      <c r="A198" s="34">
        <f t="shared" si="11"/>
        <v>9.3499999999999979</v>
      </c>
      <c r="B198" s="35">
        <f t="shared" si="12"/>
        <v>-2.6590299958610211</v>
      </c>
      <c r="C198" s="1">
        <f t="shared" si="13"/>
        <v>-4.8960942767813833</v>
      </c>
      <c r="D198" s="1">
        <f t="shared" si="14"/>
        <v>-4.8960942767813833</v>
      </c>
      <c r="E198" s="37">
        <f t="shared" si="10"/>
        <v>9.6588222706593783</v>
      </c>
    </row>
    <row r="199" spans="1:5" x14ac:dyDescent="0.25">
      <c r="A199" s="34">
        <f t="shared" si="11"/>
        <v>9.3999999999999986</v>
      </c>
      <c r="B199" s="35">
        <f t="shared" si="12"/>
        <v>-2.9038347097000901</v>
      </c>
      <c r="C199" s="1">
        <f t="shared" si="13"/>
        <v>-4.4131531632484142</v>
      </c>
      <c r="D199" s="1">
        <f t="shared" si="14"/>
        <v>-4.4131531632484142</v>
      </c>
      <c r="E199" s="37">
        <f t="shared" si="10"/>
        <v>10.66210348351537</v>
      </c>
    </row>
    <row r="200" spans="1:5" x14ac:dyDescent="0.25">
      <c r="A200" s="34">
        <f t="shared" si="11"/>
        <v>9.4499999999999993</v>
      </c>
      <c r="B200" s="35">
        <f t="shared" si="12"/>
        <v>-3.1244923678625107</v>
      </c>
      <c r="C200" s="1">
        <f t="shared" si="13"/>
        <v>-3.8800479890726458</v>
      </c>
      <c r="D200" s="1">
        <f t="shared" si="14"/>
        <v>-3.8800479890726458</v>
      </c>
      <c r="E200" s="37">
        <f t="shared" si="10"/>
        <v>11.577131202956949</v>
      </c>
    </row>
    <row r="201" spans="1:5" x14ac:dyDescent="0.25">
      <c r="A201" s="34">
        <f t="shared" si="11"/>
        <v>9.5</v>
      </c>
      <c r="B201" s="35">
        <f t="shared" si="12"/>
        <v>-3.3184947673161429</v>
      </c>
      <c r="C201" s="1">
        <f t="shared" si="13"/>
        <v>-3.3011914289247981</v>
      </c>
      <c r="D201" s="1">
        <f t="shared" si="14"/>
        <v>-3.3011914289247981</v>
      </c>
      <c r="E201" s="37">
        <f t="shared" si="10"/>
        <v>12.393589348986009</v>
      </c>
    </row>
    <row r="202" spans="1:5" x14ac:dyDescent="0.25">
      <c r="A202" s="34">
        <f t="shared" si="11"/>
        <v>9.5500000000000007</v>
      </c>
      <c r="B202" s="35">
        <f t="shared" si="12"/>
        <v>-3.4835543387623829</v>
      </c>
      <c r="C202" s="1">
        <f t="shared" si="13"/>
        <v>-2.6815119614754979</v>
      </c>
      <c r="D202" s="1">
        <f t="shared" si="14"/>
        <v>-2.6815119614754979</v>
      </c>
      <c r="E202" s="37">
        <f t="shared" si="10"/>
        <v>13.101973977606164</v>
      </c>
    </row>
    <row r="203" spans="1:5" x14ac:dyDescent="0.25">
      <c r="A203" s="34">
        <f t="shared" si="11"/>
        <v>9.6000000000000014</v>
      </c>
      <c r="B203" s="35">
        <f t="shared" si="12"/>
        <v>-3.617629936836158</v>
      </c>
      <c r="C203" s="1">
        <f t="shared" si="13"/>
        <v>-2.0264132625951898</v>
      </c>
      <c r="D203" s="1">
        <f t="shared" si="14"/>
        <v>-2.0264132625951898</v>
      </c>
      <c r="E203" s="37">
        <f t="shared" ref="E203:E266" si="15" xml:space="preserve"> -R_x/L_x*D203-1/(L_x*C_x)*B203+E0_x*SIN(w_x*A203)/L_x</f>
        <v>13.693699533951431</v>
      </c>
    </row>
    <row r="204" spans="1:5" x14ac:dyDescent="0.25">
      <c r="A204" s="34">
        <f t="shared" si="11"/>
        <v>9.6500000000000021</v>
      </c>
      <c r="B204" s="35">
        <f t="shared" si="12"/>
        <v>-3.7189505999659174</v>
      </c>
      <c r="C204" s="1">
        <f t="shared" si="13"/>
        <v>-1.3417282858976183</v>
      </c>
      <c r="D204" s="1">
        <f t="shared" si="14"/>
        <v>-1.3417282858976183</v>
      </c>
      <c r="E204" s="37">
        <f t="shared" si="15"/>
        <v>14.161197572558381</v>
      </c>
    </row>
    <row r="205" spans="1:5" x14ac:dyDescent="0.25">
      <c r="A205" s="34">
        <f t="shared" ref="A205:A268" si="16">A204+$A$8</f>
        <v>9.7000000000000028</v>
      </c>
      <c r="B205" s="35">
        <f t="shared" ref="B205:B268" si="17">B204+C204*$A$8</f>
        <v>-3.7860370142607982</v>
      </c>
      <c r="C205" s="1">
        <f t="shared" ref="C205:C268" si="18">D205</f>
        <v>-0.6336684072696992</v>
      </c>
      <c r="D205" s="1">
        <f t="shared" ref="D205:D268" si="19">D204+E204*$A$8</f>
        <v>-0.6336684072696992</v>
      </c>
      <c r="E205" s="37">
        <f t="shared" si="15"/>
        <v>14.498006850066663</v>
      </c>
    </row>
    <row r="206" spans="1:5" x14ac:dyDescent="0.25">
      <c r="A206" s="34">
        <f t="shared" si="16"/>
        <v>9.7500000000000036</v>
      </c>
      <c r="B206" s="35">
        <f t="shared" si="17"/>
        <v>-3.8177204346242832</v>
      </c>
      <c r="C206" s="1">
        <f t="shared" si="18"/>
        <v>9.1231935233633932E-2</v>
      </c>
      <c r="D206" s="1">
        <f t="shared" si="19"/>
        <v>9.1231935233633932E-2</v>
      </c>
      <c r="E206" s="37">
        <f t="shared" si="15"/>
        <v>14.698853766097102</v>
      </c>
    </row>
    <row r="207" spans="1:5" x14ac:dyDescent="0.25">
      <c r="A207" s="34">
        <f t="shared" si="16"/>
        <v>9.8000000000000043</v>
      </c>
      <c r="B207" s="35">
        <f t="shared" si="17"/>
        <v>-3.8131588378626016</v>
      </c>
      <c r="C207" s="1">
        <f t="shared" si="18"/>
        <v>0.82617462353848903</v>
      </c>
      <c r="D207" s="1">
        <f t="shared" si="19"/>
        <v>0.82617462353848903</v>
      </c>
      <c r="E207" s="37">
        <f t="shared" si="15"/>
        <v>14.759722209792058</v>
      </c>
    </row>
    <row r="208" spans="1:5" x14ac:dyDescent="0.25">
      <c r="A208" s="34">
        <f t="shared" si="16"/>
        <v>9.850000000000005</v>
      </c>
      <c r="B208" s="35">
        <f t="shared" si="17"/>
        <v>-3.7718501066856773</v>
      </c>
      <c r="C208" s="1">
        <f t="shared" si="18"/>
        <v>1.5641607340280919</v>
      </c>
      <c r="D208" s="1">
        <f t="shared" si="19"/>
        <v>1.5641607340280919</v>
      </c>
      <c r="E208" s="37">
        <f t="shared" si="15"/>
        <v>14.677911961844137</v>
      </c>
    </row>
    <row r="209" spans="1:5" x14ac:dyDescent="0.25">
      <c r="A209" s="34">
        <f t="shared" si="16"/>
        <v>9.9000000000000057</v>
      </c>
      <c r="B209" s="35">
        <f t="shared" si="17"/>
        <v>-3.6936420699842727</v>
      </c>
      <c r="C209" s="1">
        <f t="shared" si="18"/>
        <v>2.2980563321202987</v>
      </c>
      <c r="D209" s="1">
        <f t="shared" si="19"/>
        <v>2.2980563321202987</v>
      </c>
      <c r="E209" s="37">
        <f t="shared" si="15"/>
        <v>14.452084904006332</v>
      </c>
    </row>
    <row r="210" spans="1:5" x14ac:dyDescent="0.25">
      <c r="A210" s="34">
        <f t="shared" si="16"/>
        <v>9.9500000000000064</v>
      </c>
      <c r="B210" s="35">
        <f t="shared" si="17"/>
        <v>-3.5787392533782576</v>
      </c>
      <c r="C210" s="1">
        <f t="shared" si="18"/>
        <v>3.0206605773206152</v>
      </c>
      <c r="D210" s="1">
        <f t="shared" si="19"/>
        <v>3.0206605773206152</v>
      </c>
      <c r="E210" s="37">
        <f t="shared" si="15"/>
        <v>14.082298399178375</v>
      </c>
    </row>
    <row r="211" spans="1:5" x14ac:dyDescent="0.25">
      <c r="A211" s="34">
        <f t="shared" si="16"/>
        <v>10.000000000000007</v>
      </c>
      <c r="B211" s="35">
        <f t="shared" si="17"/>
        <v>-3.4277062245122267</v>
      </c>
      <c r="C211" s="1">
        <f t="shared" si="18"/>
        <v>3.7247754972795342</v>
      </c>
      <c r="D211" s="1">
        <f t="shared" si="19"/>
        <v>3.7247754972795342</v>
      </c>
      <c r="E211" s="37">
        <f t="shared" si="15"/>
        <v>13.570025324208235</v>
      </c>
    </row>
    <row r="212" spans="1:5" x14ac:dyDescent="0.25">
      <c r="A212" s="34">
        <f t="shared" si="16"/>
        <v>10.050000000000008</v>
      </c>
      <c r="B212" s="35">
        <f t="shared" si="17"/>
        <v>-3.2414674496482498</v>
      </c>
      <c r="C212" s="1">
        <f t="shared" si="18"/>
        <v>4.4032767634899459</v>
      </c>
      <c r="D212" s="1">
        <f t="shared" si="19"/>
        <v>4.4032767634899459</v>
      </c>
      <c r="E212" s="37">
        <f t="shared" si="15"/>
        <v>12.918160363448779</v>
      </c>
    </row>
    <row r="213" spans="1:5" x14ac:dyDescent="0.25">
      <c r="A213" s="34">
        <f t="shared" si="16"/>
        <v>10.100000000000009</v>
      </c>
      <c r="B213" s="35">
        <f t="shared" si="17"/>
        <v>-3.0213036114737526</v>
      </c>
      <c r="C213" s="1">
        <f t="shared" si="18"/>
        <v>5.0491847816623849</v>
      </c>
      <c r="D213" s="1">
        <f t="shared" si="19"/>
        <v>5.0491847816623849</v>
      </c>
      <c r="E213" s="37">
        <f t="shared" si="15"/>
        <v>12.131012302697384</v>
      </c>
    </row>
    <row r="214" spans="1:5" x14ac:dyDescent="0.25">
      <c r="A214" s="34">
        <f t="shared" si="16"/>
        <v>10.150000000000009</v>
      </c>
      <c r="B214" s="35">
        <f t="shared" si="17"/>
        <v>-2.7688443723906335</v>
      </c>
      <c r="C214" s="1">
        <f t="shared" si="18"/>
        <v>5.6557353967972546</v>
      </c>
      <c r="D214" s="1">
        <f t="shared" si="19"/>
        <v>5.6557353967972546</v>
      </c>
      <c r="E214" s="37">
        <f t="shared" si="15"/>
        <v>11.214282199179134</v>
      </c>
    </row>
    <row r="215" spans="1:5" x14ac:dyDescent="0.25">
      <c r="A215" s="34">
        <f t="shared" si="16"/>
        <v>10.20000000000001</v>
      </c>
      <c r="B215" s="35">
        <f t="shared" si="17"/>
        <v>-2.4860576025507708</v>
      </c>
      <c r="C215" s="1">
        <f t="shared" si="18"/>
        <v>6.2164495067562111</v>
      </c>
      <c r="D215" s="1">
        <f t="shared" si="19"/>
        <v>6.2164495067562111</v>
      </c>
      <c r="E215" s="37">
        <f t="shared" si="15"/>
        <v>10.175027442407309</v>
      </c>
    </row>
    <row r="216" spans="1:5" x14ac:dyDescent="0.25">
      <c r="A216" s="34">
        <f t="shared" si="16"/>
        <v>10.250000000000011</v>
      </c>
      <c r="B216" s="35">
        <f t="shared" si="17"/>
        <v>-2.17523512721296</v>
      </c>
      <c r="C216" s="1">
        <f t="shared" si="18"/>
        <v>6.7252008788765769</v>
      </c>
      <c r="D216" s="1">
        <f t="shared" si="19"/>
        <v>6.7252008788765769</v>
      </c>
      <c r="E216" s="37">
        <f t="shared" si="15"/>
        <v>9.0216118617156251</v>
      </c>
    </row>
    <row r="217" spans="1:5" x14ac:dyDescent="0.25">
      <c r="A217" s="34">
        <f t="shared" si="16"/>
        <v>10.300000000000011</v>
      </c>
      <c r="B217" s="35">
        <f t="shared" si="17"/>
        <v>-1.8389750832691312</v>
      </c>
      <c r="C217" s="1">
        <f t="shared" si="18"/>
        <v>7.1762814719623584</v>
      </c>
      <c r="D217" s="1">
        <f t="shared" si="19"/>
        <v>7.1762814719623584</v>
      </c>
      <c r="E217" s="37">
        <f t="shared" si="15"/>
        <v>7.7636421776157114</v>
      </c>
    </row>
    <row r="218" spans="1:5" x14ac:dyDescent="0.25">
      <c r="A218" s="34">
        <f t="shared" si="16"/>
        <v>10.350000000000012</v>
      </c>
      <c r="B218" s="35">
        <f t="shared" si="17"/>
        <v>-1.4801610096710132</v>
      </c>
      <c r="C218" s="1">
        <f t="shared" si="18"/>
        <v>7.5644635808431442</v>
      </c>
      <c r="D218" s="1">
        <f t="shared" si="19"/>
        <v>7.5644635808431442</v>
      </c>
      <c r="E218" s="37">
        <f t="shared" si="15"/>
        <v>6.4118912344781913</v>
      </c>
    </row>
    <row r="219" spans="1:5" x14ac:dyDescent="0.25">
      <c r="A219" s="34">
        <f t="shared" si="16"/>
        <v>10.400000000000013</v>
      </c>
      <c r="B219" s="35">
        <f t="shared" si="17"/>
        <v>-1.1019378306288559</v>
      </c>
      <c r="C219" s="1">
        <f t="shared" si="18"/>
        <v>7.8850581425670541</v>
      </c>
      <c r="D219" s="1">
        <f t="shared" si="19"/>
        <v>7.8850581425670541</v>
      </c>
      <c r="E219" s="37">
        <f t="shared" si="15"/>
        <v>4.9782085899467479</v>
      </c>
    </row>
    <row r="220" spans="1:5" x14ac:dyDescent="0.25">
      <c r="A220" s="34">
        <f t="shared" si="16"/>
        <v>10.450000000000014</v>
      </c>
      <c r="B220" s="35">
        <f t="shared" si="17"/>
        <v>-0.70768492350050316</v>
      </c>
      <c r="C220" s="1">
        <f t="shared" si="18"/>
        <v>8.1339685720643917</v>
      </c>
      <c r="D220" s="1">
        <f t="shared" si="19"/>
        <v>8.1339685720643917</v>
      </c>
      <c r="E220" s="37">
        <f t="shared" si="15"/>
        <v>3.4754191705553179</v>
      </c>
    </row>
    <row r="221" spans="1:5" x14ac:dyDescent="0.25">
      <c r="A221" s="34">
        <f t="shared" si="16"/>
        <v>10.500000000000014</v>
      </c>
      <c r="B221" s="35">
        <f t="shared" si="17"/>
        <v>-0.30098649489728357</v>
      </c>
      <c r="C221" s="1">
        <f t="shared" si="18"/>
        <v>8.3077395305921584</v>
      </c>
      <c r="D221" s="1">
        <f t="shared" si="19"/>
        <v>8.3077395305921584</v>
      </c>
      <c r="E221" s="37">
        <f t="shared" si="15"/>
        <v>1.9172108318344527</v>
      </c>
    </row>
    <row r="222" spans="1:5" x14ac:dyDescent="0.25">
      <c r="A222" s="34">
        <f t="shared" si="16"/>
        <v>10.550000000000015</v>
      </c>
      <c r="B222" s="35">
        <f t="shared" si="17"/>
        <v>0.11440048163232436</v>
      </c>
      <c r="C222" s="1">
        <f t="shared" si="18"/>
        <v>8.4036000721838811</v>
      </c>
      <c r="D222" s="1">
        <f t="shared" si="19"/>
        <v>8.4036000721838811</v>
      </c>
      <c r="E222" s="37">
        <f t="shared" si="15"/>
        <v>0.31801178340214087</v>
      </c>
    </row>
    <row r="223" spans="1:5" x14ac:dyDescent="0.25">
      <c r="A223" s="34">
        <f t="shared" si="16"/>
        <v>10.600000000000016</v>
      </c>
      <c r="B223" s="35">
        <f t="shared" si="17"/>
        <v>0.53458048524151836</v>
      </c>
      <c r="C223" s="1">
        <f t="shared" si="18"/>
        <v>8.4195006613539878</v>
      </c>
      <c r="D223" s="1">
        <f t="shared" si="19"/>
        <v>8.4195006613539878</v>
      </c>
      <c r="E223" s="37">
        <f t="shared" si="15"/>
        <v>-1.3071410461764694</v>
      </c>
    </row>
    <row r="224" spans="1:5" x14ac:dyDescent="0.25">
      <c r="A224" s="34">
        <f t="shared" si="16"/>
        <v>10.650000000000016</v>
      </c>
      <c r="B224" s="35">
        <f t="shared" si="17"/>
        <v>0.9555555183092177</v>
      </c>
      <c r="C224" s="1">
        <f t="shared" si="18"/>
        <v>8.3541436090451651</v>
      </c>
      <c r="D224" s="1">
        <f t="shared" si="19"/>
        <v>8.3541436090451651</v>
      </c>
      <c r="E224" s="37">
        <f t="shared" si="15"/>
        <v>-2.9427415248577393</v>
      </c>
    </row>
    <row r="225" spans="1:5" x14ac:dyDescent="0.25">
      <c r="A225" s="34">
        <f t="shared" si="16"/>
        <v>10.700000000000017</v>
      </c>
      <c r="B225" s="35">
        <f t="shared" si="17"/>
        <v>1.373262698761476</v>
      </c>
      <c r="C225" s="1">
        <f t="shared" si="18"/>
        <v>8.2070065328022785</v>
      </c>
      <c r="D225" s="1">
        <f t="shared" si="19"/>
        <v>8.2070065328022785</v>
      </c>
      <c r="E225" s="37">
        <f t="shared" si="15"/>
        <v>-4.5729604382428013</v>
      </c>
    </row>
    <row r="226" spans="1:5" x14ac:dyDescent="0.25">
      <c r="A226" s="34">
        <f t="shared" si="16"/>
        <v>10.750000000000018</v>
      </c>
      <c r="B226" s="35">
        <f t="shared" si="17"/>
        <v>1.7836130254015901</v>
      </c>
      <c r="C226" s="1">
        <f t="shared" si="18"/>
        <v>7.9783585108901383</v>
      </c>
      <c r="D226" s="1">
        <f t="shared" si="19"/>
        <v>7.9783585108901383</v>
      </c>
      <c r="E226" s="37">
        <f t="shared" si="15"/>
        <v>-6.1817968583450762</v>
      </c>
    </row>
    <row r="227" spans="1:5" x14ac:dyDescent="0.25">
      <c r="A227" s="34">
        <f t="shared" si="16"/>
        <v>10.800000000000018</v>
      </c>
      <c r="B227" s="35">
        <f t="shared" si="17"/>
        <v>2.1825309509460968</v>
      </c>
      <c r="C227" s="1">
        <f t="shared" si="18"/>
        <v>7.6692686679728848</v>
      </c>
      <c r="D227" s="1">
        <f t="shared" si="19"/>
        <v>7.6692686679728848</v>
      </c>
      <c r="E227" s="37">
        <f t="shared" si="15"/>
        <v>-7.7532333310770492</v>
      </c>
    </row>
    <row r="228" spans="1:5" x14ac:dyDescent="0.25">
      <c r="A228" s="34">
        <f t="shared" si="16"/>
        <v>10.850000000000019</v>
      </c>
      <c r="B228" s="35">
        <f t="shared" si="17"/>
        <v>2.5659943843447413</v>
      </c>
      <c r="C228" s="1">
        <f t="shared" si="18"/>
        <v>7.2816070014190322</v>
      </c>
      <c r="D228" s="1">
        <f t="shared" si="19"/>
        <v>7.2816070014190322</v>
      </c>
      <c r="E228" s="37">
        <f t="shared" si="15"/>
        <v>-9.2713933959146324</v>
      </c>
    </row>
    <row r="229" spans="1:5" x14ac:dyDescent="0.25">
      <c r="A229" s="34">
        <f t="shared" si="16"/>
        <v>10.90000000000002</v>
      </c>
      <c r="B229" s="35">
        <f t="shared" si="17"/>
        <v>2.930074734415693</v>
      </c>
      <c r="C229" s="1">
        <f t="shared" si="18"/>
        <v>6.8180373316233007</v>
      </c>
      <c r="D229" s="1">
        <f t="shared" si="19"/>
        <v>6.8180373316233007</v>
      </c>
      <c r="E229" s="37">
        <f t="shared" si="15"/>
        <v>-10.720699907632454</v>
      </c>
    </row>
    <row r="230" spans="1:5" x14ac:dyDescent="0.25">
      <c r="A230" s="34">
        <f t="shared" si="16"/>
        <v>10.950000000000021</v>
      </c>
      <c r="B230" s="35">
        <f t="shared" si="17"/>
        <v>3.2709766009968582</v>
      </c>
      <c r="C230" s="1">
        <f t="shared" si="18"/>
        <v>6.2820023362416784</v>
      </c>
      <c r="D230" s="1">
        <f t="shared" si="19"/>
        <v>6.2820023362416784</v>
      </c>
      <c r="E230" s="37">
        <f t="shared" si="15"/>
        <v>-12.086032601113692</v>
      </c>
    </row>
    <row r="231" spans="1:5" x14ac:dyDescent="0.25">
      <c r="A231" s="34">
        <f t="shared" si="16"/>
        <v>11.000000000000021</v>
      </c>
      <c r="B231" s="35">
        <f t="shared" si="17"/>
        <v>3.585076717808942</v>
      </c>
      <c r="C231" s="1">
        <f t="shared" si="18"/>
        <v>5.6777007061859939</v>
      </c>
      <c r="D231" s="1">
        <f t="shared" si="19"/>
        <v>5.6777007061859939</v>
      </c>
      <c r="E231" s="37">
        <f t="shared" si="15"/>
        <v>-13.352883326507641</v>
      </c>
    </row>
    <row r="232" spans="1:5" x14ac:dyDescent="0.25">
      <c r="A232" s="34">
        <f t="shared" si="16"/>
        <v>11.050000000000022</v>
      </c>
      <c r="B232" s="35">
        <f t="shared" si="17"/>
        <v>3.8689617531182416</v>
      </c>
      <c r="C232" s="1">
        <f t="shared" si="18"/>
        <v>5.0100565398606118</v>
      </c>
      <c r="D232" s="1">
        <f t="shared" si="19"/>
        <v>5.0100565398606118</v>
      </c>
      <c r="E232" s="37">
        <f t="shared" si="15"/>
        <v>-14.507507383776103</v>
      </c>
    </row>
    <row r="233" spans="1:5" x14ac:dyDescent="0.25">
      <c r="A233" s="34">
        <f t="shared" si="16"/>
        <v>11.100000000000023</v>
      </c>
      <c r="B233" s="35">
        <f t="shared" si="17"/>
        <v>4.1194645801112726</v>
      </c>
      <c r="C233" s="1">
        <f t="shared" si="18"/>
        <v>4.2846811706718064</v>
      </c>
      <c r="D233" s="1">
        <f t="shared" si="19"/>
        <v>4.2846811706718064</v>
      </c>
      <c r="E233" s="37">
        <f t="shared" si="15"/>
        <v>-15.537069403123715</v>
      </c>
    </row>
    <row r="234" spans="1:5" x14ac:dyDescent="0.25">
      <c r="A234" s="34">
        <f t="shared" si="16"/>
        <v>11.150000000000023</v>
      </c>
      <c r="B234" s="35">
        <f t="shared" si="17"/>
        <v>4.3336986386448633</v>
      </c>
      <c r="C234" s="1">
        <f t="shared" si="18"/>
        <v>3.5078277005156204</v>
      </c>
      <c r="D234" s="1">
        <f t="shared" si="19"/>
        <v>3.5078277005156204</v>
      </c>
      <c r="E234" s="37">
        <f t="shared" si="15"/>
        <v>-16.429782250981269</v>
      </c>
    </row>
    <row r="235" spans="1:5" x14ac:dyDescent="0.25">
      <c r="A235" s="34">
        <f t="shared" si="16"/>
        <v>11.200000000000024</v>
      </c>
      <c r="B235" s="35">
        <f t="shared" si="17"/>
        <v>4.5090900236706446</v>
      </c>
      <c r="C235" s="1">
        <f t="shared" si="18"/>
        <v>2.6863385879665569</v>
      </c>
      <c r="D235" s="1">
        <f t="shared" si="19"/>
        <v>2.6863385879665569</v>
      </c>
      <c r="E235" s="37">
        <f t="shared" si="15"/>
        <v>-17.175037489980902</v>
      </c>
    </row>
    <row r="236" spans="1:5" x14ac:dyDescent="0.25">
      <c r="A236" s="34">
        <f t="shared" si="16"/>
        <v>11.250000000000025</v>
      </c>
      <c r="B236" s="35">
        <f t="shared" si="17"/>
        <v>4.6434069530689728</v>
      </c>
      <c r="C236" s="1">
        <f t="shared" si="18"/>
        <v>1.8275867134675119</v>
      </c>
      <c r="D236" s="1">
        <f t="shared" si="19"/>
        <v>1.8275867134675119</v>
      </c>
      <c r="E236" s="37">
        <f t="shared" si="15"/>
        <v>-17.76352598544678</v>
      </c>
    </row>
    <row r="237" spans="1:5" x14ac:dyDescent="0.25">
      <c r="A237" s="34">
        <f t="shared" si="16"/>
        <v>11.300000000000026</v>
      </c>
      <c r="B237" s="35">
        <f t="shared" si="17"/>
        <v>4.734786288742348</v>
      </c>
      <c r="C237" s="1">
        <f t="shared" si="18"/>
        <v>0.9394104141951729</v>
      </c>
      <c r="D237" s="1">
        <f t="shared" si="19"/>
        <v>0.9394104141951729</v>
      </c>
      <c r="E237" s="37">
        <f t="shared" si="15"/>
        <v>-18.187347329886457</v>
      </c>
    </row>
    <row r="238" spans="1:5" x14ac:dyDescent="0.25">
      <c r="A238" s="34">
        <f t="shared" si="16"/>
        <v>11.350000000000026</v>
      </c>
      <c r="B238" s="35">
        <f t="shared" si="17"/>
        <v>4.7817568094521068</v>
      </c>
      <c r="C238" s="1">
        <f t="shared" si="18"/>
        <v>3.0043047700849979E-2</v>
      </c>
      <c r="D238" s="1">
        <f t="shared" si="19"/>
        <v>3.0043047700849979E-2</v>
      </c>
      <c r="E238" s="37">
        <f t="shared" si="15"/>
        <v>-18.440106850213191</v>
      </c>
    </row>
    <row r="239" spans="1:5" x14ac:dyDescent="0.25">
      <c r="A239" s="34">
        <f t="shared" si="16"/>
        <v>11.400000000000027</v>
      </c>
      <c r="B239" s="35">
        <f t="shared" si="17"/>
        <v>4.7832589618371495</v>
      </c>
      <c r="C239" s="1">
        <f t="shared" si="18"/>
        <v>-0.8919622948098096</v>
      </c>
      <c r="D239" s="1">
        <f t="shared" si="19"/>
        <v>-0.8919622948098096</v>
      </c>
      <c r="E239" s="37">
        <f t="shared" si="15"/>
        <v>-18.516999069215419</v>
      </c>
    </row>
    <row r="240" spans="1:5" x14ac:dyDescent="0.25">
      <c r="A240" s="34">
        <f t="shared" si="16"/>
        <v>11.450000000000028</v>
      </c>
      <c r="B240" s="35">
        <f t="shared" si="17"/>
        <v>4.7386608470966589</v>
      </c>
      <c r="C240" s="1">
        <f t="shared" si="18"/>
        <v>-1.8178122482705805</v>
      </c>
      <c r="D240" s="1">
        <f t="shared" si="19"/>
        <v>-1.8178122482705805</v>
      </c>
      <c r="E240" s="37">
        <f t="shared" si="15"/>
        <v>-18.414876612227399</v>
      </c>
    </row>
    <row r="241" spans="1:5" x14ac:dyDescent="0.25">
      <c r="A241" s="34">
        <f t="shared" si="16"/>
        <v>11.500000000000028</v>
      </c>
      <c r="B241" s="35">
        <f t="shared" si="17"/>
        <v>4.6477702346831302</v>
      </c>
      <c r="C241" s="1">
        <f t="shared" si="18"/>
        <v>-2.7385560788819507</v>
      </c>
      <c r="D241" s="1">
        <f t="shared" si="19"/>
        <v>-2.7385560788819507</v>
      </c>
      <c r="E241" s="37">
        <f t="shared" si="15"/>
        <v>-18.132303681018428</v>
      </c>
    </row>
    <row r="242" spans="1:5" x14ac:dyDescent="0.25">
      <c r="A242" s="34">
        <f t="shared" si="16"/>
        <v>11.550000000000029</v>
      </c>
      <c r="B242" s="35">
        <f t="shared" si="17"/>
        <v>4.5108424307390322</v>
      </c>
      <c r="C242" s="1">
        <f t="shared" si="18"/>
        <v>-3.6451712629328723</v>
      </c>
      <c r="D242" s="1">
        <f t="shared" si="19"/>
        <v>-3.6451712629328723</v>
      </c>
      <c r="E242" s="37">
        <f t="shared" si="15"/>
        <v>-17.669593358451298</v>
      </c>
    </row>
    <row r="243" spans="1:5" x14ac:dyDescent="0.25">
      <c r="A243" s="34">
        <f t="shared" si="16"/>
        <v>11.60000000000003</v>
      </c>
      <c r="B243" s="35">
        <f t="shared" si="17"/>
        <v>4.3285838675923882</v>
      </c>
      <c r="C243" s="1">
        <f t="shared" si="18"/>
        <v>-4.528650930855437</v>
      </c>
      <c r="D243" s="1">
        <f t="shared" si="19"/>
        <v>-4.528650930855437</v>
      </c>
      <c r="E243" s="37">
        <f t="shared" si="15"/>
        <v>-17.028828158187775</v>
      </c>
    </row>
    <row r="244" spans="1:5" x14ac:dyDescent="0.25">
      <c r="A244" s="34">
        <f t="shared" si="16"/>
        <v>11.650000000000031</v>
      </c>
      <c r="B244" s="35">
        <f t="shared" si="17"/>
        <v>4.1021513210496163</v>
      </c>
      <c r="C244" s="1">
        <f t="shared" si="18"/>
        <v>-5.3800923387648254</v>
      </c>
      <c r="D244" s="1">
        <f t="shared" si="19"/>
        <v>-5.3800923387648254</v>
      </c>
      <c r="E244" s="37">
        <f t="shared" si="15"/>
        <v>-16.21386339225641</v>
      </c>
    </row>
    <row r="245" spans="1:5" x14ac:dyDescent="0.25">
      <c r="A245" s="34">
        <f t="shared" si="16"/>
        <v>11.700000000000031</v>
      </c>
      <c r="B245" s="35">
        <f t="shared" si="17"/>
        <v>3.8331467041113751</v>
      </c>
      <c r="C245" s="1">
        <f t="shared" si="18"/>
        <v>-6.1907855083776457</v>
      </c>
      <c r="D245" s="1">
        <f t="shared" si="19"/>
        <v>-6.1907855083776457</v>
      </c>
      <c r="E245" s="37">
        <f t="shared" si="15"/>
        <v>-15.230313094166164</v>
      </c>
    </row>
    <row r="246" spans="1:5" x14ac:dyDescent="0.25">
      <c r="A246" s="34">
        <f t="shared" si="16"/>
        <v>11.750000000000032</v>
      </c>
      <c r="B246" s="35">
        <f t="shared" si="17"/>
        <v>3.5236074286924928</v>
      </c>
      <c r="C246" s="1">
        <f t="shared" si="18"/>
        <v>-6.9523011630859539</v>
      </c>
      <c r="D246" s="1">
        <f t="shared" si="19"/>
        <v>-6.9523011630859539</v>
      </c>
      <c r="E246" s="37">
        <f t="shared" si="15"/>
        <v>-14.085518404885928</v>
      </c>
    </row>
    <row r="247" spans="1:5" x14ac:dyDescent="0.25">
      <c r="A247" s="34">
        <f t="shared" si="16"/>
        <v>11.800000000000033</v>
      </c>
      <c r="B247" s="35">
        <f t="shared" si="17"/>
        <v>3.1759923705381952</v>
      </c>
      <c r="C247" s="1">
        <f t="shared" si="18"/>
        <v>-7.6565770833302507</v>
      </c>
      <c r="D247" s="1">
        <f t="shared" si="19"/>
        <v>-7.6565770833302507</v>
      </c>
      <c r="E247" s="37">
        <f t="shared" si="15"/>
        <v>-12.788498501786085</v>
      </c>
    </row>
    <row r="248" spans="1:5" x14ac:dyDescent="0.25">
      <c r="A248" s="34">
        <f t="shared" si="16"/>
        <v>11.850000000000033</v>
      </c>
      <c r="B248" s="35">
        <f t="shared" si="17"/>
        <v>2.7931635163716826</v>
      </c>
      <c r="C248" s="1">
        <f t="shared" si="18"/>
        <v>-8.2960020084195545</v>
      </c>
      <c r="D248" s="1">
        <f t="shared" si="19"/>
        <v>-8.2960020084195545</v>
      </c>
      <c r="E248" s="37">
        <f t="shared" si="15"/>
        <v>-11.349884324871073</v>
      </c>
    </row>
    <row r="249" spans="1:5" x14ac:dyDescent="0.25">
      <c r="A249" s="34">
        <f t="shared" si="16"/>
        <v>11.900000000000034</v>
      </c>
      <c r="B249" s="35">
        <f t="shared" si="17"/>
        <v>2.3783634159507048</v>
      </c>
      <c r="C249" s="1">
        <f t="shared" si="18"/>
        <v>-8.863496224663109</v>
      </c>
      <c r="D249" s="1">
        <f t="shared" si="19"/>
        <v>-8.863496224663109</v>
      </c>
      <c r="E249" s="37">
        <f t="shared" si="15"/>
        <v>-9.7818355286048071</v>
      </c>
    </row>
    <row r="250" spans="1:5" x14ac:dyDescent="0.25">
      <c r="A250" s="34">
        <f t="shared" si="16"/>
        <v>11.950000000000035</v>
      </c>
      <c r="B250" s="35">
        <f t="shared" si="17"/>
        <v>1.9351886047175493</v>
      </c>
      <c r="C250" s="1">
        <f t="shared" si="18"/>
        <v>-9.3525880010933502</v>
      </c>
      <c r="D250" s="1">
        <f t="shared" si="19"/>
        <v>-9.3525880010933502</v>
      </c>
      <c r="E250" s="37">
        <f t="shared" si="15"/>
        <v>-8.0979412596056726</v>
      </c>
    </row>
    <row r="251" spans="1:5" x14ac:dyDescent="0.25">
      <c r="A251" s="34">
        <f t="shared" si="16"/>
        <v>12.000000000000036</v>
      </c>
      <c r="B251" s="35">
        <f t="shared" si="17"/>
        <v>1.4675592046628818</v>
      </c>
      <c r="C251" s="1">
        <f t="shared" si="18"/>
        <v>-9.7574850640736344</v>
      </c>
      <c r="D251" s="1">
        <f t="shared" si="19"/>
        <v>-9.7574850640736344</v>
      </c>
      <c r="E251" s="37">
        <f t="shared" si="15"/>
        <v>-6.3131055287259272</v>
      </c>
    </row>
    <row r="252" spans="1:5" x14ac:dyDescent="0.25">
      <c r="A252" s="34">
        <f t="shared" si="16"/>
        <v>12.050000000000036</v>
      </c>
      <c r="B252" s="35">
        <f t="shared" si="17"/>
        <v>0.97968495145920009</v>
      </c>
      <c r="C252" s="1">
        <f t="shared" si="18"/>
        <v>-10.07314034050993</v>
      </c>
      <c r="D252" s="1">
        <f t="shared" si="19"/>
        <v>-10.07314034050993</v>
      </c>
      <c r="E252" s="37">
        <f t="shared" si="15"/>
        <v>-4.4434181088076077</v>
      </c>
    </row>
    <row r="253" spans="1:5" x14ac:dyDescent="0.25">
      <c r="A253" s="34">
        <f t="shared" si="16"/>
        <v>12.100000000000037</v>
      </c>
      <c r="B253" s="35">
        <f t="shared" si="17"/>
        <v>0.47602793443370361</v>
      </c>
      <c r="C253" s="1">
        <f t="shared" si="18"/>
        <v>-10.295311245950311</v>
      </c>
      <c r="D253" s="1">
        <f t="shared" si="19"/>
        <v>-10.295311245950311</v>
      </c>
      <c r="E253" s="37">
        <f t="shared" si="15"/>
        <v>-2.5060120450316976</v>
      </c>
    </row>
    <row r="254" spans="1:5" x14ac:dyDescent="0.25">
      <c r="A254" s="34">
        <f t="shared" si="16"/>
        <v>12.150000000000038</v>
      </c>
      <c r="B254" s="35">
        <f t="shared" si="17"/>
        <v>-3.8737627863811963E-2</v>
      </c>
      <c r="C254" s="1">
        <f t="shared" si="18"/>
        <v>-10.420611848201895</v>
      </c>
      <c r="D254" s="1">
        <f t="shared" si="19"/>
        <v>-10.420611848201895</v>
      </c>
      <c r="E254" s="37">
        <f t="shared" si="15"/>
        <v>-0.51890901160831926</v>
      </c>
    </row>
    <row r="255" spans="1:5" x14ac:dyDescent="0.25">
      <c r="A255" s="34">
        <f t="shared" si="16"/>
        <v>12.200000000000038</v>
      </c>
      <c r="B255" s="35">
        <f t="shared" si="17"/>
        <v>-0.55976822027390671</v>
      </c>
      <c r="C255" s="1">
        <f t="shared" si="18"/>
        <v>-10.446557298782311</v>
      </c>
      <c r="D255" s="1">
        <f t="shared" si="19"/>
        <v>-10.446557298782311</v>
      </c>
      <c r="E255" s="37">
        <f t="shared" si="15"/>
        <v>1.4991461149818206</v>
      </c>
    </row>
    <row r="256" spans="1:5" x14ac:dyDescent="0.25">
      <c r="A256" s="34">
        <f t="shared" si="16"/>
        <v>12.250000000000039</v>
      </c>
      <c r="B256" s="35">
        <f t="shared" si="17"/>
        <v>-1.0820960852130224</v>
      </c>
      <c r="C256" s="1">
        <f t="shared" si="18"/>
        <v>-10.37159999303322</v>
      </c>
      <c r="D256" s="1">
        <f t="shared" si="19"/>
        <v>-10.37159999303322</v>
      </c>
      <c r="E256" s="37">
        <f t="shared" si="15"/>
        <v>3.5288599713813333</v>
      </c>
    </row>
    <row r="257" spans="1:5" x14ac:dyDescent="0.25">
      <c r="A257" s="34">
        <f t="shared" si="16"/>
        <v>12.30000000000004</v>
      </c>
      <c r="B257" s="35">
        <f t="shared" si="17"/>
        <v>-1.6006760848646833</v>
      </c>
      <c r="C257" s="1">
        <f t="shared" si="18"/>
        <v>-10.195156994464153</v>
      </c>
      <c r="D257" s="1">
        <f t="shared" si="19"/>
        <v>-10.195156994464153</v>
      </c>
      <c r="E257" s="37">
        <f t="shared" si="15"/>
        <v>5.5505731052194465</v>
      </c>
    </row>
    <row r="258" spans="1:5" x14ac:dyDescent="0.25">
      <c r="A258" s="34">
        <f t="shared" si="16"/>
        <v>12.350000000000041</v>
      </c>
      <c r="B258" s="35">
        <f t="shared" si="17"/>
        <v>-2.1104339345878911</v>
      </c>
      <c r="C258" s="1">
        <f t="shared" si="18"/>
        <v>-9.9176283392031799</v>
      </c>
      <c r="D258" s="1">
        <f t="shared" si="19"/>
        <v>-9.9176283392031799</v>
      </c>
      <c r="E258" s="37">
        <f t="shared" si="15"/>
        <v>7.5444483524540189</v>
      </c>
    </row>
    <row r="259" spans="1:5" x14ac:dyDescent="0.25">
      <c r="A259" s="34">
        <f t="shared" si="16"/>
        <v>12.400000000000041</v>
      </c>
      <c r="B259" s="35">
        <f t="shared" si="17"/>
        <v>-2.6063153515480502</v>
      </c>
      <c r="C259" s="1">
        <f t="shared" si="18"/>
        <v>-9.5404059215804793</v>
      </c>
      <c r="D259" s="1">
        <f t="shared" si="19"/>
        <v>-9.5404059215804793</v>
      </c>
      <c r="E259" s="37">
        <f t="shared" si="15"/>
        <v>9.4906634100520399</v>
      </c>
    </row>
    <row r="260" spans="1:5" x14ac:dyDescent="0.25">
      <c r="A260" s="34">
        <f t="shared" si="16"/>
        <v>12.450000000000042</v>
      </c>
      <c r="B260" s="35">
        <f t="shared" si="17"/>
        <v>-3.0833356476270741</v>
      </c>
      <c r="C260" s="1">
        <f t="shared" si="18"/>
        <v>-9.0658727510778778</v>
      </c>
      <c r="D260" s="1">
        <f t="shared" si="19"/>
        <v>-9.0658727510778778</v>
      </c>
      <c r="E260" s="37">
        <f t="shared" si="15"/>
        <v>11.369605755400739</v>
      </c>
    </row>
    <row r="261" spans="1:5" x14ac:dyDescent="0.25">
      <c r="A261" s="34">
        <f t="shared" si="16"/>
        <v>12.500000000000043</v>
      </c>
      <c r="B261" s="35">
        <f t="shared" si="17"/>
        <v>-3.5366292851809682</v>
      </c>
      <c r="C261" s="1">
        <f t="shared" si="18"/>
        <v>-8.4973924633078415</v>
      </c>
      <c r="D261" s="1">
        <f t="shared" si="19"/>
        <v>-8.4973924633078415</v>
      </c>
      <c r="E261" s="37">
        <f t="shared" si="15"/>
        <v>13.162068016907456</v>
      </c>
    </row>
    <row r="262" spans="1:5" x14ac:dyDescent="0.25">
      <c r="A262" s="34">
        <f t="shared" si="16"/>
        <v>12.550000000000043</v>
      </c>
      <c r="B262" s="35">
        <f t="shared" si="17"/>
        <v>-3.9614989083463605</v>
      </c>
      <c r="C262" s="1">
        <f t="shared" si="18"/>
        <v>-7.8392890624624689</v>
      </c>
      <c r="D262" s="1">
        <f t="shared" si="19"/>
        <v>-7.8392890624624689</v>
      </c>
      <c r="E262" s="37">
        <f t="shared" si="15"/>
        <v>14.849441871534726</v>
      </c>
    </row>
    <row r="263" spans="1:5" x14ac:dyDescent="0.25">
      <c r="A263" s="34">
        <f t="shared" si="16"/>
        <v>12.600000000000044</v>
      </c>
      <c r="B263" s="35">
        <f t="shared" si="17"/>
        <v>-4.3534633614694842</v>
      </c>
      <c r="C263" s="1">
        <f t="shared" si="18"/>
        <v>-7.096816968885733</v>
      </c>
      <c r="D263" s="1">
        <f t="shared" si="19"/>
        <v>-7.096816968885733</v>
      </c>
      <c r="E263" s="37">
        <f t="shared" si="15"/>
        <v>16.41390853504269</v>
      </c>
    </row>
    <row r="264" spans="1:5" x14ac:dyDescent="0.25">
      <c r="A264" s="34">
        <f t="shared" si="16"/>
        <v>12.650000000000045</v>
      </c>
      <c r="B264" s="35">
        <f t="shared" si="17"/>
        <v>-4.7083042099137709</v>
      </c>
      <c r="C264" s="1">
        <f t="shared" si="18"/>
        <v>-6.2761215421335983</v>
      </c>
      <c r="D264" s="1">
        <f t="shared" si="19"/>
        <v>-6.2761215421335983</v>
      </c>
      <c r="E264" s="37">
        <f t="shared" si="15"/>
        <v>17.838623919808761</v>
      </c>
    </row>
    <row r="265" spans="1:5" x14ac:dyDescent="0.25">
      <c r="A265" s="34">
        <f t="shared" si="16"/>
        <v>12.700000000000045</v>
      </c>
      <c r="B265" s="35">
        <f t="shared" si="17"/>
        <v>-5.0221102870204506</v>
      </c>
      <c r="C265" s="1">
        <f t="shared" si="18"/>
        <v>-5.3841903461431606</v>
      </c>
      <c r="D265" s="1">
        <f t="shared" si="19"/>
        <v>-5.3841903461431606</v>
      </c>
      <c r="E265" s="37">
        <f t="shared" si="15"/>
        <v>19.107896563413572</v>
      </c>
    </row>
    <row r="266" spans="1:5" x14ac:dyDescent="0.25">
      <c r="A266" s="34">
        <f t="shared" si="16"/>
        <v>12.750000000000046</v>
      </c>
      <c r="B266" s="35">
        <f t="shared" si="17"/>
        <v>-5.2913198043276086</v>
      </c>
      <c r="C266" s="1">
        <f t="shared" si="18"/>
        <v>-4.4287955179724818</v>
      </c>
      <c r="D266" s="1">
        <f t="shared" si="19"/>
        <v>-4.4287955179724818</v>
      </c>
      <c r="E266" s="37">
        <f t="shared" si="15"/>
        <v>20.207356478681813</v>
      </c>
    </row>
    <row r="267" spans="1:5" x14ac:dyDescent="0.25">
      <c r="A267" s="34">
        <f t="shared" si="16"/>
        <v>12.800000000000047</v>
      </c>
      <c r="B267" s="35">
        <f t="shared" si="17"/>
        <v>-5.5127595802262324</v>
      </c>
      <c r="C267" s="1">
        <f t="shared" si="18"/>
        <v>-3.4184276940383911</v>
      </c>
      <c r="D267" s="1">
        <f t="shared" si="19"/>
        <v>-3.4184276940383911</v>
      </c>
      <c r="E267" s="37">
        <f t="shared" ref="E267:E296" si="20" xml:space="preserve"> -R_x/L_x*D267-1/(L_x*C_x)*B267+E0_x*SIN(w_x*A267)/L_x</f>
        <v>21.124113142314595</v>
      </c>
    </row>
    <row r="268" spans="1:5" x14ac:dyDescent="0.25">
      <c r="A268" s="34">
        <f t="shared" si="16"/>
        <v>12.850000000000048</v>
      </c>
      <c r="B268" s="35">
        <f t="shared" si="17"/>
        <v>-5.6836809649281523</v>
      </c>
      <c r="C268" s="1">
        <f t="shared" si="18"/>
        <v>-2.3622220369226614</v>
      </c>
      <c r="D268" s="1">
        <f t="shared" si="19"/>
        <v>-2.3622220369226614</v>
      </c>
      <c r="E268" s="37">
        <f t="shared" si="20"/>
        <v>21.846900924222119</v>
      </c>
    </row>
    <row r="269" spans="1:5" x14ac:dyDescent="0.25">
      <c r="A269" s="34">
        <f t="shared" ref="A269:A296" si="21">A268+$A$8</f>
        <v>12.900000000000048</v>
      </c>
      <c r="B269" s="35">
        <f t="shared" ref="B269:B296" si="22">B268+C268*$A$8</f>
        <v>-5.8017920667742855</v>
      </c>
      <c r="C269" s="1">
        <f t="shared" ref="C269:C296" si="23">D269</f>
        <v>-1.2698769907115555</v>
      </c>
      <c r="D269" s="1">
        <f t="shared" ref="D269:D296" si="24">D268+E268*$A$8</f>
        <v>-1.2698769907115555</v>
      </c>
      <c r="E269" s="37">
        <f t="shared" si="20"/>
        <v>22.366210362548628</v>
      </c>
    </row>
    <row r="270" spans="1:5" x14ac:dyDescent="0.25">
      <c r="A270" s="34">
        <f t="shared" si="21"/>
        <v>12.950000000000049</v>
      </c>
      <c r="B270" s="35">
        <f t="shared" si="22"/>
        <v>-5.8652859163098636</v>
      </c>
      <c r="C270" s="1">
        <f t="shared" si="23"/>
        <v>-0.15156647258412392</v>
      </c>
      <c r="D270" s="1">
        <f t="shared" si="24"/>
        <v>-0.15156647258412392</v>
      </c>
      <c r="E270" s="37">
        <f t="shared" si="20"/>
        <v>22.674403809375779</v>
      </c>
    </row>
    <row r="271" spans="1:5" x14ac:dyDescent="0.25">
      <c r="A271" s="34">
        <f t="shared" si="21"/>
        <v>13.00000000000005</v>
      </c>
      <c r="B271" s="35">
        <f t="shared" si="22"/>
        <v>-5.8728642399390703</v>
      </c>
      <c r="C271" s="1">
        <f t="shared" si="23"/>
        <v>0.9821537178846651</v>
      </c>
      <c r="D271" s="1">
        <f t="shared" si="24"/>
        <v>0.9821537178846651</v>
      </c>
      <c r="E271" s="37">
        <f t="shared" si="20"/>
        <v>22.765814108215878</v>
      </c>
    </row>
    <row r="272" spans="1:5" x14ac:dyDescent="0.25">
      <c r="A272" s="34">
        <f t="shared" si="21"/>
        <v>13.05000000000005</v>
      </c>
      <c r="B272" s="35">
        <f t="shared" si="22"/>
        <v>-5.8237565540448371</v>
      </c>
      <c r="C272" s="1">
        <f t="shared" si="23"/>
        <v>2.1204444232954591</v>
      </c>
      <c r="D272" s="1">
        <f t="shared" si="24"/>
        <v>2.1204444232954591</v>
      </c>
      <c r="E272" s="37">
        <f t="shared" si="20"/>
        <v>22.63682511551076</v>
      </c>
    </row>
    <row r="273" spans="1:5" x14ac:dyDescent="0.25">
      <c r="A273" s="34">
        <f t="shared" si="21"/>
        <v>13.100000000000051</v>
      </c>
      <c r="B273" s="35">
        <f t="shared" si="22"/>
        <v>-5.7177343328800641</v>
      </c>
      <c r="C273" s="1">
        <f t="shared" si="23"/>
        <v>3.2522856790709973</v>
      </c>
      <c r="D273" s="1">
        <f t="shared" si="24"/>
        <v>3.2522856790709973</v>
      </c>
      <c r="E273" s="37">
        <f t="shared" si="20"/>
        <v>22.285933043118838</v>
      </c>
    </row>
    <row r="274" spans="1:5" x14ac:dyDescent="0.25">
      <c r="A274" s="34">
        <f t="shared" si="21"/>
        <v>13.150000000000052</v>
      </c>
      <c r="B274" s="35">
        <f t="shared" si="22"/>
        <v>-5.555120048926514</v>
      </c>
      <c r="C274" s="1">
        <f t="shared" si="23"/>
        <v>4.3665823312269394</v>
      </c>
      <c r="D274" s="1">
        <f t="shared" si="24"/>
        <v>4.3665823312269394</v>
      </c>
      <c r="E274" s="37">
        <f t="shared" si="20"/>
        <v>21.713787775734545</v>
      </c>
    </row>
    <row r="275" spans="1:5" x14ac:dyDescent="0.25">
      <c r="A275" s="34">
        <f t="shared" si="21"/>
        <v>13.200000000000053</v>
      </c>
      <c r="B275" s="35">
        <f t="shared" si="22"/>
        <v>-5.336790932365167</v>
      </c>
      <c r="C275" s="1">
        <f t="shared" si="23"/>
        <v>5.452271720013667</v>
      </c>
      <c r="D275" s="1">
        <f t="shared" si="24"/>
        <v>5.452271720013667</v>
      </c>
      <c r="E275" s="37">
        <f t="shared" si="20"/>
        <v>20.923213504733368</v>
      </c>
    </row>
    <row r="276" spans="1:5" x14ac:dyDescent="0.25">
      <c r="A276" s="34">
        <f t="shared" si="21"/>
        <v>13.250000000000053</v>
      </c>
      <c r="B276" s="35">
        <f t="shared" si="22"/>
        <v>-5.0641773463644837</v>
      </c>
      <c r="C276" s="1">
        <f t="shared" si="23"/>
        <v>6.4984323952503358</v>
      </c>
      <c r="D276" s="1">
        <f t="shared" si="24"/>
        <v>6.4984323952503358</v>
      </c>
      <c r="E276" s="37">
        <f t="shared" si="20"/>
        <v>19.919208216339257</v>
      </c>
    </row>
    <row r="277" spans="1:5" x14ac:dyDescent="0.25">
      <c r="A277" s="34">
        <f t="shared" si="21"/>
        <v>13.300000000000054</v>
      </c>
      <c r="B277" s="35">
        <f t="shared" si="22"/>
        <v>-4.739255726601967</v>
      </c>
      <c r="C277" s="1">
        <f t="shared" si="23"/>
        <v>7.4943928060672986</v>
      </c>
      <c r="D277" s="1">
        <f t="shared" si="24"/>
        <v>7.4943928060672986</v>
      </c>
      <c r="E277" s="37">
        <f t="shared" si="20"/>
        <v>18.708921775427783</v>
      </c>
    </row>
    <row r="278" spans="1:5" x14ac:dyDescent="0.25">
      <c r="A278" s="34">
        <f t="shared" si="21"/>
        <v>13.350000000000055</v>
      </c>
      <c r="B278" s="35">
        <f t="shared" si="22"/>
        <v>-4.3645360862986022</v>
      </c>
      <c r="C278" s="1">
        <f t="shared" si="23"/>
        <v>8.4298388948386886</v>
      </c>
      <c r="D278" s="1">
        <f t="shared" si="24"/>
        <v>8.4298388948386886</v>
      </c>
      <c r="E278" s="37">
        <f t="shared" si="20"/>
        <v>17.301612554773708</v>
      </c>
    </row>
    <row r="279" spans="1:5" x14ac:dyDescent="0.25">
      <c r="A279" s="34">
        <f t="shared" si="21"/>
        <v>13.400000000000055</v>
      </c>
      <c r="B279" s="35">
        <f t="shared" si="22"/>
        <v>-3.9430441415566677</v>
      </c>
      <c r="C279" s="1">
        <f t="shared" si="23"/>
        <v>9.2949195225773735</v>
      </c>
      <c r="D279" s="1">
        <f t="shared" si="24"/>
        <v>9.2949195225773735</v>
      </c>
      <c r="E279" s="37">
        <f t="shared" si="20"/>
        <v>15.708582771117344</v>
      </c>
    </row>
    <row r="280" spans="1:5" x14ac:dyDescent="0.25">
      <c r="A280" s="34">
        <f t="shared" si="21"/>
        <v>13.450000000000056</v>
      </c>
      <c r="B280" s="35">
        <f t="shared" si="22"/>
        <v>-3.4782981654277991</v>
      </c>
      <c r="C280" s="1">
        <f t="shared" si="23"/>
        <v>10.080348661133241</v>
      </c>
      <c r="D280" s="1">
        <f t="shared" si="24"/>
        <v>10.080348661133241</v>
      </c>
      <c r="E280" s="37">
        <f t="shared" si="20"/>
        <v>13.943092901997115</v>
      </c>
    </row>
    <row r="281" spans="1:5" x14ac:dyDescent="0.25">
      <c r="A281" s="34">
        <f t="shared" si="21"/>
        <v>13.500000000000057</v>
      </c>
      <c r="B281" s="35">
        <f t="shared" si="22"/>
        <v>-2.9742807323711369</v>
      </c>
      <c r="C281" s="1">
        <f t="shared" si="23"/>
        <v>10.777503306233097</v>
      </c>
      <c r="D281" s="1">
        <f t="shared" si="24"/>
        <v>10.777503306233097</v>
      </c>
      <c r="E281" s="37">
        <f t="shared" si="20"/>
        <v>12.020255768777339</v>
      </c>
    </row>
    <row r="282" spans="1:5" x14ac:dyDescent="0.25">
      <c r="A282" s="34">
        <f t="shared" si="21"/>
        <v>13.550000000000058</v>
      </c>
      <c r="B282" s="35">
        <f t="shared" si="22"/>
        <v>-2.4354055670594819</v>
      </c>
      <c r="C282" s="1">
        <f t="shared" si="23"/>
        <v>11.378516094671964</v>
      </c>
      <c r="D282" s="1">
        <f t="shared" si="24"/>
        <v>11.378516094671964</v>
      </c>
      <c r="E282" s="37">
        <f t="shared" si="20"/>
        <v>9.9569110795778411</v>
      </c>
    </row>
    <row r="283" spans="1:5" x14ac:dyDescent="0.25">
      <c r="A283" s="34">
        <f t="shared" si="21"/>
        <v>13.600000000000058</v>
      </c>
      <c r="B283" s="35">
        <f t="shared" si="22"/>
        <v>-1.8664797623258838</v>
      </c>
      <c r="C283" s="1">
        <f t="shared" si="23"/>
        <v>11.876361648650857</v>
      </c>
      <c r="D283" s="1">
        <f t="shared" si="24"/>
        <v>11.876361648650857</v>
      </c>
      <c r="E283" s="37">
        <f t="shared" si="20"/>
        <v>7.7714814287782525</v>
      </c>
    </row>
    <row r="284" spans="1:5" x14ac:dyDescent="0.25">
      <c r="A284" s="34">
        <f t="shared" si="21"/>
        <v>13.650000000000059</v>
      </c>
      <c r="B284" s="35">
        <f t="shared" si="22"/>
        <v>-1.272661679893341</v>
      </c>
      <c r="C284" s="1">
        <f t="shared" si="23"/>
        <v>12.264935720089769</v>
      </c>
      <c r="D284" s="1">
        <f t="shared" si="24"/>
        <v>12.264935720089769</v>
      </c>
      <c r="E284" s="37">
        <f t="shared" si="20"/>
        <v>5.4838109453455877</v>
      </c>
    </row>
    <row r="285" spans="1:5" x14ac:dyDescent="0.25">
      <c r="A285" s="34">
        <f t="shared" si="21"/>
        <v>13.70000000000006</v>
      </c>
      <c r="B285" s="35">
        <f t="shared" si="22"/>
        <v>-0.65941489388885255</v>
      </c>
      <c r="C285" s="1">
        <f t="shared" si="23"/>
        <v>12.539126267357048</v>
      </c>
      <c r="D285" s="1">
        <f t="shared" si="24"/>
        <v>12.539126267357048</v>
      </c>
      <c r="E285" s="37">
        <f t="shared" si="20"/>
        <v>3.1149879683877826</v>
      </c>
    </row>
    <row r="286" spans="1:5" x14ac:dyDescent="0.25">
      <c r="A286" s="34">
        <f t="shared" si="21"/>
        <v>13.75000000000006</v>
      </c>
      <c r="B286" s="35">
        <f t="shared" si="22"/>
        <v>-3.2458580521000147E-2</v>
      </c>
      <c r="C286" s="1">
        <f t="shared" si="23"/>
        <v>12.694875665776436</v>
      </c>
      <c r="D286" s="1">
        <f t="shared" si="24"/>
        <v>12.694875665776436</v>
      </c>
      <c r="E286" s="37">
        <f t="shared" si="20"/>
        <v>0.68715330310570955</v>
      </c>
    </row>
    <row r="287" spans="1:5" x14ac:dyDescent="0.25">
      <c r="A287" s="34">
        <f t="shared" si="21"/>
        <v>13.800000000000061</v>
      </c>
      <c r="B287" s="35">
        <f t="shared" si="22"/>
        <v>0.60228520276782171</v>
      </c>
      <c r="C287" s="1">
        <f t="shared" si="23"/>
        <v>12.729233330931722</v>
      </c>
      <c r="D287" s="1">
        <f t="shared" si="24"/>
        <v>12.729233330931722</v>
      </c>
      <c r="E287" s="37">
        <f t="shared" si="20"/>
        <v>-1.776704228169927</v>
      </c>
    </row>
    <row r="288" spans="1:5" x14ac:dyDescent="0.25">
      <c r="A288" s="34">
        <f t="shared" si="21"/>
        <v>13.850000000000062</v>
      </c>
      <c r="B288" s="35">
        <f t="shared" si="22"/>
        <v>1.2387468693144079</v>
      </c>
      <c r="C288" s="1">
        <f t="shared" si="23"/>
        <v>12.640398119523226</v>
      </c>
      <c r="D288" s="1">
        <f t="shared" si="24"/>
        <v>12.640398119523226</v>
      </c>
      <c r="E288" s="37">
        <f t="shared" si="20"/>
        <v>-4.2529630786765624</v>
      </c>
    </row>
    <row r="289" spans="1:5" x14ac:dyDescent="0.25">
      <c r="A289" s="34">
        <f t="shared" si="21"/>
        <v>13.900000000000063</v>
      </c>
      <c r="B289" s="35">
        <f t="shared" si="22"/>
        <v>1.8707667752905692</v>
      </c>
      <c r="C289" s="1">
        <f t="shared" si="23"/>
        <v>12.427749965589397</v>
      </c>
      <c r="D289" s="1">
        <f t="shared" si="24"/>
        <v>12.427749965589397</v>
      </c>
      <c r="E289" s="37">
        <f t="shared" si="20"/>
        <v>-6.7175931226333558</v>
      </c>
    </row>
    <row r="290" spans="1:5" x14ac:dyDescent="0.25">
      <c r="A290" s="34">
        <f t="shared" si="21"/>
        <v>13.950000000000063</v>
      </c>
      <c r="B290" s="35">
        <f t="shared" si="22"/>
        <v>2.4921542735700393</v>
      </c>
      <c r="C290" s="1">
        <f t="shared" si="23"/>
        <v>12.091870309457729</v>
      </c>
      <c r="D290" s="1">
        <f t="shared" si="24"/>
        <v>12.091870309457729</v>
      </c>
      <c r="E290" s="37">
        <f t="shared" si="20"/>
        <v>-9.1463865506562971</v>
      </c>
    </row>
    <row r="291" spans="1:5" x14ac:dyDescent="0.25">
      <c r="A291" s="34">
        <f t="shared" si="21"/>
        <v>14.000000000000064</v>
      </c>
      <c r="B291" s="35">
        <f t="shared" si="22"/>
        <v>3.0967477890429258</v>
      </c>
      <c r="C291" s="1">
        <f t="shared" si="23"/>
        <v>11.634550981924914</v>
      </c>
      <c r="D291" s="1">
        <f t="shared" si="24"/>
        <v>11.634550981924914</v>
      </c>
      <c r="E291" s="37">
        <f t="shared" si="20"/>
        <v>-11.515193320237293</v>
      </c>
    </row>
    <row r="292" spans="1:5" x14ac:dyDescent="0.25">
      <c r="A292" s="34">
        <f t="shared" si="21"/>
        <v>14.050000000000065</v>
      </c>
      <c r="B292" s="35">
        <f t="shared" si="22"/>
        <v>3.6784753381391715</v>
      </c>
      <c r="C292" s="1">
        <f t="shared" si="23"/>
        <v>11.05879131591305</v>
      </c>
      <c r="D292" s="1">
        <f t="shared" si="24"/>
        <v>11.05879131591305</v>
      </c>
      <c r="E292" s="37">
        <f t="shared" si="20"/>
        <v>-13.800158894746405</v>
      </c>
    </row>
    <row r="293" spans="1:5" x14ac:dyDescent="0.25">
      <c r="A293" s="34">
        <f t="shared" si="21"/>
        <v>14.100000000000065</v>
      </c>
      <c r="B293" s="35">
        <f t="shared" si="22"/>
        <v>4.2314149039348239</v>
      </c>
      <c r="C293" s="1">
        <f t="shared" si="23"/>
        <v>10.368783371175729</v>
      </c>
      <c r="D293" s="1">
        <f t="shared" si="24"/>
        <v>10.368783371175729</v>
      </c>
      <c r="E293" s="37">
        <f t="shared" si="20"/>
        <v>-15.97796195439185</v>
      </c>
    </row>
    <row r="294" spans="1:5" x14ac:dyDescent="0.25">
      <c r="A294" s="34">
        <f t="shared" si="21"/>
        <v>14.150000000000066</v>
      </c>
      <c r="B294" s="35">
        <f t="shared" si="22"/>
        <v>4.7498540724936102</v>
      </c>
      <c r="C294" s="1">
        <f t="shared" si="23"/>
        <v>9.569885273456137</v>
      </c>
      <c r="D294" s="1">
        <f t="shared" si="24"/>
        <v>9.569885273456137</v>
      </c>
      <c r="E294" s="37">
        <f t="shared" si="20"/>
        <v>-18.026049734881397</v>
      </c>
    </row>
    <row r="295" spans="1:5" x14ac:dyDescent="0.25">
      <c r="A295" s="34">
        <f t="shared" si="21"/>
        <v>14.200000000000067</v>
      </c>
      <c r="B295" s="35">
        <f t="shared" si="22"/>
        <v>5.2283483361664169</v>
      </c>
      <c r="C295" s="1">
        <f t="shared" si="23"/>
        <v>8.6685827867120668</v>
      </c>
      <c r="D295" s="1">
        <f t="shared" si="24"/>
        <v>8.6685827867120668</v>
      </c>
      <c r="E295" s="37">
        <f t="shared" si="20"/>
        <v>-19.922868644713731</v>
      </c>
    </row>
    <row r="296" spans="1:5" x14ac:dyDescent="0.25">
      <c r="A296" s="34">
        <f t="shared" si="21"/>
        <v>14.250000000000068</v>
      </c>
      <c r="B296" s="35">
        <f t="shared" si="22"/>
        <v>5.6617774755020207</v>
      </c>
      <c r="C296" s="1">
        <f t="shared" si="23"/>
        <v>7.6724393544763805</v>
      </c>
      <c r="D296" s="1">
        <f t="shared" si="24"/>
        <v>7.6724393544763805</v>
      </c>
      <c r="E296" s="37">
        <f t="shared" si="20"/>
        <v>-21.648087830410859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4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E1012"/>
  <sheetViews>
    <sheetView zoomScale="210" zoomScaleNormal="210" workbookViewId="0">
      <selection activeCell="B7" sqref="B7"/>
    </sheetView>
  </sheetViews>
  <sheetFormatPr defaultRowHeight="15" x14ac:dyDescent="0.25"/>
  <sheetData>
    <row r="1" spans="1:5" x14ac:dyDescent="0.25">
      <c r="A1" s="8" t="s">
        <v>60</v>
      </c>
    </row>
    <row r="2" spans="1:5" x14ac:dyDescent="0.25">
      <c r="B2" t="s">
        <v>57</v>
      </c>
      <c r="C2" s="9"/>
      <c r="D2" s="9"/>
    </row>
    <row r="3" spans="1:5" x14ac:dyDescent="0.25">
      <c r="B3" t="s">
        <v>34</v>
      </c>
    </row>
    <row r="4" spans="1:5" ht="15.75" thickBot="1" x14ac:dyDescent="0.3">
      <c r="B4" t="s">
        <v>33</v>
      </c>
    </row>
    <row r="5" spans="1:5" x14ac:dyDescent="0.25">
      <c r="A5" s="17" t="s">
        <v>50</v>
      </c>
      <c r="B5" s="18"/>
      <c r="C5" s="19"/>
    </row>
    <row r="6" spans="1:5" ht="15.75" thickBot="1" x14ac:dyDescent="0.3">
      <c r="A6" s="20" t="s">
        <v>51</v>
      </c>
      <c r="B6" s="21"/>
      <c r="C6" s="22"/>
    </row>
    <row r="7" spans="1:5" x14ac:dyDescent="0.25">
      <c r="A7" t="s">
        <v>32</v>
      </c>
      <c r="B7" t="s">
        <v>31</v>
      </c>
    </row>
    <row r="8" spans="1:5" x14ac:dyDescent="0.25">
      <c r="A8" s="7" t="s">
        <v>5</v>
      </c>
      <c r="B8" s="5"/>
    </row>
    <row r="9" spans="1:5" x14ac:dyDescent="0.25">
      <c r="A9" s="26">
        <v>0.1</v>
      </c>
      <c r="B9" s="5"/>
      <c r="D9" s="3"/>
    </row>
    <row r="10" spans="1:5" x14ac:dyDescent="0.25">
      <c r="C10" s="7"/>
      <c r="D10" s="7"/>
    </row>
    <row r="11" spans="1:5" ht="15.75" thickBot="1" x14ac:dyDescent="0.3">
      <c r="A11" s="39" t="s">
        <v>4</v>
      </c>
      <c r="B11" s="40" t="s">
        <v>64</v>
      </c>
      <c r="C11" s="38" t="s">
        <v>8</v>
      </c>
      <c r="D11" s="38" t="s">
        <v>3</v>
      </c>
      <c r="E11" s="43" t="s">
        <v>12</v>
      </c>
    </row>
    <row r="12" spans="1:5" x14ac:dyDescent="0.25">
      <c r="A12" s="32">
        <v>0</v>
      </c>
      <c r="B12" s="33">
        <v>0</v>
      </c>
      <c r="C12" s="1">
        <f>D12</f>
        <v>0</v>
      </c>
      <c r="D12" s="23">
        <v>0</v>
      </c>
      <c r="E12" s="37">
        <f t="shared" ref="E12:E75" si="0" xml:space="preserve"> -R_x/L_x*D12-1/(L_x*C_x)*B12+E0_x*SIN(w_x*A12)/L_x</f>
        <v>0</v>
      </c>
    </row>
    <row r="13" spans="1:5" x14ac:dyDescent="0.25">
      <c r="A13" s="34">
        <f>A12+$A$9</f>
        <v>0.1</v>
      </c>
      <c r="B13" s="35">
        <f ca="1">IF($B$7="n",$B$12,$A$9/2*(C13+C12)+B12)</f>
        <v>4.6037985350111138E-4</v>
      </c>
      <c r="C13" s="1">
        <f ca="1">D13</f>
        <v>9.2075970700222273E-3</v>
      </c>
      <c r="D13" s="1">
        <f ca="1">IF($B$7="n",$D$12,$A$9/2*(E13+E12)+D12)</f>
        <v>9.2075970700222273E-3</v>
      </c>
      <c r="E13" s="37">
        <f t="shared" ca="1" si="0"/>
        <v>0.18415194140044455</v>
      </c>
    </row>
    <row r="14" spans="1:5" x14ac:dyDescent="0.25">
      <c r="A14" s="34">
        <f t="shared" ref="A14:A77" si="1">A13+$A$9</f>
        <v>0.2</v>
      </c>
      <c r="B14" s="35">
        <f t="shared" ref="B14:B77" ca="1" si="2">IF($B$7="n",$B$12,$A$9/2*(C14+C13)+B13)</f>
        <v>2.7279799029632755E-3</v>
      </c>
      <c r="C14" s="1">
        <f t="shared" ref="C14:C77" ca="1" si="3">D14</f>
        <v>3.6144403919221052E-2</v>
      </c>
      <c r="D14" s="1">
        <f t="shared" ref="D14:D77" ca="1" si="4">IF($B$7="n",$D$12,$A$9/2*(E14+E13)+D13)</f>
        <v>3.6144403919221052E-2</v>
      </c>
      <c r="E14" s="37">
        <f t="shared" ca="1" si="0"/>
        <v>0.35458419558353199</v>
      </c>
    </row>
    <row r="15" spans="1:5" x14ac:dyDescent="0.25">
      <c r="A15" s="34">
        <f t="shared" si="1"/>
        <v>0.30000000000000004</v>
      </c>
      <c r="B15" s="35">
        <f t="shared" ca="1" si="2"/>
        <v>8.4747425411919562E-3</v>
      </c>
      <c r="C15" s="1">
        <f t="shared" ca="1" si="3"/>
        <v>7.8790848845352535E-2</v>
      </c>
      <c r="D15" s="1">
        <f t="shared" ca="1" si="4"/>
        <v>7.8790848845352535E-2</v>
      </c>
      <c r="E15" s="37">
        <f t="shared" ca="1" si="0"/>
        <v>0.49834470293909783</v>
      </c>
    </row>
    <row r="16" spans="1:5" x14ac:dyDescent="0.25">
      <c r="A16" s="34">
        <f t="shared" si="1"/>
        <v>0.4</v>
      </c>
      <c r="B16" s="35">
        <f t="shared" ca="1" si="2"/>
        <v>1.9109635261244675E-2</v>
      </c>
      <c r="C16" s="1">
        <f t="shared" ca="1" si="3"/>
        <v>0.13390700555570181</v>
      </c>
      <c r="D16" s="1">
        <f t="shared" ca="1" si="4"/>
        <v>0.13390700555570181</v>
      </c>
      <c r="E16" s="37">
        <f t="shared" ca="1" si="0"/>
        <v>0.60397843126788764</v>
      </c>
    </row>
    <row r="17" spans="1:5" x14ac:dyDescent="0.25">
      <c r="A17" s="34">
        <f t="shared" si="1"/>
        <v>0.5</v>
      </c>
      <c r="B17" s="35">
        <f t="shared" ca="1" si="2"/>
        <v>3.5665737162703451E-2</v>
      </c>
      <c r="C17" s="1">
        <f t="shared" ca="1" si="3"/>
        <v>0.19721503247347366</v>
      </c>
      <c r="D17" s="1">
        <f t="shared" ca="1" si="4"/>
        <v>0.19721503247347366</v>
      </c>
      <c r="E17" s="37">
        <f t="shared" ca="1" si="0"/>
        <v>0.66218210708754954</v>
      </c>
    </row>
    <row r="18" spans="1:5" x14ac:dyDescent="0.25">
      <c r="A18" s="34">
        <f t="shared" si="1"/>
        <v>0.6</v>
      </c>
      <c r="B18" s="35">
        <f t="shared" ca="1" si="2"/>
        <v>5.8708574006911082E-2</v>
      </c>
      <c r="C18" s="1">
        <f t="shared" ca="1" si="3"/>
        <v>0.26364170441067891</v>
      </c>
      <c r="D18" s="1">
        <f t="shared" ca="1" si="4"/>
        <v>0.26364170441067891</v>
      </c>
      <c r="E18" s="37">
        <f t="shared" ca="1" si="0"/>
        <v>0.66635133165655547</v>
      </c>
    </row>
    <row r="19" spans="1:5" x14ac:dyDescent="0.25">
      <c r="A19" s="34">
        <f t="shared" si="1"/>
        <v>0.7</v>
      </c>
      <c r="B19" s="35">
        <f t="shared" ca="1" si="2"/>
        <v>8.827110322346636E-2</v>
      </c>
      <c r="C19" s="1">
        <f t="shared" ca="1" si="3"/>
        <v>0.32760887992042664</v>
      </c>
      <c r="D19" s="1">
        <f t="shared" ca="1" si="4"/>
        <v>0.32760887992042664</v>
      </c>
      <c r="E19" s="37">
        <f t="shared" ca="1" si="0"/>
        <v>0.61299217853839916</v>
      </c>
    </row>
    <row r="20" spans="1:5" x14ac:dyDescent="0.25">
      <c r="A20" s="34">
        <f t="shared" si="1"/>
        <v>0.79999999999999993</v>
      </c>
      <c r="B20" s="35">
        <f t="shared" ca="1" si="2"/>
        <v>0.12381941100137564</v>
      </c>
      <c r="C20" s="1">
        <f t="shared" ca="1" si="3"/>
        <v>0.38335727563775912</v>
      </c>
      <c r="D20" s="1">
        <f t="shared" ca="1" si="4"/>
        <v>0.38335727563775912</v>
      </c>
      <c r="E20" s="37">
        <f t="shared" ca="1" si="0"/>
        <v>0.50197573580825061</v>
      </c>
    </row>
    <row r="21" spans="1:5" x14ac:dyDescent="0.25">
      <c r="A21" s="34">
        <f t="shared" si="1"/>
        <v>0.89999999999999991</v>
      </c>
      <c r="B21" s="35">
        <f t="shared" ca="1" si="2"/>
        <v>0.16425163154956415</v>
      </c>
      <c r="C21" s="1">
        <f t="shared" ca="1" si="3"/>
        <v>0.42528713532601103</v>
      </c>
      <c r="D21" s="1">
        <f t="shared" ca="1" si="4"/>
        <v>0.42528713532601103</v>
      </c>
      <c r="E21" s="37">
        <f t="shared" ca="1" si="0"/>
        <v>0.33662145795678822</v>
      </c>
    </row>
    <row r="22" spans="1:5" x14ac:dyDescent="0.25">
      <c r="A22" s="34">
        <f t="shared" si="1"/>
        <v>0.99999999999999989</v>
      </c>
      <c r="B22" s="35">
        <f t="shared" ca="1" si="2"/>
        <v>0.2079309069665003</v>
      </c>
      <c r="C22" s="1">
        <f t="shared" ca="1" si="3"/>
        <v>0.44829837301271169</v>
      </c>
      <c r="D22" s="1">
        <f t="shared" ca="1" si="4"/>
        <v>0.44829837301271169</v>
      </c>
      <c r="E22" s="37">
        <f t="shared" ca="1" si="0"/>
        <v>0.1236032957772244</v>
      </c>
    </row>
    <row r="23" spans="1:5" x14ac:dyDescent="0.25">
      <c r="A23" s="34">
        <f t="shared" si="1"/>
        <v>1.0999999999999999</v>
      </c>
      <c r="B23" s="35">
        <f t="shared" ca="1" si="2"/>
        <v>0.25275145503203167</v>
      </c>
      <c r="C23" s="1">
        <f t="shared" ca="1" si="3"/>
        <v>0.44811258829791567</v>
      </c>
      <c r="D23" s="1">
        <f t="shared" ca="1" si="4"/>
        <v>0.44811258829791567</v>
      </c>
      <c r="E23" s="37">
        <f t="shared" ca="1" si="0"/>
        <v>-0.12731899007314473</v>
      </c>
    </row>
    <row r="24" spans="1:5" x14ac:dyDescent="0.25">
      <c r="A24" s="34">
        <f t="shared" si="1"/>
        <v>1.2</v>
      </c>
      <c r="B24" s="35">
        <f t="shared" ca="1" si="2"/>
        <v>0.29623508504106266</v>
      </c>
      <c r="C24" s="1">
        <f t="shared" ca="1" si="3"/>
        <v>0.42156001188270359</v>
      </c>
      <c r="D24" s="1">
        <f t="shared" ca="1" si="4"/>
        <v>0.42156001188270359</v>
      </c>
      <c r="E24" s="37">
        <f t="shared" ca="1" si="0"/>
        <v>-0.40373253823109645</v>
      </c>
    </row>
    <row r="25" spans="1:5" x14ac:dyDescent="0.25">
      <c r="A25" s="34">
        <f t="shared" si="1"/>
        <v>1.3</v>
      </c>
      <c r="B25" s="35">
        <f t="shared" ca="1" si="2"/>
        <v>0.33565388145930863</v>
      </c>
      <c r="C25" s="1">
        <f t="shared" ca="1" si="3"/>
        <v>0.36681591648221512</v>
      </c>
      <c r="D25" s="1">
        <f t="shared" ca="1" si="4"/>
        <v>0.36681591648221512</v>
      </c>
      <c r="E25" s="37">
        <f t="shared" ca="1" si="0"/>
        <v>-0.69114936977867325</v>
      </c>
    </row>
    <row r="26" spans="1:5" x14ac:dyDescent="0.25">
      <c r="A26" s="34">
        <f t="shared" si="1"/>
        <v>1.4000000000000001</v>
      </c>
      <c r="B26" s="35">
        <f t="shared" ca="1" si="2"/>
        <v>0.36817334033230875</v>
      </c>
      <c r="C26" s="1">
        <f t="shared" ca="1" si="3"/>
        <v>0.28357326097778707</v>
      </c>
      <c r="D26" s="1">
        <f t="shared" ca="1" si="4"/>
        <v>0.28357326097778707</v>
      </c>
      <c r="E26" s="37">
        <f t="shared" ca="1" si="0"/>
        <v>-0.97370374030988804</v>
      </c>
    </row>
    <row r="27" spans="1:5" x14ac:dyDescent="0.25">
      <c r="A27" s="34">
        <f t="shared" si="1"/>
        <v>1.5000000000000002</v>
      </c>
      <c r="B27" s="35">
        <f t="shared" ca="1" si="2"/>
        <v>0.39100906475272823</v>
      </c>
      <c r="C27" s="1">
        <f t="shared" ca="1" si="3"/>
        <v>0.17314122743060292</v>
      </c>
      <c r="D27" s="1">
        <f t="shared" ca="1" si="4"/>
        <v>0.17314122743060292</v>
      </c>
      <c r="E27" s="37">
        <f t="shared" ca="1" si="0"/>
        <v>-1.2349369306337945</v>
      </c>
    </row>
    <row r="28" spans="1:5" x14ac:dyDescent="0.25">
      <c r="A28" s="34">
        <f t="shared" si="1"/>
        <v>1.6000000000000003</v>
      </c>
      <c r="B28" s="35">
        <f t="shared" ca="1" si="2"/>
        <v>0.40158926282997381</v>
      </c>
      <c r="C28" s="1">
        <f t="shared" ca="1" si="3"/>
        <v>3.846273411430845E-2</v>
      </c>
      <c r="D28" s="1">
        <f t="shared" ca="1" si="4"/>
        <v>3.846273411430845E-2</v>
      </c>
      <c r="E28" s="37">
        <f t="shared" ca="1" si="0"/>
        <v>-1.4586329356920946</v>
      </c>
    </row>
    <row r="29" spans="1:5" x14ac:dyDescent="0.25">
      <c r="A29" s="34">
        <f t="shared" si="1"/>
        <v>1.7000000000000004</v>
      </c>
      <c r="B29" s="35">
        <f t="shared" ca="1" si="2"/>
        <v>0.39771479005517046</v>
      </c>
      <c r="C29" s="1">
        <f t="shared" ca="1" si="3"/>
        <v>-0.11595218961037507</v>
      </c>
      <c r="D29" s="1">
        <f t="shared" ca="1" si="4"/>
        <v>-0.11595218961037507</v>
      </c>
      <c r="E29" s="37">
        <f t="shared" ca="1" si="0"/>
        <v>-1.6296655388015753</v>
      </c>
    </row>
    <row r="30" spans="1:5" x14ac:dyDescent="0.25">
      <c r="A30" s="34">
        <f t="shared" si="1"/>
        <v>1.8000000000000005</v>
      </c>
      <c r="B30" s="35">
        <f t="shared" ca="1" si="2"/>
        <v>0.3777083670605117</v>
      </c>
      <c r="C30" s="1">
        <f t="shared" ca="1" si="3"/>
        <v>-0.28417627028280079</v>
      </c>
      <c r="D30" s="1">
        <f t="shared" ca="1" si="4"/>
        <v>-0.28417627028280079</v>
      </c>
      <c r="E30" s="37">
        <f t="shared" ca="1" si="0"/>
        <v>-1.7348160746469388</v>
      </c>
    </row>
    <row r="31" spans="1:5" x14ac:dyDescent="0.25">
      <c r="A31" s="34">
        <f t="shared" si="1"/>
        <v>1.9000000000000006</v>
      </c>
      <c r="B31" s="35">
        <f t="shared" ca="1" si="2"/>
        <v>0.34054489519061626</v>
      </c>
      <c r="C31" s="1">
        <f t="shared" ca="1" si="3"/>
        <v>-0.45909316711510845</v>
      </c>
      <c r="D31" s="1">
        <f t="shared" ca="1" si="4"/>
        <v>-0.45909316711510845</v>
      </c>
      <c r="E31" s="37">
        <f t="shared" ca="1" si="0"/>
        <v>-1.7635218619992143</v>
      </c>
    </row>
    <row r="32" spans="1:5" x14ac:dyDescent="0.25">
      <c r="A32" s="34">
        <f t="shared" si="1"/>
        <v>2.0000000000000004</v>
      </c>
      <c r="B32" s="35">
        <f t="shared" ca="1" si="2"/>
        <v>0.28595547928422932</v>
      </c>
      <c r="C32" s="1">
        <f t="shared" ca="1" si="3"/>
        <v>-0.63269515101263041</v>
      </c>
      <c r="D32" s="1">
        <f t="shared" ca="1" si="4"/>
        <v>-0.63269515101263041</v>
      </c>
      <c r="E32" s="37">
        <f t="shared" ca="1" si="0"/>
        <v>-1.7085178159512253</v>
      </c>
    </row>
    <row r="33" spans="1:5" x14ac:dyDescent="0.25">
      <c r="A33" s="34">
        <f t="shared" si="1"/>
        <v>2.1000000000000005</v>
      </c>
      <c r="B33" s="35">
        <f t="shared" ca="1" si="2"/>
        <v>0.21449882455067809</v>
      </c>
      <c r="C33" s="1">
        <f t="shared" ca="1" si="3"/>
        <v>-0.79643794365839438</v>
      </c>
      <c r="D33" s="1">
        <f t="shared" ca="1" si="4"/>
        <v>-0.79643794365839438</v>
      </c>
      <c r="E33" s="37">
        <f t="shared" ca="1" si="0"/>
        <v>-1.5663380369640536</v>
      </c>
    </row>
    <row r="34" spans="1:5" x14ac:dyDescent="0.25">
      <c r="A34" s="34">
        <f t="shared" si="1"/>
        <v>2.2000000000000006</v>
      </c>
      <c r="B34" s="35">
        <f t="shared" ca="1" si="2"/>
        <v>0.1275950599713879</v>
      </c>
      <c r="C34" s="1">
        <f t="shared" ca="1" si="3"/>
        <v>-0.94163734792740938</v>
      </c>
      <c r="D34" s="1">
        <f t="shared" ca="1" si="4"/>
        <v>-0.94163734792740938</v>
      </c>
      <c r="E34" s="37">
        <f t="shared" ca="1" si="0"/>
        <v>-1.337650048416247</v>
      </c>
    </row>
    <row r="35" spans="1:5" x14ac:dyDescent="0.25">
      <c r="A35" s="34">
        <f t="shared" si="1"/>
        <v>2.3000000000000007</v>
      </c>
      <c r="B35" s="35">
        <f t="shared" ca="1" si="2"/>
        <v>2.7518696128825293E-2</v>
      </c>
      <c r="C35" s="1">
        <f t="shared" ca="1" si="3"/>
        <v>-1.0598899289238426</v>
      </c>
      <c r="D35" s="1">
        <f t="shared" ca="1" si="4"/>
        <v>-1.0598899289238426</v>
      </c>
      <c r="E35" s="37">
        <f t="shared" ca="1" si="0"/>
        <v>-1.0274015715124158</v>
      </c>
    </row>
    <row r="36" spans="1:5" x14ac:dyDescent="0.25">
      <c r="A36" s="34">
        <f t="shared" si="1"/>
        <v>2.4000000000000008</v>
      </c>
      <c r="B36" s="35">
        <f t="shared" ca="1" si="2"/>
        <v>-8.2650720642198014E-2</v>
      </c>
      <c r="C36" s="1">
        <f t="shared" ca="1" si="3"/>
        <v>-1.1434984064966234</v>
      </c>
      <c r="D36" s="1">
        <f t="shared" ca="1" si="4"/>
        <v>-1.1434984064966234</v>
      </c>
      <c r="E36" s="37">
        <f t="shared" ca="1" si="0"/>
        <v>-0.64476797994319845</v>
      </c>
    </row>
    <row r="37" spans="1:5" x14ac:dyDescent="0.25">
      <c r="A37" s="34">
        <f t="shared" si="1"/>
        <v>2.5000000000000009</v>
      </c>
      <c r="B37" s="35">
        <f t="shared" ca="1" si="2"/>
        <v>-0.19911972501867276</v>
      </c>
      <c r="C37" s="1">
        <f t="shared" ca="1" si="3"/>
        <v>-1.1858816810328709</v>
      </c>
      <c r="D37" s="1">
        <f t="shared" ca="1" si="4"/>
        <v>-1.1858816810328709</v>
      </c>
      <c r="E37" s="37">
        <f t="shared" ca="1" si="0"/>
        <v>-0.20289751078175111</v>
      </c>
    </row>
    <row r="38" spans="1:5" x14ac:dyDescent="0.25">
      <c r="A38" s="34">
        <f t="shared" si="1"/>
        <v>2.600000000000001</v>
      </c>
      <c r="B38" s="35">
        <f t="shared" ca="1" si="2"/>
        <v>-0.31751128823047847</v>
      </c>
      <c r="C38" s="1">
        <f t="shared" ca="1" si="3"/>
        <v>-1.1819495832032427</v>
      </c>
      <c r="D38" s="1">
        <f t="shared" ca="1" si="4"/>
        <v>-1.1819495832032427</v>
      </c>
      <c r="E38" s="37">
        <f t="shared" ca="1" si="0"/>
        <v>0.28153946737431501</v>
      </c>
    </row>
    <row r="39" spans="1:5" x14ac:dyDescent="0.25">
      <c r="A39" s="34">
        <f t="shared" si="1"/>
        <v>2.7000000000000011</v>
      </c>
      <c r="B39" s="35">
        <f t="shared" ca="1" si="2"/>
        <v>-0.43302994358042585</v>
      </c>
      <c r="C39" s="1">
        <f t="shared" ca="1" si="3"/>
        <v>-1.1284235237957048</v>
      </c>
      <c r="D39" s="1">
        <f t="shared" ca="1" si="4"/>
        <v>-1.1284235237957048</v>
      </c>
      <c r="E39" s="37">
        <f t="shared" ca="1" si="0"/>
        <v>0.78898172077644391</v>
      </c>
    </row>
    <row r="40" spans="1:5" x14ac:dyDescent="0.25">
      <c r="A40" s="34">
        <f t="shared" si="1"/>
        <v>2.8000000000000012</v>
      </c>
      <c r="B40" s="35">
        <f t="shared" ca="1" si="2"/>
        <v>-0.54065542925572352</v>
      </c>
      <c r="C40" s="1">
        <f t="shared" ca="1" si="3"/>
        <v>-1.0240861897102473</v>
      </c>
      <c r="D40" s="1">
        <f t="shared" ca="1" si="4"/>
        <v>-1.0240861897102473</v>
      </c>
      <c r="E40" s="37">
        <f t="shared" ca="1" si="0"/>
        <v>1.2977649609327051</v>
      </c>
    </row>
    <row r="41" spans="1:5" x14ac:dyDescent="0.25">
      <c r="A41" s="34">
        <f t="shared" si="1"/>
        <v>2.9000000000000012</v>
      </c>
      <c r="B41" s="35">
        <f t="shared" ca="1" si="2"/>
        <v>-0.63535704947143912</v>
      </c>
      <c r="C41" s="1">
        <f t="shared" ca="1" si="3"/>
        <v>-0.86994621460406396</v>
      </c>
      <c r="D41" s="1">
        <f t="shared" ca="1" si="4"/>
        <v>-0.86994621460406396</v>
      </c>
      <c r="E41" s="37">
        <f t="shared" ca="1" si="0"/>
        <v>1.7850345411909632</v>
      </c>
    </row>
    <row r="42" spans="1:5" x14ac:dyDescent="0.25">
      <c r="A42" s="34">
        <f t="shared" si="1"/>
        <v>3.0000000000000013</v>
      </c>
      <c r="B42" s="35">
        <f t="shared" ca="1" si="2"/>
        <v>-0.71231972211886141</v>
      </c>
      <c r="C42" s="1">
        <f t="shared" ca="1" si="3"/>
        <v>-0.66930723834438177</v>
      </c>
      <c r="D42" s="1">
        <f t="shared" ca="1" si="4"/>
        <v>-0.66930723834438177</v>
      </c>
      <c r="E42" s="37">
        <f t="shared" ca="1" si="0"/>
        <v>2.2277449840026806</v>
      </c>
    </row>
    <row r="43" spans="1:5" x14ac:dyDescent="0.25">
      <c r="A43" s="34">
        <f t="shared" si="1"/>
        <v>3.1000000000000014</v>
      </c>
      <c r="B43" s="35">
        <f t="shared" ca="1" si="2"/>
        <v>-0.76717182484452318</v>
      </c>
      <c r="C43" s="1">
        <f t="shared" ca="1" si="3"/>
        <v>-0.42773481616885423</v>
      </c>
      <c r="D43" s="1">
        <f t="shared" ca="1" si="4"/>
        <v>-0.42773481616885423</v>
      </c>
      <c r="E43" s="37">
        <f t="shared" ca="1" si="0"/>
        <v>2.6037034595078703</v>
      </c>
    </row>
    <row r="44" spans="1:5" x14ac:dyDescent="0.25">
      <c r="A44" s="34">
        <f t="shared" si="1"/>
        <v>3.2000000000000015</v>
      </c>
      <c r="B44" s="35">
        <f t="shared" ca="1" si="2"/>
        <v>-0.79620451949921889</v>
      </c>
      <c r="C44" s="1">
        <f t="shared" ca="1" si="3"/>
        <v>-0.15291907692505979</v>
      </c>
      <c r="D44" s="1">
        <f t="shared" ca="1" si="4"/>
        <v>-0.15291907692505979</v>
      </c>
      <c r="E44" s="37">
        <f t="shared" ca="1" si="0"/>
        <v>2.8926113253680183</v>
      </c>
    </row>
    <row r="45" spans="1:5" x14ac:dyDescent="0.25">
      <c r="A45" s="34">
        <f t="shared" si="1"/>
        <v>3.3000000000000016</v>
      </c>
      <c r="B45" s="35">
        <f t="shared" ca="1" si="2"/>
        <v>-0.79657225686887989</v>
      </c>
      <c r="C45" s="1">
        <f t="shared" ca="1" si="3"/>
        <v>0.14556432953184006</v>
      </c>
      <c r="D45" s="1">
        <f t="shared" ca="1" si="4"/>
        <v>0.14556432953184006</v>
      </c>
      <c r="E45" s="37">
        <f t="shared" ca="1" si="0"/>
        <v>3.0770568037699779</v>
      </c>
    </row>
    <row r="46" spans="1:5" x14ac:dyDescent="0.25">
      <c r="A46" s="34">
        <f t="shared" si="1"/>
        <v>3.4000000000000017</v>
      </c>
      <c r="B46" s="35">
        <f t="shared" ca="1" si="2"/>
        <v>-0.76646464967140915</v>
      </c>
      <c r="C46" s="1">
        <f t="shared" ca="1" si="3"/>
        <v>0.45658781441757534</v>
      </c>
      <c r="D46" s="1">
        <f t="shared" ca="1" si="4"/>
        <v>0.45658781441757534</v>
      </c>
      <c r="E46" s="37">
        <f t="shared" ca="1" si="0"/>
        <v>3.1434128939447277</v>
      </c>
    </row>
    <row r="47" spans="1:5" x14ac:dyDescent="0.25">
      <c r="A47" s="34">
        <f t="shared" si="1"/>
        <v>3.5000000000000018</v>
      </c>
      <c r="B47" s="35">
        <f t="shared" ca="1" si="2"/>
        <v>-0.70524084177291091</v>
      </c>
      <c r="C47" s="1">
        <f t="shared" ca="1" si="3"/>
        <v>0.76788834355238889</v>
      </c>
      <c r="D47" s="1">
        <f t="shared" ca="1" si="4"/>
        <v>0.76788834355238889</v>
      </c>
      <c r="E47" s="37">
        <f t="shared" ca="1" si="0"/>
        <v>3.0825976887515427</v>
      </c>
    </row>
    <row r="48" spans="1:5" x14ac:dyDescent="0.25">
      <c r="A48" s="34">
        <f t="shared" si="1"/>
        <v>3.6000000000000019</v>
      </c>
      <c r="B48" s="35">
        <f t="shared" ca="1" si="2"/>
        <v>-0.61351886498552333</v>
      </c>
      <c r="C48" s="1">
        <f t="shared" ca="1" si="3"/>
        <v>1.0665511921953621</v>
      </c>
      <c r="D48" s="1">
        <f t="shared" ca="1" si="4"/>
        <v>1.0665511921953621</v>
      </c>
      <c r="E48" s="37">
        <f t="shared" ca="1" si="0"/>
        <v>2.8906592841079202</v>
      </c>
    </row>
    <row r="49" spans="1:5" x14ac:dyDescent="0.25">
      <c r="A49" s="34">
        <f t="shared" si="1"/>
        <v>3.700000000000002</v>
      </c>
      <c r="B49" s="35">
        <f t="shared" ca="1" si="2"/>
        <v>-0.49321421191458503</v>
      </c>
      <c r="C49" s="1">
        <f t="shared" ca="1" si="3"/>
        <v>1.3395418692234033</v>
      </c>
      <c r="D49" s="1">
        <f t="shared" ca="1" si="4"/>
        <v>1.3395418692234033</v>
      </c>
      <c r="E49" s="37">
        <f t="shared" ca="1" si="0"/>
        <v>2.5691542564529053</v>
      </c>
    </row>
    <row r="50" spans="1:5" x14ac:dyDescent="0.25">
      <c r="A50" s="34">
        <f t="shared" si="1"/>
        <v>3.800000000000002</v>
      </c>
      <c r="B50" s="35">
        <f t="shared" ca="1" si="2"/>
        <v>-0.34752389691899832</v>
      </c>
      <c r="C50" s="1">
        <f t="shared" ca="1" si="3"/>
        <v>1.5742644306883307</v>
      </c>
      <c r="D50" s="1">
        <f t="shared" ca="1" si="4"/>
        <v>1.5742644306883307</v>
      </c>
      <c r="E50" s="37">
        <f t="shared" ca="1" si="0"/>
        <v>2.1252969728456379</v>
      </c>
    </row>
    <row r="51" spans="1:5" x14ac:dyDescent="0.25">
      <c r="A51" s="34">
        <f t="shared" si="1"/>
        <v>3.9000000000000021</v>
      </c>
      <c r="B51" s="35">
        <f t="shared" ca="1" si="2"/>
        <v>-0.18085454527191669</v>
      </c>
      <c r="C51" s="1">
        <f t="shared" ca="1" si="3"/>
        <v>1.7591226022533017</v>
      </c>
      <c r="D51" s="1">
        <f t="shared" ca="1" si="4"/>
        <v>1.7591226022533017</v>
      </c>
      <c r="E51" s="37">
        <f t="shared" ca="1" si="0"/>
        <v>1.5718664584537838</v>
      </c>
    </row>
    <row r="52" spans="1:5" x14ac:dyDescent="0.25">
      <c r="A52" s="34">
        <f t="shared" si="1"/>
        <v>4.0000000000000018</v>
      </c>
      <c r="B52" s="35">
        <f t="shared" ca="1" si="2"/>
        <v>1.304550572073182E-3</v>
      </c>
      <c r="C52" s="1">
        <f t="shared" ca="1" si="3"/>
        <v>1.8840593146264957</v>
      </c>
      <c r="D52" s="1">
        <f t="shared" ca="1" si="4"/>
        <v>1.8840593146264957</v>
      </c>
      <c r="E52" s="37">
        <f t="shared" ca="1" si="0"/>
        <v>0.92686778901009448</v>
      </c>
    </row>
    <row r="53" spans="1:5" x14ac:dyDescent="0.25">
      <c r="A53" s="34">
        <f t="shared" si="1"/>
        <v>4.1000000000000014</v>
      </c>
      <c r="B53" s="35">
        <f t="shared" ca="1" si="2"/>
        <v>0.1925600404404452</v>
      </c>
      <c r="C53" s="1">
        <f t="shared" ca="1" si="3"/>
        <v>1.9410504827409443</v>
      </c>
      <c r="D53" s="1">
        <f t="shared" ca="1" si="4"/>
        <v>1.9410504827409443</v>
      </c>
      <c r="E53" s="37">
        <f t="shared" ca="1" si="0"/>
        <v>0.21295557327887926</v>
      </c>
    </row>
    <row r="54" spans="1:5" x14ac:dyDescent="0.25">
      <c r="A54" s="34">
        <f t="shared" si="1"/>
        <v>4.2000000000000011</v>
      </c>
      <c r="B54" s="35">
        <f t="shared" ca="1" si="2"/>
        <v>0.3858390716287784</v>
      </c>
      <c r="C54" s="1">
        <f t="shared" ca="1" si="3"/>
        <v>1.9245301410257194</v>
      </c>
      <c r="D54" s="1">
        <f t="shared" ca="1" si="4"/>
        <v>1.9245301410257194</v>
      </c>
      <c r="E54" s="37">
        <f t="shared" ca="1" si="0"/>
        <v>-0.54336240758337595</v>
      </c>
    </row>
    <row r="55" spans="1:5" x14ac:dyDescent="0.25">
      <c r="A55" s="34">
        <f t="shared" si="1"/>
        <v>4.3000000000000007</v>
      </c>
      <c r="B55" s="35">
        <f t="shared" ca="1" si="2"/>
        <v>0.57365189625174096</v>
      </c>
      <c r="C55" s="1">
        <f t="shared" ca="1" si="3"/>
        <v>1.831726351433532</v>
      </c>
      <c r="D55" s="1">
        <f t="shared" ca="1" si="4"/>
        <v>1.831726351433532</v>
      </c>
      <c r="E55" s="37">
        <f t="shared" ca="1" si="0"/>
        <v>-1.3127133842603715</v>
      </c>
    </row>
    <row r="56" spans="1:5" x14ac:dyDescent="0.25">
      <c r="A56" s="34">
        <f t="shared" si="1"/>
        <v>4.4000000000000004</v>
      </c>
      <c r="B56" s="35">
        <f t="shared" ca="1" si="2"/>
        <v>0.74838274137989558</v>
      </c>
      <c r="C56" s="1">
        <f t="shared" ca="1" si="3"/>
        <v>1.6628905511295591</v>
      </c>
      <c r="D56" s="1">
        <f t="shared" ca="1" si="4"/>
        <v>1.6628905511295591</v>
      </c>
      <c r="E56" s="37">
        <f t="shared" ca="1" si="0"/>
        <v>-2.0640026218190859</v>
      </c>
    </row>
    <row r="57" spans="1:5" x14ac:dyDescent="0.25">
      <c r="A57" s="34">
        <f t="shared" si="1"/>
        <v>4.5</v>
      </c>
      <c r="B57" s="35">
        <f t="shared" ca="1" si="2"/>
        <v>0.90259762314025516</v>
      </c>
      <c r="C57" s="1">
        <f t="shared" ca="1" si="3"/>
        <v>1.4214070840776316</v>
      </c>
      <c r="D57" s="1">
        <f t="shared" ca="1" si="4"/>
        <v>1.4214070840776316</v>
      </c>
      <c r="E57" s="37">
        <f t="shared" ca="1" si="0"/>
        <v>-2.7656667192194639</v>
      </c>
    </row>
    <row r="58" spans="1:5" x14ac:dyDescent="0.25">
      <c r="A58" s="34">
        <f t="shared" si="1"/>
        <v>4.5999999999999996</v>
      </c>
      <c r="B58" s="35">
        <f t="shared" ca="1" si="2"/>
        <v>1.029356697778665</v>
      </c>
      <c r="C58" s="1">
        <f t="shared" ca="1" si="3"/>
        <v>1.1137744086905648</v>
      </c>
      <c r="D58" s="1">
        <f t="shared" ca="1" si="4"/>
        <v>1.1137744086905648</v>
      </c>
      <c r="E58" s="37">
        <f t="shared" ca="1" si="0"/>
        <v>-3.3869867885218712</v>
      </c>
    </row>
    <row r="59" spans="1:5" x14ac:dyDescent="0.25">
      <c r="A59" s="34">
        <f t="shared" si="1"/>
        <v>4.6999999999999993</v>
      </c>
      <c r="B59" s="35">
        <f t="shared" ca="1" si="2"/>
        <v>1.1225181534186417</v>
      </c>
      <c r="C59" s="1">
        <f t="shared" ca="1" si="3"/>
        <v>0.74945470410896853</v>
      </c>
      <c r="D59" s="1">
        <f t="shared" ca="1" si="4"/>
        <v>0.74945470410896853</v>
      </c>
      <c r="E59" s="37">
        <f t="shared" ca="1" si="0"/>
        <v>-3.8994073031100536</v>
      </c>
    </row>
    <row r="60" spans="1:5" x14ac:dyDescent="0.25">
      <c r="A60" s="34">
        <f t="shared" si="1"/>
        <v>4.7999999999999989</v>
      </c>
      <c r="B60" s="35">
        <f t="shared" ca="1" si="2"/>
        <v>1.1770205935350322</v>
      </c>
      <c r="C60" s="1">
        <f t="shared" ca="1" si="3"/>
        <v>0.34059409821884024</v>
      </c>
      <c r="D60" s="1">
        <f t="shared" ca="1" si="4"/>
        <v>0.34059409821884024</v>
      </c>
      <c r="E60" s="37">
        <f t="shared" ca="1" si="0"/>
        <v>-4.2778048146925114</v>
      </c>
    </row>
    <row r="61" spans="1:5" x14ac:dyDescent="0.25">
      <c r="A61" s="34">
        <f t="shared" si="1"/>
        <v>4.8999999999999986</v>
      </c>
      <c r="B61" s="35">
        <f t="shared" ca="1" si="2"/>
        <v>1.1891313626108384</v>
      </c>
      <c r="C61" s="1">
        <f t="shared" ca="1" si="3"/>
        <v>-9.8378716702716196E-2</v>
      </c>
      <c r="D61" s="1">
        <f t="shared" ca="1" si="4"/>
        <v>-9.8378716702716196E-2</v>
      </c>
      <c r="E61" s="37">
        <f t="shared" ca="1" si="0"/>
        <v>-4.5016514837386161</v>
      </c>
    </row>
    <row r="62" spans="1:5" x14ac:dyDescent="0.25">
      <c r="A62" s="34">
        <f t="shared" si="1"/>
        <v>4.9999999999999982</v>
      </c>
      <c r="B62" s="35">
        <f t="shared" ca="1" si="2"/>
        <v>1.1566493085783751</v>
      </c>
      <c r="C62" s="1">
        <f t="shared" ca="1" si="3"/>
        <v>-0.55126236394654837</v>
      </c>
      <c r="D62" s="1">
        <f t="shared" ca="1" si="4"/>
        <v>-0.55126236394654837</v>
      </c>
      <c r="E62" s="37">
        <f t="shared" ca="1" si="0"/>
        <v>-4.5560214611380268</v>
      </c>
    </row>
    <row r="63" spans="1:5" x14ac:dyDescent="0.25">
      <c r="A63" s="34">
        <f t="shared" si="1"/>
        <v>5.0999999999999979</v>
      </c>
      <c r="B63" s="35">
        <f t="shared" ca="1" si="2"/>
        <v>1.0790520347429338</v>
      </c>
      <c r="C63" s="1">
        <f t="shared" ca="1" si="3"/>
        <v>-1.0006831127622804</v>
      </c>
      <c r="D63" s="1">
        <f t="shared" ca="1" si="4"/>
        <v>-1.0006831127622804</v>
      </c>
      <c r="E63" s="37">
        <f t="shared" ca="1" si="0"/>
        <v>-4.4323935151766136</v>
      </c>
    </row>
    <row r="64" spans="1:5" x14ac:dyDescent="0.25">
      <c r="A64" s="34">
        <f t="shared" si="1"/>
        <v>5.1999999999999975</v>
      </c>
      <c r="B64" s="35">
        <f t="shared" ca="1" si="2"/>
        <v>0.95757971283991539</v>
      </c>
      <c r="C64" s="1">
        <f t="shared" ca="1" si="3"/>
        <v>-1.4287633252980863</v>
      </c>
      <c r="D64" s="1">
        <f t="shared" ca="1" si="4"/>
        <v>-1.4287633252980863</v>
      </c>
      <c r="E64" s="37">
        <f t="shared" ca="1" si="0"/>
        <v>-4.1292107355395009</v>
      </c>
    </row>
    <row r="65" spans="1:5" x14ac:dyDescent="0.25">
      <c r="A65" s="34">
        <f t="shared" si="1"/>
        <v>5.2999999999999972</v>
      </c>
      <c r="B65" s="35">
        <f t="shared" ca="1" si="2"/>
        <v>0.79524993499007379</v>
      </c>
      <c r="C65" s="1">
        <f t="shared" ca="1" si="3"/>
        <v>-1.8178322316987456</v>
      </c>
      <c r="D65" s="1">
        <f t="shared" ca="1" si="4"/>
        <v>-1.8178322316987456</v>
      </c>
      <c r="E65" s="37">
        <f t="shared" ca="1" si="0"/>
        <v>-3.652167392473689</v>
      </c>
    </row>
    <row r="66" spans="1:5" x14ac:dyDescent="0.25">
      <c r="A66" s="34">
        <f t="shared" si="1"/>
        <v>5.3999999999999968</v>
      </c>
      <c r="B66" s="35">
        <f t="shared" ca="1" si="2"/>
        <v>0.59680078401067371</v>
      </c>
      <c r="C66" s="1">
        <f t="shared" ca="1" si="3"/>
        <v>-2.1511507878892555</v>
      </c>
      <c r="D66" s="1">
        <f t="shared" ca="1" si="4"/>
        <v>-2.1511507878892555</v>
      </c>
      <c r="E66" s="37">
        <f t="shared" ca="1" si="0"/>
        <v>-3.0142037313365027</v>
      </c>
    </row>
    <row r="67" spans="1:5" x14ac:dyDescent="0.25">
      <c r="A67" s="34">
        <f t="shared" si="1"/>
        <v>5.4999999999999964</v>
      </c>
      <c r="B67" s="35">
        <f t="shared" ca="1" si="2"/>
        <v>0.36856219284267433</v>
      </c>
      <c r="C67" s="1">
        <f t="shared" ca="1" si="3"/>
        <v>-2.4136210354707321</v>
      </c>
      <c r="D67" s="1">
        <f t="shared" ca="1" si="4"/>
        <v>-2.4136210354707321</v>
      </c>
      <c r="E67" s="37">
        <f t="shared" ca="1" si="0"/>
        <v>-2.2352012202930283</v>
      </c>
    </row>
    <row r="68" spans="1:5" x14ac:dyDescent="0.25">
      <c r="A68" s="34">
        <f t="shared" si="1"/>
        <v>5.5999999999999961</v>
      </c>
      <c r="B68" s="35">
        <f t="shared" ca="1" si="2"/>
        <v>0.11825862856712138</v>
      </c>
      <c r="C68" s="1">
        <f t="shared" ca="1" si="3"/>
        <v>-2.5924502500403261</v>
      </c>
      <c r="D68" s="1">
        <f t="shared" ca="1" si="4"/>
        <v>-2.5924502500403261</v>
      </c>
      <c r="E68" s="37">
        <f t="shared" ca="1" si="0"/>
        <v>-1.3413830710988506</v>
      </c>
    </row>
    <row r="69" spans="1:5" x14ac:dyDescent="0.25">
      <c r="A69" s="34">
        <f t="shared" si="1"/>
        <v>5.6999999999999957</v>
      </c>
      <c r="B69" s="35">
        <f t="shared" ca="1" si="2"/>
        <v>-0.14525094715761033</v>
      </c>
      <c r="C69" s="1">
        <f t="shared" ca="1" si="3"/>
        <v>-2.6777412644543079</v>
      </c>
      <c r="D69" s="1">
        <f t="shared" ca="1" si="4"/>
        <v>-2.6777412644543079</v>
      </c>
      <c r="E69" s="37">
        <f t="shared" ca="1" si="0"/>
        <v>-0.36443721718078148</v>
      </c>
    </row>
    <row r="70" spans="1:5" x14ac:dyDescent="0.25">
      <c r="A70" s="34">
        <f t="shared" si="1"/>
        <v>5.7999999999999954</v>
      </c>
      <c r="B70" s="35">
        <f t="shared" ca="1" si="2"/>
        <v>-0.41228714376046094</v>
      </c>
      <c r="C70" s="1">
        <f t="shared" ca="1" si="3"/>
        <v>-2.6629826676027037</v>
      </c>
      <c r="D70" s="1">
        <f t="shared" ca="1" si="4"/>
        <v>-2.6629826676027037</v>
      </c>
      <c r="E70" s="37">
        <f t="shared" ca="1" si="0"/>
        <v>0.65960915421286337</v>
      </c>
    </row>
    <row r="71" spans="1:5" x14ac:dyDescent="0.25">
      <c r="A71" s="34">
        <f t="shared" si="1"/>
        <v>5.899999999999995</v>
      </c>
      <c r="B71" s="35">
        <f t="shared" ca="1" si="2"/>
        <v>-0.67270707897995585</v>
      </c>
      <c r="C71" s="1">
        <f t="shared" ca="1" si="3"/>
        <v>-2.5454160367871945</v>
      </c>
      <c r="D71" s="1">
        <f t="shared" ca="1" si="4"/>
        <v>-2.5454160367871945</v>
      </c>
      <c r="E71" s="37">
        <f t="shared" ca="1" si="0"/>
        <v>1.691723462097324</v>
      </c>
    </row>
    <row r="72" spans="1:5" x14ac:dyDescent="0.25">
      <c r="A72" s="34">
        <f t="shared" si="1"/>
        <v>5.9999999999999947</v>
      </c>
      <c r="B72" s="35">
        <f t="shared" ca="1" si="2"/>
        <v>-0.91629097299837281</v>
      </c>
      <c r="C72" s="1">
        <f t="shared" ca="1" si="3"/>
        <v>-2.3262618435811433</v>
      </c>
      <c r="D72" s="1">
        <f t="shared" ca="1" si="4"/>
        <v>-2.3262618435811433</v>
      </c>
      <c r="E72" s="37">
        <f t="shared" ca="1" si="0"/>
        <v>2.691360402023705</v>
      </c>
    </row>
    <row r="73" spans="1:5" x14ac:dyDescent="0.25">
      <c r="A73" s="34">
        <f t="shared" si="1"/>
        <v>6.0999999999999943</v>
      </c>
      <c r="B73" s="35">
        <f t="shared" ca="1" si="2"/>
        <v>-1.1331436159350017</v>
      </c>
      <c r="C73" s="1">
        <f t="shared" ca="1" si="3"/>
        <v>-2.0107910151514359</v>
      </c>
      <c r="D73" s="1">
        <f t="shared" ca="1" si="4"/>
        <v>-2.0107910151514359</v>
      </c>
      <c r="E73" s="37">
        <f t="shared" ca="1" si="0"/>
        <v>3.6180561665704416</v>
      </c>
    </row>
    <row r="74" spans="1:5" x14ac:dyDescent="0.25">
      <c r="A74" s="34">
        <f t="shared" si="1"/>
        <v>6.199999999999994</v>
      </c>
      <c r="B74" s="35">
        <f t="shared" ca="1" si="2"/>
        <v>-1.3140949233309003</v>
      </c>
      <c r="C74" s="1">
        <f t="shared" ca="1" si="3"/>
        <v>-1.6082351327665356</v>
      </c>
      <c r="D74" s="1">
        <f t="shared" ca="1" si="4"/>
        <v>-1.6082351327665356</v>
      </c>
      <c r="E74" s="37">
        <f t="shared" ca="1" si="0"/>
        <v>4.4330614811275639</v>
      </c>
    </row>
    <row r="75" spans="1:5" x14ac:dyDescent="0.25">
      <c r="A75" s="34">
        <f t="shared" si="1"/>
        <v>6.2999999999999936</v>
      </c>
      <c r="B75" s="35">
        <f t="shared" ca="1" si="2"/>
        <v>-1.4510834136157511</v>
      </c>
      <c r="C75" s="1">
        <f t="shared" ca="1" si="3"/>
        <v>-1.1315346729304818</v>
      </c>
      <c r="D75" s="1">
        <f t="shared" ca="1" si="4"/>
        <v>-1.1315346729304818</v>
      </c>
      <c r="E75" s="37">
        <f t="shared" ca="1" si="0"/>
        <v>5.1009477155935139</v>
      </c>
    </row>
    <row r="76" spans="1:5" x14ac:dyDescent="0.25">
      <c r="A76" s="34">
        <f t="shared" si="1"/>
        <v>6.3999999999999932</v>
      </c>
      <c r="B76" s="35">
        <f t="shared" ca="1" si="2"/>
        <v>-1.5375067116977006</v>
      </c>
      <c r="C76" s="1">
        <f t="shared" ca="1" si="3"/>
        <v>-0.59693128870850587</v>
      </c>
      <c r="D76" s="1">
        <f t="shared" ca="1" si="4"/>
        <v>-0.59693128870850587</v>
      </c>
      <c r="E76" s="37">
        <f t="shared" ref="E76:E139" ca="1" si="5" xml:space="preserve"> -R_x/L_x*D76-1/(L_x*C_x)*B76+E0_x*SIN(w_x*A76)/L_x</f>
        <v>5.5911199688460043</v>
      </c>
    </row>
    <row r="77" spans="1:5" x14ac:dyDescent="0.25">
      <c r="A77" s="34">
        <f t="shared" si="1"/>
        <v>6.4999999999999929</v>
      </c>
      <c r="B77" s="35">
        <f t="shared" ca="1" si="2"/>
        <v>-1.5685241072361904</v>
      </c>
      <c r="C77" s="1">
        <f t="shared" ca="1" si="3"/>
        <v>-2.3416622061292025E-2</v>
      </c>
      <c r="D77" s="1">
        <f t="shared" ca="1" si="4"/>
        <v>-2.3416622061292025E-2</v>
      </c>
      <c r="E77" s="37">
        <f t="shared" ca="1" si="5"/>
        <v>5.8791733640982713</v>
      </c>
    </row>
    <row r="78" spans="1:5" x14ac:dyDescent="0.25">
      <c r="A78" s="34">
        <f t="shared" ref="A78:A141" si="6">A77+$A$9</f>
        <v>6.5999999999999925</v>
      </c>
      <c r="B78" s="35">
        <f t="shared" ref="B78:B141" ca="1" si="7">IF($B$7="n",$B$12,$A$9/2*(C78+C77)+B77)</f>
        <v>-1.541297751547936</v>
      </c>
      <c r="C78" s="1">
        <f t="shared" ref="C78:C141" ca="1" si="8">D78</f>
        <v>0.56794373582638025</v>
      </c>
      <c r="D78" s="1">
        <f t="shared" ref="D78:D141" ca="1" si="9">IF($B$7="n",$D$12,$A$9/2*(E78+E77)+D77)</f>
        <v>0.56794373582638025</v>
      </c>
      <c r="E78" s="37">
        <f t="shared" ca="1" si="5"/>
        <v>5.9480337936551733</v>
      </c>
    </row>
    <row r="79" spans="1:5" x14ac:dyDescent="0.25">
      <c r="A79" s="34">
        <f t="shared" si="6"/>
        <v>6.6999999999999922</v>
      </c>
      <c r="B79" s="35">
        <f t="shared" ca="1" si="7"/>
        <v>-1.4551612138429142</v>
      </c>
      <c r="C79" s="1">
        <f t="shared" ca="1" si="8"/>
        <v>1.1547870182740558</v>
      </c>
      <c r="D79" s="1">
        <f t="shared" ca="1" si="9"/>
        <v>1.1547870182740558</v>
      </c>
      <c r="E79" s="37">
        <f t="shared" ca="1" si="5"/>
        <v>5.7888318552983362</v>
      </c>
    </row>
    <row r="80" spans="1:5" x14ac:dyDescent="0.25">
      <c r="A80" s="34">
        <f t="shared" si="6"/>
        <v>6.7999999999999918</v>
      </c>
      <c r="B80" s="35">
        <f t="shared" ca="1" si="7"/>
        <v>-1.3117067612061961</v>
      </c>
      <c r="C80" s="1">
        <f t="shared" ca="1" si="8"/>
        <v>1.7143020344603057</v>
      </c>
      <c r="D80" s="1">
        <f t="shared" ca="1" si="9"/>
        <v>1.7143020344603057</v>
      </c>
      <c r="E80" s="37">
        <f t="shared" ca="1" si="5"/>
        <v>5.4014684684266605</v>
      </c>
    </row>
    <row r="81" spans="1:5" x14ac:dyDescent="0.25">
      <c r="A81" s="34">
        <f t="shared" si="6"/>
        <v>6.8999999999999915</v>
      </c>
      <c r="B81" s="35">
        <f t="shared" ca="1" si="7"/>
        <v>-1.1147857808670356</v>
      </c>
      <c r="C81" s="1">
        <f t="shared" ca="1" si="8"/>
        <v>2.224117572322903</v>
      </c>
      <c r="D81" s="1">
        <f t="shared" ca="1" si="9"/>
        <v>2.224117572322903</v>
      </c>
      <c r="E81" s="37">
        <f t="shared" ca="1" si="5"/>
        <v>4.7948422888252864</v>
      </c>
    </row>
    <row r="82" spans="1:5" x14ac:dyDescent="0.25">
      <c r="A82" s="34">
        <f t="shared" si="6"/>
        <v>6.9999999999999911</v>
      </c>
      <c r="B82" s="35">
        <f t="shared" ca="1" si="7"/>
        <v>-0.87042011262231189</v>
      </c>
      <c r="C82" s="1">
        <f t="shared" ca="1" si="8"/>
        <v>2.6631957925715724</v>
      </c>
      <c r="D82" s="1">
        <f t="shared" ca="1" si="9"/>
        <v>2.6631957925715724</v>
      </c>
      <c r="E82" s="37">
        <f t="shared" ca="1" si="5"/>
        <v>3.9867221161480968</v>
      </c>
    </row>
    <row r="83" spans="1:5" x14ac:dyDescent="0.25">
      <c r="A83" s="34">
        <f t="shared" si="6"/>
        <v>7.0999999999999908</v>
      </c>
      <c r="B83" s="35">
        <f t="shared" ca="1" si="7"/>
        <v>-0.5866255743218467</v>
      </c>
      <c r="C83" s="1">
        <f t="shared" ca="1" si="8"/>
        <v>3.0126949734377324</v>
      </c>
      <c r="D83" s="1">
        <f t="shared" ca="1" si="9"/>
        <v>3.0126949734377324</v>
      </c>
      <c r="E83" s="37">
        <f t="shared" ca="1" si="5"/>
        <v>3.0032615011751016</v>
      </c>
    </row>
    <row r="84" spans="1:5" x14ac:dyDescent="0.25">
      <c r="A84" s="34">
        <f t="shared" si="6"/>
        <v>7.1999999999999904</v>
      </c>
      <c r="B84" s="35">
        <f t="shared" ca="1" si="7"/>
        <v>-0.27315250533186725</v>
      </c>
      <c r="C84" s="1">
        <f t="shared" ca="1" si="8"/>
        <v>3.2567664063618564</v>
      </c>
      <c r="D84" s="1">
        <f t="shared" ca="1" si="9"/>
        <v>3.2567664063618564</v>
      </c>
      <c r="E84" s="37">
        <f t="shared" ca="1" si="5"/>
        <v>1.8781671573073819</v>
      </c>
    </row>
    <row r="85" spans="1:5" x14ac:dyDescent="0.25">
      <c r="A85" s="34">
        <f t="shared" si="6"/>
        <v>7.2999999999999901</v>
      </c>
      <c r="B85" s="35">
        <f t="shared" ca="1" si="7"/>
        <v>5.8848420658760614E-2</v>
      </c>
      <c r="C85" s="1">
        <f t="shared" ca="1" si="8"/>
        <v>3.383252113450701</v>
      </c>
      <c r="D85" s="1">
        <f t="shared" ca="1" si="9"/>
        <v>3.383252113450701</v>
      </c>
      <c r="E85" s="37">
        <f t="shared" ca="1" si="5"/>
        <v>0.6515469844695132</v>
      </c>
    </row>
    <row r="86" spans="1:5" x14ac:dyDescent="0.25">
      <c r="A86" s="34">
        <f t="shared" si="6"/>
        <v>7.3999999999999897</v>
      </c>
      <c r="B86" s="35">
        <f t="shared" ca="1" si="7"/>
        <v>0.39722369182469291</v>
      </c>
      <c r="C86" s="1">
        <f t="shared" ca="1" si="8"/>
        <v>3.3842533098679448</v>
      </c>
      <c r="D86" s="1">
        <f t="shared" ca="1" si="9"/>
        <v>3.3842533098679448</v>
      </c>
      <c r="E86" s="37">
        <f t="shared" ca="1" si="5"/>
        <v>-0.6315230561246401</v>
      </c>
    </row>
    <row r="87" spans="1:5" x14ac:dyDescent="0.25">
      <c r="A87" s="34">
        <f t="shared" si="6"/>
        <v>7.4999999999999893</v>
      </c>
      <c r="B87" s="35">
        <f t="shared" ca="1" si="7"/>
        <v>0.72926356047418162</v>
      </c>
      <c r="C87" s="1">
        <f t="shared" ca="1" si="8"/>
        <v>3.256544063121829</v>
      </c>
      <c r="D87" s="1">
        <f t="shared" ca="1" si="9"/>
        <v>3.256544063121829</v>
      </c>
      <c r="E87" s="37">
        <f t="shared" ca="1" si="5"/>
        <v>-1.9226618787976744</v>
      </c>
    </row>
    <row r="88" spans="1:5" x14ac:dyDescent="0.25">
      <c r="A88" s="34">
        <f t="shared" si="6"/>
        <v>7.599999999999989</v>
      </c>
      <c r="B88" s="35">
        <f t="shared" ca="1" si="7"/>
        <v>1.0421812760163252</v>
      </c>
      <c r="C88" s="1">
        <f t="shared" ca="1" si="8"/>
        <v>3.00181024772104</v>
      </c>
      <c r="D88" s="1">
        <f t="shared" ca="1" si="9"/>
        <v>3.00181024772104</v>
      </c>
      <c r="E88" s="37">
        <f t="shared" ca="1" si="5"/>
        <v>-3.1720144292181072</v>
      </c>
    </row>
    <row r="89" spans="1:5" x14ac:dyDescent="0.25">
      <c r="A89" s="34">
        <f t="shared" si="6"/>
        <v>7.6999999999999886</v>
      </c>
      <c r="B89" s="35">
        <f t="shared" ca="1" si="7"/>
        <v>1.3236068109605099</v>
      </c>
      <c r="C89" s="1">
        <f t="shared" ca="1" si="8"/>
        <v>2.6267004511626544</v>
      </c>
      <c r="D89" s="1">
        <f t="shared" ca="1" si="9"/>
        <v>2.6267004511626544</v>
      </c>
      <c r="E89" s="37">
        <f t="shared" ca="1" si="5"/>
        <v>-4.3301815019496086</v>
      </c>
    </row>
    <row r="90" spans="1:5" x14ac:dyDescent="0.25">
      <c r="A90" s="34">
        <f t="shared" si="6"/>
        <v>7.7999999999999883</v>
      </c>
      <c r="B90" s="35">
        <f t="shared" ca="1" si="7"/>
        <v>1.5620759689489709</v>
      </c>
      <c r="C90" s="1">
        <f t="shared" ca="1" si="8"/>
        <v>2.1426827086065634</v>
      </c>
      <c r="D90" s="1">
        <f t="shared" ca="1" si="9"/>
        <v>2.1426827086065634</v>
      </c>
      <c r="E90" s="37">
        <f t="shared" ca="1" si="5"/>
        <v>-5.3501733491722092</v>
      </c>
    </row>
    <row r="91" spans="1:5" x14ac:dyDescent="0.25">
      <c r="A91" s="34">
        <f t="shared" si="6"/>
        <v>7.8999999999999879</v>
      </c>
      <c r="B91" s="35">
        <f t="shared" ca="1" si="7"/>
        <v>1.7474955319179746</v>
      </c>
      <c r="C91" s="1">
        <f t="shared" ca="1" si="8"/>
        <v>1.5657085507735076</v>
      </c>
      <c r="D91" s="1">
        <f t="shared" ca="1" si="9"/>
        <v>1.5657085507735076</v>
      </c>
      <c r="E91" s="37">
        <f t="shared" ca="1" si="5"/>
        <v>-6.1893098074889057</v>
      </c>
    </row>
    <row r="92" spans="1:5" x14ac:dyDescent="0.25">
      <c r="A92" s="34">
        <f t="shared" si="6"/>
        <v>7.9999999999999876</v>
      </c>
      <c r="B92" s="35">
        <f t="shared" ca="1" si="7"/>
        <v>1.8715656366662827</v>
      </c>
      <c r="C92" s="1">
        <f t="shared" ca="1" si="8"/>
        <v>0.91569354419265492</v>
      </c>
      <c r="D92" s="1">
        <f t="shared" ca="1" si="9"/>
        <v>0.91569354419265492</v>
      </c>
      <c r="E92" s="37">
        <f t="shared" ca="1" si="5"/>
        <v>-6.8109903241281469</v>
      </c>
    </row>
    <row r="93" spans="1:5" x14ac:dyDescent="0.25">
      <c r="A93" s="34">
        <f t="shared" si="6"/>
        <v>8.0999999999999872</v>
      </c>
      <c r="B93" s="35">
        <f t="shared" ca="1" si="7"/>
        <v>1.9281418627744058</v>
      </c>
      <c r="C93" s="1">
        <f t="shared" ca="1" si="8"/>
        <v>0.21583097796980455</v>
      </c>
      <c r="D93" s="1">
        <f t="shared" ca="1" si="9"/>
        <v>0.21583097796980455</v>
      </c>
      <c r="E93" s="37">
        <f t="shared" ca="1" si="5"/>
        <v>-7.1862610003288587</v>
      </c>
    </row>
    <row r="94" spans="1:5" x14ac:dyDescent="0.25">
      <c r="A94" s="34">
        <f t="shared" si="6"/>
        <v>8.1999999999999869</v>
      </c>
      <c r="B94" s="35">
        <f t="shared" ca="1" si="7"/>
        <v>1.9135215268463457</v>
      </c>
      <c r="C94" s="1">
        <f t="shared" ca="1" si="8"/>
        <v>-0.50823769653100703</v>
      </c>
      <c r="D94" s="1">
        <f t="shared" ca="1" si="9"/>
        <v>-0.50823769653100703</v>
      </c>
      <c r="E94" s="37">
        <f t="shared" ca="1" si="5"/>
        <v>-7.2951124896873711</v>
      </c>
    </row>
    <row r="95" spans="1:5" x14ac:dyDescent="0.25">
      <c r="A95" s="34">
        <f t="shared" si="6"/>
        <v>8.2999999999999865</v>
      </c>
      <c r="B95" s="35">
        <f t="shared" ca="1" si="7"/>
        <v>1.8266413457874155</v>
      </c>
      <c r="C95" s="1">
        <f t="shared" ca="1" si="8"/>
        <v>-1.2293659246475963</v>
      </c>
      <c r="D95" s="1">
        <f t="shared" ca="1" si="9"/>
        <v>-1.2293659246475963</v>
      </c>
      <c r="E95" s="37">
        <f t="shared" ca="1" si="5"/>
        <v>-7.1274520726444122</v>
      </c>
    </row>
    <row r="96" spans="1:5" x14ac:dyDescent="0.25">
      <c r="A96" s="34">
        <f t="shared" si="6"/>
        <v>8.3999999999999861</v>
      </c>
      <c r="B96" s="35">
        <f t="shared" ca="1" si="7"/>
        <v>1.6691768602896733</v>
      </c>
      <c r="C96" s="1">
        <f t="shared" ca="1" si="8"/>
        <v>-1.9199237853072506</v>
      </c>
      <c r="D96" s="1">
        <f t="shared" ca="1" si="9"/>
        <v>-1.9199237853072506</v>
      </c>
      <c r="E96" s="37">
        <f t="shared" ca="1" si="5"/>
        <v>-6.6837051405486756</v>
      </c>
    </row>
    <row r="97" spans="1:5" x14ac:dyDescent="0.25">
      <c r="A97" s="34">
        <f t="shared" si="6"/>
        <v>8.4999999999999858</v>
      </c>
      <c r="B97" s="35">
        <f t="shared" ca="1" si="7"/>
        <v>1.4455376808408624</v>
      </c>
      <c r="C97" s="1">
        <f t="shared" ca="1" si="8"/>
        <v>-2.5528598036689649</v>
      </c>
      <c r="D97" s="1">
        <f t="shared" ca="1" si="9"/>
        <v>-2.5528598036689649</v>
      </c>
      <c r="E97" s="37">
        <f t="shared" ca="1" si="5"/>
        <v>-5.9750152266856107</v>
      </c>
    </row>
    <row r="98" spans="1:5" x14ac:dyDescent="0.25">
      <c r="A98" s="34">
        <f t="shared" si="6"/>
        <v>8.5999999999999854</v>
      </c>
      <c r="B98" s="35">
        <f t="shared" ca="1" si="7"/>
        <v>1.1627565946731846</v>
      </c>
      <c r="C98" s="1">
        <f t="shared" ca="1" si="8"/>
        <v>-3.1027619196845908</v>
      </c>
      <c r="D98" s="1">
        <f t="shared" ca="1" si="9"/>
        <v>-3.1027619196845908</v>
      </c>
      <c r="E98" s="37">
        <f t="shared" ca="1" si="5"/>
        <v>-5.023027093626907</v>
      </c>
    </row>
    <row r="99" spans="1:5" x14ac:dyDescent="0.25">
      <c r="A99" s="34">
        <f t="shared" si="6"/>
        <v>8.6999999999999851</v>
      </c>
      <c r="B99" s="35">
        <f t="shared" ca="1" si="7"/>
        <v>0.83027470088104804</v>
      </c>
      <c r="C99" s="1">
        <f t="shared" ca="1" si="8"/>
        <v>-3.5468759561581402</v>
      </c>
      <c r="D99" s="1">
        <f t="shared" ca="1" si="9"/>
        <v>-3.5468759561581402</v>
      </c>
      <c r="E99" s="37">
        <f t="shared" ca="1" si="5"/>
        <v>-3.8592536358440817</v>
      </c>
    </row>
    <row r="100" spans="1:5" x14ac:dyDescent="0.25">
      <c r="A100" s="34">
        <f t="shared" si="6"/>
        <v>8.7999999999999847</v>
      </c>
      <c r="B100" s="35">
        <f t="shared" ca="1" si="7"/>
        <v>0.45962886155219973</v>
      </c>
      <c r="C100" s="1">
        <f t="shared" ca="1" si="8"/>
        <v>-3.8660408304188265</v>
      </c>
      <c r="D100" s="1">
        <f t="shared" ca="1" si="9"/>
        <v>-3.8660408304188265</v>
      </c>
      <c r="E100" s="37">
        <f t="shared" ca="1" si="5"/>
        <v>-2.5240438493696429</v>
      </c>
    </row>
    <row r="101" spans="1:5" x14ac:dyDescent="0.25">
      <c r="A101" s="34">
        <f t="shared" si="6"/>
        <v>8.8999999999999844</v>
      </c>
      <c r="B101" s="35">
        <f t="shared" ca="1" si="7"/>
        <v>6.40517058797897E-2</v>
      </c>
      <c r="C101" s="1">
        <f t="shared" ca="1" si="8"/>
        <v>-4.0455022830293732</v>
      </c>
      <c r="D101" s="1">
        <f t="shared" ca="1" si="9"/>
        <v>-4.0455022830293732</v>
      </c>
      <c r="E101" s="37">
        <f t="shared" ca="1" si="5"/>
        <v>-1.0651852028412965</v>
      </c>
    </row>
    <row r="102" spans="1:5" x14ac:dyDescent="0.25">
      <c r="A102" s="34">
        <f t="shared" si="6"/>
        <v>8.999999999999984</v>
      </c>
      <c r="B102" s="35">
        <f t="shared" ca="1" si="7"/>
        <v>-0.34200195735453015</v>
      </c>
      <c r="C102" s="1">
        <f t="shared" ca="1" si="8"/>
        <v>-4.0755709816570231</v>
      </c>
      <c r="D102" s="1">
        <f t="shared" ca="1" si="9"/>
        <v>-4.0755709816570231</v>
      </c>
      <c r="E102" s="37">
        <f t="shared" ca="1" si="5"/>
        <v>0.46381123028829041</v>
      </c>
    </row>
    <row r="103" spans="1:5" x14ac:dyDescent="0.25">
      <c r="A103" s="34">
        <f t="shared" si="6"/>
        <v>9.0999999999999837</v>
      </c>
      <c r="B103" s="35">
        <f t="shared" ca="1" si="7"/>
        <v>-0.74338532453355322</v>
      </c>
      <c r="C103" s="1">
        <f t="shared" ca="1" si="8"/>
        <v>-3.9520963619234371</v>
      </c>
      <c r="D103" s="1">
        <f t="shared" ca="1" si="9"/>
        <v>-3.9520963619234371</v>
      </c>
      <c r="E103" s="37">
        <f t="shared" ca="1" si="5"/>
        <v>2.0056811643834327</v>
      </c>
    </row>
    <row r="104" spans="1:5" x14ac:dyDescent="0.25">
      <c r="A104" s="34">
        <f t="shared" si="6"/>
        <v>9.1999999999999833</v>
      </c>
      <c r="B104" s="35">
        <f t="shared" ca="1" si="7"/>
        <v>-1.1248268573684579</v>
      </c>
      <c r="C104" s="1">
        <f t="shared" ca="1" si="8"/>
        <v>-3.6767342947746573</v>
      </c>
      <c r="D104" s="1">
        <f t="shared" ca="1" si="9"/>
        <v>-3.6767342947746573</v>
      </c>
      <c r="E104" s="37">
        <f t="shared" ca="1" si="5"/>
        <v>3.5015601785921628</v>
      </c>
    </row>
    <row r="105" spans="1:5" x14ac:dyDescent="0.25">
      <c r="A105" s="34">
        <f t="shared" si="6"/>
        <v>9.2999999999999829</v>
      </c>
      <c r="B105" s="35">
        <f t="shared" ca="1" si="7"/>
        <v>-1.4715132908629196</v>
      </c>
      <c r="C105" s="1">
        <f t="shared" ca="1" si="8"/>
        <v>-3.2569943751145756</v>
      </c>
      <c r="D105" s="1">
        <f t="shared" ca="1" si="9"/>
        <v>-3.2569943751145756</v>
      </c>
      <c r="E105" s="37">
        <f t="shared" ca="1" si="5"/>
        <v>4.8932382146094708</v>
      </c>
    </row>
    <row r="106" spans="1:5" x14ac:dyDescent="0.25">
      <c r="A106" s="34">
        <f t="shared" si="6"/>
        <v>9.3999999999999826</v>
      </c>
      <c r="B106" s="35">
        <f t="shared" ca="1" si="7"/>
        <v>-1.7696660606198673</v>
      </c>
      <c r="C106" s="1">
        <f t="shared" ca="1" si="8"/>
        <v>-2.7060610200243786</v>
      </c>
      <c r="D106" s="1">
        <f t="shared" ca="1" si="9"/>
        <v>-2.7060610200243786</v>
      </c>
      <c r="E106" s="37">
        <f t="shared" ca="1" si="5"/>
        <v>6.1254288871944702</v>
      </c>
    </row>
    <row r="107" spans="1:5" x14ac:dyDescent="0.25">
      <c r="A107" s="34">
        <f t="shared" si="6"/>
        <v>9.4999999999999822</v>
      </c>
      <c r="B107" s="35">
        <f t="shared" ca="1" si="7"/>
        <v>-2.0070886779257577</v>
      </c>
      <c r="C107" s="1">
        <f t="shared" ca="1" si="8"/>
        <v>-2.0423913260934325</v>
      </c>
      <c r="D107" s="1">
        <f t="shared" ca="1" si="9"/>
        <v>-2.0423913260934325</v>
      </c>
      <c r="E107" s="37">
        <f t="shared" ca="1" si="5"/>
        <v>7.1479649914244519</v>
      </c>
    </row>
    <row r="108" spans="1:5" x14ac:dyDescent="0.25">
      <c r="A108" s="34">
        <f t="shared" si="6"/>
        <v>9.5999999999999819</v>
      </c>
      <c r="B108" s="35">
        <f t="shared" ca="1" si="7"/>
        <v>-2.1736633154356664</v>
      </c>
      <c r="C108" s="1">
        <f t="shared" ca="1" si="8"/>
        <v>-1.289101424104738</v>
      </c>
      <c r="D108" s="1">
        <f t="shared" ca="1" si="9"/>
        <v>-1.289101424104738</v>
      </c>
      <c r="E108" s="37">
        <f t="shared" ca="1" si="5"/>
        <v>7.9178330483494408</v>
      </c>
    </row>
    <row r="109" spans="1:5" x14ac:dyDescent="0.25">
      <c r="A109" s="34">
        <f t="shared" si="6"/>
        <v>9.6999999999999815</v>
      </c>
      <c r="B109" s="35">
        <f t="shared" ca="1" si="7"/>
        <v>-2.2617764636066418</v>
      </c>
      <c r="C109" s="1">
        <f t="shared" ca="1" si="8"/>
        <v>-0.47316153931476568</v>
      </c>
      <c r="D109" s="1">
        <f t="shared" ca="1" si="9"/>
        <v>-0.47316153931476568</v>
      </c>
      <c r="E109" s="37">
        <f t="shared" ca="1" si="5"/>
        <v>8.4009646474500066</v>
      </c>
    </row>
    <row r="110" spans="1:5" x14ac:dyDescent="0.25">
      <c r="A110" s="34">
        <f t="shared" si="6"/>
        <v>9.7999999999999812</v>
      </c>
      <c r="B110" s="35">
        <f t="shared" ca="1" si="7"/>
        <v>-2.2666559294788509</v>
      </c>
      <c r="C110" s="1">
        <f t="shared" ca="1" si="8"/>
        <v>0.37557222187058559</v>
      </c>
      <c r="D110" s="1">
        <f t="shared" ca="1" si="9"/>
        <v>0.37557222187058559</v>
      </c>
      <c r="E110" s="37">
        <f t="shared" ca="1" si="5"/>
        <v>8.5737105762570174</v>
      </c>
    </row>
    <row r="111" spans="1:5" x14ac:dyDescent="0.25">
      <c r="A111" s="34">
        <f t="shared" si="6"/>
        <v>9.8999999999999808</v>
      </c>
      <c r="B111" s="35">
        <f t="shared" ca="1" si="7"/>
        <v>-2.1866045933574028</v>
      </c>
      <c r="C111" s="1">
        <f t="shared" ca="1" si="8"/>
        <v>1.225454500558377</v>
      </c>
      <c r="D111" s="1">
        <f t="shared" ca="1" si="9"/>
        <v>1.225454500558377</v>
      </c>
      <c r="E111" s="37">
        <f t="shared" ca="1" si="5"/>
        <v>8.423934997498808</v>
      </c>
    </row>
    <row r="112" spans="1:5" x14ac:dyDescent="0.25">
      <c r="A112" s="34">
        <f t="shared" si="6"/>
        <v>9.9999999999999805</v>
      </c>
      <c r="B112" s="35">
        <f t="shared" ca="1" si="7"/>
        <v>-2.0231201037053661</v>
      </c>
      <c r="C112" s="1">
        <f t="shared" ca="1" si="8"/>
        <v>2.0442352924823544</v>
      </c>
      <c r="D112" s="1">
        <f t="shared" ca="1" si="9"/>
        <v>2.0442352924823544</v>
      </c>
      <c r="E112" s="37">
        <f t="shared" ca="1" si="5"/>
        <v>7.9516808409807433</v>
      </c>
    </row>
    <row r="113" spans="1:5" x14ac:dyDescent="0.25">
      <c r="A113" s="34">
        <f t="shared" si="6"/>
        <v>10.09999999999998</v>
      </c>
      <c r="B113" s="35">
        <f t="shared" ca="1" si="7"/>
        <v>-1.7808939383293791</v>
      </c>
      <c r="C113" s="1">
        <f t="shared" ca="1" si="8"/>
        <v>2.8002880150373834</v>
      </c>
      <c r="D113" s="1">
        <f t="shared" ca="1" si="9"/>
        <v>2.8002880150373834</v>
      </c>
      <c r="E113" s="37">
        <f t="shared" ca="1" si="5"/>
        <v>7.1693736101198375</v>
      </c>
    </row>
    <row r="114" spans="1:5" x14ac:dyDescent="0.25">
      <c r="A114" s="34">
        <f t="shared" si="6"/>
        <v>10.19999999999998</v>
      </c>
      <c r="B114" s="35">
        <f t="shared" ca="1" si="7"/>
        <v>-1.4676878319008226</v>
      </c>
      <c r="C114" s="1">
        <f t="shared" ca="1" si="8"/>
        <v>3.4638341135337485</v>
      </c>
      <c r="D114" s="1">
        <f t="shared" ca="1" si="9"/>
        <v>3.4638341135337485</v>
      </c>
      <c r="E114" s="37">
        <f t="shared" ca="1" si="5"/>
        <v>6.1015483598074605</v>
      </c>
    </row>
    <row r="115" spans="1:5" x14ac:dyDescent="0.25">
      <c r="A115" s="34">
        <f t="shared" si="6"/>
        <v>10.299999999999979</v>
      </c>
      <c r="B115" s="35">
        <f t="shared" ca="1" si="7"/>
        <v>-1.094090292115427</v>
      </c>
      <c r="C115" s="1">
        <f t="shared" ca="1" si="8"/>
        <v>4.0081166821741636</v>
      </c>
      <c r="D115" s="1">
        <f t="shared" ca="1" si="9"/>
        <v>4.0081166821741636</v>
      </c>
      <c r="E115" s="37">
        <f t="shared" ca="1" si="5"/>
        <v>4.7841030130008395</v>
      </c>
    </row>
    <row r="116" spans="1:5" x14ac:dyDescent="0.25">
      <c r="A116" s="34">
        <f t="shared" si="6"/>
        <v>10.399999999999979</v>
      </c>
      <c r="B116" s="35">
        <f t="shared" ca="1" si="7"/>
        <v>-0.67316061702666363</v>
      </c>
      <c r="C116" s="1">
        <f t="shared" ca="1" si="8"/>
        <v>4.4104768196011017</v>
      </c>
      <c r="D116" s="1">
        <f t="shared" ca="1" si="9"/>
        <v>4.4104768196011017</v>
      </c>
      <c r="E116" s="37">
        <f t="shared" ca="1" si="5"/>
        <v>3.2630997355379261</v>
      </c>
    </row>
    <row r="117" spans="1:5" x14ac:dyDescent="0.25">
      <c r="A117" s="34">
        <f t="shared" si="6"/>
        <v>10.499999999999979</v>
      </c>
      <c r="B117" s="35">
        <f t="shared" ca="1" si="7"/>
        <v>-0.21997230059118356</v>
      </c>
      <c r="C117" s="1">
        <f t="shared" ca="1" si="8"/>
        <v>4.6532895091084985</v>
      </c>
      <c r="D117" s="1">
        <f t="shared" ca="1" si="9"/>
        <v>4.6532895091084985</v>
      </c>
      <c r="E117" s="37">
        <f t="shared" ca="1" si="5"/>
        <v>1.5931540546100078</v>
      </c>
    </row>
    <row r="118" spans="1:5" x14ac:dyDescent="0.25">
      <c r="A118" s="34">
        <f t="shared" si="6"/>
        <v>10.599999999999978</v>
      </c>
      <c r="B118" s="35">
        <f t="shared" ca="1" si="7"/>
        <v>0.24892820563679724</v>
      </c>
      <c r="C118" s="1">
        <f t="shared" ca="1" si="8"/>
        <v>4.7247206154511172</v>
      </c>
      <c r="D118" s="1">
        <f t="shared" ca="1" si="9"/>
        <v>4.7247206154511172</v>
      </c>
      <c r="E118" s="37">
        <f t="shared" ca="1" si="5"/>
        <v>-0.1645319277576246</v>
      </c>
    </row>
    <row r="119" spans="1:5" x14ac:dyDescent="0.25">
      <c r="A119" s="34">
        <f t="shared" si="6"/>
        <v>10.699999999999978</v>
      </c>
      <c r="B119" s="35">
        <f t="shared" ca="1" si="7"/>
        <v>0.71612788441041841</v>
      </c>
      <c r="C119" s="1">
        <f t="shared" ca="1" si="8"/>
        <v>4.6192729600213056</v>
      </c>
      <c r="D119" s="1">
        <f t="shared" ca="1" si="9"/>
        <v>4.6192729600213056</v>
      </c>
      <c r="E119" s="37">
        <f t="shared" ca="1" si="5"/>
        <v>-1.9444211808385998</v>
      </c>
    </row>
    <row r="120" spans="1:5" x14ac:dyDescent="0.25">
      <c r="A120" s="34">
        <f t="shared" si="6"/>
        <v>10.799999999999978</v>
      </c>
      <c r="B120" s="35">
        <f t="shared" ca="1" si="7"/>
        <v>1.1639963897447732</v>
      </c>
      <c r="C120" s="1">
        <f t="shared" ca="1" si="8"/>
        <v>4.3380971466657874</v>
      </c>
      <c r="D120" s="1">
        <f t="shared" ca="1" si="9"/>
        <v>4.3380971466657874</v>
      </c>
      <c r="E120" s="37">
        <f t="shared" ca="1" si="5"/>
        <v>-3.6790950862717708</v>
      </c>
    </row>
    <row r="121" spans="1:5" x14ac:dyDescent="0.25">
      <c r="A121" s="34">
        <f t="shared" si="6"/>
        <v>10.899999999999977</v>
      </c>
      <c r="B121" s="35">
        <f t="shared" ca="1" si="7"/>
        <v>1.5753538260106419</v>
      </c>
      <c r="C121" s="1">
        <f t="shared" ca="1" si="8"/>
        <v>3.889051578651586</v>
      </c>
      <c r="D121" s="1">
        <f t="shared" ca="1" si="9"/>
        <v>3.889051578651586</v>
      </c>
      <c r="E121" s="37">
        <f t="shared" ca="1" si="5"/>
        <v>-5.3018162740122525</v>
      </c>
    </row>
    <row r="122" spans="1:5" x14ac:dyDescent="0.25">
      <c r="A122" s="34">
        <f t="shared" si="6"/>
        <v>10.999999999999977</v>
      </c>
      <c r="B122" s="35">
        <f t="shared" ca="1" si="7"/>
        <v>1.9341316852005843</v>
      </c>
      <c r="C122" s="1">
        <f t="shared" ca="1" si="8"/>
        <v>3.2865056051472634</v>
      </c>
      <c r="D122" s="1">
        <f t="shared" ca="1" si="9"/>
        <v>3.2865056051472634</v>
      </c>
      <c r="E122" s="37">
        <f t="shared" ca="1" si="5"/>
        <v>-6.7491031960741985</v>
      </c>
    </row>
    <row r="123" spans="1:5" x14ac:dyDescent="0.25">
      <c r="A123" s="34">
        <f t="shared" si="6"/>
        <v>11.099999999999977</v>
      </c>
      <c r="B123" s="35">
        <f t="shared" ca="1" si="7"/>
        <v>2.2260014455628006</v>
      </c>
      <c r="C123" s="1">
        <f t="shared" ca="1" si="8"/>
        <v>2.5508896020970635</v>
      </c>
      <c r="D123" s="1">
        <f t="shared" ca="1" si="9"/>
        <v>2.5508896020970635</v>
      </c>
      <c r="E123" s="37">
        <f t="shared" ca="1" si="5"/>
        <v>-7.9632168649297963</v>
      </c>
    </row>
    <row r="124" spans="1:5" x14ac:dyDescent="0.25">
      <c r="A124" s="34">
        <f t="shared" si="6"/>
        <v>11.199999999999976</v>
      </c>
      <c r="B124" s="35">
        <f t="shared" ca="1" si="7"/>
        <v>2.4389462080415214</v>
      </c>
      <c r="C124" s="1">
        <f t="shared" ca="1" si="8"/>
        <v>1.7080056474773553</v>
      </c>
      <c r="D124" s="1">
        <f t="shared" ca="1" si="9"/>
        <v>1.7080056474773553</v>
      </c>
      <c r="E124" s="37">
        <f t="shared" ca="1" si="5"/>
        <v>-8.8944622274643663</v>
      </c>
    </row>
    <row r="125" spans="1:5" x14ac:dyDescent="0.25">
      <c r="A125" s="34">
        <f t="shared" si="6"/>
        <v>11.299999999999976</v>
      </c>
      <c r="B125" s="35">
        <f t="shared" ca="1" si="7"/>
        <v>2.5637525859240631</v>
      </c>
      <c r="C125" s="1">
        <f t="shared" ca="1" si="8"/>
        <v>0.78812191017347422</v>
      </c>
      <c r="D125" s="1">
        <f t="shared" ca="1" si="9"/>
        <v>0.78812191017347422</v>
      </c>
      <c r="E125" s="37">
        <f t="shared" ca="1" si="5"/>
        <v>-9.503212518613255</v>
      </c>
    </row>
    <row r="126" spans="1:5" x14ac:dyDescent="0.25">
      <c r="A126" s="34">
        <f t="shared" si="6"/>
        <v>11.399999999999975</v>
      </c>
      <c r="B126" s="35">
        <f t="shared" ca="1" si="7"/>
        <v>2.594402809495258</v>
      </c>
      <c r="C126" s="1">
        <f t="shared" ca="1" si="8"/>
        <v>-0.17511743874957741</v>
      </c>
      <c r="D126" s="1">
        <f t="shared" ca="1" si="9"/>
        <v>-0.17511743874957741</v>
      </c>
      <c r="E126" s="37">
        <f t="shared" ca="1" si="5"/>
        <v>-9.7615744598477772</v>
      </c>
    </row>
    <row r="127" spans="1:5" x14ac:dyDescent="0.25">
      <c r="A127" s="34">
        <f t="shared" si="6"/>
        <v>11.499999999999975</v>
      </c>
      <c r="B127" s="35">
        <f t="shared" ca="1" si="7"/>
        <v>2.5283505669455111</v>
      </c>
      <c r="C127" s="1">
        <f t="shared" ca="1" si="8"/>
        <v>-1.1459274122453595</v>
      </c>
      <c r="D127" s="1">
        <f t="shared" ca="1" si="9"/>
        <v>-1.1459274122453595</v>
      </c>
      <c r="E127" s="37">
        <f t="shared" ca="1" si="5"/>
        <v>-9.6546250100678606</v>
      </c>
    </row>
    <row r="128" spans="1:5" x14ac:dyDescent="0.25">
      <c r="A128" s="34">
        <f t="shared" si="6"/>
        <v>11.599999999999975</v>
      </c>
      <c r="B128" s="35">
        <f t="shared" ca="1" si="7"/>
        <v>2.3666683479962973</v>
      </c>
      <c r="C128" s="1">
        <f t="shared" ca="1" si="8"/>
        <v>-2.0877169667389182</v>
      </c>
      <c r="D128" s="1">
        <f t="shared" ca="1" si="9"/>
        <v>-2.0877169667389182</v>
      </c>
      <c r="E128" s="37">
        <f t="shared" ca="1" si="5"/>
        <v>-9.1811660798033117</v>
      </c>
    </row>
    <row r="129" spans="1:5" x14ac:dyDescent="0.25">
      <c r="A129" s="34">
        <f t="shared" si="6"/>
        <v>11.699999999999974</v>
      </c>
      <c r="B129" s="35">
        <f t="shared" ca="1" si="7"/>
        <v>2.1140588321075207</v>
      </c>
      <c r="C129" s="1">
        <f t="shared" ca="1" si="8"/>
        <v>-2.9644733510366157</v>
      </c>
      <c r="D129" s="1">
        <f t="shared" ca="1" si="9"/>
        <v>-2.9644733510366157</v>
      </c>
      <c r="E129" s="37">
        <f t="shared" ca="1" si="5"/>
        <v>-8.3539616061506408</v>
      </c>
    </row>
    <row r="130" spans="1:5" x14ac:dyDescent="0.25">
      <c r="A130" s="34">
        <f t="shared" si="6"/>
        <v>11.799999999999974</v>
      </c>
      <c r="B130" s="35">
        <f t="shared" ca="1" si="7"/>
        <v>1.7787279905340589</v>
      </c>
      <c r="C130" s="1">
        <f t="shared" ca="1" si="8"/>
        <v>-3.7421434804326195</v>
      </c>
      <c r="D130" s="1">
        <f t="shared" ca="1" si="9"/>
        <v>-3.7421434804326195</v>
      </c>
      <c r="E130" s="37">
        <f t="shared" ca="1" si="5"/>
        <v>-7.1994409817694311</v>
      </c>
    </row>
    <row r="131" spans="1:5" x14ac:dyDescent="0.25">
      <c r="A131" s="34">
        <f t="shared" si="6"/>
        <v>11.899999999999974</v>
      </c>
      <c r="B131" s="35">
        <f t="shared" ca="1" si="7"/>
        <v>1.3721228568063055</v>
      </c>
      <c r="C131" s="1">
        <f t="shared" ca="1" si="8"/>
        <v>-4.3899591941224463</v>
      </c>
      <c r="D131" s="1">
        <f t="shared" ca="1" si="9"/>
        <v>-4.3899591941224463</v>
      </c>
      <c r="E131" s="37">
        <f t="shared" ca="1" si="5"/>
        <v>-5.7568732920271</v>
      </c>
    </row>
    <row r="132" spans="1:5" x14ac:dyDescent="0.25">
      <c r="A132" s="34">
        <f t="shared" si="6"/>
        <v>11.999999999999973</v>
      </c>
      <c r="B132" s="35">
        <f t="shared" ca="1" si="7"/>
        <v>0.90854216078099737</v>
      </c>
      <c r="C132" s="1">
        <f t="shared" ca="1" si="8"/>
        <v>-4.881654726383716</v>
      </c>
      <c r="D132" s="1">
        <f t="shared" ca="1" si="9"/>
        <v>-4.881654726383716</v>
      </c>
      <c r="E132" s="37">
        <f t="shared" ca="1" si="5"/>
        <v>-4.0770373531982873</v>
      </c>
    </row>
    <row r="133" spans="1:5" x14ac:dyDescent="0.25">
      <c r="A133" s="34">
        <f t="shared" si="6"/>
        <v>12.099999999999973</v>
      </c>
      <c r="B133" s="35">
        <f t="shared" ca="1" si="7"/>
        <v>0.40463301385285944</v>
      </c>
      <c r="C133" s="1">
        <f t="shared" ca="1" si="8"/>
        <v>-5.1965282121790413</v>
      </c>
      <c r="D133" s="1">
        <f t="shared" ca="1" si="9"/>
        <v>-5.1965282121790413</v>
      </c>
      <c r="E133" s="37">
        <f t="shared" ca="1" si="5"/>
        <v>-2.2204323627082245</v>
      </c>
    </row>
    <row r="134" spans="1:5" x14ac:dyDescent="0.25">
      <c r="A134" s="34">
        <f t="shared" si="6"/>
        <v>12.199999999999973</v>
      </c>
      <c r="B134" s="35">
        <f t="shared" ca="1" si="7"/>
        <v>-0.1212086189971282</v>
      </c>
      <c r="C134" s="1">
        <f t="shared" ca="1" si="8"/>
        <v>-5.3203044448207129</v>
      </c>
      <c r="D134" s="1">
        <f t="shared" ca="1" si="9"/>
        <v>-5.3203044448207129</v>
      </c>
      <c r="E134" s="37">
        <f t="shared" ca="1" si="5"/>
        <v>-0.25509229012520995</v>
      </c>
    </row>
    <row r="135" spans="1:5" x14ac:dyDescent="0.25">
      <c r="A135" s="34">
        <f t="shared" si="6"/>
        <v>12.299999999999972</v>
      </c>
      <c r="B135" s="35">
        <f t="shared" ca="1" si="7"/>
        <v>-0.64951200226743622</v>
      </c>
      <c r="C135" s="1">
        <f t="shared" ca="1" si="8"/>
        <v>-5.245763220585447</v>
      </c>
      <c r="D135" s="1">
        <f t="shared" ca="1" si="9"/>
        <v>-5.245763220585447</v>
      </c>
      <c r="E135" s="37">
        <f t="shared" ca="1" si="5"/>
        <v>1.7459167748305235</v>
      </c>
    </row>
    <row r="136" spans="1:5" x14ac:dyDescent="0.25">
      <c r="A136" s="34">
        <f t="shared" si="6"/>
        <v>12.399999999999972</v>
      </c>
      <c r="B136" s="35">
        <f t="shared" ca="1" si="7"/>
        <v>-1.1604554726527276</v>
      </c>
      <c r="C136" s="1">
        <f t="shared" ca="1" si="8"/>
        <v>-4.973106187120381</v>
      </c>
      <c r="D136" s="1">
        <f t="shared" ca="1" si="9"/>
        <v>-4.973106187120381</v>
      </c>
      <c r="E136" s="37">
        <f t="shared" ca="1" si="5"/>
        <v>3.7072238944707956</v>
      </c>
    </row>
    <row r="137" spans="1:5" x14ac:dyDescent="0.25">
      <c r="A137" s="34">
        <f t="shared" si="6"/>
        <v>12.499999999999972</v>
      </c>
      <c r="B137" s="35">
        <f t="shared" ca="1" si="7"/>
        <v>-1.6346130241961681</v>
      </c>
      <c r="C137" s="1">
        <f t="shared" ca="1" si="8"/>
        <v>-4.5100448437484273</v>
      </c>
      <c r="D137" s="1">
        <f t="shared" ca="1" si="9"/>
        <v>-4.5100448437484273</v>
      </c>
      <c r="E137" s="37">
        <f t="shared" ca="1" si="5"/>
        <v>5.5540029729682789</v>
      </c>
    </row>
    <row r="138" spans="1:5" x14ac:dyDescent="0.25">
      <c r="A138" s="34">
        <f t="shared" si="6"/>
        <v>12.599999999999971</v>
      </c>
      <c r="B138" s="35">
        <f t="shared" ca="1" si="7"/>
        <v>-2.0536954093224535</v>
      </c>
      <c r="C138" s="1">
        <f t="shared" ca="1" si="8"/>
        <v>-3.871602858777285</v>
      </c>
      <c r="D138" s="1">
        <f t="shared" ca="1" si="9"/>
        <v>-3.871602858777285</v>
      </c>
      <c r="E138" s="37">
        <f t="shared" ca="1" si="5"/>
        <v>7.2148367264545659</v>
      </c>
    </row>
    <row r="139" spans="1:5" x14ac:dyDescent="0.25">
      <c r="A139" s="34">
        <f t="shared" si="6"/>
        <v>12.699999999999971</v>
      </c>
      <c r="B139" s="35">
        <f t="shared" ca="1" si="7"/>
        <v>-2.4012573909363528</v>
      </c>
      <c r="C139" s="1">
        <f t="shared" ca="1" si="8"/>
        <v>-3.0796367735006989</v>
      </c>
      <c r="D139" s="1">
        <f t="shared" ca="1" si="9"/>
        <v>-3.0796367735006989</v>
      </c>
      <c r="E139" s="37">
        <f t="shared" ca="1" si="5"/>
        <v>8.6244849790771525</v>
      </c>
    </row>
    <row r="140" spans="1:5" x14ac:dyDescent="0.25">
      <c r="A140" s="34">
        <f t="shared" si="6"/>
        <v>12.799999999999971</v>
      </c>
      <c r="B140" s="35">
        <f t="shared" ca="1" si="7"/>
        <v>-2.6633437314705009</v>
      </c>
      <c r="C140" s="1">
        <f t="shared" ca="1" si="8"/>
        <v>-2.1620900371822604</v>
      </c>
      <c r="D140" s="1">
        <f t="shared" ca="1" si="9"/>
        <v>-2.1620900371822604</v>
      </c>
      <c r="E140" s="37">
        <f t="shared" ref="E140:E203" ca="1" si="10" xml:space="preserve"> -R_x/L_x*D140-1/(L_x*C_x)*B140+E0_x*SIN(w_x*A140)/L_x</f>
        <v>9.726449747291614</v>
      </c>
    </row>
    <row r="141" spans="1:5" x14ac:dyDescent="0.25">
      <c r="A141" s="34">
        <f t="shared" si="6"/>
        <v>12.89999999999997</v>
      </c>
      <c r="B141" s="35">
        <f t="shared" ca="1" si="7"/>
        <v>-2.8290485203780884</v>
      </c>
      <c r="C141" s="1">
        <f t="shared" ca="1" si="8"/>
        <v>-1.1520057409694917</v>
      </c>
      <c r="D141" s="1">
        <f t="shared" ca="1" si="9"/>
        <v>-1.1520057409694917</v>
      </c>
      <c r="E141" s="37">
        <f t="shared" ca="1" si="10"/>
        <v>10.475236176963762</v>
      </c>
    </row>
    <row r="142" spans="1:5" x14ac:dyDescent="0.25">
      <c r="A142" s="34">
        <f t="shared" ref="A142:A205" si="11">A141+$A$9</f>
        <v>12.99999999999997</v>
      </c>
      <c r="B142" s="35">
        <f t="shared" ref="B142:B205" ca="1" si="12">IF($B$7="n",$B$12,$A$9/2*(C142+C141)+B141)</f>
        <v>-2.8909654565955241</v>
      </c>
      <c r="C142" s="1">
        <f t="shared" ref="C142:C205" ca="1" si="13">D142</f>
        <v>-8.6332983379224126E-2</v>
      </c>
      <c r="D142" s="1">
        <f t="shared" ref="D142:D205" ca="1" si="14">IF($B$7="n",$D$12,$A$9/2*(E142+E141)+D141)</f>
        <v>-8.6332983379224126E-2</v>
      </c>
      <c r="E142" s="37">
        <f t="shared" ca="1" si="10"/>
        <v>10.838218974841588</v>
      </c>
    </row>
    <row r="143" spans="1:5" x14ac:dyDescent="0.25">
      <c r="A143" s="34">
        <f t="shared" si="11"/>
        <v>13.099999999999969</v>
      </c>
      <c r="B143" s="35">
        <f t="shared" ca="1" si="12"/>
        <v>-2.8455106120963825</v>
      </c>
      <c r="C143" s="1">
        <f t="shared" ca="1" si="13"/>
        <v>0.9954298733620548</v>
      </c>
      <c r="D143" s="1">
        <f t="shared" ca="1" si="14"/>
        <v>0.9954298733620548</v>
      </c>
      <c r="E143" s="37">
        <f t="shared" ca="1" si="10"/>
        <v>10.797038159983988</v>
      </c>
    </row>
    <row r="144" spans="1:5" x14ac:dyDescent="0.25">
      <c r="A144" s="34">
        <f t="shared" si="11"/>
        <v>13.199999999999969</v>
      </c>
      <c r="B144" s="35">
        <f t="shared" ca="1" si="12"/>
        <v>-2.6931038662594413</v>
      </c>
      <c r="C144" s="1">
        <f t="shared" ca="1" si="13"/>
        <v>2.0527050433767702</v>
      </c>
      <c r="D144" s="1">
        <f t="shared" ca="1" si="14"/>
        <v>2.0527050433767702</v>
      </c>
      <c r="E144" s="37">
        <f t="shared" ca="1" si="10"/>
        <v>10.348465240310324</v>
      </c>
    </row>
    <row r="145" spans="1:5" x14ac:dyDescent="0.25">
      <c r="A145" s="34">
        <f t="shared" si="11"/>
        <v>13.299999999999969</v>
      </c>
      <c r="B145" s="35">
        <f t="shared" ca="1" si="12"/>
        <v>-2.4382004471766723</v>
      </c>
      <c r="C145" s="1">
        <f t="shared" ca="1" si="13"/>
        <v>3.0453633382786087</v>
      </c>
      <c r="D145" s="1">
        <f t="shared" ca="1" si="14"/>
        <v>3.0453633382786087</v>
      </c>
      <c r="E145" s="37">
        <f t="shared" ca="1" si="10"/>
        <v>9.504700657726449</v>
      </c>
    </row>
    <row r="146" spans="1:5" x14ac:dyDescent="0.25">
      <c r="A146" s="34">
        <f t="shared" si="11"/>
        <v>13.399999999999968</v>
      </c>
      <c r="B146" s="35">
        <f t="shared" ca="1" si="12"/>
        <v>-2.0891696496953158</v>
      </c>
      <c r="C146" s="1">
        <f t="shared" ca="1" si="13"/>
        <v>3.9352526113485196</v>
      </c>
      <c r="D146" s="1">
        <f t="shared" ca="1" si="14"/>
        <v>3.9352526113485196</v>
      </c>
      <c r="E146" s="37">
        <f t="shared" ca="1" si="10"/>
        <v>8.293084803671773</v>
      </c>
    </row>
    <row r="147" spans="1:5" x14ac:dyDescent="0.25">
      <c r="A147" s="34">
        <f t="shared" si="11"/>
        <v>13.499999999999968</v>
      </c>
      <c r="B147" s="35">
        <f t="shared" ca="1" si="12"/>
        <v>-1.6580236083693594</v>
      </c>
      <c r="C147" s="1">
        <f t="shared" ca="1" si="13"/>
        <v>4.6876682151706115</v>
      </c>
      <c r="D147" s="1">
        <f t="shared" ca="1" si="14"/>
        <v>4.6876682151706115</v>
      </c>
      <c r="E147" s="37">
        <f t="shared" ca="1" si="10"/>
        <v>6.7552272727700631</v>
      </c>
    </row>
    <row r="148" spans="1:5" x14ac:dyDescent="0.25">
      <c r="A148" s="34">
        <f t="shared" si="11"/>
        <v>13.599999999999968</v>
      </c>
      <c r="B148" s="35">
        <f t="shared" ca="1" si="12"/>
        <v>-1.1600047650709768</v>
      </c>
      <c r="C148" s="1">
        <f t="shared" ca="1" si="13"/>
        <v>5.2727086507970382</v>
      </c>
      <c r="D148" s="1">
        <f t="shared" ca="1" si="14"/>
        <v>5.2727086507970382</v>
      </c>
      <c r="E148" s="37">
        <f t="shared" ca="1" si="10"/>
        <v>4.9455814397584632</v>
      </c>
    </row>
    <row r="149" spans="1:5" x14ac:dyDescent="0.25">
      <c r="A149" s="34">
        <f t="shared" si="11"/>
        <v>13.699999999999967</v>
      </c>
      <c r="B149" s="35">
        <f t="shared" ca="1" si="12"/>
        <v>-0.61304616377207555</v>
      </c>
      <c r="C149" s="1">
        <f t="shared" ca="1" si="13"/>
        <v>5.6664633751809879</v>
      </c>
      <c r="D149" s="1">
        <f t="shared" ca="1" si="14"/>
        <v>5.6664633751809879</v>
      </c>
      <c r="E149" s="37">
        <f t="shared" ca="1" si="10"/>
        <v>2.9295130479205218</v>
      </c>
    </row>
    <row r="150" spans="1:5" x14ac:dyDescent="0.25">
      <c r="A150" s="34">
        <f t="shared" si="11"/>
        <v>13.799999999999967</v>
      </c>
      <c r="B150" s="35">
        <f t="shared" ca="1" si="12"/>
        <v>-3.712371502665579E-2</v>
      </c>
      <c r="C150" s="1">
        <f t="shared" ca="1" si="13"/>
        <v>5.8519855997274064</v>
      </c>
      <c r="D150" s="1">
        <f t="shared" ca="1" si="14"/>
        <v>5.8519855997274064</v>
      </c>
      <c r="E150" s="37">
        <f t="shared" ca="1" si="10"/>
        <v>0.78093144300784811</v>
      </c>
    </row>
    <row r="151" spans="1:5" x14ac:dyDescent="0.25">
      <c r="A151" s="34">
        <f t="shared" si="11"/>
        <v>13.899999999999967</v>
      </c>
      <c r="B151" s="35">
        <f t="shared" ca="1" si="12"/>
        <v>0.54647609752467963</v>
      </c>
      <c r="C151" s="1">
        <f t="shared" ca="1" si="13"/>
        <v>5.8200106512993033</v>
      </c>
      <c r="D151" s="1">
        <f t="shared" ca="1" si="14"/>
        <v>5.8200106512993033</v>
      </c>
      <c r="E151" s="37">
        <f t="shared" ca="1" si="10"/>
        <v>-1.420430411569912</v>
      </c>
    </row>
    <row r="152" spans="1:5" x14ac:dyDescent="0.25">
      <c r="A152" s="34">
        <f t="shared" si="11"/>
        <v>13.999999999999966</v>
      </c>
      <c r="B152" s="35">
        <f t="shared" ca="1" si="12"/>
        <v>1.1159461200153673</v>
      </c>
      <c r="C152" s="1">
        <f t="shared" ca="1" si="13"/>
        <v>5.5693897985144503</v>
      </c>
      <c r="D152" s="1">
        <f t="shared" ca="1" si="14"/>
        <v>5.5693897985144503</v>
      </c>
      <c r="E152" s="37">
        <f t="shared" ca="1" si="10"/>
        <v>-3.5919866441271489</v>
      </c>
    </row>
    <row r="153" spans="1:5" x14ac:dyDescent="0.25">
      <c r="A153" s="34">
        <f t="shared" si="11"/>
        <v>14.099999999999966</v>
      </c>
      <c r="B153" s="35">
        <f t="shared" ca="1" si="12"/>
        <v>1.6497766112968941</v>
      </c>
      <c r="C153" s="1">
        <f t="shared" ca="1" si="13"/>
        <v>5.1072200271160835</v>
      </c>
      <c r="D153" s="1">
        <f t="shared" ca="1" si="14"/>
        <v>5.1072200271160835</v>
      </c>
      <c r="E153" s="37">
        <f t="shared" ca="1" si="10"/>
        <v>-5.651408783840191</v>
      </c>
    </row>
    <row r="154" spans="1:5" x14ac:dyDescent="0.25">
      <c r="A154" s="34">
        <f t="shared" si="11"/>
        <v>14.199999999999966</v>
      </c>
      <c r="B154" s="35">
        <f t="shared" ca="1" si="12"/>
        <v>2.1275706968304773</v>
      </c>
      <c r="C154" s="1">
        <f t="shared" ca="1" si="13"/>
        <v>4.4486616835555743</v>
      </c>
      <c r="D154" s="1">
        <f t="shared" ca="1" si="14"/>
        <v>4.4486616835555743</v>
      </c>
      <c r="E154" s="37">
        <f t="shared" ca="1" si="10"/>
        <v>-7.519758087369997</v>
      </c>
    </row>
    <row r="155" spans="1:5" x14ac:dyDescent="0.25">
      <c r="A155" s="34">
        <f t="shared" si="11"/>
        <v>14.299999999999965</v>
      </c>
      <c r="B155" s="35">
        <f t="shared" ca="1" si="12"/>
        <v>2.5308261692061143</v>
      </c>
      <c r="C155" s="1">
        <f t="shared" ca="1" si="13"/>
        <v>3.6164477639571619</v>
      </c>
      <c r="D155" s="1">
        <f t="shared" ca="1" si="14"/>
        <v>3.6164477639571619</v>
      </c>
      <c r="E155" s="37">
        <f t="shared" ca="1" si="10"/>
        <v>-9.1245203045982546</v>
      </c>
    </row>
    <row r="156" spans="1:5" x14ac:dyDescent="0.25">
      <c r="A156" s="34">
        <f t="shared" si="11"/>
        <v>14.399999999999965</v>
      </c>
      <c r="B156" s="35">
        <f t="shared" ca="1" si="12"/>
        <v>2.8436535801187288</v>
      </c>
      <c r="C156" s="1">
        <f t="shared" ca="1" si="13"/>
        <v>2.6401004542951254</v>
      </c>
      <c r="D156" s="1">
        <f t="shared" ca="1" si="14"/>
        <v>2.6401004542951254</v>
      </c>
      <c r="E156" s="37">
        <f t="shared" ca="1" si="10"/>
        <v>-10.402425888642469</v>
      </c>
    </row>
    <row r="157" spans="1:5" x14ac:dyDescent="0.25">
      <c r="A157" s="34">
        <f t="shared" si="11"/>
        <v>14.499999999999964</v>
      </c>
      <c r="B157" s="35">
        <f t="shared" ca="1" si="12"/>
        <v>3.0534026964245093</v>
      </c>
      <c r="C157" s="1">
        <f t="shared" ca="1" si="13"/>
        <v>1.5548818718204851</v>
      </c>
      <c r="D157" s="1">
        <f t="shared" ca="1" si="14"/>
        <v>1.5548818718204851</v>
      </c>
      <c r="E157" s="37">
        <f t="shared" ca="1" si="10"/>
        <v>-11.301945760850336</v>
      </c>
    </row>
    <row r="158" spans="1:5" x14ac:dyDescent="0.25">
      <c r="A158" s="34">
        <f t="shared" si="11"/>
        <v>14.599999999999964</v>
      </c>
      <c r="B158" s="35">
        <f t="shared" ca="1" si="12"/>
        <v>3.1511726088640142</v>
      </c>
      <c r="C158" s="1">
        <f t="shared" ca="1" si="13"/>
        <v>0.40051637696961362</v>
      </c>
      <c r="D158" s="1">
        <f t="shared" ca="1" si="14"/>
        <v>0.40051637696961362</v>
      </c>
      <c r="E158" s="37">
        <f t="shared" ca="1" si="10"/>
        <v>-11.78536413616709</v>
      </c>
    </row>
    <row r="159" spans="1:5" x14ac:dyDescent="0.25">
      <c r="A159" s="34">
        <f t="shared" si="11"/>
        <v>14.699999999999964</v>
      </c>
      <c r="B159" s="35">
        <f t="shared" ca="1" si="12"/>
        <v>3.1321849732265332</v>
      </c>
      <c r="C159" s="1">
        <f t="shared" ca="1" si="13"/>
        <v>-0.7802690897192317</v>
      </c>
      <c r="D159" s="1">
        <f t="shared" ca="1" si="14"/>
        <v>-0.7802690897192317</v>
      </c>
      <c r="E159" s="37">
        <f t="shared" ca="1" si="10"/>
        <v>-11.830345197609816</v>
      </c>
    </row>
    <row r="160" spans="1:5" x14ac:dyDescent="0.25">
      <c r="A160" s="34">
        <f t="shared" si="11"/>
        <v>14.799999999999963</v>
      </c>
      <c r="B160" s="35">
        <f t="shared" ca="1" si="12"/>
        <v>2.996004878694396</v>
      </c>
      <c r="C160" s="1">
        <f t="shared" ca="1" si="13"/>
        <v>-1.9433328009235082</v>
      </c>
      <c r="D160" s="1">
        <f t="shared" ca="1" si="14"/>
        <v>-1.9433328009235082</v>
      </c>
      <c r="E160" s="37">
        <f t="shared" ca="1" si="10"/>
        <v>-11.430929026475713</v>
      </c>
    </row>
    <row r="161" spans="1:5" x14ac:dyDescent="0.25">
      <c r="A161" s="34">
        <f t="shared" si="11"/>
        <v>14.899999999999963</v>
      </c>
      <c r="B161" s="35">
        <f t="shared" ca="1" si="12"/>
        <v>2.7465994923862613</v>
      </c>
      <c r="C161" s="1">
        <f t="shared" ca="1" si="13"/>
        <v>-3.0447749252391887</v>
      </c>
      <c r="D161" s="1">
        <f t="shared" ca="1" si="14"/>
        <v>-3.0447749252391887</v>
      </c>
      <c r="E161" s="37">
        <f t="shared" ca="1" si="10"/>
        <v>-10.597913459837894</v>
      </c>
    </row>
    <row r="162" spans="1:5" x14ac:dyDescent="0.25">
      <c r="A162" s="34">
        <f t="shared" si="11"/>
        <v>14.999999999999963</v>
      </c>
      <c r="B162" s="35">
        <f t="shared" ca="1" si="12"/>
        <v>2.3922307120542747</v>
      </c>
      <c r="C162" s="1">
        <f t="shared" ca="1" si="13"/>
        <v>-4.0426006814005451</v>
      </c>
      <c r="D162" s="1">
        <f t="shared" ca="1" si="14"/>
        <v>-4.0426006814005451</v>
      </c>
      <c r="E162" s="37">
        <f t="shared" ca="1" si="10"/>
        <v>-9.358601663389237</v>
      </c>
    </row>
    <row r="163" spans="1:5" x14ac:dyDescent="0.25">
      <c r="A163" s="34">
        <f t="shared" si="11"/>
        <v>15.099999999999962</v>
      </c>
      <c r="B163" s="35">
        <f t="shared" ca="1" si="12"/>
        <v>1.9451843415000818</v>
      </c>
      <c r="C163" s="1">
        <f t="shared" ca="1" si="13"/>
        <v>-4.8983267296833137</v>
      </c>
      <c r="D163" s="1">
        <f t="shared" ca="1" si="14"/>
        <v>-4.8983267296833137</v>
      </c>
      <c r="E163" s="37">
        <f t="shared" ca="1" si="10"/>
        <v>-7.7559193022661299</v>
      </c>
    </row>
    <row r="164" spans="1:5" x14ac:dyDescent="0.25">
      <c r="A164" s="34">
        <f t="shared" si="11"/>
        <v>15.199999999999962</v>
      </c>
      <c r="B164" s="35">
        <f t="shared" ca="1" si="12"/>
        <v>1.4213445469094075</v>
      </c>
      <c r="C164" s="1">
        <f t="shared" ca="1" si="13"/>
        <v>-5.5784691621301725</v>
      </c>
      <c r="D164" s="1">
        <f t="shared" ca="1" si="14"/>
        <v>-5.5784691621301725</v>
      </c>
      <c r="E164" s="37">
        <f t="shared" ca="1" si="10"/>
        <v>-5.846929346671037</v>
      </c>
    </row>
    <row r="165" spans="1:5" x14ac:dyDescent="0.25">
      <c r="A165" s="34">
        <f t="shared" si="11"/>
        <v>15.299999999999962</v>
      </c>
      <c r="B165" s="35">
        <f t="shared" ca="1" si="12"/>
        <v>0.83962831774306346</v>
      </c>
      <c r="C165" s="1">
        <f t="shared" ca="1" si="13"/>
        <v>-6.0558554211967071</v>
      </c>
      <c r="D165" s="1">
        <f t="shared" ca="1" si="14"/>
        <v>-6.0558554211967071</v>
      </c>
      <c r="E165" s="37">
        <f t="shared" ca="1" si="10"/>
        <v>-3.7007958346596443</v>
      </c>
    </row>
    <row r="166" spans="1:5" x14ac:dyDescent="0.25">
      <c r="A166" s="34">
        <f t="shared" si="11"/>
        <v>15.399999999999961</v>
      </c>
      <c r="B166" s="35">
        <f t="shared" ca="1" si="12"/>
        <v>0.22130011246405823</v>
      </c>
      <c r="C166" s="1">
        <f t="shared" ca="1" si="13"/>
        <v>-6.310708684383397</v>
      </c>
      <c r="D166" s="1">
        <f t="shared" ca="1" si="14"/>
        <v>-6.310708684383397</v>
      </c>
      <c r="E166" s="37">
        <f t="shared" ca="1" si="10"/>
        <v>-1.3962694290741533</v>
      </c>
    </row>
    <row r="167" spans="1:5" x14ac:dyDescent="0.25">
      <c r="A167" s="34">
        <f t="shared" si="11"/>
        <v>15.499999999999961</v>
      </c>
      <c r="B167" s="35">
        <f t="shared" ca="1" si="12"/>
        <v>-0.41080839581697692</v>
      </c>
      <c r="C167" s="1">
        <f t="shared" ca="1" si="13"/>
        <v>-6.3314614812373051</v>
      </c>
      <c r="D167" s="1">
        <f t="shared" ca="1" si="14"/>
        <v>-6.3314614812373051</v>
      </c>
      <c r="E167" s="37">
        <f t="shared" ca="1" si="10"/>
        <v>0.98121349199599095</v>
      </c>
    </row>
    <row r="168" spans="1:5" x14ac:dyDescent="0.25">
      <c r="A168" s="34">
        <f t="shared" si="11"/>
        <v>15.599999999999961</v>
      </c>
      <c r="B168" s="35">
        <f t="shared" ca="1" si="12"/>
        <v>-1.0331447328882191</v>
      </c>
      <c r="C168" s="1">
        <f t="shared" ca="1" si="13"/>
        <v>-6.115265260187539</v>
      </c>
      <c r="D168" s="1">
        <f t="shared" ca="1" si="14"/>
        <v>-6.115265260187539</v>
      </c>
      <c r="E168" s="37">
        <f t="shared" ca="1" si="10"/>
        <v>3.3427109289993244</v>
      </c>
    </row>
    <row r="169" spans="1:5" x14ac:dyDescent="0.25">
      <c r="A169" s="34">
        <f t="shared" si="11"/>
        <v>15.69999999999996</v>
      </c>
      <c r="B169" s="35">
        <f t="shared" ca="1" si="12"/>
        <v>-1.6223166923412919</v>
      </c>
      <c r="C169" s="1">
        <f t="shared" ca="1" si="13"/>
        <v>-5.6681739288739195</v>
      </c>
      <c r="D169" s="1">
        <f t="shared" ca="1" si="14"/>
        <v>-5.6681739288739195</v>
      </c>
      <c r="E169" s="37">
        <f t="shared" ca="1" si="10"/>
        <v>5.5991156972730725</v>
      </c>
    </row>
    <row r="170" spans="1:5" x14ac:dyDescent="0.25">
      <c r="A170" s="34">
        <f t="shared" si="11"/>
        <v>15.79999999999996</v>
      </c>
      <c r="B170" s="35">
        <f t="shared" ca="1" si="12"/>
        <v>-2.1559749703266045</v>
      </c>
      <c r="C170" s="1">
        <f t="shared" ca="1" si="13"/>
        <v>-5.0049916308323317</v>
      </c>
      <c r="D170" s="1">
        <f t="shared" ca="1" si="14"/>
        <v>-5.0049916308323317</v>
      </c>
      <c r="E170" s="37">
        <f t="shared" ca="1" si="10"/>
        <v>7.6645302635586816</v>
      </c>
    </row>
    <row r="171" spans="1:5" x14ac:dyDescent="0.25">
      <c r="A171" s="34">
        <f t="shared" si="11"/>
        <v>15.899999999999959</v>
      </c>
      <c r="B171" s="35">
        <f t="shared" ca="1" si="12"/>
        <v>-2.6136639384866838</v>
      </c>
      <c r="C171" s="1">
        <f t="shared" ca="1" si="13"/>
        <v>-4.148787732369251</v>
      </c>
      <c r="D171" s="1">
        <f t="shared" ca="1" si="14"/>
        <v>-4.148787732369251</v>
      </c>
      <c r="E171" s="37">
        <f t="shared" ca="1" si="10"/>
        <v>9.4595477057029225</v>
      </c>
    </row>
    <row r="172" spans="1:5" x14ac:dyDescent="0.25">
      <c r="A172" s="34">
        <f t="shared" si="11"/>
        <v>15.999999999999959</v>
      </c>
      <c r="B172" s="35">
        <f t="shared" ca="1" si="12"/>
        <v>-2.9776080597680643</v>
      </c>
      <c r="C172" s="1">
        <f t="shared" ca="1" si="13"/>
        <v>-3.1300946932583615</v>
      </c>
      <c r="D172" s="1">
        <f t="shared" ca="1" si="14"/>
        <v>-3.1300946932583615</v>
      </c>
      <c r="E172" s="37">
        <f t="shared" ca="1" si="10"/>
        <v>10.914313076514871</v>
      </c>
    </row>
    <row r="173" spans="1:5" x14ac:dyDescent="0.25">
      <c r="A173" s="34">
        <f t="shared" si="11"/>
        <v>16.099999999999959</v>
      </c>
      <c r="B173" s="35">
        <f t="shared" ca="1" si="12"/>
        <v>-3.23340362929661</v>
      </c>
      <c r="C173" s="1">
        <f t="shared" ca="1" si="13"/>
        <v>-1.9858166973125486</v>
      </c>
      <c r="D173" s="1">
        <f t="shared" ca="1" si="14"/>
        <v>-1.9858166973125486</v>
      </c>
      <c r="E173" s="37">
        <f t="shared" ca="1" si="10"/>
        <v>11.971246842401385</v>
      </c>
    </row>
    <row r="174" spans="1:5" x14ac:dyDescent="0.25">
      <c r="A174" s="34">
        <f t="shared" si="11"/>
        <v>16.19999999999996</v>
      </c>
      <c r="B174" s="35">
        <f t="shared" ca="1" si="12"/>
        <v>-3.3705888718175649</v>
      </c>
      <c r="C174" s="1">
        <f t="shared" ca="1" si="13"/>
        <v>-0.75788815310654978</v>
      </c>
      <c r="D174" s="1">
        <f t="shared" ca="1" si="14"/>
        <v>-0.75788815310654978</v>
      </c>
      <c r="E174" s="37">
        <f t="shared" ca="1" si="10"/>
        <v>12.58732404171859</v>
      </c>
    </row>
    <row r="175" spans="1:5" x14ac:dyDescent="0.25">
      <c r="A175" s="34">
        <f t="shared" si="11"/>
        <v>16.299999999999962</v>
      </c>
      <c r="B175" s="35">
        <f t="shared" ca="1" si="12"/>
        <v>-3.3830698296696968</v>
      </c>
      <c r="C175" s="1">
        <f t="shared" ca="1" si="13"/>
        <v>0.50826899606390841</v>
      </c>
      <c r="D175" s="1">
        <f t="shared" ca="1" si="14"/>
        <v>0.50826899606390841</v>
      </c>
      <c r="E175" s="37">
        <f t="shared" ca="1" si="10"/>
        <v>12.735818941690574</v>
      </c>
    </row>
    <row r="176" spans="1:5" x14ac:dyDescent="0.25">
      <c r="A176" s="34">
        <f t="shared" si="11"/>
        <v>16.399999999999963</v>
      </c>
      <c r="B176" s="35">
        <f t="shared" ca="1" si="12"/>
        <v>-3.2693847710133546</v>
      </c>
      <c r="C176" s="1">
        <f t="shared" ca="1" si="13"/>
        <v>1.76543217706294</v>
      </c>
      <c r="D176" s="1">
        <f t="shared" ca="1" si="14"/>
        <v>1.76543217706294</v>
      </c>
      <c r="E176" s="37">
        <f t="shared" ca="1" si="10"/>
        <v>12.407444678290055</v>
      </c>
    </row>
    <row r="177" spans="1:5" x14ac:dyDescent="0.25">
      <c r="A177" s="34">
        <f t="shared" si="11"/>
        <v>16.499999999999964</v>
      </c>
      <c r="B177" s="35">
        <f t="shared" ca="1" si="12"/>
        <v>-3.0327958418331313</v>
      </c>
      <c r="C177" s="1">
        <f t="shared" ca="1" si="13"/>
        <v>2.9663464065415264</v>
      </c>
      <c r="D177" s="1">
        <f t="shared" ca="1" si="14"/>
        <v>2.9663464065415264</v>
      </c>
      <c r="E177" s="37">
        <f t="shared" ca="1" si="10"/>
        <v>11.610839911281667</v>
      </c>
    </row>
    <row r="178" spans="1:5" x14ac:dyDescent="0.25">
      <c r="A178" s="34">
        <f t="shared" si="11"/>
        <v>16.599999999999966</v>
      </c>
      <c r="B178" s="35">
        <f t="shared" ca="1" si="12"/>
        <v>-2.6812031537181884</v>
      </c>
      <c r="C178" s="1">
        <f t="shared" ca="1" si="13"/>
        <v>4.0655073557573322</v>
      </c>
      <c r="D178" s="1">
        <f t="shared" ca="1" si="14"/>
        <v>4.0655073557573322</v>
      </c>
      <c r="E178" s="37">
        <f t="shared" ca="1" si="10"/>
        <v>10.37237907303445</v>
      </c>
    </row>
    <row r="179" spans="1:5" x14ac:dyDescent="0.25">
      <c r="A179" s="34">
        <f t="shared" si="11"/>
        <v>16.699999999999967</v>
      </c>
      <c r="B179" s="35">
        <f t="shared" ca="1" si="12"/>
        <v>-2.2268831994387428</v>
      </c>
      <c r="C179" s="1">
        <f t="shared" ca="1" si="13"/>
        <v>5.0208917298315781</v>
      </c>
      <c r="D179" s="1">
        <f t="shared" ca="1" si="14"/>
        <v>5.0208917298315781</v>
      </c>
      <c r="E179" s="37">
        <f t="shared" ca="1" si="10"/>
        <v>8.7353084084504662</v>
      </c>
    </row>
    <row r="180" spans="1:5" x14ac:dyDescent="0.25">
      <c r="A180" s="34">
        <f t="shared" si="11"/>
        <v>16.799999999999969</v>
      </c>
      <c r="B180" s="35">
        <f t="shared" ca="1" si="12"/>
        <v>-1.6860601661328456</v>
      </c>
      <c r="C180" s="1">
        <f t="shared" ca="1" si="13"/>
        <v>5.7955689362863625</v>
      </c>
      <c r="D180" s="1">
        <f t="shared" ca="1" si="14"/>
        <v>5.7955689362863625</v>
      </c>
      <c r="E180" s="37">
        <f t="shared" ca="1" si="10"/>
        <v>6.7582357206452244</v>
      </c>
    </row>
    <row r="181" spans="1:5" x14ac:dyDescent="0.25">
      <c r="A181" s="34">
        <f t="shared" si="11"/>
        <v>16.89999999999997</v>
      </c>
      <c r="B181" s="35">
        <f t="shared" ca="1" si="12"/>
        <v>-1.0783251167808765</v>
      </c>
      <c r="C181" s="1">
        <f t="shared" ca="1" si="13"/>
        <v>6.359132050753022</v>
      </c>
      <c r="D181" s="1">
        <f t="shared" ca="1" si="14"/>
        <v>6.359132050753022</v>
      </c>
      <c r="E181" s="37">
        <f t="shared" ca="1" si="10"/>
        <v>4.5130265686879572</v>
      </c>
    </row>
    <row r="182" spans="1:5" x14ac:dyDescent="0.25">
      <c r="A182" s="34">
        <f t="shared" si="11"/>
        <v>16.999999999999972</v>
      </c>
      <c r="B182" s="35">
        <f t="shared" ca="1" si="12"/>
        <v>-0.42592388865135444</v>
      </c>
      <c r="C182" s="1">
        <f t="shared" ca="1" si="13"/>
        <v>6.6888925118374178</v>
      </c>
      <c r="D182" s="1">
        <f t="shared" ca="1" si="14"/>
        <v>6.6888925118374178</v>
      </c>
      <c r="E182" s="37">
        <f t="shared" ca="1" si="10"/>
        <v>2.0821826529999639</v>
      </c>
    </row>
    <row r="183" spans="1:5" x14ac:dyDescent="0.25">
      <c r="A183" s="34">
        <f t="shared" si="11"/>
        <v>17.099999999999973</v>
      </c>
      <c r="B183" s="35">
        <f t="shared" ca="1" si="12"/>
        <v>0.24706031511116777</v>
      </c>
      <c r="C183" s="1">
        <f t="shared" ca="1" si="13"/>
        <v>6.7707915634130256</v>
      </c>
      <c r="D183" s="1">
        <f t="shared" ca="1" si="14"/>
        <v>6.7707915634130256</v>
      </c>
      <c r="E183" s="37">
        <f t="shared" ca="1" si="10"/>
        <v>-0.44420162148781472</v>
      </c>
    </row>
    <row r="184" spans="1:5" x14ac:dyDescent="0.25">
      <c r="A184" s="34">
        <f t="shared" si="11"/>
        <v>17.199999999999974</v>
      </c>
      <c r="B184" s="35">
        <f t="shared" ca="1" si="12"/>
        <v>0.91559948817891756</v>
      </c>
      <c r="C184" s="1">
        <f t="shared" ca="1" si="13"/>
        <v>6.5999918979419689</v>
      </c>
      <c r="D184" s="1">
        <f t="shared" ca="1" si="14"/>
        <v>6.5999918979419689</v>
      </c>
      <c r="E184" s="37">
        <f t="shared" ca="1" si="10"/>
        <v>-2.9717916879333108</v>
      </c>
    </row>
    <row r="185" spans="1:5" x14ac:dyDescent="0.25">
      <c r="A185" s="34">
        <f t="shared" si="11"/>
        <v>17.299999999999976</v>
      </c>
      <c r="B185" s="35">
        <f t="shared" ca="1" si="12"/>
        <v>1.5546553257174371</v>
      </c>
      <c r="C185" s="1">
        <f t="shared" ca="1" si="13"/>
        <v>6.1811248528284208</v>
      </c>
      <c r="D185" s="1">
        <f t="shared" ca="1" si="14"/>
        <v>6.1811248528284208</v>
      </c>
      <c r="E185" s="37">
        <f t="shared" ca="1" si="10"/>
        <v>-5.4055492143376469</v>
      </c>
    </row>
    <row r="186" spans="1:5" x14ac:dyDescent="0.25">
      <c r="A186" s="34">
        <f t="shared" si="11"/>
        <v>17.399999999999977</v>
      </c>
      <c r="B186" s="35">
        <f t="shared" ca="1" si="12"/>
        <v>2.1401206398002284</v>
      </c>
      <c r="C186" s="1">
        <f t="shared" ca="1" si="13"/>
        <v>5.5281814288273994</v>
      </c>
      <c r="D186" s="1">
        <f t="shared" ca="1" si="14"/>
        <v>5.5281814288273994</v>
      </c>
      <c r="E186" s="37">
        <f t="shared" ca="1" si="10"/>
        <v>-7.6533192656827804</v>
      </c>
    </row>
    <row r="187" spans="1:5" x14ac:dyDescent="0.25">
      <c r="A187" s="34">
        <f t="shared" si="11"/>
        <v>17.499999999999979</v>
      </c>
      <c r="B187" s="35">
        <f t="shared" ca="1" si="12"/>
        <v>2.6497321536856813</v>
      </c>
      <c r="C187" s="1">
        <f t="shared" ca="1" si="13"/>
        <v>4.6640488488816629</v>
      </c>
      <c r="D187" s="1">
        <f t="shared" ca="1" si="14"/>
        <v>4.6640488488816629</v>
      </c>
      <c r="E187" s="37">
        <f t="shared" ca="1" si="10"/>
        <v>-9.6293323332319485</v>
      </c>
    </row>
    <row r="188" spans="1:5" x14ac:dyDescent="0.25">
      <c r="A188" s="34">
        <f t="shared" si="11"/>
        <v>17.59999999999998</v>
      </c>
      <c r="B188" s="35">
        <f t="shared" ca="1" si="12"/>
        <v>3.0639199885152819</v>
      </c>
      <c r="C188" s="1">
        <f t="shared" ca="1" si="13"/>
        <v>3.6197078477103526</v>
      </c>
      <c r="D188" s="1">
        <f t="shared" ca="1" si="14"/>
        <v>3.6197078477103526</v>
      </c>
      <c r="E188" s="37">
        <f t="shared" ca="1" si="10"/>
        <v>-11.257487690194258</v>
      </c>
    </row>
    <row r="189" spans="1:5" x14ac:dyDescent="0.25">
      <c r="A189" s="34">
        <f t="shared" si="11"/>
        <v>17.699999999999982</v>
      </c>
      <c r="B189" s="35">
        <f t="shared" ca="1" si="12"/>
        <v>3.3665613240626389</v>
      </c>
      <c r="C189" s="1">
        <f t="shared" ca="1" si="13"/>
        <v>2.4331188632367899</v>
      </c>
      <c r="D189" s="1">
        <f t="shared" ca="1" si="14"/>
        <v>2.4331188632367899</v>
      </c>
      <c r="E189" s="37">
        <f t="shared" ca="1" si="10"/>
        <v>-12.474291999276986</v>
      </c>
    </row>
    <row r="190" spans="1:5" x14ac:dyDescent="0.25">
      <c r="A190" s="34">
        <f t="shared" si="11"/>
        <v>17.799999999999983</v>
      </c>
      <c r="B190" s="35">
        <f t="shared" ca="1" si="12"/>
        <v>3.5456091318410157</v>
      </c>
      <c r="C190" s="1">
        <f t="shared" ca="1" si="13"/>
        <v>1.1478372923307467</v>
      </c>
      <c r="D190" s="1">
        <f t="shared" ca="1" si="14"/>
        <v>1.1478372923307467</v>
      </c>
      <c r="E190" s="37">
        <f t="shared" ca="1" si="10"/>
        <v>-13.231339418843877</v>
      </c>
    </row>
    <row r="191" spans="1:5" x14ac:dyDescent="0.25">
      <c r="A191" s="34">
        <f t="shared" si="11"/>
        <v>17.899999999999984</v>
      </c>
      <c r="B191" s="35">
        <f t="shared" ca="1" si="12"/>
        <v>3.5935714220545094</v>
      </c>
      <c r="C191" s="1">
        <f t="shared" ca="1" si="13"/>
        <v>-0.18859148806087433</v>
      </c>
      <c r="D191" s="1">
        <f t="shared" ca="1" si="14"/>
        <v>-0.18859148806087433</v>
      </c>
      <c r="E191" s="37">
        <f t="shared" ca="1" si="10"/>
        <v>-13.497236188988539</v>
      </c>
    </row>
    <row r="192" spans="1:5" x14ac:dyDescent="0.25">
      <c r="A192" s="34">
        <f t="shared" si="11"/>
        <v>17.999999999999986</v>
      </c>
      <c r="B192" s="35">
        <f t="shared" ca="1" si="12"/>
        <v>3.5078219497415679</v>
      </c>
      <c r="C192" s="1">
        <f t="shared" ca="1" si="13"/>
        <v>-1.5263979581979519</v>
      </c>
      <c r="D192" s="1">
        <f t="shared" ca="1" si="14"/>
        <v>-1.5263979581979519</v>
      </c>
      <c r="E192" s="37">
        <f t="shared" ca="1" si="10"/>
        <v>-13.25889321375301</v>
      </c>
    </row>
    <row r="193" spans="1:5" x14ac:dyDescent="0.25">
      <c r="A193" s="34">
        <f t="shared" si="11"/>
        <v>18.099999999999987</v>
      </c>
      <c r="B193" s="35">
        <f t="shared" ca="1" si="12"/>
        <v>3.2907295865652277</v>
      </c>
      <c r="C193" s="1">
        <f t="shared" ca="1" si="13"/>
        <v>-2.8154493053288538</v>
      </c>
      <c r="D193" s="1">
        <f t="shared" ca="1" si="14"/>
        <v>-2.8154493053288538</v>
      </c>
      <c r="E193" s="37">
        <f t="shared" ca="1" si="10"/>
        <v>-12.522133728865027</v>
      </c>
    </row>
    <row r="194" spans="1:5" x14ac:dyDescent="0.25">
      <c r="A194" s="34">
        <f t="shared" si="11"/>
        <v>18.199999999999989</v>
      </c>
      <c r="B194" s="35">
        <f t="shared" ca="1" si="12"/>
        <v>2.949600349527731</v>
      </c>
      <c r="C194" s="1">
        <f t="shared" ca="1" si="13"/>
        <v>-4.007135435421084</v>
      </c>
      <c r="D194" s="1">
        <f t="shared" ca="1" si="14"/>
        <v>-4.007135435421084</v>
      </c>
      <c r="E194" s="37">
        <f t="shared" ca="1" si="10"/>
        <v>-11.311588872979572</v>
      </c>
    </row>
    <row r="195" spans="1:5" x14ac:dyDescent="0.25">
      <c r="A195" s="34">
        <f t="shared" si="11"/>
        <v>18.29999999999999</v>
      </c>
      <c r="B195" s="35">
        <f t="shared" ca="1" si="12"/>
        <v>2.4964331315674757</v>
      </c>
      <c r="C195" s="1">
        <f t="shared" ca="1" si="13"/>
        <v>-5.0562089237840224</v>
      </c>
      <c r="D195" s="1">
        <f t="shared" ca="1" si="14"/>
        <v>-5.0562089237840224</v>
      </c>
      <c r="E195" s="37">
        <f t="shared" ca="1" si="10"/>
        <v>-9.6698808942791974</v>
      </c>
    </row>
    <row r="196" spans="1:5" x14ac:dyDescent="0.25">
      <c r="A196" s="34">
        <f t="shared" si="11"/>
        <v>18.399999999999991</v>
      </c>
      <c r="B196" s="35">
        <f t="shared" ca="1" si="12"/>
        <v>1.9474972349472139</v>
      </c>
      <c r="C196" s="1">
        <f t="shared" ca="1" si="13"/>
        <v>-5.922509008621212</v>
      </c>
      <c r="D196" s="1">
        <f t="shared" ca="1" si="14"/>
        <v>-5.922509008621212</v>
      </c>
      <c r="E196" s="37">
        <f t="shared" ca="1" si="10"/>
        <v>-7.6561208024645966</v>
      </c>
    </row>
    <row r="197" spans="1:5" x14ac:dyDescent="0.25">
      <c r="A197" s="34">
        <f t="shared" si="11"/>
        <v>18.499999999999993</v>
      </c>
      <c r="B197" s="35">
        <f t="shared" ca="1" si="12"/>
        <v>1.3227465983643474</v>
      </c>
      <c r="C197" s="1">
        <f t="shared" ca="1" si="13"/>
        <v>-6.5725037230361218</v>
      </c>
      <c r="D197" s="1">
        <f t="shared" ca="1" si="14"/>
        <v>-6.5725037230361218</v>
      </c>
      <c r="E197" s="37">
        <f t="shared" ca="1" si="10"/>
        <v>-5.3437734858335961</v>
      </c>
    </row>
    <row r="198" spans="1:5" x14ac:dyDescent="0.25">
      <c r="A198" s="34">
        <f t="shared" si="11"/>
        <v>18.599999999999994</v>
      </c>
      <c r="B198" s="35">
        <f t="shared" ca="1" si="12"/>
        <v>0.64509187322331063</v>
      </c>
      <c r="C198" s="1">
        <f t="shared" ca="1" si="13"/>
        <v>-6.9805907797846132</v>
      </c>
      <c r="D198" s="1">
        <f t="shared" ca="1" si="14"/>
        <v>-6.9805907797846132</v>
      </c>
      <c r="E198" s="37">
        <f t="shared" ca="1" si="10"/>
        <v>-2.8179676491362331</v>
      </c>
    </row>
    <row r="199" spans="1:5" x14ac:dyDescent="0.25">
      <c r="A199" s="34">
        <f t="shared" si="11"/>
        <v>18.699999999999996</v>
      </c>
      <c r="B199" s="35">
        <f t="shared" ca="1" si="12"/>
        <v>-6.0442997506371055E-2</v>
      </c>
      <c r="C199" s="1">
        <f t="shared" ca="1" si="13"/>
        <v>-7.1301066348090192</v>
      </c>
      <c r="D199" s="1">
        <f t="shared" ca="1" si="14"/>
        <v>-7.1301066348090192</v>
      </c>
      <c r="E199" s="37">
        <f t="shared" ca="1" si="10"/>
        <v>-0.17234945135189528</v>
      </c>
    </row>
    <row r="200" spans="1:5" x14ac:dyDescent="0.25">
      <c r="A200" s="34">
        <f t="shared" si="11"/>
        <v>18.799999999999997</v>
      </c>
      <c r="B200" s="35">
        <f t="shared" ca="1" si="12"/>
        <v>-0.76764852610874235</v>
      </c>
      <c r="C200" s="1">
        <f t="shared" ca="1" si="13"/>
        <v>-7.0140039372384049</v>
      </c>
      <c r="D200" s="1">
        <f t="shared" ca="1" si="14"/>
        <v>-7.0140039372384049</v>
      </c>
      <c r="E200" s="37">
        <f t="shared" ca="1" si="10"/>
        <v>2.494403402764175</v>
      </c>
    </row>
    <row r="201" spans="1:5" x14ac:dyDescent="0.25">
      <c r="A201" s="34">
        <f t="shared" si="11"/>
        <v>18.899999999999999</v>
      </c>
      <c r="B201" s="35">
        <f t="shared" ca="1" si="12"/>
        <v>-1.4501072192291147</v>
      </c>
      <c r="C201" s="1">
        <f t="shared" ca="1" si="13"/>
        <v>-6.6351699251690412</v>
      </c>
      <c r="D201" s="1">
        <f t="shared" ca="1" si="14"/>
        <v>-6.6351699251690412</v>
      </c>
      <c r="E201" s="37">
        <f t="shared" ca="1" si="10"/>
        <v>5.0822768386230992</v>
      </c>
    </row>
    <row r="202" spans="1:5" x14ac:dyDescent="0.25">
      <c r="A202" s="34">
        <f t="shared" si="11"/>
        <v>19</v>
      </c>
      <c r="B202" s="35">
        <f t="shared" ca="1" si="12"/>
        <v>-2.082184304800093</v>
      </c>
      <c r="C202" s="1">
        <f t="shared" ca="1" si="13"/>
        <v>-6.0063717862505221</v>
      </c>
      <c r="D202" s="1">
        <f t="shared" ca="1" si="14"/>
        <v>-6.0063717862505221</v>
      </c>
      <c r="E202" s="37">
        <f t="shared" ca="1" si="10"/>
        <v>7.493685939747289</v>
      </c>
    </row>
    <row r="203" spans="1:5" x14ac:dyDescent="0.25">
      <c r="A203" s="34">
        <f t="shared" si="11"/>
        <v>19.100000000000001</v>
      </c>
      <c r="B203" s="35">
        <f t="shared" ca="1" si="12"/>
        <v>-2.6399943472811156</v>
      </c>
      <c r="C203" s="1">
        <f t="shared" ca="1" si="13"/>
        <v>-5.1498290633699302</v>
      </c>
      <c r="D203" s="1">
        <f t="shared" ca="1" si="14"/>
        <v>-5.1498290633699302</v>
      </c>
      <c r="E203" s="37">
        <f t="shared" ca="1" si="10"/>
        <v>9.6371685178645539</v>
      </c>
    </row>
    <row r="204" spans="1:5" x14ac:dyDescent="0.25">
      <c r="A204" s="34">
        <f t="shared" si="11"/>
        <v>19.200000000000003</v>
      </c>
      <c r="B204" s="35">
        <f t="shared" ca="1" si="12"/>
        <v>-3.1023071662760442</v>
      </c>
      <c r="C204" s="1">
        <f t="shared" ca="1" si="13"/>
        <v>-4.09642731652864</v>
      </c>
      <c r="D204" s="1">
        <f t="shared" ca="1" si="14"/>
        <v>-4.09642731652864</v>
      </c>
      <c r="E204" s="37">
        <f t="shared" ref="E204:E267" ca="1" si="15" xml:space="preserve"> -R_x/L_x*D204-1/(L_x*C_x)*B204+E0_x*SIN(w_x*A204)/L_x</f>
        <v>11.430866418961243</v>
      </c>
    </row>
    <row r="205" spans="1:5" x14ac:dyDescent="0.25">
      <c r="A205" s="34">
        <f t="shared" si="11"/>
        <v>19.300000000000004</v>
      </c>
      <c r="B205" s="35">
        <f t="shared" ca="1" si="12"/>
        <v>-3.4513585778540712</v>
      </c>
      <c r="C205" s="1">
        <f t="shared" ca="1" si="13"/>
        <v>-2.8846009150319043</v>
      </c>
      <c r="D205" s="1">
        <f t="shared" ca="1" si="14"/>
        <v>-2.8846009150319043</v>
      </c>
      <c r="E205" s="37">
        <f t="shared" ca="1" si="15"/>
        <v>12.805661610973466</v>
      </c>
    </row>
    <row r="206" spans="1:5" x14ac:dyDescent="0.25">
      <c r="A206" s="34">
        <f t="shared" ref="A206:A269" si="16">A205+$A$9</f>
        <v>19.400000000000006</v>
      </c>
      <c r="B206" s="35">
        <f t="shared" ref="B206:B269" ca="1" si="17">IF($B$7="n",$B$12,$A$9/2*(C206+C205)+B205)</f>
        <v>-3.6735348989685459</v>
      </c>
      <c r="C206" s="1">
        <f t="shared" ref="C206:C269" ca="1" si="18">D206</f>
        <v>-1.5589255072575856</v>
      </c>
      <c r="D206" s="1">
        <f t="shared" ref="D206:D269" ca="1" si="19">IF($B$7="n",$D$12,$A$9/2*(E206+E205)+D205)</f>
        <v>-1.5589255072575856</v>
      </c>
      <c r="E206" s="37">
        <f t="shared" ca="1" si="15"/>
        <v>13.707846544512904</v>
      </c>
    </row>
    <row r="207" spans="1:5" x14ac:dyDescent="0.25">
      <c r="A207" s="34">
        <f t="shared" si="16"/>
        <v>19.500000000000007</v>
      </c>
      <c r="B207" s="35">
        <f t="shared" ca="1" si="17"/>
        <v>-3.7599047699143116</v>
      </c>
      <c r="C207" s="1">
        <f t="shared" ca="1" si="18"/>
        <v>-0.16847191165773046</v>
      </c>
      <c r="D207" s="1">
        <f t="shared" ca="1" si="19"/>
        <v>-0.16847191165773046</v>
      </c>
      <c r="E207" s="37">
        <f t="shared" ca="1" si="15"/>
        <v>14.101225367484199</v>
      </c>
    </row>
    <row r="208" spans="1:5" x14ac:dyDescent="0.25">
      <c r="A208" s="34">
        <f t="shared" si="16"/>
        <v>19.600000000000009</v>
      </c>
      <c r="B208" s="35">
        <f t="shared" ca="1" si="17"/>
        <v>-3.7065774884660305</v>
      </c>
      <c r="C208" s="1">
        <f t="shared" ca="1" si="18"/>
        <v>1.2350175406233552</v>
      </c>
      <c r="D208" s="1">
        <f t="shared" ca="1" si="19"/>
        <v>1.2350175406233552</v>
      </c>
      <c r="E208" s="37">
        <f t="shared" ca="1" si="15"/>
        <v>13.968563678137512</v>
      </c>
    </row>
    <row r="209" spans="1:5" x14ac:dyDescent="0.25">
      <c r="A209" s="34">
        <f t="shared" si="16"/>
        <v>19.70000000000001</v>
      </c>
      <c r="B209" s="35">
        <f t="shared" ca="1" si="17"/>
        <v>-3.514873503124945</v>
      </c>
      <c r="C209" s="1">
        <f t="shared" ca="1" si="18"/>
        <v>2.5990621661983528</v>
      </c>
      <c r="D209" s="1">
        <f t="shared" ca="1" si="19"/>
        <v>2.5990621661983528</v>
      </c>
      <c r="E209" s="37">
        <f t="shared" ca="1" si="15"/>
        <v>13.312328833362436</v>
      </c>
    </row>
    <row r="210" spans="1:5" x14ac:dyDescent="0.25">
      <c r="A210" s="34">
        <f t="shared" si="16"/>
        <v>19.800000000000011</v>
      </c>
      <c r="B210" s="35">
        <f t="shared" ca="1" si="17"/>
        <v>-3.1912997407280743</v>
      </c>
      <c r="C210" s="1">
        <f t="shared" ca="1" si="18"/>
        <v>3.872413081739059</v>
      </c>
      <c r="D210" s="1">
        <f t="shared" ca="1" si="19"/>
        <v>3.872413081739059</v>
      </c>
      <c r="E210" s="37">
        <f t="shared" ca="1" si="15"/>
        <v>12.154689477451688</v>
      </c>
    </row>
    <row r="211" spans="1:5" x14ac:dyDescent="0.25">
      <c r="A211" s="34">
        <f t="shared" si="16"/>
        <v>19.900000000000013</v>
      </c>
      <c r="B211" s="35">
        <f t="shared" ca="1" si="17"/>
        <v>-2.7473297815697704</v>
      </c>
      <c r="C211" s="1">
        <f t="shared" ca="1" si="18"/>
        <v>5.0069861014270227</v>
      </c>
      <c r="D211" s="1">
        <f t="shared" ca="1" si="19"/>
        <v>5.0069861014270227</v>
      </c>
      <c r="E211" s="37">
        <f t="shared" ca="1" si="15"/>
        <v>10.536770916307585</v>
      </c>
    </row>
    <row r="212" spans="1:5" x14ac:dyDescent="0.25">
      <c r="A212" s="34">
        <f t="shared" si="16"/>
        <v>20.000000000000014</v>
      </c>
      <c r="B212" s="35">
        <f t="shared" ca="1" si="17"/>
        <v>-2.198996266201533</v>
      </c>
      <c r="C212" s="1">
        <f t="shared" ca="1" si="18"/>
        <v>5.9596842059377284</v>
      </c>
      <c r="D212" s="1">
        <f t="shared" ca="1" si="19"/>
        <v>5.9596842059377284</v>
      </c>
      <c r="E212" s="37">
        <f t="shared" ca="1" si="15"/>
        <v>8.5171911739065376</v>
      </c>
    </row>
    <row r="213" spans="1:5" x14ac:dyDescent="0.25">
      <c r="A213" s="34">
        <f t="shared" si="16"/>
        <v>20.100000000000016</v>
      </c>
      <c r="B213" s="35">
        <f t="shared" ca="1" si="17"/>
        <v>-1.5663100427769074</v>
      </c>
      <c r="C213" s="1">
        <f t="shared" ca="1" si="18"/>
        <v>6.6940402625547843</v>
      </c>
      <c r="D213" s="1">
        <f t="shared" ca="1" si="19"/>
        <v>6.6940402625547843</v>
      </c>
      <c r="E213" s="37">
        <f t="shared" ca="1" si="15"/>
        <v>6.1699299584345697</v>
      </c>
    </row>
    <row r="214" spans="1:5" x14ac:dyDescent="0.25">
      <c r="A214" s="34">
        <f t="shared" si="16"/>
        <v>20.200000000000017</v>
      </c>
      <c r="B214" s="35">
        <f t="shared" ca="1" si="17"/>
        <v>-0.87252717090440624</v>
      </c>
      <c r="C214" s="1">
        <f t="shared" ca="1" si="18"/>
        <v>7.1816171748952398</v>
      </c>
      <c r="D214" s="1">
        <f t="shared" ca="1" si="19"/>
        <v>7.1816171748952398</v>
      </c>
      <c r="E214" s="37">
        <f t="shared" ca="1" si="15"/>
        <v>3.5816082883745355</v>
      </c>
    </row>
    <row r="215" spans="1:5" x14ac:dyDescent="0.25">
      <c r="A215" s="34">
        <f t="shared" si="16"/>
        <v>20.300000000000018</v>
      </c>
      <c r="B215" s="35">
        <f t="shared" ca="1" si="17"/>
        <v>-0.14329073468283138</v>
      </c>
      <c r="C215" s="1">
        <f t="shared" ca="1" si="18"/>
        <v>7.4031115495362574</v>
      </c>
      <c r="D215" s="1">
        <f t="shared" ca="1" si="19"/>
        <v>7.4031115495362574</v>
      </c>
      <c r="E215" s="37">
        <f t="shared" ca="1" si="15"/>
        <v>0.84827920444581939</v>
      </c>
    </row>
    <row r="216" spans="1:5" x14ac:dyDescent="0.25">
      <c r="A216" s="34">
        <f t="shared" si="16"/>
        <v>20.40000000000002</v>
      </c>
      <c r="B216" s="35">
        <f t="shared" ca="1" si="17"/>
        <v>0.59432074064895046</v>
      </c>
      <c r="C216" s="1">
        <f t="shared" ca="1" si="18"/>
        <v>7.349117957099379</v>
      </c>
      <c r="D216" s="1">
        <f t="shared" ca="1" si="19"/>
        <v>7.349117957099379</v>
      </c>
      <c r="E216" s="37">
        <f t="shared" ca="1" si="15"/>
        <v>-1.9281510531833796</v>
      </c>
    </row>
    <row r="217" spans="1:5" x14ac:dyDescent="0.25">
      <c r="A217" s="34">
        <f t="shared" si="16"/>
        <v>20.500000000000021</v>
      </c>
      <c r="B217" s="35">
        <f t="shared" ca="1" si="17"/>
        <v>1.3128028149061346</v>
      </c>
      <c r="C217" s="1">
        <f t="shared" ca="1" si="18"/>
        <v>7.0205235280443024</v>
      </c>
      <c r="D217" s="1">
        <f t="shared" ca="1" si="19"/>
        <v>7.0205235280443024</v>
      </c>
      <c r="E217" s="37">
        <f t="shared" ca="1" si="15"/>
        <v>-4.6437375279181543</v>
      </c>
    </row>
    <row r="218" spans="1:5" x14ac:dyDescent="0.25">
      <c r="A218" s="34">
        <f t="shared" si="16"/>
        <v>20.600000000000023</v>
      </c>
      <c r="B218" s="35">
        <f t="shared" ca="1" si="17"/>
        <v>1.9852548155206402</v>
      </c>
      <c r="C218" s="1">
        <f t="shared" ca="1" si="18"/>
        <v>6.4285164842458089</v>
      </c>
      <c r="D218" s="1">
        <f t="shared" ca="1" si="19"/>
        <v>6.4285164842458089</v>
      </c>
      <c r="E218" s="37">
        <f t="shared" ca="1" si="15"/>
        <v>-7.1964033480517218</v>
      </c>
    </row>
    <row r="219" spans="1:5" x14ac:dyDescent="0.25">
      <c r="A219" s="34">
        <f t="shared" si="16"/>
        <v>20.700000000000024</v>
      </c>
      <c r="B219" s="35">
        <f t="shared" ca="1" si="17"/>
        <v>2.5863909769644784</v>
      </c>
      <c r="C219" s="1">
        <f t="shared" ca="1" si="18"/>
        <v>5.5942067446309514</v>
      </c>
      <c r="D219" s="1">
        <f t="shared" ca="1" si="19"/>
        <v>5.5942067446309514</v>
      </c>
      <c r="E219" s="37">
        <f t="shared" ca="1" si="15"/>
        <v>-9.4897914442454265</v>
      </c>
    </row>
    <row r="220" spans="1:5" x14ac:dyDescent="0.25">
      <c r="A220" s="34">
        <f t="shared" si="16"/>
        <v>20.800000000000026</v>
      </c>
      <c r="B220" s="35">
        <f t="shared" ca="1" si="17"/>
        <v>3.0934948845594081</v>
      </c>
      <c r="C220" s="1">
        <f t="shared" ca="1" si="18"/>
        <v>4.5478714072676434</v>
      </c>
      <c r="D220" s="1">
        <f t="shared" ca="1" si="19"/>
        <v>4.5478714072676434</v>
      </c>
      <c r="E220" s="37">
        <f t="shared" ca="1" si="15"/>
        <v>-11.436915303020726</v>
      </c>
    </row>
    <row r="221" spans="1:5" x14ac:dyDescent="0.25">
      <c r="A221" s="34">
        <f t="shared" si="16"/>
        <v>20.900000000000027</v>
      </c>
      <c r="B221" s="35">
        <f t="shared" ca="1" si="17"/>
        <v>3.4872810621711525</v>
      </c>
      <c r="C221" s="1">
        <f t="shared" ca="1" si="18"/>
        <v>3.3278521449672462</v>
      </c>
      <c r="D221" s="1">
        <f t="shared" ca="1" si="19"/>
        <v>3.3278521449672462</v>
      </c>
      <c r="E221" s="37">
        <f t="shared" ca="1" si="15"/>
        <v>-12.963469942987217</v>
      </c>
    </row>
    <row r="222" spans="1:5" x14ac:dyDescent="0.25">
      <c r="A222" s="34">
        <f t="shared" si="16"/>
        <v>21.000000000000028</v>
      </c>
      <c r="B222" s="35">
        <f t="shared" ca="1" si="17"/>
        <v>3.7526309101514945</v>
      </c>
      <c r="C222" s="1">
        <f t="shared" ca="1" si="18"/>
        <v>1.979144814639594</v>
      </c>
      <c r="D222" s="1">
        <f t="shared" ca="1" si="19"/>
        <v>1.979144814639594</v>
      </c>
      <c r="E222" s="37">
        <f t="shared" ca="1" si="15"/>
        <v>-14.010676663565823</v>
      </c>
    </row>
    <row r="223" spans="1:5" x14ac:dyDescent="0.25">
      <c r="A223" s="34">
        <f t="shared" si="16"/>
        <v>21.10000000000003</v>
      </c>
      <c r="B223" s="35">
        <f t="shared" ca="1" si="17"/>
        <v>3.8791748191473019</v>
      </c>
      <c r="C223" s="1">
        <f t="shared" ca="1" si="18"/>
        <v>0.55173336527655015</v>
      </c>
      <c r="D223" s="1">
        <f t="shared" ca="1" si="19"/>
        <v>0.55173336527655015</v>
      </c>
      <c r="E223" s="37">
        <f t="shared" ca="1" si="15"/>
        <v>-14.537552323695056</v>
      </c>
    </row>
    <row r="224" spans="1:5" x14ac:dyDescent="0.25">
      <c r="A224" s="34">
        <f t="shared" si="16"/>
        <v>21.200000000000031</v>
      </c>
      <c r="B224" s="35">
        <f t="shared" ca="1" si="17"/>
        <v>3.8616979865587338</v>
      </c>
      <c r="C224" s="1">
        <f t="shared" ca="1" si="18"/>
        <v>-0.90127001704790977</v>
      </c>
      <c r="D224" s="1">
        <f t="shared" ca="1" si="19"/>
        <v>-0.90127001704790977</v>
      </c>
      <c r="E224" s="37">
        <f t="shared" ca="1" si="15"/>
        <v>-14.52251532279414</v>
      </c>
    </row>
    <row r="225" spans="1:5" x14ac:dyDescent="0.25">
      <c r="A225" s="34">
        <f t="shared" si="16"/>
        <v>21.300000000000033</v>
      </c>
      <c r="B225" s="35">
        <f t="shared" ca="1" si="17"/>
        <v>3.7003540333519274</v>
      </c>
      <c r="C225" s="1">
        <f t="shared" ca="1" si="18"/>
        <v>-2.3256090470882196</v>
      </c>
      <c r="D225" s="1">
        <f t="shared" ca="1" si="19"/>
        <v>-2.3256090470882196</v>
      </c>
      <c r="E225" s="37">
        <f t="shared" ca="1" si="15"/>
        <v>-13.964265278012057</v>
      </c>
    </row>
    <row r="226" spans="1:5" x14ac:dyDescent="0.25">
      <c r="A226" s="34">
        <f t="shared" si="16"/>
        <v>21.400000000000034</v>
      </c>
      <c r="B226" s="35">
        <f t="shared" ca="1" si="17"/>
        <v>3.4006777137280979</v>
      </c>
      <c r="C226" s="1">
        <f t="shared" ca="1" si="18"/>
        <v>-3.6679173453883704</v>
      </c>
      <c r="D226" s="1">
        <f t="shared" ca="1" si="19"/>
        <v>-3.6679173453883704</v>
      </c>
      <c r="E226" s="37">
        <f t="shared" ca="1" si="15"/>
        <v>-12.881900687990965</v>
      </c>
    </row>
    <row r="227" spans="1:5" x14ac:dyDescent="0.25">
      <c r="A227" s="34">
        <f t="shared" si="16"/>
        <v>21.500000000000036</v>
      </c>
      <c r="B227" s="35">
        <f t="shared" ca="1" si="17"/>
        <v>2.9733955584337375</v>
      </c>
      <c r="C227" s="1">
        <f t="shared" ca="1" si="18"/>
        <v>-4.8777257604988344</v>
      </c>
      <c r="D227" s="1">
        <f t="shared" ca="1" si="19"/>
        <v>-4.8777257604988344</v>
      </c>
      <c r="E227" s="37">
        <f t="shared" ca="1" si="15"/>
        <v>-11.314267614218311</v>
      </c>
    </row>
    <row r="228" spans="1:5" x14ac:dyDescent="0.25">
      <c r="A228" s="34">
        <f t="shared" si="16"/>
        <v>21.600000000000037</v>
      </c>
      <c r="B228" s="35">
        <f t="shared" ca="1" si="17"/>
        <v>2.4340409095771482</v>
      </c>
      <c r="C228" s="1">
        <f t="shared" ca="1" si="18"/>
        <v>-5.9093672166329538</v>
      </c>
      <c r="D228" s="1">
        <f t="shared" ca="1" si="19"/>
        <v>-5.9093672166329538</v>
      </c>
      <c r="E228" s="37">
        <f t="shared" ca="1" si="15"/>
        <v>-9.3185615084640787</v>
      </c>
    </row>
    <row r="229" spans="1:5" x14ac:dyDescent="0.25">
      <c r="A229" s="34">
        <f t="shared" si="16"/>
        <v>21.700000000000038</v>
      </c>
      <c r="B229" s="35">
        <f t="shared" ca="1" si="17"/>
        <v>1.8023872024832133</v>
      </c>
      <c r="C229" s="1">
        <f t="shared" ca="1" si="18"/>
        <v>-6.7237069252457466</v>
      </c>
      <c r="D229" s="1">
        <f t="shared" ca="1" si="19"/>
        <v>-6.7237069252457466</v>
      </c>
      <c r="E229" s="37">
        <f t="shared" ca="1" si="15"/>
        <v>-6.9682326637917802</v>
      </c>
    </row>
    <row r="230" spans="1:5" x14ac:dyDescent="0.25">
      <c r="A230" s="34">
        <f t="shared" si="16"/>
        <v>21.80000000000004</v>
      </c>
      <c r="B230" s="35">
        <f t="shared" ca="1" si="17"/>
        <v>1.1017202475807446</v>
      </c>
      <c r="C230" s="1">
        <f t="shared" ca="1" si="18"/>
        <v>-7.2896321728036266</v>
      </c>
      <c r="D230" s="1">
        <f t="shared" ca="1" si="19"/>
        <v>-7.2896321728036266</v>
      </c>
      <c r="E230" s="37">
        <f t="shared" ca="1" si="15"/>
        <v>-4.3502722873658213</v>
      </c>
    </row>
    <row r="231" spans="1:5" x14ac:dyDescent="0.25">
      <c r="A231" s="34">
        <f t="shared" si="16"/>
        <v>21.900000000000041</v>
      </c>
      <c r="B231" s="35">
        <f t="shared" ca="1" si="17"/>
        <v>0.35797639990104957</v>
      </c>
      <c r="C231" s="1">
        <f t="shared" ca="1" si="18"/>
        <v>-7.5852447807902728</v>
      </c>
      <c r="D231" s="1">
        <f t="shared" ca="1" si="19"/>
        <v>-7.5852447807902728</v>
      </c>
      <c r="E231" s="37">
        <f t="shared" ca="1" si="15"/>
        <v>-1.561979872367097</v>
      </c>
    </row>
    <row r="232" spans="1:5" x14ac:dyDescent="0.25">
      <c r="A232" s="34">
        <f t="shared" si="16"/>
        <v>22.000000000000043</v>
      </c>
      <c r="B232" s="35">
        <f t="shared" ca="1" si="17"/>
        <v>-0.40122135904808898</v>
      </c>
      <c r="C232" s="1">
        <f t="shared" ca="1" si="18"/>
        <v>-7.598710398192499</v>
      </c>
      <c r="D232" s="1">
        <f t="shared" ca="1" si="19"/>
        <v>-7.598710398192499</v>
      </c>
      <c r="E232" s="37">
        <f t="shared" ca="1" si="15"/>
        <v>1.2926675243225709</v>
      </c>
    </row>
    <row r="233" spans="1:5" x14ac:dyDescent="0.25">
      <c r="A233" s="34">
        <f t="shared" si="16"/>
        <v>22.100000000000044</v>
      </c>
      <c r="B233" s="35">
        <f t="shared" ca="1" si="17"/>
        <v>-1.1475934598558375</v>
      </c>
      <c r="C233" s="1">
        <f t="shared" ca="1" si="18"/>
        <v>-7.3287316179624709</v>
      </c>
      <c r="D233" s="1">
        <f t="shared" ca="1" si="19"/>
        <v>-7.3287316179624709</v>
      </c>
      <c r="E233" s="37">
        <f t="shared" ca="1" si="15"/>
        <v>4.106908080278</v>
      </c>
    </row>
    <row r="234" spans="1:5" x14ac:dyDescent="0.25">
      <c r="A234" s="34">
        <f t="shared" si="16"/>
        <v>22.200000000000045</v>
      </c>
      <c r="B234" s="35">
        <f t="shared" ca="1" si="17"/>
        <v>-1.8532613420338104</v>
      </c>
      <c r="C234" s="1">
        <f t="shared" ca="1" si="18"/>
        <v>-6.7846260255969897</v>
      </c>
      <c r="D234" s="1">
        <f t="shared" ca="1" si="19"/>
        <v>-6.7846260255969897</v>
      </c>
      <c r="E234" s="37">
        <f t="shared" ca="1" si="15"/>
        <v>6.7752037670316243</v>
      </c>
    </row>
    <row r="235" spans="1:5" x14ac:dyDescent="0.25">
      <c r="A235" s="34">
        <f t="shared" si="16"/>
        <v>22.300000000000047</v>
      </c>
      <c r="B235" s="35">
        <f t="shared" ca="1" si="17"/>
        <v>-2.4917929012239468</v>
      </c>
      <c r="C235" s="1">
        <f t="shared" ca="1" si="18"/>
        <v>-5.9860051582057352</v>
      </c>
      <c r="D235" s="1">
        <f t="shared" ca="1" si="19"/>
        <v>-5.9860051582057352</v>
      </c>
      <c r="E235" s="37">
        <f t="shared" ca="1" si="15"/>
        <v>9.1972135807934592</v>
      </c>
    </row>
    <row r="236" spans="1:5" x14ac:dyDescent="0.25">
      <c r="A236" s="34">
        <f t="shared" si="16"/>
        <v>22.400000000000048</v>
      </c>
      <c r="B236" s="35">
        <f t="shared" ca="1" si="17"/>
        <v>-3.0391964298552256</v>
      </c>
      <c r="C236" s="1">
        <f t="shared" ca="1" si="18"/>
        <v>-4.9620654144198433</v>
      </c>
      <c r="D236" s="1">
        <f t="shared" ca="1" si="19"/>
        <v>-4.9620654144198433</v>
      </c>
      <c r="E236" s="37">
        <f t="shared" ca="1" si="15"/>
        <v>11.281581294924386</v>
      </c>
    </row>
    <row r="237" spans="1:5" x14ac:dyDescent="0.25">
      <c r="A237" s="34">
        <f t="shared" si="16"/>
        <v>22.50000000000005</v>
      </c>
      <c r="B237" s="35">
        <f t="shared" ca="1" si="17"/>
        <v>-3.4748255325089321</v>
      </c>
      <c r="C237" s="1">
        <f t="shared" ca="1" si="18"/>
        <v>-3.7505166386542887</v>
      </c>
      <c r="D237" s="1">
        <f t="shared" ca="1" si="19"/>
        <v>-3.7505166386542887</v>
      </c>
      <c r="E237" s="37">
        <f t="shared" ca="1" si="15"/>
        <v>12.949394220386699</v>
      </c>
    </row>
    <row r="238" spans="1:5" x14ac:dyDescent="0.25">
      <c r="A238" s="34">
        <f t="shared" si="16"/>
        <v>22.600000000000051</v>
      </c>
      <c r="B238" s="35">
        <f t="shared" ca="1" si="17"/>
        <v>-3.7821607569406597</v>
      </c>
      <c r="C238" s="1">
        <f t="shared" ca="1" si="18"/>
        <v>-2.396187849980266</v>
      </c>
      <c r="D238" s="1">
        <f t="shared" ca="1" si="19"/>
        <v>-2.396187849980266</v>
      </c>
      <c r="E238" s="37">
        <f t="shared" ca="1" si="15"/>
        <v>14.137181553093749</v>
      </c>
    </row>
    <row r="239" spans="1:5" x14ac:dyDescent="0.25">
      <c r="A239" s="34">
        <f t="shared" si="16"/>
        <v>22.700000000000053</v>
      </c>
      <c r="B239" s="35">
        <f t="shared" ca="1" si="17"/>
        <v>-3.9494382430795589</v>
      </c>
      <c r="C239" s="1">
        <f t="shared" ca="1" si="18"/>
        <v>-0.94936187279771733</v>
      </c>
      <c r="D239" s="1">
        <f t="shared" ca="1" si="19"/>
        <v>-0.94936187279771733</v>
      </c>
      <c r="E239" s="37">
        <f t="shared" ca="1" si="15"/>
        <v>14.799337990557227</v>
      </c>
    </row>
    <row r="240" spans="1:5" x14ac:dyDescent="0.25">
      <c r="A240" s="34">
        <f t="shared" si="16"/>
        <v>22.800000000000054</v>
      </c>
      <c r="B240" s="35">
        <f t="shared" ca="1" si="17"/>
        <v>-3.9701013859414895</v>
      </c>
      <c r="C240" s="1">
        <f t="shared" ca="1" si="18"/>
        <v>0.53609901555910611</v>
      </c>
      <c r="D240" s="1">
        <f t="shared" ca="1" si="19"/>
        <v>0.53609901555910611</v>
      </c>
      <c r="E240" s="37">
        <f t="shared" ca="1" si="15"/>
        <v>14.909879776579242</v>
      </c>
    </row>
    <row r="241" spans="1:5" x14ac:dyDescent="0.25">
      <c r="A241" s="34">
        <f t="shared" si="16"/>
        <v>22.900000000000055</v>
      </c>
      <c r="B241" s="35">
        <f t="shared" ca="1" si="17"/>
        <v>-3.8430581215034749</v>
      </c>
      <c r="C241" s="1">
        <f t="shared" ca="1" si="18"/>
        <v>2.0047662732011844</v>
      </c>
      <c r="D241" s="1">
        <f t="shared" ca="1" si="19"/>
        <v>2.0047662732011844</v>
      </c>
      <c r="E241" s="37">
        <f t="shared" ca="1" si="15"/>
        <v>14.463465376262322</v>
      </c>
    </row>
    <row r="242" spans="1:5" x14ac:dyDescent="0.25">
      <c r="A242" s="34">
        <f t="shared" si="16"/>
        <v>23.000000000000057</v>
      </c>
      <c r="B242" s="35">
        <f t="shared" ca="1" si="17"/>
        <v>-3.5727337291147703</v>
      </c>
      <c r="C242" s="1">
        <f t="shared" ca="1" si="18"/>
        <v>3.4017215745729095</v>
      </c>
      <c r="D242" s="1">
        <f t="shared" ca="1" si="19"/>
        <v>3.4017215745729095</v>
      </c>
      <c r="E242" s="37">
        <f t="shared" ca="1" si="15"/>
        <v>13.475640651172178</v>
      </c>
    </row>
    <row r="243" spans="1:5" x14ac:dyDescent="0.25">
      <c r="A243" s="34">
        <f t="shared" si="16"/>
        <v>23.100000000000058</v>
      </c>
      <c r="B243" s="35">
        <f t="shared" ca="1" si="17"/>
        <v>-3.1689167259016693</v>
      </c>
      <c r="C243" s="1">
        <f t="shared" ca="1" si="18"/>
        <v>4.6746184896891112</v>
      </c>
      <c r="D243" s="1">
        <f t="shared" ca="1" si="19"/>
        <v>4.6746184896891112</v>
      </c>
      <c r="E243" s="37">
        <f t="shared" ca="1" si="15"/>
        <v>11.982297651151864</v>
      </c>
    </row>
    <row r="244" spans="1:5" x14ac:dyDescent="0.25">
      <c r="A244" s="34">
        <f t="shared" si="16"/>
        <v>23.20000000000006</v>
      </c>
      <c r="B244" s="35">
        <f t="shared" ca="1" si="17"/>
        <v>-2.6464032181600396</v>
      </c>
      <c r="C244" s="1">
        <f t="shared" ca="1" si="18"/>
        <v>5.7756516651434842</v>
      </c>
      <c r="D244" s="1">
        <f t="shared" ca="1" si="19"/>
        <v>5.7756516651434842</v>
      </c>
      <c r="E244" s="37">
        <f t="shared" ca="1" si="15"/>
        <v>10.038365857935597</v>
      </c>
    </row>
    <row r="245" spans="1:5" x14ac:dyDescent="0.25">
      <c r="A245" s="34">
        <f t="shared" si="16"/>
        <v>23.300000000000061</v>
      </c>
      <c r="B245" s="35">
        <f t="shared" ca="1" si="17"/>
        <v>-2.0244526775530818</v>
      </c>
      <c r="C245" s="1">
        <f t="shared" ca="1" si="18"/>
        <v>6.6633591469956706</v>
      </c>
      <c r="D245" s="1">
        <f t="shared" ca="1" si="19"/>
        <v>6.6633591469956706</v>
      </c>
      <c r="E245" s="37">
        <f t="shared" ca="1" si="15"/>
        <v>7.7157837791081318</v>
      </c>
    </row>
    <row r="246" spans="1:5" x14ac:dyDescent="0.25">
      <c r="A246" s="34">
        <f t="shared" si="16"/>
        <v>23.400000000000063</v>
      </c>
      <c r="B246" s="35">
        <f t="shared" ca="1" si="17"/>
        <v>-1.3260752381691225</v>
      </c>
      <c r="C246" s="1">
        <f t="shared" ca="1" si="18"/>
        <v>7.3041896406835116</v>
      </c>
      <c r="D246" s="1">
        <f t="shared" ca="1" si="19"/>
        <v>7.3041896406835116</v>
      </c>
      <c r="E246" s="37">
        <f t="shared" ca="1" si="15"/>
        <v>5.1008260946486859</v>
      </c>
    </row>
    <row r="247" spans="1:5" x14ac:dyDescent="0.25">
      <c r="A247" s="34">
        <f t="shared" si="16"/>
        <v>23.500000000000064</v>
      </c>
      <c r="B247" s="35">
        <f t="shared" ca="1" si="17"/>
        <v>-0.57717699370731168</v>
      </c>
      <c r="C247" s="1">
        <f t="shared" ca="1" si="18"/>
        <v>7.6737752485527055</v>
      </c>
      <c r="D247" s="1">
        <f t="shared" ca="1" si="19"/>
        <v>7.6737752485527055</v>
      </c>
      <c r="E247" s="37">
        <f t="shared" ca="1" si="15"/>
        <v>2.2908860627351939</v>
      </c>
    </row>
    <row r="248" spans="1:5" x14ac:dyDescent="0.25">
      <c r="A248" s="34">
        <f t="shared" si="16"/>
        <v>23.600000000000065</v>
      </c>
      <c r="B248" s="35">
        <f t="shared" ca="1" si="17"/>
        <v>0.19440483045911583</v>
      </c>
      <c r="C248" s="1">
        <f t="shared" ca="1" si="18"/>
        <v>7.7578612347758433</v>
      </c>
      <c r="D248" s="1">
        <f t="shared" ca="1" si="19"/>
        <v>7.7578612347758433</v>
      </c>
      <c r="E248" s="37">
        <f t="shared" ca="1" si="15"/>
        <v>-0.60916633827244482</v>
      </c>
    </row>
    <row r="249" spans="1:5" x14ac:dyDescent="0.25">
      <c r="A249" s="34">
        <f t="shared" si="16"/>
        <v>23.700000000000067</v>
      </c>
      <c r="B249" s="35">
        <f t="shared" ca="1" si="17"/>
        <v>0.95994075355791419</v>
      </c>
      <c r="C249" s="1">
        <f t="shared" ca="1" si="18"/>
        <v>7.5528572272001222</v>
      </c>
      <c r="D249" s="1">
        <f t="shared" ca="1" si="19"/>
        <v>7.5528572272001222</v>
      </c>
      <c r="E249" s="37">
        <f t="shared" ca="1" si="15"/>
        <v>-3.4909138132419844</v>
      </c>
    </row>
    <row r="250" spans="1:5" x14ac:dyDescent="0.25">
      <c r="A250" s="34">
        <f t="shared" si="16"/>
        <v>23.800000000000068</v>
      </c>
      <c r="B250" s="35">
        <f t="shared" ca="1" si="17"/>
        <v>1.6908830395160335</v>
      </c>
      <c r="C250" s="1">
        <f t="shared" ca="1" si="18"/>
        <v>7.0659884919622629</v>
      </c>
      <c r="D250" s="1">
        <f t="shared" ca="1" si="19"/>
        <v>7.0659884919622629</v>
      </c>
      <c r="E250" s="37">
        <f t="shared" ca="1" si="15"/>
        <v>-6.2464608915151993</v>
      </c>
    </row>
    <row r="251" spans="1:5" x14ac:dyDescent="0.25">
      <c r="A251" s="34">
        <f t="shared" si="16"/>
        <v>23.90000000000007</v>
      </c>
      <c r="B251" s="35">
        <f t="shared" ca="1" si="17"/>
        <v>2.3599345127573832</v>
      </c>
      <c r="C251" s="1">
        <f t="shared" ca="1" si="18"/>
        <v>6.3150409728647343</v>
      </c>
      <c r="D251" s="1">
        <f t="shared" ca="1" si="19"/>
        <v>6.3150409728647343</v>
      </c>
      <c r="E251" s="37">
        <f t="shared" ca="1" si="15"/>
        <v>-8.7724894904353601</v>
      </c>
    </row>
    <row r="252" spans="1:5" x14ac:dyDescent="0.25">
      <c r="A252" s="34">
        <f t="shared" si="16"/>
        <v>24.000000000000071</v>
      </c>
      <c r="B252" s="35">
        <f t="shared" ca="1" si="17"/>
        <v>2.9420720166278844</v>
      </c>
      <c r="C252" s="1">
        <f t="shared" ca="1" si="18"/>
        <v>5.3277091045452911</v>
      </c>
      <c r="D252" s="1">
        <f t="shared" ca="1" si="19"/>
        <v>5.3277091045452911</v>
      </c>
      <c r="E252" s="37">
        <f t="shared" ca="1" si="15"/>
        <v>-10.974147875953504</v>
      </c>
    </row>
    <row r="253" spans="1:5" x14ac:dyDescent="0.25">
      <c r="A253" s="34">
        <f t="shared" si="16"/>
        <v>24.100000000000072</v>
      </c>
      <c r="B253" s="35">
        <f t="shared" ca="1" si="17"/>
        <v>3.4154859921901517</v>
      </c>
      <c r="C253" s="1">
        <f t="shared" ca="1" si="18"/>
        <v>4.1405704067000535</v>
      </c>
      <c r="D253" s="1">
        <f t="shared" ca="1" si="19"/>
        <v>4.1405704067000535</v>
      </c>
      <c r="E253" s="37">
        <f t="shared" ca="1" si="15"/>
        <v>-12.768626080951256</v>
      </c>
    </row>
    <row r="254" spans="1:5" x14ac:dyDescent="0.25">
      <c r="A254" s="34">
        <f t="shared" si="16"/>
        <v>24.200000000000074</v>
      </c>
      <c r="B254" s="35">
        <f t="shared" ca="1" si="17"/>
        <v>3.7624007614075281</v>
      </c>
      <c r="C254" s="1">
        <f t="shared" ca="1" si="18"/>
        <v>2.7977249776474773</v>
      </c>
      <c r="D254" s="1">
        <f t="shared" ca="1" si="19"/>
        <v>2.7977249776474773</v>
      </c>
      <c r="E254" s="37">
        <f t="shared" ca="1" si="15"/>
        <v>-14.088282500100268</v>
      </c>
    </row>
    <row r="255" spans="1:5" x14ac:dyDescent="0.25">
      <c r="A255" s="34">
        <f t="shared" si="16"/>
        <v>24.300000000000075</v>
      </c>
      <c r="B255" s="35">
        <f t="shared" ca="1" si="17"/>
        <v>3.969744544983548</v>
      </c>
      <c r="C255" s="1">
        <f t="shared" ca="1" si="18"/>
        <v>1.3491506938729243</v>
      </c>
      <c r="D255" s="1">
        <f t="shared" ca="1" si="19"/>
        <v>1.3491506938729243</v>
      </c>
      <c r="E255" s="37">
        <f t="shared" ca="1" si="15"/>
        <v>-14.88320317539079</v>
      </c>
    </row>
    <row r="256" spans="1:5" x14ac:dyDescent="0.25">
      <c r="A256" s="34">
        <f t="shared" si="16"/>
        <v>24.400000000000077</v>
      </c>
      <c r="B256" s="35">
        <f t="shared" ca="1" si="17"/>
        <v>4.0296438649625124</v>
      </c>
      <c r="C256" s="1">
        <f t="shared" ca="1" si="18"/>
        <v>-0.15116429429363221</v>
      </c>
      <c r="D256" s="1">
        <f t="shared" ca="1" si="19"/>
        <v>-0.15116429429363221</v>
      </c>
      <c r="E256" s="37">
        <f t="shared" ca="1" si="15"/>
        <v>-15.12309658794034</v>
      </c>
    </row>
    <row r="257" spans="1:5" x14ac:dyDescent="0.25">
      <c r="A257" s="34">
        <f t="shared" si="16"/>
        <v>24.500000000000078</v>
      </c>
      <c r="B257" s="35">
        <f t="shared" ca="1" si="17"/>
        <v>3.9397235646222657</v>
      </c>
      <c r="C257" s="1">
        <f t="shared" ca="1" si="18"/>
        <v>-1.647241712511303</v>
      </c>
      <c r="D257" s="1">
        <f t="shared" ca="1" si="19"/>
        <v>-1.647241712511303</v>
      </c>
      <c r="E257" s="37">
        <f t="shared" ca="1" si="15"/>
        <v>-14.798451776413076</v>
      </c>
    </row>
    <row r="258" spans="1:5" x14ac:dyDescent="0.25">
      <c r="A258" s="34">
        <f t="shared" si="16"/>
        <v>24.60000000000008</v>
      </c>
      <c r="B258" s="35">
        <f t="shared" ca="1" si="17"/>
        <v>3.7032009755155104</v>
      </c>
      <c r="C258" s="1">
        <f t="shared" ca="1" si="18"/>
        <v>-3.0832100696238052</v>
      </c>
      <c r="D258" s="1">
        <f t="shared" ca="1" si="19"/>
        <v>-3.0832100696238052</v>
      </c>
      <c r="E258" s="37">
        <f t="shared" ca="1" si="15"/>
        <v>-13.920915365836963</v>
      </c>
    </row>
    <row r="259" spans="1:5" x14ac:dyDescent="0.25">
      <c r="A259" s="34">
        <f t="shared" si="16"/>
        <v>24.700000000000081</v>
      </c>
      <c r="B259" s="35">
        <f t="shared" ca="1" si="17"/>
        <v>3.3287704987322302</v>
      </c>
      <c r="C259" s="1">
        <f t="shared" ca="1" si="18"/>
        <v>-4.4053994660418017</v>
      </c>
      <c r="D259" s="1">
        <f t="shared" ca="1" si="19"/>
        <v>-4.4053994660418017</v>
      </c>
      <c r="E259" s="37">
        <f t="shared" ca="1" si="15"/>
        <v>-12.522872562522975</v>
      </c>
    </row>
    <row r="260" spans="1:5" x14ac:dyDescent="0.25">
      <c r="A260" s="34">
        <f t="shared" si="16"/>
        <v>24.800000000000082</v>
      </c>
      <c r="B260" s="35">
        <f t="shared" ca="1" si="17"/>
        <v>2.8302827526342531</v>
      </c>
      <c r="C260" s="1">
        <f t="shared" ca="1" si="18"/>
        <v>-5.5643554559177426</v>
      </c>
      <c r="D260" s="1">
        <f t="shared" ca="1" si="19"/>
        <v>-5.5643554559177426</v>
      </c>
      <c r="E260" s="37">
        <f t="shared" ca="1" si="15"/>
        <v>-10.656247234995842</v>
      </c>
    </row>
    <row r="261" spans="1:5" x14ac:dyDescent="0.25">
      <c r="A261" s="34">
        <f t="shared" si="16"/>
        <v>24.900000000000084</v>
      </c>
      <c r="B261" s="35">
        <f t="shared" ca="1" si="17"/>
        <v>2.2262301746607522</v>
      </c>
      <c r="C261" s="1">
        <f t="shared" ca="1" si="18"/>
        <v>-6.5166961035522757</v>
      </c>
      <c r="D261" s="1">
        <f t="shared" ca="1" si="19"/>
        <v>-6.5166961035522757</v>
      </c>
      <c r="E261" s="37">
        <f t="shared" ca="1" si="15"/>
        <v>-8.3905657176948143</v>
      </c>
    </row>
    <row r="262" spans="1:5" x14ac:dyDescent="0.25">
      <c r="A262" s="34">
        <f t="shared" si="16"/>
        <v>25.000000000000085</v>
      </c>
      <c r="B262" s="35">
        <f t="shared" ca="1" si="17"/>
        <v>1.5390582579514556</v>
      </c>
      <c r="C262" s="1">
        <f t="shared" ca="1" si="18"/>
        <v>-7.226742230633656</v>
      </c>
      <c r="D262" s="1">
        <f t="shared" ca="1" si="19"/>
        <v>-7.226742230633656</v>
      </c>
      <c r="E262" s="37">
        <f t="shared" ca="1" si="15"/>
        <v>-5.8103568239327892</v>
      </c>
    </row>
    <row r="263" spans="1:5" x14ac:dyDescent="0.25">
      <c r="A263" s="34">
        <f t="shared" si="16"/>
        <v>25.100000000000087</v>
      </c>
      <c r="B263" s="35">
        <f t="shared" ca="1" si="17"/>
        <v>0.79432817862835281</v>
      </c>
      <c r="C263" s="1">
        <f t="shared" ca="1" si="18"/>
        <v>-7.6678593558283978</v>
      </c>
      <c r="D263" s="1">
        <f t="shared" ca="1" si="19"/>
        <v>-7.6678593558283978</v>
      </c>
      <c r="E263" s="37">
        <f t="shared" ca="1" si="15"/>
        <v>-3.0119856799620432</v>
      </c>
    </row>
    <row r="264" spans="1:5" x14ac:dyDescent="0.25">
      <c r="A264" s="34">
        <f t="shared" si="16"/>
        <v>25.200000000000088</v>
      </c>
      <c r="B264" s="35">
        <f t="shared" ca="1" si="17"/>
        <v>1.9762177749308441E-2</v>
      </c>
      <c r="C264" s="1">
        <f t="shared" ca="1" si="18"/>
        <v>-7.8234606617524873</v>
      </c>
      <c r="D264" s="1">
        <f t="shared" ca="1" si="19"/>
        <v>-7.8234606617524873</v>
      </c>
      <c r="E264" s="37">
        <f t="shared" ca="1" si="15"/>
        <v>-0.10004043851974088</v>
      </c>
    </row>
    <row r="265" spans="1:5" x14ac:dyDescent="0.25">
      <c r="A265" s="34">
        <f t="shared" si="16"/>
        <v>25.30000000000009</v>
      </c>
      <c r="B265" s="35">
        <f t="shared" ca="1" si="17"/>
        <v>-0.75579250922880192</v>
      </c>
      <c r="C265" s="1">
        <f t="shared" ca="1" si="18"/>
        <v>-7.6876330778097195</v>
      </c>
      <c r="D265" s="1">
        <f t="shared" ca="1" si="19"/>
        <v>-7.6876330778097195</v>
      </c>
      <c r="E265" s="37">
        <f t="shared" ca="1" si="15"/>
        <v>2.8165921173750967</v>
      </c>
    </row>
    <row r="266" spans="1:5" x14ac:dyDescent="0.25">
      <c r="A266" s="34">
        <f t="shared" si="16"/>
        <v>25.400000000000091</v>
      </c>
      <c r="B266" s="35">
        <f t="shared" ca="1" si="17"/>
        <v>-1.5034423010754541</v>
      </c>
      <c r="C266" s="1">
        <f t="shared" ca="1" si="18"/>
        <v>-7.2653627591233212</v>
      </c>
      <c r="D266" s="1">
        <f t="shared" ca="1" si="19"/>
        <v>-7.2653627591233212</v>
      </c>
      <c r="E266" s="37">
        <f t="shared" ca="1" si="15"/>
        <v>5.6288142563528645</v>
      </c>
    </row>
    <row r="267" spans="1:5" x14ac:dyDescent="0.25">
      <c r="A267" s="34">
        <f t="shared" si="16"/>
        <v>25.500000000000092</v>
      </c>
      <c r="B267" s="35">
        <f t="shared" ca="1" si="17"/>
        <v>-2.1953280058010076</v>
      </c>
      <c r="C267" s="1">
        <f t="shared" ca="1" si="18"/>
        <v>-6.5723513353877472</v>
      </c>
      <c r="D267" s="1">
        <f t="shared" ca="1" si="19"/>
        <v>-6.5723513353877472</v>
      </c>
      <c r="E267" s="37">
        <f t="shared" ca="1" si="15"/>
        <v>8.2314142183586103</v>
      </c>
    </row>
    <row r="268" spans="1:5" x14ac:dyDescent="0.25">
      <c r="A268" s="34">
        <f t="shared" si="16"/>
        <v>25.600000000000094</v>
      </c>
      <c r="B268" s="35">
        <f t="shared" ca="1" si="17"/>
        <v>-2.8056670589754384</v>
      </c>
      <c r="C268" s="1">
        <f t="shared" ca="1" si="18"/>
        <v>-5.6344297281008702</v>
      </c>
      <c r="D268" s="1">
        <f t="shared" ca="1" si="19"/>
        <v>-5.6344297281008702</v>
      </c>
      <c r="E268" s="37">
        <f t="shared" ref="E268:E331" ca="1" si="20" xml:space="preserve"> -R_x/L_x*D268-1/(L_x*C_x)*B268+E0_x*SIN(w_x*A268)/L_x</f>
        <v>10.527017927378923</v>
      </c>
    </row>
    <row r="269" spans="1:5" x14ac:dyDescent="0.25">
      <c r="A269" s="34">
        <f t="shared" si="16"/>
        <v>25.700000000000095</v>
      </c>
      <c r="B269" s="35">
        <f t="shared" ca="1" si="17"/>
        <v>-3.3117181207171713</v>
      </c>
      <c r="C269" s="1">
        <f t="shared" ca="1" si="18"/>
        <v>-4.4865915067337898</v>
      </c>
      <c r="D269" s="1">
        <f t="shared" ca="1" si="19"/>
        <v>-4.4865915067337898</v>
      </c>
      <c r="E269" s="37">
        <f t="shared" ca="1" si="20"/>
        <v>12.429746499962674</v>
      </c>
    </row>
    <row r="270" spans="1:5" x14ac:dyDescent="0.25">
      <c r="A270" s="34">
        <f t="shared" ref="A270:A333" si="21">A269+$A$9</f>
        <v>25.800000000000097</v>
      </c>
      <c r="B270" s="35">
        <f t="shared" ref="B270:B333" ca="1" si="22">IF($B$7="n",$B$12,$A$9/2*(C270+C269)+B269)</f>
        <v>-3.6946318010441397</v>
      </c>
      <c r="C270" s="1">
        <f t="shared" ref="C270:C333" ca="1" si="23">D270</f>
        <v>-3.171682099805575</v>
      </c>
      <c r="D270" s="1">
        <f t="shared" ref="D270:D333" ca="1" si="24">IF($B$7="n",$D$12,$A$9/2*(E270+E269)+D269)</f>
        <v>-3.171682099805575</v>
      </c>
      <c r="E270" s="37">
        <f t="shared" ca="1" si="20"/>
        <v>13.868441638601627</v>
      </c>
    </row>
    <row r="271" spans="1:5" x14ac:dyDescent="0.25">
      <c r="A271" s="34">
        <f t="shared" si="21"/>
        <v>25.900000000000098</v>
      </c>
      <c r="B271" s="35">
        <f t="shared" ca="1" si="22"/>
        <v>-3.9401555636657752</v>
      </c>
      <c r="C271" s="1">
        <f t="shared" ca="1" si="23"/>
        <v>-1.7387931526271352</v>
      </c>
      <c r="D271" s="1">
        <f t="shared" ca="1" si="24"/>
        <v>-1.7387931526271352</v>
      </c>
      <c r="E271" s="37">
        <f t="shared" ca="1" si="20"/>
        <v>14.789337304967166</v>
      </c>
    </row>
    <row r="272" spans="1:5" x14ac:dyDescent="0.25">
      <c r="A272" s="34">
        <f t="shared" si="21"/>
        <v>26.000000000000099</v>
      </c>
      <c r="B272" s="35">
        <f t="shared" ca="1" si="22"/>
        <v>-4.0391663432262526</v>
      </c>
      <c r="C272" s="1">
        <f t="shared" ca="1" si="23"/>
        <v>-0.24142243858241574</v>
      </c>
      <c r="D272" s="1">
        <f t="shared" ca="1" si="24"/>
        <v>-0.24142243858241574</v>
      </c>
      <c r="E272" s="37">
        <f t="shared" ca="1" si="20"/>
        <v>15.158076975927218</v>
      </c>
    </row>
    <row r="273" spans="1:5" x14ac:dyDescent="0.25">
      <c r="A273" s="34">
        <f t="shared" si="21"/>
        <v>26.100000000000101</v>
      </c>
      <c r="B273" s="35">
        <f t="shared" ca="1" si="22"/>
        <v>-3.9880108933876564</v>
      </c>
      <c r="C273" s="1">
        <f t="shared" ca="1" si="23"/>
        <v>1.2645314353543358</v>
      </c>
      <c r="D273" s="1">
        <f t="shared" ca="1" si="24"/>
        <v>1.2645314353543358</v>
      </c>
      <c r="E273" s="37">
        <f t="shared" ca="1" si="20"/>
        <v>14.96100050280781</v>
      </c>
    </row>
    <row r="274" spans="1:5" x14ac:dyDescent="0.25">
      <c r="A274" s="34">
        <f t="shared" si="21"/>
        <v>26.200000000000102</v>
      </c>
      <c r="B274" s="35">
        <f t="shared" ca="1" si="22"/>
        <v>-3.7886411181340014</v>
      </c>
      <c r="C274" s="1">
        <f t="shared" ca="1" si="23"/>
        <v>2.7228640697187645</v>
      </c>
      <c r="D274" s="1">
        <f t="shared" ca="1" si="24"/>
        <v>2.7228640697187645</v>
      </c>
      <c r="E274" s="37">
        <f t="shared" ca="1" si="20"/>
        <v>14.205652184480767</v>
      </c>
    </row>
    <row r="275" spans="1:5" x14ac:dyDescent="0.25">
      <c r="A275" s="34">
        <f t="shared" si="21"/>
        <v>26.300000000000104</v>
      </c>
      <c r="B275" s="35">
        <f t="shared" ca="1" si="22"/>
        <v>-3.448539352997134</v>
      </c>
      <c r="C275" s="1">
        <f t="shared" ca="1" si="23"/>
        <v>4.0791712330185836</v>
      </c>
      <c r="D275" s="1">
        <f t="shared" ca="1" si="24"/>
        <v>4.0791712330185836</v>
      </c>
      <c r="E275" s="37">
        <f t="shared" ca="1" si="20"/>
        <v>12.920491081515612</v>
      </c>
    </row>
    <row r="276" spans="1:5" x14ac:dyDescent="0.25">
      <c r="A276" s="34">
        <f t="shared" si="21"/>
        <v>26.400000000000105</v>
      </c>
      <c r="B276" s="35">
        <f t="shared" ca="1" si="22"/>
        <v>-2.9804364651750093</v>
      </c>
      <c r="C276" s="1">
        <f t="shared" ca="1" si="23"/>
        <v>5.2828865234239135</v>
      </c>
      <c r="D276" s="1">
        <f t="shared" ca="1" si="24"/>
        <v>5.2828865234239135</v>
      </c>
      <c r="E276" s="37">
        <f t="shared" ca="1" si="20"/>
        <v>11.153814726590973</v>
      </c>
    </row>
    <row r="277" spans="1:5" x14ac:dyDescent="0.25">
      <c r="A277" s="34">
        <f t="shared" si="21"/>
        <v>26.500000000000107</v>
      </c>
      <c r="B277" s="35">
        <f t="shared" ca="1" si="22"/>
        <v>-2.401833433307119</v>
      </c>
      <c r="C277" s="1">
        <f t="shared" ca="1" si="23"/>
        <v>6.2891741139338864</v>
      </c>
      <c r="D277" s="1">
        <f t="shared" ca="1" si="24"/>
        <v>6.2891741139338864</v>
      </c>
      <c r="E277" s="37">
        <f t="shared" ca="1" si="20"/>
        <v>8.9719370836084771</v>
      </c>
    </row>
    <row r="278" spans="1:5" x14ac:dyDescent="0.25">
      <c r="A278" s="34">
        <f t="shared" si="21"/>
        <v>26.600000000000108</v>
      </c>
      <c r="B278" s="35">
        <f t="shared" ca="1" si="22"/>
        <v>-1.7343444548318296</v>
      </c>
      <c r="C278" s="1">
        <f t="shared" ca="1" si="23"/>
        <v>7.0606054555719</v>
      </c>
      <c r="D278" s="1">
        <f t="shared" ca="1" si="24"/>
        <v>7.0606054555719</v>
      </c>
      <c r="E278" s="37">
        <f t="shared" ca="1" si="20"/>
        <v>6.4566897491517974</v>
      </c>
    </row>
    <row r="279" spans="1:5" x14ac:dyDescent="0.25">
      <c r="A279" s="34">
        <f t="shared" si="21"/>
        <v>26.700000000000109</v>
      </c>
      <c r="B279" s="35">
        <f t="shared" ca="1" si="22"/>
        <v>-1.0028863326287292</v>
      </c>
      <c r="C279" s="1">
        <f t="shared" ca="1" si="23"/>
        <v>7.5685569884901085</v>
      </c>
      <c r="D279" s="1">
        <f t="shared" ca="1" si="24"/>
        <v>7.5685569884901085</v>
      </c>
      <c r="E279" s="37">
        <f t="shared" ca="1" si="20"/>
        <v>3.7023409092123716</v>
      </c>
    </row>
    <row r="280" spans="1:5" x14ac:dyDescent="0.25">
      <c r="A280" s="34">
        <f t="shared" si="21"/>
        <v>26.800000000000111</v>
      </c>
      <c r="B280" s="35">
        <f t="shared" ca="1" si="22"/>
        <v>-0.23474466026775875</v>
      </c>
      <c r="C280" s="1">
        <f t="shared" ca="1" si="23"/>
        <v>7.7942764587292981</v>
      </c>
      <c r="D280" s="1">
        <f t="shared" ca="1" si="24"/>
        <v>7.7942764587292981</v>
      </c>
      <c r="E280" s="37">
        <f t="shared" ca="1" si="20"/>
        <v>0.81204849557142178</v>
      </c>
    </row>
    <row r="281" spans="1:5" x14ac:dyDescent="0.25">
      <c r="A281" s="34">
        <f t="shared" si="21"/>
        <v>26.900000000000112</v>
      </c>
      <c r="B281" s="35">
        <f t="shared" ca="1" si="22"/>
        <v>0.54144806059576966</v>
      </c>
      <c r="C281" s="1">
        <f t="shared" ca="1" si="23"/>
        <v>7.7295779585412676</v>
      </c>
      <c r="D281" s="1">
        <f t="shared" ca="1" si="24"/>
        <v>7.7295779585412676</v>
      </c>
      <c r="E281" s="37">
        <f t="shared" ca="1" si="20"/>
        <v>-2.1060184993320363</v>
      </c>
    </row>
    <row r="282" spans="1:5" x14ac:dyDescent="0.25">
      <c r="A282" s="34">
        <f t="shared" si="21"/>
        <v>27.000000000000114</v>
      </c>
      <c r="B282" s="35">
        <f t="shared" ca="1" si="22"/>
        <v>1.2967839498168563</v>
      </c>
      <c r="C282" s="1">
        <f t="shared" ca="1" si="23"/>
        <v>7.377139825880465</v>
      </c>
      <c r="D282" s="1">
        <f t="shared" ca="1" si="24"/>
        <v>7.377139825880465</v>
      </c>
      <c r="E282" s="37">
        <f t="shared" ca="1" si="20"/>
        <v>-4.9427441538840169</v>
      </c>
    </row>
    <row r="283" spans="1:5" x14ac:dyDescent="0.25">
      <c r="A283" s="34">
        <f t="shared" si="21"/>
        <v>27.100000000000115</v>
      </c>
      <c r="B283" s="35">
        <f t="shared" ca="1" si="22"/>
        <v>2.0031606672461142</v>
      </c>
      <c r="C283" s="1">
        <f t="shared" ca="1" si="23"/>
        <v>6.7503945227046893</v>
      </c>
      <c r="D283" s="1">
        <f t="shared" ca="1" si="24"/>
        <v>6.7503945227046893</v>
      </c>
      <c r="E283" s="37">
        <f t="shared" ca="1" si="20"/>
        <v>-7.5921619096314901</v>
      </c>
    </row>
    <row r="284" spans="1:5" x14ac:dyDescent="0.25">
      <c r="A284" s="34">
        <f t="shared" si="21"/>
        <v>27.200000000000117</v>
      </c>
      <c r="B284" s="35">
        <f t="shared" ca="1" si="22"/>
        <v>2.634331143113311</v>
      </c>
      <c r="C284" s="1">
        <f t="shared" ca="1" si="23"/>
        <v>5.8730149946392469</v>
      </c>
      <c r="D284" s="1">
        <f t="shared" ca="1" si="24"/>
        <v>5.8730149946392469</v>
      </c>
      <c r="E284" s="37">
        <f t="shared" ca="1" si="20"/>
        <v>-9.9554286516773534</v>
      </c>
    </row>
    <row r="285" spans="1:5" x14ac:dyDescent="0.25">
      <c r="A285" s="34">
        <f t="shared" si="21"/>
        <v>27.300000000000118</v>
      </c>
      <c r="B285" s="35">
        <f t="shared" ca="1" si="22"/>
        <v>3.1668827535564477</v>
      </c>
      <c r="C285" s="1">
        <f t="shared" ca="1" si="23"/>
        <v>4.7780172142234898</v>
      </c>
      <c r="D285" s="1">
        <f t="shared" ca="1" si="24"/>
        <v>4.7780172142234898</v>
      </c>
      <c r="E285" s="37">
        <f t="shared" ca="1" si="20"/>
        <v>-11.944526956637784</v>
      </c>
    </row>
    <row r="286" spans="1:5" x14ac:dyDescent="0.25">
      <c r="A286" s="34">
        <f t="shared" si="21"/>
        <v>27.400000000000119</v>
      </c>
      <c r="B286" s="35">
        <f t="shared" ca="1" si="22"/>
        <v>3.5811092668511773</v>
      </c>
      <c r="C286" s="1">
        <f t="shared" ca="1" si="23"/>
        <v>3.5065130516711038</v>
      </c>
      <c r="D286" s="1">
        <f t="shared" ca="1" si="24"/>
        <v>3.5065130516711038</v>
      </c>
      <c r="E286" s="37">
        <f t="shared" ca="1" si="20"/>
        <v>-13.485556294409928</v>
      </c>
    </row>
    <row r="287" spans="1:5" x14ac:dyDescent="0.25">
      <c r="A287" s="34">
        <f t="shared" si="21"/>
        <v>27.500000000000121</v>
      </c>
      <c r="B287" s="35">
        <f t="shared" ca="1" si="22"/>
        <v>3.8617429572033455</v>
      </c>
      <c r="C287" s="1">
        <f t="shared" ca="1" si="23"/>
        <v>2.1061607553722563</v>
      </c>
      <c r="D287" s="1">
        <f t="shared" ca="1" si="24"/>
        <v>2.1061607553722563</v>
      </c>
      <c r="E287" s="37">
        <f t="shared" ca="1" si="20"/>
        <v>-14.521489631567022</v>
      </c>
    </row>
    <row r="288" spans="1:5" x14ac:dyDescent="0.25">
      <c r="A288" s="34">
        <f t="shared" si="21"/>
        <v>27.600000000000122</v>
      </c>
      <c r="B288" s="35">
        <f t="shared" ca="1" si="22"/>
        <v>3.9985195781569551</v>
      </c>
      <c r="C288" s="1">
        <f t="shared" ca="1" si="23"/>
        <v>0.62937166369993691</v>
      </c>
      <c r="D288" s="1">
        <f t="shared" ca="1" si="24"/>
        <v>0.62937166369993691</v>
      </c>
      <c r="E288" s="37">
        <f t="shared" ca="1" si="20"/>
        <v>-15.014292201879366</v>
      </c>
    </row>
    <row r="289" spans="1:5" x14ac:dyDescent="0.25">
      <c r="A289" s="34">
        <f t="shared" si="21"/>
        <v>27.700000000000124</v>
      </c>
      <c r="B289" s="35">
        <f t="shared" ca="1" si="22"/>
        <v>3.9865552055012121</v>
      </c>
      <c r="C289" s="1">
        <f t="shared" ca="1" si="23"/>
        <v>-0.86865911681479435</v>
      </c>
      <c r="D289" s="1">
        <f t="shared" ca="1" si="24"/>
        <v>-0.86865911681479435</v>
      </c>
      <c r="E289" s="37">
        <f t="shared" ca="1" si="20"/>
        <v>-14.946323408415259</v>
      </c>
    </row>
    <row r="290" spans="1:5" x14ac:dyDescent="0.25">
      <c r="A290" s="34">
        <f t="shared" si="21"/>
        <v>27.800000000000125</v>
      </c>
      <c r="B290" s="35">
        <f t="shared" ca="1" si="22"/>
        <v>3.8265210603472357</v>
      </c>
      <c r="C290" s="1">
        <f t="shared" ca="1" si="23"/>
        <v>-2.3320237862647319</v>
      </c>
      <c r="D290" s="1">
        <f t="shared" ca="1" si="24"/>
        <v>-2.3320237862647319</v>
      </c>
      <c r="E290" s="37">
        <f t="shared" ca="1" si="20"/>
        <v>-14.320969980583488</v>
      </c>
    </row>
    <row r="291" spans="1:5" x14ac:dyDescent="0.25">
      <c r="A291" s="34">
        <f t="shared" si="21"/>
        <v>27.900000000000126</v>
      </c>
      <c r="B291" s="35">
        <f t="shared" ca="1" si="22"/>
        <v>3.5246100377799778</v>
      </c>
      <c r="C291" s="1">
        <f t="shared" ca="1" si="23"/>
        <v>-3.7061966650804266</v>
      </c>
      <c r="D291" s="1">
        <f t="shared" ca="1" si="24"/>
        <v>-3.7061966650804266</v>
      </c>
      <c r="E291" s="37">
        <f t="shared" ca="1" si="20"/>
        <v>-13.162487595730401</v>
      </c>
    </row>
    <row r="292" spans="1:5" x14ac:dyDescent="0.25">
      <c r="A292" s="34">
        <f t="shared" si="21"/>
        <v>28.000000000000128</v>
      </c>
      <c r="B292" s="35">
        <f t="shared" ca="1" si="22"/>
        <v>3.0922965070726129</v>
      </c>
      <c r="C292" s="1">
        <f t="shared" ca="1" si="23"/>
        <v>-4.940073949066873</v>
      </c>
      <c r="D292" s="1">
        <f t="shared" ca="1" si="24"/>
        <v>-4.940073949066873</v>
      </c>
      <c r="E292" s="37">
        <f t="shared" ca="1" si="20"/>
        <v>-11.515058083998532</v>
      </c>
    </row>
    <row r="293" spans="1:5" x14ac:dyDescent="0.25">
      <c r="A293" s="34">
        <f t="shared" si="21"/>
        <v>28.100000000000129</v>
      </c>
      <c r="B293" s="35">
        <f t="shared" ca="1" si="22"/>
        <v>2.5458987196239673</v>
      </c>
      <c r="C293" s="1">
        <f t="shared" ca="1" si="23"/>
        <v>-5.9878817999060407</v>
      </c>
      <c r="D293" s="1">
        <f t="shared" ca="1" si="24"/>
        <v>-5.9878817999060407</v>
      </c>
      <c r="E293" s="37">
        <f t="shared" ca="1" si="20"/>
        <v>-9.441098932784822</v>
      </c>
    </row>
    <row r="294" spans="1:5" x14ac:dyDescent="0.25">
      <c r="A294" s="34">
        <f t="shared" si="21"/>
        <v>28.200000000000131</v>
      </c>
      <c r="B294" s="35">
        <f t="shared" ca="1" si="22"/>
        <v>1.9059605673704898</v>
      </c>
      <c r="C294" s="1">
        <f t="shared" ca="1" si="23"/>
        <v>-6.8108812451635075</v>
      </c>
      <c r="D294" s="1">
        <f t="shared" ca="1" si="24"/>
        <v>-6.8108812451635075</v>
      </c>
      <c r="E294" s="37">
        <f t="shared" ca="1" si="20"/>
        <v>-7.0188899723645077</v>
      </c>
    </row>
    <row r="295" spans="1:5" x14ac:dyDescent="0.25">
      <c r="A295" s="34">
        <f t="shared" si="21"/>
        <v>28.300000000000132</v>
      </c>
      <c r="B295" s="35">
        <f t="shared" ca="1" si="22"/>
        <v>1.1964761984429697</v>
      </c>
      <c r="C295" s="1">
        <f t="shared" ca="1" si="23"/>
        <v>-7.3788061333868953</v>
      </c>
      <c r="D295" s="1">
        <f t="shared" ca="1" si="24"/>
        <v>-7.3788061333868953</v>
      </c>
      <c r="E295" s="37">
        <f t="shared" ca="1" si="20"/>
        <v>-4.3396077921032576</v>
      </c>
    </row>
    <row r="296" spans="1:5" x14ac:dyDescent="0.25">
      <c r="A296" s="34">
        <f t="shared" si="21"/>
        <v>28.400000000000134</v>
      </c>
      <c r="B296" s="35">
        <f t="shared" ca="1" si="22"/>
        <v>0.44398686402756493</v>
      </c>
      <c r="C296" s="1">
        <f t="shared" ca="1" si="23"/>
        <v>-7.6709805549211989</v>
      </c>
      <c r="D296" s="1">
        <f t="shared" ca="1" si="24"/>
        <v>-7.6709805549211989</v>
      </c>
      <c r="E296" s="37">
        <f t="shared" ca="1" si="20"/>
        <v>-1.5038806385828158</v>
      </c>
    </row>
    <row r="297" spans="1:5" x14ac:dyDescent="0.25">
      <c r="A297" s="34">
        <f t="shared" si="21"/>
        <v>28.500000000000135</v>
      </c>
      <c r="B297" s="35">
        <f t="shared" ca="1" si="22"/>
        <v>-0.32341587917952119</v>
      </c>
      <c r="C297" s="1">
        <f t="shared" ca="1" si="23"/>
        <v>-7.6770743092205223</v>
      </c>
      <c r="D297" s="1">
        <f t="shared" ca="1" si="24"/>
        <v>-7.6770743092205223</v>
      </c>
      <c r="E297" s="37">
        <f t="shared" ca="1" si="20"/>
        <v>1.3820055525963544</v>
      </c>
    </row>
    <row r="298" spans="1:5" x14ac:dyDescent="0.25">
      <c r="A298" s="34">
        <f t="shared" si="21"/>
        <v>28.600000000000136</v>
      </c>
      <c r="B298" s="35">
        <f t="shared" ca="1" si="22"/>
        <v>-1.0771430301913982</v>
      </c>
      <c r="C298" s="1">
        <f t="shared" ca="1" si="23"/>
        <v>-7.3974687110170176</v>
      </c>
      <c r="D298" s="1">
        <f t="shared" ca="1" si="24"/>
        <v>-7.3974687110170176</v>
      </c>
      <c r="E298" s="37">
        <f t="shared" ca="1" si="20"/>
        <v>4.2101064114737339</v>
      </c>
    </row>
    <row r="299" spans="1:5" x14ac:dyDescent="0.25">
      <c r="A299" s="34">
        <f t="shared" si="21"/>
        <v>28.700000000000138</v>
      </c>
      <c r="B299" s="35">
        <f t="shared" ca="1" si="22"/>
        <v>-1.7891774537138396</v>
      </c>
      <c r="C299" s="1">
        <f t="shared" ca="1" si="23"/>
        <v>-6.8432197594318103</v>
      </c>
      <c r="D299" s="1">
        <f t="shared" ca="1" si="24"/>
        <v>-6.8432197594318103</v>
      </c>
      <c r="E299" s="37">
        <f t="shared" ca="1" si="20"/>
        <v>6.8748726202304216</v>
      </c>
    </row>
    <row r="300" spans="1:5" x14ac:dyDescent="0.25">
      <c r="A300" s="34">
        <f t="shared" si="21"/>
        <v>28.800000000000139</v>
      </c>
      <c r="B300" s="35">
        <f t="shared" ca="1" si="22"/>
        <v>-2.4331194860348</v>
      </c>
      <c r="C300" s="1">
        <f t="shared" ca="1" si="23"/>
        <v>-6.0356208869873971</v>
      </c>
      <c r="D300" s="1">
        <f t="shared" ca="1" si="24"/>
        <v>-6.0356208869873971</v>
      </c>
      <c r="E300" s="37">
        <f t="shared" ca="1" si="20"/>
        <v>9.2771048286578353</v>
      </c>
    </row>
    <row r="301" spans="1:5" x14ac:dyDescent="0.25">
      <c r="A301" s="34">
        <f t="shared" si="21"/>
        <v>28.900000000000141</v>
      </c>
      <c r="B301" s="35">
        <f t="shared" ca="1" si="22"/>
        <v>-2.9851696595887618</v>
      </c>
      <c r="C301" s="1">
        <f t="shared" ca="1" si="23"/>
        <v>-5.005382584091838</v>
      </c>
      <c r="D301" s="1">
        <f t="shared" ca="1" si="24"/>
        <v>-5.005382584091838</v>
      </c>
      <c r="E301" s="37">
        <f t="shared" ca="1" si="20"/>
        <v>11.32766122925335</v>
      </c>
    </row>
    <row r="302" spans="1:5" x14ac:dyDescent="0.25">
      <c r="A302" s="34">
        <f t="shared" si="21"/>
        <v>29.000000000000142</v>
      </c>
      <c r="B302" s="35">
        <f t="shared" ca="1" si="22"/>
        <v>-3.4250118182406579</v>
      </c>
      <c r="C302" s="1">
        <f t="shared" ca="1" si="23"/>
        <v>-3.7914605889460851</v>
      </c>
      <c r="D302" s="1">
        <f t="shared" ca="1" si="24"/>
        <v>-3.7914605889460851</v>
      </c>
      <c r="E302" s="37">
        <f t="shared" ca="1" si="20"/>
        <v>12.950778673661707</v>
      </c>
    </row>
    <row r="303" spans="1:5" x14ac:dyDescent="0.25">
      <c r="A303" s="34">
        <f t="shared" si="21"/>
        <v>29.100000000000144</v>
      </c>
      <c r="B303" s="35">
        <f t="shared" ca="1" si="22"/>
        <v>-3.7365637226921424</v>
      </c>
      <c r="C303" s="1">
        <f t="shared" ca="1" si="23"/>
        <v>-2.4395775000836077</v>
      </c>
      <c r="D303" s="1">
        <f t="shared" ca="1" si="24"/>
        <v>-2.4395775000836077</v>
      </c>
      <c r="E303" s="37">
        <f t="shared" ca="1" si="20"/>
        <v>14.086883103587835</v>
      </c>
    </row>
    <row r="304" spans="1:5" x14ac:dyDescent="0.25">
      <c r="A304" s="34">
        <f t="shared" si="21"/>
        <v>29.200000000000145</v>
      </c>
      <c r="B304" s="35">
        <f t="shared" ca="1" si="22"/>
        <v>-3.9085673033771644</v>
      </c>
      <c r="C304" s="1">
        <f t="shared" ca="1" si="23"/>
        <v>-1.0004941136168322</v>
      </c>
      <c r="D304" s="1">
        <f t="shared" ca="1" si="24"/>
        <v>-1.0004941136168322</v>
      </c>
      <c r="E304" s="37">
        <f t="shared" ca="1" si="20"/>
        <v>14.694784625747676</v>
      </c>
    </row>
    <row r="305" spans="1:5" x14ac:dyDescent="0.25">
      <c r="A305" s="34">
        <f t="shared" si="21"/>
        <v>29.300000000000146</v>
      </c>
      <c r="B305" s="35">
        <f t="shared" ca="1" si="22"/>
        <v>-3.9349968130976714</v>
      </c>
      <c r="C305" s="1">
        <f t="shared" ca="1" si="23"/>
        <v>0.47190391920669494</v>
      </c>
      <c r="D305" s="1">
        <f t="shared" ca="1" si="24"/>
        <v>0.47190391920669494</v>
      </c>
      <c r="E305" s="37">
        <f t="shared" ca="1" si="20"/>
        <v>14.753176030722862</v>
      </c>
    </row>
    <row r="306" spans="1:5" x14ac:dyDescent="0.25">
      <c r="A306" s="34">
        <f t="shared" si="21"/>
        <v>29.400000000000148</v>
      </c>
      <c r="B306" s="35">
        <f t="shared" ca="1" si="22"/>
        <v>-3.8152700309960892</v>
      </c>
      <c r="C306" s="1">
        <f t="shared" ca="1" si="23"/>
        <v>1.9226317228249501</v>
      </c>
      <c r="D306" s="1">
        <f t="shared" ca="1" si="24"/>
        <v>1.9226317228249501</v>
      </c>
      <c r="E306" s="37">
        <f t="shared" ca="1" si="20"/>
        <v>14.261380041642237</v>
      </c>
    </row>
    <row r="307" spans="1:5" x14ac:dyDescent="0.25">
      <c r="A307" s="34">
        <f t="shared" si="21"/>
        <v>29.500000000000149</v>
      </c>
      <c r="B307" s="35">
        <f t="shared" ca="1" si="22"/>
        <v>-3.5542551109348008</v>
      </c>
      <c r="C307" s="1">
        <f t="shared" ca="1" si="23"/>
        <v>3.2976666784008191</v>
      </c>
      <c r="D307" s="1">
        <f t="shared" ca="1" si="24"/>
        <v>3.2976666784008191</v>
      </c>
      <c r="E307" s="37">
        <f t="shared" ca="1" si="20"/>
        <v>13.239319069875142</v>
      </c>
    </row>
    <row r="308" spans="1:5" x14ac:dyDescent="0.25">
      <c r="A308" s="34">
        <f t="shared" si="21"/>
        <v>29.600000000000151</v>
      </c>
      <c r="B308" s="35">
        <f t="shared" ca="1" si="22"/>
        <v>-3.1620733687523752</v>
      </c>
      <c r="C308" s="1">
        <f t="shared" ca="1" si="23"/>
        <v>4.5459681652476895</v>
      </c>
      <c r="D308" s="1">
        <f t="shared" ca="1" si="24"/>
        <v>4.5459681652476895</v>
      </c>
      <c r="E308" s="37">
        <f t="shared" ca="1" si="20"/>
        <v>11.726710667062262</v>
      </c>
    </row>
    <row r="309" spans="1:5" x14ac:dyDescent="0.25">
      <c r="A309" s="34">
        <f t="shared" si="21"/>
        <v>29.700000000000152</v>
      </c>
      <c r="B309" s="35">
        <f t="shared" ca="1" si="22"/>
        <v>-2.6537059728620993</v>
      </c>
      <c r="C309" s="1">
        <f t="shared" ca="1" si="23"/>
        <v>5.6213797525578295</v>
      </c>
      <c r="D309" s="1">
        <f t="shared" ca="1" si="24"/>
        <v>5.6213797525578295</v>
      </c>
      <c r="E309" s="37">
        <f t="shared" ca="1" si="20"/>
        <v>9.7815210791405374</v>
      </c>
    </row>
    <row r="310" spans="1:5" x14ac:dyDescent="0.25">
      <c r="A310" s="34">
        <f t="shared" si="21"/>
        <v>29.800000000000153</v>
      </c>
      <c r="B310" s="35">
        <f t="shared" ca="1" si="22"/>
        <v>-2.0484198518533923</v>
      </c>
      <c r="C310" s="1">
        <f t="shared" ca="1" si="23"/>
        <v>6.4843426676163141</v>
      </c>
      <c r="D310" s="1">
        <f t="shared" ca="1" si="24"/>
        <v>6.4843426676163141</v>
      </c>
      <c r="E310" s="37">
        <f t="shared" ca="1" si="20"/>
        <v>7.4777372220291527</v>
      </c>
    </row>
    <row r="311" spans="1:5" x14ac:dyDescent="0.25">
      <c r="A311" s="34">
        <f t="shared" si="21"/>
        <v>29.900000000000155</v>
      </c>
      <c r="B311" s="35">
        <f t="shared" ca="1" si="22"/>
        <v>-1.3690348846465321</v>
      </c>
      <c r="C311" s="1">
        <f t="shared" ca="1" si="23"/>
        <v>7.1033566765208871</v>
      </c>
      <c r="D311" s="1">
        <f t="shared" ca="1" si="24"/>
        <v>7.1033566765208871</v>
      </c>
      <c r="E311" s="37">
        <f t="shared" ca="1" si="20"/>
        <v>4.9025429560623115</v>
      </c>
    </row>
    <row r="312" spans="1:5" x14ac:dyDescent="0.25">
      <c r="A312" s="34">
        <f t="shared" si="21"/>
        <v>30.000000000000156</v>
      </c>
      <c r="B312" s="35">
        <f t="shared" ca="1" si="22"/>
        <v>-0.64106034016675739</v>
      </c>
      <c r="C312" s="1">
        <f t="shared" ca="1" si="23"/>
        <v>7.4561342130746073</v>
      </c>
      <c r="D312" s="1">
        <f t="shared" ca="1" si="24"/>
        <v>7.4561342130746073</v>
      </c>
      <c r="E312" s="37">
        <f t="shared" ca="1" si="20"/>
        <v>2.1530077750120937</v>
      </c>
    </row>
    <row r="313" spans="1:5" x14ac:dyDescent="0.25">
      <c r="A313" s="34">
        <f t="shared" si="21"/>
        <v>30.100000000000158</v>
      </c>
      <c r="B313" s="35">
        <f t="shared" ca="1" si="22"/>
        <v>0.10826663585855512</v>
      </c>
      <c r="C313" s="1">
        <f t="shared" ca="1" si="23"/>
        <v>7.5304053074316428</v>
      </c>
      <c r="D313" s="1">
        <f t="shared" ca="1" si="24"/>
        <v>7.5304053074316428</v>
      </c>
      <c r="E313" s="37">
        <f t="shared" ca="1" si="20"/>
        <v>-0.66758588787138107</v>
      </c>
    </row>
    <row r="314" spans="1:5" x14ac:dyDescent="0.25">
      <c r="A314" s="34">
        <f t="shared" si="21"/>
        <v>30.200000000000159</v>
      </c>
      <c r="B314" s="35">
        <f t="shared" ca="1" si="22"/>
        <v>0.85100410869814125</v>
      </c>
      <c r="C314" s="1">
        <f t="shared" ca="1" si="23"/>
        <v>7.3243441493600789</v>
      </c>
      <c r="D314" s="1">
        <f t="shared" ca="1" si="24"/>
        <v>7.3243441493600789</v>
      </c>
      <c r="E314" s="37">
        <f t="shared" ca="1" si="20"/>
        <v>-3.4536372735599015</v>
      </c>
    </row>
    <row r="315" spans="1:5" x14ac:dyDescent="0.25">
      <c r="A315" s="34">
        <f t="shared" si="21"/>
        <v>30.300000000000161</v>
      </c>
      <c r="B315" s="35">
        <f t="shared" ca="1" si="22"/>
        <v>1.5595514393980308</v>
      </c>
      <c r="C315" s="1">
        <f t="shared" ca="1" si="23"/>
        <v>6.8466024646377139</v>
      </c>
      <c r="D315" s="1">
        <f t="shared" ca="1" si="24"/>
        <v>6.8466024646377139</v>
      </c>
      <c r="E315" s="37">
        <f t="shared" ca="1" si="20"/>
        <v>-6.1011964208873977</v>
      </c>
    </row>
    <row r="316" spans="1:5" x14ac:dyDescent="0.25">
      <c r="A316" s="34">
        <f t="shared" si="21"/>
        <v>30.400000000000162</v>
      </c>
      <c r="B316" s="35">
        <f t="shared" ca="1" si="22"/>
        <v>2.2076790497012082</v>
      </c>
      <c r="C316" s="1">
        <f t="shared" ca="1" si="23"/>
        <v>6.1159497414258368</v>
      </c>
      <c r="D316" s="1">
        <f t="shared" ca="1" si="24"/>
        <v>6.1159497414258368</v>
      </c>
      <c r="E316" s="37">
        <f t="shared" ca="1" si="20"/>
        <v>-8.5118580433501538</v>
      </c>
    </row>
    <row r="317" spans="1:5" x14ac:dyDescent="0.25">
      <c r="A317" s="34">
        <f t="shared" si="21"/>
        <v>30.500000000000163</v>
      </c>
      <c r="B317" s="35">
        <f t="shared" ca="1" si="22"/>
        <v>2.7715032944185207</v>
      </c>
      <c r="C317" s="1">
        <f t="shared" ca="1" si="23"/>
        <v>5.16053515292041</v>
      </c>
      <c r="D317" s="1">
        <f t="shared" ca="1" si="24"/>
        <v>5.16053515292041</v>
      </c>
      <c r="E317" s="37">
        <f t="shared" ca="1" si="20"/>
        <v>-10.59643372675839</v>
      </c>
    </row>
    <row r="318" spans="1:5" x14ac:dyDescent="0.25">
      <c r="A318" s="34">
        <f t="shared" si="21"/>
        <v>30.600000000000165</v>
      </c>
      <c r="B318" s="35">
        <f t="shared" ca="1" si="22"/>
        <v>3.2303700632244854</v>
      </c>
      <c r="C318" s="1">
        <f t="shared" ca="1" si="23"/>
        <v>4.0168002231988833</v>
      </c>
      <c r="D318" s="1">
        <f t="shared" ca="1" si="24"/>
        <v>4.0168002231988833</v>
      </c>
      <c r="E318" s="37">
        <f t="shared" ca="1" si="20"/>
        <v>-12.278264867672133</v>
      </c>
    </row>
    <row r="319" spans="1:5" x14ac:dyDescent="0.25">
      <c r="A319" s="34">
        <f t="shared" si="21"/>
        <v>30.700000000000166</v>
      </c>
      <c r="B319" s="35">
        <f t="shared" ca="1" si="22"/>
        <v>3.5676142913765934</v>
      </c>
      <c r="C319" s="1">
        <f t="shared" ca="1" si="23"/>
        <v>2.7280843398432726</v>
      </c>
      <c r="D319" s="1">
        <f t="shared" ca="1" si="24"/>
        <v>2.7280843398432726</v>
      </c>
      <c r="E319" s="37">
        <f t="shared" ca="1" si="20"/>
        <v>-13.496052799440079</v>
      </c>
    </row>
    <row r="320" spans="1:5" x14ac:dyDescent="0.25">
      <c r="A320" s="34">
        <f t="shared" si="21"/>
        <v>30.800000000000168</v>
      </c>
      <c r="B320" s="35">
        <f t="shared" ca="1" si="22"/>
        <v>3.7711673403480939</v>
      </c>
      <c r="C320" s="1">
        <f t="shared" ca="1" si="23"/>
        <v>1.3429766395867349</v>
      </c>
      <c r="D320" s="1">
        <f t="shared" ca="1" si="24"/>
        <v>1.3429766395867349</v>
      </c>
      <c r="E320" s="37">
        <f t="shared" ca="1" si="20"/>
        <v>-14.206101205690674</v>
      </c>
    </row>
    <row r="321" spans="1:5" x14ac:dyDescent="0.25">
      <c r="A321" s="34">
        <f t="shared" si="21"/>
        <v>30.900000000000169</v>
      </c>
      <c r="B321" s="35">
        <f t="shared" ca="1" si="22"/>
        <v>3.8339900300977723</v>
      </c>
      <c r="C321" s="1">
        <f t="shared" ca="1" si="23"/>
        <v>-8.6522844593163839E-2</v>
      </c>
      <c r="D321" s="1">
        <f t="shared" ca="1" si="24"/>
        <v>-8.6522844593163839E-2</v>
      </c>
      <c r="E321" s="37">
        <f t="shared" ca="1" si="20"/>
        <v>-14.383888477907297</v>
      </c>
    </row>
    <row r="322" spans="1:5" x14ac:dyDescent="0.25">
      <c r="A322" s="34">
        <f t="shared" si="21"/>
        <v>31.000000000000171</v>
      </c>
      <c r="B322" s="35">
        <f t="shared" ca="1" si="22"/>
        <v>3.7543157412786696</v>
      </c>
      <c r="C322" s="1">
        <f t="shared" ca="1" si="23"/>
        <v>-1.5069629317888857</v>
      </c>
      <c r="D322" s="1">
        <f t="shared" ca="1" si="24"/>
        <v>-1.5069629317888857</v>
      </c>
      <c r="E322" s="37">
        <f t="shared" ca="1" si="20"/>
        <v>-14.02491326600714</v>
      </c>
    </row>
    <row r="323" spans="1:5" x14ac:dyDescent="0.25">
      <c r="A323" s="34">
        <f t="shared" si="21"/>
        <v>31.100000000000172</v>
      </c>
      <c r="B323" s="35">
        <f t="shared" ca="1" si="22"/>
        <v>3.535695204639655</v>
      </c>
      <c r="C323" s="1">
        <f t="shared" ca="1" si="23"/>
        <v>-2.8654478009914048</v>
      </c>
      <c r="D323" s="1">
        <f t="shared" ca="1" si="24"/>
        <v>-2.8654478009914048</v>
      </c>
      <c r="E323" s="37">
        <f t="shared" ca="1" si="20"/>
        <v>-13.144784118043241</v>
      </c>
    </row>
    <row r="324" spans="1:5" x14ac:dyDescent="0.25">
      <c r="A324" s="34">
        <f t="shared" si="21"/>
        <v>31.200000000000173</v>
      </c>
      <c r="B324" s="35">
        <f t="shared" ca="1" si="22"/>
        <v>3.1868420823653794</v>
      </c>
      <c r="C324" s="1">
        <f t="shared" ca="1" si="23"/>
        <v>-4.1116146444941108</v>
      </c>
      <c r="D324" s="1">
        <f t="shared" ca="1" si="24"/>
        <v>-4.1116146444941108</v>
      </c>
      <c r="E324" s="37">
        <f t="shared" ca="1" si="20"/>
        <v>-11.778552752010867</v>
      </c>
    </row>
    <row r="325" spans="1:5" x14ac:dyDescent="0.25">
      <c r="A325" s="34">
        <f t="shared" si="21"/>
        <v>31.300000000000175</v>
      </c>
      <c r="B325" s="35">
        <f t="shared" ca="1" si="22"/>
        <v>2.7212859383865444</v>
      </c>
      <c r="C325" s="1">
        <f t="shared" ca="1" si="23"/>
        <v>-5.199508235082587</v>
      </c>
      <c r="D325" s="1">
        <f t="shared" ca="1" si="24"/>
        <v>-5.199508235082587</v>
      </c>
      <c r="E325" s="37">
        <f t="shared" ca="1" si="20"/>
        <v>-9.9793190597586552</v>
      </c>
    </row>
    <row r="326" spans="1:5" x14ac:dyDescent="0.25">
      <c r="A326" s="34">
        <f t="shared" si="21"/>
        <v>31.400000000000176</v>
      </c>
      <c r="B326" s="35">
        <f t="shared" ca="1" si="22"/>
        <v>2.1568464089088808</v>
      </c>
      <c r="C326" s="1">
        <f t="shared" ca="1" si="23"/>
        <v>-6.0892823544706873</v>
      </c>
      <c r="D326" s="1">
        <f t="shared" ca="1" si="24"/>
        <v>-6.0892823544706873</v>
      </c>
      <c r="E326" s="37">
        <f t="shared" ca="1" si="20"/>
        <v>-7.816163328003344</v>
      </c>
    </row>
    <row r="327" spans="1:5" x14ac:dyDescent="0.25">
      <c r="A327" s="34">
        <f t="shared" si="21"/>
        <v>31.500000000000178</v>
      </c>
      <c r="B327" s="35">
        <f t="shared" ca="1" si="22"/>
        <v>1.5149490492899864</v>
      </c>
      <c r="C327" s="1">
        <f t="shared" ca="1" si="23"/>
        <v>-6.748664837907203</v>
      </c>
      <c r="D327" s="1">
        <f t="shared" ca="1" si="24"/>
        <v>-6.748664837907203</v>
      </c>
      <c r="E327" s="37">
        <f t="shared" ca="1" si="20"/>
        <v>-5.3714863407269622</v>
      </c>
    </row>
    <row r="328" spans="1:5" x14ac:dyDescent="0.25">
      <c r="A328" s="34">
        <f t="shared" si="21"/>
        <v>31.600000000000179</v>
      </c>
      <c r="B328" s="35">
        <f t="shared" ca="1" si="22"/>
        <v>0.81980919951058917</v>
      </c>
      <c r="C328" s="1">
        <f t="shared" ca="1" si="23"/>
        <v>-7.1541321576807402</v>
      </c>
      <c r="D328" s="1">
        <f t="shared" ca="1" si="24"/>
        <v>-7.1541321576807402</v>
      </c>
      <c r="E328" s="37">
        <f t="shared" ca="1" si="20"/>
        <v>-2.7378600547437859</v>
      </c>
    </row>
    <row r="329" spans="1:5" x14ac:dyDescent="0.25">
      <c r="A329" s="34">
        <f t="shared" si="21"/>
        <v>31.70000000000018</v>
      </c>
      <c r="B329" s="35">
        <f t="shared" ca="1" si="22"/>
        <v>9.7515059622567679E-2</v>
      </c>
      <c r="C329" s="1">
        <f t="shared" ca="1" si="23"/>
        <v>-7.2917506400796901</v>
      </c>
      <c r="D329" s="1">
        <f t="shared" ca="1" si="24"/>
        <v>-7.2917506400796901</v>
      </c>
      <c r="E329" s="37">
        <f t="shared" ca="1" si="20"/>
        <v>-1.4509593235207285E-2</v>
      </c>
    </row>
    <row r="330" spans="1:5" x14ac:dyDescent="0.25">
      <c r="A330" s="34">
        <f t="shared" si="21"/>
        <v>31.800000000000182</v>
      </c>
      <c r="B330" s="35">
        <f t="shared" ca="1" si="22"/>
        <v>-0.62495518014852858</v>
      </c>
      <c r="C330" s="1">
        <f t="shared" ca="1" si="23"/>
        <v>-7.1576541553422324</v>
      </c>
      <c r="D330" s="1">
        <f t="shared" ca="1" si="24"/>
        <v>-7.1576541553422324</v>
      </c>
      <c r="E330" s="37">
        <f t="shared" ca="1" si="20"/>
        <v>2.6964392879843571</v>
      </c>
    </row>
    <row r="331" spans="1:5" x14ac:dyDescent="0.25">
      <c r="A331" s="34">
        <f t="shared" si="21"/>
        <v>31.900000000000183</v>
      </c>
      <c r="B331" s="35">
        <f t="shared" ca="1" si="22"/>
        <v>-1.320744985389537</v>
      </c>
      <c r="C331" s="1">
        <f t="shared" ca="1" si="23"/>
        <v>-6.7581419494779364</v>
      </c>
      <c r="D331" s="1">
        <f t="shared" ca="1" si="24"/>
        <v>-6.7581419494779364</v>
      </c>
      <c r="E331" s="37">
        <f t="shared" ca="1" si="20"/>
        <v>5.293804829301564</v>
      </c>
    </row>
    <row r="332" spans="1:5" x14ac:dyDescent="0.25">
      <c r="A332" s="34">
        <f t="shared" si="21"/>
        <v>32.000000000000185</v>
      </c>
      <c r="B332" s="35">
        <f t="shared" ca="1" si="22"/>
        <v>-1.9641218164971606</v>
      </c>
      <c r="C332" s="1">
        <f t="shared" ca="1" si="23"/>
        <v>-6.1093946726745365</v>
      </c>
      <c r="D332" s="1">
        <f t="shared" ca="1" si="24"/>
        <v>-6.1093946726745365</v>
      </c>
      <c r="E332" s="37">
        <f t="shared" ref="E332:E395" ca="1" si="25" xml:space="preserve"> -R_x/L_x*D332-1/(L_x*C_x)*B332+E0_x*SIN(w_x*A332)/L_x</f>
        <v>7.6811407067664268</v>
      </c>
    </row>
    <row r="333" spans="1:5" x14ac:dyDescent="0.25">
      <c r="A333" s="34">
        <f t="shared" si="21"/>
        <v>32.100000000000186</v>
      </c>
      <c r="B333" s="35">
        <f t="shared" ca="1" si="22"/>
        <v>-2.5314326028583798</v>
      </c>
      <c r="C333" s="1">
        <f t="shared" ca="1" si="23"/>
        <v>-5.2368210545498428</v>
      </c>
      <c r="D333" s="1">
        <f t="shared" ca="1" si="24"/>
        <v>-5.2368210545498428</v>
      </c>
      <c r="E333" s="37">
        <f t="shared" ca="1" si="25"/>
        <v>9.7703316557274444</v>
      </c>
    </row>
    <row r="334" spans="1:5" x14ac:dyDescent="0.25">
      <c r="A334" s="34">
        <f t="shared" ref="A334:A397" si="26">A333+$A$9</f>
        <v>32.200000000000188</v>
      </c>
      <c r="B334" s="35">
        <f t="shared" ref="B334:B397" ca="1" si="27">IF($B$7="n",$B$12,$A$9/2*(C334+C333)+B333)</f>
        <v>-3.0019767324340285</v>
      </c>
      <c r="C334" s="1">
        <f t="shared" ref="C334:C397" ca="1" si="28">D334</f>
        <v>-4.17406153696313</v>
      </c>
      <c r="D334" s="1">
        <f t="shared" ref="D334:D397" ca="1" si="29">IF($B$7="n",$D$12,$A$9/2*(E334+E333)+D333)</f>
        <v>-4.17406153696313</v>
      </c>
      <c r="E334" s="37">
        <f t="shared" ca="1" si="25"/>
        <v>11.484858696006802</v>
      </c>
    </row>
    <row r="335" spans="1:5" x14ac:dyDescent="0.25">
      <c r="A335" s="34">
        <f t="shared" si="26"/>
        <v>32.300000000000189</v>
      </c>
      <c r="B335" s="35">
        <f t="shared" ca="1" si="27"/>
        <v>-3.3587642081979068</v>
      </c>
      <c r="C335" s="1">
        <f t="shared" ca="1" si="28"/>
        <v>-2.9616879783144352</v>
      </c>
      <c r="D335" s="1">
        <f t="shared" ca="1" si="29"/>
        <v>-2.9616879783144352</v>
      </c>
      <c r="E335" s="37">
        <f t="shared" ca="1" si="25"/>
        <v>12.762612476967089</v>
      </c>
    </row>
    <row r="336" spans="1:5" x14ac:dyDescent="0.25">
      <c r="A336" s="34">
        <f t="shared" si="26"/>
        <v>32.40000000000019</v>
      </c>
      <c r="B336" s="35">
        <f t="shared" ca="1" si="27"/>
        <v>-3.5891310975880297</v>
      </c>
      <c r="C336" s="1">
        <f t="shared" ca="1" si="28"/>
        <v>-1.6456498094880254</v>
      </c>
      <c r="D336" s="1">
        <f t="shared" ca="1" si="29"/>
        <v>-1.6456498094880254</v>
      </c>
      <c r="E336" s="37">
        <f t="shared" ca="1" si="25"/>
        <v>13.558150899561106</v>
      </c>
    </row>
    <row r="337" spans="1:5" x14ac:dyDescent="0.25">
      <c r="A337" s="34">
        <f t="shared" si="26"/>
        <v>32.500000000000192</v>
      </c>
      <c r="B337" s="35">
        <f t="shared" ca="1" si="27"/>
        <v>-3.6851899046394903</v>
      </c>
      <c r="C337" s="1">
        <f t="shared" ca="1" si="28"/>
        <v>-0.27552633154118822</v>
      </c>
      <c r="D337" s="1">
        <f t="shared" ca="1" si="29"/>
        <v>-0.27552633154118822</v>
      </c>
      <c r="E337" s="37">
        <f t="shared" ca="1" si="25"/>
        <v>13.844318659375636</v>
      </c>
    </row>
    <row r="338" spans="1:5" x14ac:dyDescent="0.25">
      <c r="A338" s="34">
        <f t="shared" si="26"/>
        <v>32.600000000000193</v>
      </c>
      <c r="B338" s="35">
        <f t="shared" ca="1" si="27"/>
        <v>-3.6440988140026103</v>
      </c>
      <c r="C338" s="1">
        <f t="shared" ca="1" si="28"/>
        <v>1.0973481442787871</v>
      </c>
      <c r="D338" s="1">
        <f t="shared" ca="1" si="29"/>
        <v>1.0973481442787871</v>
      </c>
      <c r="E338" s="37">
        <f t="shared" ca="1" si="25"/>
        <v>13.613170857023867</v>
      </c>
    </row>
    <row r="339" spans="1:5" x14ac:dyDescent="0.25">
      <c r="A339" s="34">
        <f t="shared" si="26"/>
        <v>32.700000000000195</v>
      </c>
      <c r="B339" s="35">
        <f t="shared" ca="1" si="27"/>
        <v>-3.4681406489411057</v>
      </c>
      <c r="C339" s="1">
        <f t="shared" ca="1" si="28"/>
        <v>2.4218151569513013</v>
      </c>
      <c r="D339" s="1">
        <f t="shared" ca="1" si="29"/>
        <v>2.4218151569513013</v>
      </c>
      <c r="E339" s="37">
        <f t="shared" ca="1" si="25"/>
        <v>12.876169396426411</v>
      </c>
    </row>
    <row r="340" spans="1:5" x14ac:dyDescent="0.25">
      <c r="A340" s="34">
        <f t="shared" si="26"/>
        <v>32.800000000000196</v>
      </c>
      <c r="B340" s="35">
        <f t="shared" ca="1" si="27"/>
        <v>-3.164609588455995</v>
      </c>
      <c r="C340" s="1">
        <f t="shared" ca="1" si="28"/>
        <v>3.6488060527509112</v>
      </c>
      <c r="D340" s="1">
        <f t="shared" ca="1" si="29"/>
        <v>3.6488060527509112</v>
      </c>
      <c r="E340" s="37">
        <f t="shared" ca="1" si="25"/>
        <v>11.663648519565786</v>
      </c>
    </row>
    <row r="341" spans="1:5" x14ac:dyDescent="0.25">
      <c r="A341" s="34">
        <f t="shared" si="26"/>
        <v>32.900000000000198</v>
      </c>
      <c r="B341" s="35">
        <f t="shared" ca="1" si="27"/>
        <v>-2.7455109282446402</v>
      </c>
      <c r="C341" s="1">
        <f t="shared" ca="1" si="28"/>
        <v>4.7331671514761835</v>
      </c>
      <c r="D341" s="1">
        <f t="shared" ca="1" si="29"/>
        <v>4.7331671514761835</v>
      </c>
      <c r="E341" s="37">
        <f t="shared" ca="1" si="25"/>
        <v>10.023573454939664</v>
      </c>
    </row>
    <row r="342" spans="1:5" x14ac:dyDescent="0.25">
      <c r="A342" s="34">
        <f t="shared" si="26"/>
        <v>33.000000000000199</v>
      </c>
      <c r="B342" s="35">
        <f t="shared" ca="1" si="27"/>
        <v>-2.2270861726148916</v>
      </c>
      <c r="C342" s="1">
        <f t="shared" ca="1" si="28"/>
        <v>5.635327961118783</v>
      </c>
      <c r="D342" s="1">
        <f t="shared" ca="1" si="29"/>
        <v>5.635327961118783</v>
      </c>
      <c r="E342" s="37">
        <f t="shared" ca="1" si="25"/>
        <v>8.0196427379123172</v>
      </c>
    </row>
    <row r="343" spans="1:5" x14ac:dyDescent="0.25">
      <c r="A343" s="34">
        <f t="shared" si="26"/>
        <v>33.1000000000002</v>
      </c>
      <c r="B343" s="35">
        <f t="shared" ca="1" si="27"/>
        <v>-1.629182246430424</v>
      </c>
      <c r="C343" s="1">
        <f t="shared" ca="1" si="28"/>
        <v>6.3227505625705689</v>
      </c>
      <c r="D343" s="1">
        <f t="shared" ca="1" si="29"/>
        <v>6.3227505625705689</v>
      </c>
      <c r="E343" s="37">
        <f t="shared" ca="1" si="25"/>
        <v>5.7288092911233974</v>
      </c>
    </row>
    <row r="344" spans="1:5" x14ac:dyDescent="0.25">
      <c r="A344" s="34">
        <f t="shared" si="26"/>
        <v>33.200000000000202</v>
      </c>
      <c r="B344" s="35">
        <f t="shared" ca="1" si="27"/>
        <v>-0.97448937466646091</v>
      </c>
      <c r="C344" s="1">
        <f t="shared" ca="1" si="28"/>
        <v>6.7711068727086907</v>
      </c>
      <c r="D344" s="1">
        <f t="shared" ca="1" si="29"/>
        <v>6.7711068727086907</v>
      </c>
      <c r="E344" s="37">
        <f t="shared" ca="1" si="25"/>
        <v>3.2383169116390382</v>
      </c>
    </row>
    <row r="345" spans="1:5" x14ac:dyDescent="0.25">
      <c r="A345" s="34">
        <f t="shared" si="26"/>
        <v>33.300000000000203</v>
      </c>
      <c r="B345" s="35">
        <f t="shared" ca="1" si="27"/>
        <v>-0.28767697862699182</v>
      </c>
      <c r="C345" s="1">
        <f t="shared" ca="1" si="28"/>
        <v>6.9651410480806897</v>
      </c>
      <c r="D345" s="1">
        <f t="shared" ca="1" si="29"/>
        <v>6.9651410480806897</v>
      </c>
      <c r="E345" s="37">
        <f t="shared" ca="1" si="25"/>
        <v>0.64236659580094269</v>
      </c>
    </row>
    <row r="346" spans="1:5" x14ac:dyDescent="0.25">
      <c r="A346" s="34">
        <f t="shared" si="26"/>
        <v>33.400000000000205</v>
      </c>
      <c r="B346" s="35">
        <f t="shared" ca="1" si="27"/>
        <v>0.40553939388942395</v>
      </c>
      <c r="C346" s="1">
        <f t="shared" ca="1" si="28"/>
        <v>6.8991864022476239</v>
      </c>
      <c r="D346" s="1">
        <f t="shared" ca="1" si="29"/>
        <v>6.8991864022476239</v>
      </c>
      <c r="E346" s="37">
        <f t="shared" ca="1" si="25"/>
        <v>-1.9614595124622574</v>
      </c>
    </row>
    <row r="347" spans="1:5" x14ac:dyDescent="0.25">
      <c r="A347" s="34">
        <f t="shared" si="26"/>
        <v>33.500000000000206</v>
      </c>
      <c r="B347" s="35">
        <f t="shared" ca="1" si="27"/>
        <v>1.0793646845277569</v>
      </c>
      <c r="C347" s="1">
        <f t="shared" ca="1" si="28"/>
        <v>6.5773194105190349</v>
      </c>
      <c r="D347" s="1">
        <f t="shared" ca="1" si="29"/>
        <v>6.5773194105190349</v>
      </c>
      <c r="E347" s="37">
        <f t="shared" ca="1" si="25"/>
        <v>-4.4758803221095196</v>
      </c>
    </row>
    <row r="348" spans="1:5" x14ac:dyDescent="0.25">
      <c r="A348" s="34">
        <f t="shared" si="26"/>
        <v>33.600000000000207</v>
      </c>
      <c r="B348" s="35">
        <f t="shared" ca="1" si="27"/>
        <v>1.7088880130711748</v>
      </c>
      <c r="C348" s="1">
        <f t="shared" ca="1" si="28"/>
        <v>6.0131471603493205</v>
      </c>
      <c r="D348" s="1">
        <f t="shared" ca="1" si="29"/>
        <v>6.0131471603493205</v>
      </c>
      <c r="E348" s="37">
        <f t="shared" ca="1" si="25"/>
        <v>-6.8075646812847648</v>
      </c>
    </row>
    <row r="349" spans="1:5" x14ac:dyDescent="0.25">
      <c r="A349" s="34">
        <f t="shared" si="26"/>
        <v>33.700000000000209</v>
      </c>
      <c r="B349" s="35">
        <f t="shared" ca="1" si="27"/>
        <v>2.2710072935219907</v>
      </c>
      <c r="C349" s="1">
        <f t="shared" ca="1" si="28"/>
        <v>5.2292384486670018</v>
      </c>
      <c r="D349" s="1">
        <f t="shared" ca="1" si="29"/>
        <v>5.2292384486670018</v>
      </c>
      <c r="E349" s="37">
        <f t="shared" ca="1" si="25"/>
        <v>-8.8706095523616053</v>
      </c>
    </row>
    <row r="350" spans="1:5" x14ac:dyDescent="0.25">
      <c r="A350" s="34">
        <f t="shared" si="26"/>
        <v>33.80000000000021</v>
      </c>
      <c r="B350" s="35">
        <f t="shared" ca="1" si="27"/>
        <v>2.7452803211633459</v>
      </c>
      <c r="C350" s="1">
        <f t="shared" ca="1" si="28"/>
        <v>4.2562221041600985</v>
      </c>
      <c r="D350" s="1">
        <f t="shared" ca="1" si="29"/>
        <v>4.2562221041600985</v>
      </c>
      <c r="E350" s="37">
        <f t="shared" ca="1" si="25"/>
        <v>-10.589717337776452</v>
      </c>
    </row>
    <row r="351" spans="1:5" x14ac:dyDescent="0.25">
      <c r="A351" s="34">
        <f t="shared" si="26"/>
        <v>33.900000000000212</v>
      </c>
      <c r="B351" s="35">
        <f t="shared" ca="1" si="27"/>
        <v>3.1146708523195201</v>
      </c>
      <c r="C351" s="1">
        <f t="shared" ca="1" si="28"/>
        <v>3.1315885189633912</v>
      </c>
      <c r="D351" s="1">
        <f t="shared" ca="1" si="29"/>
        <v>3.1315885189633916</v>
      </c>
      <c r="E351" s="37">
        <f t="shared" ca="1" si="25"/>
        <v>-11.902954366157685</v>
      </c>
    </row>
    <row r="352" spans="1:5" x14ac:dyDescent="0.25">
      <c r="A352" s="34">
        <f t="shared" si="26"/>
        <v>34.000000000000213</v>
      </c>
      <c r="B352" s="35">
        <f t="shared" ca="1" si="27"/>
        <v>3.3661623455632905</v>
      </c>
      <c r="C352" s="1">
        <f t="shared" ca="1" si="28"/>
        <v>1.8982413459120169</v>
      </c>
      <c r="D352" s="1">
        <f t="shared" ca="1" si="29"/>
        <v>1.8982413459120173</v>
      </c>
      <c r="E352" s="37">
        <f t="shared" ca="1" si="25"/>
        <v>-12.7639890948698</v>
      </c>
    </row>
    <row r="353" spans="1:5" x14ac:dyDescent="0.25">
      <c r="A353" s="34">
        <f t="shared" si="26"/>
        <v>34.100000000000215</v>
      </c>
      <c r="B353" s="35">
        <f t="shared" ca="1" si="27"/>
        <v>3.4912171852248961</v>
      </c>
      <c r="C353" s="1">
        <f t="shared" ca="1" si="28"/>
        <v>0.60285544732009821</v>
      </c>
      <c r="D353" s="1">
        <f t="shared" ca="1" si="29"/>
        <v>0.60285544732009888</v>
      </c>
      <c r="E353" s="37">
        <f t="shared" ca="1" si="25"/>
        <v>-13.143728876968568</v>
      </c>
    </row>
    <row r="354" spans="1:5" x14ac:dyDescent="0.25">
      <c r="A354" s="34">
        <f t="shared" si="26"/>
        <v>34.200000000000216</v>
      </c>
      <c r="B354" s="35">
        <f t="shared" ca="1" si="27"/>
        <v>3.4860651643019676</v>
      </c>
      <c r="C354" s="1">
        <f t="shared" ca="1" si="28"/>
        <v>-0.70589586577866648</v>
      </c>
      <c r="D354" s="1">
        <f t="shared" ca="1" si="29"/>
        <v>-0.70589586577866559</v>
      </c>
      <c r="E354" s="37">
        <f t="shared" ca="1" si="25"/>
        <v>-13.031297385006718</v>
      </c>
    </row>
    <row r="355" spans="1:5" x14ac:dyDescent="0.25">
      <c r="A355" s="34">
        <f t="shared" si="26"/>
        <v>34.300000000000217</v>
      </c>
      <c r="B355" s="35">
        <f t="shared" ca="1" si="27"/>
        <v>3.3518115340600207</v>
      </c>
      <c r="C355" s="1">
        <f t="shared" ca="1" si="28"/>
        <v>-1.9791767390602657</v>
      </c>
      <c r="D355" s="1">
        <f t="shared" ca="1" si="29"/>
        <v>-1.9791767390602646</v>
      </c>
      <c r="E355" s="37">
        <f t="shared" ca="1" si="25"/>
        <v>-12.434320080625261</v>
      </c>
    </row>
    <row r="356" spans="1:5" x14ac:dyDescent="0.25">
      <c r="A356" s="34">
        <f t="shared" si="26"/>
        <v>34.400000000000219</v>
      </c>
      <c r="B356" s="35">
        <f t="shared" ca="1" si="27"/>
        <v>3.094361781217299</v>
      </c>
      <c r="C356" s="1">
        <f t="shared" ca="1" si="28"/>
        <v>-3.1698183177941681</v>
      </c>
      <c r="D356" s="1">
        <f t="shared" ca="1" si="29"/>
        <v>-3.1698183177941663</v>
      </c>
      <c r="E356" s="37">
        <f t="shared" ca="1" si="25"/>
        <v>-11.378511494052777</v>
      </c>
    </row>
    <row r="357" spans="1:5" x14ac:dyDescent="0.25">
      <c r="A357" s="34">
        <f t="shared" si="26"/>
        <v>34.50000000000022</v>
      </c>
      <c r="B357" s="35">
        <f t="shared" ca="1" si="27"/>
        <v>2.7241672093956</v>
      </c>
      <c r="C357" s="1">
        <f t="shared" ca="1" si="28"/>
        <v>-4.2340731186398131</v>
      </c>
      <c r="D357" s="1">
        <f t="shared" ca="1" si="29"/>
        <v>-4.2340731186398113</v>
      </c>
      <c r="E357" s="37">
        <f t="shared" ca="1" si="25"/>
        <v>-9.9065845228601113</v>
      </c>
    </row>
    <row r="358" spans="1:5" x14ac:dyDescent="0.25">
      <c r="A358" s="34">
        <f t="shared" si="26"/>
        <v>34.600000000000222</v>
      </c>
      <c r="B358" s="35">
        <f t="shared" ca="1" si="27"/>
        <v>2.2558021175511502</v>
      </c>
      <c r="C358" s="1">
        <f t="shared" ca="1" si="28"/>
        <v>-5.13322871824918</v>
      </c>
      <c r="D358" s="1">
        <f t="shared" ca="1" si="29"/>
        <v>-5.1332287182491783</v>
      </c>
      <c r="E358" s="37">
        <f t="shared" ca="1" si="25"/>
        <v>-8.0765274693272193</v>
      </c>
    </row>
    <row r="359" spans="1:5" x14ac:dyDescent="0.25">
      <c r="A359" s="34">
        <f t="shared" si="26"/>
        <v>34.700000000000223</v>
      </c>
      <c r="B359" s="35">
        <f t="shared" ca="1" si="27"/>
        <v>1.7073896316852548</v>
      </c>
      <c r="C359" s="1">
        <f t="shared" ca="1" si="28"/>
        <v>-5.8350209990687274</v>
      </c>
      <c r="D359" s="1">
        <f t="shared" ca="1" si="29"/>
        <v>-5.8350209990687247</v>
      </c>
      <c r="E359" s="37">
        <f t="shared" ca="1" si="25"/>
        <v>-5.9593181470637173</v>
      </c>
    </row>
    <row r="360" spans="1:5" x14ac:dyDescent="0.25">
      <c r="A360" s="34">
        <f t="shared" si="26"/>
        <v>34.800000000000225</v>
      </c>
      <c r="B360" s="35">
        <f t="shared" ca="1" si="27"/>
        <v>1.0998988233736087</v>
      </c>
      <c r="C360" s="1">
        <f t="shared" ca="1" si="28"/>
        <v>-6.3147951671641946</v>
      </c>
      <c r="D360" s="1">
        <f t="shared" ca="1" si="29"/>
        <v>-6.314795167164192</v>
      </c>
      <c r="E360" s="37">
        <f t="shared" ca="1" si="25"/>
        <v>-3.6361652148456187</v>
      </c>
    </row>
    <row r="361" spans="1:5" x14ac:dyDescent="0.25">
      <c r="A361" s="34">
        <f t="shared" si="26"/>
        <v>34.900000000000226</v>
      </c>
      <c r="B361" s="35">
        <f t="shared" ca="1" si="27"/>
        <v>0.45634043320673079</v>
      </c>
      <c r="C361" s="1">
        <f t="shared" ca="1" si="28"/>
        <v>-6.5563726361733616</v>
      </c>
      <c r="D361" s="1">
        <f t="shared" ca="1" si="29"/>
        <v>-6.556372636173359</v>
      </c>
      <c r="E361" s="37">
        <f t="shared" ca="1" si="25"/>
        <v>-1.195384165337714</v>
      </c>
    </row>
    <row r="362" spans="1:5" x14ac:dyDescent="0.25">
      <c r="A362" s="34">
        <f t="shared" si="26"/>
        <v>35.000000000000227</v>
      </c>
      <c r="B362" s="35">
        <f t="shared" ca="1" si="27"/>
        <v>-0.1991078620120893</v>
      </c>
      <c r="C362" s="1">
        <f t="shared" ca="1" si="28"/>
        <v>-6.5525932682030401</v>
      </c>
      <c r="D362" s="1">
        <f t="shared" ca="1" si="29"/>
        <v>-6.5525932682030366</v>
      </c>
      <c r="E362" s="37">
        <f t="shared" ca="1" si="25"/>
        <v>1.2709715247441575</v>
      </c>
    </row>
    <row r="363" spans="1:5" x14ac:dyDescent="0.25">
      <c r="A363" s="34">
        <f t="shared" si="26"/>
        <v>35.100000000000229</v>
      </c>
      <c r="B363" s="35">
        <f t="shared" ca="1" si="27"/>
        <v>-0.84201327212585009</v>
      </c>
      <c r="C363" s="1">
        <f t="shared" ca="1" si="28"/>
        <v>-6.3055149340721739</v>
      </c>
      <c r="D363" s="1">
        <f t="shared" ca="1" si="29"/>
        <v>-6.3055149340721703</v>
      </c>
      <c r="E363" s="37">
        <f t="shared" ca="1" si="25"/>
        <v>3.6705951578731724</v>
      </c>
    </row>
    <row r="364" spans="1:5" x14ac:dyDescent="0.25">
      <c r="A364" s="34">
        <f t="shared" si="26"/>
        <v>35.20000000000023</v>
      </c>
      <c r="B364" s="35">
        <f t="shared" ca="1" si="27"/>
        <v>-1.4486022898941697</v>
      </c>
      <c r="C364" s="1">
        <f t="shared" ca="1" si="28"/>
        <v>-5.8262654212942167</v>
      </c>
      <c r="D364" s="1">
        <f t="shared" ca="1" si="29"/>
        <v>-5.8262654212942122</v>
      </c>
      <c r="E364" s="37">
        <f t="shared" ca="1" si="25"/>
        <v>5.9143950976859871</v>
      </c>
    </row>
    <row r="365" spans="1:5" x14ac:dyDescent="0.25">
      <c r="A365" s="34">
        <f t="shared" si="26"/>
        <v>35.300000000000232</v>
      </c>
      <c r="B365" s="35">
        <f t="shared" ca="1" si="27"/>
        <v>-1.9966433048971588</v>
      </c>
      <c r="C365" s="1">
        <f t="shared" ca="1" si="28"/>
        <v>-5.134554878765563</v>
      </c>
      <c r="D365" s="1">
        <f t="shared" ca="1" si="29"/>
        <v>-5.1345548787655586</v>
      </c>
      <c r="E365" s="37">
        <f t="shared" ca="1" si="25"/>
        <v>7.9198157528870903</v>
      </c>
    </row>
    <row r="366" spans="1:5" x14ac:dyDescent="0.25">
      <c r="A366" s="34">
        <f t="shared" si="26"/>
        <v>35.400000000000233</v>
      </c>
      <c r="B366" s="35">
        <f t="shared" ca="1" si="27"/>
        <v>-2.4662645359496431</v>
      </c>
      <c r="C366" s="1">
        <f t="shared" ca="1" si="28"/>
        <v>-4.2578697422841252</v>
      </c>
      <c r="D366" s="1">
        <f t="shared" ca="1" si="29"/>
        <v>-4.2578697422841199</v>
      </c>
      <c r="E366" s="37">
        <f t="shared" ca="1" si="25"/>
        <v>9.6138869767416786</v>
      </c>
    </row>
    <row r="367" spans="1:5" x14ac:dyDescent="0.25">
      <c r="A367" s="34">
        <f t="shared" si="26"/>
        <v>35.500000000000234</v>
      </c>
      <c r="B367" s="35">
        <f t="shared" ca="1" si="27"/>
        <v>-2.8406770707463878</v>
      </c>
      <c r="C367" s="1">
        <f t="shared" ca="1" si="28"/>
        <v>-3.2303809536507702</v>
      </c>
      <c r="D367" s="1">
        <f t="shared" ca="1" si="29"/>
        <v>-3.2303809536507639</v>
      </c>
      <c r="E367" s="37">
        <f t="shared" ca="1" si="25"/>
        <v>10.935888795925429</v>
      </c>
    </row>
    <row r="368" spans="1:5" x14ac:dyDescent="0.25">
      <c r="A368" s="34">
        <f t="shared" si="26"/>
        <v>35.600000000000236</v>
      </c>
      <c r="B368" s="35">
        <f t="shared" ca="1" si="27"/>
        <v>-3.106776609638692</v>
      </c>
      <c r="C368" s="1">
        <f t="shared" ca="1" si="28"/>
        <v>-2.0916098241953085</v>
      </c>
      <c r="D368" s="1">
        <f t="shared" ca="1" si="29"/>
        <v>-2.0916098241953023</v>
      </c>
      <c r="E368" s="37">
        <f t="shared" ca="1" si="25"/>
        <v>11.839533793183797</v>
      </c>
    </row>
    <row r="369" spans="1:5" x14ac:dyDescent="0.25">
      <c r="A369" s="34">
        <f t="shared" si="26"/>
        <v>35.700000000000237</v>
      </c>
      <c r="B369" s="35">
        <f t="shared" ca="1" si="27"/>
        <v>-3.2556022863926706</v>
      </c>
      <c r="C369" s="1">
        <f t="shared" ca="1" si="28"/>
        <v>-0.88490371088425879</v>
      </c>
      <c r="D369" s="1">
        <f t="shared" ca="1" si="29"/>
        <v>-0.88490371088425257</v>
      </c>
      <c r="E369" s="37">
        <f t="shared" ca="1" si="25"/>
        <v>12.294588473037193</v>
      </c>
    </row>
    <row r="370" spans="1:5" x14ac:dyDescent="0.25">
      <c r="A370" s="34">
        <f t="shared" si="26"/>
        <v>35.800000000000239</v>
      </c>
      <c r="B370" s="35">
        <f t="shared" ca="1" si="27"/>
        <v>-3.2826364943249797</v>
      </c>
      <c r="C370" s="1">
        <f t="shared" ca="1" si="28"/>
        <v>0.34421955223807754</v>
      </c>
      <c r="D370" s="1">
        <f t="shared" ca="1" si="29"/>
        <v>0.34421955223808376</v>
      </c>
      <c r="E370" s="37">
        <f t="shared" ca="1" si="25"/>
        <v>12.287876789409529</v>
      </c>
    </row>
    <row r="371" spans="1:5" x14ac:dyDescent="0.25">
      <c r="A371" s="34">
        <f t="shared" si="26"/>
        <v>35.90000000000024</v>
      </c>
      <c r="B371" s="35">
        <f t="shared" ca="1" si="27"/>
        <v>-3.1879357649874089</v>
      </c>
      <c r="C371" s="1">
        <f t="shared" ca="1" si="28"/>
        <v>1.5497950345133427</v>
      </c>
      <c r="D371" s="1">
        <f t="shared" ca="1" si="29"/>
        <v>1.5497950345133489</v>
      </c>
      <c r="E371" s="37">
        <f t="shared" ca="1" si="25"/>
        <v>11.823632856095763</v>
      </c>
    </row>
    <row r="372" spans="1:5" x14ac:dyDescent="0.25">
      <c r="A372" s="34">
        <f t="shared" si="26"/>
        <v>36.000000000000242</v>
      </c>
      <c r="B372" s="35">
        <f t="shared" ca="1" si="27"/>
        <v>-2.9760891924632022</v>
      </c>
      <c r="C372" s="1">
        <f t="shared" ca="1" si="28"/>
        <v>2.687136415970798</v>
      </c>
      <c r="D372" s="1">
        <f t="shared" ca="1" si="29"/>
        <v>2.6871364159708038</v>
      </c>
      <c r="E372" s="37">
        <f t="shared" ca="1" si="25"/>
        <v>10.923194773053327</v>
      </c>
    </row>
    <row r="373" spans="1:5" x14ac:dyDescent="0.25">
      <c r="A373" s="34">
        <f t="shared" si="26"/>
        <v>36.100000000000243</v>
      </c>
      <c r="B373" s="35">
        <f t="shared" ca="1" si="27"/>
        <v>-2.6560074226157413</v>
      </c>
      <c r="C373" s="1">
        <f t="shared" ca="1" si="28"/>
        <v>3.7144989809784326</v>
      </c>
      <c r="D373" s="1">
        <f t="shared" ca="1" si="29"/>
        <v>3.7144989809784379</v>
      </c>
      <c r="E373" s="37">
        <f t="shared" ca="1" si="25"/>
        <v>9.624056527099345</v>
      </c>
    </row>
    <row r="374" spans="1:5" x14ac:dyDescent="0.25">
      <c r="A374" s="34">
        <f t="shared" si="26"/>
        <v>36.200000000000244</v>
      </c>
      <c r="B374" s="35">
        <f t="shared" ca="1" si="27"/>
        <v>-2.2405515854228817</v>
      </c>
      <c r="C374" s="1">
        <f t="shared" ca="1" si="28"/>
        <v>4.5946177628787694</v>
      </c>
      <c r="D374" s="1">
        <f t="shared" ca="1" si="29"/>
        <v>4.5946177628787739</v>
      </c>
      <c r="E374" s="37">
        <f t="shared" ca="1" si="25"/>
        <v>7.9783191109073552</v>
      </c>
    </row>
    <row r="375" spans="1:5" x14ac:dyDescent="0.25">
      <c r="A375" s="34">
        <f t="shared" si="26"/>
        <v>36.300000000000246</v>
      </c>
      <c r="B375" s="35">
        <f t="shared" ca="1" si="27"/>
        <v>-1.7460175002712996</v>
      </c>
      <c r="C375" s="1">
        <f t="shared" ca="1" si="28"/>
        <v>5.2960639401528802</v>
      </c>
      <c r="D375" s="1">
        <f t="shared" ca="1" si="29"/>
        <v>5.2960639401528837</v>
      </c>
      <c r="E375" s="37">
        <f t="shared" ca="1" si="25"/>
        <v>6.0506044345748116</v>
      </c>
    </row>
    <row r="376" spans="1:5" x14ac:dyDescent="0.25">
      <c r="A376" s="34">
        <f t="shared" si="26"/>
        <v>36.400000000000247</v>
      </c>
      <c r="B376" s="35">
        <f t="shared" ca="1" si="27"/>
        <v>-1.1914958065728012</v>
      </c>
      <c r="C376" s="1">
        <f t="shared" ca="1" si="28"/>
        <v>5.7943699338171024</v>
      </c>
      <c r="D376" s="1">
        <f t="shared" ca="1" si="29"/>
        <v>5.7943699338171051</v>
      </c>
      <c r="E376" s="37">
        <f t="shared" ca="1" si="25"/>
        <v>3.9155154387095821</v>
      </c>
    </row>
    <row r="377" spans="1:5" x14ac:dyDescent="0.25">
      <c r="A377" s="34">
        <f t="shared" si="26"/>
        <v>36.500000000000249</v>
      </c>
      <c r="B377" s="35">
        <f t="shared" ca="1" si="27"/>
        <v>-0.59813316879003986</v>
      </c>
      <c r="C377" s="1">
        <f t="shared" ca="1" si="28"/>
        <v>6.0728828218381388</v>
      </c>
      <c r="D377" s="1">
        <f t="shared" ca="1" si="29"/>
        <v>6.0728828218381397</v>
      </c>
      <c r="E377" s="37">
        <f t="shared" ca="1" si="25"/>
        <v>1.6547423217110786</v>
      </c>
    </row>
    <row r="378" spans="1:5" x14ac:dyDescent="0.25">
      <c r="A378" s="34">
        <f t="shared" si="26"/>
        <v>36.60000000000025</v>
      </c>
      <c r="B378" s="35">
        <f t="shared" ca="1" si="27"/>
        <v>1.1676787608886019E-2</v>
      </c>
      <c r="C378" s="1">
        <f t="shared" ca="1" si="28"/>
        <v>6.1233163061403948</v>
      </c>
      <c r="D378" s="1">
        <f t="shared" ca="1" si="29"/>
        <v>6.123316306140393</v>
      </c>
      <c r="E378" s="37">
        <f t="shared" ca="1" si="25"/>
        <v>-0.64607263566605044</v>
      </c>
    </row>
    <row r="379" spans="1:5" x14ac:dyDescent="0.25">
      <c r="A379" s="34">
        <f t="shared" si="26"/>
        <v>36.700000000000252</v>
      </c>
      <c r="B379" s="35">
        <f t="shared" ca="1" si="27"/>
        <v>0.6151417591945213</v>
      </c>
      <c r="C379" s="1">
        <f t="shared" ca="1" si="28"/>
        <v>5.9459831255723277</v>
      </c>
      <c r="D379" s="1">
        <f t="shared" ca="1" si="29"/>
        <v>5.9459831255723223</v>
      </c>
      <c r="E379" s="37">
        <f t="shared" ca="1" si="25"/>
        <v>-2.9005909756954091</v>
      </c>
    </row>
    <row r="380" spans="1:5" x14ac:dyDescent="0.25">
      <c r="A380" s="34">
        <f t="shared" si="26"/>
        <v>36.800000000000253</v>
      </c>
      <c r="B380" s="35">
        <f t="shared" ca="1" si="27"/>
        <v>1.1899260180780358</v>
      </c>
      <c r="C380" s="1">
        <f t="shared" ca="1" si="28"/>
        <v>5.5497020520979783</v>
      </c>
      <c r="D380" s="1">
        <f t="shared" ca="1" si="29"/>
        <v>5.5497020520979685</v>
      </c>
      <c r="E380" s="37">
        <f t="shared" ca="1" si="25"/>
        <v>-5.0250304937917214</v>
      </c>
    </row>
    <row r="381" spans="1:5" x14ac:dyDescent="0.25">
      <c r="A381" s="34">
        <f t="shared" si="26"/>
        <v>36.900000000000254</v>
      </c>
      <c r="B381" s="35">
        <f t="shared" ca="1" si="27"/>
        <v>1.714980419030262</v>
      </c>
      <c r="C381" s="1">
        <f t="shared" ca="1" si="28"/>
        <v>4.9513859669465656</v>
      </c>
      <c r="D381" s="1">
        <f t="shared" ca="1" si="29"/>
        <v>4.9513859669465505</v>
      </c>
      <c r="E381" s="37">
        <f t="shared" ca="1" si="25"/>
        <v>-6.9412912092367103</v>
      </c>
    </row>
    <row r="382" spans="1:5" x14ac:dyDescent="0.25">
      <c r="A382" s="34">
        <f t="shared" si="26"/>
        <v>37.000000000000256</v>
      </c>
      <c r="B382" s="35">
        <f t="shared" ca="1" si="27"/>
        <v>2.1713161932496274</v>
      </c>
      <c r="C382" s="1">
        <f t="shared" ca="1" si="28"/>
        <v>4.1753295174407636</v>
      </c>
      <c r="D382" s="1">
        <f t="shared" ca="1" si="29"/>
        <v>4.1753295174407414</v>
      </c>
      <c r="E382" s="37">
        <f t="shared" ca="1" si="25"/>
        <v>-8.5798377808795632</v>
      </c>
    </row>
    <row r="383" spans="1:5" x14ac:dyDescent="0.25">
      <c r="A383" s="34">
        <f t="shared" si="26"/>
        <v>37.100000000000257</v>
      </c>
      <c r="B383" s="35">
        <f t="shared" ca="1" si="27"/>
        <v>2.542693971631242</v>
      </c>
      <c r="C383" s="1">
        <f t="shared" ca="1" si="28"/>
        <v>3.2522260501915485</v>
      </c>
      <c r="D383" s="1">
        <f t="shared" ca="1" si="29"/>
        <v>3.2522260501915183</v>
      </c>
      <c r="E383" s="37">
        <f t="shared" ca="1" si="25"/>
        <v>-9.8822315641050125</v>
      </c>
    </row>
    <row r="384" spans="1:5" x14ac:dyDescent="0.25">
      <c r="A384" s="34">
        <f t="shared" si="26"/>
        <v>37.200000000000259</v>
      </c>
      <c r="B384" s="35">
        <f t="shared" ca="1" si="27"/>
        <v>2.8162029483136455</v>
      </c>
      <c r="C384" s="1">
        <f t="shared" ca="1" si="28"/>
        <v>2.2179534834565433</v>
      </c>
      <c r="D384" s="1">
        <f t="shared" ca="1" si="29"/>
        <v>2.2179534834565029</v>
      </c>
      <c r="E384" s="37">
        <f t="shared" ca="1" si="25"/>
        <v>-10.803219770595428</v>
      </c>
    </row>
    <row r="385" spans="1:5" x14ac:dyDescent="0.25">
      <c r="A385" s="34">
        <f t="shared" si="26"/>
        <v>37.30000000000026</v>
      </c>
      <c r="B385" s="35">
        <f t="shared" ca="1" si="27"/>
        <v>2.9827094801018368</v>
      </c>
      <c r="C385" s="1">
        <f t="shared" ca="1" si="28"/>
        <v>1.1121771523073058</v>
      </c>
      <c r="D385" s="1">
        <f t="shared" ca="1" si="29"/>
        <v>1.1121771523072528</v>
      </c>
      <c r="E385" s="37">
        <f t="shared" ca="1" si="25"/>
        <v>-11.312306852389723</v>
      </c>
    </row>
    <row r="386" spans="1:5" x14ac:dyDescent="0.25">
      <c r="A386" s="34">
        <f t="shared" si="26"/>
        <v>37.400000000000261</v>
      </c>
      <c r="B386" s="35">
        <f t="shared" ca="1" si="27"/>
        <v>3.0371595442443731</v>
      </c>
      <c r="C386" s="1">
        <f t="shared" ca="1" si="28"/>
        <v>-2.3175869456563358E-2</v>
      </c>
      <c r="D386" s="1">
        <f t="shared" ca="1" si="29"/>
        <v>-2.3175869456631748E-2</v>
      </c>
      <c r="E386" s="37">
        <f t="shared" ca="1" si="25"/>
        <v>-11.394753582888141</v>
      </c>
    </row>
    <row r="387" spans="1:5" x14ac:dyDescent="0.25">
      <c r="A387" s="34">
        <f t="shared" si="26"/>
        <v>37.500000000000263</v>
      </c>
      <c r="B387" s="35">
        <f t="shared" ca="1" si="27"/>
        <v>2.9787251444685388</v>
      </c>
      <c r="C387" s="1">
        <f t="shared" ca="1" si="28"/>
        <v>-1.1455121260601102</v>
      </c>
      <c r="D387" s="1">
        <f t="shared" ca="1" si="29"/>
        <v>-1.1455121260601966</v>
      </c>
      <c r="E387" s="37">
        <f t="shared" ca="1" si="25"/>
        <v>-11.051971549183358</v>
      </c>
    </row>
    <row r="388" spans="1:5" x14ac:dyDescent="0.25">
      <c r="A388" s="34">
        <f t="shared" si="26"/>
        <v>37.600000000000264</v>
      </c>
      <c r="B388" s="35">
        <f t="shared" ca="1" si="27"/>
        <v>2.8107907428987122</v>
      </c>
      <c r="C388" s="1">
        <f t="shared" ca="1" si="28"/>
        <v>-2.2131759053364122</v>
      </c>
      <c r="D388" s="1">
        <f t="shared" ca="1" si="29"/>
        <v>-2.2131759053365201</v>
      </c>
      <c r="E388" s="37">
        <f t="shared" ca="1" si="25"/>
        <v>-10.301304036343343</v>
      </c>
    </row>
    <row r="389" spans="1:5" x14ac:dyDescent="0.25">
      <c r="A389" s="34">
        <f t="shared" si="26"/>
        <v>37.700000000000266</v>
      </c>
      <c r="B389" s="35">
        <f t="shared" ca="1" si="27"/>
        <v>2.5407818730810923</v>
      </c>
      <c r="C389" s="1">
        <f t="shared" ca="1" si="28"/>
        <v>-3.1870014910159918</v>
      </c>
      <c r="D389" s="1">
        <f t="shared" ca="1" si="29"/>
        <v>-3.1870014910161251</v>
      </c>
      <c r="E389" s="37">
        <f t="shared" ca="1" si="25"/>
        <v>-9.1752076772490252</v>
      </c>
    </row>
    <row r="390" spans="1:5" x14ac:dyDescent="0.25">
      <c r="A390" s="34">
        <f t="shared" si="26"/>
        <v>37.800000000000267</v>
      </c>
      <c r="B390" s="35">
        <f t="shared" ca="1" si="27"/>
        <v>2.1798440251200093</v>
      </c>
      <c r="C390" s="1">
        <f t="shared" ca="1" si="28"/>
        <v>-4.0317554682056835</v>
      </c>
      <c r="D390" s="1">
        <f t="shared" ca="1" si="29"/>
        <v>-4.031755468205847</v>
      </c>
      <c r="E390" s="37">
        <f t="shared" ca="1" si="25"/>
        <v>-7.7198718665456996</v>
      </c>
    </row>
    <row r="391" spans="1:5" x14ac:dyDescent="0.25">
      <c r="A391" s="34">
        <f t="shared" si="26"/>
        <v>37.900000000000269</v>
      </c>
      <c r="B391" s="35">
        <f t="shared" ca="1" si="27"/>
        <v>1.7423854637910843</v>
      </c>
      <c r="C391" s="1">
        <f t="shared" ca="1" si="28"/>
        <v>-4.7174157583728489</v>
      </c>
      <c r="D391" s="1">
        <f t="shared" ca="1" si="29"/>
        <v>-4.7174157583730478</v>
      </c>
      <c r="E391" s="37">
        <f t="shared" ca="1" si="25"/>
        <v>-5.9933339367986385</v>
      </c>
    </row>
    <row r="392" spans="1:5" x14ac:dyDescent="0.25">
      <c r="A392" s="34">
        <f t="shared" si="26"/>
        <v>38.00000000000027</v>
      </c>
      <c r="B392" s="35">
        <f t="shared" ca="1" si="27"/>
        <v>1.2455026364077848</v>
      </c>
      <c r="C392" s="1">
        <f t="shared" ca="1" si="28"/>
        <v>-5.2202407892932001</v>
      </c>
      <c r="D392" s="1">
        <f t="shared" ca="1" si="29"/>
        <v>-5.2202407892934399</v>
      </c>
      <c r="E392" s="37">
        <f t="shared" ca="1" si="25"/>
        <v>-4.0631666816095589</v>
      </c>
    </row>
    <row r="393" spans="1:5" x14ac:dyDescent="0.25">
      <c r="A393" s="34">
        <f t="shared" si="26"/>
        <v>38.100000000000271</v>
      </c>
      <c r="B393" s="35">
        <f t="shared" ca="1" si="27"/>
        <v>0.7083110650334089</v>
      </c>
      <c r="C393" s="1">
        <f t="shared" ca="1" si="28"/>
        <v>-5.5235906381944044</v>
      </c>
      <c r="D393" s="1">
        <f t="shared" ca="1" si="29"/>
        <v>-5.5235906381946913</v>
      </c>
      <c r="E393" s="37">
        <f t="shared" ca="1" si="25"/>
        <v>-2.0038302964158596</v>
      </c>
    </row>
    <row r="394" spans="1:5" x14ac:dyDescent="0.25">
      <c r="A394" s="34">
        <f t="shared" si="26"/>
        <v>38.200000000000273</v>
      </c>
      <c r="B394" s="35">
        <f t="shared" ca="1" si="27"/>
        <v>0.15120794389723347</v>
      </c>
      <c r="C394" s="1">
        <f t="shared" ca="1" si="28"/>
        <v>-5.6184717845292296</v>
      </c>
      <c r="D394" s="1">
        <f t="shared" ca="1" si="29"/>
        <v>-5.6184717845295706</v>
      </c>
      <c r="E394" s="37">
        <f t="shared" ca="1" si="25"/>
        <v>0.10620736971786027</v>
      </c>
    </row>
    <row r="395" spans="1:5" x14ac:dyDescent="0.25">
      <c r="A395" s="34">
        <f t="shared" si="26"/>
        <v>38.300000000000274</v>
      </c>
      <c r="B395" s="35">
        <f t="shared" ca="1" si="27"/>
        <v>-0.40490503959189739</v>
      </c>
      <c r="C395" s="1">
        <f t="shared" ca="1" si="28"/>
        <v>-5.5037878852535611</v>
      </c>
      <c r="D395" s="1">
        <f t="shared" ca="1" si="29"/>
        <v>-5.5037878852539626</v>
      </c>
      <c r="E395" s="37">
        <f t="shared" ca="1" si="25"/>
        <v>2.1874706157938553</v>
      </c>
    </row>
    <row r="396" spans="1:5" x14ac:dyDescent="0.25">
      <c r="A396" s="34">
        <f t="shared" si="26"/>
        <v>38.400000000000276</v>
      </c>
      <c r="B396" s="35">
        <f t="shared" ca="1" si="27"/>
        <v>-0.93940894981951695</v>
      </c>
      <c r="C396" s="1">
        <f t="shared" ca="1" si="28"/>
        <v>-5.1862903192990633</v>
      </c>
      <c r="D396" s="1">
        <f t="shared" ca="1" si="29"/>
        <v>-5.186290319299534</v>
      </c>
      <c r="E396" s="37">
        <f t="shared" ref="E396:E459" ca="1" si="30" xml:space="preserve"> -R_x/L_x*D396-1/(L_x*C_x)*B396+E0_x*SIN(w_x*A396)/L_x</f>
        <v>4.162480703294265</v>
      </c>
    </row>
    <row r="397" spans="1:5" x14ac:dyDescent="0.25">
      <c r="A397" s="34">
        <f t="shared" si="26"/>
        <v>38.500000000000277</v>
      </c>
      <c r="B397" s="35">
        <f t="shared" ca="1" si="27"/>
        <v>-1.432735150836064</v>
      </c>
      <c r="C397" s="1">
        <f t="shared" ca="1" si="28"/>
        <v>-4.6802337010321846</v>
      </c>
      <c r="D397" s="1">
        <f t="shared" ca="1" si="29"/>
        <v>-4.6802337010327317</v>
      </c>
      <c r="E397" s="37">
        <f t="shared" ca="1" si="30"/>
        <v>5.9586516620413219</v>
      </c>
    </row>
    <row r="398" spans="1:5" x14ac:dyDescent="0.25">
      <c r="A398" s="34">
        <f t="shared" ref="A398:A461" si="31">A397+$A$9</f>
        <v>38.600000000000279</v>
      </c>
      <c r="B398" s="35">
        <f t="shared" ref="B398:B461" ca="1" si="32">IF($B$7="n",$B$12,$A$9/2*(C398+C397)+B397)</f>
        <v>-1.8670844707151903</v>
      </c>
      <c r="C398" s="1">
        <f t="shared" ref="C398:C461" ca="1" si="33">D398</f>
        <v>-4.0067526965507421</v>
      </c>
      <c r="D398" s="1">
        <f t="shared" ref="D398:D461" ca="1" si="34">IF($B$7="n",$D$12,$A$9/2*(E398+E397)+D397)</f>
        <v>-4.0067526965513744</v>
      </c>
      <c r="E398" s="37">
        <f t="shared" ca="1" si="30"/>
        <v>7.5109684275853832</v>
      </c>
    </row>
    <row r="399" spans="1:5" x14ac:dyDescent="0.25">
      <c r="A399" s="34">
        <f t="shared" si="31"/>
        <v>38.70000000000028</v>
      </c>
      <c r="B399" s="35">
        <f t="shared" ca="1" si="32"/>
        <v>-2.2270714490396708</v>
      </c>
      <c r="C399" s="1">
        <f t="shared" ca="1" si="33"/>
        <v>-3.1929868699393786</v>
      </c>
      <c r="D399" s="1">
        <f t="shared" ca="1" si="34"/>
        <v>-3.1929868699401043</v>
      </c>
      <c r="E399" s="37">
        <f t="shared" ca="1" si="30"/>
        <v>8.7643481046396126</v>
      </c>
    </row>
    <row r="400" spans="1:5" x14ac:dyDescent="0.25">
      <c r="A400" s="34">
        <f t="shared" si="31"/>
        <v>38.800000000000281</v>
      </c>
      <c r="B400" s="35">
        <f t="shared" ca="1" si="32"/>
        <v>-2.5002702700342967</v>
      </c>
      <c r="C400" s="1">
        <f t="shared" ca="1" si="33"/>
        <v>-2.2709895499537742</v>
      </c>
      <c r="D400" s="1">
        <f t="shared" ca="1" si="34"/>
        <v>-2.2709895499546007</v>
      </c>
      <c r="E400" s="37">
        <f t="shared" ca="1" si="30"/>
        <v>9.6755982950701167</v>
      </c>
    </row>
    <row r="401" spans="1:5" x14ac:dyDescent="0.25">
      <c r="A401" s="34">
        <f t="shared" si="31"/>
        <v>38.900000000000283</v>
      </c>
      <c r="B401" s="35">
        <f t="shared" ca="1" si="32"/>
        <v>-2.677642972488977</v>
      </c>
      <c r="C401" s="1">
        <f t="shared" ca="1" si="33"/>
        <v>-1.2764644991406278</v>
      </c>
      <c r="D401" s="1">
        <f t="shared" ca="1" si="34"/>
        <v>-1.2764644991415626</v>
      </c>
      <c r="E401" s="37">
        <f t="shared" ca="1" si="30"/>
        <v>10.214902721190409</v>
      </c>
    </row>
    <row r="402" spans="1:5" x14ac:dyDescent="0.25">
      <c r="A402" s="34">
        <f t="shared" si="31"/>
        <v>39.000000000000284</v>
      </c>
      <c r="B402" s="35">
        <f t="shared" ca="1" si="32"/>
        <v>-2.7538352077032813</v>
      </c>
      <c r="C402" s="1">
        <f t="shared" ca="1" si="33"/>
        <v>-0.24738020514644066</v>
      </c>
      <c r="D402" s="1">
        <f t="shared" ca="1" si="34"/>
        <v>-0.24738020514748937</v>
      </c>
      <c r="E402" s="37">
        <f t="shared" ca="1" si="30"/>
        <v>10.366783158690966</v>
      </c>
    </row>
    <row r="403" spans="1:5" x14ac:dyDescent="0.25">
      <c r="A403" s="34">
        <f t="shared" si="31"/>
        <v>39.100000000000286</v>
      </c>
      <c r="B403" s="35">
        <f t="shared" ca="1" si="32"/>
        <v>-2.7273300022652061</v>
      </c>
      <c r="C403" s="1">
        <f t="shared" ca="1" si="33"/>
        <v>0.77748431390673978</v>
      </c>
      <c r="D403" s="1">
        <f t="shared" ca="1" si="34"/>
        <v>0.77748431390557338</v>
      </c>
      <c r="E403" s="37">
        <f t="shared" ca="1" si="30"/>
        <v>10.13050722237041</v>
      </c>
    </row>
    <row r="404" spans="1:5" x14ac:dyDescent="0.25">
      <c r="A404" s="34">
        <f t="shared" si="31"/>
        <v>39.200000000000287</v>
      </c>
      <c r="B404" s="35">
        <f t="shared" ca="1" si="32"/>
        <v>-2.6004554702778333</v>
      </c>
      <c r="C404" s="1">
        <f t="shared" ca="1" si="33"/>
        <v>1.7600063258392589</v>
      </c>
      <c r="D404" s="1">
        <f t="shared" ca="1" si="34"/>
        <v>1.7600063258379741</v>
      </c>
      <c r="E404" s="37">
        <f t="shared" ca="1" si="30"/>
        <v>9.5199330162780047</v>
      </c>
    </row>
    <row r="405" spans="1:5" x14ac:dyDescent="0.25">
      <c r="A405" s="34">
        <f t="shared" si="31"/>
        <v>39.300000000000288</v>
      </c>
      <c r="B405" s="35">
        <f t="shared" ca="1" si="32"/>
        <v>-2.3792479970671918</v>
      </c>
      <c r="C405" s="1">
        <f t="shared" ca="1" si="33"/>
        <v>2.6641431383718182</v>
      </c>
      <c r="D405" s="1">
        <f t="shared" ca="1" si="34"/>
        <v>2.6641431383704179</v>
      </c>
      <c r="E405" s="37">
        <f t="shared" ca="1" si="30"/>
        <v>8.5628032343716409</v>
      </c>
    </row>
    <row r="406" spans="1:5" x14ac:dyDescent="0.25">
      <c r="A406" s="34">
        <f t="shared" si="31"/>
        <v>39.40000000000029</v>
      </c>
      <c r="B406" s="35">
        <f t="shared" ca="1" si="32"/>
        <v>-2.0731778697706993</v>
      </c>
      <c r="C406" s="1">
        <f t="shared" ca="1" si="33"/>
        <v>3.4572594075559384</v>
      </c>
      <c r="D406" s="1">
        <f t="shared" ca="1" si="34"/>
        <v>3.4572594075544316</v>
      </c>
      <c r="E406" s="37">
        <f t="shared" ca="1" si="30"/>
        <v>7.2995221493098787</v>
      </c>
    </row>
    <row r="407" spans="1:5" x14ac:dyDescent="0.25">
      <c r="A407" s="34">
        <f t="shared" si="31"/>
        <v>39.500000000000291</v>
      </c>
      <c r="B407" s="35">
        <f t="shared" ca="1" si="32"/>
        <v>-1.6947494529842935</v>
      </c>
      <c r="C407" s="1">
        <f t="shared" ca="1" si="33"/>
        <v>4.1113089281696951</v>
      </c>
      <c r="D407" s="1">
        <f t="shared" ca="1" si="34"/>
        <v>4.1113089281680972</v>
      </c>
      <c r="E407" s="37">
        <f t="shared" ca="1" si="30"/>
        <v>5.7814682629652907</v>
      </c>
    </row>
    <row r="408" spans="1:5" x14ac:dyDescent="0.25">
      <c r="A408" s="34">
        <f t="shared" si="31"/>
        <v>39.600000000000293</v>
      </c>
      <c r="B408" s="35">
        <f t="shared" ca="1" si="32"/>
        <v>-1.2589926082927638</v>
      </c>
      <c r="C408" s="1">
        <f t="shared" ca="1" si="33"/>
        <v>4.6038279656579721</v>
      </c>
      <c r="D408" s="1">
        <f t="shared" ca="1" si="34"/>
        <v>4.6038279656563077</v>
      </c>
      <c r="E408" s="37">
        <f t="shared" ca="1" si="30"/>
        <v>4.0689124868015432</v>
      </c>
    </row>
    <row r="409" spans="1:5" x14ac:dyDescent="0.25">
      <c r="A409" s="34">
        <f t="shared" si="31"/>
        <v>39.700000000000294</v>
      </c>
      <c r="B409" s="35">
        <f t="shared" ca="1" si="32"/>
        <v>-0.78286596565584277</v>
      </c>
      <c r="C409" s="1">
        <f t="shared" ca="1" si="33"/>
        <v>4.9187048870770225</v>
      </c>
      <c r="D409" s="1">
        <f t="shared" ca="1" si="34"/>
        <v>4.9187048870753278</v>
      </c>
      <c r="E409" s="37">
        <f t="shared" ca="1" si="30"/>
        <v>2.2286259415824299</v>
      </c>
    </row>
    <row r="410" spans="1:5" x14ac:dyDescent="0.25">
      <c r="A410" s="34">
        <f t="shared" si="31"/>
        <v>39.800000000000296</v>
      </c>
      <c r="B410" s="35">
        <f t="shared" ca="1" si="32"/>
        <v>-0.28459573134485477</v>
      </c>
      <c r="C410" s="1">
        <f t="shared" ca="1" si="33"/>
        <v>5.0466997991387537</v>
      </c>
      <c r="D410" s="1">
        <f t="shared" ca="1" si="34"/>
        <v>5.0466997991370803</v>
      </c>
      <c r="E410" s="37">
        <f t="shared" ca="1" si="30"/>
        <v>0.33127229965735228</v>
      </c>
    </row>
    <row r="411" spans="1:5" x14ac:dyDescent="0.25">
      <c r="A411" s="34">
        <f t="shared" si="31"/>
        <v>39.900000000000297</v>
      </c>
      <c r="B411" s="35">
        <f t="shared" ca="1" si="32"/>
        <v>0.21702414597120873</v>
      </c>
      <c r="C411" s="1">
        <f t="shared" ca="1" si="33"/>
        <v>4.9856977471779134</v>
      </c>
      <c r="D411" s="1">
        <f t="shared" ca="1" si="34"/>
        <v>4.9856977471763297</v>
      </c>
      <c r="E411" s="37">
        <f t="shared" ca="1" si="30"/>
        <v>-1.5513133388662084</v>
      </c>
    </row>
    <row r="412" spans="1:5" x14ac:dyDescent="0.25">
      <c r="A412" s="34">
        <f t="shared" si="31"/>
        <v>40.000000000000298</v>
      </c>
      <c r="B412" s="35">
        <f t="shared" ca="1" si="32"/>
        <v>0.70334350241407462</v>
      </c>
      <c r="C412" s="1">
        <f t="shared" ca="1" si="33"/>
        <v>4.7406893816741293</v>
      </c>
      <c r="D412" s="1">
        <f t="shared" ca="1" si="34"/>
        <v>4.7406893816727251</v>
      </c>
      <c r="E412" s="37">
        <f t="shared" ca="1" si="30"/>
        <v>-3.3488539711979954</v>
      </c>
    </row>
    <row r="413" spans="1:5" x14ac:dyDescent="0.25">
      <c r="A413" s="34">
        <f t="shared" si="31"/>
        <v>40.1000000000003</v>
      </c>
      <c r="B413" s="35">
        <f t="shared" ca="1" si="32"/>
        <v>1.1565521442876439</v>
      </c>
      <c r="C413" s="1">
        <f t="shared" ca="1" si="33"/>
        <v>4.3234834557912496</v>
      </c>
      <c r="D413" s="1">
        <f t="shared" ca="1" si="34"/>
        <v>4.323483455790142</v>
      </c>
      <c r="E413" s="37">
        <f t="shared" ca="1" si="30"/>
        <v>-4.9952645464437113</v>
      </c>
    </row>
    <row r="414" spans="1:5" x14ac:dyDescent="0.25">
      <c r="A414" s="34">
        <f t="shared" si="31"/>
        <v>40.200000000000301</v>
      </c>
      <c r="B414" s="35">
        <f t="shared" ca="1" si="32"/>
        <v>1.5603346008705974</v>
      </c>
      <c r="C414" s="1">
        <f t="shared" ca="1" si="33"/>
        <v>3.7521656758610398</v>
      </c>
      <c r="D414" s="1">
        <f t="shared" ca="1" si="34"/>
        <v>3.7521656758603785</v>
      </c>
      <c r="E414" s="37">
        <f t="shared" ca="1" si="30"/>
        <v>-6.4310910521391431</v>
      </c>
    </row>
    <row r="415" spans="1:5" x14ac:dyDescent="0.25">
      <c r="A415" s="34">
        <f t="shared" si="31"/>
        <v>40.300000000000303</v>
      </c>
      <c r="B415" s="35">
        <f t="shared" ca="1" si="32"/>
        <v>1.9004592796964106</v>
      </c>
      <c r="C415" s="1">
        <f t="shared" ca="1" si="33"/>
        <v>3.0503279006476305</v>
      </c>
      <c r="D415" s="1">
        <f t="shared" ca="1" si="34"/>
        <v>3.0503279006476038</v>
      </c>
      <c r="E415" s="37">
        <f t="shared" ca="1" si="30"/>
        <v>-7.6056644521010295</v>
      </c>
    </row>
    <row r="416" spans="1:5" x14ac:dyDescent="0.25">
      <c r="A416" s="34">
        <f t="shared" si="31"/>
        <v>40.400000000000304</v>
      </c>
      <c r="B416" s="35">
        <f t="shared" ca="1" si="32"/>
        <v>2.1652806806953997</v>
      </c>
      <c r="C416" s="1">
        <f t="shared" ca="1" si="33"/>
        <v>2.246100119323724</v>
      </c>
      <c r="D416" s="1">
        <f t="shared" ca="1" si="34"/>
        <v>2.246100119324566</v>
      </c>
      <c r="E416" s="37">
        <f t="shared" ca="1" si="30"/>
        <v>-8.4788911743409834</v>
      </c>
    </row>
    <row r="417" spans="1:5" x14ac:dyDescent="0.25">
      <c r="A417" s="34">
        <f t="shared" si="31"/>
        <v>40.500000000000306</v>
      </c>
      <c r="B417" s="35">
        <f t="shared" ca="1" si="32"/>
        <v>2.3461369227327289</v>
      </c>
      <c r="C417" s="1">
        <f t="shared" ca="1" si="33"/>
        <v>1.3710247214136049</v>
      </c>
      <c r="D417" s="1">
        <f t="shared" ca="1" si="34"/>
        <v>1.3710247214156039</v>
      </c>
      <c r="E417" s="37">
        <f t="shared" ca="1" si="30"/>
        <v>-9.0226167838155273</v>
      </c>
    </row>
    <row r="418" spans="1:5" x14ac:dyDescent="0.25">
      <c r="A418" s="34">
        <f t="shared" si="31"/>
        <v>40.600000000000307</v>
      </c>
      <c r="B418" s="35">
        <f t="shared" ca="1" si="32"/>
        <v>2.4376290612723768</v>
      </c>
      <c r="C418" s="1">
        <f t="shared" ca="1" si="33"/>
        <v>0.45881804936930326</v>
      </c>
      <c r="D418" s="1">
        <f t="shared" ca="1" si="34"/>
        <v>0.45881804937281156</v>
      </c>
      <c r="E418" s="37">
        <f t="shared" ca="1" si="30"/>
        <v>-9.2215166570129732</v>
      </c>
    </row>
    <row r="419" spans="1:5" x14ac:dyDescent="0.25">
      <c r="A419" s="34">
        <f t="shared" si="31"/>
        <v>40.700000000000308</v>
      </c>
      <c r="B419" s="35">
        <f t="shared" ca="1" si="32"/>
        <v>2.4377733590331361</v>
      </c>
      <c r="C419" s="1">
        <f t="shared" ca="1" si="33"/>
        <v>-0.4559320941648789</v>
      </c>
      <c r="D419" s="1">
        <f t="shared" ca="1" si="34"/>
        <v>-0.4559320941594347</v>
      </c>
      <c r="E419" s="37">
        <f t="shared" ca="1" si="30"/>
        <v>-9.0734862135992937</v>
      </c>
    </row>
    <row r="420" spans="1:5" x14ac:dyDescent="0.25">
      <c r="A420" s="34">
        <f t="shared" si="31"/>
        <v>40.80000000000031</v>
      </c>
      <c r="B420" s="35">
        <f t="shared" ca="1" si="32"/>
        <v>2.3480226270523601</v>
      </c>
      <c r="C420" s="1">
        <f t="shared" ca="1" si="33"/>
        <v>-1.3390825454619728</v>
      </c>
      <c r="D420" s="1">
        <f t="shared" ca="1" si="34"/>
        <v>-1.33908254545408</v>
      </c>
      <c r="E420" s="37">
        <f t="shared" ca="1" si="30"/>
        <v>-8.5895228122548897</v>
      </c>
    </row>
    <row r="421" spans="1:5" x14ac:dyDescent="0.25">
      <c r="A421" s="34">
        <f t="shared" si="31"/>
        <v>40.900000000000311</v>
      </c>
      <c r="B421" s="35">
        <f t="shared" ca="1" si="32"/>
        <v>2.1731577879297443</v>
      </c>
      <c r="C421" s="1">
        <f t="shared" ca="1" si="33"/>
        <v>-2.1582142370020456</v>
      </c>
      <c r="D421" s="1">
        <f t="shared" ca="1" si="34"/>
        <v>-2.1582142369910926</v>
      </c>
      <c r="E421" s="37">
        <f t="shared" ca="1" si="30"/>
        <v>-7.7931110184397667</v>
      </c>
    </row>
    <row r="422" spans="1:5" x14ac:dyDescent="0.25">
      <c r="A422" s="34">
        <f t="shared" si="31"/>
        <v>41.000000000000313</v>
      </c>
      <c r="B422" s="35">
        <f t="shared" ca="1" si="32"/>
        <v>1.9210557320751775</v>
      </c>
      <c r="C422" s="1">
        <f t="shared" ca="1" si="33"/>
        <v>-2.8838268801010565</v>
      </c>
      <c r="D422" s="1">
        <f t="shared" ca="1" si="34"/>
        <v>-2.8838268800863189</v>
      </c>
      <c r="E422" s="37">
        <f t="shared" ca="1" si="30"/>
        <v>-6.7191418434114336</v>
      </c>
    </row>
    <row r="423" spans="1:5" x14ac:dyDescent="0.25">
      <c r="A423" s="34">
        <f t="shared" si="31"/>
        <v>41.100000000000314</v>
      </c>
      <c r="B423" s="35">
        <f t="shared" ca="1" si="32"/>
        <v>1.6023441544184325</v>
      </c>
      <c r="C423" s="1">
        <f t="shared" ca="1" si="33"/>
        <v>-3.4904046730452669</v>
      </c>
      <c r="D423" s="1">
        <f t="shared" ca="1" si="34"/>
        <v>-3.4904046730258917</v>
      </c>
      <c r="E423" s="37">
        <f t="shared" ca="1" si="30"/>
        <v>-5.4124140153180962</v>
      </c>
    </row>
    <row r="424" spans="1:5" x14ac:dyDescent="0.25">
      <c r="A424" s="34">
        <f t="shared" si="31"/>
        <v>41.200000000000315</v>
      </c>
      <c r="B424" s="35">
        <f t="shared" ca="1" si="32"/>
        <v>1.2299582002812239</v>
      </c>
      <c r="C424" s="1">
        <f t="shared" ca="1" si="33"/>
        <v>-3.9573144097094262</v>
      </c>
      <c r="D424" s="1">
        <f t="shared" ca="1" si="34"/>
        <v>-3.9573144096844173</v>
      </c>
      <c r="E424" s="37">
        <f t="shared" ca="1" si="30"/>
        <v>-3.925780717780992</v>
      </c>
    </row>
    <row r="425" spans="1:5" x14ac:dyDescent="0.25">
      <c r="A425" s="34">
        <f t="shared" si="31"/>
        <v>41.300000000000317</v>
      </c>
      <c r="B425" s="35">
        <f t="shared" ca="1" si="32"/>
        <v>0.81861726263748125</v>
      </c>
      <c r="C425" s="1">
        <f t="shared" ca="1" si="33"/>
        <v>-4.2695043431743294</v>
      </c>
      <c r="D425" s="1">
        <f t="shared" ca="1" si="34"/>
        <v>-4.2695043431425299</v>
      </c>
      <c r="E425" s="37">
        <f t="shared" ca="1" si="30"/>
        <v>-2.3180179512994914</v>
      </c>
    </row>
    <row r="426" spans="1:5" x14ac:dyDescent="0.25">
      <c r="A426" s="34">
        <f t="shared" si="31"/>
        <v>41.400000000000318</v>
      </c>
      <c r="B426" s="35">
        <f t="shared" ca="1" si="32"/>
        <v>0.38424303274047378</v>
      </c>
      <c r="C426" s="1">
        <f t="shared" ca="1" si="33"/>
        <v>-4.4179802547721643</v>
      </c>
      <c r="D426" s="1">
        <f t="shared" ca="1" si="34"/>
        <v>-4.4179802547322415</v>
      </c>
      <c r="E426" s="37">
        <f t="shared" ca="1" si="30"/>
        <v>-0.65150028040181673</v>
      </c>
    </row>
    <row r="427" spans="1:5" x14ac:dyDescent="0.25">
      <c r="A427" s="34">
        <f t="shared" si="31"/>
        <v>41.50000000000032</v>
      </c>
      <c r="B427" s="35">
        <f t="shared" ca="1" si="32"/>
        <v>-5.6658183172568544E-2</v>
      </c>
      <c r="C427" s="1">
        <f t="shared" ca="1" si="33"/>
        <v>-4.4000440634912854</v>
      </c>
      <c r="D427" s="1">
        <f t="shared" ca="1" si="34"/>
        <v>-4.4000440634417144</v>
      </c>
      <c r="E427" s="37">
        <f t="shared" ca="1" si="30"/>
        <v>1.0102241063171205</v>
      </c>
    </row>
    <row r="428" spans="1:5" x14ac:dyDescent="0.25">
      <c r="A428" s="34">
        <f t="shared" si="31"/>
        <v>41.600000000000321</v>
      </c>
      <c r="B428" s="35">
        <f t="shared" ca="1" si="32"/>
        <v>-0.48762486783610925</v>
      </c>
      <c r="C428" s="1">
        <f t="shared" ca="1" si="33"/>
        <v>-4.2192896297769034</v>
      </c>
      <c r="D428" s="1">
        <f t="shared" ca="1" si="34"/>
        <v>-4.2192896297159512</v>
      </c>
      <c r="E428" s="37">
        <f t="shared" ca="1" si="30"/>
        <v>2.6048645683152412</v>
      </c>
    </row>
    <row r="429" spans="1:5" x14ac:dyDescent="0.25">
      <c r="A429" s="34">
        <f t="shared" si="31"/>
        <v>41.700000000000323</v>
      </c>
      <c r="B429" s="35">
        <f t="shared" ca="1" si="32"/>
        <v>-0.89285733909402998</v>
      </c>
      <c r="C429" s="1">
        <f t="shared" ca="1" si="33"/>
        <v>-3.8853597953718144</v>
      </c>
      <c r="D429" s="1">
        <f t="shared" ca="1" si="34"/>
        <v>-3.8853597952975285</v>
      </c>
      <c r="E429" s="37">
        <f t="shared" ca="1" si="30"/>
        <v>4.0737321201828518</v>
      </c>
    </row>
    <row r="430" spans="1:5" x14ac:dyDescent="0.25">
      <c r="A430" s="34">
        <f t="shared" si="31"/>
        <v>41.800000000000324</v>
      </c>
      <c r="B430" s="35">
        <f t="shared" ca="1" si="32"/>
        <v>-1.2577992185204709</v>
      </c>
      <c r="C430" s="1">
        <f t="shared" ca="1" si="33"/>
        <v>-3.4134777931379738</v>
      </c>
      <c r="D430" s="1">
        <f t="shared" ca="1" si="34"/>
        <v>-3.4134777930481723</v>
      </c>
      <c r="E430" s="37">
        <f t="shared" ca="1" si="30"/>
        <v>5.3639079249462922</v>
      </c>
    </row>
    <row r="431" spans="1:5" x14ac:dyDescent="0.25">
      <c r="A431" s="34">
        <f t="shared" si="31"/>
        <v>41.900000000000325</v>
      </c>
      <c r="B431" s="35">
        <f t="shared" ca="1" si="32"/>
        <v>-1.5696618386982704</v>
      </c>
      <c r="C431" s="1">
        <f t="shared" ca="1" si="33"/>
        <v>-2.8237746103868853</v>
      </c>
      <c r="D431" s="1">
        <f t="shared" ca="1" si="34"/>
        <v>-2.8237746102791532</v>
      </c>
      <c r="E431" s="37">
        <f t="shared" ca="1" si="30"/>
        <v>6.4301557305878001</v>
      </c>
    </row>
    <row r="432" spans="1:5" x14ac:dyDescent="0.25">
      <c r="A432" s="34">
        <f t="shared" si="31"/>
        <v>42.000000000000327</v>
      </c>
      <c r="B432" s="35">
        <f t="shared" ca="1" si="32"/>
        <v>-1.8178726381427799</v>
      </c>
      <c r="C432" s="1">
        <f t="shared" ca="1" si="33"/>
        <v>-2.1404413784567513</v>
      </c>
      <c r="D432" s="1">
        <f t="shared" ca="1" si="34"/>
        <v>-2.1404413783284433</v>
      </c>
      <c r="E432" s="37">
        <f t="shared" ca="1" si="30"/>
        <v>7.2365089085904231</v>
      </c>
    </row>
    <row r="433" spans="1:5" x14ac:dyDescent="0.25">
      <c r="A433" s="34">
        <f t="shared" si="31"/>
        <v>42.100000000000328</v>
      </c>
      <c r="B433" s="35">
        <f t="shared" ca="1" si="32"/>
        <v>-1.9944318127768512</v>
      </c>
      <c r="C433" s="1">
        <f t="shared" ca="1" si="33"/>
        <v>-1.3907421141587015</v>
      </c>
      <c r="D433" s="1">
        <f t="shared" ca="1" si="34"/>
        <v>-1.3907421140069549</v>
      </c>
      <c r="E433" s="37">
        <f t="shared" ca="1" si="30"/>
        <v>7.7574763780114084</v>
      </c>
    </row>
    <row r="434" spans="1:5" x14ac:dyDescent="0.25">
      <c r="A434" s="34">
        <f t="shared" si="31"/>
        <v>42.20000000000033</v>
      </c>
      <c r="B434" s="35">
        <f t="shared" ca="1" si="32"/>
        <v>-2.0941652650519016</v>
      </c>
      <c r="C434" s="1">
        <f t="shared" ca="1" si="33"/>
        <v>-0.60392693125214691</v>
      </c>
      <c r="D434" s="1">
        <f t="shared" ca="1" si="34"/>
        <v>-0.6039269310739076</v>
      </c>
      <c r="E434" s="37">
        <f t="shared" ca="1" si="30"/>
        <v>7.9788272808262404</v>
      </c>
    </row>
    <row r="435" spans="1:5" x14ac:dyDescent="0.25">
      <c r="A435" s="34">
        <f t="shared" si="31"/>
        <v>42.300000000000331</v>
      </c>
      <c r="B435" s="35">
        <f t="shared" ca="1" si="32"/>
        <v>-2.1148660620332307</v>
      </c>
      <c r="C435" s="1">
        <f t="shared" ca="1" si="33"/>
        <v>0.18991099174552029</v>
      </c>
      <c r="D435" s="1">
        <f t="shared" ca="1" si="34"/>
        <v>0.1899109919534564</v>
      </c>
      <c r="E435" s="37">
        <f t="shared" ca="1" si="30"/>
        <v>7.8979311798975331</v>
      </c>
    </row>
    <row r="436" spans="1:5" x14ac:dyDescent="0.25">
      <c r="A436" s="34">
        <f t="shared" si="31"/>
        <v>42.400000000000333</v>
      </c>
      <c r="B436" s="35">
        <f t="shared" ca="1" si="32"/>
        <v>-2.0573210146622873</v>
      </c>
      <c r="C436" s="1">
        <f t="shared" ca="1" si="33"/>
        <v>0.96098995582971891</v>
      </c>
      <c r="D436" s="1">
        <f t="shared" ca="1" si="34"/>
        <v>0.96098995607064241</v>
      </c>
      <c r="E436" s="37">
        <f t="shared" ca="1" si="30"/>
        <v>7.5236481026158391</v>
      </c>
    </row>
    <row r="437" spans="1:5" x14ac:dyDescent="0.25">
      <c r="A437" s="34">
        <f t="shared" si="31"/>
        <v>42.500000000000334</v>
      </c>
      <c r="B437" s="35">
        <f t="shared" ca="1" si="32"/>
        <v>-1.9252234481907258</v>
      </c>
      <c r="C437" s="1">
        <f t="shared" ca="1" si="33"/>
        <v>1.6809613738019924</v>
      </c>
      <c r="D437" s="1">
        <f t="shared" ca="1" si="34"/>
        <v>1.6809613740791909</v>
      </c>
      <c r="E437" s="37">
        <f t="shared" ca="1" si="30"/>
        <v>6.8757802577091027</v>
      </c>
    </row>
    <row r="438" spans="1:5" x14ac:dyDescent="0.25">
      <c r="A438" s="34">
        <f t="shared" si="31"/>
        <v>42.600000000000335</v>
      </c>
      <c r="B438" s="35">
        <f t="shared" ca="1" si="32"/>
        <v>-1.7249775751113057</v>
      </c>
      <c r="C438" s="1">
        <f t="shared" ca="1" si="33"/>
        <v>2.3239560880399286</v>
      </c>
      <c r="D438" s="1">
        <f t="shared" ca="1" si="34"/>
        <v>2.3239560883565633</v>
      </c>
      <c r="E438" s="37">
        <f t="shared" ca="1" si="30"/>
        <v>5.9841140279651093</v>
      </c>
    </row>
    <row r="439" spans="1:5" x14ac:dyDescent="0.25">
      <c r="A439" s="34">
        <f t="shared" si="31"/>
        <v>42.700000000000337</v>
      </c>
      <c r="B439" s="35">
        <f t="shared" ca="1" si="32"/>
        <v>-1.4654039406463673</v>
      </c>
      <c r="C439" s="1">
        <f t="shared" ca="1" si="33"/>
        <v>2.8675166015756561</v>
      </c>
      <c r="D439" s="1">
        <f t="shared" ca="1" si="34"/>
        <v>2.8675166019345988</v>
      </c>
      <c r="E439" s="37">
        <f t="shared" ca="1" si="30"/>
        <v>4.8870962436803556</v>
      </c>
    </row>
    <row r="440" spans="1:5" x14ac:dyDescent="0.25">
      <c r="A440" s="34">
        <f t="shared" si="31"/>
        <v>42.800000000000338</v>
      </c>
      <c r="B440" s="35">
        <f t="shared" ca="1" si="32"/>
        <v>-1.1573590344281535</v>
      </c>
      <c r="C440" s="1">
        <f t="shared" ca="1" si="33"/>
        <v>3.2933815231804635</v>
      </c>
      <c r="D440" s="1">
        <f t="shared" ca="1" si="34"/>
        <v>3.2933815235840824</v>
      </c>
      <c r="E440" s="37">
        <f t="shared" ca="1" si="30"/>
        <v>3.6302021893333478</v>
      </c>
    </row>
    <row r="441" spans="1:5" x14ac:dyDescent="0.25">
      <c r="A441" s="34">
        <f t="shared" si="31"/>
        <v>42.90000000000034</v>
      </c>
      <c r="B441" s="35">
        <f t="shared" ca="1" si="32"/>
        <v>-0.81328521718078872</v>
      </c>
      <c r="C441" s="1">
        <f t="shared" ca="1" si="33"/>
        <v>3.5880948222469899</v>
      </c>
      <c r="D441" s="1">
        <f t="shared" ca="1" si="34"/>
        <v>3.5880948226968754</v>
      </c>
      <c r="E441" s="37">
        <f t="shared" ca="1" si="30"/>
        <v>2.264063792862419</v>
      </c>
    </row>
    <row r="442" spans="1:5" x14ac:dyDescent="0.25">
      <c r="A442" s="34">
        <f t="shared" si="31"/>
        <v>43.000000000000341</v>
      </c>
      <c r="B442" s="35">
        <f t="shared" ca="1" si="32"/>
        <v>-0.44670948900557517</v>
      </c>
      <c r="C442" s="1">
        <f t="shared" ca="1" si="33"/>
        <v>3.743419741840694</v>
      </c>
      <c r="D442" s="1">
        <f t="shared" ca="1" si="34"/>
        <v>3.7434197423373119</v>
      </c>
      <c r="E442" s="37">
        <f t="shared" ca="1" si="30"/>
        <v>0.8424345997731314</v>
      </c>
    </row>
    <row r="443" spans="1:5" x14ac:dyDescent="0.25">
      <c r="A443" s="34">
        <f t="shared" si="31"/>
        <v>43.100000000000342</v>
      </c>
      <c r="B443" s="35">
        <f t="shared" ca="1" si="32"/>
        <v>-7.1711245440823079E-2</v>
      </c>
      <c r="C443" s="1">
        <f t="shared" ca="1" si="33"/>
        <v>3.7565451301576651</v>
      </c>
      <c r="D443" s="1">
        <f t="shared" ca="1" si="34"/>
        <v>3.7565451306999238</v>
      </c>
      <c r="E443" s="37">
        <f t="shared" ca="1" si="30"/>
        <v>-0.57992683284266078</v>
      </c>
    </row>
    <row r="444" spans="1:5" x14ac:dyDescent="0.25">
      <c r="A444" s="34">
        <f t="shared" si="31"/>
        <v>43.200000000000344</v>
      </c>
      <c r="B444" s="35">
        <f t="shared" ca="1" si="32"/>
        <v>0.29762002114040875</v>
      </c>
      <c r="C444" s="1">
        <f t="shared" ca="1" si="33"/>
        <v>3.6300802023085721</v>
      </c>
      <c r="D444" s="1">
        <f t="shared" ca="1" si="34"/>
        <v>3.6300802028932853</v>
      </c>
      <c r="E444" s="37">
        <f t="shared" ca="1" si="30"/>
        <v>-1.9493717238036075</v>
      </c>
    </row>
    <row r="445" spans="1:5" x14ac:dyDescent="0.25">
      <c r="A445" s="34">
        <f t="shared" si="31"/>
        <v>43.300000000000345</v>
      </c>
      <c r="B445" s="35">
        <f t="shared" ca="1" si="32"/>
        <v>0.64771613160485986</v>
      </c>
      <c r="C445" s="1">
        <f t="shared" ca="1" si="33"/>
        <v>3.3718420079804017</v>
      </c>
      <c r="D445" s="1">
        <f t="shared" ca="1" si="34"/>
        <v>3.371842008601631</v>
      </c>
      <c r="E445" s="37">
        <f t="shared" ca="1" si="30"/>
        <v>-3.2153921627867228</v>
      </c>
    </row>
    <row r="446" spans="1:5" x14ac:dyDescent="0.25">
      <c r="A446" s="34">
        <f t="shared" si="31"/>
        <v>43.400000000000347</v>
      </c>
      <c r="B446" s="35">
        <f t="shared" ca="1" si="32"/>
        <v>0.96603062358798963</v>
      </c>
      <c r="C446" s="1">
        <f t="shared" ca="1" si="33"/>
        <v>2.9944478328621247</v>
      </c>
      <c r="D446" s="1">
        <f t="shared" ca="1" si="34"/>
        <v>2.9944478335103804</v>
      </c>
      <c r="E446" s="37">
        <f t="shared" ca="1" si="30"/>
        <v>-4.3324913401015399</v>
      </c>
    </row>
    <row r="447" spans="1:5" x14ac:dyDescent="0.25">
      <c r="A447" s="34">
        <f t="shared" si="31"/>
        <v>43.500000000000348</v>
      </c>
      <c r="B447" s="35">
        <f t="shared" ca="1" si="32"/>
        <v>1.2414896200016514</v>
      </c>
      <c r="C447" s="1">
        <f t="shared" ca="1" si="33"/>
        <v>2.5147320967940043</v>
      </c>
      <c r="D447" s="1">
        <f t="shared" ca="1" si="34"/>
        <v>2.5147320974552816</v>
      </c>
      <c r="E447" s="37">
        <f t="shared" ca="1" si="30"/>
        <v>-5.2618233824436755</v>
      </c>
    </row>
    <row r="448" spans="1:5" x14ac:dyDescent="0.25">
      <c r="A448" s="34">
        <f t="shared" si="31"/>
        <v>43.60000000000035</v>
      </c>
      <c r="B448" s="35">
        <f t="shared" ca="1" si="32"/>
        <v>1.4648769123876832</v>
      </c>
      <c r="C448" s="1">
        <f t="shared" ca="1" si="33"/>
        <v>1.9530137525364615</v>
      </c>
      <c r="D448" s="1">
        <f t="shared" ca="1" si="34"/>
        <v>1.9530137531910876</v>
      </c>
      <c r="E448" s="37">
        <f t="shared" ca="1" si="30"/>
        <v>-5.9725435047507629</v>
      </c>
    </row>
    <row r="449" spans="1:5" x14ac:dyDescent="0.25">
      <c r="A449" s="34">
        <f t="shared" si="31"/>
        <v>43.700000000000351</v>
      </c>
      <c r="B449" s="35">
        <f t="shared" ca="1" si="32"/>
        <v>1.6291398748491339</v>
      </c>
      <c r="C449" s="1">
        <f t="shared" ca="1" si="33"/>
        <v>1.3322454985537684</v>
      </c>
      <c r="D449" s="1">
        <f t="shared" ca="1" si="34"/>
        <v>1.3322454991750314</v>
      </c>
      <c r="E449" s="37">
        <f t="shared" ca="1" si="30"/>
        <v>-6.4428215780505766</v>
      </c>
    </row>
    <row r="450" spans="1:5" x14ac:dyDescent="0.25">
      <c r="A450" s="34">
        <f t="shared" si="31"/>
        <v>43.800000000000352</v>
      </c>
      <c r="B450" s="35">
        <f t="shared" ca="1" si="32"/>
        <v>1.7296061550862436</v>
      </c>
      <c r="C450" s="1">
        <f t="shared" ca="1" si="33"/>
        <v>0.67708010832523124</v>
      </c>
      <c r="D450" s="1">
        <f t="shared" ca="1" si="34"/>
        <v>0.67708010887776293</v>
      </c>
      <c r="E450" s="37">
        <f t="shared" ca="1" si="30"/>
        <v>-6.6604862310638273</v>
      </c>
    </row>
    <row r="451" spans="1:5" x14ac:dyDescent="0.25">
      <c r="A451" s="34">
        <f t="shared" si="31"/>
        <v>43.900000000000354</v>
      </c>
      <c r="B451" s="35">
        <f t="shared" ca="1" si="32"/>
        <v>1.7641047460597181</v>
      </c>
      <c r="C451" s="1">
        <f t="shared" ca="1" si="33"/>
        <v>1.2891713579605835E-2</v>
      </c>
      <c r="D451" s="1">
        <f t="shared" ca="1" si="34"/>
        <v>1.2891714017485789E-2</v>
      </c>
      <c r="E451" s="37">
        <f t="shared" ca="1" si="30"/>
        <v>-6.6232816701373443</v>
      </c>
    </row>
    <row r="452" spans="1:5" x14ac:dyDescent="0.25">
      <c r="A452" s="34">
        <f t="shared" si="31"/>
        <v>44.000000000000355</v>
      </c>
      <c r="B452" s="35">
        <f t="shared" ca="1" si="32"/>
        <v>1.7329888758608203</v>
      </c>
      <c r="C452" s="1">
        <f t="shared" ca="1" si="33"/>
        <v>-0.63520911480327646</v>
      </c>
      <c r="D452" s="1">
        <f t="shared" ca="1" si="34"/>
        <v>-0.63520911453872808</v>
      </c>
      <c r="E452" s="37">
        <f t="shared" ca="1" si="30"/>
        <v>-6.3387349059673479</v>
      </c>
    </row>
    <row r="453" spans="1:5" x14ac:dyDescent="0.25">
      <c r="A453" s="34">
        <f t="shared" si="31"/>
        <v>44.100000000000357</v>
      </c>
      <c r="B453" s="35">
        <f t="shared" ca="1" si="32"/>
        <v>1.6390620109970349</v>
      </c>
      <c r="C453" s="1">
        <f t="shared" ca="1" si="33"/>
        <v>-1.2433281793830582</v>
      </c>
      <c r="D453" s="1">
        <f t="shared" ca="1" si="34"/>
        <v>-1.2433281793658326</v>
      </c>
      <c r="E453" s="37">
        <f t="shared" ca="1" si="30"/>
        <v>-5.8236463967202505</v>
      </c>
    </row>
    <row r="454" spans="1:5" x14ac:dyDescent="0.25">
      <c r="A454" s="34">
        <f t="shared" si="31"/>
        <v>44.200000000000358</v>
      </c>
      <c r="B454" s="35">
        <f t="shared" ca="1" si="32"/>
        <v>1.4874119977995564</v>
      </c>
      <c r="C454" s="1">
        <f t="shared" ca="1" si="33"/>
        <v>-1.7896720811323337</v>
      </c>
      <c r="D454" s="1">
        <f t="shared" ca="1" si="34"/>
        <v>-1.7896720814546638</v>
      </c>
      <c r="E454" s="37">
        <f t="shared" ca="1" si="30"/>
        <v>-5.1032316525709023</v>
      </c>
    </row>
    <row r="455" spans="1:5" x14ac:dyDescent="0.25">
      <c r="A455" s="34">
        <f t="shared" si="31"/>
        <v>44.30000000000036</v>
      </c>
      <c r="B455" s="35">
        <f t="shared" ca="1" si="32"/>
        <v>1.2851618240765856</v>
      </c>
      <c r="C455" s="1">
        <f t="shared" ca="1" si="33"/>
        <v>-2.2553313895475515</v>
      </c>
      <c r="D455" s="1">
        <f t="shared" ca="1" si="34"/>
        <v>-2.2553313903232519</v>
      </c>
      <c r="E455" s="37">
        <f t="shared" ca="1" si="30"/>
        <v>-4.2099545339131703</v>
      </c>
    </row>
    <row r="456" spans="1:5" x14ac:dyDescent="0.25">
      <c r="A456" s="34">
        <f t="shared" si="31"/>
        <v>44.400000000000361</v>
      </c>
      <c r="B456" s="35">
        <f t="shared" ca="1" si="32"/>
        <v>1.0411485378522245</v>
      </c>
      <c r="C456" s="1">
        <f t="shared" ca="1" si="33"/>
        <v>-2.6249343308268376</v>
      </c>
      <c r="D456" s="1">
        <f t="shared" ca="1" si="34"/>
        <v>-2.6249343321950818</v>
      </c>
      <c r="E456" s="37">
        <f t="shared" ca="1" si="30"/>
        <v>-3.1821043144878161</v>
      </c>
    </row>
    <row r="457" spans="1:5" x14ac:dyDescent="0.25">
      <c r="A457" s="34">
        <f t="shared" si="31"/>
        <v>44.500000000000362</v>
      </c>
      <c r="B457" s="35">
        <f t="shared" ca="1" si="32"/>
        <v>0.76554439970138821</v>
      </c>
      <c r="C457" s="1">
        <f t="shared" ca="1" si="33"/>
        <v>-2.8871484277725967</v>
      </c>
      <c r="D457" s="1">
        <f t="shared" ca="1" si="34"/>
        <v>-2.8871484299021541</v>
      </c>
      <c r="E457" s="37">
        <f t="shared" ca="1" si="30"/>
        <v>-2.0621776527499862</v>
      </c>
    </row>
    <row r="458" spans="1:5" x14ac:dyDescent="0.25">
      <c r="A458" s="34">
        <f t="shared" si="31"/>
        <v>44.600000000000364</v>
      </c>
      <c r="B458" s="35">
        <f t="shared" ca="1" si="32"/>
        <v>0.46943627990021392</v>
      </c>
      <c r="C458" s="1">
        <f t="shared" ca="1" si="33"/>
        <v>-3.0350139635799485</v>
      </c>
      <c r="D458" s="1">
        <f t="shared" ca="1" si="34"/>
        <v>-3.0350139666738953</v>
      </c>
      <c r="E458" s="37">
        <f t="shared" ca="1" si="30"/>
        <v>-0.89513309821773346</v>
      </c>
    </row>
    <row r="459" spans="1:5" x14ac:dyDescent="0.25">
      <c r="A459" s="34">
        <f t="shared" si="31"/>
        <v>44.700000000000365</v>
      </c>
      <c r="B459" s="35">
        <f t="shared" ca="1" si="32"/>
        <v>0.16438057705820225</v>
      </c>
      <c r="C459" s="1">
        <f t="shared" ca="1" si="33"/>
        <v>-3.0661000884147129</v>
      </c>
      <c r="D459" s="1">
        <f t="shared" ca="1" si="34"/>
        <v>-3.0661000927156161</v>
      </c>
      <c r="E459" s="37">
        <f t="shared" ca="1" si="30"/>
        <v>0.27341055908672707</v>
      </c>
    </row>
    <row r="460" spans="1:5" x14ac:dyDescent="0.25">
      <c r="A460" s="34">
        <f t="shared" si="31"/>
        <v>44.800000000000367</v>
      </c>
      <c r="B460" s="35">
        <f t="shared" ca="1" si="32"/>
        <v>-0.13804850548565056</v>
      </c>
      <c r="C460" s="1">
        <f t="shared" ca="1" si="33"/>
        <v>-2.9824815575568935</v>
      </c>
      <c r="D460" s="1">
        <f t="shared" ca="1" si="34"/>
        <v>-2.9824815633524522</v>
      </c>
      <c r="E460" s="37">
        <f t="shared" ref="E460:E523" ca="1" si="35" xml:space="preserve"> -R_x/L_x*D460-1/(L_x*C_x)*B460+E0_x*SIN(w_x*A460)/L_x</f>
        <v>1.3989600067703236</v>
      </c>
    </row>
    <row r="461" spans="1:5" x14ac:dyDescent="0.25">
      <c r="A461" s="34">
        <f t="shared" si="31"/>
        <v>44.900000000000368</v>
      </c>
      <c r="B461" s="35">
        <f t="shared" ca="1" si="32"/>
        <v>-0.42669964329594123</v>
      </c>
      <c r="C461" s="1">
        <f t="shared" ca="1" si="33"/>
        <v>-2.7905411938430675</v>
      </c>
      <c r="D461" s="1">
        <f t="shared" ca="1" si="34"/>
        <v>-2.7905412014721729</v>
      </c>
      <c r="E461" s="37">
        <f t="shared" ca="1" si="35"/>
        <v>2.4398472059605054</v>
      </c>
    </row>
    <row r="462" spans="1:5" x14ac:dyDescent="0.25">
      <c r="A462" s="34">
        <f t="shared" ref="A462:A525" si="36">A461+$A$9</f>
        <v>45.000000000000369</v>
      </c>
      <c r="B462" s="35">
        <f t="shared" ref="B462:B525" ca="1" si="37">IF($B$7="n",$B$12,$A$9/2*(C462+C461)+B461)</f>
        <v>-0.69125719940416452</v>
      </c>
      <c r="C462" s="1">
        <f t="shared" ref="C462:C525" ca="1" si="38">D462</f>
        <v>-2.5006099238299897</v>
      </c>
      <c r="D462" s="1">
        <f t="shared" ref="D462:D525" ca="1" si="39">IF($B$7="n",$D$12,$A$9/2*(E462+E461)+D461)</f>
        <v>-2.500609933689133</v>
      </c>
      <c r="E462" s="37">
        <f t="shared" ca="1" si="35"/>
        <v>3.3587781209936569</v>
      </c>
    </row>
    <row r="463" spans="1:5" x14ac:dyDescent="0.25">
      <c r="A463" s="34">
        <f t="shared" si="36"/>
        <v>45.100000000000371</v>
      </c>
      <c r="B463" s="35">
        <f t="shared" ca="1" si="37"/>
        <v>-0.92261081499046038</v>
      </c>
      <c r="C463" s="1">
        <f t="shared" ca="1" si="38"/>
        <v>-2.1264623840017411</v>
      </c>
      <c r="D463" s="1">
        <f t="shared" ca="1" si="39"/>
        <v>-2.1264623965516614</v>
      </c>
      <c r="E463" s="37">
        <f t="shared" ca="1" si="35"/>
        <v>4.1241725888612821</v>
      </c>
    </row>
    <row r="464" spans="1:5" x14ac:dyDescent="0.25">
      <c r="A464" s="34">
        <f t="shared" si="36"/>
        <v>45.200000000000372</v>
      </c>
      <c r="B464" s="35">
        <f t="shared" ca="1" si="37"/>
        <v>-1.1131685041864769</v>
      </c>
      <c r="C464" s="1">
        <f t="shared" ca="1" si="38"/>
        <v>-1.6846913969870161</v>
      </c>
      <c r="D464" s="1">
        <f t="shared" ca="1" si="39"/>
        <v>-1.6846914127594301</v>
      </c>
      <c r="E464" s="37">
        <f t="shared" ca="1" si="35"/>
        <v>4.7112470495682697</v>
      </c>
    </row>
    <row r="465" spans="1:5" x14ac:dyDescent="0.25">
      <c r="A465" s="34">
        <f t="shared" si="36"/>
        <v>45.300000000000374</v>
      </c>
      <c r="B465" s="35">
        <f t="shared" ca="1" si="37"/>
        <v>-1.2571025182423354</v>
      </c>
      <c r="C465" s="1">
        <f t="shared" ca="1" si="38"/>
        <v>-1.1939888826262683</v>
      </c>
      <c r="D465" s="1">
        <f t="shared" ca="1" si="39"/>
        <v>-1.1939889022304659</v>
      </c>
      <c r="E465" s="37">
        <f t="shared" ca="1" si="35"/>
        <v>5.1028031187868654</v>
      </c>
    </row>
    <row r="466" spans="1:5" x14ac:dyDescent="0.25">
      <c r="A466" s="34">
        <f t="shared" si="36"/>
        <v>45.400000000000375</v>
      </c>
      <c r="B466" s="35">
        <f t="shared" ca="1" si="37"/>
        <v>-1.3505201545733705</v>
      </c>
      <c r="C466" s="1">
        <f t="shared" ca="1" si="38"/>
        <v>-0.67436384450268472</v>
      </c>
      <c r="D466" s="1">
        <f t="shared" ca="1" si="39"/>
        <v>-0.67436386863169084</v>
      </c>
      <c r="E466" s="37">
        <f t="shared" ca="1" si="35"/>
        <v>5.2896975059381779</v>
      </c>
    </row>
    <row r="467" spans="1:5" x14ac:dyDescent="0.25">
      <c r="A467" s="34">
        <f t="shared" si="36"/>
        <v>45.500000000000377</v>
      </c>
      <c r="B467" s="35">
        <f t="shared" ca="1" si="37"/>
        <v>-1.3915548396057364</v>
      </c>
      <c r="C467" s="1">
        <f t="shared" ca="1" si="38"/>
        <v>-0.14632985939141374</v>
      </c>
      <c r="D467" s="1">
        <f t="shared" ca="1" si="39"/>
        <v>-0.146329888827334</v>
      </c>
      <c r="E467" s="37">
        <f t="shared" ca="1" si="35"/>
        <v>5.2709820377606844</v>
      </c>
    </row>
    <row r="468" spans="1:5" x14ac:dyDescent="0.25">
      <c r="A468" s="34">
        <f t="shared" si="36"/>
        <v>45.600000000000378</v>
      </c>
      <c r="B468" s="35">
        <f t="shared" ca="1" si="37"/>
        <v>-1.3803760796729929</v>
      </c>
      <c r="C468" s="1">
        <f t="shared" ca="1" si="38"/>
        <v>0.36990505116697925</v>
      </c>
      <c r="D468" s="1">
        <f t="shared" ca="1" si="39"/>
        <v>0.36990501554893362</v>
      </c>
      <c r="E468" s="37">
        <f t="shared" ca="1" si="35"/>
        <v>5.0537159922760795</v>
      </c>
    </row>
    <row r="469" spans="1:5" x14ac:dyDescent="0.25">
      <c r="A469" s="34">
        <f t="shared" si="36"/>
        <v>45.700000000000379</v>
      </c>
      <c r="B469" s="35">
        <f t="shared" ca="1" si="37"/>
        <v>-1.3191201183941932</v>
      </c>
      <c r="C469" s="1">
        <f t="shared" ca="1" si="38"/>
        <v>0.85521416280660478</v>
      </c>
      <c r="D469" s="1">
        <f t="shared" ca="1" si="39"/>
        <v>0.85521412003604957</v>
      </c>
      <c r="E469" s="37">
        <f t="shared" ca="1" si="35"/>
        <v>4.652466035117647</v>
      </c>
    </row>
    <row r="470" spans="1:5" x14ac:dyDescent="0.25">
      <c r="A470" s="34">
        <f t="shared" si="36"/>
        <v>45.800000000000381</v>
      </c>
      <c r="B470" s="35">
        <f t="shared" ca="1" si="37"/>
        <v>-1.2117462324225374</v>
      </c>
      <c r="C470" s="1">
        <f t="shared" ca="1" si="38"/>
        <v>1.2922635389814192</v>
      </c>
      <c r="D470" s="1">
        <f t="shared" ca="1" si="39"/>
        <v>1.2922634879934893</v>
      </c>
      <c r="E470" s="37">
        <f t="shared" ca="1" si="35"/>
        <v>4.0885212573318892</v>
      </c>
    </row>
    <row r="471" spans="1:5" x14ac:dyDescent="0.25">
      <c r="A471" s="34">
        <f t="shared" si="36"/>
        <v>45.900000000000382</v>
      </c>
      <c r="B471" s="35">
        <f t="shared" ca="1" si="37"/>
        <v>-1.0638264193150857</v>
      </c>
      <c r="C471" s="1">
        <f t="shared" ca="1" si="38"/>
        <v>1.6661326978953301</v>
      </c>
      <c r="D471" s="1">
        <f t="shared" ca="1" si="39"/>
        <v>1.6661326375351269</v>
      </c>
      <c r="E471" s="37">
        <f t="shared" ca="1" si="35"/>
        <v>3.3888616633100743</v>
      </c>
    </row>
    <row r="472" spans="1:5" x14ac:dyDescent="0.25">
      <c r="A472" s="34">
        <f t="shared" si="36"/>
        <v>46.000000000000384</v>
      </c>
      <c r="B472" s="35">
        <f t="shared" ca="1" si="37"/>
        <v>-0.88227867407928962</v>
      </c>
      <c r="C472" s="1">
        <f t="shared" ca="1" si="38"/>
        <v>1.9648221720322248</v>
      </c>
      <c r="D472" s="1">
        <f t="shared" ca="1" si="39"/>
        <v>1.9648221010642455</v>
      </c>
      <c r="E472" s="37">
        <f t="shared" ca="1" si="35"/>
        <v>2.5849275348966652</v>
      </c>
    </row>
    <row r="473" spans="1:5" x14ac:dyDescent="0.25">
      <c r="A473" s="34">
        <f t="shared" si="36"/>
        <v>46.100000000000385</v>
      </c>
      <c r="B473" s="35">
        <f t="shared" ca="1" si="37"/>
        <v>-0.67505602476610393</v>
      </c>
      <c r="C473" s="1">
        <f t="shared" ca="1" si="38"/>
        <v>2.1796307676910032</v>
      </c>
      <c r="D473" s="1">
        <f t="shared" ca="1" si="39"/>
        <v>2.1796306848150482</v>
      </c>
      <c r="E473" s="37">
        <f t="shared" ca="1" si="35"/>
        <v>1.7112440674305001</v>
      </c>
    </row>
    <row r="474" spans="1:5" x14ac:dyDescent="0.25">
      <c r="A474" s="34">
        <f t="shared" si="36"/>
        <v>46.200000000000387</v>
      </c>
      <c r="B474" s="35">
        <f t="shared" ca="1" si="37"/>
        <v>-0.4508049332152172</v>
      </c>
      <c r="C474" s="1">
        <f t="shared" ca="1" si="38"/>
        <v>2.3053910024051767</v>
      </c>
      <c r="D474" s="1">
        <f t="shared" ca="1" si="39"/>
        <v>2.3053909062805436</v>
      </c>
      <c r="E474" s="37">
        <f t="shared" ca="1" si="35"/>
        <v>0.80396029145367642</v>
      </c>
    </row>
    <row r="475" spans="1:5" x14ac:dyDescent="0.25">
      <c r="A475" s="34">
        <f t="shared" si="36"/>
        <v>46.300000000000388</v>
      </c>
      <c r="B475" s="35">
        <f t="shared" ca="1" si="37"/>
        <v>-0.21850751889575318</v>
      </c>
      <c r="C475" s="1">
        <f t="shared" ca="1" si="38"/>
        <v>2.3405572056114647</v>
      </c>
      <c r="D475" s="1">
        <f t="shared" ca="1" si="39"/>
        <v>2.3405570948916048</v>
      </c>
      <c r="E475" s="37">
        <f t="shared" ca="1" si="35"/>
        <v>-0.10063658394817487</v>
      </c>
    </row>
    <row r="476" spans="1:5" x14ac:dyDescent="0.25">
      <c r="A476" s="34">
        <f t="shared" si="36"/>
        <v>46.400000000000389</v>
      </c>
      <c r="B476" s="35">
        <f t="shared" ca="1" si="37"/>
        <v>1.2877689397536696E-2</v>
      </c>
      <c r="C476" s="1">
        <f t="shared" ca="1" si="38"/>
        <v>2.2871468608698713</v>
      </c>
      <c r="D476" s="1">
        <f t="shared" ca="1" si="39"/>
        <v>2.287146734250098</v>
      </c>
      <c r="E476" s="37">
        <f t="shared" ca="1" si="35"/>
        <v>-0.96757068337566243</v>
      </c>
    </row>
    <row r="477" spans="1:5" x14ac:dyDescent="0.25">
      <c r="A477" s="34">
        <f t="shared" si="36"/>
        <v>46.500000000000391</v>
      </c>
      <c r="B477" s="35">
        <f t="shared" ca="1" si="37"/>
        <v>0.23476212346726585</v>
      </c>
      <c r="C477" s="1">
        <f t="shared" ca="1" si="38"/>
        <v>2.1505416960270969</v>
      </c>
      <c r="D477" s="1">
        <f t="shared" ca="1" si="39"/>
        <v>2.1505415523084124</v>
      </c>
      <c r="E477" s="37">
        <f t="shared" ca="1" si="35"/>
        <v>-1.7645329939251406</v>
      </c>
    </row>
    <row r="478" spans="1:5" x14ac:dyDescent="0.25">
      <c r="A478" s="34">
        <f t="shared" si="36"/>
        <v>46.600000000000392</v>
      </c>
      <c r="B478" s="35">
        <f t="shared" ca="1" si="37"/>
        <v>0.43924724359048456</v>
      </c>
      <c r="C478" s="1">
        <f t="shared" ca="1" si="38"/>
        <v>1.9391605521362614</v>
      </c>
      <c r="D478" s="1">
        <f t="shared" ca="1" si="39"/>
        <v>1.939160390308909</v>
      </c>
      <c r="E478" s="37">
        <f t="shared" ca="1" si="35"/>
        <v>-2.463090261144496</v>
      </c>
    </row>
    <row r="479" spans="1:5" x14ac:dyDescent="0.25">
      <c r="A479" s="34">
        <f t="shared" si="36"/>
        <v>46.700000000000394</v>
      </c>
      <c r="B479" s="35">
        <f t="shared" ca="1" si="37"/>
        <v>0.6194063289167373</v>
      </c>
      <c r="C479" s="1">
        <f t="shared" ca="1" si="38"/>
        <v>1.6640209649608086</v>
      </c>
      <c r="D479" s="1">
        <f t="shared" ca="1" si="39"/>
        <v>1.6640207843117625</v>
      </c>
      <c r="E479" s="37">
        <f t="shared" ca="1" si="35"/>
        <v>-3.0397018412694692</v>
      </c>
    </row>
    <row r="480" spans="1:5" x14ac:dyDescent="0.25">
      <c r="A480" s="34">
        <f t="shared" si="36"/>
        <v>46.800000000000395</v>
      </c>
      <c r="B480" s="35">
        <f t="shared" ca="1" si="37"/>
        <v>0.76951791301370864</v>
      </c>
      <c r="C480" s="1">
        <f t="shared" ca="1" si="38"/>
        <v>1.3382104864293822</v>
      </c>
      <c r="D480" s="1">
        <f t="shared" ca="1" si="39"/>
        <v>1.3382102866786563</v>
      </c>
      <c r="E480" s="37">
        <f t="shared" ca="1" si="35"/>
        <v>-3.4765080498266205</v>
      </c>
    </row>
    <row r="481" spans="1:5" x14ac:dyDescent="0.25">
      <c r="A481" s="34">
        <f t="shared" si="36"/>
        <v>46.900000000000396</v>
      </c>
      <c r="B481" s="35">
        <f t="shared" ca="1" si="37"/>
        <v>0.8852430465685206</v>
      </c>
      <c r="C481" s="1">
        <f t="shared" ca="1" si="38"/>
        <v>0.97629190630496132</v>
      </c>
      <c r="D481" s="1">
        <f t="shared" ca="1" si="39"/>
        <v>0.97629168777636599</v>
      </c>
      <c r="E481" s="37">
        <f t="shared" ca="1" si="35"/>
        <v>-3.7618638085856917</v>
      </c>
    </row>
    <row r="482" spans="1:5" x14ac:dyDescent="0.25">
      <c r="A482" s="34">
        <f t="shared" si="36"/>
        <v>47.000000000000398</v>
      </c>
      <c r="B482" s="35">
        <f t="shared" ca="1" si="37"/>
        <v>0.96374108845879436</v>
      </c>
      <c r="C482" s="1">
        <f t="shared" ca="1" si="38"/>
        <v>0.59366859792705906</v>
      </c>
      <c r="D482" s="1">
        <f t="shared" ca="1" si="39"/>
        <v>0.59366836175983706</v>
      </c>
      <c r="E482" s="37">
        <f t="shared" ca="1" si="35"/>
        <v>-3.8906025169676854</v>
      </c>
    </row>
    <row r="483" spans="1:5" x14ac:dyDescent="0.25">
      <c r="A483" s="34">
        <f t="shared" si="36"/>
        <v>47.100000000000399</v>
      </c>
      <c r="B483" s="35">
        <f t="shared" ca="1" si="37"/>
        <v>1.0037213953888615</v>
      </c>
      <c r="C483" s="1">
        <f t="shared" ca="1" si="38"/>
        <v>0.20593714379487693</v>
      </c>
      <c r="D483" s="1">
        <f t="shared" ca="1" si="39"/>
        <v>0.20593689220352246</v>
      </c>
      <c r="E483" s="37">
        <f t="shared" ca="1" si="35"/>
        <v>-3.864026583619947</v>
      </c>
    </row>
    <row r="484" spans="1:5" x14ac:dyDescent="0.25">
      <c r="A484" s="34">
        <f t="shared" si="36"/>
        <v>47.200000000000401</v>
      </c>
      <c r="B484" s="35">
        <f t="shared" ca="1" si="37"/>
        <v>1.0054309851585297</v>
      </c>
      <c r="C484" s="1">
        <f t="shared" ca="1" si="38"/>
        <v>-0.17174581733456035</v>
      </c>
      <c r="D484" s="1">
        <f t="shared" ca="1" si="39"/>
        <v>-0.17174608074407799</v>
      </c>
      <c r="E484" s="37">
        <f t="shared" ca="1" si="35"/>
        <v>-3.6896324643246317</v>
      </c>
    </row>
    <row r="485" spans="1:5" x14ac:dyDescent="0.25">
      <c r="A485" s="34">
        <f t="shared" si="36"/>
        <v>47.300000000000402</v>
      </c>
      <c r="B485" s="35">
        <f t="shared" ca="1" si="37"/>
        <v>0.97058087647082769</v>
      </c>
      <c r="C485" s="1">
        <f t="shared" ca="1" si="38"/>
        <v>-0.52525690672512626</v>
      </c>
      <c r="D485" s="1">
        <f t="shared" ca="1" si="39"/>
        <v>-0.52525717657355531</v>
      </c>
      <c r="E485" s="37">
        <f t="shared" ca="1" si="35"/>
        <v>-3.3805888913922706</v>
      </c>
    </row>
    <row r="486" spans="1:5" x14ac:dyDescent="0.25">
      <c r="A486" s="34">
        <f t="shared" si="36"/>
        <v>47.400000000000404</v>
      </c>
      <c r="B486" s="35">
        <f t="shared" ca="1" si="37"/>
        <v>0.90221625170278941</v>
      </c>
      <c r="C486" s="1">
        <f t="shared" ca="1" si="38"/>
        <v>-0.84203623007055861</v>
      </c>
      <c r="D486" s="1">
        <f t="shared" ca="1" si="39"/>
        <v>-0.84203649874782449</v>
      </c>
      <c r="E486" s="37">
        <f t="shared" ca="1" si="35"/>
        <v>-2.9549968066217209</v>
      </c>
    </row>
    <row r="487" spans="1:5" x14ac:dyDescent="0.25">
      <c r="A487" s="34">
        <f t="shared" si="36"/>
        <v>47.500000000000405</v>
      </c>
      <c r="B487" s="35">
        <f t="shared" ca="1" si="37"/>
        <v>0.80453775096782187</v>
      </c>
      <c r="C487" s="1">
        <f t="shared" ca="1" si="38"/>
        <v>-1.1115345271881281</v>
      </c>
      <c r="D487" s="1">
        <f t="shared" ca="1" si="39"/>
        <v>-1.1115347843089569</v>
      </c>
      <c r="E487" s="37">
        <f t="shared" ca="1" si="35"/>
        <v>-2.4349679337698826</v>
      </c>
    </row>
    <row r="488" spans="1:5" x14ac:dyDescent="0.25">
      <c r="A488" s="34">
        <f t="shared" si="36"/>
        <v>47.600000000000406</v>
      </c>
      <c r="B488" s="35">
        <f t="shared" ca="1" si="37"/>
        <v>0.68268300266564674</v>
      </c>
      <c r="C488" s="1">
        <f t="shared" ca="1" si="38"/>
        <v>-1.3255612924908784</v>
      </c>
      <c r="D488" s="1">
        <f t="shared" ca="1" si="39"/>
        <v>-1.3255615242515852</v>
      </c>
      <c r="E488" s="37">
        <f t="shared" ca="1" si="35"/>
        <v>-1.8455656213810032</v>
      </c>
    </row>
    <row r="489" spans="1:5" x14ac:dyDescent="0.25">
      <c r="A489" s="34">
        <f t="shared" si="36"/>
        <v>47.700000000000408</v>
      </c>
      <c r="B489" s="35">
        <f t="shared" ca="1" si="37"/>
        <v>0.54247886121745814</v>
      </c>
      <c r="C489" s="1">
        <f t="shared" ca="1" si="38"/>
        <v>-1.4785225107082818</v>
      </c>
      <c r="D489" s="1">
        <f t="shared" ca="1" si="39"/>
        <v>-1.47852269913194</v>
      </c>
      <c r="E489" s="37">
        <f t="shared" ca="1" si="35"/>
        <v>-1.2136563046523574</v>
      </c>
    </row>
    <row r="490" spans="1:5" x14ac:dyDescent="0.25">
      <c r="A490" s="34">
        <f t="shared" si="36"/>
        <v>47.800000000000409</v>
      </c>
      <c r="B490" s="35">
        <f t="shared" ca="1" si="37"/>
        <v>0.39017571004437424</v>
      </c>
      <c r="C490" s="1">
        <f t="shared" ca="1" si="38"/>
        <v>-1.5675416161730804</v>
      </c>
      <c r="D490" s="1">
        <f t="shared" ca="1" si="39"/>
        <v>-1.5675417382296897</v>
      </c>
      <c r="E490" s="37">
        <f t="shared" ca="1" si="35"/>
        <v>-0.56672251462783241</v>
      </c>
    </row>
    <row r="491" spans="1:5" x14ac:dyDescent="0.25">
      <c r="A491" s="34">
        <f t="shared" si="36"/>
        <v>47.900000000000411</v>
      </c>
      <c r="B491" s="35">
        <f t="shared" ca="1" si="37"/>
        <v>0.23217557144197762</v>
      </c>
      <c r="C491" s="1">
        <f t="shared" ca="1" si="38"/>
        <v>-1.5924623954581234</v>
      </c>
      <c r="D491" s="1">
        <f t="shared" ca="1" si="39"/>
        <v>-1.5924624220460637</v>
      </c>
      <c r="E491" s="37">
        <f t="shared" ca="1" si="35"/>
        <v>6.8311264238267722E-2</v>
      </c>
    </row>
    <row r="492" spans="1:5" x14ac:dyDescent="0.25">
      <c r="A492" s="34">
        <f t="shared" si="36"/>
        <v>48.000000000000412</v>
      </c>
      <c r="B492" s="35">
        <f t="shared" ca="1" si="37"/>
        <v>7.4765641041803693E-2</v>
      </c>
      <c r="C492" s="1">
        <f t="shared" ca="1" si="38"/>
        <v>-1.5557375928134027</v>
      </c>
      <c r="D492" s="1">
        <f t="shared" ca="1" si="39"/>
        <v>-1.5557374875885266</v>
      </c>
      <c r="E492" s="37">
        <f t="shared" ca="1" si="35"/>
        <v>0.66619039584446327</v>
      </c>
    </row>
    <row r="493" spans="1:5" x14ac:dyDescent="0.25">
      <c r="A493" s="34">
        <f t="shared" si="36"/>
        <v>48.100000000000414</v>
      </c>
      <c r="B493" s="35">
        <f t="shared" ca="1" si="37"/>
        <v>-7.6131749173017738E-2</v>
      </c>
      <c r="C493" s="1">
        <f t="shared" ca="1" si="38"/>
        <v>-1.4622117334210831</v>
      </c>
      <c r="D493" s="1">
        <f t="shared" ca="1" si="39"/>
        <v>-1.462211451460379</v>
      </c>
      <c r="E493" s="37">
        <f t="shared" ca="1" si="35"/>
        <v>1.2043339344613835</v>
      </c>
    </row>
    <row r="494" spans="1:5" x14ac:dyDescent="0.25">
      <c r="A494" s="34">
        <f t="shared" si="36"/>
        <v>48.200000000000415</v>
      </c>
      <c r="B494" s="35">
        <f t="shared" ca="1" si="37"/>
        <v>-0.21518280058980535</v>
      </c>
      <c r="C494" s="1">
        <f t="shared" ca="1" si="38"/>
        <v>-1.3188109546259152</v>
      </c>
      <c r="D494" s="1">
        <f t="shared" ca="1" si="39"/>
        <v>-1.3188104409139676</v>
      </c>
      <c r="E494" s="37">
        <f t="shared" ca="1" si="35"/>
        <v>1.6636906232582438</v>
      </c>
    </row>
    <row r="495" spans="1:5" x14ac:dyDescent="0.25">
      <c r="A495" s="34">
        <f t="shared" si="36"/>
        <v>48.300000000000416</v>
      </c>
      <c r="B495" s="35">
        <f t="shared" ca="1" si="37"/>
        <v>-0.33783107185426686</v>
      </c>
      <c r="C495" s="1">
        <f t="shared" ca="1" si="38"/>
        <v>-1.134156257705041</v>
      </c>
      <c r="D495" s="1">
        <f t="shared" ca="1" si="39"/>
        <v>-1.1341554454337139</v>
      </c>
      <c r="E495" s="37">
        <f t="shared" ca="1" si="35"/>
        <v>2.0294144849180662</v>
      </c>
    </row>
    <row r="496" spans="1:5" x14ac:dyDescent="0.25">
      <c r="A496" s="34">
        <f t="shared" si="36"/>
        <v>48.400000000000418</v>
      </c>
      <c r="B496" s="35">
        <f t="shared" ca="1" si="37"/>
        <v>-0.44044476102534408</v>
      </c>
      <c r="C496" s="1">
        <f t="shared" ca="1" si="38"/>
        <v>-0.91811942106247857</v>
      </c>
      <c r="D496" s="1">
        <f t="shared" ca="1" si="39"/>
        <v>-0.91811822973762092</v>
      </c>
      <c r="E496" s="37">
        <f t="shared" ca="1" si="35"/>
        <v>2.2913360022912741</v>
      </c>
    </row>
    <row r="497" spans="1:5" x14ac:dyDescent="0.25">
      <c r="A497" s="34">
        <f t="shared" si="36"/>
        <v>48.500000000000419</v>
      </c>
      <c r="B497" s="35">
        <f t="shared" ca="1" si="37"/>
        <v>-0.52041777065487604</v>
      </c>
      <c r="C497" s="1">
        <f t="shared" ca="1" si="38"/>
        <v>-0.68134274509423198</v>
      </c>
      <c r="D497" s="1">
        <f t="shared" ca="1" si="39"/>
        <v>-0.68134107844805192</v>
      </c>
      <c r="E497" s="37">
        <f t="shared" ca="1" si="35"/>
        <v>2.4442143038717639</v>
      </c>
    </row>
    <row r="498" spans="1:5" x14ac:dyDescent="0.25">
      <c r="A498" s="34">
        <f t="shared" si="36"/>
        <v>48.600000000000421</v>
      </c>
      <c r="B498" s="35">
        <f t="shared" ca="1" si="37"/>
        <v>-0.57622204577025926</v>
      </c>
      <c r="C498" s="1">
        <f t="shared" ca="1" si="38"/>
        <v>-0.43474476487623448</v>
      </c>
      <c r="D498" s="1">
        <f t="shared" ca="1" si="39"/>
        <v>-0.4347425085906893</v>
      </c>
      <c r="E498" s="37">
        <f t="shared" ca="1" si="35"/>
        <v>2.4877656211214294</v>
      </c>
    </row>
    <row r="499" spans="1:5" x14ac:dyDescent="0.25">
      <c r="A499" s="34">
        <f t="shared" si="36"/>
        <v>48.700000000000422</v>
      </c>
      <c r="B499" s="35">
        <f t="shared" ca="1" si="37"/>
        <v>-0.60741088737776316</v>
      </c>
      <c r="C499" s="1">
        <f t="shared" ca="1" si="38"/>
        <v>-0.1890340473052915</v>
      </c>
      <c r="D499" s="1">
        <f t="shared" ca="1" si="39"/>
        <v>-0.18903106656081772</v>
      </c>
      <c r="E499" s="37">
        <f t="shared" ca="1" si="35"/>
        <v>2.4264731409800429</v>
      </c>
    </row>
    <row r="500" spans="1:5" x14ac:dyDescent="0.25">
      <c r="A500" s="34">
        <f t="shared" si="36"/>
        <v>48.800000000000423</v>
      </c>
      <c r="B500" s="35">
        <f t="shared" ca="1" si="37"/>
        <v>-0.61457510656240688</v>
      </c>
      <c r="C500" s="1">
        <f t="shared" ca="1" si="38"/>
        <v>4.574779477916685E-2</v>
      </c>
      <c r="D500" s="1">
        <f t="shared" ca="1" si="39"/>
        <v>4.575165790348501E-2</v>
      </c>
      <c r="E500" s="37">
        <f t="shared" ca="1" si="35"/>
        <v>2.2691928121772813</v>
      </c>
    </row>
    <row r="501" spans="1:5" x14ac:dyDescent="0.25">
      <c r="A501" s="34">
        <f t="shared" si="36"/>
        <v>48.900000000000425</v>
      </c>
      <c r="B501" s="35">
        <f t="shared" ca="1" si="37"/>
        <v>-0.59925590318646194</v>
      </c>
      <c r="C501" s="1">
        <f t="shared" ca="1" si="38"/>
        <v>0.26063462550362887</v>
      </c>
      <c r="D501" s="1">
        <f t="shared" ca="1" si="39"/>
        <v>0.2606395547371847</v>
      </c>
      <c r="E501" s="37">
        <f t="shared" ca="1" si="35"/>
        <v>2.0285782773972012</v>
      </c>
    </row>
    <row r="502" spans="1:5" x14ac:dyDescent="0.25">
      <c r="A502" s="34">
        <f t="shared" si="36"/>
        <v>49.000000000000426</v>
      </c>
      <c r="B502" s="35">
        <f t="shared" ca="1" si="37"/>
        <v>-0.56382014334752628</v>
      </c>
      <c r="C502" s="1">
        <f t="shared" ca="1" si="38"/>
        <v>0.44807928871615549</v>
      </c>
      <c r="D502" s="1">
        <f t="shared" ca="1" si="39"/>
        <v>0.44808549635071271</v>
      </c>
      <c r="E502" s="37">
        <f t="shared" ca="1" si="35"/>
        <v>1.7203555352277924</v>
      </c>
    </row>
    <row r="503" spans="1:5" x14ac:dyDescent="0.25">
      <c r="A503" s="34">
        <f t="shared" si="36"/>
        <v>49.100000000000428</v>
      </c>
      <c r="B503" s="35">
        <f t="shared" ca="1" si="37"/>
        <v>-0.51130519758901916</v>
      </c>
      <c r="C503" s="1">
        <f t="shared" ca="1" si="38"/>
        <v>0.60221889113816984</v>
      </c>
      <c r="D503" s="1">
        <f t="shared" ca="1" si="39"/>
        <v>0.60222662074384925</v>
      </c>
      <c r="E503" s="37">
        <f t="shared" ca="1" si="35"/>
        <v>1.3624838824530832</v>
      </c>
    </row>
    <row r="504" spans="1:5" x14ac:dyDescent="0.25">
      <c r="A504" s="34">
        <f t="shared" si="36"/>
        <v>49.200000000000429</v>
      </c>
      <c r="B504" s="35">
        <f t="shared" ca="1" si="37"/>
        <v>-0.44524162848284432</v>
      </c>
      <c r="C504" s="1">
        <f t="shared" ca="1" si="38"/>
        <v>0.7190525328271784</v>
      </c>
      <c r="D504" s="1">
        <f t="shared" ca="1" si="39"/>
        <v>0.71906206181590626</v>
      </c>
      <c r="E504" s="37">
        <f t="shared" ca="1" si="35"/>
        <v>0.97424391326621973</v>
      </c>
    </row>
    <row r="505" spans="1:5" x14ac:dyDescent="0.25">
      <c r="A505" s="34">
        <f t="shared" si="36"/>
        <v>49.300000000000431</v>
      </c>
      <c r="B505" s="35">
        <f t="shared" ca="1" si="37"/>
        <v>-0.3694627397596586</v>
      </c>
      <c r="C505" s="1">
        <f t="shared" ca="1" si="38"/>
        <v>0.79652634692039781</v>
      </c>
      <c r="D505" s="1">
        <f t="shared" ca="1" si="39"/>
        <v>0.79653798880537741</v>
      </c>
      <c r="E505" s="37">
        <f t="shared" ca="1" si="35"/>
        <v>0.57529569972084704</v>
      </c>
    </row>
    <row r="506" spans="1:5" x14ac:dyDescent="0.25">
      <c r="A506" s="34">
        <f t="shared" si="36"/>
        <v>49.400000000000432</v>
      </c>
      <c r="B506" s="35">
        <f t="shared" ca="1" si="37"/>
        <v>-0.28791029635432031</v>
      </c>
      <c r="C506" s="1">
        <f t="shared" ca="1" si="38"/>
        <v>0.8345250428409412</v>
      </c>
      <c r="D506" s="1">
        <f t="shared" ca="1" si="39"/>
        <v>0.83453914899587966</v>
      </c>
      <c r="E506" s="37">
        <f t="shared" ca="1" si="35"/>
        <v>0.18475067309826543</v>
      </c>
    </row>
    <row r="507" spans="1:5" x14ac:dyDescent="0.25">
      <c r="A507" s="34">
        <f t="shared" si="36"/>
        <v>49.500000000000433</v>
      </c>
      <c r="B507" s="35">
        <f t="shared" ca="1" si="37"/>
        <v>-0.20444559157945288</v>
      </c>
      <c r="C507" s="1">
        <f t="shared" ca="1" si="38"/>
        <v>0.83477342186641501</v>
      </c>
      <c r="D507" s="1">
        <f t="shared" ca="1" si="39"/>
        <v>0.83479038253407267</v>
      </c>
      <c r="E507" s="37">
        <f t="shared" ca="1" si="35"/>
        <v>-0.1797008193957037</v>
      </c>
    </row>
    <row r="508" spans="1:5" x14ac:dyDescent="0.25">
      <c r="A508" s="34">
        <f t="shared" si="36"/>
        <v>49.600000000000435</v>
      </c>
      <c r="B508" s="35">
        <f t="shared" ca="1" si="37"/>
        <v>-0.12267448935055908</v>
      </c>
      <c r="C508" s="1">
        <f t="shared" ca="1" si="38"/>
        <v>0.80065536193155373</v>
      </c>
      <c r="D508" s="1">
        <f t="shared" ca="1" si="39"/>
        <v>0.80067560616623346</v>
      </c>
      <c r="E508" s="37">
        <f t="shared" ca="1" si="35"/>
        <v>-0.50256769789108691</v>
      </c>
    </row>
    <row r="509" spans="1:5" x14ac:dyDescent="0.25">
      <c r="A509" s="34">
        <f t="shared" si="36"/>
        <v>49.700000000000436</v>
      </c>
      <c r="B509" s="35">
        <f t="shared" ca="1" si="37"/>
        <v>-4.5794139419509938E-2</v>
      </c>
      <c r="C509" s="1">
        <f t="shared" ca="1" si="38"/>
        <v>0.73696137409769136</v>
      </c>
      <c r="D509" s="1">
        <f t="shared" ca="1" si="39"/>
        <v>0.73698536824896099</v>
      </c>
      <c r="E509" s="37">
        <f t="shared" ca="1" si="35"/>
        <v>-0.77120854690752871</v>
      </c>
    </row>
    <row r="510" spans="1:5" x14ac:dyDescent="0.25">
      <c r="A510" s="34">
        <f t="shared" si="36"/>
        <v>49.800000000000438</v>
      </c>
      <c r="B510" s="35">
        <f t="shared" ca="1" si="37"/>
        <v>2.3532198101790247E-2</v>
      </c>
      <c r="C510" s="1">
        <f t="shared" ca="1" si="38"/>
        <v>0.64957886171723889</v>
      </c>
      <c r="D510" s="1">
        <f t="shared" ca="1" si="39"/>
        <v>0.64960710597076088</v>
      </c>
      <c r="E510" s="37">
        <f t="shared" ca="1" si="35"/>
        <v>-0.97632718084363812</v>
      </c>
    </row>
    <row r="511" spans="1:5" x14ac:dyDescent="0.25">
      <c r="A511" s="34">
        <f t="shared" si="36"/>
        <v>49.900000000000439</v>
      </c>
      <c r="B511" s="35">
        <f t="shared" ca="1" si="37"/>
        <v>8.3267311987015896E-2</v>
      </c>
      <c r="C511" s="1">
        <f t="shared" ca="1" si="38"/>
        <v>0.54514153803605603</v>
      </c>
      <c r="D511" s="1">
        <f t="shared" ca="1" si="39"/>
        <v>0.54517456042005064</v>
      </c>
      <c r="E511" s="37">
        <f t="shared" ca="1" si="35"/>
        <v>-1.1122939293905814</v>
      </c>
    </row>
    <row r="512" spans="1:5" x14ac:dyDescent="0.25">
      <c r="A512" s="34">
        <f t="shared" si="36"/>
        <v>50.000000000000441</v>
      </c>
      <c r="B512" s="35">
        <f t="shared" ca="1" si="37"/>
        <v>0.1320559978891058</v>
      </c>
      <c r="C512" s="1">
        <f t="shared" ca="1" si="38"/>
        <v>0.43065598480574657</v>
      </c>
      <c r="D512" s="1">
        <f t="shared" ca="1" si="39"/>
        <v>0.4306943319464191</v>
      </c>
      <c r="E512" s="37">
        <f t="shared" ca="1" si="35"/>
        <v>-1.1772815552618825</v>
      </c>
    </row>
    <row r="513" spans="1:5" x14ac:dyDescent="0.25">
      <c r="A513" s="34">
        <f t="shared" si="36"/>
        <v>50.100000000000442</v>
      </c>
      <c r="B513" s="35">
        <f t="shared" ca="1" si="37"/>
        <v>0.16924346190467043</v>
      </c>
      <c r="C513" s="1">
        <f t="shared" ca="1" si="38"/>
        <v>0.31312400611700841</v>
      </c>
      <c r="D513" s="1">
        <f t="shared" ca="1" si="39"/>
        <v>0.31316822988124232</v>
      </c>
      <c r="E513" s="37">
        <f t="shared" ca="1" si="35"/>
        <v>-1.1732134595643613</v>
      </c>
    </row>
    <row r="514" spans="1:5" x14ac:dyDescent="0.25">
      <c r="A514" s="34">
        <f t="shared" si="36"/>
        <v>50.200000000000443</v>
      </c>
      <c r="B514" s="35">
        <f t="shared" ca="1" si="37"/>
        <v>0.19485667185910252</v>
      </c>
      <c r="C514" s="1">
        <f t="shared" ca="1" si="38"/>
        <v>0.19917922966916607</v>
      </c>
      <c r="D514" s="1">
        <f t="shared" ca="1" si="39"/>
        <v>0.19922986866596315</v>
      </c>
      <c r="E514" s="37">
        <f t="shared" ca="1" si="35"/>
        <v>-1.1055305599340819</v>
      </c>
    </row>
    <row r="515" spans="1:5" x14ac:dyDescent="0.25">
      <c r="A515" s="34">
        <f t="shared" si="36"/>
        <v>50.300000000000445</v>
      </c>
      <c r="B515" s="35">
        <f t="shared" ca="1" si="37"/>
        <v>0.20955095095295886</v>
      </c>
      <c r="C515" s="1">
        <f t="shared" ca="1" si="38"/>
        <v>9.4755352920168012E-2</v>
      </c>
      <c r="D515" s="1">
        <f t="shared" ca="1" si="39"/>
        <v>9.4812907641799615E-2</v>
      </c>
      <c r="E515" s="37">
        <f t="shared" ca="1" si="35"/>
        <v>-0.98279155228060999</v>
      </c>
    </row>
    <row r="516" spans="1:5" x14ac:dyDescent="0.25">
      <c r="A516" s="34">
        <f t="shared" si="36"/>
        <v>50.400000000000446</v>
      </c>
      <c r="B516" s="35">
        <f t="shared" ca="1" si="37"/>
        <v>0.214525755731372</v>
      </c>
      <c r="C516" s="1">
        <f t="shared" ca="1" si="38"/>
        <v>4.801582906157606E-3</v>
      </c>
      <c r="D516" s="1">
        <f t="shared" ca="1" si="39"/>
        <v>4.8664830740616088E-3</v>
      </c>
      <c r="E516" s="37">
        <f t="shared" ca="1" si="35"/>
        <v>-0.81612881895904021</v>
      </c>
    </row>
    <row r="517" spans="1:5" x14ac:dyDescent="0.25">
      <c r="A517" s="34">
        <f t="shared" si="36"/>
        <v>50.500000000000448</v>
      </c>
      <c r="B517" s="35">
        <f t="shared" ca="1" si="37"/>
        <v>0.21141500780151137</v>
      </c>
      <c r="C517" s="1">
        <f t="shared" ca="1" si="38"/>
        <v>-6.6941730028833843E-2</v>
      </c>
      <c r="D517" s="1">
        <f t="shared" ca="1" si="39"/>
        <v>-6.6869167591129999E-2</v>
      </c>
      <c r="E517" s="37">
        <f t="shared" ca="1" si="35"/>
        <v>-0.61858869207242018</v>
      </c>
    </row>
    <row r="518" spans="1:5" x14ac:dyDescent="0.25">
      <c r="A518" s="34">
        <f t="shared" si="36"/>
        <v>50.600000000000449</v>
      </c>
      <c r="B518" s="35">
        <f t="shared" ca="1" si="37"/>
        <v>0.20215849257169888</v>
      </c>
      <c r="C518" s="1">
        <f t="shared" ca="1" si="38"/>
        <v>-0.11809738815062984</v>
      </c>
      <c r="D518" s="1">
        <f t="shared" ca="1" si="39"/>
        <v>-0.11801701306580717</v>
      </c>
      <c r="E518" s="37">
        <f t="shared" ca="1" si="35"/>
        <v>-0.40438983968315051</v>
      </c>
    </row>
    <row r="519" spans="1:5" x14ac:dyDescent="0.25">
      <c r="A519" s="34">
        <f t="shared" si="36"/>
        <v>50.70000000000045</v>
      </c>
      <c r="B519" s="35">
        <f t="shared" ca="1" si="37"/>
        <v>0.18886164847182127</v>
      </c>
      <c r="C519" s="1">
        <f t="shared" ca="1" si="38"/>
        <v>-0.14772924497263165</v>
      </c>
      <c r="D519" s="1">
        <f t="shared" ca="1" si="39"/>
        <v>-0.1476411405259104</v>
      </c>
      <c r="E519" s="37">
        <f t="shared" ca="1" si="35"/>
        <v>-0.18813699791068972</v>
      </c>
    </row>
    <row r="520" spans="1:5" x14ac:dyDescent="0.25">
      <c r="A520" s="34">
        <f t="shared" si="36"/>
        <v>50.800000000000452</v>
      </c>
      <c r="B520" s="35">
        <f t="shared" ca="1" si="37"/>
        <v>0.17365151244689239</v>
      </c>
      <c r="C520" s="1">
        <f t="shared" ca="1" si="38"/>
        <v>-0.15634118731976768</v>
      </c>
      <c r="D520" s="1">
        <f t="shared" ca="1" si="39"/>
        <v>-0.15624575391601164</v>
      </c>
      <c r="E520" s="37">
        <f t="shared" ca="1" si="35"/>
        <v>1.5971021034599464E-2</v>
      </c>
    </row>
    <row r="521" spans="1:5" x14ac:dyDescent="0.25">
      <c r="A521" s="34">
        <f t="shared" si="36"/>
        <v>50.900000000000453</v>
      </c>
      <c r="B521" s="35">
        <f t="shared" ca="1" si="37"/>
        <v>0.15853664508683088</v>
      </c>
      <c r="C521" s="1">
        <f t="shared" ca="1" si="38"/>
        <v>-0.14579856919440207</v>
      </c>
      <c r="D521" s="1">
        <f t="shared" ca="1" si="39"/>
        <v>-0.145696626980094</v>
      </c>
      <c r="E521" s="37">
        <f t="shared" ca="1" si="35"/>
        <v>0.19490022134274798</v>
      </c>
    </row>
    <row r="522" spans="1:5" x14ac:dyDescent="0.25">
      <c r="A522" s="34">
        <f t="shared" si="36"/>
        <v>51.000000000000455</v>
      </c>
      <c r="B522" s="35">
        <f t="shared" ca="1" si="37"/>
        <v>0.14527853259087459</v>
      </c>
      <c r="C522" s="1">
        <f t="shared" ca="1" si="38"/>
        <v>-0.11917725296286007</v>
      </c>
      <c r="D522" s="1">
        <f t="shared" ca="1" si="39"/>
        <v>-0.11907016691023492</v>
      </c>
      <c r="E522" s="37">
        <f t="shared" ca="1" si="35"/>
        <v>0.33747029732083511</v>
      </c>
    </row>
    <row r="523" spans="1:5" x14ac:dyDescent="0.25">
      <c r="A523" s="34">
        <f t="shared" si="36"/>
        <v>51.100000000000456</v>
      </c>
      <c r="B523" s="35">
        <f t="shared" ca="1" si="37"/>
        <v>0.13528127166597728</v>
      </c>
      <c r="C523" s="1">
        <f t="shared" ca="1" si="38"/>
        <v>-8.0548925035245578E-2</v>
      </c>
      <c r="D523" s="1">
        <f t="shared" ca="1" si="39"/>
        <v>-8.0438756175153558E-2</v>
      </c>
      <c r="E523" s="37">
        <f t="shared" ca="1" si="35"/>
        <v>0.43494017487355641</v>
      </c>
    </row>
    <row r="524" spans="1:5" x14ac:dyDescent="0.25">
      <c r="A524" s="34">
        <f t="shared" si="36"/>
        <v>51.200000000000458</v>
      </c>
      <c r="B524" s="35">
        <f t="shared" ca="1" si="37"/>
        <v>0.12950532305266471</v>
      </c>
      <c r="C524" s="1">
        <f t="shared" ca="1" si="38"/>
        <v>-3.4714427815166898E-2</v>
      </c>
      <c r="D524" s="1">
        <f t="shared" ca="1" si="39"/>
        <v>-3.4604114702164124E-2</v>
      </c>
      <c r="E524" s="37">
        <f t="shared" ref="E524:E587" ca="1" si="40" xml:space="preserve"> -R_x/L_x*D524-1/(L_x*C_x)*B524+E0_x*SIN(w_x*A524)/L_x</f>
        <v>0.48146204284754179</v>
      </c>
    </row>
    <row r="525" spans="1:5" x14ac:dyDescent="0.25">
      <c r="A525" s="34">
        <f t="shared" si="36"/>
        <v>51.300000000000459</v>
      </c>
      <c r="B525" s="35">
        <f t="shared" ca="1" si="37"/>
        <v>0.12840982041371532</v>
      </c>
      <c r="C525" s="1">
        <f t="shared" ca="1" si="38"/>
        <v>1.310065372653324E-2</v>
      </c>
      <c r="D525" s="1">
        <f t="shared" ca="1" si="39"/>
        <v>1.3207078840674513E-2</v>
      </c>
      <c r="E525" s="37">
        <f t="shared" ca="1" si="40"/>
        <v>0.47438212182616823</v>
      </c>
    </row>
    <row r="526" spans="1:5" x14ac:dyDescent="0.25">
      <c r="A526" s="34">
        <f t="shared" ref="A526:A589" si="41">A525+$A$9</f>
        <v>51.40000000000046</v>
      </c>
      <c r="B526" s="35">
        <f t="shared" ref="B526:B589" ca="1" si="42">IF($B$7="n",$B$12,$A$9/2*(C526+C525)+B525)</f>
        <v>0.13192640732093164</v>
      </c>
      <c r="C526" s="1">
        <f t="shared" ref="C526:C589" ca="1" si="43">D526</f>
        <v>5.7572108086436702E-2</v>
      </c>
      <c r="D526" s="1">
        <f t="shared" ref="D526:D589" ca="1" si="44">IF($B$7="n",$D$12,$A$9/2*(E526+E525)+D525)</f>
        <v>5.7669263522254294E-2</v>
      </c>
      <c r="E526" s="37">
        <f t="shared" ca="1" si="40"/>
        <v>0.41437383641947934</v>
      </c>
    </row>
    <row r="527" spans="1:5" x14ac:dyDescent="0.25">
      <c r="A527" s="34">
        <f t="shared" si="41"/>
        <v>51.500000000000462</v>
      </c>
      <c r="B527" s="35">
        <f t="shared" ca="1" si="42"/>
        <v>0.13946591936255986</v>
      </c>
      <c r="C527" s="1">
        <f t="shared" ca="1" si="43"/>
        <v>9.3607843099547228E-2</v>
      </c>
      <c r="D527" s="1">
        <f t="shared" ca="1" si="44"/>
        <v>9.3688697283223599E-2</v>
      </c>
      <c r="E527" s="37">
        <f t="shared" ca="1" si="40"/>
        <v>0.30539712765869753</v>
      </c>
    </row>
    <row r="528" spans="1:5" x14ac:dyDescent="0.25">
      <c r="A528" s="34">
        <f t="shared" si="41"/>
        <v>51.600000000000463</v>
      </c>
      <c r="B528" s="35">
        <f t="shared" ca="1" si="42"/>
        <v>0.14995751074612382</v>
      </c>
      <c r="C528" s="1">
        <f t="shared" ca="1" si="43"/>
        <v>0.11666597999776965</v>
      </c>
      <c r="D528" s="1">
        <f t="shared" ca="1" si="44"/>
        <v>0.11672150081770999</v>
      </c>
      <c r="E528" s="37">
        <f t="shared" ca="1" si="40"/>
        <v>0.1544859951441554</v>
      </c>
    </row>
    <row r="529" spans="1:5" x14ac:dyDescent="0.25">
      <c r="A529" s="34">
        <f t="shared" si="41"/>
        <v>51.700000000000465</v>
      </c>
      <c r="B529" s="35">
        <f t="shared" ca="1" si="42"/>
        <v>0.161918127758652</v>
      </c>
      <c r="C529" s="1">
        <f t="shared" ca="1" si="43"/>
        <v>0.1230436353920851</v>
      </c>
      <c r="D529" s="1">
        <f t="shared" ca="1" si="44"/>
        <v>0.12306238378154886</v>
      </c>
      <c r="E529" s="37">
        <f t="shared" ca="1" si="40"/>
        <v>-2.8625387906005439E-2</v>
      </c>
    </row>
    <row r="530" spans="1:5" x14ac:dyDescent="0.25">
      <c r="A530" s="34">
        <f t="shared" si="41"/>
        <v>51.800000000000466</v>
      </c>
      <c r="B530" s="35">
        <f t="shared" ca="1" si="42"/>
        <v>0.17354863665303213</v>
      </c>
      <c r="C530" s="1">
        <f t="shared" ca="1" si="43"/>
        <v>0.11012115371892249</v>
      </c>
      <c r="D530" s="1">
        <f t="shared" ca="1" si="44"/>
        <v>0.11008881586018622</v>
      </c>
      <c r="E530" s="37">
        <f t="shared" ca="1" si="40"/>
        <v>-0.23201986707998706</v>
      </c>
    </row>
    <row r="531" spans="1:5" x14ac:dyDescent="0.25">
      <c r="A531" s="34">
        <f t="shared" si="41"/>
        <v>51.900000000000468</v>
      </c>
      <c r="B531" s="35">
        <f t="shared" ca="1" si="42"/>
        <v>0.18285149782121732</v>
      </c>
      <c r="C531" s="1">
        <f t="shared" ca="1" si="43"/>
        <v>7.654871138431521E-2</v>
      </c>
      <c r="D531" s="1">
        <f t="shared" ca="1" si="44"/>
        <v>7.6447564127372816E-2</v>
      </c>
      <c r="E531" s="37">
        <f t="shared" ca="1" si="40"/>
        <v>-0.44223274381028976</v>
      </c>
    </row>
    <row r="532" spans="1:5" x14ac:dyDescent="0.25">
      <c r="A532" s="34">
        <f t="shared" si="41"/>
        <v>52.000000000000469</v>
      </c>
      <c r="B532" s="35">
        <f t="shared" ca="1" si="42"/>
        <v>0.18776371011595558</v>
      </c>
      <c r="C532" s="1">
        <f t="shared" ca="1" si="43"/>
        <v>2.2365009117938262E-2</v>
      </c>
      <c r="D532" s="1">
        <f t="shared" ca="1" si="44"/>
        <v>2.2173313677690001E-2</v>
      </c>
      <c r="E532" s="37">
        <f t="shared" ca="1" si="40"/>
        <v>-0.64497460335760326</v>
      </c>
    </row>
    <row r="533" spans="1:5" x14ac:dyDescent="0.25">
      <c r="A533" s="34">
        <f t="shared" si="41"/>
        <v>52.10000000000047</v>
      </c>
      <c r="B533" s="35">
        <f t="shared" ca="1" si="42"/>
        <v>0.18629788611766868</v>
      </c>
      <c r="C533" s="1">
        <f t="shared" ca="1" si="43"/>
        <v>-5.0958927749531882E-2</v>
      </c>
      <c r="D533" s="1">
        <f t="shared" ca="1" si="44"/>
        <v>-5.1267607925464323E-2</v>
      </c>
      <c r="E533" s="37">
        <f t="shared" ca="1" si="40"/>
        <v>-0.82590630963329759</v>
      </c>
    </row>
    <row r="534" spans="1:5" x14ac:dyDescent="0.25">
      <c r="A534" s="34">
        <f t="shared" si="41"/>
        <v>52.200000000000472</v>
      </c>
      <c r="B534" s="35">
        <f t="shared" ca="1" si="42"/>
        <v>0.17668380418845148</v>
      </c>
      <c r="C534" s="1">
        <f t="shared" ca="1" si="43"/>
        <v>-0.14055416254861919</v>
      </c>
      <c r="D534" s="1">
        <f t="shared" ca="1" si="44"/>
        <v>-0.14101172256224892</v>
      </c>
      <c r="E534" s="37">
        <f t="shared" ca="1" si="40"/>
        <v>-0.97142819742997122</v>
      </c>
    </row>
    <row r="535" spans="1:5" x14ac:dyDescent="0.25">
      <c r="A535" s="34">
        <f t="shared" si="41"/>
        <v>52.300000000000473</v>
      </c>
      <c r="B535" s="35">
        <f t="shared" ca="1" si="42"/>
        <v>0.15750264341368875</v>
      </c>
      <c r="C535" s="1">
        <f t="shared" ca="1" si="43"/>
        <v>-0.24226595024790604</v>
      </c>
      <c r="D535" s="1">
        <f t="shared" ca="1" si="44"/>
        <v>-0.24291058413597644</v>
      </c>
      <c r="E535" s="37">
        <f t="shared" ca="1" si="40"/>
        <v>-1.0694445047580563</v>
      </c>
    </row>
    <row r="536" spans="1:5" x14ac:dyDescent="0.25">
      <c r="A536" s="34">
        <f t="shared" si="41"/>
        <v>52.400000000000475</v>
      </c>
      <c r="B536" s="35">
        <f t="shared" ca="1" si="42"/>
        <v>0.12780635272396029</v>
      </c>
      <c r="C536" s="1">
        <f t="shared" ca="1" si="43"/>
        <v>-0.3508391530399495</v>
      </c>
      <c r="D536" s="1">
        <f t="shared" ca="1" si="44"/>
        <v>-0.35171627211889056</v>
      </c>
      <c r="E536" s="37">
        <f t="shared" ca="1" si="40"/>
        <v>-1.1100649114154666</v>
      </c>
    </row>
    <row r="537" spans="1:5" x14ac:dyDescent="0.25">
      <c r="A537" s="34">
        <f t="shared" si="41"/>
        <v>52.500000000000476</v>
      </c>
      <c r="B537" s="35">
        <f t="shared" ca="1" si="42"/>
        <v>8.7215227421393204E-2</v>
      </c>
      <c r="C537" s="1">
        <f t="shared" ca="1" si="43"/>
        <v>-0.46016890996034221</v>
      </c>
      <c r="D537" s="1">
        <f t="shared" ca="1" si="44"/>
        <v>-0.46133213399233225</v>
      </c>
      <c r="E537" s="37">
        <f t="shared" ca="1" si="40"/>
        <v>-1.0862076573601267</v>
      </c>
    </row>
    <row r="538" spans="1:5" x14ac:dyDescent="0.25">
      <c r="A538" s="34">
        <f t="shared" si="41"/>
        <v>52.600000000000477</v>
      </c>
      <c r="B538" s="35">
        <f t="shared" ca="1" si="42"/>
        <v>3.5987739166263029E-2</v>
      </c>
      <c r="C538" s="1">
        <f t="shared" ca="1" si="43"/>
        <v>-0.56360516537037508</v>
      </c>
      <c r="D538" s="1">
        <f t="shared" ca="1" si="44"/>
        <v>-0.5651173768114327</v>
      </c>
      <c r="E538" s="37">
        <f t="shared" ca="1" si="40"/>
        <v>-0.99407299837865337</v>
      </c>
    </row>
    <row r="539" spans="1:5" x14ac:dyDescent="0.25">
      <c r="A539" s="34">
        <f t="shared" si="41"/>
        <v>52.700000000000479</v>
      </c>
      <c r="B539" s="35">
        <f t="shared" ca="1" si="42"/>
        <v>-2.4942053208921983E-2</v>
      </c>
      <c r="C539" s="1">
        <f t="shared" ca="1" si="43"/>
        <v>-0.6542968279412732</v>
      </c>
      <c r="D539" s="1">
        <f t="shared" ca="1" si="44"/>
        <v>-0.65623127358886724</v>
      </c>
      <c r="E539" s="37">
        <f t="shared" ca="1" si="40"/>
        <v>-0.83346153356482455</v>
      </c>
    </row>
    <row r="540" spans="1:5" x14ac:dyDescent="0.25">
      <c r="A540" s="34">
        <f t="shared" si="41"/>
        <v>52.80000000000048</v>
      </c>
      <c r="B540" s="35">
        <f t="shared" ca="1" si="42"/>
        <v>-9.3962652087240514E-2</v>
      </c>
      <c r="C540" s="1">
        <f t="shared" ca="1" si="43"/>
        <v>-0.72555913877083422</v>
      </c>
      <c r="D540" s="1">
        <f t="shared" ca="1" si="44"/>
        <v>-0.7280005555646234</v>
      </c>
      <c r="E540" s="37">
        <f t="shared" ca="1" si="40"/>
        <v>-0.60791895774209093</v>
      </c>
    </row>
    <row r="541" spans="1:5" x14ac:dyDescent="0.25">
      <c r="A541" s="34">
        <f t="shared" si="41"/>
        <v>52.900000000000482</v>
      </c>
      <c r="B541" s="35">
        <f t="shared" ca="1" si="42"/>
        <v>-0.16882025425915087</v>
      </c>
      <c r="C541" s="1">
        <f t="shared" ca="1" si="43"/>
        <v>-0.77124638321081651</v>
      </c>
      <c r="D541" s="1">
        <f t="shared" ca="1" si="44"/>
        <v>-0.77429211543579601</v>
      </c>
      <c r="E541" s="37">
        <f t="shared" ca="1" si="40"/>
        <v>-0.32469674331731868</v>
      </c>
    </row>
    <row r="542" spans="1:5" x14ac:dyDescent="0.25">
      <c r="A542" s="34">
        <f t="shared" si="41"/>
        <v>53.000000000000483</v>
      </c>
      <c r="B542" s="35">
        <f t="shared" ca="1" si="42"/>
        <v>-0.24669047696261487</v>
      </c>
      <c r="C542" s="1">
        <f t="shared" ca="1" si="43"/>
        <v>-0.78611146156707101</v>
      </c>
      <c r="D542" s="1">
        <f t="shared" ca="1" si="44"/>
        <v>-0.78987252489693782</v>
      </c>
      <c r="E542" s="37">
        <f t="shared" ca="1" si="40"/>
        <v>5.4732128031896865E-3</v>
      </c>
    </row>
    <row r="543" spans="1:5" x14ac:dyDescent="0.25">
      <c r="A543" s="34">
        <f t="shared" si="41"/>
        <v>53.100000000000485</v>
      </c>
      <c r="B543" s="35">
        <f t="shared" ca="1" si="42"/>
        <v>-0.32428444855652494</v>
      </c>
      <c r="C543" s="1">
        <f t="shared" ca="1" si="43"/>
        <v>-0.7661340780042778</v>
      </c>
      <c r="D543" s="1">
        <f t="shared" ca="1" si="44"/>
        <v>-0.770736111287188</v>
      </c>
      <c r="E543" s="37">
        <f t="shared" ca="1" si="40"/>
        <v>0.36878321238692657</v>
      </c>
    </row>
    <row r="544" spans="1:5" x14ac:dyDescent="0.25">
      <c r="A544" s="34">
        <f t="shared" si="41"/>
        <v>53.200000000000486</v>
      </c>
      <c r="B544" s="35">
        <f t="shared" ca="1" si="42"/>
        <v>-0.39798526704039761</v>
      </c>
      <c r="C544" s="1">
        <f t="shared" ca="1" si="43"/>
        <v>-0.70880041491435863</v>
      </c>
      <c r="D544" s="1">
        <f t="shared" ca="1" si="44"/>
        <v>-0.71438444287286029</v>
      </c>
      <c r="E544" s="37">
        <f t="shared" ca="1" si="40"/>
        <v>0.74891835086003866</v>
      </c>
    </row>
    <row r="545" spans="1:5" x14ac:dyDescent="0.25">
      <c r="A545" s="34">
        <f t="shared" si="41"/>
        <v>53.300000000000487</v>
      </c>
      <c r="B545" s="35">
        <f t="shared" ca="1" si="42"/>
        <v>-0.46400921320326638</v>
      </c>
      <c r="C545" s="1">
        <f t="shared" ca="1" si="43"/>
        <v>-0.61331909273121243</v>
      </c>
      <c r="D545" s="1">
        <f t="shared" ca="1" si="44"/>
        <v>-0.62004200129641618</v>
      </c>
      <c r="E545" s="37">
        <f t="shared" ca="1" si="40"/>
        <v>1.1277658369245631</v>
      </c>
    </row>
    <row r="546" spans="1:5" x14ac:dyDescent="0.25">
      <c r="A546" s="34">
        <f t="shared" si="41"/>
        <v>53.400000000000489</v>
      </c>
      <c r="B546" s="35">
        <f t="shared" ca="1" si="42"/>
        <v>-0.51858471957282115</v>
      </c>
      <c r="C546" s="1">
        <f t="shared" ca="1" si="43"/>
        <v>-0.48076089596822935</v>
      </c>
      <c r="D546" s="1">
        <f t="shared" ca="1" si="44"/>
        <v>-0.488795496211481</v>
      </c>
      <c r="E546" s="37">
        <f t="shared" ca="1" si="40"/>
        <v>1.4862347917199235</v>
      </c>
    </row>
    <row r="547" spans="1:5" x14ac:dyDescent="0.25">
      <c r="A547" s="34">
        <f t="shared" si="41"/>
        <v>53.50000000000049</v>
      </c>
      <c r="B547" s="35">
        <f t="shared" ca="1" si="42"/>
        <v>-0.55814101081623202</v>
      </c>
      <c r="C547" s="1">
        <f t="shared" ca="1" si="43"/>
        <v>-0.31411306366675695</v>
      </c>
      <c r="D547" s="1">
        <f t="shared" ca="1" si="44"/>
        <v>-0.32364758958967299</v>
      </c>
      <c r="E547" s="37">
        <f t="shared" ca="1" si="40"/>
        <v>1.805150563413018</v>
      </c>
    </row>
    <row r="548" spans="1:5" x14ac:dyDescent="0.25">
      <c r="A548" s="34">
        <f t="shared" si="41"/>
        <v>53.600000000000492</v>
      </c>
      <c r="B548" s="35">
        <f t="shared" ca="1" si="42"/>
        <v>-0.57949760244681403</v>
      </c>
      <c r="C548" s="1">
        <f t="shared" ca="1" si="43"/>
        <v>-0.11824275488460356</v>
      </c>
      <c r="D548" s="1">
        <f t="shared" ca="1" si="44"/>
        <v>-0.12947960398574618</v>
      </c>
      <c r="E548" s="37">
        <f t="shared" ca="1" si="40"/>
        <v>2.0661834275288236</v>
      </c>
    </row>
    <row r="549" spans="1:5" x14ac:dyDescent="0.25">
      <c r="A549" s="34">
        <f t="shared" si="41"/>
        <v>53.700000000000493</v>
      </c>
      <c r="B549" s="35">
        <f t="shared" ca="1" si="42"/>
        <v>-0.58004551388688486</v>
      </c>
      <c r="C549" s="1">
        <f t="shared" ca="1" si="43"/>
        <v>0.10023155844880505</v>
      </c>
      <c r="D549" s="1">
        <f t="shared" ca="1" si="44"/>
        <v>8.7078075638036739E-2</v>
      </c>
      <c r="E549" s="37">
        <f t="shared" ca="1" si="40"/>
        <v>2.2527691399362992</v>
      </c>
    </row>
    <row r="550" spans="1:5" x14ac:dyDescent="0.25">
      <c r="A550" s="34">
        <f t="shared" si="41"/>
        <v>53.800000000000495</v>
      </c>
      <c r="B550" s="35">
        <f t="shared" ca="1" si="42"/>
        <v>-0.55791114297531808</v>
      </c>
      <c r="C550" s="1">
        <f t="shared" ca="1" si="43"/>
        <v>0.33315773091955081</v>
      </c>
      <c r="D550" s="1">
        <f t="shared" ca="1" si="44"/>
        <v>0.31786491602773337</v>
      </c>
      <c r="E550" s="37">
        <f t="shared" ca="1" si="40"/>
        <v>2.3509783012721579</v>
      </c>
    </row>
    <row r="551" spans="1:5" x14ac:dyDescent="0.25">
      <c r="A551" s="34">
        <f t="shared" si="41"/>
        <v>53.900000000000496</v>
      </c>
      <c r="B551" s="35">
        <f t="shared" ca="1" si="42"/>
        <v>-0.51209426699800831</v>
      </c>
      <c r="C551" s="1">
        <f t="shared" ca="1" si="43"/>
        <v>0.57114933256023226</v>
      </c>
      <c r="D551" s="1">
        <f t="shared" ca="1" si="44"/>
        <v>0.55349124085648682</v>
      </c>
      <c r="E551" s="37">
        <f t="shared" ca="1" si="40"/>
        <v>2.3502929295985138</v>
      </c>
    </row>
    <row r="552" spans="1:5" x14ac:dyDescent="0.25">
      <c r="A552" s="34">
        <f t="shared" si="41"/>
        <v>54.000000000000497</v>
      </c>
      <c r="B552" s="35">
        <f t="shared" ca="1" si="42"/>
        <v>-0.44257256612769091</v>
      </c>
      <c r="C552" s="1">
        <f t="shared" ca="1" si="43"/>
        <v>0.80395550107092328</v>
      </c>
      <c r="D552" s="1">
        <f t="shared" ca="1" si="44"/>
        <v>0.78371010743313496</v>
      </c>
      <c r="E552" s="37">
        <f t="shared" ca="1" si="40"/>
        <v>2.2442519878392617</v>
      </c>
    </row>
    <row r="553" spans="1:5" x14ac:dyDescent="0.25">
      <c r="A553" s="34">
        <f t="shared" si="41"/>
        <v>54.100000000000499</v>
      </c>
      <c r="B553" s="35">
        <f t="shared" ca="1" si="42"/>
        <v>-0.35036637574929658</v>
      </c>
      <c r="C553" s="1">
        <f t="shared" ca="1" si="43"/>
        <v>1.0208863916517663</v>
      </c>
      <c r="D553" s="1">
        <f t="shared" ca="1" si="44"/>
        <v>0.99784526542647245</v>
      </c>
      <c r="E553" s="37">
        <f t="shared" ca="1" si="40"/>
        <v>2.0309327549115359</v>
      </c>
    </row>
    <row r="554" spans="1:5" x14ac:dyDescent="0.25">
      <c r="A554" s="34">
        <f t="shared" si="41"/>
        <v>54.2000000000005</v>
      </c>
      <c r="B554" s="35">
        <f t="shared" ca="1" si="42"/>
        <v>-0.23755901375244776</v>
      </c>
      <c r="C554" s="1">
        <f t="shared" ca="1" si="43"/>
        <v>1.2112763729980021</v>
      </c>
      <c r="D554" s="1">
        <f t="shared" ca="1" si="44"/>
        <v>1.1852574326429486</v>
      </c>
      <c r="E554" s="37">
        <f t="shared" ca="1" si="40"/>
        <v>1.7132416648873345</v>
      </c>
    </row>
    <row r="555" spans="1:5" x14ac:dyDescent="0.25">
      <c r="A555" s="34">
        <f t="shared" si="41"/>
        <v>54.300000000000502</v>
      </c>
      <c r="B555" s="35">
        <f t="shared" ca="1" si="42"/>
        <v>-0.10726993096824403</v>
      </c>
      <c r="C555" s="1">
        <f t="shared" ca="1" si="43"/>
        <v>1.3649648719177478</v>
      </c>
      <c r="D555" s="1">
        <f t="shared" ca="1" si="44"/>
        <v>1.3358288876932027</v>
      </c>
      <c r="E555" s="37">
        <f t="shared" ca="1" si="40"/>
        <v>1.2989962947089215</v>
      </c>
    </row>
    <row r="556" spans="1:5" x14ac:dyDescent="0.25">
      <c r="A556" s="34">
        <f t="shared" si="41"/>
        <v>54.400000000000503</v>
      </c>
      <c r="B556" s="35">
        <f t="shared" ca="1" si="42"/>
        <v>3.6419982086364128E-2</v>
      </c>
      <c r="C556" s="1">
        <f t="shared" ca="1" si="43"/>
        <v>1.4727733784551889</v>
      </c>
      <c r="D556" s="1">
        <f t="shared" ca="1" si="44"/>
        <v>1.4404450001194355</v>
      </c>
      <c r="E556" s="37">
        <f t="shared" ca="1" si="40"/>
        <v>0.80078922391298635</v>
      </c>
    </row>
    <row r="557" spans="1:5" x14ac:dyDescent="0.25">
      <c r="A557" s="34">
        <f t="shared" si="41"/>
        <v>54.500000000000504</v>
      </c>
      <c r="B557" s="35">
        <f t="shared" ca="1" si="42"/>
        <v>0.18858942049636124</v>
      </c>
      <c r="C557" s="1">
        <f t="shared" ca="1" si="43"/>
        <v>1.5269566685140865</v>
      </c>
      <c r="D557" s="1">
        <f t="shared" ca="1" si="44"/>
        <v>1.4914508751470466</v>
      </c>
      <c r="E557" s="37">
        <f t="shared" ca="1" si="40"/>
        <v>0.23563413744098916</v>
      </c>
    </row>
    <row r="558" spans="1:5" x14ac:dyDescent="0.25">
      <c r="A558" s="34">
        <f t="shared" si="41"/>
        <v>54.600000000000506</v>
      </c>
      <c r="B558" s="35">
        <f t="shared" ca="1" si="42"/>
        <v>0.34364033399569893</v>
      </c>
      <c r="C558" s="1">
        <f t="shared" ca="1" si="43"/>
        <v>1.5216068223262198</v>
      </c>
      <c r="D558" s="1">
        <f t="shared" ca="1" si="44"/>
        <v>1.4830618228537211</v>
      </c>
      <c r="E558" s="37">
        <f t="shared" ca="1" si="40"/>
        <v>-0.37559561923501339</v>
      </c>
    </row>
    <row r="559" spans="1:5" x14ac:dyDescent="0.25">
      <c r="A559" s="34">
        <f t="shared" si="41"/>
        <v>54.700000000000507</v>
      </c>
      <c r="B559" s="35">
        <f t="shared" ca="1" si="42"/>
        <v>0.49549847410437464</v>
      </c>
      <c r="C559" s="1">
        <f t="shared" ca="1" si="43"/>
        <v>1.4529901133139773</v>
      </c>
      <c r="D559" s="1">
        <f t="shared" ca="1" si="44"/>
        <v>1.411707868343129</v>
      </c>
      <c r="E559" s="37">
        <f t="shared" ca="1" si="40"/>
        <v>-1.0089162235840006</v>
      </c>
    </row>
    <row r="560" spans="1:5" x14ac:dyDescent="0.25">
      <c r="A560" s="34">
        <f t="shared" si="41"/>
        <v>54.800000000000509</v>
      </c>
      <c r="B560" s="35">
        <f t="shared" ca="1" si="42"/>
        <v>0.63784317055739903</v>
      </c>
      <c r="C560" s="1">
        <f t="shared" ca="1" si="43"/>
        <v>1.3197992691335585</v>
      </c>
      <c r="D560" s="1">
        <f t="shared" ca="1" si="44"/>
        <v>1.2762949559983459</v>
      </c>
      <c r="E560" s="37">
        <f t="shared" ca="1" si="40"/>
        <v>-1.6381415526655634</v>
      </c>
    </row>
    <row r="561" spans="1:5" x14ac:dyDescent="0.25">
      <c r="A561" s="34">
        <f t="shared" si="41"/>
        <v>54.90000000000051</v>
      </c>
      <c r="B561" s="35">
        <f t="shared" ca="1" si="42"/>
        <v>0.76435708795917034</v>
      </c>
      <c r="C561" s="1">
        <f t="shared" ca="1" si="43"/>
        <v>1.123306880016619</v>
      </c>
      <c r="D561" s="1">
        <f t="shared" ca="1" si="44"/>
        <v>1.0783687812950862</v>
      </c>
      <c r="E561" s="37">
        <f t="shared" ca="1" si="40"/>
        <v>-2.2359137380943932</v>
      </c>
    </row>
    <row r="562" spans="1:5" x14ac:dyDescent="0.25">
      <c r="A562" s="34">
        <f t="shared" si="41"/>
        <v>55.000000000000512</v>
      </c>
      <c r="B562" s="35">
        <f t="shared" ca="1" si="42"/>
        <v>0.868985474371611</v>
      </c>
      <c r="C562" s="1">
        <f t="shared" ca="1" si="43"/>
        <v>0.8674097260193101</v>
      </c>
      <c r="D562" s="1">
        <f t="shared" ca="1" si="44"/>
        <v>0.82217118397414568</v>
      </c>
      <c r="E562" s="37">
        <f t="shared" ca="1" si="40"/>
        <v>-2.7748130458757032</v>
      </c>
    </row>
    <row r="563" spans="1:5" x14ac:dyDescent="0.25">
      <c r="A563" s="34">
        <f t="shared" si="41"/>
        <v>55.100000000000513</v>
      </c>
      <c r="B563" s="35">
        <f t="shared" ca="1" si="42"/>
        <v>0.94619359957885296</v>
      </c>
      <c r="C563" s="1">
        <f t="shared" ca="1" si="43"/>
        <v>0.55855835831281875</v>
      </c>
      <c r="D563" s="1">
        <f t="shared" ca="1" si="44"/>
        <v>0.51458359913660079</v>
      </c>
      <c r="E563" s="37">
        <f t="shared" ca="1" si="40"/>
        <v>-3.2284993285226555</v>
      </c>
    </row>
    <row r="564" spans="1:5" x14ac:dyDescent="0.25">
      <c r="A564" s="34">
        <f t="shared" si="41"/>
        <v>55.200000000000514</v>
      </c>
      <c r="B564" s="35">
        <f t="shared" ca="1" si="42"/>
        <v>0.99121073931761616</v>
      </c>
      <c r="C564" s="1">
        <f t="shared" ca="1" si="43"/>
        <v>0.20557121719460997</v>
      </c>
      <c r="D564" s="1">
        <f t="shared" ca="1" si="44"/>
        <v>0.16495700334866048</v>
      </c>
      <c r="E564" s="37">
        <f t="shared" ca="1" si="40"/>
        <v>-3.5728345765345022</v>
      </c>
    </row>
    <row r="565" spans="1:5" x14ac:dyDescent="0.25">
      <c r="A565" s="34">
        <f t="shared" si="41"/>
        <v>55.300000000000516</v>
      </c>
      <c r="B565" s="35">
        <f t="shared" ca="1" si="42"/>
        <v>1.0002492208061096</v>
      </c>
      <c r="C565" s="1">
        <f t="shared" ca="1" si="43"/>
        <v>-0.18066230128876115</v>
      </c>
      <c r="D565" s="1">
        <f t="shared" ca="1" si="44"/>
        <v>-0.21516709328644124</v>
      </c>
      <c r="E565" s="37">
        <f t="shared" ca="1" si="40"/>
        <v>-3.7869355140067573</v>
      </c>
    </row>
    <row r="566" spans="1:5" x14ac:dyDescent="0.25">
      <c r="A566" s="34">
        <f t="shared" si="41"/>
        <v>55.400000000000517</v>
      </c>
      <c r="B566" s="35">
        <f t="shared" ca="1" si="42"/>
        <v>0.9706877116657715</v>
      </c>
      <c r="C566" s="1">
        <f t="shared" ca="1" si="43"/>
        <v>-0.58758032054260423</v>
      </c>
      <c r="D566" s="1">
        <f t="shared" ca="1" si="44"/>
        <v>-0.61243498663204887</v>
      </c>
      <c r="E566" s="37">
        <f t="shared" ca="1" si="40"/>
        <v>-3.8541068102663845</v>
      </c>
    </row>
    <row r="567" spans="1:5" x14ac:dyDescent="0.25">
      <c r="A567" s="34">
        <f t="shared" si="41"/>
        <v>55.500000000000519</v>
      </c>
      <c r="B567" s="35">
        <f t="shared" ca="1" si="42"/>
        <v>0.90120909464914767</v>
      </c>
      <c r="C567" s="1">
        <f t="shared" ca="1" si="43"/>
        <v>-1.0014341397284106</v>
      </c>
      <c r="D567" s="1">
        <f t="shared" ca="1" si="44"/>
        <v>-1.0121440160328778</v>
      </c>
      <c r="E567" s="37">
        <f t="shared" ca="1" si="40"/>
        <v>-3.7626092956253459</v>
      </c>
    </row>
    <row r="568" spans="1:5" x14ac:dyDescent="0.25">
      <c r="A568" s="34">
        <f t="shared" si="41"/>
        <v>55.60000000000052</v>
      </c>
      <c r="B568" s="35">
        <f t="shared" ca="1" si="42"/>
        <v>0.79188488922910738</v>
      </c>
      <c r="C568" s="1">
        <f t="shared" ca="1" si="43"/>
        <v>-1.4078423132872466</v>
      </c>
      <c r="D568" s="1">
        <f t="shared" ca="1" si="44"/>
        <v>-1.3987719266925538</v>
      </c>
      <c r="E568" s="37">
        <f t="shared" ca="1" si="40"/>
        <v>-3.5062234624813233</v>
      </c>
    </row>
    <row r="569" spans="1:5" x14ac:dyDescent="0.25">
      <c r="A569" s="34">
        <f t="shared" si="41"/>
        <v>55.700000000000522</v>
      </c>
      <c r="B569" s="35">
        <f t="shared" ca="1" si="42"/>
        <v>0.64420020299169201</v>
      </c>
      <c r="C569" s="1">
        <f t="shared" ca="1" si="43"/>
        <v>-1.7923906434991501</v>
      </c>
      <c r="D569" s="1">
        <f t="shared" ca="1" si="44"/>
        <v>-1.7565499109375839</v>
      </c>
      <c r="E569" s="37">
        <f t="shared" ca="1" si="40"/>
        <v>-3.0845763030439444</v>
      </c>
    </row>
    <row r="570" spans="1:5" x14ac:dyDescent="0.25">
      <c r="A570" s="34">
        <f t="shared" si="41"/>
        <v>55.800000000000523</v>
      </c>
      <c r="B570" s="35">
        <f t="shared" ca="1" si="42"/>
        <v>0.46101554810447426</v>
      </c>
      <c r="C570" s="1">
        <f t="shared" ca="1" si="43"/>
        <v>-2.1412526342200389</v>
      </c>
      <c r="D570" s="1">
        <f t="shared" ca="1" si="44"/>
        <v>-2.0700540472425963</v>
      </c>
      <c r="E570" s="37">
        <f t="shared" ca="1" si="40"/>
        <v>-2.5032089017975006</v>
      </c>
    </row>
    <row r="571" spans="1:5" x14ac:dyDescent="0.25">
      <c r="A571" s="34">
        <f t="shared" si="41"/>
        <v>55.900000000000524</v>
      </c>
      <c r="B571" s="35">
        <f t="shared" ca="1" si="42"/>
        <v>0.24646445330682393</v>
      </c>
      <c r="C571" s="1">
        <f t="shared" ca="1" si="43"/>
        <v>-2.4418029559681553</v>
      </c>
      <c r="D571" s="1">
        <f t="shared" ca="1" si="44"/>
        <v>-2.3247879975795769</v>
      </c>
      <c r="E571" s="37">
        <f t="shared" ca="1" si="40"/>
        <v>-1.7733728155208013</v>
      </c>
    </row>
    <row r="572" spans="1:5" x14ac:dyDescent="0.25">
      <c r="A572" s="34">
        <f t="shared" si="41"/>
        <v>56.000000000000526</v>
      </c>
      <c r="B572" s="35">
        <f t="shared" ca="1" si="42"/>
        <v>5.7885411265905518E-3</v>
      </c>
      <c r="C572" s="1">
        <f t="shared" ca="1" si="43"/>
        <v>-2.6831955124067748</v>
      </c>
      <c r="D572" s="1">
        <f t="shared" ca="1" si="44"/>
        <v>-2.5077290434149413</v>
      </c>
      <c r="E572" s="37">
        <f t="shared" ca="1" si="40"/>
        <v>-0.91155473305771861</v>
      </c>
    </row>
    <row r="573" spans="1:5" x14ac:dyDescent="0.25">
      <c r="A573" s="34">
        <f t="shared" si="41"/>
        <v>56.100000000000527</v>
      </c>
      <c r="B573" s="35">
        <f t="shared" ca="1" si="42"/>
        <v>-0.25488548236562975</v>
      </c>
      <c r="C573" s="1">
        <f t="shared" ca="1" si="43"/>
        <v>-2.8568778264974846</v>
      </c>
      <c r="D573" s="1">
        <f t="shared" ca="1" si="44"/>
        <v>-2.6078098972584258</v>
      </c>
      <c r="E573" s="37">
        <f t="shared" ca="1" si="40"/>
        <v>6.1259229401172677E-2</v>
      </c>
    </row>
    <row r="574" spans="1:5" x14ac:dyDescent="0.25">
      <c r="A574" s="34">
        <f t="shared" si="41"/>
        <v>56.200000000000529</v>
      </c>
      <c r="B574" s="35">
        <f t="shared" ca="1" si="42"/>
        <v>-0.5288197701259747</v>
      </c>
      <c r="C574" s="1">
        <f t="shared" ca="1" si="43"/>
        <v>-2.9570146851854013</v>
      </c>
      <c r="D574" s="1">
        <f t="shared" ca="1" si="44"/>
        <v>-2.6163102335665314</v>
      </c>
      <c r="E574" s="37">
        <f t="shared" ca="1" si="40"/>
        <v>1.1205564327999147</v>
      </c>
    </row>
    <row r="575" spans="1:5" x14ac:dyDescent="0.25">
      <c r="A575" s="34">
        <f t="shared" si="41"/>
        <v>56.30000000000053</v>
      </c>
      <c r="B575" s="35">
        <f t="shared" ca="1" si="42"/>
        <v>-0.80898052157889111</v>
      </c>
      <c r="C575" s="1">
        <f t="shared" ca="1" si="43"/>
        <v>-2.9807962510284627</v>
      </c>
      <c r="D575" s="1">
        <f t="shared" ca="1" si="44"/>
        <v>-2.5271345074870215</v>
      </c>
      <c r="E575" s="37">
        <f t="shared" ca="1" si="40"/>
        <v>2.2394733574296559</v>
      </c>
    </row>
    <row r="576" spans="1:5" x14ac:dyDescent="0.25">
      <c r="A576" s="34">
        <f t="shared" si="41"/>
        <v>56.400000000000531</v>
      </c>
      <c r="B576" s="35">
        <f t="shared" ca="1" si="42"/>
        <v>-1.0883824692338135</v>
      </c>
      <c r="C576" s="1">
        <f t="shared" ca="1" si="43"/>
        <v>-2.9286090780525411</v>
      </c>
      <c r="D576" s="1">
        <f t="shared" ca="1" si="44"/>
        <v>-2.3369562950912135</v>
      </c>
      <c r="E576" s="37">
        <f t="shared" ca="1" si="40"/>
        <v>3.3901291701708196</v>
      </c>
    </row>
    <row r="577" spans="1:5" x14ac:dyDescent="0.25">
      <c r="A577" s="34">
        <f t="shared" si="41"/>
        <v>56.500000000000533</v>
      </c>
      <c r="B577" s="35">
        <f t="shared" ca="1" si="42"/>
        <v>-1.3604488213811665</v>
      </c>
      <c r="C577" s="1">
        <f t="shared" ca="1" si="43"/>
        <v>-2.8040525246161287</v>
      </c>
      <c r="D577" s="1">
        <f t="shared" ca="1" si="44"/>
        <v>-2.0452139755904906</v>
      </c>
      <c r="E577" s="37">
        <f t="shared" ca="1" si="40"/>
        <v>4.5450633931296496</v>
      </c>
    </row>
    <row r="578" spans="1:5" x14ac:dyDescent="0.25">
      <c r="A578" s="34">
        <f t="shared" si="41"/>
        <v>56.600000000000534</v>
      </c>
      <c r="B578" s="35">
        <f t="shared" ca="1" si="42"/>
        <v>-1.6193713520289288</v>
      </c>
      <c r="C578" s="1">
        <f t="shared" ca="1" si="43"/>
        <v>-2.6137877676552295</v>
      </c>
      <c r="D578" s="1">
        <f t="shared" ca="1" si="44"/>
        <v>-1.6539479295519275</v>
      </c>
      <c r="E578" s="37">
        <f t="shared" ca="1" si="40"/>
        <v>5.6787165116748097</v>
      </c>
    </row>
    <row r="579" spans="1:5" x14ac:dyDescent="0.25">
      <c r="A579" s="34">
        <f t="shared" si="41"/>
        <v>56.700000000000536</v>
      </c>
      <c r="B579" s="35">
        <f t="shared" ca="1" si="42"/>
        <v>-1.8604543463810188</v>
      </c>
      <c r="C579" s="1">
        <f t="shared" ca="1" si="43"/>
        <v>-2.3672117889363786</v>
      </c>
      <c r="D579" s="1">
        <f t="shared" ca="1" si="44"/>
        <v>-1.1674753630823678</v>
      </c>
      <c r="E579" s="37">
        <f t="shared" ca="1" si="40"/>
        <v>6.7688869504929237</v>
      </c>
    </row>
    <row r="580" spans="1:5" x14ac:dyDescent="0.25">
      <c r="A580" s="34">
        <f t="shared" si="41"/>
        <v>56.800000000000537</v>
      </c>
      <c r="B580" s="35">
        <f t="shared" ca="1" si="42"/>
        <v>-2.0804256389642193</v>
      </c>
      <c r="C580" s="1">
        <f t="shared" ca="1" si="43"/>
        <v>-2.0759541011683358</v>
      </c>
      <c r="D580" s="1">
        <f t="shared" ca="1" si="44"/>
        <v>-0.5919051814489853</v>
      </c>
      <c r="E580" s="37">
        <f t="shared" ca="1" si="40"/>
        <v>7.7980945325737459</v>
      </c>
    </row>
    <row r="581" spans="1:5" x14ac:dyDescent="0.25">
      <c r="A581" s="34">
        <f t="shared" si="41"/>
        <v>56.900000000000539</v>
      </c>
      <c r="B581" s="35">
        <f t="shared" ca="1" si="42"/>
        <v>-2.2776980263465694</v>
      </c>
      <c r="C581" s="1">
        <f t="shared" ca="1" si="43"/>
        <v>-1.7531993738806328</v>
      </c>
      <c r="D581" s="1">
        <f t="shared" ca="1" si="44"/>
        <v>6.549818913069505E-2</v>
      </c>
      <c r="E581" s="37">
        <f t="shared" ca="1" si="40"/>
        <v>8.7547793853349916</v>
      </c>
    </row>
    <row r="582" spans="1:5" x14ac:dyDescent="0.25">
      <c r="A582" s="34">
        <f t="shared" si="41"/>
        <v>57.00000000000054</v>
      </c>
      <c r="B582" s="35">
        <f t="shared" ca="1" si="42"/>
        <v>-2.4525648762318637</v>
      </c>
      <c r="C582" s="1">
        <f t="shared" ca="1" si="43"/>
        <v>-1.4128442681248605</v>
      </c>
      <c r="D582" s="1">
        <f t="shared" ca="1" si="44"/>
        <v>0.79708671180252122</v>
      </c>
      <c r="E582" s="37">
        <f t="shared" ca="1" si="40"/>
        <v>9.6342662327182715</v>
      </c>
    </row>
    <row r="583" spans="1:5" x14ac:dyDescent="0.25">
      <c r="A583" s="34">
        <f t="shared" si="41"/>
        <v>57.100000000000541</v>
      </c>
      <c r="B583" s="35">
        <f t="shared" ca="1" si="42"/>
        <v>-2.607314743244554</v>
      </c>
      <c r="C583" s="1">
        <f t="shared" ca="1" si="43"/>
        <v>-1.068501467310544</v>
      </c>
      <c r="D583" s="1">
        <f t="shared" ca="1" si="44"/>
        <v>1.5957149002646576</v>
      </c>
      <c r="E583" s="37">
        <f t="shared" ca="1" si="40"/>
        <v>10.439426968105801</v>
      </c>
    </row>
    <row r="584" spans="1:5" x14ac:dyDescent="0.25">
      <c r="A584" s="34">
        <f t="shared" si="41"/>
        <v>57.200000000000543</v>
      </c>
      <c r="B584" s="35">
        <f t="shared" ca="1" si="42"/>
        <v>-2.7462511685314799</v>
      </c>
      <c r="C584" s="1">
        <f t="shared" ca="1" si="43"/>
        <v>-0.73236789217968279</v>
      </c>
      <c r="D584" s="1">
        <f t="shared" ca="1" si="44"/>
        <v>2.4557130309044553</v>
      </c>
      <c r="E584" s="37">
        <f t="shared" ca="1" si="40"/>
        <v>11.180979093533434</v>
      </c>
    </row>
    <row r="585" spans="1:5" x14ac:dyDescent="0.25">
      <c r="A585" s="34">
        <f t="shared" si="41"/>
        <v>57.300000000000544</v>
      </c>
      <c r="B585" s="35">
        <f t="shared" ca="1" si="42"/>
        <v>-2.8756054932132855</v>
      </c>
      <c r="C585" s="1">
        <f t="shared" ca="1" si="43"/>
        <v>-0.4139772370067708</v>
      </c>
      <c r="D585" s="1">
        <f t="shared" ca="1" si="44"/>
        <v>3.3739150807873384</v>
      </c>
      <c r="E585" s="37">
        <f t="shared" ca="1" si="40"/>
        <v>11.877363694257863</v>
      </c>
    </row>
    <row r="586" spans="1:5" x14ac:dyDescent="0.25">
      <c r="A586" s="34">
        <f t="shared" si="41"/>
        <v>57.400000000000546</v>
      </c>
      <c r="B586" s="35">
        <f t="shared" ca="1" si="42"/>
        <v>-3.0033323441113526</v>
      </c>
      <c r="C586" s="1">
        <f t="shared" ca="1" si="43"/>
        <v>-0.11885913086661598</v>
      </c>
      <c r="D586" s="1">
        <f t="shared" ca="1" si="44"/>
        <v>4.3507046430844882</v>
      </c>
      <c r="E586" s="37">
        <f t="shared" ca="1" si="40"/>
        <v>12.55415367027228</v>
      </c>
    </row>
    <row r="587" spans="1:5" x14ac:dyDescent="0.25">
      <c r="A587" s="34">
        <f t="shared" si="41"/>
        <v>57.500000000000547</v>
      </c>
      <c r="B587" s="35">
        <f t="shared" ca="1" si="42"/>
        <v>-3.1387793293697177</v>
      </c>
      <c r="C587" s="1">
        <f t="shared" ca="1" si="43"/>
        <v>0.15287166541390146</v>
      </c>
      <c r="D587" s="1">
        <f t="shared" ca="1" si="44"/>
        <v>5.3910384074109841</v>
      </c>
      <c r="E587" s="37">
        <f t="shared" ca="1" si="40"/>
        <v>13.242950478220189</v>
      </c>
    </row>
    <row r="588" spans="1:5" x14ac:dyDescent="0.25">
      <c r="A588" s="34">
        <f t="shared" si="41"/>
        <v>57.600000000000549</v>
      </c>
      <c r="B588" s="35">
        <f t="shared" ca="1" si="42"/>
        <v>-3.2922242780320805</v>
      </c>
      <c r="C588" s="1">
        <f t="shared" ca="1" si="43"/>
        <v>0.40797258533815117</v>
      </c>
      <c r="D588" s="1">
        <f t="shared" ca="1" si="44"/>
        <v>6.5054038870758895</v>
      </c>
      <c r="E588" s="37">
        <f t="shared" ref="E588:E595" ca="1" si="45" xml:space="preserve"> -R_x/L_x*D588-1/(L_x*C_x)*B588+E0_x*SIN(w_x*A588)/L_x</f>
        <v>13.97973511359212</v>
      </c>
    </row>
    <row r="589" spans="1:5" x14ac:dyDescent="0.25">
      <c r="A589" s="34">
        <f t="shared" si="41"/>
        <v>57.70000000000055</v>
      </c>
      <c r="B589" s="35">
        <f t="shared" ca="1" si="42"/>
        <v>-3.4742749348435082</v>
      </c>
      <c r="C589" s="1">
        <f t="shared" ca="1" si="43"/>
        <v>0.66155465766275545</v>
      </c>
      <c r="D589" s="1">
        <f t="shared" ca="1" si="44"/>
        <v>7.7106658649623903</v>
      </c>
      <c r="E589" s="37">
        <f t="shared" ca="1" si="45"/>
        <v>14.802645928046838</v>
      </c>
    </row>
    <row r="590" spans="1:5" x14ac:dyDescent="0.25">
      <c r="A590" s="34">
        <f t="shared" ref="A590:A653" si="46">A589+$A$9</f>
        <v>57.800000000000551</v>
      </c>
      <c r="B590" s="35">
        <f t="shared" ref="B590:B595" ca="1" si="47">IF($B$7="n",$B$12,$A$9/2*(C590+C589)+B589)</f>
        <v>-3.6951272466456819</v>
      </c>
      <c r="C590" s="1">
        <f t="shared" ref="C590:C595" ca="1" si="48">D590</f>
        <v>0.93856742470932741</v>
      </c>
      <c r="D590" s="1">
        <f t="shared" ref="D590:D595" ca="1" si="49">IF($B$7="n",$D$12,$A$9/2*(E590+E589)+D589)</f>
        <v>9.0307543855096135</v>
      </c>
      <c r="E590" s="37">
        <f t="shared" ca="1" si="45"/>
        <v>15.749161579253766</v>
      </c>
    </row>
    <row r="591" spans="1:5" x14ac:dyDescent="0.25">
      <c r="A591" s="34">
        <f t="shared" si="46"/>
        <v>57.900000000000553</v>
      </c>
      <c r="B591" s="35">
        <f t="shared" ca="1" si="47"/>
        <v>-3.963679127384494</v>
      </c>
      <c r="C591" s="1">
        <f t="shared" ca="1" si="48"/>
        <v>1.2752694056642573</v>
      </c>
      <c r="D591" s="1">
        <f t="shared" ca="1" si="49"/>
        <v>10.497145846819842</v>
      </c>
      <c r="E591" s="37">
        <f t="shared" ca="1" si="45"/>
        <v>16.852671433457498</v>
      </c>
    </row>
    <row r="592" spans="1:5" x14ac:dyDescent="0.25">
      <c r="A592" s="34">
        <f t="shared" si="46"/>
        <v>58.000000000000554</v>
      </c>
      <c r="B592" s="35">
        <f t="shared" ca="1" si="47"/>
        <v>-4.2864967603461492</v>
      </c>
      <c r="C592" s="1">
        <f t="shared" ca="1" si="48"/>
        <v>1.7206691295304746</v>
      </c>
      <c r="D592" s="1">
        <f t="shared" ca="1" si="49"/>
        <v>12.14908758505749</v>
      </c>
      <c r="E592" s="37">
        <f t="shared" ca="1" si="45"/>
        <v>18.138417630001168</v>
      </c>
    </row>
    <row r="593" spans="1:5" x14ac:dyDescent="0.25">
      <c r="A593" s="34">
        <f t="shared" si="46"/>
        <v>58.100000000000556</v>
      </c>
      <c r="B593" s="35">
        <f t="shared" ca="1" si="47"/>
        <v>-4.6666300092115236</v>
      </c>
      <c r="C593" s="1">
        <f t="shared" ca="1" si="48"/>
        <v>2.3379248102176575</v>
      </c>
      <c r="D593" s="1">
        <f t="shared" ca="1" si="49"/>
        <v>14.033514974550398</v>
      </c>
      <c r="E593" s="37">
        <f t="shared" ca="1" si="45"/>
        <v>19.618792412058838</v>
      </c>
    </row>
    <row r="594" spans="1:5" x14ac:dyDescent="0.25">
      <c r="A594" s="34">
        <f t="shared" si="46"/>
        <v>58.200000000000557</v>
      </c>
      <c r="B594" s="35">
        <f t="shared" ca="1" si="47"/>
        <v>-5.1022723165917432</v>
      </c>
      <c r="C594" s="1">
        <f t="shared" ca="1" si="48"/>
        <v>3.2056933961702327</v>
      </c>
      <c r="D594" s="1">
        <f t="shared" ca="1" si="49"/>
        <v>16.204608120830834</v>
      </c>
      <c r="E594" s="37">
        <f t="shared" ca="1" si="45"/>
        <v>21.2879709928396</v>
      </c>
    </row>
    <row r="595" spans="1:5" x14ac:dyDescent="0.25">
      <c r="A595" s="34">
        <f t="shared" si="46"/>
        <v>58.300000000000558</v>
      </c>
      <c r="B595" s="35">
        <f t="shared" ca="1" si="47"/>
        <v>-5.585258562018792</v>
      </c>
      <c r="C595" s="1">
        <f t="shared" ca="1" si="48"/>
        <v>4.4194214857322933</v>
      </c>
      <c r="D595" s="1">
        <f t="shared" ca="1" si="49"/>
        <v>18.722932287467387</v>
      </c>
      <c r="E595" s="37">
        <f t="shared" ca="1" si="45"/>
        <v>23.115854079950413</v>
      </c>
    </row>
    <row r="596" spans="1:5" x14ac:dyDescent="0.25">
      <c r="A596" s="34">
        <f t="shared" si="46"/>
        <v>58.40000000000056</v>
      </c>
      <c r="B596" s="35">
        <f t="shared" ref="B596:B597" ca="1" si="50">IF($B$7="n",$B$12,$A$9/2*(C596+C595)+B595)</f>
        <v>-6.0993917693723789</v>
      </c>
      <c r="C596" s="1">
        <f t="shared" ref="C596:C597" ca="1" si="51">D596</f>
        <v>6.092570873324326</v>
      </c>
      <c r="D596" s="1">
        <f t="shared" ref="D596:D597" ca="1" si="52">IF($B$7="n",$D$12,$A$9/2*(E596+E595)+D595)</f>
        <v>21.654101828024601</v>
      </c>
      <c r="E596" s="37">
        <f t="shared" ref="E596:E597" ca="1" si="53" xml:space="preserve"> -R_x/L_x*D596-1/(L_x*C_x)*B596+E0_x*SIN(w_x*A596)/L_x</f>
        <v>25.041285324621672</v>
      </c>
    </row>
    <row r="597" spans="1:5" x14ac:dyDescent="0.25">
      <c r="A597" s="34">
        <f t="shared" si="46"/>
        <v>58.500000000000561</v>
      </c>
      <c r="B597" s="35">
        <f t="shared" ca="1" si="50"/>
        <v>-6.618586387870713</v>
      </c>
      <c r="C597" s="1">
        <f t="shared" ca="1" si="51"/>
        <v>8.3577696307055351</v>
      </c>
      <c r="D597" s="1">
        <f t="shared" ca="1" si="52"/>
        <v>25.066901133252831</v>
      </c>
      <c r="E597" s="37">
        <f t="shared" ca="1" si="53"/>
        <v>26.964497711509523</v>
      </c>
    </row>
    <row r="598" spans="1:5" x14ac:dyDescent="0.25">
      <c r="A598" s="34">
        <f t="shared" si="46"/>
        <v>58.600000000000563</v>
      </c>
      <c r="B598" s="35">
        <f t="shared" ref="B598:B661" ca="1" si="54">IF($B$7="n",$B$12,$A$9/2*(C598+C597)+B597)</f>
        <v>-7.1048122719003546</v>
      </c>
      <c r="C598" s="1">
        <f t="shared" ref="C598:C661" ca="1" si="55">D598</f>
        <v>11.367874921496552</v>
      </c>
      <c r="D598" s="1">
        <f t="shared" ref="D598:D661" ca="1" si="56">IF($B$7="n",$D$12,$A$9/2*(E598+E597)+D597)</f>
        <v>29.030787492998645</v>
      </c>
      <c r="E598" s="37">
        <f t="shared" ref="E598:E661" ca="1" si="57" xml:space="preserve"> -R_x/L_x*D598-1/(L_x*C_x)*B598+E0_x*SIN(w_x*A598)/L_x</f>
        <v>28.738729812948726</v>
      </c>
    </row>
    <row r="599" spans="1:5" x14ac:dyDescent="0.25">
      <c r="A599" s="34">
        <f t="shared" si="46"/>
        <v>58.700000000000564</v>
      </c>
      <c r="B599" s="35">
        <f t="shared" ca="1" si="54"/>
        <v>-7.5058196696695365</v>
      </c>
      <c r="C599" s="1">
        <f t="shared" ca="1" si="55"/>
        <v>15.296925429415822</v>
      </c>
      <c r="D599" s="1">
        <f t="shared" ca="1" si="56"/>
        <v>33.61268937429692</v>
      </c>
      <c r="E599" s="37">
        <f t="shared" ca="1" si="57"/>
        <v>30.160938719590821</v>
      </c>
    </row>
    <row r="600" spans="1:5" x14ac:dyDescent="0.25">
      <c r="A600" s="34">
        <f t="shared" si="46"/>
        <v>58.800000000000566</v>
      </c>
      <c r="B600" s="35">
        <f t="shared" ca="1" si="54"/>
        <v>-7.7526217874388621</v>
      </c>
      <c r="C600" s="1">
        <f t="shared" ca="1" si="55"/>
        <v>20.340948534289101</v>
      </c>
      <c r="D600" s="1">
        <f t="shared" ca="1" si="56"/>
        <v>38.872999033956845</v>
      </c>
      <c r="E600" s="37">
        <f t="shared" ca="1" si="57"/>
        <v>30.961522441212686</v>
      </c>
    </row>
    <row r="601" spans="1:5" x14ac:dyDescent="0.25">
      <c r="A601" s="34">
        <f t="shared" si="46"/>
        <v>58.900000000000567</v>
      </c>
      <c r="B601" s="35">
        <f t="shared" ca="1" si="54"/>
        <v>-7.7567081917192722</v>
      </c>
      <c r="C601" s="1">
        <f t="shared" ca="1" si="55"/>
        <v>26.718569331640488</v>
      </c>
      <c r="D601" s="1">
        <f t="shared" ca="1" si="56"/>
        <v>44.86064028110318</v>
      </c>
      <c r="E601" s="37">
        <f t="shared" ca="1" si="57"/>
        <v>30.792952081025156</v>
      </c>
    </row>
    <row r="602" spans="1:5" x14ac:dyDescent="0.25">
      <c r="A602" s="34">
        <f t="shared" si="46"/>
        <v>59.000000000000568</v>
      </c>
      <c r="B602" s="35">
        <f t="shared" ca="1" si="54"/>
        <v>-7.4069598981542715</v>
      </c>
      <c r="C602" s="1">
        <f t="shared" ca="1" si="55"/>
        <v>34.671344356350716</v>
      </c>
      <c r="D602" s="1">
        <f t="shared" ca="1" si="56"/>
        <v>51.607070336113573</v>
      </c>
      <c r="E602" s="37">
        <f t="shared" ca="1" si="57"/>
        <v>29.217204905977923</v>
      </c>
    </row>
    <row r="603" spans="1:5" x14ac:dyDescent="0.25">
      <c r="A603" s="34">
        <f t="shared" si="46"/>
        <v>59.10000000000057</v>
      </c>
      <c r="B603" s="35">
        <f t="shared" ca="1" si="54"/>
        <v>-6.5662360169659761</v>
      </c>
      <c r="C603" s="1">
        <f t="shared" ca="1" si="55"/>
        <v>44.463711494903023</v>
      </c>
      <c r="D603" s="1">
        <f t="shared" ca="1" si="56"/>
        <v>59.119048966324435</v>
      </c>
      <c r="E603" s="37">
        <f t="shared" ca="1" si="57"/>
        <v>25.691885724387184</v>
      </c>
    </row>
    <row r="604" spans="1:5" x14ac:dyDescent="0.25">
      <c r="A604" s="34">
        <f t="shared" si="46"/>
        <v>59.200000000000571</v>
      </c>
      <c r="B604" s="35">
        <f t="shared" ca="1" si="54"/>
        <v>-5.0676029254703208</v>
      </c>
      <c r="C604" s="1">
        <f t="shared" ca="1" si="55"/>
        <v>56.38240807567275</v>
      </c>
      <c r="D604" s="1">
        <f t="shared" ca="1" si="56"/>
        <v>67.36997843086327</v>
      </c>
      <c r="E604" s="37">
        <f t="shared" ca="1" si="57"/>
        <v>19.554928312089803</v>
      </c>
    </row>
    <row r="605" spans="1:5" x14ac:dyDescent="0.25">
      <c r="A605" s="34">
        <f t="shared" si="46"/>
        <v>59.300000000000573</v>
      </c>
      <c r="B605" s="35">
        <f t="shared" ca="1" si="54"/>
        <v>-2.7101808726755663</v>
      </c>
      <c r="C605" s="1">
        <f t="shared" ca="1" si="55"/>
        <v>70.735160502941795</v>
      </c>
      <c r="D605" s="1">
        <f t="shared" ca="1" si="56"/>
        <v>76.289584432002812</v>
      </c>
      <c r="E605" s="37">
        <f t="shared" ca="1" si="57"/>
        <v>10.007784019468209</v>
      </c>
    </row>
    <row r="606" spans="1:5" x14ac:dyDescent="0.25">
      <c r="A606" s="34">
        <f t="shared" si="46"/>
        <v>59.400000000000574</v>
      </c>
      <c r="B606" s="35">
        <f t="shared" ca="1" si="54"/>
        <v>0.74540943569094953</v>
      </c>
      <c r="C606" s="1">
        <f t="shared" ca="1" si="55"/>
        <v>87.848390011768288</v>
      </c>
      <c r="D606" s="1">
        <f t="shared" ca="1" si="56"/>
        <v>85.751671661672177</v>
      </c>
      <c r="E606" s="37">
        <f t="shared" ca="1" si="57"/>
        <v>-3.9029653440461249</v>
      </c>
    </row>
    <row r="607" spans="1:5" x14ac:dyDescent="0.25">
      <c r="A607" s="34">
        <f t="shared" si="46"/>
        <v>59.500000000000576</v>
      </c>
      <c r="B607" s="35">
        <f t="shared" ca="1" si="54"/>
        <v>5.5820053633845834</v>
      </c>
      <c r="C607" s="1">
        <f t="shared" ca="1" si="55"/>
        <v>108.06360911170221</v>
      </c>
      <c r="D607" s="1">
        <f t="shared" ca="1" si="56"/>
        <v>95.559648324129427</v>
      </c>
      <c r="E607" s="37">
        <f t="shared" ca="1" si="57"/>
        <v>-23.305584661357681</v>
      </c>
    </row>
    <row r="608" spans="1:5" x14ac:dyDescent="0.25">
      <c r="A608" s="34">
        <f t="shared" si="46"/>
        <v>59.600000000000577</v>
      </c>
      <c r="B608" s="35">
        <f t="shared" ca="1" si="54"/>
        <v>12.131252841080359</v>
      </c>
      <c r="C608" s="1">
        <f t="shared" ca="1" si="55"/>
        <v>131.73210099211894</v>
      </c>
      <c r="D608" s="1">
        <f t="shared" ca="1" si="56"/>
        <v>105.42947319624179</v>
      </c>
      <c r="E608" s="37">
        <f t="shared" ca="1" si="57"/>
        <v>-49.524695142962592</v>
      </c>
    </row>
    <row r="609" spans="1:5" x14ac:dyDescent="0.25">
      <c r="A609" s="34">
        <f t="shared" si="46"/>
        <v>59.700000000000578</v>
      </c>
      <c r="B609" s="35">
        <f t="shared" ca="1" si="54"/>
        <v>20.779310273453007</v>
      </c>
      <c r="C609" s="1">
        <f t="shared" ca="1" si="55"/>
        <v>159.20737852068015</v>
      </c>
      <c r="D609" s="1">
        <f t="shared" ca="1" si="56"/>
        <v>114.96963771262155</v>
      </c>
      <c r="E609" s="37">
        <f t="shared" ca="1" si="57"/>
        <v>-84.104158443089773</v>
      </c>
    </row>
    <row r="610" spans="1:5" x14ac:dyDescent="0.25">
      <c r="A610" s="34">
        <f t="shared" si="46"/>
        <v>59.80000000000058</v>
      </c>
      <c r="B610" s="35">
        <f t="shared" ca="1" si="54"/>
        <v>31.9728331830622</v>
      </c>
      <c r="C610" s="1">
        <f t="shared" ca="1" si="55"/>
        <v>190.83480944720003</v>
      </c>
      <c r="D610" s="1">
        <f t="shared" ca="1" si="56"/>
        <v>123.65775602977001</v>
      </c>
      <c r="E610" s="37">
        <f t="shared" ca="1" si="57"/>
        <v>-128.83104217528549</v>
      </c>
    </row>
    <row r="611" spans="1:5" x14ac:dyDescent="0.25">
      <c r="A611" s="34">
        <f t="shared" si="46"/>
        <v>59.900000000000581</v>
      </c>
      <c r="B611" s="35">
        <f t="shared" ca="1" si="54"/>
        <v>46.225122416398676</v>
      </c>
      <c r="C611" s="1">
        <f t="shared" ca="1" si="55"/>
        <v>226.93766905660883</v>
      </c>
      <c r="D611" s="1">
        <f t="shared" ca="1" si="56"/>
        <v>130.81330034535677</v>
      </c>
      <c r="E611" s="37">
        <f t="shared" ca="1" si="57"/>
        <v>-185.76019718870947</v>
      </c>
    </row>
    <row r="612" spans="1:5" x14ac:dyDescent="0.25">
      <c r="A612" s="34">
        <f t="shared" si="46"/>
        <v>60.000000000000583</v>
      </c>
      <c r="B612" s="35">
        <f t="shared" ca="1" si="54"/>
        <v>64.122261921807535</v>
      </c>
      <c r="C612" s="1">
        <f t="shared" ca="1" si="55"/>
        <v>267.79873993158145</v>
      </c>
      <c r="D612" s="1">
        <f t="shared" ca="1" si="56"/>
        <v>135.56598985150029</v>
      </c>
      <c r="E612" s="37">
        <f t="shared" ca="1" si="57"/>
        <v>-257.23875118659885</v>
      </c>
    </row>
    <row r="613" spans="1:5" x14ac:dyDescent="0.25">
      <c r="A613" s="34">
        <f t="shared" si="46"/>
        <v>60.100000000000584</v>
      </c>
      <c r="B613" s="35">
        <f t="shared" ca="1" si="54"/>
        <v>86.329000812087116</v>
      </c>
      <c r="C613" s="1">
        <f t="shared" ca="1" si="55"/>
        <v>313.6364199913242</v>
      </c>
      <c r="D613" s="1">
        <f t="shared" ca="1" si="56"/>
        <v>136.81932323123621</v>
      </c>
      <c r="E613" s="37">
        <f t="shared" ca="1" si="57"/>
        <v>-345.92953954449359</v>
      </c>
    </row>
    <row r="614" spans="1:5" x14ac:dyDescent="0.25">
      <c r="A614" s="34">
        <f t="shared" si="46"/>
        <v>60.200000000000585</v>
      </c>
      <c r="B614" s="35">
        <f t="shared" ca="1" si="54"/>
        <v>113.59404621323201</v>
      </c>
      <c r="C614" s="1">
        <f t="shared" ca="1" si="55"/>
        <v>364.57412412419637</v>
      </c>
      <c r="D614" s="1">
        <f t="shared" ca="1" si="56"/>
        <v>133.20874106076138</v>
      </c>
      <c r="E614" s="37">
        <f t="shared" ca="1" si="57"/>
        <v>-454.83214273428985</v>
      </c>
    </row>
    <row r="615" spans="1:5" x14ac:dyDescent="0.25">
      <c r="A615" s="34">
        <f t="shared" si="46"/>
        <v>60.300000000000587</v>
      </c>
      <c r="B615" s="35">
        <f t="shared" ca="1" si="54"/>
        <v>146.75432555636775</v>
      </c>
      <c r="C615" s="1">
        <f t="shared" ca="1" si="55"/>
        <v>420.60157144723973</v>
      </c>
      <c r="D615" s="1">
        <f t="shared" ca="1" si="56"/>
        <v>123.05392134866698</v>
      </c>
      <c r="E615" s="37">
        <f t="shared" ca="1" si="57"/>
        <v>-587.29976965763296</v>
      </c>
    </row>
    <row r="616" spans="1:5" x14ac:dyDescent="0.25">
      <c r="A616" s="34">
        <f t="shared" si="46"/>
        <v>60.400000000000588</v>
      </c>
      <c r="B616" s="35">
        <f t="shared" ca="1" si="54"/>
        <v>186.73764647179328</v>
      </c>
      <c r="C616" s="1">
        <f t="shared" ca="1" si="55"/>
        <v>481.52633992912553</v>
      </c>
      <c r="D616" s="1">
        <f t="shared" ca="1" si="56"/>
        <v>104.30475538648892</v>
      </c>
      <c r="E616" s="37">
        <f t="shared" ca="1" si="57"/>
        <v>-747.04970531160643</v>
      </c>
    </row>
    <row r="617" spans="1:5" x14ac:dyDescent="0.25">
      <c r="A617" s="34">
        <f t="shared" si="46"/>
        <v>60.50000000000059</v>
      </c>
      <c r="B617" s="35">
        <f t="shared" ca="1" si="54"/>
        <v>234.56302595907084</v>
      </c>
      <c r="C617" s="1">
        <f t="shared" ca="1" si="55"/>
        <v>546.91384391380359</v>
      </c>
      <c r="D617" s="1">
        <f t="shared" ca="1" si="56"/>
        <v>74.480630123837869</v>
      </c>
      <c r="E617" s="37">
        <f t="shared" ca="1" si="57"/>
        <v>-938.16441617977671</v>
      </c>
    </row>
    <row r="618" spans="1:5" x14ac:dyDescent="0.25">
      <c r="A618" s="34">
        <f t="shared" si="46"/>
        <v>60.600000000000591</v>
      </c>
      <c r="B618" s="35">
        <f t="shared" ca="1" si="54"/>
        <v>291.33777438785069</v>
      </c>
      <c r="C618" s="1">
        <f t="shared" ca="1" si="55"/>
        <v>616.01365000131818</v>
      </c>
      <c r="D618" s="1">
        <f t="shared" ca="1" si="56"/>
        <v>30.602767020398701</v>
      </c>
      <c r="E618" s="37">
        <f t="shared" ca="1" si="57"/>
        <v>-1165.0796629409224</v>
      </c>
    </row>
    <row r="619" spans="1:5" x14ac:dyDescent="0.25">
      <c r="A619" s="34">
        <f t="shared" si="46"/>
        <v>60.700000000000593</v>
      </c>
      <c r="B619" s="35">
        <f t="shared" ca="1" si="54"/>
        <v>358.25020017960128</v>
      </c>
      <c r="C619" s="1">
        <f t="shared" ca="1" si="55"/>
        <v>687.6697959927551</v>
      </c>
      <c r="D619" s="1">
        <f t="shared" ca="1" si="56"/>
        <v>-30.880452798759414</v>
      </c>
      <c r="E619" s="37">
        <f t="shared" ca="1" si="57"/>
        <v>-1432.5550916886748</v>
      </c>
    </row>
    <row r="620" spans="1:5" x14ac:dyDescent="0.25">
      <c r="A620" s="34">
        <f t="shared" si="46"/>
        <v>60.800000000000594</v>
      </c>
      <c r="B620" s="35">
        <f t="shared" ca="1" si="54"/>
        <v>436.55654350392876</v>
      </c>
      <c r="C620" s="1">
        <f t="shared" ca="1" si="55"/>
        <v>760.2125209356285</v>
      </c>
      <c r="D620" s="1">
        <f t="shared" ca="1" si="56"/>
        <v>-114.17499770820257</v>
      </c>
      <c r="E620" s="37">
        <f t="shared" ca="1" si="57"/>
        <v>-1745.6217449363617</v>
      </c>
    </row>
    <row r="621" spans="1:5" x14ac:dyDescent="0.25">
      <c r="A621" s="34">
        <f t="shared" si="46"/>
        <v>60.900000000000595</v>
      </c>
      <c r="B621" s="35">
        <f t="shared" ca="1" si="54"/>
        <v>527.56044754279765</v>
      </c>
      <c r="C621" s="1">
        <f t="shared" ca="1" si="55"/>
        <v>831.32855841151331</v>
      </c>
      <c r="D621" s="1">
        <f t="shared" ca="1" si="56"/>
        <v>-224.22901451816654</v>
      </c>
      <c r="E621" s="37">
        <f t="shared" ca="1" si="57"/>
        <v>-2109.4997344297972</v>
      </c>
    </row>
    <row r="622" spans="1:5" x14ac:dyDescent="0.25">
      <c r="A622" s="34">
        <f t="shared" si="46"/>
        <v>61.000000000000597</v>
      </c>
      <c r="B622" s="35">
        <f t="shared" ca="1" si="54"/>
        <v>632.58292923447334</v>
      </c>
      <c r="C622" s="1">
        <f t="shared" ca="1" si="55"/>
        <v>897.90689923467937</v>
      </c>
      <c r="D622" s="1">
        <f t="shared" ca="1" si="56"/>
        <v>-366.82602315762529</v>
      </c>
      <c r="E622" s="37">
        <f t="shared" ca="1" si="57"/>
        <v>-2529.4779308222064</v>
      </c>
    </row>
    <row r="623" spans="1:5" x14ac:dyDescent="0.25">
      <c r="A623" s="34">
        <f t="shared" si="46"/>
        <v>61.100000000000598</v>
      </c>
      <c r="B623" s="35">
        <f t="shared" ca="1" si="54"/>
        <v>752.92041328115818</v>
      </c>
      <c r="C623" s="1">
        <f t="shared" ca="1" si="55"/>
        <v>955.85670586469848</v>
      </c>
      <c r="D623" s="1">
        <f t="shared" ca="1" si="56"/>
        <v>-548.68195754952148</v>
      </c>
      <c r="E623" s="37">
        <f t="shared" ca="1" si="57"/>
        <v>-3010.7459320929888</v>
      </c>
    </row>
    <row r="624" spans="1:5" x14ac:dyDescent="0.25">
      <c r="A624" s="34">
        <f t="shared" si="46"/>
        <v>61.2000000000006</v>
      </c>
      <c r="B624" s="35">
        <f t="shared" ca="1" si="54"/>
        <v>889.78793910103695</v>
      </c>
      <c r="C624" s="1">
        <f t="shared" ca="1" si="55"/>
        <v>999.89387500270766</v>
      </c>
      <c r="D624" s="1">
        <f t="shared" ca="1" si="56"/>
        <v>-777.5438163482354</v>
      </c>
      <c r="E624" s="37">
        <f t="shared" ca="1" si="57"/>
        <v>-3558.1667552825047</v>
      </c>
    </row>
    <row r="625" spans="1:5" x14ac:dyDescent="0.25">
      <c r="A625" s="34">
        <f t="shared" si="46"/>
        <v>61.300000000000601</v>
      </c>
      <c r="B625" s="35">
        <f t="shared" ca="1" si="54"/>
        <v>1044.2441361962963</v>
      </c>
      <c r="C625" s="1">
        <f t="shared" ca="1" si="55"/>
        <v>1023.2926175227103</v>
      </c>
      <c r="D625" s="1">
        <f t="shared" ca="1" si="56"/>
        <v>-1062.2867902073626</v>
      </c>
      <c r="E625" s="37">
        <f t="shared" ca="1" si="57"/>
        <v>-4175.97663817784</v>
      </c>
    </row>
    <row r="626" spans="1:5" x14ac:dyDescent="0.25">
      <c r="A626" s="34">
        <f t="shared" si="46"/>
        <v>61.400000000000603</v>
      </c>
      <c r="B626" s="35">
        <f t="shared" ca="1" si="54"/>
        <v>1217.0939856152152</v>
      </c>
      <c r="C626" s="1">
        <f t="shared" ca="1" si="55"/>
        <v>1017.5983820752634</v>
      </c>
      <c r="D626" s="1">
        <f t="shared" ca="1" si="56"/>
        <v>-1413.0056218869113</v>
      </c>
      <c r="E626" s="37">
        <f t="shared" ca="1" si="57"/>
        <v>-4867.3960251442832</v>
      </c>
    </row>
    <row r="627" spans="1:5" x14ac:dyDescent="0.25">
      <c r="A627" s="34">
        <f t="shared" si="46"/>
        <v>61.500000000000604</v>
      </c>
      <c r="B627" s="35">
        <f t="shared" ca="1" si="54"/>
        <v>1408.7647413623295</v>
      </c>
      <c r="C627" s="1">
        <f t="shared" ca="1" si="55"/>
        <v>972.29852298133005</v>
      </c>
      <c r="D627" s="1">
        <f t="shared" ca="1" si="56"/>
        <v>-1841.0945941898131</v>
      </c>
      <c r="E627" s="37">
        <f t="shared" ca="1" si="57"/>
        <v>-5634.1332346129939</v>
      </c>
    </row>
    <row r="628" spans="1:5" x14ac:dyDescent="0.25">
      <c r="A628" s="34">
        <f t="shared" si="46"/>
        <v>61.600000000000605</v>
      </c>
      <c r="B628" s="35">
        <f t="shared" ca="1" si="54"/>
        <v>1619.1496748257211</v>
      </c>
      <c r="C628" s="1">
        <f t="shared" ca="1" si="55"/>
        <v>874.44734485093738</v>
      </c>
      <c r="D628" s="1">
        <f t="shared" ca="1" si="56"/>
        <v>-2359.3088860843827</v>
      </c>
      <c r="E628" s="37">
        <f t="shared" ca="1" si="57"/>
        <v>-6475.7594611345794</v>
      </c>
    </row>
    <row r="629" spans="1:5" x14ac:dyDescent="0.25">
      <c r="A629" s="34">
        <f t="shared" si="46"/>
        <v>61.700000000000607</v>
      </c>
      <c r="B629" s="35">
        <f t="shared" ca="1" si="54"/>
        <v>1847.4135287387803</v>
      </c>
      <c r="C629" s="1">
        <f t="shared" ca="1" si="55"/>
        <v>708.2425954272378</v>
      </c>
      <c r="D629" s="1">
        <f t="shared" ca="1" si="56"/>
        <v>-2981.7980421182915</v>
      </c>
      <c r="E629" s="37">
        <f t="shared" ca="1" si="57"/>
        <v>-7388.930657218385</v>
      </c>
    </row>
    <row r="630" spans="1:5" x14ac:dyDescent="0.25">
      <c r="A630" s="34">
        <f t="shared" si="46"/>
        <v>61.800000000000608</v>
      </c>
      <c r="B630" s="35">
        <f t="shared" ca="1" si="54"/>
        <v>2091.7527289492073</v>
      </c>
      <c r="C630" s="1">
        <f t="shared" ca="1" si="55"/>
        <v>454.55118505105099</v>
      </c>
      <c r="D630" s="1">
        <f t="shared" ca="1" si="56"/>
        <v>-3724.0999120219844</v>
      </c>
      <c r="E630" s="37">
        <f t="shared" ca="1" si="57"/>
        <v>-8366.4284857455768</v>
      </c>
    </row>
    <row r="631" spans="1:5" x14ac:dyDescent="0.25">
      <c r="A631" s="34">
        <f t="shared" si="46"/>
        <v>61.90000000000061</v>
      </c>
      <c r="B631" s="35">
        <f t="shared" ca="1" si="54"/>
        <v>2349.1025102128592</v>
      </c>
      <c r="C631" s="1">
        <f t="shared" ca="1" si="55"/>
        <v>90.38295908990051</v>
      </c>
      <c r="D631" s="1">
        <f t="shared" ca="1" si="56"/>
        <v>-4603.0805789364604</v>
      </c>
      <c r="E631" s="37">
        <f t="shared" ca="1" si="57"/>
        <v>-9395.9889641503851</v>
      </c>
    </row>
    <row r="632" spans="1:5" x14ac:dyDescent="0.25">
      <c r="A632" s="34">
        <f t="shared" si="46"/>
        <v>62.000000000000611</v>
      </c>
      <c r="B632" s="35">
        <f t="shared" ca="1" si="54"/>
        <v>2614.7821791862561</v>
      </c>
      <c r="C632" s="1">
        <f t="shared" ca="1" si="55"/>
        <v>-411.68717348336969</v>
      </c>
      <c r="D632" s="1">
        <f t="shared" ca="1" si="56"/>
        <v>-5636.8024440148411</v>
      </c>
      <c r="E632" s="37">
        <f t="shared" ca="1" si="57"/>
        <v>-10458.883688143915</v>
      </c>
    </row>
    <row r="633" spans="1:5" x14ac:dyDescent="0.25">
      <c r="A633" s="34">
        <f t="shared" si="46"/>
        <v>62.100000000000612</v>
      </c>
      <c r="B633" s="35">
        <f t="shared" ca="1" si="54"/>
        <v>2882.0687828870373</v>
      </c>
      <c r="C633" s="1">
        <f t="shared" ca="1" si="55"/>
        <v>-1084.1464418475543</v>
      </c>
      <c r="D633" s="1">
        <f t="shared" ca="1" si="56"/>
        <v>-6844.2987061811664</v>
      </c>
      <c r="E633" s="37">
        <f t="shared" ca="1" si="57"/>
        <v>-11528.214702063846</v>
      </c>
    </row>
    <row r="634" spans="1:5" x14ac:dyDescent="0.25">
      <c r="A634" s="34">
        <f t="shared" si="46"/>
        <v>62.200000000000614</v>
      </c>
      <c r="B634" s="35">
        <f t="shared" ca="1" si="54"/>
        <v>3141.6885011976419</v>
      </c>
      <c r="C634" s="1">
        <f t="shared" ca="1" si="55"/>
        <v>-1965.2157644199015</v>
      </c>
      <c r="D634" s="1">
        <f t="shared" ca="1" si="56"/>
        <v>-8245.2278993819691</v>
      </c>
      <c r="E634" s="37">
        <f t="shared" ca="1" si="57"/>
        <v>-12566.880283293372</v>
      </c>
    </row>
    <row r="635" spans="1:5" x14ac:dyDescent="0.25">
      <c r="A635" s="34">
        <f t="shared" si="46"/>
        <v>62.300000000000615</v>
      </c>
      <c r="B635" s="35">
        <f t="shared" ca="1" si="54"/>
        <v>3381.2141744665105</v>
      </c>
      <c r="C635" s="1">
        <f t="shared" ca="1" si="55"/>
        <v>-3099.5571984020471</v>
      </c>
      <c r="D635" s="1">
        <f t="shared" ca="1" si="56"/>
        <v>-9859.3768548104472</v>
      </c>
      <c r="E635" s="37">
        <f t="shared" ca="1" si="57"/>
        <v>-13525.165277484257</v>
      </c>
    </row>
    <row r="636" spans="1:5" x14ac:dyDescent="0.25">
      <c r="A636" s="34">
        <f t="shared" si="46"/>
        <v>62.400000000000617</v>
      </c>
      <c r="B636" s="35">
        <f t="shared" ca="1" si="54"/>
        <v>3584.3565610676815</v>
      </c>
      <c r="C636" s="1">
        <f t="shared" ca="1" si="55"/>
        <v>-4539.0043953450004</v>
      </c>
      <c r="D636" s="1">
        <f t="shared" ca="1" si="56"/>
        <v>-11705.974371680049</v>
      </c>
      <c r="E636" s="37">
        <f t="shared" ca="1" si="57"/>
        <v>-14337.906356181822</v>
      </c>
    </row>
    <row r="637" spans="1:5" x14ac:dyDescent="0.25">
      <c r="A637" s="34">
        <f t="shared" si="46"/>
        <v>62.500000000000618</v>
      </c>
      <c r="B637" s="35">
        <f t="shared" ca="1" si="54"/>
        <v>3730.1362589593959</v>
      </c>
      <c r="C637" s="1">
        <f t="shared" ca="1" si="55"/>
        <v>-6343.2975609369278</v>
      </c>
      <c r="D637" s="1">
        <f t="shared" ca="1" si="56"/>
        <v>-13802.770939569582</v>
      </c>
      <c r="E637" s="37">
        <f t="shared" ca="1" si="57"/>
        <v>-14921.179925078952</v>
      </c>
    </row>
    <row r="638" spans="1:5" x14ac:dyDescent="0.25">
      <c r="A638" s="34">
        <f t="shared" si="46"/>
        <v>62.60000000000062</v>
      </c>
      <c r="B638" s="35">
        <f t="shared" ca="1" si="54"/>
        <v>3791.9228019162661</v>
      </c>
      <c r="C638" s="1">
        <f t="shared" ca="1" si="55"/>
        <v>-8580.7974146205561</v>
      </c>
      <c r="D638" s="1">
        <f t="shared" ca="1" si="56"/>
        <v>-16164.831997240335</v>
      </c>
      <c r="E638" s="37">
        <f t="shared" ca="1" si="57"/>
        <v>-15168.4587178493</v>
      </c>
    </row>
    <row r="639" spans="1:5" x14ac:dyDescent="0.25">
      <c r="A639" s="34">
        <f t="shared" si="46"/>
        <v>62.700000000000621</v>
      </c>
      <c r="B639" s="35">
        <f t="shared" ca="1" si="54"/>
        <v>3736.3273589525361</v>
      </c>
      <c r="C639" s="1">
        <f t="shared" ca="1" si="55"/>
        <v>-11329.143991483079</v>
      </c>
      <c r="D639" s="1">
        <f t="shared" ca="1" si="56"/>
        <v>-18802.983387672735</v>
      </c>
      <c r="E639" s="37">
        <f t="shared" ca="1" si="57"/>
        <v>-14946.182782339447</v>
      </c>
    </row>
    <row r="640" spans="1:5" x14ac:dyDescent="0.25">
      <c r="A640" s="34">
        <f t="shared" si="46"/>
        <v>62.800000000000622</v>
      </c>
      <c r="B640" s="35">
        <f t="shared" ca="1" si="54"/>
        <v>3521.9358541152023</v>
      </c>
      <c r="C640" s="1">
        <f t="shared" ca="1" si="55"/>
        <v>-14675.815533684643</v>
      </c>
      <c r="D640" s="1">
        <f t="shared" ca="1" si="56"/>
        <v>-21721.837844970923</v>
      </c>
      <c r="E640" s="37">
        <f t="shared" ca="1" si="57"/>
        <v>-14088.692121256829</v>
      </c>
    </row>
    <row r="641" spans="1:5" x14ac:dyDescent="0.25">
      <c r="A641" s="34">
        <f t="shared" si="46"/>
        <v>62.900000000000624</v>
      </c>
      <c r="B641" s="35">
        <f t="shared" ca="1" si="54"/>
        <v>3097.8703435373309</v>
      </c>
      <c r="C641" s="1">
        <f t="shared" ca="1" si="55"/>
        <v>-18718.529854118231</v>
      </c>
      <c r="D641" s="1">
        <f t="shared" ca="1" si="56"/>
        <v>-24917.320519080611</v>
      </c>
      <c r="E641" s="37">
        <f t="shared" ca="1" si="57"/>
        <v>-12392.472329278231</v>
      </c>
    </row>
    <row r="642" spans="1:5" x14ac:dyDescent="0.25">
      <c r="A642" s="34">
        <f t="shared" si="46"/>
        <v>63.000000000000625</v>
      </c>
      <c r="B642" s="35">
        <f t="shared" ca="1" si="54"/>
        <v>2402.1683336573219</v>
      </c>
      <c r="C642" s="1">
        <f t="shared" ca="1" si="55"/>
        <v>-23565.415056539874</v>
      </c>
      <c r="D642" s="1">
        <f t="shared" ca="1" si="56"/>
        <v>-28373.59973717988</v>
      </c>
      <c r="E642" s="37">
        <f t="shared" ca="1" si="57"/>
        <v>-9609.6719577036274</v>
      </c>
    </row>
    <row r="643" spans="1:5" x14ac:dyDescent="0.25">
      <c r="A643" s="34">
        <f t="shared" si="46"/>
        <v>63.100000000000627</v>
      </c>
      <c r="B643" s="35">
        <f t="shared" ca="1" si="54"/>
        <v>1359.9726371654392</v>
      </c>
      <c r="C643" s="1">
        <f t="shared" ca="1" si="55"/>
        <v>-29334.857962265549</v>
      </c>
      <c r="D643" s="1">
        <f t="shared" ca="1" si="56"/>
        <v>-32059.316491126923</v>
      </c>
      <c r="E643" s="37">
        <f t="shared" ca="1" si="57"/>
        <v>-5440.8619896978398</v>
      </c>
    </row>
    <row r="644" spans="1:5" x14ac:dyDescent="0.25">
      <c r="A644" s="34">
        <f t="shared" si="46"/>
        <v>63.200000000000628</v>
      </c>
      <c r="B644" s="35">
        <f t="shared" ca="1" si="54"/>
        <v>-118.47137129973953</v>
      </c>
      <c r="C644" s="1">
        <f t="shared" ca="1" si="55"/>
        <v>-36154.916585639636</v>
      </c>
      <c r="D644" s="1">
        <f t="shared" ca="1" si="56"/>
        <v>-35922.992664804806</v>
      </c>
      <c r="E644" s="37">
        <f t="shared" ca="1" si="57"/>
        <v>472.97512758507941</v>
      </c>
    </row>
    <row r="645" spans="1:5" x14ac:dyDescent="0.25">
      <c r="A645" s="34">
        <f t="shared" si="46"/>
        <v>63.30000000000063</v>
      </c>
      <c r="B645" s="35">
        <f t="shared" ca="1" si="54"/>
        <v>-2140.008275984821</v>
      </c>
      <c r="C645" s="1">
        <f t="shared" ca="1" si="55"/>
        <v>-44162.1570473338</v>
      </c>
      <c r="D645" s="1">
        <f t="shared" ca="1" si="56"/>
        <v>-39887.483988917673</v>
      </c>
      <c r="E645" s="37">
        <f t="shared" ca="1" si="57"/>
        <v>8559.2155994401091</v>
      </c>
    </row>
    <row r="646" spans="1:5" x14ac:dyDescent="0.25">
      <c r="A646" s="34">
        <f t="shared" si="46"/>
        <v>63.400000000000631</v>
      </c>
      <c r="B646" s="35">
        <f t="shared" ca="1" si="54"/>
        <v>-4830.9440279314822</v>
      </c>
      <c r="C646" s="1">
        <f t="shared" ca="1" si="55"/>
        <v>-53499.744916262505</v>
      </c>
      <c r="D646" s="1">
        <f t="shared" ca="1" si="56"/>
        <v>-43843.329449384284</v>
      </c>
      <c r="E646" s="37">
        <f t="shared" ca="1" si="57"/>
        <v>19323.079989642647</v>
      </c>
    </row>
    <row r="647" spans="1:5" x14ac:dyDescent="0.25">
      <c r="A647" s="34">
        <f t="shared" si="46"/>
        <v>63.500000000000632</v>
      </c>
      <c r="B647" s="35">
        <f t="shared" ca="1" si="54"/>
        <v>-8339.5746998478626</v>
      </c>
      <c r="C647" s="1">
        <f t="shared" ca="1" si="55"/>
        <v>-64314.58560726943</v>
      </c>
      <c r="D647" s="1">
        <f t="shared" ca="1" si="56"/>
        <v>-47640.834820310185</v>
      </c>
      <c r="E647" s="37">
        <f t="shared" ca="1" si="57"/>
        <v>33357.748353017363</v>
      </c>
    </row>
    <row r="648" spans="1:5" x14ac:dyDescent="0.25">
      <c r="A648" s="34">
        <f t="shared" si="46"/>
        <v>63.600000000000634</v>
      </c>
      <c r="B648" s="35">
        <f t="shared" ca="1" si="54"/>
        <v>-12838.837249007072</v>
      </c>
      <c r="C648" s="1">
        <f t="shared" ca="1" si="55"/>
        <v>-76753.267603872446</v>
      </c>
      <c r="D648" s="1">
        <f t="shared" ca="1" si="56"/>
        <v>-51080.714740929492</v>
      </c>
      <c r="E648" s="37">
        <f t="shared" ca="1" si="57"/>
        <v>51354.963434860612</v>
      </c>
    </row>
    <row r="649" spans="1:5" x14ac:dyDescent="0.25">
      <c r="A649" s="34">
        <f t="shared" si="46"/>
        <v>63.700000000000635</v>
      </c>
      <c r="B649" s="35">
        <f t="shared" ca="1" si="54"/>
        <v>-18529.029347069252</v>
      </c>
      <c r="C649" s="1">
        <f t="shared" ca="1" si="55"/>
        <v>-90956.515402110803</v>
      </c>
      <c r="D649" s="1">
        <f t="shared" ca="1" si="56"/>
        <v>-53903.106096816162</v>
      </c>
      <c r="E649" s="37">
        <f t="shared" ca="1" si="57"/>
        <v>74115.910167643131</v>
      </c>
    </row>
    <row r="650" spans="1:5" x14ac:dyDescent="0.25">
      <c r="A650" s="34">
        <f t="shared" si="46"/>
        <v>63.800000000000637</v>
      </c>
      <c r="B650" s="35">
        <f t="shared" ca="1" si="54"/>
        <v>-25640.523173270405</v>
      </c>
      <c r="C650" s="1">
        <f t="shared" ca="1" si="55"/>
        <v>-107051.80569165254</v>
      </c>
      <c r="D650" s="1">
        <f t="shared" ca="1" si="56"/>
        <v>-55774.756421311737</v>
      </c>
      <c r="E650" s="37">
        <f t="shared" ca="1" si="57"/>
        <v>102562.07104457461</v>
      </c>
    </row>
    <row r="651" spans="1:5" x14ac:dyDescent="0.25">
      <c r="A651" s="34">
        <f t="shared" si="46"/>
        <v>63.900000000000638</v>
      </c>
      <c r="B651" s="35">
        <f t="shared" ca="1" si="54"/>
        <v>-34436.370476367403</v>
      </c>
      <c r="C651" s="1">
        <f t="shared" ca="1" si="55"/>
        <v>-125143.73997164583</v>
      </c>
      <c r="D651" s="1">
        <f t="shared" ca="1" si="56"/>
        <v>-56274.185907588406</v>
      </c>
      <c r="E651" s="37">
        <f t="shared" ca="1" si="57"/>
        <v>137745.64658457984</v>
      </c>
    </row>
    <row r="652" spans="1:5" x14ac:dyDescent="0.25">
      <c r="A652" s="34">
        <f t="shared" si="46"/>
        <v>64.000000000000639</v>
      </c>
      <c r="B652" s="35">
        <f t="shared" ca="1" si="54"/>
        <v>-45214.66220229007</v>
      </c>
      <c r="C652" s="1">
        <f t="shared" ca="1" si="55"/>
        <v>-145301.69920618189</v>
      </c>
      <c r="D652" s="1">
        <f t="shared" ca="1" si="56"/>
        <v>-54874.62205705564</v>
      </c>
      <c r="E652" s="37">
        <f t="shared" ca="1" si="57"/>
        <v>180858.99406891028</v>
      </c>
    </row>
    <row r="653" spans="1:5" x14ac:dyDescent="0.25">
      <c r="A653" s="34">
        <f t="shared" si="46"/>
        <v>64.100000000000634</v>
      </c>
      <c r="B653" s="35">
        <f t="shared" ca="1" si="54"/>
        <v>-58310.464441383541</v>
      </c>
      <c r="C653" s="1">
        <f t="shared" ca="1" si="55"/>
        <v>-167544.23106782508</v>
      </c>
      <c r="D653" s="1">
        <f t="shared" ca="1" si="56"/>
        <v>-50924.514030135673</v>
      </c>
      <c r="E653" s="37">
        <f t="shared" ca="1" si="57"/>
        <v>233242.37155703688</v>
      </c>
    </row>
    <row r="654" spans="1:5" x14ac:dyDescent="0.25">
      <c r="A654" s="34">
        <f t="shared" ref="A654:A717" si="58">A653+$A$9</f>
        <v>64.200000000000628</v>
      </c>
      <c r="B654" s="35">
        <f t="shared" ca="1" si="54"/>
        <v>-74097.102119526564</v>
      </c>
      <c r="C654" s="1">
        <f t="shared" ca="1" si="55"/>
        <v>-191819.53781372364</v>
      </c>
      <c r="D654" s="1">
        <f t="shared" ca="1" si="56"/>
        <v>-43625.451930431118</v>
      </c>
      <c r="E654" s="37">
        <f t="shared" ca="1" si="57"/>
        <v>296389.07287104748</v>
      </c>
    </row>
    <row r="655" spans="1:5" x14ac:dyDescent="0.25">
      <c r="A655" s="34">
        <f t="shared" si="58"/>
        <v>64.300000000000622</v>
      </c>
      <c r="B655" s="35">
        <f t="shared" ca="1" si="54"/>
        <v>-92986.501351216924</v>
      </c>
      <c r="C655" s="1">
        <f t="shared" ca="1" si="55"/>
        <v>-217981.34318543051</v>
      </c>
      <c r="D655" s="1">
        <f t="shared" ca="1" si="56"/>
        <v>-32007.347620824083</v>
      </c>
      <c r="E655" s="37">
        <f t="shared" ca="1" si="57"/>
        <v>371946.79721323884</v>
      </c>
    </row>
    <row r="656" spans="1:5" x14ac:dyDescent="0.25">
      <c r="A656" s="34">
        <f t="shared" si="58"/>
        <v>64.400000000000617</v>
      </c>
      <c r="B656" s="35">
        <f t="shared" ca="1" si="54"/>
        <v>-115428.22916200021</v>
      </c>
      <c r="C656" s="1">
        <f t="shared" ca="1" si="55"/>
        <v>-245759.32059396608</v>
      </c>
      <c r="D656" s="1">
        <f t="shared" ca="1" si="56"/>
        <v>-14900.781968813484</v>
      </c>
      <c r="E656" s="37">
        <f t="shared" ca="1" si="57"/>
        <v>461713.80823924509</v>
      </c>
    </row>
    <row r="657" spans="1:5" x14ac:dyDescent="0.25">
      <c r="A657" s="34">
        <f t="shared" si="58"/>
        <v>64.500000000000611</v>
      </c>
      <c r="B657" s="35">
        <f t="shared" ca="1" si="54"/>
        <v>-141906.78371212291</v>
      </c>
      <c r="C657" s="1">
        <f t="shared" ca="1" si="55"/>
        <v>-274723.16340818064</v>
      </c>
      <c r="D657" s="1">
        <f t="shared" ca="1" si="56"/>
        <v>9093.5068690107473</v>
      </c>
      <c r="E657" s="37">
        <f t="shared" ca="1" si="57"/>
        <v>567628.09510782594</v>
      </c>
    </row>
    <row r="658" spans="1:5" x14ac:dyDescent="0.25">
      <c r="A658" s="34">
        <f t="shared" si="58"/>
        <v>64.600000000000605</v>
      </c>
      <c r="B658" s="35">
        <f t="shared" ca="1" si="54"/>
        <v>-172936.58743289064</v>
      </c>
      <c r="C658" s="1">
        <f t="shared" ca="1" si="55"/>
        <v>-304239.27319666161</v>
      </c>
      <c r="D658" s="1">
        <f t="shared" ca="1" si="56"/>
        <v>41637.923037472792</v>
      </c>
      <c r="E658" s="37">
        <f t="shared" ca="1" si="57"/>
        <v>691747.3451478224</v>
      </c>
    </row>
    <row r="659" spans="1:5" x14ac:dyDescent="0.25">
      <c r="A659" s="34">
        <f t="shared" si="58"/>
        <v>64.7000000000006</v>
      </c>
      <c r="B659" s="35">
        <f t="shared" ca="1" si="54"/>
        <v>-209054.01774343921</v>
      </c>
      <c r="C659" s="1">
        <f t="shared" ca="1" si="55"/>
        <v>-333418.935864</v>
      </c>
      <c r="D659" s="1">
        <f t="shared" ca="1" si="56"/>
        <v>84693.899783511151</v>
      </c>
      <c r="E659" s="37">
        <f t="shared" ca="1" si="57"/>
        <v>836217.06680887006</v>
      </c>
    </row>
    <row r="660" spans="1:5" x14ac:dyDescent="0.25">
      <c r="A660" s="34">
        <f t="shared" si="58"/>
        <v>64.800000000000594</v>
      </c>
      <c r="B660" s="35">
        <f t="shared" ca="1" si="54"/>
        <v>-250805.67330480521</v>
      </c>
      <c r="C660" s="1">
        <f t="shared" ca="1" si="55"/>
        <v>-361056.75234520261</v>
      </c>
      <c r="D660" s="1">
        <f t="shared" ca="1" si="56"/>
        <v>140560.00265916111</v>
      </c>
      <c r="E660" s="37">
        <f t="shared" ca="1" si="57"/>
        <v>1003223.6547204981</v>
      </c>
    </row>
    <row r="661" spans="1:5" x14ac:dyDescent="0.25">
      <c r="A661" s="34">
        <f t="shared" si="58"/>
        <v>64.900000000000588</v>
      </c>
      <c r="B661" s="35">
        <f t="shared" ca="1" si="54"/>
        <v>-298731.91612925386</v>
      </c>
      <c r="C661" s="1">
        <f t="shared" ca="1" si="55"/>
        <v>-385557.9946774838</v>
      </c>
      <c r="D661" s="1">
        <f t="shared" ca="1" si="56"/>
        <v>211911.65888932178</v>
      </c>
      <c r="E661" s="37">
        <f t="shared" ca="1" si="57"/>
        <v>1194928.5581299509</v>
      </c>
    </row>
    <row r="662" spans="1:5" x14ac:dyDescent="0.25">
      <c r="A662" s="34">
        <f t="shared" si="58"/>
        <v>65.000000000000583</v>
      </c>
      <c r="B662" s="35">
        <f t="shared" ref="B662:B725" ca="1" si="59">IF($B$7="n",$B$12,$A$9/2*(C662+C661)+B661)</f>
        <v>-353344.54938351887</v>
      </c>
      <c r="C662" s="1">
        <f t="shared" ref="C662:C725" ca="1" si="60">D662</f>
        <v>-404853.47615904128</v>
      </c>
      <c r="D662" s="1">
        <f t="shared" ref="D662:D725" ca="1" si="61">IF($B$7="n",$D$12,$A$9/2*(E662+E661)+D661)</f>
        <v>301841.64382366935</v>
      </c>
      <c r="E662" s="37">
        <f t="shared" ref="E662:E725" ca="1" si="62" xml:space="preserve"> -R_x/L_x*D662-1/(L_x*C_x)*B662+E0_x*SIN(w_x*A662)/L_x</f>
        <v>1413378.9920733331</v>
      </c>
    </row>
    <row r="663" spans="1:5" x14ac:dyDescent="0.25">
      <c r="A663" s="34">
        <f t="shared" si="58"/>
        <v>65.100000000000577</v>
      </c>
      <c r="B663" s="35">
        <f t="shared" ca="1" si="59"/>
        <v>-415097.28563033487</v>
      </c>
      <c r="C663" s="1">
        <f t="shared" ca="1" si="60"/>
        <v>-416300.46405754291</v>
      </c>
      <c r="D663" s="1">
        <f t="shared" ca="1" si="61"/>
        <v>413900.10545816057</v>
      </c>
      <c r="E663" s="37">
        <f t="shared" ca="1" si="62"/>
        <v>1660389.8102590598</v>
      </c>
    </row>
    <row r="664" spans="1:5" x14ac:dyDescent="0.25">
      <c r="A664" s="34">
        <f t="shared" si="58"/>
        <v>65.200000000000571</v>
      </c>
      <c r="B664" s="35">
        <f t="shared" ca="1" si="59"/>
        <v>-484347.42902318027</v>
      </c>
      <c r="C664" s="1">
        <f t="shared" ca="1" si="60"/>
        <v>-416568.13527518284</v>
      </c>
      <c r="D664" s="1">
        <f t="shared" ca="1" si="61"/>
        <v>552132.4736178983</v>
      </c>
      <c r="E664" s="37">
        <f t="shared" ca="1" si="62"/>
        <v>1937390.2337261692</v>
      </c>
    </row>
    <row r="665" spans="1:5" x14ac:dyDescent="0.25">
      <c r="A665" s="34">
        <f t="shared" si="58"/>
        <v>65.300000000000566</v>
      </c>
      <c r="B665" s="35">
        <f t="shared" ca="1" si="59"/>
        <v>-561306.93648914795</v>
      </c>
      <c r="C665" s="1">
        <f t="shared" ca="1" si="60"/>
        <v>-401506.09247345588</v>
      </c>
      <c r="D665" s="1">
        <f t="shared" ca="1" si="61"/>
        <v>721113.06634752185</v>
      </c>
      <c r="E665" s="37">
        <f t="shared" ca="1" si="62"/>
        <v>2245228.0954213771</v>
      </c>
    </row>
    <row r="666" spans="1:5" x14ac:dyDescent="0.25">
      <c r="A666" s="34">
        <f t="shared" si="58"/>
        <v>65.40000000000056</v>
      </c>
      <c r="B666" s="35">
        <f t="shared" ca="1" si="59"/>
        <v>-645980.73668510793</v>
      </c>
      <c r="C666" s="1">
        <f t="shared" ca="1" si="60"/>
        <v>-365994.53649840562</v>
      </c>
      <c r="D666" s="1">
        <f t="shared" ca="1" si="61"/>
        <v>925971.55522974534</v>
      </c>
      <c r="E666" s="37">
        <f t="shared" ca="1" si="62"/>
        <v>2583923.1158409198</v>
      </c>
    </row>
    <row r="667" spans="1:5" x14ac:dyDescent="0.25">
      <c r="A667" s="34">
        <f t="shared" si="58"/>
        <v>65.500000000000554</v>
      </c>
      <c r="B667" s="35">
        <f t="shared" ca="1" si="59"/>
        <v>-738089.8718097388</v>
      </c>
      <c r="C667" s="1">
        <f t="shared" ca="1" si="60"/>
        <v>-303774.85030585103</v>
      </c>
      <c r="D667" s="1">
        <f t="shared" ca="1" si="61"/>
        <v>1172408.6646007788</v>
      </c>
      <c r="E667" s="37">
        <f t="shared" ca="1" si="62"/>
        <v>2952359.4700738713</v>
      </c>
    </row>
    <row r="668" spans="1:5" x14ac:dyDescent="0.25">
      <c r="A668" s="34">
        <f t="shared" si="58"/>
        <v>65.600000000000549</v>
      </c>
      <c r="B668" s="35">
        <f t="shared" ca="1" si="59"/>
        <v>-836976.68764956784</v>
      </c>
      <c r="C668" s="1">
        <f t="shared" ca="1" si="60"/>
        <v>-207259.61407082999</v>
      </c>
      <c r="D668" s="1">
        <f t="shared" ca="1" si="61"/>
        <v>1466696.5357498</v>
      </c>
      <c r="E668" s="37">
        <f t="shared" ca="1" si="62"/>
        <v>3347906.5477666431</v>
      </c>
    </row>
    <row r="669" spans="1:5" x14ac:dyDescent="0.25">
      <c r="A669" s="34">
        <f t="shared" si="58"/>
        <v>65.700000000000543</v>
      </c>
      <c r="B669" s="35">
        <f t="shared" ca="1" si="59"/>
        <v>-941488.93448221858</v>
      </c>
      <c r="C669" s="1">
        <f t="shared" ca="1" si="60"/>
        <v>-67321.469915196969</v>
      </c>
      <c r="D669" s="1">
        <f t="shared" ca="1" si="61"/>
        <v>1815658.0629416401</v>
      </c>
      <c r="E669" s="37">
        <f t="shared" ca="1" si="62"/>
        <v>3765955.3565091272</v>
      </c>
    </row>
    <row r="670" spans="1:5" x14ac:dyDescent="0.25">
      <c r="A670" s="34">
        <f t="shared" si="58"/>
        <v>65.800000000000537</v>
      </c>
      <c r="B670" s="35">
        <f t="shared" ca="1" si="59"/>
        <v>-1049839.2605526852</v>
      </c>
      <c r="C670" s="1">
        <f t="shared" ca="1" si="60"/>
        <v>126939.17733959996</v>
      </c>
      <c r="D670" s="1">
        <f t="shared" ca="1" si="61"/>
        <v>2226618.1783246743</v>
      </c>
      <c r="E670" s="37">
        <f t="shared" ca="1" si="62"/>
        <v>4199356.4955136748</v>
      </c>
    </row>
    <row r="671" spans="1:5" x14ac:dyDescent="0.25">
      <c r="A671" s="34">
        <f t="shared" si="58"/>
        <v>65.900000000000531</v>
      </c>
      <c r="B671" s="35">
        <f t="shared" ca="1" si="59"/>
        <v>-1159436.1881630328</v>
      </c>
      <c r="C671" s="1">
        <f t="shared" ca="1" si="60"/>
        <v>388446.8581525695</v>
      </c>
      <c r="D671" s="1">
        <f t="shared" ca="1" si="61"/>
        <v>2707318.5006094496</v>
      </c>
      <c r="E671" s="37">
        <f t="shared" ca="1" si="62"/>
        <v>4637744.0597563991</v>
      </c>
    </row>
    <row r="672" spans="1:5" x14ac:dyDescent="0.25">
      <c r="A672" s="34">
        <f t="shared" si="58"/>
        <v>66.000000000000526</v>
      </c>
      <c r="B672" s="35">
        <f t="shared" ca="1" si="59"/>
        <v>-1266682.2704905672</v>
      </c>
      <c r="C672" s="1">
        <f t="shared" ca="1" si="60"/>
        <v>732422.33078669081</v>
      </c>
      <c r="D672" s="1">
        <f t="shared" ca="1" si="61"/>
        <v>3265784.9396131472</v>
      </c>
      <c r="E672" s="37">
        <f t="shared" ca="1" si="62"/>
        <v>5066728.2670485722</v>
      </c>
    </row>
    <row r="673" spans="1:5" x14ac:dyDescent="0.25">
      <c r="A673" s="34">
        <f t="shared" si="58"/>
        <v>66.10000000000052</v>
      </c>
      <c r="B673" s="35">
        <f t="shared" ca="1" si="59"/>
        <v>-1366734.7494971068</v>
      </c>
      <c r="C673" s="1">
        <f t="shared" ca="1" si="60"/>
        <v>1176669.3072689874</v>
      </c>
      <c r="D673" s="1">
        <f t="shared" ca="1" si="61"/>
        <v>3910135.7363482672</v>
      </c>
      <c r="E673" s="37">
        <f t="shared" ca="1" si="62"/>
        <v>5466938.0894956524</v>
      </c>
    </row>
    <row r="674" spans="1:5" x14ac:dyDescent="0.25">
      <c r="A674" s="34">
        <f t="shared" si="58"/>
        <v>66.200000000000514</v>
      </c>
      <c r="B674" s="35">
        <f t="shared" ca="1" si="59"/>
        <v>-1453223.6909522298</v>
      </c>
      <c r="C674" s="1">
        <f t="shared" ca="1" si="60"/>
        <v>1741871.7092825456</v>
      </c>
      <c r="D674" s="1">
        <f t="shared" ca="1" si="61"/>
        <v>4648314.9872601004</v>
      </c>
      <c r="E674" s="37">
        <f t="shared" ca="1" si="62"/>
        <v>5812893.7934416793</v>
      </c>
    </row>
    <row r="675" spans="1:5" x14ac:dyDescent="0.25">
      <c r="A675" s="34">
        <f t="shared" si="58"/>
        <v>66.300000000000509</v>
      </c>
      <c r="B675" s="35">
        <f t="shared" ca="1" si="59"/>
        <v>-1517922.2867942562</v>
      </c>
      <c r="C675" s="1">
        <f t="shared" ca="1" si="60"/>
        <v>2451894.3443711456</v>
      </c>
      <c r="D675" s="1">
        <f t="shared" ca="1" si="61"/>
        <v>5487733.9235056248</v>
      </c>
      <c r="E675" s="37">
        <f t="shared" ca="1" si="62"/>
        <v>6071688.1487992313</v>
      </c>
    </row>
    <row r="676" spans="1:5" x14ac:dyDescent="0.25">
      <c r="A676" s="34">
        <f t="shared" si="58"/>
        <v>66.400000000000503</v>
      </c>
      <c r="B676" s="35">
        <f t="shared" ca="1" si="59"/>
        <v>-1550363.8200606711</v>
      </c>
      <c r="C676" s="1">
        <f t="shared" ca="1" si="60"/>
        <v>3334077.1329665938</v>
      </c>
      <c r="D676" s="1">
        <f t="shared" ca="1" si="61"/>
        <v>6434799.0663103461</v>
      </c>
      <c r="E676" s="37">
        <f t="shared" ca="1" si="62"/>
        <v>6201454.2886957601</v>
      </c>
    </row>
    <row r="677" spans="1:5" x14ac:dyDescent="0.25">
      <c r="A677" s="34">
        <f t="shared" si="58"/>
        <v>66.500000000000497</v>
      </c>
      <c r="B677" s="35">
        <f t="shared" ca="1" si="59"/>
        <v>-1537399.7242884627</v>
      </c>
      <c r="C677" s="1">
        <f t="shared" ca="1" si="60"/>
        <v>4419509.6002450883</v>
      </c>
      <c r="D677" s="1">
        <f t="shared" ca="1" si="61"/>
        <v>7494302.8362695286</v>
      </c>
      <c r="E677" s="37">
        <f t="shared" ca="1" si="62"/>
        <v>6149597.9470408363</v>
      </c>
    </row>
    <row r="678" spans="1:5" x14ac:dyDescent="0.25">
      <c r="A678" s="34">
        <f t="shared" si="58"/>
        <v>66.600000000000492</v>
      </c>
      <c r="B678" s="35">
        <f t="shared" ca="1" si="59"/>
        <v>-1462693.2887228362</v>
      </c>
      <c r="C678" s="1">
        <f t="shared" ca="1" si="60"/>
        <v>5743268.1570216063</v>
      </c>
      <c r="D678" s="1">
        <f t="shared" ca="1" si="61"/>
        <v>8668648.2435327545</v>
      </c>
      <c r="E678" s="37">
        <f t="shared" ca="1" si="62"/>
        <v>5850772.2793693179</v>
      </c>
    </row>
    <row r="679" spans="1:5" x14ac:dyDescent="0.25">
      <c r="A679" s="34">
        <f t="shared" si="58"/>
        <v>66.700000000000486</v>
      </c>
      <c r="B679" s="35">
        <f t="shared" ca="1" si="59"/>
        <v>-1306143.92614825</v>
      </c>
      <c r="C679" s="1">
        <f t="shared" ca="1" si="60"/>
        <v>7344593.5995727275</v>
      </c>
      <c r="D679" s="1">
        <f t="shared" ca="1" si="61"/>
        <v>9956874.9224349298</v>
      </c>
      <c r="E679" s="37">
        <f t="shared" ca="1" si="62"/>
        <v>5224574.9342159592</v>
      </c>
    </row>
    <row r="680" spans="1:5" x14ac:dyDescent="0.25">
      <c r="A680" s="34">
        <f t="shared" si="58"/>
        <v>66.80000000000048</v>
      </c>
      <c r="B680" s="35">
        <f t="shared" ca="1" si="59"/>
        <v>-1043237.6092571837</v>
      </c>
      <c r="C680" s="1">
        <f t="shared" ca="1" si="60"/>
        <v>9266980.1131086089</v>
      </c>
      <c r="D680" s="1">
        <f t="shared" ca="1" si="61"/>
        <v>11353449.00716006</v>
      </c>
      <c r="E680" s="37">
        <f t="shared" ca="1" si="62"/>
        <v>4172949.7986813262</v>
      </c>
    </row>
    <row r="681" spans="1:5" x14ac:dyDescent="0.25">
      <c r="A681" s="34">
        <f t="shared" si="58"/>
        <v>66.900000000000475</v>
      </c>
      <c r="B681" s="35">
        <f t="shared" ca="1" si="59"/>
        <v>-644320.18853835692</v>
      </c>
      <c r="C681" s="1">
        <f t="shared" ca="1" si="60"/>
        <v>11558139.705988228</v>
      </c>
      <c r="D681" s="1">
        <f t="shared" ca="1" si="61"/>
        <v>12846774.201518787</v>
      </c>
      <c r="E681" s="37">
        <f t="shared" ca="1" si="62"/>
        <v>2577280.2701127217</v>
      </c>
    </row>
    <row r="682" spans="1:5" x14ac:dyDescent="0.25">
      <c r="A682" s="34">
        <f t="shared" si="58"/>
        <v>67.000000000000469</v>
      </c>
      <c r="B682" s="35">
        <f t="shared" ca="1" si="59"/>
        <v>-73791.94349635148</v>
      </c>
      <c r="C682" s="1">
        <f t="shared" ca="1" si="60"/>
        <v>14269797.255134344</v>
      </c>
      <c r="D682" s="1">
        <f t="shared" ca="1" si="61"/>
        <v>14417375.926930979</v>
      </c>
      <c r="E682" s="37">
        <f t="shared" ca="1" si="62"/>
        <v>295167.46114347217</v>
      </c>
    </row>
    <row r="683" spans="1:5" x14ac:dyDescent="0.25">
      <c r="A683" s="34">
        <f t="shared" si="58"/>
        <v>67.100000000000463</v>
      </c>
      <c r="B683" s="35">
        <f t="shared" ca="1" si="59"/>
        <v>710775.97413924732</v>
      </c>
      <c r="C683" s="1">
        <f t="shared" ca="1" si="60"/>
        <v>17457261.016956016</v>
      </c>
      <c r="D683" s="1">
        <f t="shared" ca="1" si="61"/>
        <v>16035704.720235575</v>
      </c>
      <c r="E683" s="37">
        <f t="shared" ca="1" si="62"/>
        <v>-2843104.0272825817</v>
      </c>
    </row>
    <row r="684" spans="1:5" x14ac:dyDescent="0.25">
      <c r="A684" s="34">
        <f t="shared" si="58"/>
        <v>67.200000000000458</v>
      </c>
      <c r="B684" s="35">
        <f t="shared" ca="1" si="59"/>
        <v>1759599.4097205396</v>
      </c>
      <c r="C684" s="1">
        <f t="shared" ca="1" si="60"/>
        <v>21178701.349872164</v>
      </c>
      <c r="D684" s="1">
        <f t="shared" ca="1" si="61"/>
        <v>17659499.218395546</v>
      </c>
      <c r="E684" s="37">
        <f t="shared" ca="1" si="62"/>
        <v>-7038397.582929343</v>
      </c>
    </row>
    <row r="685" spans="1:5" x14ac:dyDescent="0.25">
      <c r="A685" s="34">
        <f t="shared" si="58"/>
        <v>67.300000000000452</v>
      </c>
      <c r="B685" s="35">
        <f t="shared" ca="1" si="59"/>
        <v>3131705.4339575516</v>
      </c>
      <c r="C685" s="1">
        <f t="shared" ca="1" si="60"/>
        <v>25494056.292676479</v>
      </c>
      <c r="D685" s="1">
        <f t="shared" ca="1" si="61"/>
        <v>19230643.281403456</v>
      </c>
      <c r="E685" s="37">
        <f t="shared" ca="1" si="62"/>
        <v>-12526821.495151626</v>
      </c>
    </row>
    <row r="686" spans="1:5" x14ac:dyDescent="0.25">
      <c r="A686" s="34">
        <f t="shared" si="58"/>
        <v>67.400000000000446</v>
      </c>
      <c r="B686" s="35">
        <f t="shared" ca="1" si="59"/>
        <v>4896009.5731250811</v>
      </c>
      <c r="C686" s="1">
        <f t="shared" ca="1" si="60"/>
        <v>30463466.331397347</v>
      </c>
      <c r="D686" s="1">
        <f t="shared" ca="1" si="61"/>
        <v>20671446.30008027</v>
      </c>
      <c r="E686" s="37">
        <f t="shared" ca="1" si="62"/>
        <v>-19584037.875495192</v>
      </c>
    </row>
    <row r="687" spans="1:5" x14ac:dyDescent="0.25">
      <c r="A687" s="34">
        <f t="shared" si="58"/>
        <v>67.500000000000441</v>
      </c>
      <c r="B687" s="35">
        <f t="shared" ca="1" si="59"/>
        <v>7132425.7740822062</v>
      </c>
      <c r="C687" s="1">
        <f t="shared" ca="1" si="60"/>
        <v>36145121.951698475</v>
      </c>
      <c r="D687" s="1">
        <f t="shared" ca="1" si="61"/>
        <v>21880270.819999821</v>
      </c>
      <c r="E687" s="37">
        <f t="shared" ca="1" si="62"/>
        <v>-28529702.517549794</v>
      </c>
    </row>
    <row r="688" spans="1:5" x14ac:dyDescent="0.25">
      <c r="A688" s="34">
        <f t="shared" si="58"/>
        <v>67.600000000000435</v>
      </c>
      <c r="B688" s="35">
        <f t="shared" ca="1" si="59"/>
        <v>9932980.1182548497</v>
      </c>
      <c r="C688" s="1">
        <f t="shared" ca="1" si="60"/>
        <v>42592386.210361496</v>
      </c>
      <c r="D688" s="1">
        <f t="shared" ca="1" si="61"/>
        <v>22726427.686722022</v>
      </c>
      <c r="E688" s="37">
        <f t="shared" ca="1" si="62"/>
        <v>-39731919.752664723</v>
      </c>
    </row>
    <row r="689" spans="1:5" x14ac:dyDescent="0.25">
      <c r="A689" s="34">
        <f t="shared" si="58"/>
        <v>67.700000000000429</v>
      </c>
      <c r="B689" s="35">
        <f t="shared" ca="1" si="59"/>
        <v>13402888.424391842</v>
      </c>
      <c r="C689" s="1">
        <f t="shared" ca="1" si="60"/>
        <v>49850030.385936379</v>
      </c>
      <c r="D689" s="1">
        <f t="shared" ca="1" si="61"/>
        <v>23044256.492735971</v>
      </c>
      <c r="E689" s="37">
        <f t="shared" ca="1" si="62"/>
        <v>-53611552.860776015</v>
      </c>
    </row>
    <row r="690" spans="1:5" x14ac:dyDescent="0.25">
      <c r="A690" s="34">
        <f t="shared" si="58"/>
        <v>67.800000000000423</v>
      </c>
      <c r="B690" s="35">
        <f t="shared" ca="1" si="59"/>
        <v>17661544.45433604</v>
      </c>
      <c r="C690" s="1">
        <f t="shared" ca="1" si="60"/>
        <v>57949393.639828756</v>
      </c>
      <c r="D690" s="1">
        <f t="shared" ca="1" si="61"/>
        <v>22626308.828831337</v>
      </c>
      <c r="E690" s="37">
        <f t="shared" ca="1" si="62"/>
        <v>-70646176.893318504</v>
      </c>
    </row>
    <row r="691" spans="1:5" x14ac:dyDescent="0.25">
      <c r="A691" s="34">
        <f t="shared" si="58"/>
        <v>67.900000000000418</v>
      </c>
      <c r="B691" s="35">
        <f t="shared" ca="1" si="59"/>
        <v>22843349.011597745</v>
      </c>
      <c r="C691" s="1">
        <f t="shared" ca="1" si="60"/>
        <v>66902247.445107795</v>
      </c>
      <c r="D691" s="1">
        <f t="shared" ca="1" si="61"/>
        <v>21215554.517538283</v>
      </c>
      <c r="E691" s="37">
        <f t="shared" ca="1" si="62"/>
        <v>-91373395.067377701</v>
      </c>
    </row>
    <row r="692" spans="1:5" x14ac:dyDescent="0.25">
      <c r="A692" s="34">
        <f t="shared" si="58"/>
        <v>68.000000000000412</v>
      </c>
      <c r="B692" s="35">
        <f t="shared" ca="1" si="59"/>
        <v>29098290.296791971</v>
      </c>
      <c r="C692" s="1">
        <f t="shared" ca="1" si="60"/>
        <v>76693112.31087859</v>
      </c>
      <c r="D692" s="1">
        <f t="shared" ca="1" si="61"/>
        <v>18496537.628289051</v>
      </c>
      <c r="E692" s="37">
        <f t="shared" ca="1" si="62"/>
        <v>-116393160.18733262</v>
      </c>
    </row>
    <row r="693" spans="1:5" x14ac:dyDescent="0.25">
      <c r="A693" s="34">
        <f t="shared" si="58"/>
        <v>68.100000000000406</v>
      </c>
      <c r="B693" s="35">
        <f t="shared" ca="1" si="59"/>
        <v>36592161.898226507</v>
      </c>
      <c r="C693" s="1">
        <f t="shared" ca="1" si="60"/>
        <v>87269738.144239128</v>
      </c>
      <c r="D693" s="1">
        <f t="shared" ca="1" si="61"/>
        <v>14085420.859683622</v>
      </c>
      <c r="E693" s="37">
        <f t="shared" ca="1" si="62"/>
        <v>-146368646.60714105</v>
      </c>
    </row>
    <row r="694" spans="1:5" x14ac:dyDescent="0.25">
      <c r="A694" s="34">
        <f t="shared" si="58"/>
        <v>68.200000000000401</v>
      </c>
      <c r="B694" s="35">
        <f t="shared" ca="1" si="59"/>
        <v>45506276.13474378</v>
      </c>
      <c r="C694" s="1">
        <f t="shared" ca="1" si="60"/>
        <v>98531420.694892734</v>
      </c>
      <c r="D694" s="1">
        <f t="shared" ca="1" si="61"/>
        <v>7518875.2996668667</v>
      </c>
      <c r="E694" s="37">
        <f t="shared" ca="1" si="62"/>
        <v>-182025103.60168171</v>
      </c>
    </row>
    <row r="695" spans="1:5" x14ac:dyDescent="0.25">
      <c r="A695" s="34">
        <f t="shared" si="58"/>
        <v>68.300000000000395</v>
      </c>
      <c r="B695" s="35">
        <f t="shared" ca="1" si="59"/>
        <v>56036496.461218044</v>
      </c>
      <c r="C695" s="1">
        <f t="shared" ca="1" si="60"/>
        <v>110314785.35592014</v>
      </c>
      <c r="D695" s="1">
        <f t="shared" ca="1" si="61"/>
        <v>-1758200.5837307479</v>
      </c>
      <c r="E695" s="37">
        <f t="shared" ca="1" si="62"/>
        <v>-224145984.98876002</v>
      </c>
    </row>
    <row r="696" spans="1:5" x14ac:dyDescent="0.25">
      <c r="A696" s="34">
        <f t="shared" si="58"/>
        <v>68.400000000000389</v>
      </c>
      <c r="B696" s="35">
        <f t="shared" ca="1" si="59"/>
        <v>68391372.574576229</v>
      </c>
      <c r="C696" s="1">
        <f t="shared" ca="1" si="60"/>
        <v>122376626.83045265</v>
      </c>
      <c r="D696" s="1">
        <f t="shared" ca="1" si="61"/>
        <v>-14406111.487122459</v>
      </c>
      <c r="E696" s="37">
        <f t="shared" ca="1" si="62"/>
        <v>-273565489.55325067</v>
      </c>
    </row>
    <row r="697" spans="1:5" x14ac:dyDescent="0.25">
      <c r="A697" s="34">
        <f t="shared" si="58"/>
        <v>68.500000000000384</v>
      </c>
      <c r="B697" s="35">
        <f t="shared" ca="1" si="59"/>
        <v>82789114.957409054</v>
      </c>
      <c r="C697" s="1">
        <f t="shared" ca="1" si="60"/>
        <v>134373349.81217209</v>
      </c>
      <c r="D697" s="1">
        <f t="shared" ca="1" si="61"/>
        <v>-31204873.678198598</v>
      </c>
      <c r="E697" s="37">
        <f t="shared" ca="1" si="62"/>
        <v>-331156459.22164077</v>
      </c>
    </row>
    <row r="698" spans="1:5" x14ac:dyDescent="0.25">
      <c r="A698" s="34">
        <f t="shared" si="58"/>
        <v>68.600000000000378</v>
      </c>
      <c r="B698" s="35">
        <f t="shared" ca="1" si="59"/>
        <v>99453091.075246647</v>
      </c>
      <c r="C698" s="1">
        <f t="shared" ca="1" si="60"/>
        <v>145836513.25218529</v>
      </c>
      <c r="D698" s="1">
        <f t="shared" ca="1" si="61"/>
        <v>-53069663.12347807</v>
      </c>
      <c r="E698" s="37">
        <f t="shared" ca="1" si="62"/>
        <v>-397812363.85126781</v>
      </c>
    </row>
    <row r="699" spans="1:5" x14ac:dyDescent="0.25">
      <c r="A699" s="34">
        <f t="shared" si="58"/>
        <v>68.700000000000372</v>
      </c>
      <c r="B699" s="35">
        <f t="shared" ca="1" si="59"/>
        <v>118605462.49939334</v>
      </c>
      <c r="C699" s="1">
        <f t="shared" ca="1" si="60"/>
        <v>156143940.86402303</v>
      </c>
      <c r="D699" s="1">
        <f t="shared" ca="1" si="61"/>
        <v>-81066979.229417294</v>
      </c>
      <c r="E699" s="37">
        <f t="shared" ca="1" si="62"/>
        <v>-474421849.7218256</v>
      </c>
    </row>
    <row r="700" spans="1:5" x14ac:dyDescent="0.25">
      <c r="A700" s="34">
        <f t="shared" si="58"/>
        <v>68.800000000000367</v>
      </c>
      <c r="B700" s="35">
        <f t="shared" ca="1" si="59"/>
        <v>140458510.07141593</v>
      </c>
      <c r="C700" s="1">
        <f t="shared" ca="1" si="60"/>
        <v>164485825.71401986</v>
      </c>
      <c r="D700" s="1">
        <f t="shared" ca="1" si="61"/>
        <v>-116431190.58179426</v>
      </c>
      <c r="E700" s="37">
        <f t="shared" ca="1" si="62"/>
        <v>-561834040.19350994</v>
      </c>
    </row>
    <row r="701" spans="1:5" x14ac:dyDescent="0.25">
      <c r="A701" s="34">
        <f t="shared" si="58"/>
        <v>68.900000000000361</v>
      </c>
      <c r="B701" s="35">
        <f t="shared" ca="1" si="59"/>
        <v>165203112.11868417</v>
      </c>
      <c r="C701" s="1">
        <f t="shared" ca="1" si="60"/>
        <v>169825230.24012834</v>
      </c>
      <c r="D701" s="1">
        <f t="shared" ca="1" si="61"/>
        <v>-160580991.35908473</v>
      </c>
      <c r="E701" s="37">
        <f t="shared" ca="1" si="62"/>
        <v>-660812448.56939292</v>
      </c>
    </row>
    <row r="702" spans="1:5" x14ac:dyDescent="0.25">
      <c r="A702" s="34">
        <f t="shared" si="58"/>
        <v>69.000000000000355</v>
      </c>
      <c r="B702" s="35">
        <f t="shared" ca="1" si="59"/>
        <v>192993748.02824408</v>
      </c>
      <c r="C702" s="1">
        <f t="shared" ca="1" si="60"/>
        <v>170852368.89412686</v>
      </c>
      <c r="D702" s="1">
        <f t="shared" ca="1" si="61"/>
        <v>-215135125.83939251</v>
      </c>
      <c r="E702" s="37">
        <f t="shared" ca="1" si="62"/>
        <v>-771974992.39113927</v>
      </c>
    </row>
    <row r="703" spans="1:5" x14ac:dyDescent="0.25">
      <c r="A703" s="34">
        <f t="shared" si="58"/>
        <v>69.10000000000035</v>
      </c>
      <c r="B703" s="35">
        <f t="shared" ca="1" si="59"/>
        <v>223929295.69794458</v>
      </c>
      <c r="C703" s="1">
        <f t="shared" ca="1" si="60"/>
        <v>165932063.91053653</v>
      </c>
      <c r="D703" s="1">
        <f t="shared" ca="1" si="61"/>
        <v>-281926527.53540885</v>
      </c>
      <c r="E703" s="37">
        <f t="shared" ca="1" si="62"/>
        <v>-895717183.24374068</v>
      </c>
    </row>
    <row r="704" spans="1:5" x14ac:dyDescent="0.25">
      <c r="A704" s="34">
        <f t="shared" si="58"/>
        <v>69.200000000000344</v>
      </c>
      <c r="B704" s="35">
        <f t="shared" ca="1" si="59"/>
        <v>258028776.24713448</v>
      </c>
      <c r="C704" s="1">
        <f t="shared" ca="1" si="60"/>
        <v>153043791.8131896</v>
      </c>
      <c r="D704" s="1">
        <f t="shared" ca="1" si="61"/>
        <v>-363013762.11103237</v>
      </c>
      <c r="E704" s="37">
        <f t="shared" ca="1" si="62"/>
        <v>-1032115105.598527</v>
      </c>
    </row>
    <row r="705" spans="1:5" x14ac:dyDescent="0.25">
      <c r="A705" s="34">
        <f t="shared" si="58"/>
        <v>69.300000000000338</v>
      </c>
      <c r="B705" s="35">
        <f t="shared" ca="1" si="59"/>
        <v>295201072.94566554</v>
      </c>
      <c r="C705" s="1">
        <f t="shared" ca="1" si="60"/>
        <v>129713796.98785058</v>
      </c>
      <c r="D705" s="1">
        <f t="shared" ca="1" si="61"/>
        <v>-460688351.66865361</v>
      </c>
      <c r="E705" s="37">
        <f t="shared" ca="1" si="62"/>
        <v>-1180804292.5293906</v>
      </c>
    </row>
    <row r="706" spans="1:5" x14ac:dyDescent="0.25">
      <c r="A706" s="34">
        <f t="shared" si="58"/>
        <v>69.400000000000333</v>
      </c>
      <c r="B706" s="35">
        <f t="shared" ca="1" si="59"/>
        <v>335207514.11137205</v>
      </c>
      <c r="C706" s="1">
        <f t="shared" ca="1" si="60"/>
        <v>92938848.509204835</v>
      </c>
      <c r="D706" s="1">
        <f t="shared" ca="1" si="61"/>
        <v>-577476183.71905875</v>
      </c>
      <c r="E706" s="37">
        <f t="shared" ca="1" si="62"/>
        <v>-1340830057.3028965</v>
      </c>
    </row>
    <row r="707" spans="1:5" x14ac:dyDescent="0.25">
      <c r="A707" s="34">
        <f t="shared" si="58"/>
        <v>69.500000000000327</v>
      </c>
      <c r="B707" s="35">
        <f t="shared" ca="1" si="59"/>
        <v>377616062.82000667</v>
      </c>
      <c r="C707" s="1">
        <f t="shared" ca="1" si="60"/>
        <v>39101368.952329628</v>
      </c>
      <c r="D707" s="1">
        <f t="shared" ca="1" si="61"/>
        <v>-716130761.79172468</v>
      </c>
      <c r="E707" s="37">
        <f t="shared" ca="1" si="62"/>
        <v>-1510464252.2181931</v>
      </c>
    </row>
    <row r="708" spans="1:5" x14ac:dyDescent="0.25">
      <c r="A708" s="34">
        <f t="shared" si="58"/>
        <v>69.600000000000321</v>
      </c>
      <c r="B708" s="35">
        <f t="shared" ca="1" si="59"/>
        <v>421745701.51705742</v>
      </c>
      <c r="C708" s="1">
        <f t="shared" ca="1" si="60"/>
        <v>-36124116.995435245</v>
      </c>
      <c r="D708" s="1">
        <f t="shared" ca="1" si="61"/>
        <v>-879615526.04836619</v>
      </c>
      <c r="E708" s="37">
        <f t="shared" ca="1" si="62"/>
        <v>-1686982807.054414</v>
      </c>
    </row>
    <row r="709" spans="1:5" x14ac:dyDescent="0.25">
      <c r="A709" s="34">
        <f t="shared" si="58"/>
        <v>69.700000000000315</v>
      </c>
      <c r="B709" s="35">
        <f t="shared" ca="1" si="59"/>
        <v>466599439.84279621</v>
      </c>
      <c r="C709" s="1">
        <f t="shared" ca="1" si="60"/>
        <v>-137872964.14486024</v>
      </c>
      <c r="D709" s="1">
        <f t="shared" ca="1" si="61"/>
        <v>-1071071850.5450103</v>
      </c>
      <c r="E709" s="37">
        <f t="shared" ca="1" si="62"/>
        <v>-1866397760.3709712</v>
      </c>
    </row>
    <row r="710" spans="1:5" x14ac:dyDescent="0.25">
      <c r="A710" s="34">
        <f t="shared" si="58"/>
        <v>69.80000000000031</v>
      </c>
      <c r="B710" s="35">
        <f t="shared" ca="1" si="59"/>
        <v>510784213.2374624</v>
      </c>
      <c r="C710" s="1">
        <f t="shared" ca="1" si="60"/>
        <v>-272200163.84541655</v>
      </c>
      <c r="D710" s="1">
        <f t="shared" ca="1" si="61"/>
        <v>-1293768597.4843187</v>
      </c>
      <c r="E710" s="37">
        <f t="shared" ca="1" si="62"/>
        <v>-2043136853.9283476</v>
      </c>
    </row>
    <row r="711" spans="1:5" x14ac:dyDescent="0.25">
      <c r="A711" s="34">
        <f t="shared" si="58"/>
        <v>69.900000000000304</v>
      </c>
      <c r="B711" s="35">
        <f t="shared" ca="1" si="59"/>
        <v>552415783.77824843</v>
      </c>
      <c r="C711" s="1">
        <f t="shared" ca="1" si="60"/>
        <v>-446196691.16958284</v>
      </c>
      <c r="D711" s="1">
        <f t="shared" ca="1" si="61"/>
        <v>-1551028266.0749378</v>
      </c>
      <c r="E711" s="37">
        <f t="shared" ca="1" si="62"/>
        <v>-2209663136.0360556</v>
      </c>
    </row>
    <row r="712" spans="1:5" x14ac:dyDescent="0.25">
      <c r="A712" s="34">
        <f t="shared" si="58"/>
        <v>70.000000000000298</v>
      </c>
      <c r="B712" s="35">
        <f t="shared" ca="1" si="59"/>
        <v>589006610.7102946</v>
      </c>
      <c r="C712" s="1">
        <f t="shared" ca="1" si="60"/>
        <v>-668110573.87995183</v>
      </c>
      <c r="D712" s="1">
        <f t="shared" ca="1" si="61"/>
        <v>-1846123802.5613298</v>
      </c>
      <c r="E712" s="37">
        <f t="shared" ca="1" si="62"/>
        <v>-2356026443.6765909</v>
      </c>
    </row>
    <row r="713" spans="1:5" x14ac:dyDescent="0.25">
      <c r="A713" s="34">
        <f t="shared" si="58"/>
        <v>70.100000000000293</v>
      </c>
      <c r="B713" s="35">
        <f t="shared" ca="1" si="59"/>
        <v>617334536.09419203</v>
      </c>
      <c r="C713" s="1">
        <f t="shared" ca="1" si="60"/>
        <v>-947469947.95182967</v>
      </c>
      <c r="D713" s="1">
        <f t="shared" ca="1" si="61"/>
        <v>-2182139027.0417495</v>
      </c>
      <c r="E713" s="37">
        <f t="shared" ca="1" si="62"/>
        <v>-2469338145.095377</v>
      </c>
    </row>
    <row r="714" spans="1:5" x14ac:dyDescent="0.25">
      <c r="A714" s="34">
        <f t="shared" si="58"/>
        <v>70.200000000000287</v>
      </c>
      <c r="B714" s="35">
        <f t="shared" ca="1" si="59"/>
        <v>633290043.55205798</v>
      </c>
      <c r="C714" s="1">
        <f t="shared" ca="1" si="60"/>
        <v>-1295204277.8007166</v>
      </c>
      <c r="D714" s="1">
        <f t="shared" ca="1" si="61"/>
        <v>-2561784371.1878667</v>
      </c>
      <c r="E714" s="37">
        <f t="shared" ca="1" si="62"/>
        <v>-2533160174.7849593</v>
      </c>
    </row>
    <row r="715" spans="1:5" x14ac:dyDescent="0.25">
      <c r="A715" s="34">
        <f t="shared" si="58"/>
        <v>70.300000000000281</v>
      </c>
      <c r="B715" s="35">
        <f t="shared" ca="1" si="59"/>
        <v>631699811.30617797</v>
      </c>
      <c r="C715" s="1">
        <f t="shared" ca="1" si="60"/>
        <v>-1723758571.8377006</v>
      </c>
      <c r="D715" s="1">
        <f t="shared" ca="1" si="61"/>
        <v>-2987158199.8770504</v>
      </c>
      <c r="E715" s="37">
        <f t="shared" ca="1" si="62"/>
        <v>-2526799245.639431</v>
      </c>
    </row>
    <row r="716" spans="1:5" x14ac:dyDescent="0.25">
      <c r="A716" s="34">
        <f t="shared" si="58"/>
        <v>70.400000000000276</v>
      </c>
      <c r="B716" s="35">
        <f t="shared" ca="1" si="59"/>
        <v>606124314.69114304</v>
      </c>
      <c r="C716" s="1">
        <f t="shared" ca="1" si="60"/>
        <v>-2247193768.8240032</v>
      </c>
      <c r="D716" s="1">
        <f t="shared" ca="1" si="61"/>
        <v>-3459442402.570426</v>
      </c>
      <c r="E716" s="37">
        <f t="shared" ca="1" si="62"/>
        <v>-2424497259.0028105</v>
      </c>
    </row>
    <row r="717" spans="1:5" x14ac:dyDescent="0.25">
      <c r="A717" s="34">
        <f t="shared" si="58"/>
        <v>70.50000000000027</v>
      </c>
      <c r="B717" s="35">
        <f t="shared" ca="1" si="59"/>
        <v>548627363.03655648</v>
      </c>
      <c r="C717" s="1">
        <f t="shared" ca="1" si="60"/>
        <v>-2881264455.0852718</v>
      </c>
      <c r="D717" s="1">
        <f t="shared" ca="1" si="61"/>
        <v>-3978519184.2914772</v>
      </c>
      <c r="E717" s="37">
        <f t="shared" ca="1" si="62"/>
        <v>-2194509452.1996689</v>
      </c>
    </row>
    <row r="718" spans="1:5" x14ac:dyDescent="0.25">
      <c r="A718" s="34">
        <f t="shared" ref="A718:A781" si="63">A717+$A$9</f>
        <v>70.600000000000264</v>
      </c>
      <c r="B718" s="35">
        <f t="shared" ca="1" si="59"/>
        <v>449515711.91369236</v>
      </c>
      <c r="C718" s="1">
        <f t="shared" ca="1" si="60"/>
        <v>-3643462638.1923423</v>
      </c>
      <c r="D718" s="1">
        <f t="shared" ca="1" si="61"/>
        <v>-4542494063.7987156</v>
      </c>
      <c r="E718" s="37">
        <f t="shared" ca="1" si="62"/>
        <v>-1798062847.5215523</v>
      </c>
    </row>
    <row r="719" spans="1:5" x14ac:dyDescent="0.25">
      <c r="A719" s="34">
        <f t="shared" si="63"/>
        <v>70.700000000000259</v>
      </c>
      <c r="B719" s="35">
        <f t="shared" ca="1" si="59"/>
        <v>297047311.53837568</v>
      </c>
      <c r="C719" s="1">
        <f t="shared" ca="1" si="60"/>
        <v>-4553013384.1818695</v>
      </c>
      <c r="D719" s="1">
        <f t="shared" ca="1" si="61"/>
        <v>-5147108007.6104097</v>
      </c>
      <c r="E719" s="37">
        <f t="shared" ca="1" si="62"/>
        <v>-1188189245.8382745</v>
      </c>
    </row>
    <row r="720" spans="1:5" x14ac:dyDescent="0.25">
      <c r="A720" s="34">
        <f t="shared" si="63"/>
        <v>70.800000000000253</v>
      </c>
      <c r="B720" s="35">
        <f t="shared" ca="1" si="59"/>
        <v>77107380.706311226</v>
      </c>
      <c r="C720" s="1">
        <f t="shared" ca="1" si="60"/>
        <v>-5630804651.582572</v>
      </c>
      <c r="D720" s="1">
        <f t="shared" ca="1" si="61"/>
        <v>-5785019411.8996391</v>
      </c>
      <c r="E720" s="37">
        <f t="shared" ca="1" si="62"/>
        <v>-308429522.3390063</v>
      </c>
    </row>
    <row r="721" spans="1:5" x14ac:dyDescent="0.25">
      <c r="A721" s="34">
        <f t="shared" si="63"/>
        <v>70.900000000000247</v>
      </c>
      <c r="B721" s="35">
        <f t="shared" ca="1" si="59"/>
        <v>-227147612.94698387</v>
      </c>
      <c r="C721" s="1">
        <f t="shared" ca="1" si="60"/>
        <v>-6899229549.4332685</v>
      </c>
      <c r="D721" s="1">
        <f t="shared" ca="1" si="61"/>
        <v>-6444934321.0302229</v>
      </c>
      <c r="E721" s="37">
        <f t="shared" ca="1" si="62"/>
        <v>908590452.42821562</v>
      </c>
    </row>
    <row r="722" spans="1:5" x14ac:dyDescent="0.25">
      <c r="A722" s="34">
        <f t="shared" si="63"/>
        <v>71.000000000000242</v>
      </c>
      <c r="B722" s="35">
        <f t="shared" ca="1" si="59"/>
        <v>-635676766.99181116</v>
      </c>
      <c r="C722" s="1">
        <f t="shared" ca="1" si="60"/>
        <v>-8381914426.0296059</v>
      </c>
      <c r="D722" s="1">
        <f t="shared" ca="1" si="61"/>
        <v>-7110560888.2101631</v>
      </c>
      <c r="E722" s="37">
        <f t="shared" ca="1" si="62"/>
        <v>2542707068.7392216</v>
      </c>
    </row>
    <row r="723" spans="1:5" x14ac:dyDescent="0.25">
      <c r="A723" s="34">
        <f t="shared" si="63"/>
        <v>71.100000000000236</v>
      </c>
      <c r="B723" s="35">
        <f t="shared" ca="1" si="59"/>
        <v>-1171969431.407717</v>
      </c>
      <c r="C723" s="1">
        <f t="shared" ca="1" si="60"/>
        <v>-10103300574.271194</v>
      </c>
      <c r="D723" s="1">
        <f t="shared" ca="1" si="61"/>
        <v>-7759361706.4299412</v>
      </c>
      <c r="E723" s="37">
        <f t="shared" ca="1" si="62"/>
        <v>4687877726.5076017</v>
      </c>
    </row>
    <row r="724" spans="1:5" x14ac:dyDescent="0.25">
      <c r="A724" s="34">
        <f t="shared" si="63"/>
        <v>71.20000000000023</v>
      </c>
      <c r="B724" s="35">
        <f t="shared" ca="1" si="59"/>
        <v>-1863482733.5511727</v>
      </c>
      <c r="C724" s="1">
        <f t="shared" ca="1" si="60"/>
        <v>-12088040829.929653</v>
      </c>
      <c r="D724" s="1">
        <f t="shared" ca="1" si="61"/>
        <v>-8361075356.7933054</v>
      </c>
      <c r="E724" s="37">
        <f t="shared" ca="1" si="62"/>
        <v>7453930935.1555853</v>
      </c>
    </row>
    <row r="725" spans="1:5" x14ac:dyDescent="0.25">
      <c r="A725" s="34">
        <f t="shared" si="63"/>
        <v>71.300000000000225</v>
      </c>
      <c r="B725" s="35">
        <f t="shared" ca="1" si="59"/>
        <v>-2742094194.6902652</v>
      </c>
      <c r="C725" s="1">
        <f t="shared" ca="1" si="60"/>
        <v>-14360164852.872255</v>
      </c>
      <c r="D725" s="1">
        <f t="shared" ca="1" si="61"/>
        <v>-8875976456.669836</v>
      </c>
      <c r="E725" s="37">
        <f t="shared" ca="1" si="62"/>
        <v>10968376779.75293</v>
      </c>
    </row>
    <row r="726" spans="1:5" x14ac:dyDescent="0.25">
      <c r="A726" s="34">
        <f t="shared" si="63"/>
        <v>71.400000000000219</v>
      </c>
      <c r="B726" s="35">
        <f t="shared" ref="B726:B789" ca="1" si="64">IF($B$7="n",$B$12,$A$9/2*(C726+C725)+B725)</f>
        <v>-3844558264.0002661</v>
      </c>
      <c r="C726" s="1">
        <f t="shared" ref="C726:C789" ca="1" si="65">D726</f>
        <v>-16941958333.771912</v>
      </c>
      <c r="D726" s="1">
        <f t="shared" ref="D726:D789" ca="1" si="66">IF($B$7="n",$D$12,$A$9/2*(E726+E725)+D725)</f>
        <v>-9252841798.412302</v>
      </c>
      <c r="E726" s="37">
        <f t="shared" ref="E726:E789" ca="1" si="67" xml:space="preserve"> -R_x/L_x*D726-1/(L_x*C_x)*B726+E0_x*SIN(w_x*A726)/L_x</f>
        <v>15378233056.999296</v>
      </c>
    </row>
    <row r="727" spans="1:5" x14ac:dyDescent="0.25">
      <c r="A727" s="34">
        <f t="shared" si="63"/>
        <v>71.500000000000213</v>
      </c>
      <c r="B727" s="35">
        <f t="shared" ca="1" si="64"/>
        <v>-5212951312.2649775</v>
      </c>
      <c r="C727" s="1">
        <f t="shared" ca="1" si="65"/>
        <v>-19852491683.642361</v>
      </c>
      <c r="D727" s="1">
        <f t="shared" ca="1" si="66"/>
        <v>-9426589051.4879932</v>
      </c>
      <c r="E727" s="37">
        <f t="shared" ca="1" si="67"/>
        <v>20851805250.029667</v>
      </c>
    </row>
    <row r="728" spans="1:5" x14ac:dyDescent="0.25">
      <c r="A728" s="34">
        <f t="shared" si="63"/>
        <v>71.600000000000207</v>
      </c>
      <c r="B728" s="35">
        <f t="shared" ca="1" si="64"/>
        <v>-6895084329.8525467</v>
      </c>
      <c r="C728" s="1">
        <f t="shared" ca="1" si="65"/>
        <v>-23105722878.002808</v>
      </c>
      <c r="D728" s="1">
        <f t="shared" ca="1" si="66"/>
        <v>-9315554210.6908951</v>
      </c>
      <c r="E728" s="37">
        <f t="shared" ca="1" si="67"/>
        <v>27580337320.317627</v>
      </c>
    </row>
    <row r="729" spans="1:5" x14ac:dyDescent="0.25">
      <c r="A729" s="34">
        <f t="shared" si="63"/>
        <v>71.700000000000202</v>
      </c>
      <c r="B729" s="35">
        <f t="shared" ca="1" si="64"/>
        <v>-8944856082.4756546</v>
      </c>
      <c r="C729" s="1">
        <f t="shared" ca="1" si="65"/>
        <v>-26708087000.195282</v>
      </c>
      <c r="D729" s="1">
        <f t="shared" ca="1" si="66"/>
        <v>-8818374827.9382057</v>
      </c>
      <c r="E729" s="37">
        <f t="shared" ca="1" si="67"/>
        <v>35779424330.716072</v>
      </c>
    </row>
    <row r="730" spans="1:5" x14ac:dyDescent="0.25">
      <c r="A730" s="34">
        <f t="shared" si="63"/>
        <v>71.800000000000196</v>
      </c>
      <c r="B730" s="35">
        <f t="shared" ca="1" si="64"/>
        <v>-11422511592.220585</v>
      </c>
      <c r="C730" s="1">
        <f t="shared" ca="1" si="65"/>
        <v>-30655471648.603153</v>
      </c>
      <c r="D730" s="1">
        <f t="shared" ca="1" si="66"/>
        <v>-7810448457.4306641</v>
      </c>
      <c r="E730" s="37">
        <f t="shared" ca="1" si="67"/>
        <v>45690046369.573418</v>
      </c>
    </row>
    <row r="731" spans="1:5" x14ac:dyDescent="0.25">
      <c r="A731" s="34">
        <f t="shared" si="63"/>
        <v>71.90000000000019</v>
      </c>
      <c r="B731" s="35">
        <f t="shared" ca="1" si="64"/>
        <v>-14394761305.758408</v>
      </c>
      <c r="C731" s="1">
        <f t="shared" ca="1" si="65"/>
        <v>-34929462771.911285</v>
      </c>
      <c r="D731" s="1">
        <f t="shared" ca="1" si="66"/>
        <v>-6139940154.4906473</v>
      </c>
      <c r="E731" s="37">
        <f t="shared" ca="1" si="67"/>
        <v>57579045223.578224</v>
      </c>
    </row>
    <row r="732" spans="1:5" x14ac:dyDescent="0.25">
      <c r="A732" s="34">
        <f t="shared" si="63"/>
        <v>72.000000000000185</v>
      </c>
      <c r="B732" s="35">
        <f t="shared" ca="1" si="64"/>
        <v>-17934704938.760834</v>
      </c>
      <c r="C732" s="1">
        <f t="shared" ca="1" si="65"/>
        <v>-39492729763.7099</v>
      </c>
      <c r="D732" s="1">
        <f t="shared" ca="1" si="66"/>
        <v>-3623319881.3350749</v>
      </c>
      <c r="E732" s="37">
        <f t="shared" ca="1" si="67"/>
        <v>71738819755.422424</v>
      </c>
    </row>
    <row r="733" spans="1:5" x14ac:dyDescent="0.25">
      <c r="A733" s="34">
        <f t="shared" si="63"/>
        <v>72.100000000000179</v>
      </c>
      <c r="B733" s="35">
        <f t="shared" ca="1" si="64"/>
        <v>-22121490474.951401</v>
      </c>
      <c r="C733" s="1">
        <f t="shared" ca="1" si="65"/>
        <v>-44283401946.028618</v>
      </c>
      <c r="D733" s="1">
        <f t="shared" ca="1" si="66"/>
        <v>-40420992.508154392</v>
      </c>
      <c r="E733" s="37">
        <f t="shared" ca="1" si="67"/>
        <v>88485961900.005966</v>
      </c>
    </row>
    <row r="734" spans="1:5" x14ac:dyDescent="0.25">
      <c r="A734" s="34">
        <f t="shared" si="63"/>
        <v>72.200000000000173</v>
      </c>
      <c r="B734" s="35">
        <f t="shared" ca="1" si="64"/>
        <v>-27039622858.580898</v>
      </c>
      <c r="C734" s="1">
        <f t="shared" ca="1" si="65"/>
        <v>-49208271160.53286</v>
      </c>
      <c r="D734" s="1">
        <f t="shared" ca="1" si="66"/>
        <v>4870974558.8716927</v>
      </c>
      <c r="E734" s="37">
        <f t="shared" ca="1" si="67"/>
        <v>108158491434.33824</v>
      </c>
    </row>
    <row r="735" spans="1:5" x14ac:dyDescent="0.25">
      <c r="A735" s="34">
        <f t="shared" si="63"/>
        <v>72.300000000000168</v>
      </c>
      <c r="B735" s="35">
        <f t="shared" ca="1" si="64"/>
        <v>-32777818241.133198</v>
      </c>
      <c r="C735" s="1">
        <f t="shared" ca="1" si="65"/>
        <v>-54134637448.324432</v>
      </c>
      <c r="D735" s="1">
        <f t="shared" ca="1" si="66"/>
        <v>11420999034.721191</v>
      </c>
      <c r="E735" s="37">
        <f t="shared" ca="1" si="67"/>
        <v>131111272964.36122</v>
      </c>
    </row>
    <row r="736" spans="1:5" x14ac:dyDescent="0.25">
      <c r="A736" s="34">
        <f t="shared" si="63"/>
        <v>72.400000000000162</v>
      </c>
      <c r="B736" s="35">
        <f t="shared" ca="1" si="64"/>
        <v>-39427277904.32058</v>
      </c>
      <c r="C736" s="1">
        <f t="shared" ca="1" si="65"/>
        <v>-58880597270.429443</v>
      </c>
      <c r="D736" s="1">
        <f t="shared" ca="1" si="66"/>
        <v>19973958537.49308</v>
      </c>
      <c r="E736" s="37">
        <f t="shared" ca="1" si="67"/>
        <v>157709111616.93051</v>
      </c>
    </row>
    <row r="737" spans="1:5" x14ac:dyDescent="0.25">
      <c r="A737" s="34">
        <f t="shared" si="63"/>
        <v>72.500000000000156</v>
      </c>
      <c r="B737" s="35">
        <f t="shared" ca="1" si="64"/>
        <v>-47079230853.438881</v>
      </c>
      <c r="C737" s="1">
        <f t="shared" ca="1" si="65"/>
        <v>-63203557127.72863</v>
      </c>
      <c r="D737" s="1">
        <f t="shared" ca="1" si="66"/>
        <v>30954904576.954063</v>
      </c>
      <c r="E737" s="37">
        <f t="shared" ca="1" si="67"/>
        <v>188316923413.23575</v>
      </c>
    </row>
    <row r="738" spans="1:5" x14ac:dyDescent="0.25">
      <c r="A738" s="34">
        <f t="shared" si="63"/>
        <v>72.600000000000151</v>
      </c>
      <c r="B738" s="35">
        <f t="shared" ca="1" si="64"/>
        <v>-55821565233.313728</v>
      </c>
      <c r="C738" s="1">
        <f t="shared" ca="1" si="65"/>
        <v>-66786740742.348602</v>
      </c>
      <c r="D738" s="1">
        <f t="shared" ca="1" si="66"/>
        <v>44856389720.683922</v>
      </c>
      <c r="E738" s="37">
        <f t="shared" ca="1" si="67"/>
        <v>223286260932.5853</v>
      </c>
    </row>
    <row r="739" spans="1:5" x14ac:dyDescent="0.25">
      <c r="A739" s="34">
        <f t="shared" si="63"/>
        <v>72.700000000000145</v>
      </c>
      <c r="B739" s="35">
        <f t="shared" ca="1" si="64"/>
        <v>-65734335856.095665</v>
      </c>
      <c r="C739" s="1">
        <f t="shared" ca="1" si="65"/>
        <v>-69223446409.151764</v>
      </c>
      <c r="D739" s="1">
        <f t="shared" ca="1" si="66"/>
        <v>62245225298.17382</v>
      </c>
      <c r="E739" s="37">
        <f t="shared" ca="1" si="67"/>
        <v>262937343423.58661</v>
      </c>
    </row>
    <row r="740" spans="1:5" x14ac:dyDescent="0.25">
      <c r="A740" s="34">
        <f t="shared" si="63"/>
        <v>72.800000000000139</v>
      </c>
      <c r="B740" s="35">
        <f t="shared" ca="1" si="64"/>
        <v>-76883897973.89299</v>
      </c>
      <c r="C740" s="1">
        <f t="shared" ca="1" si="65"/>
        <v>-69998804308.047211</v>
      </c>
      <c r="D740" s="1">
        <f t="shared" ca="1" si="66"/>
        <v>83768991633.779083</v>
      </c>
      <c r="E740" s="37">
        <f t="shared" ca="1" si="67"/>
        <v>307535591894.67725</v>
      </c>
    </row>
    <row r="741" spans="1:5" x14ac:dyDescent="0.25">
      <c r="A741" s="34">
        <f t="shared" si="63"/>
        <v>72.900000000000134</v>
      </c>
      <c r="B741" s="35">
        <f t="shared" ca="1" si="64"/>
        <v>-89315375765.714203</v>
      </c>
      <c r="C741" s="1">
        <f t="shared" ca="1" si="65"/>
        <v>-68468783491.785629</v>
      </c>
      <c r="D741" s="1">
        <f t="shared" ca="1" si="66"/>
        <v>110161968032.80739</v>
      </c>
      <c r="E741" s="37">
        <f t="shared" ca="1" si="67"/>
        <v>357261503061.89459</v>
      </c>
    </row>
    <row r="742" spans="1:5" x14ac:dyDescent="0.25">
      <c r="A742" s="34">
        <f t="shared" si="63"/>
        <v>73.000000000000128</v>
      </c>
      <c r="B742" s="35">
        <f t="shared" ca="1" si="64"/>
        <v>-103043127711.17029</v>
      </c>
      <c r="C742" s="1">
        <f t="shared" ca="1" si="65"/>
        <v>-63836207429.499313</v>
      </c>
      <c r="D742" s="1">
        <f t="shared" ca="1" si="66"/>
        <v>142250047985.38171</v>
      </c>
      <c r="E742" s="37">
        <f t="shared" ca="1" si="67"/>
        <v>412172510843.68512</v>
      </c>
    </row>
    <row r="743" spans="1:5" x14ac:dyDescent="0.25">
      <c r="A743" s="34">
        <f t="shared" si="63"/>
        <v>73.100000000000122</v>
      </c>
      <c r="B743" s="35">
        <f t="shared" ca="1" si="64"/>
        <v>-118038820091.45154</v>
      </c>
      <c r="C743" s="1">
        <f t="shared" ca="1" si="65"/>
        <v>-55123558476.872986</v>
      </c>
      <c r="D743" s="1">
        <f t="shared" ca="1" si="66"/>
        <v>180954081698.22195</v>
      </c>
      <c r="E743" s="37">
        <f t="shared" ca="1" si="67"/>
        <v>472155280364.81097</v>
      </c>
    </row>
    <row r="744" spans="1:5" x14ac:dyDescent="0.25">
      <c r="A744" s="34">
        <f t="shared" si="63"/>
        <v>73.200000000000117</v>
      </c>
      <c r="B744" s="35">
        <f t="shared" ca="1" si="64"/>
        <v>-134216664460.97781</v>
      </c>
      <c r="C744" s="1">
        <f t="shared" ca="1" si="65"/>
        <v>-41142389228.358002</v>
      </c>
      <c r="D744" s="1">
        <f t="shared" ca="1" si="66"/>
        <v>227290939685.73026</v>
      </c>
      <c r="E744" s="37">
        <f t="shared" ca="1" si="67"/>
        <v>536866657842.95172</v>
      </c>
    </row>
    <row r="745" spans="1:5" x14ac:dyDescent="0.25">
      <c r="A745" s="34">
        <f t="shared" si="63"/>
        <v>73.300000000000111</v>
      </c>
      <c r="B745" s="35">
        <f t="shared" ca="1" si="64"/>
        <v>-151415315468.79947</v>
      </c>
      <c r="C745" s="1">
        <f t="shared" ca="1" si="65"/>
        <v>-20459216953.956707</v>
      </c>
      <c r="D745" s="1">
        <f t="shared" ca="1" si="66"/>
        <v>282371413976.008</v>
      </c>
      <c r="E745" s="37">
        <f t="shared" ca="1" si="67"/>
        <v>605661261874.30737</v>
      </c>
    </row>
    <row r="746" spans="1:5" x14ac:dyDescent="0.25">
      <c r="A746" s="34">
        <f t="shared" si="63"/>
        <v>73.400000000000105</v>
      </c>
      <c r="B746" s="35">
        <f t="shared" ca="1" si="64"/>
        <v>-169375862573.3085</v>
      </c>
      <c r="C746" s="1">
        <f t="shared" ca="1" si="65"/>
        <v>8642138271.685379</v>
      </c>
      <c r="D746" s="1">
        <f t="shared" ca="1" si="66"/>
        <v>347393863411.18573</v>
      </c>
      <c r="E746" s="37">
        <f t="shared" ca="1" si="67"/>
        <v>677503450292.44373</v>
      </c>
    </row>
    <row r="747" spans="1:5" x14ac:dyDescent="0.25">
      <c r="A747" s="34">
        <f t="shared" si="63"/>
        <v>73.500000000000099</v>
      </c>
      <c r="B747" s="35">
        <f t="shared" ca="1" si="64"/>
        <v>-187715284065.75598</v>
      </c>
      <c r="C747" s="1">
        <f t="shared" ca="1" si="65"/>
        <v>48201694014.768867</v>
      </c>
      <c r="D747" s="1">
        <f t="shared" ca="1" si="66"/>
        <v>423632262139.94757</v>
      </c>
      <c r="E747" s="37">
        <f t="shared" ca="1" si="67"/>
        <v>750861136262.36145</v>
      </c>
    </row>
    <row r="748" spans="1:5" x14ac:dyDescent="0.25">
      <c r="A748" s="34">
        <f t="shared" si="63"/>
        <v>73.600000000000094</v>
      </c>
      <c r="B748" s="35">
        <f t="shared" ca="1" si="64"/>
        <v>-205894665960.52191</v>
      </c>
      <c r="C748" s="1">
        <f t="shared" ca="1" si="65"/>
        <v>100627689143.16411</v>
      </c>
      <c r="D748" s="1">
        <f t="shared" ca="1" si="66"/>
        <v>512417021058.89532</v>
      </c>
      <c r="E748" s="37">
        <f t="shared" ca="1" si="67"/>
        <v>823578663841.57605</v>
      </c>
    </row>
    <row r="749" spans="1:5" x14ac:dyDescent="0.25">
      <c r="A749" s="34">
        <f t="shared" si="63"/>
        <v>73.700000000000088</v>
      </c>
      <c r="B749" s="35">
        <f t="shared" ca="1" si="64"/>
        <v>-223181423892.03592</v>
      </c>
      <c r="C749" s="1">
        <f t="shared" ca="1" si="65"/>
        <v>168743768054.14401</v>
      </c>
      <c r="D749" s="1">
        <f t="shared" ca="1" si="66"/>
        <v>615106615834.12366</v>
      </c>
      <c r="E749" s="37">
        <f t="shared" ca="1" si="67"/>
        <v>892725695567.80078</v>
      </c>
    </row>
    <row r="750" spans="1:5" x14ac:dyDescent="0.25">
      <c r="A750" s="34">
        <f t="shared" si="63"/>
        <v>73.800000000000082</v>
      </c>
      <c r="B750" s="35">
        <f t="shared" ca="1" si="64"/>
        <v>-238604706098.70404</v>
      </c>
      <c r="C750" s="1">
        <f t="shared" ca="1" si="65"/>
        <v>255838255152.03928</v>
      </c>
      <c r="D750" s="1">
        <f t="shared" ca="1" si="66"/>
        <v>733047667346.73035</v>
      </c>
      <c r="E750" s="37">
        <f t="shared" ca="1" si="67"/>
        <v>954418824394.65393</v>
      </c>
    </row>
    <row r="751" spans="1:5" x14ac:dyDescent="0.25">
      <c r="A751" s="34">
        <f t="shared" si="63"/>
        <v>73.900000000000077</v>
      </c>
      <c r="B751" s="35">
        <f t="shared" ca="1" si="64"/>
        <v>-250903103711.84656</v>
      </c>
      <c r="C751" s="1">
        <f t="shared" ca="1" si="65"/>
        <v>365714468761.80029</v>
      </c>
      <c r="D751" s="1">
        <f t="shared" ca="1" si="66"/>
        <v>867520676184.25513</v>
      </c>
      <c r="E751" s="37">
        <f t="shared" ca="1" si="67"/>
        <v>1003612414847.4104</v>
      </c>
    </row>
    <row r="752" spans="1:5" x14ac:dyDescent="0.25">
      <c r="A752" s="34">
        <f t="shared" si="63"/>
        <v>74.000000000000071</v>
      </c>
      <c r="B752" s="35">
        <f t="shared" ca="1" si="64"/>
        <v>-258463755859.31982</v>
      </c>
      <c r="C752" s="1">
        <f t="shared" ca="1" si="65"/>
        <v>502740595976.44745</v>
      </c>
      <c r="D752" s="1">
        <f t="shared" ca="1" si="66"/>
        <v>1019668107695.3763</v>
      </c>
      <c r="E752" s="37">
        <f t="shared" ca="1" si="67"/>
        <v>1033855023437.489</v>
      </c>
    </row>
    <row r="753" spans="1:5" x14ac:dyDescent="0.25">
      <c r="A753" s="34">
        <f t="shared" si="63"/>
        <v>74.100000000000065</v>
      </c>
      <c r="B753" s="35">
        <f t="shared" ca="1" si="64"/>
        <v>-259251917844.6824</v>
      </c>
      <c r="C753" s="1">
        <f t="shared" ca="1" si="65"/>
        <v>671897118604.75928</v>
      </c>
      <c r="D753" s="1">
        <f t="shared" ca="1" si="66"/>
        <v>1190400954295.9326</v>
      </c>
      <c r="E753" s="37">
        <f t="shared" ca="1" si="67"/>
        <v>1037007671379.1176</v>
      </c>
    </row>
    <row r="754" spans="1:5" x14ac:dyDescent="0.25">
      <c r="A754" s="34">
        <f t="shared" si="63"/>
        <v>74.20000000000006</v>
      </c>
      <c r="B754" s="35">
        <f t="shared" ca="1" si="64"/>
        <v>-250730068793.61932</v>
      </c>
      <c r="C754" s="1">
        <f t="shared" ca="1" si="65"/>
        <v>878819126702.70581</v>
      </c>
      <c r="D754" s="1">
        <f t="shared" ca="1" si="66"/>
        <v>1380279264293.2073</v>
      </c>
      <c r="E754" s="37">
        <f t="shared" ca="1" si="67"/>
        <v>1002920275175.0298</v>
      </c>
    </row>
    <row r="755" spans="1:5" x14ac:dyDescent="0.25">
      <c r="A755" s="34">
        <f t="shared" si="63"/>
        <v>74.300000000000054</v>
      </c>
      <c r="B755" s="35">
        <f t="shared" ca="1" si="64"/>
        <v>-229765680509.33386</v>
      </c>
      <c r="C755" s="1">
        <f t="shared" ca="1" si="65"/>
        <v>1129830059033.2942</v>
      </c>
      <c r="D755" s="1">
        <f t="shared" ca="1" si="66"/>
        <v>1589361420056.5596</v>
      </c>
      <c r="E755" s="37">
        <f t="shared" ca="1" si="67"/>
        <v>919062722038.03333</v>
      </c>
    </row>
    <row r="756" spans="1:5" x14ac:dyDescent="0.25">
      <c r="A756" s="34">
        <f t="shared" si="63"/>
        <v>74.400000000000048</v>
      </c>
      <c r="B756" s="35">
        <f t="shared" ca="1" si="64"/>
        <v>-192526863952.99164</v>
      </c>
      <c r="C756" s="1">
        <f t="shared" ca="1" si="65"/>
        <v>1431962445596.4675</v>
      </c>
      <c r="D756" s="1">
        <f t="shared" ca="1" si="66"/>
        <v>1817016173508.2139</v>
      </c>
      <c r="E756" s="37">
        <f t="shared" ca="1" si="67"/>
        <v>770107455812.78552</v>
      </c>
    </row>
    <row r="757" spans="1:5" x14ac:dyDescent="0.25">
      <c r="A757" s="34">
        <f t="shared" si="63"/>
        <v>74.500000000000043</v>
      </c>
      <c r="B757" s="35">
        <f t="shared" ca="1" si="64"/>
        <v>-134365268525.88657</v>
      </c>
      <c r="C757" s="1">
        <f t="shared" ca="1" si="65"/>
        <v>1792960069939.0793</v>
      </c>
      <c r="D757" s="1">
        <f t="shared" ca="1" si="66"/>
        <v>2061690606997.5676</v>
      </c>
      <c r="E757" s="37">
        <f t="shared" ca="1" si="67"/>
        <v>537461074104.45764</v>
      </c>
    </row>
    <row r="758" spans="1:5" x14ac:dyDescent="0.25">
      <c r="A758" s="34">
        <f t="shared" si="63"/>
        <v>74.600000000000037</v>
      </c>
      <c r="B758" s="35">
        <f t="shared" ca="1" si="64"/>
        <v>-49685850032.40451</v>
      </c>
      <c r="C758" s="1">
        <f t="shared" ca="1" si="65"/>
        <v>2221254589596.4551</v>
      </c>
      <c r="D758" s="1">
        <f t="shared" ca="1" si="66"/>
        <v>2320626289668.6821</v>
      </c>
      <c r="E758" s="37">
        <f t="shared" ca="1" si="67"/>
        <v>198743400130.59009</v>
      </c>
    </row>
    <row r="759" spans="1:5" x14ac:dyDescent="0.25">
      <c r="A759" s="34">
        <f t="shared" si="63"/>
        <v>74.700000000000031</v>
      </c>
      <c r="B759" s="35">
        <f t="shared" ca="1" si="64"/>
        <v>68196532718.992538</v>
      </c>
      <c r="C759" s="1">
        <f t="shared" ca="1" si="65"/>
        <v>2725908020623.8486</v>
      </c>
      <c r="D759" s="1">
        <f t="shared" ca="1" si="66"/>
        <v>2589514955193.708</v>
      </c>
      <c r="E759" s="37">
        <f t="shared" ca="1" si="67"/>
        <v>-272786130874.97141</v>
      </c>
    </row>
    <row r="760" spans="1:5" x14ac:dyDescent="0.25">
      <c r="A760" s="34">
        <f t="shared" si="63"/>
        <v>74.800000000000026</v>
      </c>
      <c r="B760" s="35">
        <f t="shared" ca="1" si="64"/>
        <v>227213259721.97589</v>
      </c>
      <c r="C760" s="1">
        <f t="shared" ca="1" si="65"/>
        <v>3316510573490.6631</v>
      </c>
      <c r="D760" s="1">
        <f t="shared" ca="1" si="66"/>
        <v>2862084054054.6895</v>
      </c>
      <c r="E760" s="37">
        <f t="shared" ca="1" si="67"/>
        <v>-908853038886.91296</v>
      </c>
    </row>
    <row r="761" spans="1:5" x14ac:dyDescent="0.25">
      <c r="A761" s="34">
        <f t="shared" si="63"/>
        <v>74.90000000000002</v>
      </c>
      <c r="B761" s="35">
        <f t="shared" ca="1" si="64"/>
        <v>436709764884.48401</v>
      </c>
      <c r="C761" s="1">
        <f t="shared" ca="1" si="65"/>
        <v>4003021087660.897</v>
      </c>
      <c r="D761" s="1">
        <f t="shared" ca="1" si="66"/>
        <v>3129601557899.7432</v>
      </c>
      <c r="E761" s="37">
        <f t="shared" ca="1" si="67"/>
        <v>-1746839059536.988</v>
      </c>
    </row>
    <row r="762" spans="1:5" x14ac:dyDescent="0.25">
      <c r="A762" s="34">
        <f t="shared" si="63"/>
        <v>75.000000000000014</v>
      </c>
      <c r="B762" s="35">
        <f t="shared" ca="1" si="64"/>
        <v>707623132518.89551</v>
      </c>
      <c r="C762" s="1">
        <f t="shared" ca="1" si="65"/>
        <v>4795534714944.3281</v>
      </c>
      <c r="D762" s="1">
        <f t="shared" ca="1" si="66"/>
        <v>3380288449913.8936</v>
      </c>
      <c r="E762" s="37">
        <f t="shared" ca="1" si="67"/>
        <v>-2830492530074.71</v>
      </c>
    </row>
    <row r="763" spans="1:5" x14ac:dyDescent="0.25">
      <c r="A763" s="34">
        <f t="shared" si="63"/>
        <v>75.100000000000009</v>
      </c>
      <c r="B763" s="35">
        <f t="shared" ca="1" si="64"/>
        <v>1052666520295.0654</v>
      </c>
      <c r="C763" s="1">
        <f t="shared" ca="1" si="65"/>
        <v>5703959511039.0293</v>
      </c>
      <c r="D763" s="1">
        <f t="shared" ca="1" si="66"/>
        <v>3598626470455.522</v>
      </c>
      <c r="E763" s="37">
        <f t="shared" ca="1" si="67"/>
        <v>-4210666081179.4956</v>
      </c>
    </row>
    <row r="764" spans="1:5" x14ac:dyDescent="0.25">
      <c r="A764" s="34">
        <f t="shared" si="63"/>
        <v>75.2</v>
      </c>
      <c r="B764" s="35">
        <f t="shared" ca="1" si="64"/>
        <v>1486516106496.0601</v>
      </c>
      <c r="C764" s="1">
        <f t="shared" ca="1" si="65"/>
        <v>6737580175649.3311</v>
      </c>
      <c r="D764" s="1">
        <f t="shared" ca="1" si="66"/>
        <v>3764547962662.8525</v>
      </c>
      <c r="E764" s="37">
        <f t="shared" ca="1" si="67"/>
        <v>-5946064425983.6074</v>
      </c>
    </row>
    <row r="765" spans="1:5" x14ac:dyDescent="0.25">
      <c r="A765" s="34">
        <f t="shared" si="63"/>
        <v>75.3</v>
      </c>
      <c r="B765" s="35">
        <f t="shared" ca="1" si="64"/>
        <v>2025994572531.0828</v>
      </c>
      <c r="C765" s="1">
        <f t="shared" ca="1" si="65"/>
        <v>7904483302128.7207</v>
      </c>
      <c r="D765" s="1">
        <f t="shared" ca="1" si="66"/>
        <v>3852494157071.001</v>
      </c>
      <c r="E765" s="37">
        <f t="shared" ca="1" si="67"/>
        <v>-8103978290123.8535</v>
      </c>
    </row>
    <row r="766" spans="1:5" x14ac:dyDescent="0.25">
      <c r="A766" s="34">
        <f t="shared" si="63"/>
        <v>75.399999999999991</v>
      </c>
      <c r="B766" s="35">
        <f t="shared" ca="1" si="64"/>
        <v>2690243041818.8867</v>
      </c>
      <c r="C766" s="1">
        <f t="shared" ca="1" si="65"/>
        <v>9210814130929.4004</v>
      </c>
      <c r="D766" s="1">
        <f t="shared" ca="1" si="66"/>
        <v>3830328047294.709</v>
      </c>
      <c r="E766" s="37">
        <f t="shared" ca="1" si="67"/>
        <v>-10760972167275.24</v>
      </c>
    </row>
    <row r="767" spans="1:5" x14ac:dyDescent="0.25">
      <c r="A767" s="34">
        <f t="shared" si="63"/>
        <v>75.499999999999986</v>
      </c>
      <c r="B767" s="35">
        <f t="shared" ca="1" si="64"/>
        <v>3500870831516.5405</v>
      </c>
      <c r="C767" s="1">
        <f t="shared" ca="1" si="65"/>
        <v>10659829928510.996</v>
      </c>
      <c r="D767" s="1">
        <f t="shared" ca="1" si="66"/>
        <v>3658088265479.5137</v>
      </c>
      <c r="E767" s="37">
        <f t="shared" ca="1" si="67"/>
        <v>-14003483326066.039</v>
      </c>
    </row>
    <row r="768" spans="1:5" x14ac:dyDescent="0.25">
      <c r="A768" s="34">
        <f t="shared" si="63"/>
        <v>75.59999999999998</v>
      </c>
      <c r="B768" s="35">
        <f t="shared" ca="1" si="64"/>
        <v>4482069253268.542</v>
      </c>
      <c r="C768" s="1">
        <f t="shared" ca="1" si="65"/>
        <v>12250709727844.799</v>
      </c>
      <c r="D768" s="1">
        <f t="shared" ca="1" si="66"/>
        <v>3286571221307.7671</v>
      </c>
      <c r="E768" s="37">
        <f t="shared" ca="1" si="67"/>
        <v>-17928277013074.23</v>
      </c>
    </row>
    <row r="769" spans="1:5" x14ac:dyDescent="0.25">
      <c r="A769" s="34">
        <f t="shared" si="63"/>
        <v>75.699999999999974</v>
      </c>
      <c r="B769" s="35">
        <f t="shared" ca="1" si="64"/>
        <v>5660671932956.0684</v>
      </c>
      <c r="C769" s="1">
        <f t="shared" ca="1" si="65"/>
        <v>13977074277752.492</v>
      </c>
      <c r="D769" s="1">
        <f t="shared" ca="1" si="66"/>
        <v>2655730411838.8545</v>
      </c>
      <c r="E769" s="37">
        <f t="shared" ca="1" si="67"/>
        <v>-22642687731824.52</v>
      </c>
    </row>
    <row r="770" spans="1:5" x14ac:dyDescent="0.25">
      <c r="A770" s="34">
        <f t="shared" si="63"/>
        <v>75.799999999999969</v>
      </c>
      <c r="B770" s="35">
        <f t="shared" ca="1" si="64"/>
        <v>7066139607603.8525</v>
      </c>
      <c r="C770" s="1">
        <f t="shared" ca="1" si="65"/>
        <v>15825163687709.199</v>
      </c>
      <c r="D770" s="1">
        <f t="shared" ca="1" si="66"/>
        <v>1692884472498.4932</v>
      </c>
      <c r="E770" s="37">
        <f t="shared" ca="1" si="67"/>
        <v>-28264558430415.832</v>
      </c>
    </row>
    <row r="771" spans="1:5" x14ac:dyDescent="0.25">
      <c r="A771" s="34">
        <f t="shared" si="63"/>
        <v>75.899999999999963</v>
      </c>
      <c r="B771" s="35">
        <f t="shared" ca="1" si="64"/>
        <v>8730441991099.0996</v>
      </c>
      <c r="C771" s="1">
        <f t="shared" ca="1" si="65"/>
        <v>17771613483290.125</v>
      </c>
      <c r="D771" s="1">
        <f t="shared" ca="1" si="66"/>
        <v>310729501087.53442</v>
      </c>
      <c r="E771" s="37">
        <f t="shared" ca="1" si="67"/>
        <v>-34921767964396.984</v>
      </c>
    </row>
    <row r="772" spans="1:5" x14ac:dyDescent="0.25">
      <c r="A772" s="34">
        <f t="shared" si="63"/>
        <v>75.999999999999957</v>
      </c>
      <c r="B772" s="35">
        <f t="shared" ca="1" si="64"/>
        <v>10687802961403.988</v>
      </c>
      <c r="C772" s="1">
        <f t="shared" ca="1" si="65"/>
        <v>19780762703778.922</v>
      </c>
      <c r="D772" s="1">
        <f t="shared" ca="1" si="66"/>
        <v>-1594843219034.6782</v>
      </c>
      <c r="E772" s="37">
        <f t="shared" ca="1" si="67"/>
        <v>-42751211845616.68</v>
      </c>
    </row>
    <row r="773" spans="1:5" x14ac:dyDescent="0.25">
      <c r="A773" s="34">
        <f t="shared" si="63"/>
        <v>76.099999999999952</v>
      </c>
      <c r="B773" s="35">
        <f t="shared" ca="1" si="64"/>
        <v>12974267885103.361</v>
      </c>
      <c r="C773" s="1">
        <f t="shared" ca="1" si="65"/>
        <v>21801420424308.457</v>
      </c>
      <c r="D773" s="1">
        <f t="shared" ca="1" si="66"/>
        <v>-4147115345904.915</v>
      </c>
      <c r="E773" s="37">
        <f t="shared" ca="1" si="67"/>
        <v>-51897071540414.289</v>
      </c>
    </row>
    <row r="774" spans="1:5" x14ac:dyDescent="0.25">
      <c r="A774" s="34">
        <f t="shared" si="63"/>
        <v>76.199999999999946</v>
      </c>
      <c r="B774" s="35">
        <f t="shared" ca="1" si="64"/>
        <v>15627043229243.309</v>
      </c>
      <c r="C774" s="1">
        <f t="shared" ca="1" si="65"/>
        <v>23763009877466.719</v>
      </c>
      <c r="D774" s="1">
        <f t="shared" ca="1" si="66"/>
        <v>-7491076581027.3291</v>
      </c>
      <c r="E774" s="37">
        <f t="shared" ca="1" si="67"/>
        <v>-62508172916974.164</v>
      </c>
    </row>
    <row r="775" spans="1:5" x14ac:dyDescent="0.25">
      <c r="A775" s="34">
        <f t="shared" si="63"/>
        <v>76.29999999999994</v>
      </c>
      <c r="B775" s="35">
        <f t="shared" ca="1" si="64"/>
        <v>18683548581241.039</v>
      </c>
      <c r="C775" s="1">
        <f t="shared" ca="1" si="65"/>
        <v>25571002465962.129</v>
      </c>
      <c r="D775" s="1">
        <f t="shared" ca="1" si="66"/>
        <v>-11796094696527.887</v>
      </c>
      <c r="E775" s="37">
        <f t="shared" ca="1" si="67"/>
        <v>-74734194324965.141</v>
      </c>
    </row>
    <row r="776" spans="1:5" x14ac:dyDescent="0.25">
      <c r="A776" s="34">
        <f t="shared" si="63"/>
        <v>76.399999999999935</v>
      </c>
      <c r="B776" s="35">
        <f t="shared" ca="1" si="64"/>
        <v>22180109671710.578</v>
      </c>
      <c r="C776" s="1">
        <f t="shared" ca="1" si="65"/>
        <v>27101547773678.938</v>
      </c>
      <c r="D776" s="1">
        <f t="shared" ca="1" si="66"/>
        <v>-17258671569750.369</v>
      </c>
      <c r="E776" s="37">
        <f t="shared" ca="1" si="67"/>
        <v>-88720438686843.313</v>
      </c>
    </row>
    <row r="777" spans="1:5" x14ac:dyDescent="0.25">
      <c r="A777" s="34">
        <f t="shared" si="63"/>
        <v>76.499999999999929</v>
      </c>
      <c r="B777" s="35">
        <f t="shared" ca="1" si="64"/>
        <v>26150207844883.297</v>
      </c>
      <c r="C777" s="1">
        <f t="shared" ca="1" si="65"/>
        <v>28195200685228.129</v>
      </c>
      <c r="D777" s="1">
        <f t="shared" ca="1" si="66"/>
        <v>-24105215004546.535</v>
      </c>
      <c r="E777" s="37">
        <f t="shared" ca="1" si="67"/>
        <v>-104600831379534.17</v>
      </c>
    </row>
    <row r="778" spans="1:5" x14ac:dyDescent="0.25">
      <c r="A778" s="34">
        <f t="shared" si="63"/>
        <v>76.599999999999923</v>
      </c>
      <c r="B778" s="35">
        <f t="shared" ca="1" si="64"/>
        <v>30622186532383.555</v>
      </c>
      <c r="C778" s="1">
        <f t="shared" ca="1" si="65"/>
        <v>28649643538638.391</v>
      </c>
      <c r="D778" s="1">
        <f t="shared" ca="1" si="66"/>
        <v>-32594729526136.414</v>
      </c>
      <c r="E778" s="37">
        <f t="shared" ca="1" si="67"/>
        <v>-122488746129535.16</v>
      </c>
    </row>
    <row r="779" spans="1:5" x14ac:dyDescent="0.25">
      <c r="A779" s="34">
        <f t="shared" si="63"/>
        <v>76.699999999999918</v>
      </c>
      <c r="B779" s="35">
        <f t="shared" ca="1" si="64"/>
        <v>35616298565906.672</v>
      </c>
      <c r="C779" s="1">
        <f t="shared" ca="1" si="65"/>
        <v>28211300651139.379</v>
      </c>
      <c r="D779" s="1">
        <f t="shared" ca="1" si="66"/>
        <v>-43021296480681</v>
      </c>
      <c r="E779" s="37">
        <f t="shared" ca="1" si="67"/>
        <v>-142465194263627.53</v>
      </c>
    </row>
    <row r="780" spans="1:5" x14ac:dyDescent="0.25">
      <c r="A780" s="34">
        <f t="shared" si="63"/>
        <v>76.799999999999912</v>
      </c>
      <c r="B780" s="35">
        <f t="shared" ca="1" si="64"/>
        <v>41140959553849.094</v>
      </c>
      <c r="C780" s="1">
        <f t="shared" ca="1" si="65"/>
        <v>26565745558968.402</v>
      </c>
      <c r="D780" s="1">
        <f t="shared" ca="1" si="66"/>
        <v>-55716173548735.898</v>
      </c>
      <c r="E780" s="37">
        <f t="shared" ca="1" si="67"/>
        <v>-164563838215397.13</v>
      </c>
    </row>
    <row r="781" spans="1:5" x14ac:dyDescent="0.25">
      <c r="A781" s="34">
        <f t="shared" si="63"/>
        <v>76.899999999999906</v>
      </c>
      <c r="B781" s="35">
        <f t="shared" ca="1" si="64"/>
        <v>47188052035331.172</v>
      </c>
      <c r="C781" s="1">
        <f t="shared" ca="1" si="65"/>
        <v>23326809115660.75</v>
      </c>
      <c r="D781" s="1">
        <f t="shared" ca="1" si="66"/>
        <v>-71049294955006.563</v>
      </c>
      <c r="E781" s="37">
        <f t="shared" ca="1" si="67"/>
        <v>-188752208141325.28</v>
      </c>
    </row>
    <row r="782" spans="1:5" x14ac:dyDescent="0.25">
      <c r="A782" s="34">
        <f t="shared" ref="A782:A845" si="68">A781+$A$9</f>
        <v>76.999999999999901</v>
      </c>
      <c r="B782" s="35">
        <f t="shared" ca="1" si="64"/>
        <v>53727102767905.242</v>
      </c>
      <c r="C782" s="1">
        <f t="shared" ca="1" si="65"/>
        <v>18024310689066.152</v>
      </c>
      <c r="D782" s="1">
        <f t="shared" ca="1" si="66"/>
        <v>-89429894846747.969</v>
      </c>
      <c r="E782" s="37">
        <f t="shared" ca="1" si="67"/>
        <v>-214908411071621.41</v>
      </c>
    </row>
    <row r="783" spans="1:5" x14ac:dyDescent="0.25">
      <c r="A783" s="34">
        <f t="shared" si="68"/>
        <v>77.099999999999895</v>
      </c>
      <c r="B783" s="35">
        <f t="shared" ca="1" si="64"/>
        <v>60698131447065.57</v>
      </c>
      <c r="C783" s="1">
        <f t="shared" ca="1" si="65"/>
        <v>10090356893767.111</v>
      </c>
      <c r="D783" s="1">
        <f t="shared" ca="1" si="66"/>
        <v>-111305906000366.2</v>
      </c>
      <c r="E783" s="37">
        <f t="shared" ca="1" si="67"/>
        <v>-242792525788262.56</v>
      </c>
    </row>
    <row r="784" spans="1:5" x14ac:dyDescent="0.25">
      <c r="A784" s="34">
        <f t="shared" si="68"/>
        <v>77.199999999999889</v>
      </c>
      <c r="B784" s="35">
        <f t="shared" ca="1" si="64"/>
        <v>68002943657504.805</v>
      </c>
      <c r="C784" s="1">
        <f t="shared" ca="1" si="65"/>
        <v>-1155815229189.8086</v>
      </c>
      <c r="D784" s="1">
        <f t="shared" ca="1" si="66"/>
        <v>-137161702544200.05</v>
      </c>
      <c r="E784" s="37">
        <f t="shared" ca="1" si="67"/>
        <v>-272011774630019.31</v>
      </c>
    </row>
    <row r="785" spans="1:5" x14ac:dyDescent="0.25">
      <c r="A785" s="34">
        <f t="shared" si="68"/>
        <v>77.299999999999883</v>
      </c>
      <c r="B785" s="35">
        <f t="shared" ca="1" si="64"/>
        <v>75494614328939.594</v>
      </c>
      <c r="C785" s="1">
        <f t="shared" ca="1" si="65"/>
        <v>-16524428315123.828</v>
      </c>
      <c r="D785" s="1">
        <f t="shared" ca="1" si="66"/>
        <v>-167513656973002.06</v>
      </c>
      <c r="E785" s="37">
        <f t="shared" ca="1" si="67"/>
        <v>-301978457315758.25</v>
      </c>
    </row>
    <row r="786" spans="1:5" x14ac:dyDescent="0.25">
      <c r="A786" s="34">
        <f t="shared" si="68"/>
        <v>77.399999999999878</v>
      </c>
      <c r="B786" s="35">
        <f t="shared" ca="1" si="64"/>
        <v>82964881014648.469</v>
      </c>
      <c r="C786" s="1">
        <f t="shared" ca="1" si="65"/>
        <v>-36973104458251.023</v>
      </c>
      <c r="D786" s="1">
        <f t="shared" ca="1" si="66"/>
        <v>-202902866487545.5</v>
      </c>
      <c r="E786" s="37">
        <f t="shared" ca="1" si="67"/>
        <v>-331859524058593.56</v>
      </c>
    </row>
    <row r="787" spans="1:5" x14ac:dyDescent="0.25">
      <c r="A787" s="34">
        <f t="shared" si="68"/>
        <v>77.499999999999872</v>
      </c>
      <c r="B787" s="35">
        <f t="shared" ca="1" si="64"/>
        <v>90129139768595.594</v>
      </c>
      <c r="C787" s="1">
        <f t="shared" ca="1" si="65"/>
        <v>-63625990118897.391</v>
      </c>
      <c r="D787" s="1">
        <f t="shared" ca="1" si="66"/>
        <v>-243884269656084.69</v>
      </c>
      <c r="E787" s="37">
        <f t="shared" ca="1" si="67"/>
        <v>-360516559074381.94</v>
      </c>
    </row>
    <row r="788" spans="1:5" x14ac:dyDescent="0.25">
      <c r="A788" s="34">
        <f t="shared" si="68"/>
        <v>77.599999999999866</v>
      </c>
      <c r="B788" s="35">
        <f t="shared" ca="1" si="64"/>
        <v>96608711402945.266</v>
      </c>
      <c r="C788" s="1">
        <f t="shared" ca="1" si="65"/>
        <v>-97793796760564.5</v>
      </c>
      <c r="D788" s="1">
        <f t="shared" ca="1" si="66"/>
        <v>-291011219566449.88</v>
      </c>
      <c r="E788" s="37">
        <f t="shared" ca="1" si="67"/>
        <v>-386434845611780.44</v>
      </c>
    </row>
    <row r="789" spans="1:5" x14ac:dyDescent="0.25">
      <c r="A789" s="34">
        <f t="shared" si="68"/>
        <v>77.699999999999861</v>
      </c>
      <c r="B789" s="35">
        <f t="shared" ca="1" si="64"/>
        <v>101910023961018.83</v>
      </c>
      <c r="C789" s="1">
        <f t="shared" ca="1" si="65"/>
        <v>-140994354130235.22</v>
      </c>
      <c r="D789" s="1">
        <f t="shared" ca="1" si="66"/>
        <v>-344814402052266.63</v>
      </c>
      <c r="E789" s="37">
        <f t="shared" ca="1" si="67"/>
        <v>-407640095844074.56</v>
      </c>
    </row>
    <row r="790" spans="1:5" x14ac:dyDescent="0.25">
      <c r="A790" s="34">
        <f t="shared" si="68"/>
        <v>77.799999999999855</v>
      </c>
      <c r="B790" s="35">
        <f t="shared" ref="B790:B853" ca="1" si="69">IF($B$7="n",$B$12,$A$9/2*(C790+C789)+B789)</f>
        <v>105400340282785.41</v>
      </c>
      <c r="C790" s="1">
        <f t="shared" ref="C790:C853" ca="1" si="70">D790</f>
        <v>-194973104817182.28</v>
      </c>
      <c r="D790" s="1">
        <f t="shared" ref="D790:D853" ca="1" si="71">IF($B$7="n",$D$12,$A$9/2*(E790+E789)+D789)</f>
        <v>-405773785382746</v>
      </c>
      <c r="E790" s="37">
        <f t="shared" ref="E790:E853" ca="1" si="72" xml:space="preserve"> -R_x/L_x*D790-1/(L_x*C_x)*B790+E0_x*SIN(w_x*A790)/L_x</f>
        <v>-421601361131140.75</v>
      </c>
    </row>
    <row r="791" spans="1:5" x14ac:dyDescent="0.25">
      <c r="A791" s="34">
        <f t="shared" si="68"/>
        <v>77.899999999999849</v>
      </c>
      <c r="B791" s="35">
        <f t="shared" ca="1" si="69"/>
        <v>106279650046584.44</v>
      </c>
      <c r="C791" s="1">
        <f t="shared" ca="1" si="70"/>
        <v>-261722759283843.25</v>
      </c>
      <c r="D791" s="1">
        <f t="shared" ca="1" si="71"/>
        <v>-474282059377004.38</v>
      </c>
      <c r="E791" s="37">
        <f t="shared" ca="1" si="72"/>
        <v>-425118600186336.81</v>
      </c>
    </row>
    <row r="792" spans="1:5" x14ac:dyDescent="0.25">
      <c r="A792" s="34">
        <f t="shared" si="68"/>
        <v>77.999999999999844</v>
      </c>
      <c r="B792" s="35">
        <f t="shared" ca="1" si="69"/>
        <v>103548346758213.2</v>
      </c>
      <c r="C792" s="1">
        <f t="shared" ca="1" si="70"/>
        <v>-343501072468383.94</v>
      </c>
      <c r="D792" s="1">
        <f t="shared" ca="1" si="71"/>
        <v>-550597765984802.25</v>
      </c>
      <c r="E792" s="37">
        <f t="shared" ca="1" si="72"/>
        <v>-414193387032851.81</v>
      </c>
    </row>
    <row r="793" spans="1:5" x14ac:dyDescent="0.25">
      <c r="A793" s="34">
        <f t="shared" si="68"/>
        <v>78.099999999999838</v>
      </c>
      <c r="B793" s="35">
        <f t="shared" ca="1" si="69"/>
        <v>95970325705326.156</v>
      </c>
      <c r="C793" s="1">
        <f t="shared" ca="1" si="70"/>
        <v>-442845387852073.06</v>
      </c>
      <c r="D793" s="1">
        <f t="shared" ca="1" si="71"/>
        <v>-634786039262717.25</v>
      </c>
      <c r="E793" s="37">
        <f t="shared" ca="1" si="72"/>
        <v>-383881302821303.63</v>
      </c>
    </row>
    <row r="794" spans="1:5" x14ac:dyDescent="0.25">
      <c r="A794" s="34">
        <f t="shared" si="68"/>
        <v>78.199999999999832</v>
      </c>
      <c r="B794" s="35">
        <f t="shared" ca="1" si="69"/>
        <v>82031173680802.188</v>
      </c>
      <c r="C794" s="1">
        <f t="shared" ca="1" si="70"/>
        <v>-562582213087051.19</v>
      </c>
      <c r="D794" s="1">
        <f t="shared" ca="1" si="71"/>
        <v>-726644560448647.75</v>
      </c>
      <c r="E794" s="37">
        <f t="shared" ca="1" si="72"/>
        <v>-328124694723207.75</v>
      </c>
    </row>
    <row r="795" spans="1:5" x14ac:dyDescent="0.25">
      <c r="A795" s="34">
        <f t="shared" si="68"/>
        <v>78.299999999999827</v>
      </c>
      <c r="B795" s="35">
        <f t="shared" ca="1" si="69"/>
        <v>59891181140498.961</v>
      </c>
      <c r="C795" s="1">
        <f t="shared" ca="1" si="70"/>
        <v>-705829632368796.5</v>
      </c>
      <c r="D795" s="1">
        <f t="shared" ca="1" si="71"/>
        <v>-825611994649787.13</v>
      </c>
      <c r="E795" s="37">
        <f t="shared" ca="1" si="72"/>
        <v>-239564724561994.94</v>
      </c>
    </row>
    <row r="796" spans="1:5" x14ac:dyDescent="0.25">
      <c r="A796" s="34">
        <f t="shared" si="68"/>
        <v>78.399999999999821</v>
      </c>
      <c r="B796" s="35">
        <f t="shared" ca="1" si="69"/>
        <v>27332999468953.945</v>
      </c>
      <c r="C796" s="1">
        <f t="shared" ca="1" si="70"/>
        <v>-875989813148639.75</v>
      </c>
      <c r="D796" s="1">
        <f t="shared" ca="1" si="71"/>
        <v>-930655812086541.13</v>
      </c>
      <c r="E796" s="37">
        <f t="shared" ca="1" si="72"/>
        <v>-109331997875814.95</v>
      </c>
    </row>
    <row r="797" spans="1:5" x14ac:dyDescent="0.25">
      <c r="A797" s="34">
        <f t="shared" si="68"/>
        <v>78.499999999999815</v>
      </c>
      <c r="B797" s="35">
        <f t="shared" ca="1" si="69"/>
        <v>-18296101320531.805</v>
      </c>
      <c r="C797" s="1">
        <f t="shared" ca="1" si="70"/>
        <v>-1076728215952548.9</v>
      </c>
      <c r="D797" s="1">
        <f t="shared" ca="1" si="71"/>
        <v>-1040136013311479.8</v>
      </c>
      <c r="E797" s="37">
        <f t="shared" ca="1" si="72"/>
        <v>73184405282127.938</v>
      </c>
    </row>
    <row r="798" spans="1:5" x14ac:dyDescent="0.25">
      <c r="A798" s="34">
        <f t="shared" si="68"/>
        <v>78.59999999999981</v>
      </c>
      <c r="B798" s="35">
        <f t="shared" ca="1" si="69"/>
        <v>-80147235686844.234</v>
      </c>
      <c r="C798" s="1">
        <f t="shared" ca="1" si="70"/>
        <v>-1311935352537440.5</v>
      </c>
      <c r="D798" s="1">
        <f t="shared" ca="1" si="71"/>
        <v>-1151640881163747.8</v>
      </c>
      <c r="E798" s="37">
        <f t="shared" ca="1" si="72"/>
        <v>320588942747377.5</v>
      </c>
    </row>
    <row r="799" spans="1:5" x14ac:dyDescent="0.25">
      <c r="A799" s="34">
        <f t="shared" si="68"/>
        <v>78.699999999999804</v>
      </c>
      <c r="B799" s="35">
        <f t="shared" ca="1" si="69"/>
        <v>-161937781459685.31</v>
      </c>
      <c r="C799" s="1">
        <f t="shared" ca="1" si="70"/>
        <v>-1585666045170905</v>
      </c>
      <c r="D799" s="1">
        <f t="shared" ca="1" si="71"/>
        <v>-1261790482251531.5</v>
      </c>
      <c r="E799" s="37">
        <f t="shared" ca="1" si="72"/>
        <v>647751125838741.63</v>
      </c>
    </row>
    <row r="800" spans="1:5" x14ac:dyDescent="0.25">
      <c r="A800" s="34">
        <f t="shared" si="68"/>
        <v>78.799999999999798</v>
      </c>
      <c r="B800" s="35">
        <f t="shared" ca="1" si="69"/>
        <v>-268023426353590</v>
      </c>
      <c r="C800" s="1">
        <f t="shared" ca="1" si="70"/>
        <v>-1902050103773396.8</v>
      </c>
      <c r="D800" s="1">
        <f t="shared" ca="1" si="71"/>
        <v>-1366003251066215.3</v>
      </c>
      <c r="E800" s="37">
        <f t="shared" ca="1" si="72"/>
        <v>1072093705414360.3</v>
      </c>
    </row>
    <row r="801" spans="1:5" x14ac:dyDescent="0.25">
      <c r="A801" s="34">
        <f t="shared" si="68"/>
        <v>78.899999999999793</v>
      </c>
      <c r="B801" s="35">
        <f t="shared" ca="1" si="69"/>
        <v>-403473257269178</v>
      </c>
      <c r="C801" s="1">
        <f t="shared" ca="1" si="70"/>
        <v>-2265167143200019</v>
      </c>
      <c r="D801" s="1">
        <f t="shared" ca="1" si="71"/>
        <v>-1458220628661662.8</v>
      </c>
      <c r="E801" s="37">
        <f t="shared" ca="1" si="72"/>
        <v>1613893029076712</v>
      </c>
    </row>
    <row r="802" spans="1:5" x14ac:dyDescent="0.25">
      <c r="A802" s="34">
        <f t="shared" si="68"/>
        <v>78.999999999999787</v>
      </c>
      <c r="B802" s="35">
        <f t="shared" ca="1" si="69"/>
        <v>-574146238254643.63</v>
      </c>
      <c r="C802" s="1">
        <f t="shared" ca="1" si="70"/>
        <v>-2678876895629093</v>
      </c>
      <c r="D802" s="1">
        <f t="shared" ca="1" si="71"/>
        <v>-1530584419119807</v>
      </c>
      <c r="E802" s="37">
        <f t="shared" ca="1" si="72"/>
        <v>2296584953018574.5</v>
      </c>
    </row>
    <row r="803" spans="1:5" x14ac:dyDescent="0.25">
      <c r="A803" s="34">
        <f t="shared" si="68"/>
        <v>79.099999999999781</v>
      </c>
      <c r="B803" s="35">
        <f t="shared" ca="1" si="69"/>
        <v>-786766758928998.25</v>
      </c>
      <c r="C803" s="1">
        <f t="shared" ca="1" si="70"/>
        <v>-3146594819490080</v>
      </c>
      <c r="D803" s="1">
        <f t="shared" ca="1" si="71"/>
        <v>-1573061301632086</v>
      </c>
      <c r="E803" s="37">
        <f t="shared" ca="1" si="72"/>
        <v>3147067035715992.5</v>
      </c>
    </row>
    <row r="804" spans="1:5" x14ac:dyDescent="0.25">
      <c r="A804" s="34">
        <f t="shared" si="68"/>
        <v>79.199999999999775</v>
      </c>
      <c r="B804" s="35">
        <f t="shared" ca="1" si="69"/>
        <v>-1048996111003891.5</v>
      </c>
      <c r="C804" s="1">
        <f t="shared" ca="1" si="70"/>
        <v>-3671001055170318.5</v>
      </c>
      <c r="D804" s="1">
        <f t="shared" ca="1" si="71"/>
        <v>-1573008833162539.3</v>
      </c>
      <c r="E804" s="37">
        <f t="shared" ca="1" si="72"/>
        <v>4195984444015565.5</v>
      </c>
    </row>
    <row r="805" spans="1:5" x14ac:dyDescent="0.25">
      <c r="A805" s="34">
        <f t="shared" si="68"/>
        <v>79.29999999999977</v>
      </c>
      <c r="B805" s="35">
        <f t="shared" ca="1" si="69"/>
        <v>-1369495737513786</v>
      </c>
      <c r="C805" s="1">
        <f t="shared" ca="1" si="70"/>
        <v>-4253668820540634</v>
      </c>
      <c r="D805" s="1">
        <f t="shared" ca="1" si="71"/>
        <v>-1514677345513066.8</v>
      </c>
      <c r="E805" s="37">
        <f t="shared" ca="1" si="72"/>
        <v>5477982950055143</v>
      </c>
    </row>
    <row r="806" spans="1:5" x14ac:dyDescent="0.25">
      <c r="A806" s="34">
        <f t="shared" si="68"/>
        <v>79.399999999999764</v>
      </c>
      <c r="B806" s="35">
        <f t="shared" ca="1" si="69"/>
        <v>-1757976865045352.8</v>
      </c>
      <c r="C806" s="1">
        <f t="shared" ca="1" si="70"/>
        <v>-4894596172324376</v>
      </c>
      <c r="D806" s="1">
        <f t="shared" ca="1" si="71"/>
        <v>-1378642442233676.5</v>
      </c>
      <c r="E806" s="37">
        <f t="shared" ca="1" si="72"/>
        <v>7031907460181410</v>
      </c>
    </row>
    <row r="807" spans="1:5" x14ac:dyDescent="0.25">
      <c r="A807" s="34">
        <f t="shared" si="68"/>
        <v>79.499999999999758</v>
      </c>
      <c r="B807" s="35">
        <f t="shared" ca="1" si="69"/>
        <v>-2225229637401746</v>
      </c>
      <c r="C807" s="1">
        <f t="shared" ca="1" si="70"/>
        <v>-5591622685053046</v>
      </c>
      <c r="D807" s="1">
        <f t="shared" ca="1" si="71"/>
        <v>-1141163410249561.5</v>
      </c>
      <c r="E807" s="37">
        <f t="shared" ca="1" si="72"/>
        <v>8900918549606983</v>
      </c>
    </row>
    <row r="808" spans="1:5" x14ac:dyDescent="0.25">
      <c r="A808" s="34">
        <f t="shared" si="68"/>
        <v>79.599999999999753</v>
      </c>
      <c r="B808" s="35">
        <f t="shared" ca="1" si="69"/>
        <v>-2783123079615997.5</v>
      </c>
      <c r="C808" s="1">
        <f t="shared" ca="1" si="70"/>
        <v>-6339710028975556</v>
      </c>
      <c r="D808" s="1">
        <f t="shared" ca="1" si="71"/>
        <v>-773463869743568.5</v>
      </c>
      <c r="E808" s="37">
        <f t="shared" ca="1" si="72"/>
        <v>1.113249231846399E+16</v>
      </c>
    </row>
    <row r="809" spans="1:5" x14ac:dyDescent="0.25">
      <c r="A809" s="34">
        <f t="shared" si="68"/>
        <v>79.699999999999747</v>
      </c>
      <c r="B809" s="35">
        <f t="shared" ca="1" si="69"/>
        <v>-3444565090071972</v>
      </c>
      <c r="C809" s="1">
        <f t="shared" ca="1" si="70"/>
        <v>-7130062684388791</v>
      </c>
      <c r="D809" s="1">
        <f t="shared" ca="1" si="71"/>
        <v>-240932504244853.88</v>
      </c>
      <c r="E809" s="37">
        <f t="shared" ca="1" si="72"/>
        <v>1.3778260360287888E+16</v>
      </c>
    </row>
    <row r="810" spans="1:5" x14ac:dyDescent="0.25">
      <c r="A810" s="34">
        <f t="shared" si="68"/>
        <v>79.799999999999741</v>
      </c>
      <c r="B810" s="35">
        <f t="shared" ca="1" si="69"/>
        <v>-4223409138101568</v>
      </c>
      <c r="C810" s="1">
        <f t="shared" ca="1" si="70"/>
        <v>-7949062149792528</v>
      </c>
      <c r="D810" s="1">
        <f t="shared" ca="1" si="71"/>
        <v>497756126410600.88</v>
      </c>
      <c r="E810" s="37">
        <f t="shared" ca="1" si="72"/>
        <v>1.6893636552406272E+16</v>
      </c>
    </row>
    <row r="811" spans="1:5" x14ac:dyDescent="0.25">
      <c r="A811" s="34">
        <f t="shared" si="68"/>
        <v>79.899999999999736</v>
      </c>
      <c r="B811" s="35">
        <f t="shared" ca="1" si="69"/>
        <v>-5134291383990215</v>
      </c>
      <c r="C811" s="1">
        <f t="shared" ca="1" si="70"/>
        <v>-8776985041279408</v>
      </c>
      <c r="D811" s="1">
        <f t="shared" ca="1" si="71"/>
        <v>1491597726701016</v>
      </c>
      <c r="E811" s="37">
        <f t="shared" ca="1" si="72"/>
        <v>2.053716553596086E+16</v>
      </c>
    </row>
    <row r="812" spans="1:5" x14ac:dyDescent="0.25">
      <c r="A812" s="34">
        <f t="shared" si="68"/>
        <v>79.99999999999973</v>
      </c>
      <c r="B812" s="35">
        <f t="shared" ca="1" si="69"/>
        <v>-6192378484504650</v>
      </c>
      <c r="C812" s="1">
        <f t="shared" ca="1" si="70"/>
        <v>-9586472520677008</v>
      </c>
      <c r="D812" s="1">
        <f t="shared" ca="1" si="71"/>
        <v>2798284448332288</v>
      </c>
      <c r="E812" s="37">
        <f t="shared" ca="1" si="72"/>
        <v>2.47695139380186E+16</v>
      </c>
    </row>
    <row r="813" spans="1:5" x14ac:dyDescent="0.25">
      <c r="A813" s="34">
        <f t="shared" si="68"/>
        <v>80.099999999999724</v>
      </c>
      <c r="B813" s="35">
        <f t="shared" ca="1" si="69"/>
        <v>-7413002345042778</v>
      </c>
      <c r="C813" s="1">
        <f t="shared" ca="1" si="70"/>
        <v>-1.0340715639826422E+16</v>
      </c>
      <c r="D813" s="1">
        <f t="shared" ca="1" si="71"/>
        <v>4485289050259131</v>
      </c>
      <c r="E813" s="37">
        <f t="shared" ca="1" si="72"/>
        <v>2.9652009380171112E+16</v>
      </c>
    </row>
    <row r="814" spans="1:5" x14ac:dyDescent="0.25">
      <c r="A814" s="34">
        <f t="shared" si="68"/>
        <v>80.199999999999719</v>
      </c>
      <c r="B814" s="35">
        <f t="shared" ca="1" si="69"/>
        <v>-8811153474482332</v>
      </c>
      <c r="C814" s="1">
        <f t="shared" ca="1" si="70"/>
        <v>-1.0991318594222788E+16</v>
      </c>
      <c r="D814" s="1">
        <f t="shared" ca="1" si="71"/>
        <v>6630988354741874</v>
      </c>
      <c r="E814" s="37">
        <f t="shared" ca="1" si="72"/>
        <v>3.5244613897929328E+16</v>
      </c>
    </row>
    <row r="815" spans="1:5" x14ac:dyDescent="0.25">
      <c r="A815" s="34">
        <f t="shared" si="68"/>
        <v>80.299999999999713</v>
      </c>
      <c r="B815" s="35">
        <f t="shared" ca="1" si="69"/>
        <v>-1.0400799337992746E+16</v>
      </c>
      <c r="C815" s="1">
        <f t="shared" ca="1" si="70"/>
        <v>-1.147579973194289E+16</v>
      </c>
      <c r="D815" s="1">
        <f t="shared" ca="1" si="71"/>
        <v>9325798944042600</v>
      </c>
      <c r="E815" s="37">
        <f t="shared" ca="1" si="72"/>
        <v>4.1603197351970984E+16</v>
      </c>
    </row>
    <row r="816" spans="1:5" x14ac:dyDescent="0.25">
      <c r="A816" s="34">
        <f t="shared" si="68"/>
        <v>80.399999999999707</v>
      </c>
      <c r="B816" s="35">
        <f t="shared" ca="1" si="69"/>
        <v>-1.2193988138433212E+16</v>
      </c>
      <c r="C816" s="1">
        <f t="shared" ca="1" si="70"/>
        <v>-1.1714688708376258E+16</v>
      </c>
      <c r="D816" s="1">
        <f t="shared" ca="1" si="71"/>
        <v>1.2673287568490164E+16</v>
      </c>
      <c r="E816" s="37">
        <f t="shared" ca="1" si="72"/>
        <v>4.8775952553732848E+16</v>
      </c>
    </row>
    <row r="817" spans="1:5" x14ac:dyDescent="0.25">
      <c r="A817" s="34">
        <f t="shared" si="68"/>
        <v>80.499999999999702</v>
      </c>
      <c r="B817" s="35">
        <f t="shared" ca="1" si="69"/>
        <v>-1.4199691748724472E+16</v>
      </c>
      <c r="C817" s="1">
        <f t="shared" ca="1" si="70"/>
        <v>-1.160817772391916E+16</v>
      </c>
      <c r="D817" s="1">
        <f t="shared" ca="1" si="71"/>
        <v>1.6791205773529784E+16</v>
      </c>
      <c r="E817" s="37">
        <f t="shared" ca="1" si="72"/>
        <v>5.6798766994897888E+16</v>
      </c>
    </row>
    <row r="818" spans="1:5" x14ac:dyDescent="0.25">
      <c r="A818" s="34">
        <f t="shared" si="68"/>
        <v>80.599999999999696</v>
      </c>
      <c r="B818" s="35">
        <f t="shared" ca="1" si="69"/>
        <v>-1.6422334038800476E+16</v>
      </c>
      <c r="C818" s="1">
        <f t="shared" ca="1" si="70"/>
        <v>-1.1032285718406872E+16</v>
      </c>
      <c r="D818" s="1">
        <f t="shared" ca="1" si="71"/>
        <v>2.1812382359194084E+16</v>
      </c>
      <c r="E818" s="37">
        <f t="shared" ca="1" si="72"/>
        <v>6.5689336155201904E+16</v>
      </c>
    </row>
    <row r="819" spans="1:5" x14ac:dyDescent="0.25">
      <c r="A819" s="34">
        <f t="shared" si="68"/>
        <v>80.69999999999969</v>
      </c>
      <c r="B819" s="35">
        <f t="shared" ca="1" si="69"/>
        <v>-1.8859942583023132E+16</v>
      </c>
      <c r="C819" s="1">
        <f t="shared" ca="1" si="70"/>
        <v>-9834497202763852</v>
      </c>
      <c r="D819" s="1">
        <f t="shared" ca="1" si="71"/>
        <v>2.788538796328242E+16</v>
      </c>
      <c r="E819" s="37">
        <f t="shared" ca="1" si="72"/>
        <v>7.5439770332092528E+16</v>
      </c>
    </row>
    <row r="820" spans="1:5" x14ac:dyDescent="0.25">
      <c r="A820" s="34">
        <f t="shared" si="68"/>
        <v>80.799999999999685</v>
      </c>
      <c r="B820" s="35">
        <f t="shared" ca="1" si="69"/>
        <v>-2.1501852714623692E+16</v>
      </c>
      <c r="C820" s="1">
        <f t="shared" ca="1" si="70"/>
        <v>-7828842673817348</v>
      </c>
      <c r="D820" s="1">
        <f t="shared" ca="1" si="71"/>
        <v>3.5174862755430048E+16</v>
      </c>
      <c r="E820" s="37">
        <f t="shared" ca="1" si="72"/>
        <v>8.6007410858494768E+16</v>
      </c>
    </row>
    <row r="821" spans="1:5" x14ac:dyDescent="0.25">
      <c r="A821" s="34">
        <f t="shared" si="68"/>
        <v>80.899999999999679</v>
      </c>
      <c r="B821" s="35">
        <f t="shared" ca="1" si="69"/>
        <v>-2.4325883164793956E+16</v>
      </c>
      <c r="C821" s="1">
        <f t="shared" ca="1" si="70"/>
        <v>-4790395998082606</v>
      </c>
      <c r="D821" s="1">
        <f t="shared" ca="1" si="71"/>
        <v>4.3861370331505312E+16</v>
      </c>
      <c r="E821" s="37">
        <f t="shared" ca="1" si="72"/>
        <v>9.7303532659175824E+16</v>
      </c>
    </row>
    <row r="822" spans="1:5" x14ac:dyDescent="0.25">
      <c r="A822" s="34">
        <f t="shared" si="68"/>
        <v>80.999999999999673</v>
      </c>
      <c r="B822" s="35">
        <f t="shared" ca="1" si="69"/>
        <v>-2.7294892182997872E+16</v>
      </c>
      <c r="C822" s="1">
        <f t="shared" ca="1" si="70"/>
        <v>-449176627702307.5</v>
      </c>
      <c r="D822" s="1">
        <f t="shared" ca="1" si="71"/>
        <v>5.4140607738293448E+16</v>
      </c>
      <c r="E822" s="37">
        <f t="shared" ca="1" si="72"/>
        <v>1.0917956873199149E+17</v>
      </c>
    </row>
    <row r="823" spans="1:5" x14ac:dyDescent="0.25">
      <c r="A823" s="34">
        <f t="shared" si="68"/>
        <v>81.099999999999667</v>
      </c>
      <c r="B823" s="35">
        <f t="shared" ca="1" si="69"/>
        <v>-3.035261223820332E+16</v>
      </c>
      <c r="C823" s="1">
        <f t="shared" ca="1" si="70"/>
        <v>5516537940141150</v>
      </c>
      <c r="D823" s="1">
        <f t="shared" ca="1" si="71"/>
        <v>6.62217624165478E+16</v>
      </c>
      <c r="E823" s="37">
        <f t="shared" ca="1" si="72"/>
        <v>1.2141044895281328E+17</v>
      </c>
    </row>
    <row r="824" spans="1:5" x14ac:dyDescent="0.25">
      <c r="A824" s="34">
        <f t="shared" si="68"/>
        <v>81.199999999999662</v>
      </c>
      <c r="B824" s="35">
        <f t="shared" ca="1" si="69"/>
        <v>-3.341865037910696E+16</v>
      </c>
      <c r="C824" s="1">
        <f t="shared" ca="1" si="70"/>
        <v>1.3487460201995476E+16</v>
      </c>
      <c r="D824" s="1">
        <f t="shared" ca="1" si="71"/>
        <v>8.0324760960209408E+16</v>
      </c>
      <c r="E824" s="37">
        <f t="shared" ca="1" si="72"/>
        <v>1.3367460151642784E+17</v>
      </c>
    </row>
    <row r="825" spans="1:5" x14ac:dyDescent="0.25">
      <c r="A825" s="34">
        <f t="shared" si="68"/>
        <v>81.299999999999656</v>
      </c>
      <c r="B825" s="35">
        <f t="shared" ca="1" si="69"/>
        <v>-3.6382530410007984E+16</v>
      </c>
      <c r="C825" s="1">
        <f t="shared" ca="1" si="70"/>
        <v>2.3911040331129352E+16</v>
      </c>
      <c r="D825" s="1">
        <f t="shared" ca="1" si="71"/>
        <v>9.6676101151145344E+16</v>
      </c>
      <c r="E825" s="37">
        <f t="shared" ca="1" si="72"/>
        <v>1.4553012164003194E+17</v>
      </c>
    </row>
    <row r="826" spans="1:5" x14ac:dyDescent="0.25">
      <c r="A826" s="34">
        <f t="shared" si="68"/>
        <v>81.39999999999965</v>
      </c>
      <c r="B826" s="35">
        <f t="shared" ca="1" si="69"/>
        <v>-3.9096642659390576E+16</v>
      </c>
      <c r="C826" s="1">
        <f t="shared" ca="1" si="70"/>
        <v>3.7309611606937656E+16</v>
      </c>
      <c r="D826" s="1">
        <f t="shared" ca="1" si="71"/>
        <v>1.1550289692571882E+17</v>
      </c>
      <c r="E826" s="37">
        <f t="shared" ca="1" si="72"/>
        <v>1.563865706375623E+17</v>
      </c>
    </row>
    <row r="827" spans="1:5" x14ac:dyDescent="0.25">
      <c r="A827" s="34">
        <f t="shared" si="68"/>
        <v>81.499999999999645</v>
      </c>
      <c r="B827" s="35">
        <f t="shared" ca="1" si="69"/>
        <v>-4.1367957865604104E+16</v>
      </c>
      <c r="C827" s="1">
        <f t="shared" ca="1" si="70"/>
        <v>5.4288779221677264E+16</v>
      </c>
      <c r="D827" s="1">
        <f t="shared" ca="1" si="71"/>
        <v>1.3702469495288547E+17</v>
      </c>
      <c r="E827" s="37">
        <f t="shared" ca="1" si="72"/>
        <v>1.6547183146241642E+17</v>
      </c>
    </row>
    <row r="828" spans="1:5" x14ac:dyDescent="0.25">
      <c r="A828" s="34">
        <f t="shared" si="68"/>
        <v>81.599999999999639</v>
      </c>
      <c r="B828" s="35">
        <f t="shared" ca="1" si="69"/>
        <v>-4.2948354338355824E+16</v>
      </c>
      <c r="C828" s="1">
        <f t="shared" ca="1" si="70"/>
        <v>7.5545831907739792E+16</v>
      </c>
      <c r="D828" s="1">
        <f t="shared" ca="1" si="71"/>
        <v>1.6144254058445146E+17</v>
      </c>
      <c r="E828" s="37">
        <f t="shared" ca="1" si="72"/>
        <v>1.717934173534233E+17</v>
      </c>
    </row>
    <row r="829" spans="1:5" x14ac:dyDescent="0.25">
      <c r="A829" s="34">
        <f t="shared" si="68"/>
        <v>81.699999999999633</v>
      </c>
      <c r="B829" s="35">
        <f t="shared" ca="1" si="69"/>
        <v>-4.3523403047743152E+16</v>
      </c>
      <c r="C829" s="1">
        <f t="shared" ca="1" si="70"/>
        <v>1.0187787329576104E+17</v>
      </c>
      <c r="D829" s="1">
        <f t="shared" ca="1" si="71"/>
        <v>1.8892467939124736E+17</v>
      </c>
      <c r="E829" s="37">
        <f t="shared" ca="1" si="72"/>
        <v>1.7409361219097261E+17</v>
      </c>
    </row>
    <row r="830" spans="1:5" x14ac:dyDescent="0.25">
      <c r="A830" s="34">
        <f t="shared" si="68"/>
        <v>81.799999999999628</v>
      </c>
      <c r="B830" s="35">
        <f t="shared" ca="1" si="69"/>
        <v>-4.2699454869950112E+16</v>
      </c>
      <c r="C830" s="1">
        <f t="shared" ca="1" si="70"/>
        <v>1.3418926803876198E+17</v>
      </c>
      <c r="D830" s="1">
        <f t="shared" ca="1" si="71"/>
        <v>2.1958817777866221E+17</v>
      </c>
      <c r="E830" s="37">
        <f t="shared" ca="1" si="72"/>
        <v>1.7079781947980045E+17</v>
      </c>
    </row>
    <row r="831" spans="1:5" x14ac:dyDescent="0.25">
      <c r="A831" s="34">
        <f t="shared" si="68"/>
        <v>81.899999999999622</v>
      </c>
      <c r="B831" s="35">
        <f t="shared" ca="1" si="69"/>
        <v>-3.998887940890224E+16</v>
      </c>
      <c r="C831" s="1">
        <f t="shared" ca="1" si="70"/>
        <v>1.7349787312958688E+17</v>
      </c>
      <c r="D831" s="1">
        <f t="shared" ca="1" si="71"/>
        <v>2.5347563194739136E+17</v>
      </c>
      <c r="E831" s="37">
        <f t="shared" ca="1" si="72"/>
        <v>1.5995551763560896E+17</v>
      </c>
    </row>
    <row r="832" spans="1:5" x14ac:dyDescent="0.25">
      <c r="A832" s="34">
        <f t="shared" si="68"/>
        <v>81.999999999999616</v>
      </c>
      <c r="B832" s="35">
        <f t="shared" ca="1" si="69"/>
        <v>-3.4793317502692108E+16</v>
      </c>
      <c r="C832" s="1">
        <f t="shared" ca="1" si="70"/>
        <v>2.2093937369369558E+17</v>
      </c>
      <c r="D832" s="1">
        <f t="shared" ca="1" si="71"/>
        <v>2.9052600869907981E+17</v>
      </c>
      <c r="E832" s="37">
        <f t="shared" ca="1" si="72"/>
        <v>1.3917327001076843E+17</v>
      </c>
    </row>
    <row r="833" spans="1:5" x14ac:dyDescent="0.25">
      <c r="A833" s="34">
        <f t="shared" si="68"/>
        <v>82.099999999999611</v>
      </c>
      <c r="B833" s="35">
        <f t="shared" ca="1" si="69"/>
        <v>-2.6384832020008144E+16</v>
      </c>
      <c r="C833" s="1">
        <f t="shared" ca="1" si="70"/>
        <v>2.7776886062622618E+17</v>
      </c>
      <c r="D833" s="1">
        <f t="shared" ca="1" si="71"/>
        <v>3.305385246662425E+17</v>
      </c>
      <c r="E833" s="37">
        <f t="shared" ca="1" si="72"/>
        <v>1.0553932808003258E+17</v>
      </c>
    </row>
    <row r="834" spans="1:5" x14ac:dyDescent="0.25">
      <c r="A834" s="34">
        <f t="shared" si="68"/>
        <v>82.199999999999605</v>
      </c>
      <c r="B834" s="35">
        <f t="shared" ca="1" si="69"/>
        <v>-1.3884876654107594E+16</v>
      </c>
      <c r="C834" s="1">
        <f t="shared" ca="1" si="70"/>
        <v>3.453585701031671E+17</v>
      </c>
      <c r="D834" s="1">
        <f t="shared" ca="1" si="71"/>
        <v>3.7312832341138234E+17</v>
      </c>
      <c r="E834" s="37">
        <f t="shared" ca="1" si="72"/>
        <v>5.5539506616430376E+16</v>
      </c>
    </row>
    <row r="835" spans="1:5" x14ac:dyDescent="0.25">
      <c r="A835" s="34">
        <f t="shared" si="68"/>
        <v>82.299999999999599</v>
      </c>
      <c r="B835" s="35">
        <f t="shared" ca="1" si="69"/>
        <v>3758946501167514</v>
      </c>
      <c r="C835" s="1">
        <f t="shared" ca="1" si="70"/>
        <v>4.2519044716033926E+17</v>
      </c>
      <c r="D835" s="1">
        <f t="shared" ca="1" si="71"/>
        <v>4.1767255415800429E+17</v>
      </c>
      <c r="E835" s="37">
        <f t="shared" ca="1" si="72"/>
        <v>-1.5035786004670056E+16</v>
      </c>
    </row>
    <row r="836" spans="1:5" x14ac:dyDescent="0.25">
      <c r="A836" s="34">
        <f t="shared" si="68"/>
        <v>82.399999999999594</v>
      </c>
      <c r="B836" s="35">
        <f t="shared" ca="1" si="69"/>
        <v>2.77982987324272E+16</v>
      </c>
      <c r="C836" s="1">
        <f t="shared" ca="1" si="70"/>
        <v>5.188418917512663E+17</v>
      </c>
      <c r="D836" s="1">
        <f t="shared" ca="1" si="71"/>
        <v>4.6324529428641197E+17</v>
      </c>
      <c r="E836" s="37">
        <f t="shared" ca="1" si="72"/>
        <v>-1.111931949297088E+17</v>
      </c>
    </row>
    <row r="837" spans="1:5" x14ac:dyDescent="0.25">
      <c r="A837" s="34">
        <f t="shared" si="68"/>
        <v>82.499999999999588</v>
      </c>
      <c r="B837" s="35">
        <f t="shared" ca="1" si="69"/>
        <v>5.97115481333228E+16</v>
      </c>
      <c r="C837" s="1">
        <f t="shared" ca="1" si="70"/>
        <v>6.2796269019989722E+17</v>
      </c>
      <c r="D837" s="1">
        <f t="shared" ca="1" si="71"/>
        <v>5.0853959393325171E+17</v>
      </c>
      <c r="E837" s="37">
        <f t="shared" ca="1" si="72"/>
        <v>-2.388461925332912E+17</v>
      </c>
    </row>
    <row r="838" spans="1:5" x14ac:dyDescent="0.25">
      <c r="A838" s="34">
        <f t="shared" si="68"/>
        <v>82.599999999999582</v>
      </c>
      <c r="B838" s="35">
        <f t="shared" ca="1" si="69"/>
        <v>1.0123298071479741E+17</v>
      </c>
      <c r="C838" s="1">
        <f t="shared" ca="1" si="70"/>
        <v>7.5424072177024717E+17</v>
      </c>
      <c r="D838" s="1">
        <f t="shared" ca="1" si="71"/>
        <v>5.5177476034065242E+17</v>
      </c>
      <c r="E838" s="37">
        <f t="shared" ca="1" si="72"/>
        <v>-4.0493192285918963E+17</v>
      </c>
    </row>
    <row r="839" spans="1:5" x14ac:dyDescent="0.25">
      <c r="A839" s="34">
        <f t="shared" si="68"/>
        <v>82.699999999999577</v>
      </c>
      <c r="B839" s="35">
        <f t="shared" ca="1" si="69"/>
        <v>1.543833520036775E+17</v>
      </c>
      <c r="C839" s="1">
        <f t="shared" ca="1" si="70"/>
        <v>8.9935355311590272E+17</v>
      </c>
      <c r="D839" s="1">
        <f t="shared" ca="1" si="71"/>
        <v>5.9058684910854771E+17</v>
      </c>
      <c r="E839" s="37">
        <f t="shared" ca="1" si="72"/>
        <v>-6.1753340801471002E+17</v>
      </c>
    </row>
    <row r="840" spans="1:5" x14ac:dyDescent="0.25">
      <c r="A840" s="34">
        <f t="shared" si="68"/>
        <v>82.799999999999571</v>
      </c>
      <c r="B840" s="35">
        <f t="shared" ca="1" si="69"/>
        <v>2.215011440660807E+17</v>
      </c>
      <c r="C840" s="1">
        <f t="shared" ca="1" si="70"/>
        <v>1.0649024866963972E+18</v>
      </c>
      <c r="D840" s="1">
        <f t="shared" ca="1" si="71"/>
        <v>6.2190019856423578E+17</v>
      </c>
      <c r="E840" s="37">
        <f t="shared" ca="1" si="72"/>
        <v>-8.8600457626432282E+17</v>
      </c>
    </row>
    <row r="841" spans="1:5" x14ac:dyDescent="0.25">
      <c r="A841" s="34">
        <f t="shared" si="68"/>
        <v>82.899999999999565</v>
      </c>
      <c r="B841" s="35">
        <f t="shared" ca="1" si="69"/>
        <v>3.0527363155655616E+17</v>
      </c>
      <c r="C841" s="1">
        <f t="shared" ca="1" si="70"/>
        <v>1.2523250072809119E+18</v>
      </c>
      <c r="D841" s="1">
        <f t="shared" ca="1" si="71"/>
        <v>6.4177774416779955E+17</v>
      </c>
      <c r="E841" s="37">
        <f t="shared" ca="1" si="72"/>
        <v>-1.2210945262262246E+18</v>
      </c>
    </row>
    <row r="842" spans="1:5" x14ac:dyDescent="0.25">
      <c r="A842" s="34">
        <f t="shared" si="68"/>
        <v>82.999999999999559</v>
      </c>
      <c r="B842" s="35">
        <f t="shared" ca="1" si="69"/>
        <v>4.087665354673353E+17</v>
      </c>
      <c r="C842" s="1">
        <f t="shared" ca="1" si="70"/>
        <v>1.462780868552991E+18</v>
      </c>
      <c r="D842" s="1">
        <f t="shared" ca="1" si="71"/>
        <v>6.4524779761832038E+17</v>
      </c>
      <c r="E842" s="37">
        <f t="shared" ca="1" si="72"/>
        <v>-1.6350661418693412E+18</v>
      </c>
    </row>
    <row r="843" spans="1:5" x14ac:dyDescent="0.25">
      <c r="A843" s="34">
        <f t="shared" si="68"/>
        <v>83.099999999999554</v>
      </c>
      <c r="B843" s="35">
        <f t="shared" ca="1" si="69"/>
        <v>5.3545064321664986E+17</v>
      </c>
      <c r="C843" s="1">
        <f t="shared" ca="1" si="70"/>
        <v>1.6970062759053588E+18</v>
      </c>
      <c r="D843" s="1">
        <f t="shared" ca="1" si="71"/>
        <v>6.2610498947205926E+17</v>
      </c>
      <c r="E843" s="37">
        <f t="shared" ca="1" si="72"/>
        <v>-2.1418025728665994E+18</v>
      </c>
    </row>
    <row r="844" spans="1:5" x14ac:dyDescent="0.25">
      <c r="A844" s="34">
        <f t="shared" si="68"/>
        <v>83.199999999999548</v>
      </c>
      <c r="B844" s="35">
        <f t="shared" ca="1" si="69"/>
        <v>6.8922328556879757E+17</v>
      </c>
      <c r="C844" s="1">
        <f t="shared" ca="1" si="70"/>
        <v>1.955129749836183E+18</v>
      </c>
      <c r="D844" s="1">
        <f t="shared" ca="1" si="71"/>
        <v>5.7668317869858816E+17</v>
      </c>
      <c r="E844" s="37">
        <f t="shared" ca="1" si="72"/>
        <v>-2.7568931422751903E+18</v>
      </c>
    </row>
    <row r="845" spans="1:5" x14ac:dyDescent="0.25">
      <c r="A845" s="34">
        <f t="shared" si="68"/>
        <v>83.299999999999542</v>
      </c>
      <c r="B845" s="35">
        <f t="shared" ca="1" si="69"/>
        <v>8.744219700673408E+17</v>
      </c>
      <c r="C845" s="1">
        <f t="shared" ca="1" si="70"/>
        <v>2.2364422974511575E+18</v>
      </c>
      <c r="D845" s="1">
        <f t="shared" ca="1" si="71"/>
        <v>4.8759835731647629E+17</v>
      </c>
      <c r="E845" s="37">
        <f t="shared" ca="1" si="72"/>
        <v>-3.4976878802693632E+18</v>
      </c>
    </row>
    <row r="846" spans="1:5" x14ac:dyDescent="0.25">
      <c r="A846" s="34">
        <f t="shared" ref="A846:A909" si="73">A845+$A$9</f>
        <v>83.399999999999537</v>
      </c>
      <c r="B846" s="35">
        <f t="shared" ca="1" si="69"/>
        <v>1.0958267610443319E+18</v>
      </c>
      <c r="C846" s="1">
        <f t="shared" ca="1" si="70"/>
        <v>2.5391134813142282E+18</v>
      </c>
      <c r="D846" s="1">
        <f t="shared" ca="1" si="71"/>
        <v>3.4745995922556461E+17</v>
      </c>
      <c r="E846" s="37">
        <f t="shared" ca="1" si="72"/>
        <v>-4.3833070441773276E+18</v>
      </c>
    </row>
    <row r="847" spans="1:5" x14ac:dyDescent="0.25">
      <c r="A847" s="34">
        <f t="shared" si="73"/>
        <v>83.499999999999531</v>
      </c>
      <c r="B847" s="35">
        <f t="shared" ca="1" si="69"/>
        <v>1.3586471501222702E+18</v>
      </c>
      <c r="C847" s="1">
        <f t="shared" ca="1" si="70"/>
        <v>2.8598438635964273E+18</v>
      </c>
      <c r="D847" s="1">
        <f t="shared" ca="1" si="71"/>
        <v>1.4254956335188691E+17</v>
      </c>
      <c r="E847" s="37">
        <f t="shared" ca="1" si="72"/>
        <v>-5.4345886004890808E+18</v>
      </c>
    </row>
    <row r="848" spans="1:5" x14ac:dyDescent="0.25">
      <c r="A848" s="34">
        <f t="shared" si="73"/>
        <v>83.599999999999525</v>
      </c>
      <c r="B848" s="35">
        <f t="shared" ca="1" si="69"/>
        <v>1.6684881592245463E+18</v>
      </c>
      <c r="C848" s="1">
        <f t="shared" ca="1" si="70"/>
        <v>3.1934431332573512E+18</v>
      </c>
      <c r="D848" s="1">
        <f t="shared" ca="1" si="71"/>
        <v>-1.4353318519174128E+17</v>
      </c>
      <c r="E848" s="37">
        <f t="shared" ca="1" si="72"/>
        <v>-6.6739526368981852E+18</v>
      </c>
    </row>
    <row r="849" spans="1:5" x14ac:dyDescent="0.25">
      <c r="A849" s="34">
        <f t="shared" si="73"/>
        <v>83.69999999999952</v>
      </c>
      <c r="B849" s="35">
        <f t="shared" ca="1" si="69"/>
        <v>2.0312892398749043E+18</v>
      </c>
      <c r="C849" s="1">
        <f t="shared" ca="1" si="70"/>
        <v>3.5323220163757522E+18</v>
      </c>
      <c r="D849" s="1">
        <f t="shared" ca="1" si="71"/>
        <v>-5.3025646337405619E+17</v>
      </c>
      <c r="E849" s="37">
        <f t="shared" ca="1" si="72"/>
        <v>-8.1251569594996173E+18</v>
      </c>
    </row>
    <row r="850" spans="1:5" x14ac:dyDescent="0.25">
      <c r="A850" s="34">
        <f t="shared" si="73"/>
        <v>83.799999999999514</v>
      </c>
      <c r="B850" s="35">
        <f t="shared" ca="1" si="69"/>
        <v>2.4532281563263242E+18</v>
      </c>
      <c r="C850" s="1">
        <f t="shared" ca="1" si="70"/>
        <v>3.8658848555981629E+18</v>
      </c>
      <c r="D850" s="1">
        <f t="shared" ca="1" si="71"/>
        <v>-1.0405714570544858E+18</v>
      </c>
      <c r="E850" s="37">
        <f t="shared" ca="1" si="72"/>
        <v>-9.8129126253052969E+18</v>
      </c>
    </row>
    <row r="851" spans="1:5" x14ac:dyDescent="0.25">
      <c r="A851" s="34">
        <f t="shared" si="73"/>
        <v>83.899999999999508</v>
      </c>
      <c r="B851" s="35">
        <f t="shared" ca="1" si="69"/>
        <v>2.9405804434513695E+18</v>
      </c>
      <c r="C851" s="1">
        <f t="shared" ca="1" si="70"/>
        <v>4.1798085665474606E+18</v>
      </c>
      <c r="D851" s="1">
        <f t="shared" ca="1" si="71"/>
        <v>-1.7013523203552783E+18</v>
      </c>
      <c r="E851" s="37">
        <f t="shared" ca="1" si="72"/>
        <v>-1.1762321773805478E+19</v>
      </c>
    </row>
    <row r="852" spans="1:5" x14ac:dyDescent="0.25">
      <c r="A852" s="34">
        <f t="shared" si="73"/>
        <v>83.999999999999503</v>
      </c>
      <c r="B852" s="35">
        <f t="shared" ca="1" si="69"/>
        <v>3.4995231908652698E+18</v>
      </c>
      <c r="C852" s="1">
        <f t="shared" ca="1" si="70"/>
        <v>4.4551925939021476E+18</v>
      </c>
      <c r="D852" s="1">
        <f t="shared" ca="1" si="71"/>
        <v>-2.5438537878283914E+18</v>
      </c>
      <c r="E852" s="37">
        <f t="shared" ca="1" si="72"/>
        <v>-1.3998092763461079E+19</v>
      </c>
    </row>
    <row r="853" spans="1:5" x14ac:dyDescent="0.25">
      <c r="A853" s="34">
        <f t="shared" si="73"/>
        <v>84.099999999999497</v>
      </c>
      <c r="B853" s="35">
        <f t="shared" ca="1" si="69"/>
        <v>4.1358698006226412E+18</v>
      </c>
      <c r="C853" s="1">
        <f t="shared" ca="1" si="70"/>
        <v>4.6675635723547873E+18</v>
      </c>
      <c r="D853" s="1">
        <f t="shared" ca="1" si="71"/>
        <v>-3.604176028890495E+18</v>
      </c>
      <c r="E853" s="37">
        <f t="shared" ca="1" si="72"/>
        <v>-1.6543479202490565E+19</v>
      </c>
    </row>
    <row r="854" spans="1:5" x14ac:dyDescent="0.25">
      <c r="A854" s="34">
        <f t="shared" si="73"/>
        <v>84.199999999999491</v>
      </c>
      <c r="B854" s="35">
        <f t="shared" ref="B854:B917" ca="1" si="74">IF($B$7="n",$B$12,$A$9/2*(C854+C853)+B853)</f>
        <v>4.8547199769337559E+18</v>
      </c>
      <c r="C854" s="1">
        <f t="shared" ref="C854:C917" ca="1" si="75">D854</f>
        <v>4.7857177438508196E+18</v>
      </c>
      <c r="D854" s="1">
        <f t="shared" ref="D854:D917" ca="1" si="76">IF($B$7="n",$D$12,$A$9/2*(E854+E853)+D853)</f>
        <v>-4.9237222100166922E+18</v>
      </c>
      <c r="E854" s="37">
        <f t="shared" ref="E854:E917" ca="1" si="77" xml:space="preserve"> -R_x/L_x*D854-1/(L_x*C_x)*B854+E0_x*SIN(w_x*A854)/L_x</f>
        <v>-1.9418879907735024E+19</v>
      </c>
    </row>
    <row r="855" spans="1:5" x14ac:dyDescent="0.25">
      <c r="A855" s="34">
        <f t="shared" si="73"/>
        <v>84.299999999999486</v>
      </c>
      <c r="B855" s="35">
        <f t="shared" ca="1" si="74"/>
        <v>5.6600065156958853E+18</v>
      </c>
      <c r="C855" s="1">
        <f t="shared" ca="1" si="75"/>
        <v>4.7703839142768333E+18</v>
      </c>
      <c r="D855" s="1">
        <f t="shared" ca="1" si="76"/>
        <v>-6.5496291171149373E+18</v>
      </c>
      <c r="E855" s="37">
        <f t="shared" ca="1" si="77"/>
        <v>-2.2640026062783541E+19</v>
      </c>
    </row>
    <row r="856" spans="1:5" x14ac:dyDescent="0.25">
      <c r="A856" s="34">
        <f t="shared" si="73"/>
        <v>84.39999999999948</v>
      </c>
      <c r="B856" s="35">
        <f t="shared" ca="1" si="74"/>
        <v>6.553917457121919E+18</v>
      </c>
      <c r="C856" s="1">
        <f t="shared" ca="1" si="75"/>
        <v>4.5726900028503772E+18</v>
      </c>
      <c r="D856" s="1">
        <f t="shared" ca="1" si="76"/>
        <v>-8.5351449113934602E+18</v>
      </c>
      <c r="E856" s="37">
        <f t="shared" ca="1" si="77"/>
        <v>-2.6215669828487676E+19</v>
      </c>
    </row>
    <row r="857" spans="1:5" x14ac:dyDescent="0.25">
      <c r="A857" s="34">
        <f t="shared" si="73"/>
        <v>84.499999999999474</v>
      </c>
      <c r="B857" s="35">
        <f t="shared" ca="1" si="74"/>
        <v>7.5361688414049311E+18</v>
      </c>
      <c r="C857" s="1">
        <f t="shared" ca="1" si="75"/>
        <v>4.1324172352344791E+18</v>
      </c>
      <c r="D857" s="1">
        <f t="shared" ca="1" si="76"/>
        <v>-1.0939920447575382E+19</v>
      </c>
      <c r="E857" s="37">
        <f t="shared" ca="1" si="77"/>
        <v>-3.0144675365619724E+19</v>
      </c>
    </row>
    <row r="858" spans="1:5" x14ac:dyDescent="0.25">
      <c r="A858" s="34">
        <f t="shared" si="73"/>
        <v>84.599999999999469</v>
      </c>
      <c r="B858" s="35">
        <f t="shared" ca="1" si="74"/>
        <v>8.603099670185173E+18</v>
      </c>
      <c r="C858" s="1">
        <f t="shared" ca="1" si="75"/>
        <v>3.3760279894188232E+18</v>
      </c>
      <c r="D858" s="1">
        <f t="shared" ca="1" si="76"/>
        <v>-1.383017135095152E+19</v>
      </c>
      <c r="E858" s="37">
        <f t="shared" ca="1" si="77"/>
        <v>-3.4412398680740692E+19</v>
      </c>
    </row>
    <row r="859" spans="1:5" x14ac:dyDescent="0.25">
      <c r="A859" s="34">
        <f t="shared" si="73"/>
        <v>84.699999999999463</v>
      </c>
      <c r="B859" s="35">
        <f t="shared" ca="1" si="74"/>
        <v>9.7465567440623493E+18</v>
      </c>
      <c r="C859" s="1">
        <f t="shared" ca="1" si="75"/>
        <v>2.2144565048040791E+18</v>
      </c>
      <c r="D859" s="1">
        <f t="shared" ca="1" si="76"/>
        <v>-1.7278656983320617E+19</v>
      </c>
      <c r="E859" s="37">
        <f t="shared" ca="1" si="77"/>
        <v>-3.8986226976249397E+19</v>
      </c>
    </row>
    <row r="860" spans="1:5" x14ac:dyDescent="0.25">
      <c r="A860" s="34">
        <f t="shared" si="73"/>
        <v>84.799999999999457</v>
      </c>
      <c r="B860" s="35">
        <f t="shared" ca="1" si="74"/>
        <v>1.0952532854780615E+19</v>
      </c>
      <c r="C860" s="1">
        <f t="shared" ca="1" si="75"/>
        <v>5.4065645163557478E+17</v>
      </c>
      <c r="D860" s="1">
        <f t="shared" ca="1" si="76"/>
        <v>-2.1364409257925652E+19</v>
      </c>
      <c r="E860" s="37">
        <f t="shared" ca="1" si="77"/>
        <v>-4.3810131419122459E+19</v>
      </c>
    </row>
    <row r="861" spans="1:5" x14ac:dyDescent="0.25">
      <c r="A861" s="34">
        <f t="shared" si="73"/>
        <v>84.899999999999451</v>
      </c>
      <c r="B861" s="35">
        <f t="shared" ca="1" si="74"/>
        <v>1.2199517419291548E+19</v>
      </c>
      <c r="C861" s="1">
        <f t="shared" ca="1" si="75"/>
        <v>-1.7730938601744338E+18</v>
      </c>
      <c r="D861" s="1">
        <f t="shared" ca="1" si="76"/>
        <v>-2.617212869875753E+19</v>
      </c>
      <c r="E861" s="37">
        <f t="shared" ca="1" si="77"/>
        <v>-4.8798069677166191E+19</v>
      </c>
    </row>
    <row r="862" spans="1:5" x14ac:dyDescent="0.25">
      <c r="A862" s="34">
        <f t="shared" si="73"/>
        <v>84.999999999999446</v>
      </c>
      <c r="B862" s="35">
        <f t="shared" ca="1" si="74"/>
        <v>1.3456514140314251E+19</v>
      </c>
      <c r="C862" s="1">
        <f t="shared" ca="1" si="75"/>
        <v>-4.8781185889446523E+18</v>
      </c>
      <c r="D862" s="1">
        <f t="shared" ca="1" si="76"/>
        <v>-3.1791146869573157E+19</v>
      </c>
      <c r="E862" s="37">
        <f t="shared" ca="1" si="77"/>
        <v>-5.3826056561257005E+19</v>
      </c>
    </row>
    <row r="863" spans="1:5" x14ac:dyDescent="0.25">
      <c r="A863" s="34">
        <f t="shared" si="73"/>
        <v>85.09999999999944</v>
      </c>
      <c r="B863" s="35">
        <f t="shared" ca="1" si="74"/>
        <v>1.4680675789852244E+19</v>
      </c>
      <c r="C863" s="1">
        <f t="shared" ca="1" si="75"/>
        <v>-8.9524814176688538E+18</v>
      </c>
      <c r="D863" s="1">
        <f t="shared" ca="1" si="76"/>
        <v>-3.8313832997373346E+19</v>
      </c>
      <c r="E863" s="37">
        <f t="shared" ca="1" si="77"/>
        <v>-5.8722703159408976E+19</v>
      </c>
    </row>
    <row r="864" spans="1:5" x14ac:dyDescent="0.25">
      <c r="A864" s="34">
        <f t="shared" si="73"/>
        <v>85.199999999999434</v>
      </c>
      <c r="B864" s="35">
        <f t="shared" ca="1" si="74"/>
        <v>1.5814501909965335E+19</v>
      </c>
      <c r="C864" s="1">
        <f t="shared" ca="1" si="75"/>
        <v>-1.4204294130451321E+19</v>
      </c>
      <c r="D864" s="1">
        <f t="shared" ca="1" si="76"/>
        <v>-4.5833297950381998E+19</v>
      </c>
      <c r="E864" s="37">
        <f t="shared" ca="1" si="77"/>
        <v>-6.3258007639861338E+19</v>
      </c>
    </row>
    <row r="865" spans="1:5" x14ac:dyDescent="0.25">
      <c r="A865" s="34">
        <f t="shared" si="73"/>
        <v>85.299999999999429</v>
      </c>
      <c r="B865" s="35">
        <f t="shared" ca="1" si="74"/>
        <v>1.6782541337158631E+19</v>
      </c>
      <c r="C865" s="1">
        <f t="shared" ca="1" si="75"/>
        <v>-2.0875137694988358E+19</v>
      </c>
      <c r="D865" s="1">
        <f t="shared" ca="1" si="76"/>
        <v>-5.4440220369305633E+19</v>
      </c>
      <c r="E865" s="37">
        <f t="shared" ca="1" si="77"/>
        <v>-6.7130165348634526E+19</v>
      </c>
    </row>
    <row r="866" spans="1:5" x14ac:dyDescent="0.25">
      <c r="A866" s="34">
        <f t="shared" si="73"/>
        <v>85.399999999999423</v>
      </c>
      <c r="B866" s="35">
        <f t="shared" ca="1" si="74"/>
        <v>1.7487538280454683E+19</v>
      </c>
      <c r="C866" s="1">
        <f t="shared" ca="1" si="75"/>
        <v>-2.9243510813243245E+19</v>
      </c>
      <c r="D866" s="1">
        <f t="shared" ca="1" si="76"/>
        <v>-6.4218587374152622E+19</v>
      </c>
      <c r="E866" s="37">
        <f t="shared" ca="1" si="77"/>
        <v>-6.995015312181873E+19</v>
      </c>
    </row>
    <row r="867" spans="1:5" x14ac:dyDescent="0.25">
      <c r="A867" s="34">
        <f t="shared" si="73"/>
        <v>85.499999999999417</v>
      </c>
      <c r="B867" s="35">
        <f t="shared" ca="1" si="74"/>
        <v>1.7805958599769467E+19</v>
      </c>
      <c r="C867" s="1">
        <f t="shared" ca="1" si="75"/>
        <v>-3.9628188389620564E+19</v>
      </c>
      <c r="D867" s="1">
        <f t="shared" ca="1" si="76"/>
        <v>-7.524010558915951E+19</v>
      </c>
      <c r="E867" s="37">
        <f t="shared" ca="1" si="77"/>
        <v>-7.1223834399077868E+19</v>
      </c>
    </row>
    <row r="868" spans="1:5" x14ac:dyDescent="0.25">
      <c r="A868" s="34">
        <f t="shared" si="73"/>
        <v>85.599999999999412</v>
      </c>
      <c r="B868" s="35">
        <f t="shared" ca="1" si="74"/>
        <v>1.7582832422542709E+19</v>
      </c>
      <c r="C868" s="1">
        <f t="shared" ca="1" si="75"/>
        <v>-5.239133216504057E+19</v>
      </c>
      <c r="D868" s="1">
        <f t="shared" ca="1" si="76"/>
        <v>-8.7556997010126012E+19</v>
      </c>
      <c r="E868" s="37">
        <f t="shared" ca="1" si="77"/>
        <v>-7.0331329690170835E+19</v>
      </c>
    </row>
    <row r="869" spans="1:5" x14ac:dyDescent="0.25">
      <c r="A869" s="34">
        <f t="shared" si="73"/>
        <v>85.699999999999406</v>
      </c>
      <c r="B869" s="35">
        <f t="shared" ca="1" si="74"/>
        <v>1.6625850904767422E+19</v>
      </c>
      <c r="C869" s="1">
        <f t="shared" ca="1" si="75"/>
        <v>-6.7941146517836857E+19</v>
      </c>
      <c r="D869" s="1">
        <f t="shared" ca="1" si="76"/>
        <v>-1.0119284832737172E+20</v>
      </c>
      <c r="E869" s="37">
        <f t="shared" ca="1" si="77"/>
        <v>-6.650340361906969E+19</v>
      </c>
    </row>
    <row r="870" spans="1:5" x14ac:dyDescent="0.25">
      <c r="A870" s="34">
        <f t="shared" si="73"/>
        <v>85.7999999999994</v>
      </c>
      <c r="B870" s="35">
        <f t="shared" ca="1" si="74"/>
        <v>1.4698659532083978E+19</v>
      </c>
      <c r="C870" s="1">
        <f t="shared" ca="1" si="75"/>
        <v>-8.6733812611748921E+19</v>
      </c>
      <c r="D870" s="1">
        <f t="shared" ca="1" si="76"/>
        <v>-1.1613113167591689E+20</v>
      </c>
      <c r="E870" s="37">
        <f t="shared" ca="1" si="77"/>
        <v>-5.8794638128335913E+19</v>
      </c>
    </row>
    <row r="871" spans="1:5" x14ac:dyDescent="0.25">
      <c r="A871" s="34">
        <f t="shared" si="73"/>
        <v>85.899999999999395</v>
      </c>
      <c r="B871" s="35">
        <f t="shared" ca="1" si="74"/>
        <v>1.1513298779440591E+19</v>
      </c>
      <c r="C871" s="1">
        <f t="shared" ca="1" si="75"/>
        <v>-1.0927436197704512E+20</v>
      </c>
      <c r="D871" s="1">
        <f t="shared" ca="1" si="76"/>
        <v>-1.3230095953592633E+20</v>
      </c>
      <c r="E871" s="37">
        <f t="shared" ca="1" si="77"/>
        <v>-4.6053195117762363E+19</v>
      </c>
    </row>
    <row r="872" spans="1:5" x14ac:dyDescent="0.25">
      <c r="A872" s="34">
        <f t="shared" si="73"/>
        <v>85.999999999999389</v>
      </c>
      <c r="B872" s="35">
        <f t="shared" ca="1" si="74"/>
        <v>6.7217563117648169E+18</v>
      </c>
      <c r="C872" s="1">
        <f t="shared" ca="1" si="75"/>
        <v>-1.3611606436737529E+20</v>
      </c>
      <c r="D872" s="1">
        <f t="shared" ca="1" si="76"/>
        <v>-1.4955957699090494E+20</v>
      </c>
      <c r="E872" s="37">
        <f t="shared" ca="1" si="77"/>
        <v>-2.6887025247059268E+19</v>
      </c>
    </row>
    <row r="873" spans="1:5" x14ac:dyDescent="0.25">
      <c r="A873" s="34">
        <f t="shared" si="73"/>
        <v>86.099999999999383</v>
      </c>
      <c r="B873" s="35">
        <f t="shared" ca="1" si="74"/>
        <v>-9.3385451782163456E+16</v>
      </c>
      <c r="C873" s="1">
        <f t="shared" ca="1" si="75"/>
        <v>-1.6785780229607309E+20</v>
      </c>
      <c r="D873" s="1">
        <f t="shared" ca="1" si="76"/>
        <v>-1.6767103139250877E+20</v>
      </c>
      <c r="E873" s="37">
        <f t="shared" ca="1" si="77"/>
        <v>3.7354180712865382E+17</v>
      </c>
    </row>
    <row r="874" spans="1:5" x14ac:dyDescent="0.25">
      <c r="A874" s="34">
        <f t="shared" si="73"/>
        <v>86.199999999999378</v>
      </c>
      <c r="B874" s="35">
        <f t="shared" ca="1" si="74"/>
        <v>-9.4291950739842417E+18</v>
      </c>
      <c r="C874" s="1">
        <f t="shared" ca="1" si="75"/>
        <v>-2.0513878381702663E+20</v>
      </c>
      <c r="D874" s="1">
        <f t="shared" ca="1" si="76"/>
        <v>-1.8628039366905817E+20</v>
      </c>
      <c r="E874" s="37">
        <f t="shared" ca="1" si="77"/>
        <v>3.7716780295936967E+19</v>
      </c>
    </row>
    <row r="875" spans="1:5" x14ac:dyDescent="0.25">
      <c r="A875" s="34">
        <f t="shared" si="73"/>
        <v>86.299999999999372</v>
      </c>
      <c r="B875" s="35">
        <f t="shared" ca="1" si="74"/>
        <v>-2.1873482516483973E+19</v>
      </c>
      <c r="C875" s="1">
        <f t="shared" ca="1" si="75"/>
        <v>-2.4862980353770272E+20</v>
      </c>
      <c r="D875" s="1">
        <f t="shared" ca="1" si="76"/>
        <v>-2.0488283850473479E+20</v>
      </c>
      <c r="E875" s="37">
        <f t="shared" ca="1" si="77"/>
        <v>8.7493930065935892E+19</v>
      </c>
    </row>
    <row r="876" spans="1:5" x14ac:dyDescent="0.25">
      <c r="A876" s="34">
        <f t="shared" si="73"/>
        <v>86.399999999999366</v>
      </c>
      <c r="B876" s="35">
        <f t="shared" ca="1" si="74"/>
        <v>-3.8116636325965677E+19</v>
      </c>
      <c r="C876" s="1">
        <f t="shared" ca="1" si="75"/>
        <v>-2.9902009709797356E+20</v>
      </c>
      <c r="D876" s="1">
        <f t="shared" ca="1" si="76"/>
        <v>-2.2278682444604221E+20</v>
      </c>
      <c r="E876" s="37">
        <f t="shared" ca="1" si="77"/>
        <v>1.5246654530386271E+20</v>
      </c>
    </row>
    <row r="877" spans="1:5" x14ac:dyDescent="0.25">
      <c r="A877" s="34">
        <f t="shared" si="73"/>
        <v>86.499999999999361</v>
      </c>
      <c r="B877" s="35">
        <f t="shared" ca="1" si="74"/>
        <v>-5.8964045756515951E+19</v>
      </c>
      <c r="C877" s="1">
        <f t="shared" ca="1" si="75"/>
        <v>-3.5699864393619754E+20</v>
      </c>
      <c r="D877" s="1">
        <f t="shared" ca="1" si="76"/>
        <v>-2.3907055242316566E+20</v>
      </c>
      <c r="E877" s="37">
        <f t="shared" ca="1" si="77"/>
        <v>2.358561830260638E+20</v>
      </c>
    </row>
    <row r="878" spans="1:5" x14ac:dyDescent="0.25">
      <c r="A878" s="34">
        <f t="shared" si="73"/>
        <v>86.599999999999355</v>
      </c>
      <c r="B878" s="35">
        <f t="shared" ca="1" si="74"/>
        <v>-8.5348864392584266E+19</v>
      </c>
      <c r="C878" s="1">
        <f t="shared" ca="1" si="75"/>
        <v>-4.2322855464279343E+20</v>
      </c>
      <c r="D878" s="1">
        <f t="shared" ca="1" si="76"/>
        <v>-2.5253082585762497E+20</v>
      </c>
      <c r="E878" s="37">
        <f t="shared" ca="1" si="77"/>
        <v>3.4139545757033706E+20</v>
      </c>
    </row>
    <row r="879" spans="1:5" x14ac:dyDescent="0.25">
      <c r="A879" s="34">
        <f t="shared" si="73"/>
        <v>86.699999999999349</v>
      </c>
      <c r="B879" s="35">
        <f t="shared" ca="1" si="74"/>
        <v>-1.1834476902747105E+20</v>
      </c>
      <c r="C879" s="1">
        <f t="shared" ca="1" si="75"/>
        <v>-4.9831293025395107E+20</v>
      </c>
      <c r="D879" s="1">
        <f t="shared" ca="1" si="76"/>
        <v>-2.6162339219900901E+20</v>
      </c>
      <c r="E879" s="37">
        <f t="shared" ca="1" si="77"/>
        <v>4.7337907610988419E+20</v>
      </c>
    </row>
    <row r="880" spans="1:5" x14ac:dyDescent="0.25">
      <c r="A880" s="34">
        <f t="shared" si="73"/>
        <v>86.799999999999343</v>
      </c>
      <c r="B880" s="35">
        <f t="shared" ca="1" si="74"/>
        <v>-1.5917823948907623E+20</v>
      </c>
      <c r="C880" s="1">
        <f t="shared" ca="1" si="75"/>
        <v>-5.8275029941539111E+20</v>
      </c>
      <c r="D880" s="1">
        <f t="shared" ca="1" si="76"/>
        <v>-2.6439382043723868E+20</v>
      </c>
      <c r="E880" s="37">
        <f t="shared" ca="1" si="77"/>
        <v>6.3671295795630493E+20</v>
      </c>
    </row>
    <row r="881" spans="1:5" x14ac:dyDescent="0.25">
      <c r="A881" s="34">
        <f t="shared" si="73"/>
        <v>86.899999999999338</v>
      </c>
      <c r="B881" s="35">
        <f t="shared" ca="1" si="74"/>
        <v>-2.0923972717760643E+20</v>
      </c>
      <c r="C881" s="1">
        <f t="shared" ca="1" si="75"/>
        <v>-6.7687742384346104E+20</v>
      </c>
      <c r="D881" s="1">
        <f t="shared" ca="1" si="76"/>
        <v>-2.5839796948824824E+20</v>
      </c>
      <c r="E881" s="37">
        <f t="shared" ca="1" si="77"/>
        <v>8.3695890871042572E+20</v>
      </c>
    </row>
    <row r="882" spans="1:5" x14ac:dyDescent="0.25">
      <c r="A882" s="34">
        <f t="shared" si="73"/>
        <v>86.999999999999332</v>
      </c>
      <c r="B882" s="35">
        <f t="shared" ca="1" si="74"/>
        <v>-2.7009288707753276E+20</v>
      </c>
      <c r="C882" s="1">
        <f t="shared" ca="1" si="75"/>
        <v>-7.8079691199142874E+20</v>
      </c>
      <c r="D882" s="1">
        <f t="shared" ca="1" si="76"/>
        <v>-2.4061113783636328E+20</v>
      </c>
      <c r="E882" s="37">
        <f t="shared" ca="1" si="77"/>
        <v>1.080371548310131E+21</v>
      </c>
    </row>
    <row r="883" spans="1:5" x14ac:dyDescent="0.25">
      <c r="A883" s="34">
        <f t="shared" si="73"/>
        <v>87.099999999999326</v>
      </c>
      <c r="B883" s="35">
        <f t="shared" ca="1" si="74"/>
        <v>-3.4348081408567135E+20</v>
      </c>
      <c r="C883" s="1">
        <f t="shared" ca="1" si="75"/>
        <v>-8.9428669530562783E+20</v>
      </c>
      <c r="D883" s="1">
        <f t="shared" ca="1" si="76"/>
        <v>-2.0732506713428525E+20</v>
      </c>
      <c r="E883" s="37">
        <f t="shared" ca="1" si="77"/>
        <v>1.3739232563426854E+21</v>
      </c>
    </row>
    <row r="884" spans="1:5" x14ac:dyDescent="0.25">
      <c r="A884" s="34">
        <f t="shared" si="73"/>
        <v>87.199999999999321</v>
      </c>
      <c r="B884" s="35">
        <f t="shared" ca="1" si="74"/>
        <v>-4.3132794316772527E+20</v>
      </c>
      <c r="C884" s="1">
        <f t="shared" ca="1" si="75"/>
        <v>-1.016688002243396E+21</v>
      </c>
      <c r="D884" s="1">
        <f t="shared" ca="1" si="76"/>
        <v>-1.5403211590794553E+20</v>
      </c>
      <c r="E884" s="37">
        <f t="shared" ca="1" si="77"/>
        <v>1.7253117726709011E+21</v>
      </c>
    </row>
    <row r="885" spans="1:5" x14ac:dyDescent="0.25">
      <c r="A885" s="34">
        <f t="shared" si="73"/>
        <v>87.299999999999315</v>
      </c>
      <c r="B885" s="35">
        <f t="shared" ca="1" si="74"/>
        <v>-5.357359369776612E+20</v>
      </c>
      <c r="C885" s="1">
        <f t="shared" ca="1" si="75"/>
        <v>-1.1467680153713228E+21</v>
      </c>
      <c r="D885" s="1">
        <f t="shared" ca="1" si="76"/>
        <v>-7.529614141600052E+19</v>
      </c>
      <c r="E885" s="37">
        <f t="shared" ca="1" si="77"/>
        <v>2.1429437479106448E+21</v>
      </c>
    </row>
    <row r="886" spans="1:5" x14ac:dyDescent="0.25">
      <c r="A886" s="34">
        <f t="shared" si="73"/>
        <v>87.399999999999309</v>
      </c>
      <c r="B886" s="35">
        <f t="shared" ca="1" si="74"/>
        <v>-6.5897148638469711E+20</v>
      </c>
      <c r="C886" s="1">
        <f t="shared" ca="1" si="75"/>
        <v>-1.2825529216810253E+21</v>
      </c>
      <c r="D886" s="1">
        <f t="shared" ca="1" si="76"/>
        <v>3.5390051088368583E+19</v>
      </c>
      <c r="E886" s="37">
        <f t="shared" ca="1" si="77"/>
        <v>2.6358859455387885E+21</v>
      </c>
    </row>
    <row r="887" spans="1:5" x14ac:dyDescent="0.25">
      <c r="A887" s="34">
        <f t="shared" si="73"/>
        <v>87.499999999999304</v>
      </c>
      <c r="B887" s="35">
        <f t="shared" ca="1" si="74"/>
        <v>-8.0344348052083153E+20</v>
      </c>
      <c r="C887" s="1">
        <f t="shared" ca="1" si="75"/>
        <v>-1.4211265739690984E+21</v>
      </c>
      <c r="D887" s="1">
        <f t="shared" ca="1" si="76"/>
        <v>1.8576038707256446E+20</v>
      </c>
      <c r="E887" s="37">
        <f t="shared" ca="1" si="77"/>
        <v>3.2137739220833261E+21</v>
      </c>
    </row>
    <row r="888" spans="1:5" x14ac:dyDescent="0.25">
      <c r="A888" s="34">
        <f t="shared" si="73"/>
        <v>87.599999999999298</v>
      </c>
      <c r="B888" s="35">
        <f t="shared" ca="1" si="74"/>
        <v>-9.7166645468809606E+20</v>
      </c>
      <c r="C888" s="1">
        <f t="shared" ca="1" si="75"/>
        <v>-1.5583894836242688E+21</v>
      </c>
      <c r="D888" s="1">
        <f t="shared" ca="1" si="76"/>
        <v>3.849434257519231E+20</v>
      </c>
      <c r="E888" s="37">
        <f t="shared" ca="1" si="77"/>
        <v>3.8866658187523842E+21</v>
      </c>
    </row>
    <row r="889" spans="1:5" x14ac:dyDescent="0.25">
      <c r="A889" s="34">
        <f t="shared" si="73"/>
        <v>87.699999999999292</v>
      </c>
      <c r="B889" s="35">
        <f t="shared" ca="1" si="74"/>
        <v>-1.1662065876325661E+21</v>
      </c>
      <c r="C889" s="1">
        <f t="shared" ca="1" si="75"/>
        <v>-1.6887723789434183E+21</v>
      </c>
      <c r="D889" s="1">
        <f t="shared" ca="1" si="76"/>
        <v>6.4364079632171375E+20</v>
      </c>
      <c r="E889" s="37">
        <f t="shared" ca="1" si="77"/>
        <v>4.6648263505302646E+21</v>
      </c>
    </row>
    <row r="890" spans="1:5" x14ac:dyDescent="0.25">
      <c r="A890" s="34">
        <f t="shared" si="73"/>
        <v>87.799999999999287</v>
      </c>
      <c r="B890" s="35">
        <f t="shared" ca="1" si="74"/>
        <v>-1.3896057850885969E+21</v>
      </c>
      <c r="C890" s="1">
        <f t="shared" ca="1" si="75"/>
        <v>-1.8048981103458299E+21</v>
      </c>
      <c r="D890" s="1">
        <f t="shared" ca="1" si="76"/>
        <v>9.7431345983136334E+20</v>
      </c>
      <c r="E890" s="37">
        <f t="shared" ca="1" si="77"/>
        <v>5.5584231403543876E+21</v>
      </c>
    </row>
    <row r="891" spans="1:5" x14ac:dyDescent="0.25">
      <c r="A891" s="34">
        <f t="shared" si="73"/>
        <v>87.899999999999281</v>
      </c>
      <c r="B891" s="35">
        <f t="shared" ca="1" si="74"/>
        <v>-1.6442785451176538E+21</v>
      </c>
      <c r="C891" s="1">
        <f t="shared" ca="1" si="75"/>
        <v>-1.8971852937363262E+21</v>
      </c>
      <c r="D891" s="1">
        <f t="shared" ca="1" si="76"/>
        <v>1.3913717964989808E+21</v>
      </c>
      <c r="E891" s="37">
        <f t="shared" ca="1" si="77"/>
        <v>6.577114180470615E+21</v>
      </c>
    </row>
    <row r="892" spans="1:5" x14ac:dyDescent="0.25">
      <c r="A892" s="34">
        <f t="shared" si="73"/>
        <v>87.999999999999275</v>
      </c>
      <c r="B892" s="35">
        <f t="shared" ca="1" si="74"/>
        <v>-1.932375344227189E+21</v>
      </c>
      <c r="C892" s="1">
        <f t="shared" ca="1" si="75"/>
        <v>-1.9533867934293646E+21</v>
      </c>
      <c r="D892" s="1">
        <f t="shared" ca="1" si="76"/>
        <v>1.9113638950250128E+21</v>
      </c>
      <c r="E892" s="37">
        <f t="shared" ca="1" si="77"/>
        <v>7.729501376908756E+21</v>
      </c>
    </row>
    <row r="893" spans="1:5" x14ac:dyDescent="0.25">
      <c r="A893" s="34">
        <f t="shared" si="73"/>
        <v>88.09999999999927</v>
      </c>
      <c r="B893" s="35">
        <f t="shared" ca="1" si="74"/>
        <v>-2.2556052043318415E+21</v>
      </c>
      <c r="C893" s="1">
        <f t="shared" ca="1" si="75"/>
        <v>-1.9580560043631816E+21</v>
      </c>
      <c r="D893" s="1">
        <f t="shared" ca="1" si="76"/>
        <v>2.5531544043005008E+21</v>
      </c>
      <c r="E893" s="37">
        <f t="shared" ca="1" si="77"/>
        <v>9.0224208173273658E+21</v>
      </c>
    </row>
    <row r="894" spans="1:5" x14ac:dyDescent="0.25">
      <c r="A894" s="34">
        <f t="shared" si="73"/>
        <v>88.199999999999264</v>
      </c>
      <c r="B894" s="35">
        <f t="shared" ca="1" si="74"/>
        <v>-2.615008893944445E+21</v>
      </c>
      <c r="C894" s="1">
        <f t="shared" ca="1" si="75"/>
        <v>-1.8919339599257018E+21</v>
      </c>
      <c r="D894" s="1">
        <f t="shared" ca="1" si="76"/>
        <v>3.338083827963188E+21</v>
      </c>
      <c r="E894" s="37">
        <f t="shared" ca="1" si="77"/>
        <v>1.046003557577778E+22</v>
      </c>
    </row>
    <row r="895" spans="1:5" x14ac:dyDescent="0.25">
      <c r="A895" s="34">
        <f t="shared" si="73"/>
        <v>88.299999999999258</v>
      </c>
      <c r="B895" s="35">
        <f t="shared" ca="1" si="74"/>
        <v>-3.0106728799341448E+21</v>
      </c>
      <c r="C895" s="1">
        <f t="shared" ca="1" si="75"/>
        <v>-1.7312506412548699E+21</v>
      </c>
      <c r="D895" s="1">
        <f t="shared" ca="1" si="76"/>
        <v>4.2900951186134191E+21</v>
      </c>
      <c r="E895" s="37">
        <f t="shared" ca="1" si="77"/>
        <v>1.2042691519736579E+22</v>
      </c>
    </row>
    <row r="896" spans="1:5" x14ac:dyDescent="0.25">
      <c r="A896" s="34">
        <f t="shared" si="73"/>
        <v>88.399999999999253</v>
      </c>
      <c r="B896" s="35">
        <f t="shared" ca="1" si="74"/>
        <v>-3.4413726799965423E+21</v>
      </c>
      <c r="C896" s="1">
        <f t="shared" ca="1" si="75"/>
        <v>-1.446934588215031E+21</v>
      </c>
      <c r="D896" s="1">
        <f t="shared" ca="1" si="76"/>
        <v>5.4358107717780531E+21</v>
      </c>
      <c r="E896" s="37">
        <f t="shared" ca="1" si="77"/>
        <v>1.3765490719986169E+22</v>
      </c>
    </row>
    <row r="897" spans="1:5" x14ac:dyDescent="0.25">
      <c r="A897" s="34">
        <f t="shared" si="73"/>
        <v>88.499999999999247</v>
      </c>
      <c r="B897" s="35">
        <f t="shared" ca="1" si="74"/>
        <v>-3.9041326771192154E+21</v>
      </c>
      <c r="C897" s="1">
        <f t="shared" ca="1" si="75"/>
        <v>-1.0037261233746952E+21</v>
      </c>
      <c r="D897" s="1">
        <f t="shared" ca="1" si="76"/>
        <v>6.8045392308637354E+21</v>
      </c>
      <c r="E897" s="37">
        <f t="shared" ca="1" si="77"/>
        <v>1.5616530708476862E+22</v>
      </c>
    </row>
    <row r="898" spans="1:5" x14ac:dyDescent="0.25">
      <c r="A898" s="34">
        <f t="shared" si="73"/>
        <v>88.599999999999241</v>
      </c>
      <c r="B898" s="35">
        <f t="shared" ca="1" si="74"/>
        <v>-4.3936877592088339E+21</v>
      </c>
      <c r="C898" s="1">
        <f t="shared" ca="1" si="75"/>
        <v>-3.5919133365369071E+20</v>
      </c>
      <c r="D898" s="1">
        <f t="shared" ca="1" si="76"/>
        <v>8.4281841847639757E+21</v>
      </c>
      <c r="E898" s="37">
        <f t="shared" ca="1" si="77"/>
        <v>1.7574751036835336E+22</v>
      </c>
    </row>
    <row r="899" spans="1:5" x14ac:dyDescent="0.25">
      <c r="A899" s="34">
        <f t="shared" si="73"/>
        <v>88.699999999999235</v>
      </c>
      <c r="B899" s="35">
        <f t="shared" ca="1" si="74"/>
        <v>-4.9018303621016867E+21</v>
      </c>
      <c r="C899" s="1">
        <f t="shared" ca="1" si="75"/>
        <v>5.3736342758078546E+20</v>
      </c>
      <c r="D899" s="1">
        <f t="shared" ca="1" si="76"/>
        <v>1.0341024151784158E+22</v>
      </c>
      <c r="E899" s="37">
        <f t="shared" ca="1" si="77"/>
        <v>1.9607321448406747E+22</v>
      </c>
    </row>
    <row r="900" spans="1:5" x14ac:dyDescent="0.25">
      <c r="A900" s="34">
        <f t="shared" si="73"/>
        <v>88.79999999999923</v>
      </c>
      <c r="B900" s="35">
        <f t="shared" ca="1" si="74"/>
        <v>-5.4166246563584976E+21</v>
      </c>
      <c r="C900" s="1">
        <f t="shared" ca="1" si="75"/>
        <v>1.7460731586213346E+21</v>
      </c>
      <c r="D900" s="1">
        <f t="shared" ca="1" si="76"/>
        <v>1.2579322471338329E+22</v>
      </c>
      <c r="E900" s="37">
        <f t="shared" ca="1" si="77"/>
        <v>2.166649862543399E+22</v>
      </c>
    </row>
    <row r="901" spans="1:5" x14ac:dyDescent="0.25">
      <c r="A901" s="34">
        <f t="shared" si="73"/>
        <v>88.899999999999224</v>
      </c>
      <c r="B901" s="35">
        <f t="shared" ca="1" si="74"/>
        <v>-5.9214677760304784E+21</v>
      </c>
      <c r="C901" s="1">
        <f t="shared" ca="1" si="75"/>
        <v>3.3377837841724085E+21</v>
      </c>
      <c r="D901" s="1">
        <f t="shared" ca="1" si="76"/>
        <v>1.5180719336233365E+22</v>
      </c>
      <c r="E901" s="37">
        <f t="shared" ca="1" si="77"/>
        <v>2.3685871104121914E+22</v>
      </c>
    </row>
    <row r="902" spans="1:5" x14ac:dyDescent="0.25">
      <c r="A902" s="34">
        <f t="shared" si="73"/>
        <v>88.999999999999218</v>
      </c>
      <c r="B902" s="35">
        <f t="shared" ca="1" si="74"/>
        <v>-6.3939762075798423E+21</v>
      </c>
      <c r="C902" s="1">
        <f t="shared" ca="1" si="75"/>
        <v>5.3953952419952722E+21</v>
      </c>
      <c r="D902" s="1">
        <f t="shared" ca="1" si="76"/>
        <v>1.8183347657154956E+22</v>
      </c>
      <c r="E902" s="37">
        <f t="shared" ca="1" si="77"/>
        <v>2.5575904830319369E+22</v>
      </c>
    </row>
    <row r="903" spans="1:5" x14ac:dyDescent="0.25">
      <c r="A903" s="34">
        <f t="shared" si="73"/>
        <v>89.099999999999213</v>
      </c>
      <c r="B903" s="35">
        <f t="shared" ca="1" si="74"/>
        <v>-6.8046738283111991E+21</v>
      </c>
      <c r="C903" s="1">
        <f t="shared" ca="1" si="75"/>
        <v>8.0152555641230758E+21</v>
      </c>
      <c r="D903" s="1">
        <f t="shared" ca="1" si="76"/>
        <v>2.1624603220745474E+22</v>
      </c>
      <c r="E903" s="37">
        <f t="shared" ca="1" si="77"/>
        <v>2.7218695313244796E+22</v>
      </c>
    </row>
    <row r="904" spans="1:5" x14ac:dyDescent="0.25">
      <c r="A904" s="34">
        <f t="shared" si="73"/>
        <v>89.199999999999207</v>
      </c>
      <c r="B904" s="35">
        <f t="shared" ca="1" si="74"/>
        <v>-7.1154567223389391E+21</v>
      </c>
      <c r="C904" s="1">
        <f t="shared" ca="1" si="75"/>
        <v>1.1308573206886247E+22</v>
      </c>
      <c r="D904" s="1">
        <f t="shared" ca="1" si="76"/>
        <v>2.553948665156413E+22</v>
      </c>
      <c r="E904" s="37">
        <f t="shared" ca="1" si="77"/>
        <v>2.8461826889355757E+22</v>
      </c>
    </row>
    <row r="905" spans="1:5" x14ac:dyDescent="0.25">
      <c r="A905" s="34">
        <f t="shared" si="73"/>
        <v>89.299999999999201</v>
      </c>
      <c r="B905" s="35">
        <f t="shared" ca="1" si="74"/>
        <v>-7.2778089577718072E+21</v>
      </c>
      <c r="C905" s="1">
        <f t="shared" ca="1" si="75"/>
        <v>1.54028020800474E+22</v>
      </c>
      <c r="D905" s="1">
        <f t="shared" ca="1" si="76"/>
        <v>2.9958419995591019E+22</v>
      </c>
      <c r="E905" s="37">
        <f t="shared" ca="1" si="77"/>
        <v>2.9111235831087229E+22</v>
      </c>
    </row>
    <row r="906" spans="1:5" x14ac:dyDescent="0.25">
      <c r="A906" s="34">
        <f t="shared" si="73"/>
        <v>89.399999999999196</v>
      </c>
      <c r="B906" s="35">
        <f t="shared" ca="1" si="74"/>
        <v>-7.2307431708549301E+21</v>
      </c>
      <c r="C906" s="1">
        <f t="shared" ca="1" si="75"/>
        <v>2.0442937866229444E+22</v>
      </c>
      <c r="D906" s="1">
        <f t="shared" ca="1" si="76"/>
        <v>3.4904424207939313E+22</v>
      </c>
      <c r="E906" s="37">
        <f t="shared" ca="1" si="77"/>
        <v>2.892297268341972E+22</v>
      </c>
    </row>
    <row r="907" spans="1:5" x14ac:dyDescent="0.25">
      <c r="A907" s="34">
        <f t="shared" si="73"/>
        <v>89.49999999999919</v>
      </c>
      <c r="B907" s="35">
        <f t="shared" ca="1" si="74"/>
        <v>-6.8984403083816201E+21</v>
      </c>
      <c r="C907" s="1">
        <f t="shared" ca="1" si="75"/>
        <v>2.6592644763359304E+22</v>
      </c>
      <c r="D907" s="1">
        <f t="shared" ca="1" si="76"/>
        <v>4.0389525380122557E+22</v>
      </c>
      <c r="E907" s="37">
        <f t="shared" ca="1" si="77"/>
        <v>2.759376123352648E+22</v>
      </c>
    </row>
    <row r="908" spans="1:5" x14ac:dyDescent="0.25">
      <c r="A908" s="34">
        <f t="shared" si="73"/>
        <v>89.599999999999184</v>
      </c>
      <c r="B908" s="35">
        <f t="shared" ca="1" si="74"/>
        <v>-6.187564522459617E+21</v>
      </c>
      <c r="C908" s="1">
        <f t="shared" ca="1" si="75"/>
        <v>3.4035108112635066E+22</v>
      </c>
      <c r="D908" s="1">
        <f t="shared" ca="1" si="76"/>
        <v>4.6410237157554312E+22</v>
      </c>
      <c r="E908" s="37">
        <f t="shared" ca="1" si="77"/>
        <v>2.4750258089838468E+22</v>
      </c>
    </row>
    <row r="909" spans="1:5" x14ac:dyDescent="0.25">
      <c r="A909" s="34">
        <f t="shared" si="73"/>
        <v>89.699999999999179</v>
      </c>
      <c r="B909" s="35">
        <f t="shared" ca="1" si="74"/>
        <v>-4.9842323520309596E+21</v>
      </c>
      <c r="C909" s="1">
        <f t="shared" ca="1" si="75"/>
        <v>4.2973479809322771E+22</v>
      </c>
      <c r="D909" s="1">
        <f t="shared" ca="1" si="76"/>
        <v>5.2941944513384705E+22</v>
      </c>
      <c r="E909" s="37">
        <f t="shared" ca="1" si="77"/>
        <v>1.9936929408123838E+22</v>
      </c>
    </row>
    <row r="910" spans="1:5" x14ac:dyDescent="0.25">
      <c r="A910" s="34">
        <f t="shared" ref="A910:A973" si="78">A909+$A$9</f>
        <v>89.799999999999173</v>
      </c>
      <c r="B910" s="35">
        <f t="shared" ca="1" si="74"/>
        <v>-3.1506204017386901E+21</v>
      </c>
      <c r="C910" s="1">
        <f t="shared" ca="1" si="75"/>
        <v>5.3630749178512489E+22</v>
      </c>
      <c r="D910" s="1">
        <f t="shared" ca="1" si="76"/>
        <v>5.993198998198989E+22</v>
      </c>
      <c r="E910" s="37">
        <f t="shared" ca="1" si="77"/>
        <v>1.260248160695476E+22</v>
      </c>
    </row>
    <row r="911" spans="1:5" x14ac:dyDescent="0.25">
      <c r="A911" s="34">
        <f t="shared" si="78"/>
        <v>89.899999999999167</v>
      </c>
      <c r="B911" s="35">
        <f t="shared" ca="1" si="74"/>
        <v>-5.2120326979229476E+20</v>
      </c>
      <c r="C911" s="1">
        <f t="shared" ca="1" si="75"/>
        <v>6.6248831307457197E+22</v>
      </c>
      <c r="D911" s="1">
        <f t="shared" ca="1" si="76"/>
        <v>6.729123784704181E+22</v>
      </c>
      <c r="E911" s="37">
        <f t="shared" ca="1" si="77"/>
        <v>2.0848130791691791E+21</v>
      </c>
    </row>
    <row r="912" spans="1:5" x14ac:dyDescent="0.25">
      <c r="A912" s="34">
        <f t="shared" si="78"/>
        <v>89.999999999999162</v>
      </c>
      <c r="B912" s="35">
        <f t="shared" ca="1" si="74"/>
        <v>3.1013758839784058E+21</v>
      </c>
      <c r="C912" s="1">
        <f t="shared" ca="1" si="75"/>
        <v>8.1086616769068205E+22</v>
      </c>
      <c r="D912" s="1">
        <f t="shared" ca="1" si="76"/>
        <v>7.4883865001111409E+22</v>
      </c>
      <c r="E912" s="37">
        <f t="shared" ca="1" si="77"/>
        <v>-1.2405503535913623E+22</v>
      </c>
    </row>
    <row r="913" spans="1:5" x14ac:dyDescent="0.25">
      <c r="A913" s="34">
        <f t="shared" si="78"/>
        <v>90.099999999999156</v>
      </c>
      <c r="B913" s="35">
        <f t="shared" ca="1" si="74"/>
        <v>7.9507852471464624E+21</v>
      </c>
      <c r="C913" s="1">
        <f t="shared" ca="1" si="75"/>
        <v>9.8416670299088163E+22</v>
      </c>
      <c r="D913" s="1">
        <f t="shared" ca="1" si="76"/>
        <v>8.2515099804795247E+22</v>
      </c>
      <c r="E913" s="37">
        <f t="shared" ca="1" si="77"/>
        <v>-3.180314098858585E+22</v>
      </c>
    </row>
    <row r="914" spans="1:5" x14ac:dyDescent="0.25">
      <c r="A914" s="34">
        <f t="shared" si="78"/>
        <v>90.19999999999915</v>
      </c>
      <c r="B914" s="35">
        <f t="shared" ca="1" si="74"/>
        <v>1.4301798624556522E+22</v>
      </c>
      <c r="C914" s="1">
        <f t="shared" ca="1" si="75"/>
        <v>1.1852020031063076E+23</v>
      </c>
      <c r="D914" s="1">
        <f t="shared" ca="1" si="76"/>
        <v>8.9916603061517723E+22</v>
      </c>
      <c r="E914" s="37">
        <f t="shared" ca="1" si="77"/>
        <v>-5.720719449822609E+22</v>
      </c>
    </row>
    <row r="915" spans="1:5" x14ac:dyDescent="0.25">
      <c r="A915" s="34">
        <f t="shared" si="78"/>
        <v>90.299999999999145</v>
      </c>
      <c r="B915" s="35">
        <f t="shared" ca="1" si="74"/>
        <v>2.2475342933431178E+22</v>
      </c>
      <c r="C915" s="1">
        <f t="shared" ca="1" si="75"/>
        <v>1.4167984512975837E+23</v>
      </c>
      <c r="D915" s="1">
        <f t="shared" ca="1" si="76"/>
        <v>9.6729159262896021E+22</v>
      </c>
      <c r="E915" s="37">
        <f t="shared" ca="1" si="77"/>
        <v>-8.9901371733724711E+22</v>
      </c>
    </row>
    <row r="916" spans="1:5" x14ac:dyDescent="0.25">
      <c r="A916" s="34">
        <f t="shared" si="78"/>
        <v>90.399999999999139</v>
      </c>
      <c r="B916" s="35">
        <f t="shared" ca="1" si="74"/>
        <v>3.2843705766576774E+22</v>
      </c>
      <c r="C916" s="1">
        <f t="shared" ca="1" si="75"/>
        <v>1.6816973450671999E+23</v>
      </c>
      <c r="D916" s="1">
        <f t="shared" ca="1" si="76"/>
        <v>1.0248232297356643E+23</v>
      </c>
      <c r="E916" s="37">
        <f t="shared" ca="1" si="77"/>
        <v>-1.313748230663071E+23</v>
      </c>
    </row>
    <row r="917" spans="1:5" x14ac:dyDescent="0.25">
      <c r="A917" s="34">
        <f t="shared" si="78"/>
        <v>90.499999999999133</v>
      </c>
      <c r="B917" s="35">
        <f t="shared" ca="1" si="74"/>
        <v>4.5835769435458638E+22</v>
      </c>
      <c r="C917" s="1">
        <f t="shared" ca="1" si="75"/>
        <v>1.9824218533786294E+23</v>
      </c>
      <c r="D917" s="1">
        <f t="shared" ca="1" si="76"/>
        <v>1.0657064646694564E+23</v>
      </c>
      <c r="E917" s="37">
        <f t="shared" ca="1" si="77"/>
        <v>-1.8334307774183455E+23</v>
      </c>
    </row>
    <row r="918" spans="1:5" x14ac:dyDescent="0.25">
      <c r="A918" s="34">
        <f t="shared" si="78"/>
        <v>90.599999999999127</v>
      </c>
      <c r="B918" s="35">
        <f t="shared" ref="B918:B981" ca="1" si="79">IF($B$7="n",$B$12,$A$9/2*(C918+C917)+B917)</f>
        <v>6.1942087447057541E+22</v>
      </c>
      <c r="C918" s="1">
        <f t="shared" ref="C918:C981" ca="1" si="80">D918</f>
        <v>2.3211027776061944E+23</v>
      </c>
      <c r="D918" s="1">
        <f t="shared" ref="D918:D981" ca="1" si="81">IF($B$7="n",$D$12,$A$9/2*(E918+E917)+D917)</f>
        <v>1.0822610286650435E+23</v>
      </c>
      <c r="E918" s="37">
        <f t="shared" ref="E918:E981" ca="1" si="82" xml:space="preserve"> -R_x/L_x*D918-1/(L_x*C_x)*B918+E0_x*SIN(w_x*A918)/L_x</f>
        <v>-2.4776834978823017E+23</v>
      </c>
    </row>
    <row r="919" spans="1:5" x14ac:dyDescent="0.25">
      <c r="A919" s="34">
        <f t="shared" si="78"/>
        <v>90.699999999999122</v>
      </c>
      <c r="B919" s="35">
        <f t="shared" ca="1" si="79"/>
        <v>8.1719557038987241E+22</v>
      </c>
      <c r="C919" s="1">
        <f t="shared" ca="1" si="80"/>
        <v>2.6992543116363321E+23</v>
      </c>
      <c r="D919" s="1">
        <f t="shared" ca="1" si="81"/>
        <v>1.0648631708565871E+23</v>
      </c>
      <c r="E919" s="37">
        <f t="shared" ca="1" si="82"/>
        <v>-3.2687822815594896E+23</v>
      </c>
    </row>
    <row r="920" spans="1:5" x14ac:dyDescent="0.25">
      <c r="A920" s="34">
        <f t="shared" si="78"/>
        <v>90.799999999999116</v>
      </c>
      <c r="B920" s="35">
        <f t="shared" ca="1" si="79"/>
        <v>1.0579536510796544E+23</v>
      </c>
      <c r="C920" s="1">
        <f t="shared" ca="1" si="80"/>
        <v>3.1174895874688784E+23</v>
      </c>
      <c r="D920" s="1">
        <f t="shared" ca="1" si="81"/>
        <v>1.0015822853095696E+23</v>
      </c>
      <c r="E920" s="37">
        <f t="shared" ca="1" si="82"/>
        <v>-4.2318146043186177E+23</v>
      </c>
    </row>
    <row r="921" spans="1:5" x14ac:dyDescent="0.25">
      <c r="A921" s="34">
        <f t="shared" si="78"/>
        <v>90.89999999999911</v>
      </c>
      <c r="B921" s="35">
        <f t="shared" ca="1" si="79"/>
        <v>1.3486979227256649E+23</v>
      </c>
      <c r="C921" s="1">
        <f t="shared" ca="1" si="80"/>
        <v>3.5751642399998169E+23</v>
      </c>
      <c r="D921" s="1">
        <f t="shared" ca="1" si="81"/>
        <v>8.7776839454848746E+22</v>
      </c>
      <c r="E921" s="37">
        <f t="shared" ca="1" si="82"/>
        <v>-5.3947916909026595E+23</v>
      </c>
    </row>
    <row r="922" spans="1:5" x14ac:dyDescent="0.25">
      <c r="A922" s="34">
        <f t="shared" si="78"/>
        <v>90.999999999999105</v>
      </c>
      <c r="B922" s="35">
        <f t="shared" ca="1" si="79"/>
        <v>1.6971734830285062E+23</v>
      </c>
      <c r="C922" s="1">
        <f t="shared" ca="1" si="80"/>
        <v>4.0699345327274063E+23</v>
      </c>
      <c r="D922" s="1">
        <f t="shared" ca="1" si="81"/>
        <v>6.7558756667039391E+22</v>
      </c>
      <c r="E922" s="37">
        <f t="shared" ca="1" si="82"/>
        <v>-6.7886939321140247E+23</v>
      </c>
    </row>
    <row r="923" spans="1:5" x14ac:dyDescent="0.25">
      <c r="A923" s="34">
        <f t="shared" si="78"/>
        <v>91.099999999999099</v>
      </c>
      <c r="B923" s="35">
        <f t="shared" ca="1" si="79"/>
        <v>2.1118557885165294E+23</v>
      </c>
      <c r="C923" s="1">
        <f t="shared" ca="1" si="80"/>
        <v>4.5972147659938284E+23</v>
      </c>
      <c r="D923" s="1">
        <f t="shared" ca="1" si="81"/>
        <v>3.7350318896076963E+22</v>
      </c>
      <c r="E923" s="37">
        <f t="shared" ca="1" si="82"/>
        <v>-8.4474231540661174E+23</v>
      </c>
    </row>
    <row r="924" spans="1:5" x14ac:dyDescent="0.25">
      <c r="A924" s="34">
        <f t="shared" si="78"/>
        <v>91.199999999999093</v>
      </c>
      <c r="B924" s="35">
        <f t="shared" ca="1" si="79"/>
        <v>2.6019072520180231E+23</v>
      </c>
      <c r="C924" s="1">
        <f t="shared" ca="1" si="80"/>
        <v>5.1495167609887837E+23</v>
      </c>
      <c r="D924" s="1">
        <f t="shared" ca="1" si="81"/>
        <v>-5.4297743047262544E+21</v>
      </c>
      <c r="E924" s="37">
        <f t="shared" ca="1" si="82"/>
        <v>-1.0407629008072092E+24</v>
      </c>
    </row>
    <row r="925" spans="1:5" x14ac:dyDescent="0.25">
      <c r="A925" s="34">
        <f t="shared" si="78"/>
        <v>91.299999999999088</v>
      </c>
      <c r="B925" s="35">
        <f t="shared" ca="1" si="79"/>
        <v>3.1770923222971807E+23</v>
      </c>
      <c r="C925" s="1">
        <f t="shared" ca="1" si="80"/>
        <v>5.7156522074267304E+23</v>
      </c>
      <c r="D925" s="1">
        <f t="shared" ca="1" si="81"/>
        <v>-6.3853243716763025E+22</v>
      </c>
      <c r="E925" s="37">
        <f t="shared" ca="1" si="82"/>
        <v>-1.2708369289188723E+24</v>
      </c>
    </row>
    <row r="926" spans="1:5" x14ac:dyDescent="0.25">
      <c r="A926" s="34">
        <f t="shared" si="78"/>
        <v>91.399999999999082</v>
      </c>
      <c r="B926" s="35">
        <f t="shared" ca="1" si="79"/>
        <v>3.8476388140761303E+23</v>
      </c>
      <c r="C926" s="1">
        <f t="shared" ca="1" si="80"/>
        <v>6.2797766263444076E+23</v>
      </c>
      <c r="D926" s="1">
        <f t="shared" ca="1" si="81"/>
        <v>-1.4155010018078516E+23</v>
      </c>
      <c r="E926" s="37">
        <f t="shared" ca="1" si="82"/>
        <v>-1.5390555256304521E+24</v>
      </c>
    </row>
    <row r="927" spans="1:5" x14ac:dyDescent="0.25">
      <c r="A927" s="34">
        <f t="shared" si="78"/>
        <v>91.499999999999076</v>
      </c>
      <c r="B927" s="35">
        <f t="shared" ca="1" si="79"/>
        <v>4.6240307171037232E+23</v>
      </c>
      <c r="C927" s="1">
        <f t="shared" ca="1" si="80"/>
        <v>6.8202516957373586E+23</v>
      </c>
      <c r="D927" s="1">
        <f t="shared" ca="1" si="81"/>
        <v>-2.4278097384700865E+23</v>
      </c>
      <c r="E927" s="37">
        <f t="shared" ca="1" si="82"/>
        <v>-1.8496122868414893E+24</v>
      </c>
    </row>
    <row r="928" spans="1:5" x14ac:dyDescent="0.25">
      <c r="A928" s="34">
        <f t="shared" si="78"/>
        <v>91.599999999999071</v>
      </c>
      <c r="B928" s="35">
        <f t="shared" ca="1" si="79"/>
        <v>5.516714779878435E+23</v>
      </c>
      <c r="C928" s="1">
        <f t="shared" ca="1" si="80"/>
        <v>7.3083008021003892E+23</v>
      </c>
      <c r="D928" s="1">
        <f t="shared" ca="1" si="81"/>
        <v>-3.7251287576564793E+23</v>
      </c>
      <c r="E928" s="37">
        <f t="shared" ca="1" si="82"/>
        <v>-2.206685911951374E+24</v>
      </c>
    </row>
    <row r="929" spans="1:5" x14ac:dyDescent="0.25">
      <c r="A929" s="34">
        <f t="shared" si="78"/>
        <v>91.699999999999065</v>
      </c>
      <c r="B929" s="35">
        <f t="shared" ca="1" si="79"/>
        <v>6.5356997999816156E+23</v>
      </c>
      <c r="C929" s="1">
        <f t="shared" ca="1" si="80"/>
        <v>7.7064310292608238E+23</v>
      </c>
      <c r="D929" s="1">
        <f t="shared" ca="1" si="81"/>
        <v>-5.3649685707024075E+23</v>
      </c>
      <c r="E929" s="37">
        <f t="shared" ca="1" si="82"/>
        <v>-2.6142799199926463E+24</v>
      </c>
    </row>
    <row r="930" spans="1:5" x14ac:dyDescent="0.25">
      <c r="A930" s="34">
        <f t="shared" si="78"/>
        <v>91.799999999999059</v>
      </c>
      <c r="B930" s="35">
        <f t="shared" ca="1" si="79"/>
        <v>7.690023723827396E+23</v>
      </c>
      <c r="C930" s="1">
        <f t="shared" ca="1" si="80"/>
        <v>7.9665935246562034E+23</v>
      </c>
      <c r="D930" s="1">
        <f t="shared" ca="1" si="81"/>
        <v>-7.41345392299859E+23</v>
      </c>
      <c r="E930" s="37">
        <f t="shared" ca="1" si="82"/>
        <v>-3.0760094895309584E+24</v>
      </c>
    </row>
    <row r="931" spans="1:5" x14ac:dyDescent="0.25">
      <c r="A931" s="34">
        <f t="shared" si="78"/>
        <v>91.899999999999054</v>
      </c>
      <c r="B931" s="35">
        <f t="shared" ca="1" si="79"/>
        <v>8.9870593334002291E+23</v>
      </c>
      <c r="C931" s="1">
        <f t="shared" ca="1" si="80"/>
        <v>8.0280534803959389E+23</v>
      </c>
      <c r="D931" s="1">
        <f t="shared" ca="1" si="81"/>
        <v>-9.9460651864045221E+23</v>
      </c>
      <c r="E931" s="37">
        <f t="shared" ca="1" si="82"/>
        <v>-3.5948237333600917E+24</v>
      </c>
    </row>
    <row r="932" spans="1:5" x14ac:dyDescent="0.25">
      <c r="A932" s="34">
        <f t="shared" si="78"/>
        <v>91.999999999999048</v>
      </c>
      <c r="B932" s="35">
        <f t="shared" ca="1" si="79"/>
        <v>1.0431624452688918E+24</v>
      </c>
      <c r="C932" s="1">
        <f t="shared" ca="1" si="80"/>
        <v>7.8149410686172071E+23</v>
      </c>
      <c r="D932" s="1">
        <f t="shared" ca="1" si="81"/>
        <v>-1.304830783676063E+24</v>
      </c>
      <c r="E932" s="37">
        <f t="shared" ca="1" si="82"/>
        <v>-4.1726497810755672E+24</v>
      </c>
    </row>
    <row r="933" spans="1:5" x14ac:dyDescent="0.25">
      <c r="A933" s="34">
        <f t="shared" si="78"/>
        <v>92.099999999999042</v>
      </c>
      <c r="B933" s="35">
        <f t="shared" ca="1" si="79"/>
        <v>1.2024857229021975E+24</v>
      </c>
      <c r="C933" s="1">
        <f t="shared" ca="1" si="80"/>
        <v>7.2334558721568267E+23</v>
      </c>
      <c r="D933" s="1">
        <f t="shared" ca="1" si="81"/>
        <v>-1.6816258585887127E+24</v>
      </c>
      <c r="E933" s="37">
        <f t="shared" ca="1" si="82"/>
        <v>-4.8099428916087902E+24</v>
      </c>
    </row>
    <row r="934" spans="1:5" x14ac:dyDescent="0.25">
      <c r="A934" s="34">
        <f t="shared" si="78"/>
        <v>92.199999999999037</v>
      </c>
      <c r="B934" s="35">
        <f t="shared" ca="1" si="79"/>
        <v>1.3762811136255353E+24</v>
      </c>
      <c r="C934" s="1">
        <f t="shared" ca="1" si="80"/>
        <v>6.1687000150756817E+23</v>
      </c>
      <c r="D934" s="1">
        <f t="shared" ca="1" si="81"/>
        <v>-2.1356922257435025E+24</v>
      </c>
      <c r="E934" s="37">
        <f t="shared" ca="1" si="82"/>
        <v>-5.5051244545021414E+24</v>
      </c>
    </row>
    <row r="935" spans="1:5" x14ac:dyDescent="0.25">
      <c r="A935" s="34">
        <f t="shared" si="78"/>
        <v>92.299999999999031</v>
      </c>
      <c r="B935" s="35">
        <f t="shared" ca="1" si="79"/>
        <v>1.5634717930010152E+24</v>
      </c>
      <c r="C935" s="1">
        <f t="shared" ca="1" si="80"/>
        <v>4.4811197659246435E+23</v>
      </c>
      <c r="D935" s="1">
        <f t="shared" ca="1" si="81"/>
        <v>-2.6788316094095661E+24</v>
      </c>
      <c r="E935" s="37">
        <f t="shared" ca="1" si="82"/>
        <v>-6.253887172004061E+24</v>
      </c>
    </row>
    <row r="936" spans="1:5" x14ac:dyDescent="0.25">
      <c r="A936" s="34">
        <f t="shared" si="78"/>
        <v>92.399999999999025</v>
      </c>
      <c r="B936" s="35">
        <f t="shared" ca="1" si="79"/>
        <v>1.7620859909229317E+24</v>
      </c>
      <c r="C936" s="1">
        <f t="shared" ca="1" si="80"/>
        <v>2.0025423961278635E+23</v>
      </c>
      <c r="D936" s="1">
        <f t="shared" ca="1" si="81"/>
        <v>-3.3239177422330767E+24</v>
      </c>
      <c r="E936" s="37">
        <f t="shared" ca="1" si="82"/>
        <v>-7.048343963691727E+24</v>
      </c>
    </row>
    <row r="937" spans="1:5" x14ac:dyDescent="0.25">
      <c r="A937" s="34">
        <f t="shared" si="78"/>
        <v>92.499999999999019</v>
      </c>
      <c r="B937" s="35">
        <f t="shared" ca="1" si="79"/>
        <v>1.9689985587817457E+24</v>
      </c>
      <c r="C937" s="1">
        <f t="shared" ca="1" si="80"/>
        <v>-1.4681948290057925E+23</v>
      </c>
      <c r="D937" s="1">
        <f t="shared" ca="1" si="81"/>
        <v>-4.0848166004640704E+24</v>
      </c>
      <c r="E937" s="37">
        <f t="shared" ca="1" si="82"/>
        <v>-7.8759942351269827E+24</v>
      </c>
    </row>
    <row r="938" spans="1:5" x14ac:dyDescent="0.25">
      <c r="A938" s="34">
        <f t="shared" si="78"/>
        <v>92.599999999999014</v>
      </c>
      <c r="B938" s="35">
        <f t="shared" ca="1" si="79"/>
        <v>2.1796195384852408E+24</v>
      </c>
      <c r="C938" s="1">
        <f t="shared" ca="1" si="80"/>
        <v>-6.1700126994109586E+23</v>
      </c>
      <c r="D938" s="1">
        <f t="shared" ca="1" si="81"/>
        <v>-4.9762403469115771E+24</v>
      </c>
      <c r="E938" s="37">
        <f t="shared" ca="1" si="82"/>
        <v>-8.7184781539409631E+24</v>
      </c>
    </row>
    <row r="939" spans="1:5" x14ac:dyDescent="0.25">
      <c r="A939" s="34">
        <f t="shared" si="78"/>
        <v>92.699999999999008</v>
      </c>
      <c r="B939" s="35">
        <f t="shared" ca="1" si="79"/>
        <v>2.3875216388757621E+24</v>
      </c>
      <c r="C939" s="1">
        <f t="shared" ca="1" si="80"/>
        <v>-1.238472560702504E+24</v>
      </c>
      <c r="D939" s="1">
        <f t="shared" ca="1" si="81"/>
        <v>-6.0135158384540287E+24</v>
      </c>
      <c r="E939" s="37">
        <f t="shared" ca="1" si="82"/>
        <v>-9.5500865555030484E+24</v>
      </c>
    </row>
    <row r="940" spans="1:5" x14ac:dyDescent="0.25">
      <c r="A940" s="34">
        <f t="shared" si="78"/>
        <v>92.799999999999002</v>
      </c>
      <c r="B940" s="35">
        <f t="shared" ca="1" si="79"/>
        <v>2.5839977898229297E+24</v>
      </c>
      <c r="C940" s="1">
        <f t="shared" ca="1" si="80"/>
        <v>-2.0442490494976745E+24</v>
      </c>
      <c r="D940" s="1">
        <f t="shared" ca="1" si="81"/>
        <v>-7.2122446291435349E+24</v>
      </c>
      <c r="E940" s="37">
        <f t="shared" ca="1" si="82"/>
        <v>-1.0335991159291719E+25</v>
      </c>
    </row>
    <row r="941" spans="1:5" x14ac:dyDescent="0.25">
      <c r="A941" s="34">
        <f t="shared" si="78"/>
        <v>92.899999999998997</v>
      </c>
      <c r="B941" s="35">
        <f t="shared" ca="1" si="79"/>
        <v>2.7575392637200511E+24</v>
      </c>
      <c r="C941" s="1">
        <f t="shared" ca="1" si="80"/>
        <v>-3.0727483471244754E+24</v>
      </c>
      <c r="D941" s="1">
        <f t="shared" ca="1" si="81"/>
        <v>-8.5878268745645792E+24</v>
      </c>
      <c r="E941" s="37">
        <f t="shared" ca="1" si="82"/>
        <v>-1.1030157054880204E+25</v>
      </c>
    </row>
    <row r="942" spans="1:5" x14ac:dyDescent="0.25">
      <c r="A942" s="34">
        <f t="shared" si="78"/>
        <v>92.999999999998991</v>
      </c>
      <c r="B942" s="35">
        <f t="shared" ca="1" si="79"/>
        <v>2.8932242737375859E+24</v>
      </c>
      <c r="C942" s="1">
        <f t="shared" ca="1" si="80"/>
        <v>-4.3683678162010368E+24</v>
      </c>
      <c r="D942" s="1">
        <f t="shared" ca="1" si="81"/>
        <v>-1.0154816363676211E+25</v>
      </c>
      <c r="E942" s="37">
        <f t="shared" ca="1" si="82"/>
        <v>-1.1572897094950344E+25</v>
      </c>
    </row>
    <row r="943" spans="1:5" x14ac:dyDescent="0.25">
      <c r="A943" s="34">
        <f t="shared" si="78"/>
        <v>93.099999999998985</v>
      </c>
      <c r="B943" s="35">
        <f t="shared" ca="1" si="79"/>
        <v>2.9720065365861489E+24</v>
      </c>
      <c r="C943" s="1">
        <f t="shared" ca="1" si="80"/>
        <v>-5.9820549472985089E+24</v>
      </c>
      <c r="D943" s="1">
        <f t="shared" ca="1" si="81"/>
        <v>-1.192606802047081E+25</v>
      </c>
      <c r="E943" s="37">
        <f t="shared" ca="1" si="82"/>
        <v>-1.1888026146344595E+25</v>
      </c>
    </row>
    <row r="944" spans="1:5" x14ac:dyDescent="0.25">
      <c r="A944" s="34">
        <f t="shared" si="78"/>
        <v>93.19999999999898</v>
      </c>
      <c r="B944" s="35">
        <f t="shared" ca="1" si="79"/>
        <v>2.9698930991346926E+24</v>
      </c>
      <c r="C944" s="1">
        <f t="shared" ca="1" si="80"/>
        <v>-7.9718463881617668E+24</v>
      </c>
      <c r="D944" s="1">
        <f t="shared" ca="1" si="81"/>
        <v>-1.3911632586431155E+25</v>
      </c>
      <c r="E944" s="37">
        <f t="shared" ca="1" si="82"/>
        <v>-1.187957239653877E+25</v>
      </c>
    </row>
    <row r="945" spans="1:5" x14ac:dyDescent="0.25">
      <c r="A945" s="34">
        <f t="shared" si="78"/>
        <v>93.299999999998974</v>
      </c>
      <c r="B945" s="35">
        <f t="shared" ca="1" si="79"/>
        <v>2.8570008663628939E+24</v>
      </c>
      <c r="C945" s="1">
        <f t="shared" ca="1" si="80"/>
        <v>-1.0403344052005424E+25</v>
      </c>
      <c r="D945" s="1">
        <f t="shared" ca="1" si="81"/>
        <v>-1.6117345784731216E+25</v>
      </c>
      <c r="E945" s="37">
        <f t="shared" ca="1" si="82"/>
        <v>-1.1428003465451576E+25</v>
      </c>
    </row>
    <row r="946" spans="1:5" x14ac:dyDescent="0.25">
      <c r="A946" s="34">
        <f t="shared" si="78"/>
        <v>93.399999999998968</v>
      </c>
      <c r="B946" s="35">
        <f t="shared" ca="1" si="79"/>
        <v>2.5964818486251362E+24</v>
      </c>
      <c r="C946" s="1">
        <f t="shared" ca="1" si="80"/>
        <v>-1.3350087367198384E+25</v>
      </c>
      <c r="D946" s="1">
        <f t="shared" ca="1" si="81"/>
        <v>-1.8543051064448661E+25</v>
      </c>
      <c r="E946" s="37">
        <f t="shared" ca="1" si="82"/>
        <v>-1.0385927394500545E+25</v>
      </c>
    </row>
    <row r="947" spans="1:5" x14ac:dyDescent="0.25">
      <c r="A947" s="34">
        <f t="shared" si="78"/>
        <v>93.499999999998963</v>
      </c>
      <c r="B947" s="35">
        <f t="shared" ca="1" si="79"/>
        <v>2.1433083114057966E+24</v>
      </c>
      <c r="C947" s="1">
        <f t="shared" ca="1" si="80"/>
        <v>-1.6893769415159167E+25</v>
      </c>
      <c r="D947" s="1">
        <f t="shared" ca="1" si="81"/>
        <v>-2.1180386037970766E+25</v>
      </c>
      <c r="E947" s="37">
        <f t="shared" ca="1" si="82"/>
        <v>-8.5732332456231863E+24</v>
      </c>
    </row>
    <row r="948" spans="1:5" x14ac:dyDescent="0.25">
      <c r="A948" s="34">
        <f t="shared" si="78"/>
        <v>93.599999999998957</v>
      </c>
      <c r="B948" s="35">
        <f t="shared" ca="1" si="79"/>
        <v>1.4429109340531537E+24</v>
      </c>
      <c r="C948" s="1">
        <f t="shared" ca="1" si="80"/>
        <v>-2.1124231132173607E+25</v>
      </c>
      <c r="D948" s="1">
        <f t="shared" ca="1" si="81"/>
        <v>-2.4010053000279918E+25</v>
      </c>
      <c r="E948" s="37">
        <f t="shared" ca="1" si="82"/>
        <v>-5.7716437362126146E+24</v>
      </c>
    </row>
    <row r="949" spans="1:5" x14ac:dyDescent="0.25">
      <c r="A949" s="34">
        <f t="shared" si="78"/>
        <v>93.699999999998951</v>
      </c>
      <c r="B949" s="35">
        <f t="shared" ca="1" si="79"/>
        <v>4.2966597493830352E+23</v>
      </c>
      <c r="C949" s="1">
        <f t="shared" ca="1" si="80"/>
        <v>-2.6139151591335109E+25</v>
      </c>
      <c r="D949" s="1">
        <f t="shared" ca="1" si="81"/>
        <v>-2.6998483541211719E+25</v>
      </c>
      <c r="E949" s="37">
        <f t="shared" ca="1" si="82"/>
        <v>-1.7186638997532141E+24</v>
      </c>
    </row>
    <row r="950" spans="1:5" x14ac:dyDescent="0.25">
      <c r="A950" s="34">
        <f t="shared" si="78"/>
        <v>93.799999999998946</v>
      </c>
      <c r="B950" s="35">
        <f t="shared" ca="1" si="79"/>
        <v>-9.7476844958716872E+23</v>
      </c>
      <c r="C950" s="1">
        <f t="shared" ca="1" si="80"/>
        <v>-3.2043333272729202E+25</v>
      </c>
      <c r="D950" s="1">
        <f t="shared" ca="1" si="81"/>
        <v>-3.0093796373554866E+25</v>
      </c>
      <c r="E950" s="37">
        <f t="shared" ca="1" si="82"/>
        <v>3.8990737983486749E+24</v>
      </c>
    </row>
    <row r="951" spans="1:5" x14ac:dyDescent="0.25">
      <c r="A951" s="34">
        <f t="shared" si="78"/>
        <v>93.89999999999894</v>
      </c>
      <c r="B951" s="35">
        <f t="shared" ca="1" si="79"/>
        <v>-2.8632612369151435E+24</v>
      </c>
      <c r="C951" s="1">
        <f t="shared" ca="1" si="80"/>
        <v>-3.8947458788982993E+25</v>
      </c>
      <c r="D951" s="1">
        <f t="shared" ca="1" si="81"/>
        <v>-3.3220936315152704E+25</v>
      </c>
      <c r="E951" s="37">
        <f t="shared" ca="1" si="82"/>
        <v>1.1453044947660574E+25</v>
      </c>
    </row>
    <row r="952" spans="1:5" x14ac:dyDescent="0.25">
      <c r="A952" s="34">
        <f t="shared" si="78"/>
        <v>93.999999999998934</v>
      </c>
      <c r="B952" s="35">
        <f t="shared" ca="1" si="79"/>
        <v>-5.3451490848492153E+24</v>
      </c>
      <c r="C952" s="1">
        <f t="shared" ca="1" si="80"/>
        <v>-4.696616935610918E+25</v>
      </c>
      <c r="D952" s="1">
        <f t="shared" ca="1" si="81"/>
        <v>-3.6275871186410749E+25</v>
      </c>
      <c r="E952" s="37">
        <f t="shared" ca="1" si="82"/>
        <v>2.1380596339396861E+25</v>
      </c>
    </row>
    <row r="953" spans="1:5" x14ac:dyDescent="0.25">
      <c r="A953" s="34">
        <f t="shared" si="78"/>
        <v>94.099999999998929</v>
      </c>
      <c r="B953" s="35">
        <f t="shared" ca="1" si="79"/>
        <v>-8.5482861696163047E+24</v>
      </c>
      <c r="C953" s="1">
        <f t="shared" ca="1" si="80"/>
        <v>-5.621528497194473E+25</v>
      </c>
      <c r="D953" s="1">
        <f t="shared" ca="1" si="81"/>
        <v>-3.9118712632712121E+25</v>
      </c>
      <c r="E953" s="37">
        <f t="shared" ca="1" si="82"/>
        <v>3.4193144678465219E+25</v>
      </c>
    </row>
    <row r="954" spans="1:5" x14ac:dyDescent="0.25">
      <c r="A954" s="34">
        <f t="shared" si="78"/>
        <v>94.199999999998923</v>
      </c>
      <c r="B954" s="35">
        <f t="shared" ca="1" si="79"/>
        <v>-1.2621167131348379E+25</v>
      </c>
      <c r="C954" s="1">
        <f t="shared" ca="1" si="80"/>
        <v>-6.6807951372462162E+25</v>
      </c>
      <c r="D954" s="1">
        <f t="shared" ca="1" si="81"/>
        <v>-4.1565617109765399E+25</v>
      </c>
      <c r="E954" s="37">
        <f t="shared" ca="1" si="82"/>
        <v>5.0484668525393518E+25</v>
      </c>
    </row>
    <row r="955" spans="1:5" x14ac:dyDescent="0.25">
      <c r="A955" s="34">
        <f t="shared" si="78"/>
        <v>94.299999999998917</v>
      </c>
      <c r="B955" s="35">
        <f t="shared" ca="1" si="79"/>
        <v>-1.7735071888857207E+25</v>
      </c>
      <c r="C955" s="1">
        <f t="shared" ca="1" si="80"/>
        <v>-7.8849458981598558E+25</v>
      </c>
      <c r="D955" s="1">
        <f t="shared" ca="1" si="81"/>
        <v>-4.3379315203884135E+25</v>
      </c>
      <c r="E955" s="37">
        <f t="shared" ca="1" si="82"/>
        <v>7.0940287555428829E+25</v>
      </c>
    </row>
    <row r="956" spans="1:5" x14ac:dyDescent="0.25">
      <c r="A956" s="34">
        <f t="shared" si="78"/>
        <v>94.399999999998911</v>
      </c>
      <c r="B956" s="35">
        <f t="shared" ca="1" si="79"/>
        <v>-2.4086160931041263E+25</v>
      </c>
      <c r="C956" s="1">
        <f t="shared" ca="1" si="80"/>
        <v>-9.2430433891096639E+25</v>
      </c>
      <c r="D956" s="1">
        <f t="shared" ca="1" si="81"/>
        <v>-4.4258112029014105E+25</v>
      </c>
      <c r="E956" s="37">
        <f t="shared" ca="1" si="82"/>
        <v>9.6344643724165051E+25</v>
      </c>
    </row>
    <row r="957" spans="1:5" x14ac:dyDescent="0.25">
      <c r="A957" s="34">
        <f t="shared" si="78"/>
        <v>94.499999999998906</v>
      </c>
      <c r="B957" s="35">
        <f t="shared" ca="1" si="79"/>
        <v>-3.1897425139551216E+25</v>
      </c>
      <c r="C957" s="1">
        <f t="shared" ca="1" si="80"/>
        <v>-1.0761805010444228E+26</v>
      </c>
      <c r="D957" s="1">
        <f t="shared" ca="1" si="81"/>
        <v>-4.382319982533984E+25</v>
      </c>
      <c r="E957" s="37">
        <f t="shared" ca="1" si="82"/>
        <v>1.2758970055820487E+26</v>
      </c>
    </row>
    <row r="958" spans="1:5" x14ac:dyDescent="0.25">
      <c r="A958" s="34">
        <f t="shared" si="78"/>
        <v>94.5999999999989</v>
      </c>
      <c r="B958" s="35">
        <f t="shared" ca="1" si="79"/>
        <v>-4.1420364049748151E+25</v>
      </c>
      <c r="C958" s="1">
        <f t="shared" ca="1" si="80"/>
        <v>-1.2444485565219585E+26</v>
      </c>
      <c r="D958" s="1">
        <f t="shared" ca="1" si="81"/>
        <v>-4.160412755269955E+25</v>
      </c>
      <c r="E958" s="37">
        <f t="shared" ca="1" si="82"/>
        <v>1.656814561989926E+26</v>
      </c>
    </row>
    <row r="959" spans="1:5" x14ac:dyDescent="0.25">
      <c r="A959" s="34">
        <f t="shared" si="78"/>
        <v>94.699999999998894</v>
      </c>
      <c r="B959" s="35">
        <f t="shared" ca="1" si="79"/>
        <v>-5.2936229813731052E+25</v>
      </c>
      <c r="C959" s="1">
        <f t="shared" ca="1" si="80"/>
        <v>-1.4289474267496201E+26</v>
      </c>
      <c r="D959" s="1">
        <f t="shared" ca="1" si="81"/>
        <v>-3.702228304749991E+25</v>
      </c>
      <c r="E959" s="37">
        <f t="shared" ca="1" si="82"/>
        <v>2.1174491925492421E+26</v>
      </c>
    </row>
    <row r="960" spans="1:5" x14ac:dyDescent="0.25">
      <c r="A960" s="34">
        <f t="shared" si="78"/>
        <v>94.799999999998889</v>
      </c>
      <c r="B960" s="35">
        <f t="shared" ca="1" si="79"/>
        <v>-6.6756629941643502E+25</v>
      </c>
      <c r="C960" s="1">
        <f t="shared" ca="1" si="80"/>
        <v>-1.6288552331079111E+26</v>
      </c>
      <c r="D960" s="1">
        <f t="shared" ca="1" si="81"/>
        <v>-2.9372263427504111E+25</v>
      </c>
      <c r="E960" s="37">
        <f t="shared" ca="1" si="82"/>
        <v>2.6702651976657401E+26</v>
      </c>
    </row>
    <row r="961" spans="1:5" x14ac:dyDescent="0.25">
      <c r="A961" s="34">
        <f t="shared" si="78"/>
        <v>94.899999999998883</v>
      </c>
      <c r="B961" s="35">
        <f t="shared" ca="1" si="79"/>
        <v>-8.3223229007981179E+25</v>
      </c>
      <c r="C961" s="1">
        <f t="shared" ca="1" si="80"/>
        <v>-1.8424749961504613E+26</v>
      </c>
      <c r="D961" s="1">
        <f t="shared" ca="1" si="81"/>
        <v>-1.780104159908379E+25</v>
      </c>
      <c r="E961" s="37">
        <f t="shared" ca="1" si="82"/>
        <v>3.3289291603192472E+26</v>
      </c>
    </row>
    <row r="962" spans="1:5" x14ac:dyDescent="0.25">
      <c r="A962" s="34">
        <f t="shared" si="78"/>
        <v>94.999999999998877</v>
      </c>
      <c r="B962" s="35">
        <f t="shared" ca="1" si="79"/>
        <v>-1.0270622665414833E+26</v>
      </c>
      <c r="C962" s="1">
        <f t="shared" ca="1" si="80"/>
        <v>-2.0669733752772723E+26</v>
      </c>
      <c r="D962" s="1">
        <f t="shared" ca="1" si="81"/>
        <v>-1.2848842194306131E+24</v>
      </c>
      <c r="E962" s="37">
        <f t="shared" ca="1" si="82"/>
        <v>4.1082490661659331E+26</v>
      </c>
    </row>
    <row r="963" spans="1:5" x14ac:dyDescent="0.25">
      <c r="A963" s="34">
        <f t="shared" si="78"/>
        <v>95.099999999998872</v>
      </c>
      <c r="B963" s="35">
        <f t="shared" ca="1" si="79"/>
        <v>-1.2560121503392744E+26</v>
      </c>
      <c r="C963" s="1">
        <f t="shared" ca="1" si="80"/>
        <v>-2.2980647327741144E+26</v>
      </c>
      <c r="D963" s="1">
        <f t="shared" ca="1" si="81"/>
        <v>2.1395956790443394E+25</v>
      </c>
      <c r="E963" s="37">
        <f t="shared" ca="1" si="82"/>
        <v>5.0240486013570975E+26</v>
      </c>
    </row>
    <row r="964" spans="1:5" x14ac:dyDescent="0.25">
      <c r="A964" s="34">
        <f t="shared" si="78"/>
        <v>95.199999999998866</v>
      </c>
      <c r="B964" s="35">
        <f t="shared" ca="1" si="79"/>
        <v>-1.5232393188644225E+26</v>
      </c>
      <c r="C964" s="1">
        <f t="shared" ca="1" si="80"/>
        <v>-2.5296319733151901E+26</v>
      </c>
      <c r="D964" s="1">
        <f t="shared" ca="1" si="81"/>
        <v>5.1684666441365428E+25</v>
      </c>
      <c r="E964" s="37">
        <f t="shared" ca="1" si="82"/>
        <v>6.0929572754576899E+26</v>
      </c>
    </row>
    <row r="965" spans="1:5" x14ac:dyDescent="0.25">
      <c r="A965" s="34">
        <f t="shared" si="78"/>
        <v>95.29999999999886</v>
      </c>
      <c r="B965" s="35">
        <f t="shared" ca="1" si="79"/>
        <v>-1.8330232417002022E+26</v>
      </c>
      <c r="C965" s="1">
        <f t="shared" ca="1" si="80"/>
        <v>-2.7532747854153608E+26</v>
      </c>
      <c r="D965" s="1">
        <f t="shared" ca="1" si="81"/>
        <v>9.127716979850431E+25</v>
      </c>
      <c r="E965" s="37">
        <f t="shared" ca="1" si="82"/>
        <v>7.3320929668008088E+26</v>
      </c>
    </row>
    <row r="966" spans="1:5" x14ac:dyDescent="0.25">
      <c r="A966" s="34">
        <f t="shared" si="78"/>
        <v>95.399999999998855</v>
      </c>
      <c r="B966" s="35">
        <f t="shared" ca="1" si="79"/>
        <v>-2.189652201078856E+26</v>
      </c>
      <c r="C966" s="1">
        <f t="shared" ca="1" si="80"/>
        <v>-2.9577751284631738E+26</v>
      </c>
      <c r="D966" s="1">
        <f t="shared" ca="1" si="81"/>
        <v>1.4215292736945373E+26</v>
      </c>
      <c r="E966" s="37">
        <f t="shared" ca="1" si="82"/>
        <v>8.7586088043154239E+26</v>
      </c>
    </row>
    <row r="967" spans="1:5" x14ac:dyDescent="0.25">
      <c r="A967" s="34">
        <f t="shared" si="78"/>
        <v>95.499999999998849</v>
      </c>
      <c r="B967" s="35">
        <f t="shared" ca="1" si="79"/>
        <v>-2.5972677305577943E+26</v>
      </c>
      <c r="C967" s="1">
        <f t="shared" ca="1" si="80"/>
        <v>-3.1284691123263555E+26</v>
      </c>
      <c r="D967" s="1">
        <f t="shared" ca="1" si="81"/>
        <v>2.0660663487892317E+26</v>
      </c>
      <c r="E967" s="37">
        <f t="shared" ca="1" si="82"/>
        <v>1.0389070922231177E+27</v>
      </c>
    </row>
    <row r="968" spans="1:5" x14ac:dyDescent="0.25">
      <c r="A968" s="34">
        <f t="shared" si="78"/>
        <v>95.599999999998843</v>
      </c>
      <c r="B968" s="35">
        <f t="shared" ca="1" si="79"/>
        <v>-3.0596568735267913E+26</v>
      </c>
      <c r="C968" s="1">
        <f t="shared" ca="1" si="80"/>
        <v>-3.2465138638304807E+26</v>
      </c>
      <c r="D968" s="1">
        <f t="shared" ca="1" si="81"/>
        <v>2.8727998832231005E+26</v>
      </c>
      <c r="E968" s="37">
        <f t="shared" ca="1" si="82"/>
        <v>1.2238627494107165E+27</v>
      </c>
    </row>
    <row r="969" spans="1:5" x14ac:dyDescent="0.25">
      <c r="A969" s="34">
        <f t="shared" si="78"/>
        <v>95.699999999998838</v>
      </c>
      <c r="B969" s="35">
        <f t="shared" ca="1" si="79"/>
        <v>-3.5799806296870174E+26</v>
      </c>
      <c r="C969" s="1">
        <f t="shared" ca="1" si="80"/>
        <v>-3.2880376394535232E+26</v>
      </c>
      <c r="D969" s="1">
        <f t="shared" ca="1" si="81"/>
        <v>3.8719236199205103E+26</v>
      </c>
      <c r="E969" s="37">
        <f t="shared" ca="1" si="82"/>
        <v>1.431992251874807E+27</v>
      </c>
    </row>
    <row r="970" spans="1:5" x14ac:dyDescent="0.25">
      <c r="A970" s="34">
        <f t="shared" si="78"/>
        <v>95.799999999998832</v>
      </c>
      <c r="B970" s="35">
        <f t="shared" ca="1" si="79"/>
        <v>-4.160425012955215E+26</v>
      </c>
      <c r="C970" s="1">
        <f t="shared" ca="1" si="80"/>
        <v>-3.2231614194016357E+26</v>
      </c>
      <c r="D970" s="1">
        <f t="shared" ca="1" si="81"/>
        <v>5.0976886065087929E+26</v>
      </c>
      <c r="E970" s="37">
        <f t="shared" ca="1" si="82"/>
        <v>1.664170005182086E+27</v>
      </c>
    </row>
    <row r="971" spans="1:5" x14ac:dyDescent="0.25">
      <c r="A971" s="34">
        <f t="shared" si="78"/>
        <v>95.899999999998826</v>
      </c>
      <c r="B971" s="35">
        <f t="shared" ca="1" si="79"/>
        <v>-4.8017589821392187E+26</v>
      </c>
      <c r="C971" s="1">
        <f t="shared" ca="1" si="80"/>
        <v>-3.0148806208341736E+26</v>
      </c>
      <c r="D971" s="1">
        <f t="shared" ca="1" si="81"/>
        <v>6.5886373434442623E+26</v>
      </c>
      <c r="E971" s="37">
        <f t="shared" ca="1" si="82"/>
        <v>1.9207035928556875E+27</v>
      </c>
    </row>
    <row r="972" spans="1:5" x14ac:dyDescent="0.25">
      <c r="A972" s="34">
        <f t="shared" si="78"/>
        <v>95.99999999999882</v>
      </c>
      <c r="B972" s="35">
        <f t="shared" ca="1" si="79"/>
        <v>-5.5027811257565859E+26</v>
      </c>
      <c r="C972" s="1">
        <f t="shared" ca="1" si="80"/>
        <v>-2.6177965405441638E+26</v>
      </c>
      <c r="D972" s="1">
        <f t="shared" ca="1" si="81"/>
        <v>8.3877657109690065E+26</v>
      </c>
      <c r="E972" s="37">
        <f t="shared" ca="1" si="82"/>
        <v>2.2011124503026343E+27</v>
      </c>
    </row>
    <row r="973" spans="1:5" x14ac:dyDescent="0.25">
      <c r="A973" s="34">
        <f t="shared" si="78"/>
        <v>96.099999999998815</v>
      </c>
      <c r="B973" s="35">
        <f t="shared" ca="1" si="79"/>
        <v>-6.2596343919819928E+26</v>
      </c>
      <c r="C973" s="1">
        <f t="shared" ca="1" si="80"/>
        <v>-1.9766888549414035E+26</v>
      </c>
      <c r="D973" s="1">
        <f t="shared" ca="1" si="81"/>
        <v>1.0542579929022582E+27</v>
      </c>
      <c r="E973" s="37">
        <f t="shared" ca="1" si="82"/>
        <v>2.5038537567927971E+27</v>
      </c>
    </row>
    <row r="974" spans="1:5" x14ac:dyDescent="0.25">
      <c r="A974" s="34">
        <f t="shared" ref="A974:A1012" si="83">A973+$A$9</f>
        <v>96.199999999998809</v>
      </c>
      <c r="B974" s="35">
        <f t="shared" ca="1" si="79"/>
        <v>-7.0649653719211815E+26</v>
      </c>
      <c r="C974" s="1">
        <f t="shared" ca="1" si="80"/>
        <v>-1.0249231800434948E+26</v>
      </c>
      <c r="D974" s="1">
        <f t="shared" ca="1" si="81"/>
        <v>1.3105007563798868E+27</v>
      </c>
      <c r="E974" s="37">
        <f t="shared" ca="1" si="82"/>
        <v>2.8259861487684726E+27</v>
      </c>
    </row>
    <row r="975" spans="1:5" x14ac:dyDescent="0.25">
      <c r="A975" s="34">
        <f t="shared" si="83"/>
        <v>96.299999999998803</v>
      </c>
      <c r="B975" s="35">
        <f t="shared" ca="1" si="79"/>
        <v>-7.9069017010259509E+26</v>
      </c>
      <c r="C975" s="1">
        <f t="shared" ca="1" si="80"/>
        <v>3.1730841815154658E+25</v>
      </c>
      <c r="D975" s="1">
        <f t="shared" ca="1" si="81"/>
        <v>1.6131111820203451E+27</v>
      </c>
      <c r="E975" s="37">
        <f t="shared" ca="1" si="82"/>
        <v>3.1627606804103804E+27</v>
      </c>
    </row>
    <row r="976" spans="1:5" x14ac:dyDescent="0.25">
      <c r="A976" s="34">
        <f t="shared" si="83"/>
        <v>96.399999999998798</v>
      </c>
      <c r="B976" s="35">
        <f t="shared" ca="1" si="79"/>
        <v>-8.7678180890204146E+26</v>
      </c>
      <c r="C976" s="1">
        <f t="shared" ca="1" si="80"/>
        <v>2.1449106668576571E+26</v>
      </c>
      <c r="D976" s="1">
        <f t="shared" ca="1" si="81"/>
        <v>1.9680546844898489E+27</v>
      </c>
      <c r="E976" s="37">
        <f t="shared" ca="1" si="82"/>
        <v>3.5071272356081658E+27</v>
      </c>
    </row>
    <row r="977" spans="1:5" x14ac:dyDescent="0.25">
      <c r="A977" s="34">
        <f t="shared" si="83"/>
        <v>96.499999999998792</v>
      </c>
      <c r="B977" s="35">
        <f t="shared" ca="1" si="79"/>
        <v>-9.6228583951972577E+26</v>
      </c>
      <c r="C977" s="1">
        <f t="shared" ca="1" si="80"/>
        <v>4.569961501497229E+26</v>
      </c>
      <c r="D977" s="1">
        <f t="shared" ca="1" si="81"/>
        <v>2.3815678291891747E+27</v>
      </c>
      <c r="E977" s="37">
        <f t="shared" ca="1" si="82"/>
        <v>3.8491433580789031E+27</v>
      </c>
    </row>
    <row r="978" spans="1:5" x14ac:dyDescent="0.25">
      <c r="A978" s="34">
        <f t="shared" si="83"/>
        <v>96.599999999998786</v>
      </c>
      <c r="B978" s="35">
        <f t="shared" ca="1" si="79"/>
        <v>-1.043817813346933E+27</v>
      </c>
      <c r="C978" s="1">
        <f t="shared" ca="1" si="80"/>
        <v>7.7239214785404483E+26</v>
      </c>
      <c r="D978" s="1">
        <f t="shared" ca="1" si="81"/>
        <v>2.8600277745479111E+27</v>
      </c>
      <c r="E978" s="37">
        <f t="shared" ca="1" si="82"/>
        <v>4.1752712533877319E+27</v>
      </c>
    </row>
    <row r="979" spans="1:5" x14ac:dyDescent="0.25">
      <c r="A979" s="34">
        <f t="shared" si="83"/>
        <v>96.699999999998781</v>
      </c>
      <c r="B979" s="35">
        <f t="shared" ca="1" si="79"/>
        <v>-1.1168868955047008E+27</v>
      </c>
      <c r="C979" s="1">
        <f t="shared" ca="1" si="80"/>
        <v>1.1759943614542622E+27</v>
      </c>
      <c r="D979" s="1">
        <f t="shared" ca="1" si="81"/>
        <v>3.4097681524636644E+27</v>
      </c>
      <c r="E979" s="37">
        <f t="shared" ca="1" si="82"/>
        <v>4.4675475820188031E+27</v>
      </c>
    </row>
    <row r="980" spans="1:5" x14ac:dyDescent="0.25">
      <c r="A980" s="34">
        <f t="shared" si="83"/>
        <v>96.799999999998775</v>
      </c>
      <c r="B980" s="35">
        <f t="shared" ca="1" si="79"/>
        <v>-1.1756524193688752E+27</v>
      </c>
      <c r="C980" s="1">
        <f t="shared" ca="1" si="80"/>
        <v>1.6855235296673653E+27</v>
      </c>
      <c r="D980" s="1">
        <f t="shared" ca="1" si="81"/>
        <v>4.0368283684051166E+27</v>
      </c>
      <c r="E980" s="37">
        <f t="shared" ca="1" si="82"/>
        <v>4.702609677475501E+27</v>
      </c>
    </row>
    <row r="981" spans="1:5" x14ac:dyDescent="0.25">
      <c r="A981" s="34">
        <f t="shared" si="83"/>
        <v>96.899999999998769</v>
      </c>
      <c r="B981" s="35">
        <f t="shared" ca="1" si="79"/>
        <v>-1.2126402698727855E+27</v>
      </c>
      <c r="C981" s="1">
        <f t="shared" ca="1" si="80"/>
        <v>2.3213404072309746E+27</v>
      </c>
      <c r="D981" s="1">
        <f t="shared" ca="1" si="81"/>
        <v>4.7466209469765461E+27</v>
      </c>
      <c r="E981" s="37">
        <f t="shared" ca="1" si="82"/>
        <v>4.8505610794911419E+27</v>
      </c>
    </row>
    <row r="982" spans="1:5" x14ac:dyDescent="0.25">
      <c r="A982" s="34">
        <f t="shared" si="83"/>
        <v>96.999999999998764</v>
      </c>
      <c r="B982" s="35">
        <f t="shared" ref="B982:B1012" ca="1" si="84">IF($B$7="n",$B$12,$A$9/2*(C982+C981)+B981)</f>
        <v>-1.2184147216791519E+27</v>
      </c>
      <c r="C982" s="1">
        <f t="shared" ref="C982:C1012" ca="1" si="85">D982</f>
        <v>3.1066694465873655E+27</v>
      </c>
      <c r="D982" s="1">
        <f t="shared" ref="D982:D1012" ca="1" si="86">IF($B$7="n",$D$12,$A$9/2*(E982+E981)+D981)</f>
        <v>5.5434988899456701E+27</v>
      </c>
      <c r="E982" s="37">
        <f t="shared" ref="E982:E1012" ca="1" si="87" xml:space="preserve"> -R_x/L_x*D982-1/(L_x*C_x)*B982+E0_x*SIN(w_x*A982)/L_x</f>
        <v>4.8736588867166076E+27</v>
      </c>
    </row>
    <row r="983" spans="1:5" x14ac:dyDescent="0.25">
      <c r="A983" s="34">
        <f t="shared" si="83"/>
        <v>97.099999999998758</v>
      </c>
      <c r="B983" s="35">
        <f t="shared" ca="1" si="84"/>
        <v>-1.1812013881664263E+27</v>
      </c>
      <c r="C983" s="1">
        <f t="shared" ca="1" si="85"/>
        <v>4.0677992617577027E+27</v>
      </c>
      <c r="D983" s="1">
        <f t="shared" ca="1" si="86"/>
        <v>6.4302020380905565E+27</v>
      </c>
      <c r="E983" s="37">
        <f t="shared" ca="1" si="87"/>
        <v>4.7248055526657053E+27</v>
      </c>
    </row>
    <row r="984" spans="1:5" x14ac:dyDescent="0.25">
      <c r="A984" s="34">
        <f t="shared" si="83"/>
        <v>97.199999999998752</v>
      </c>
      <c r="B984" s="35">
        <f t="shared" ca="1" si="84"/>
        <v>-1.0864571389761569E+27</v>
      </c>
      <c r="C984" s="1">
        <f t="shared" ca="1" si="85"/>
        <v>5.2342438506297313E+27</v>
      </c>
      <c r="D984" s="1">
        <f t="shared" ca="1" si="86"/>
        <v>7.4071581285820469E+27</v>
      </c>
      <c r="E984" s="37">
        <f t="shared" ca="1" si="87"/>
        <v>4.3458285559046274E+27</v>
      </c>
    </row>
    <row r="985" spans="1:5" x14ac:dyDescent="0.25">
      <c r="A985" s="34">
        <f t="shared" si="83"/>
        <v>97.299999999998747</v>
      </c>
      <c r="B985" s="35">
        <f t="shared" ca="1" si="84"/>
        <v>-9.1638327382741149E+26</v>
      </c>
      <c r="C985" s="1">
        <f t="shared" ca="1" si="85"/>
        <v>6.6388440705421515E+27</v>
      </c>
      <c r="D985" s="1">
        <f t="shared" ca="1" si="86"/>
        <v>8.4716106181969761E+27</v>
      </c>
      <c r="E985" s="37">
        <f t="shared" ca="1" si="87"/>
        <v>3.665533095309646E+27</v>
      </c>
    </row>
    <row r="986" spans="1:5" x14ac:dyDescent="0.25">
      <c r="A986" s="34">
        <f t="shared" si="83"/>
        <v>97.399999999998741</v>
      </c>
      <c r="B986" s="35">
        <f t="shared" ca="1" si="84"/>
        <v>-6.4937896700033773E+26</v>
      </c>
      <c r="C986" s="1">
        <f t="shared" ca="1" si="85"/>
        <v>8.3177834804020549E+27</v>
      </c>
      <c r="D986" s="1">
        <f t="shared" ca="1" si="86"/>
        <v>9.6165414144027317E+27</v>
      </c>
      <c r="E986" s="37">
        <f t="shared" ca="1" si="87"/>
        <v>2.5975158680013509E+27</v>
      </c>
    </row>
    <row r="987" spans="1:5" x14ac:dyDescent="0.25">
      <c r="A987" s="34">
        <f t="shared" si="83"/>
        <v>97.499999999998735</v>
      </c>
      <c r="B987" s="35">
        <f t="shared" ca="1" si="84"/>
        <v>-2.5943310331137221E+26</v>
      </c>
      <c r="C987" s="1">
        <f t="shared" ca="1" si="85"/>
        <v>1.0310486246491477E+28</v>
      </c>
      <c r="D987" s="1">
        <f t="shared" ca="1" si="86"/>
        <v>1.0829352453114222E+28</v>
      </c>
      <c r="E987" s="37">
        <f t="shared" ca="1" si="87"/>
        <v>1.0377324132454888E+27</v>
      </c>
    </row>
    <row r="988" spans="1:5" x14ac:dyDescent="0.25">
      <c r="A988" s="34">
        <f t="shared" si="83"/>
        <v>97.59999999999873</v>
      </c>
      <c r="B988" s="35">
        <f t="shared" ca="1" si="84"/>
        <v>2.845457877924463E+26</v>
      </c>
      <c r="C988" s="1">
        <f t="shared" ca="1" si="85"/>
        <v>1.2659357213114333E+28</v>
      </c>
      <c r="D988" s="1">
        <f t="shared" ca="1" si="86"/>
        <v>1.209026563752944E+28</v>
      </c>
      <c r="E988" s="37">
        <f t="shared" ca="1" si="87"/>
        <v>-1.1381831511697852E+27</v>
      </c>
    </row>
    <row r="989" spans="1:5" x14ac:dyDescent="0.25">
      <c r="A989" s="34">
        <f t="shared" si="83"/>
        <v>97.699999999998724</v>
      </c>
      <c r="B989" s="35">
        <f t="shared" ca="1" si="84"/>
        <v>1.0194596093868477E+27</v>
      </c>
      <c r="C989" s="1">
        <f t="shared" ca="1" si="85"/>
        <v>1.5409315307630307E+28</v>
      </c>
      <c r="D989" s="1">
        <f t="shared" ca="1" si="86"/>
        <v>1.3370396088856612E+28</v>
      </c>
      <c r="E989" s="37">
        <f t="shared" ca="1" si="87"/>
        <v>-4.077838437547391E+27</v>
      </c>
    </row>
    <row r="990" spans="1:5" x14ac:dyDescent="0.25">
      <c r="A990" s="34">
        <f t="shared" si="83"/>
        <v>97.799999999998718</v>
      </c>
      <c r="B990" s="35">
        <f t="shared" ca="1" si="84"/>
        <v>1.9888059719648479E+27</v>
      </c>
      <c r="C990" s="1">
        <f t="shared" ca="1" si="85"/>
        <v>1.8607061018351076E+28</v>
      </c>
      <c r="D990" s="1">
        <f t="shared" ca="1" si="86"/>
        <v>1.462944907442138E+28</v>
      </c>
      <c r="E990" s="37">
        <f t="shared" ca="1" si="87"/>
        <v>-7.9552238878593915E+27</v>
      </c>
    </row>
    <row r="991" spans="1:5" x14ac:dyDescent="0.25">
      <c r="A991" s="34">
        <f t="shared" si="83"/>
        <v>97.899999999998712</v>
      </c>
      <c r="B991" s="35">
        <f t="shared" ca="1" si="84"/>
        <v>3.2435100254248909E+27</v>
      </c>
      <c r="C991" s="1">
        <f t="shared" ca="1" si="85"/>
        <v>2.2300006584214682E+28</v>
      </c>
      <c r="D991" s="1">
        <f t="shared" ca="1" si="86"/>
        <v>1.58129865333649E+28</v>
      </c>
      <c r="E991" s="37">
        <f t="shared" ca="1" si="87"/>
        <v>-1.2974040101699563E+28</v>
      </c>
    </row>
    <row r="992" spans="1:5" x14ac:dyDescent="0.25">
      <c r="A992" s="34">
        <f t="shared" si="83"/>
        <v>97.999999999998707</v>
      </c>
      <c r="B992" s="35">
        <f t="shared" ca="1" si="84"/>
        <v>4.8427892829284724E+27</v>
      </c>
      <c r="C992" s="1">
        <f t="shared" ca="1" si="85"/>
        <v>2.6534783597279079E+28</v>
      </c>
      <c r="D992" s="1">
        <f t="shared" ca="1" si="86"/>
        <v>1.6849205031422134E+28</v>
      </c>
      <c r="E992" s="37">
        <f t="shared" ca="1" si="87"/>
        <v>-1.937115713171389E+28</v>
      </c>
    </row>
    <row r="993" spans="1:5" x14ac:dyDescent="0.25">
      <c r="A993" s="34">
        <f t="shared" si="83"/>
        <v>98.099999999998701</v>
      </c>
      <c r="B993" s="35">
        <f t="shared" ca="1" si="84"/>
        <v>6.8550316253249182E+27</v>
      </c>
      <c r="C993" s="1">
        <f t="shared" ca="1" si="85"/>
        <v>3.1355226778245882E+28</v>
      </c>
      <c r="D993" s="1">
        <f t="shared" ca="1" si="86"/>
        <v>1.7645163527596044E+28</v>
      </c>
      <c r="E993" s="37">
        <f t="shared" ca="1" si="87"/>
        <v>-2.7420126501299673E+28</v>
      </c>
    </row>
    <row r="994" spans="1:5" x14ac:dyDescent="0.25">
      <c r="A994" s="34">
        <f t="shared" si="83"/>
        <v>98.199999999998695</v>
      </c>
      <c r="B994" s="35">
        <f t="shared" ca="1" si="84"/>
        <v>9.3586588491524585E+27</v>
      </c>
      <c r="C994" s="1">
        <f t="shared" ca="1" si="85"/>
        <v>3.6799714590006098E+28</v>
      </c>
      <c r="D994" s="1">
        <f t="shared" ca="1" si="86"/>
        <v>1.8082396891701179E+28</v>
      </c>
      <c r="E994" s="37">
        <f t="shared" ca="1" si="87"/>
        <v>-3.7434635396609834E+28</v>
      </c>
    </row>
    <row r="995" spans="1:5" x14ac:dyDescent="0.25">
      <c r="A995" s="34">
        <f t="shared" si="83"/>
        <v>98.29999999999869</v>
      </c>
      <c r="B995" s="35">
        <f t="shared" ca="1" si="84"/>
        <v>1.2442938420725292E+28</v>
      </c>
      <c r="C995" s="1">
        <f t="shared" ca="1" si="85"/>
        <v>4.2897726976862463E+28</v>
      </c>
      <c r="D995" s="1">
        <f t="shared" ca="1" si="86"/>
        <v>1.8011850135411875E+28</v>
      </c>
      <c r="E995" s="37">
        <f t="shared" ca="1" si="87"/>
        <v>-4.9771753682901167E+28</v>
      </c>
    </row>
    <row r="996" spans="1:5" x14ac:dyDescent="0.25">
      <c r="A996" s="34">
        <f t="shared" si="83"/>
        <v>98.399999999998684</v>
      </c>
      <c r="B996" s="35">
        <f t="shared" ca="1" si="84"/>
        <v>1.6208694188409349E+28</v>
      </c>
      <c r="C996" s="1">
        <f t="shared" ca="1" si="85"/>
        <v>4.9665457767115163E+28</v>
      </c>
      <c r="D996" s="1">
        <f t="shared" ca="1" si="86"/>
        <v>1.7248069390296463E+28</v>
      </c>
      <c r="E996" s="37">
        <f t="shared" ca="1" si="87"/>
        <v>-6.4834776753637396E+28</v>
      </c>
    </row>
    <row r="997" spans="1:5" x14ac:dyDescent="0.25">
      <c r="A997" s="34">
        <f t="shared" si="83"/>
        <v>98.499999999998678</v>
      </c>
      <c r="B997" s="35">
        <f t="shared" ca="1" si="84"/>
        <v>2.0768852307516786E+28</v>
      </c>
      <c r="C997" s="1">
        <f t="shared" ca="1" si="85"/>
        <v>5.710029411793868E+28</v>
      </c>
      <c r="D997" s="1">
        <f t="shared" ca="1" si="86"/>
        <v>1.5562589502905103E+28</v>
      </c>
      <c r="E997" s="37">
        <f t="shared" ca="1" si="87"/>
        <v>-8.3075409230067145E+28</v>
      </c>
    </row>
    <row r="998" spans="1:5" x14ac:dyDescent="0.25">
      <c r="A998" s="34">
        <f t="shared" si="83"/>
        <v>98.599999999998673</v>
      </c>
      <c r="B998" s="35">
        <f t="shared" ca="1" si="84"/>
        <v>2.6248741126015245E+28</v>
      </c>
      <c r="C998" s="1">
        <f t="shared" ca="1" si="85"/>
        <v>6.5173947853587988E+28</v>
      </c>
      <c r="D998" s="1">
        <f t="shared" ca="1" si="86"/>
        <v>1.2676465601557496E+28</v>
      </c>
      <c r="E998" s="37">
        <f t="shared" ca="1" si="87"/>
        <v>-1.0499496450406098E+29</v>
      </c>
    </row>
    <row r="999" spans="1:5" x14ac:dyDescent="0.25">
      <c r="A999" s="34">
        <f t="shared" si="83"/>
        <v>98.699999999998667</v>
      </c>
      <c r="B999" s="35">
        <f t="shared" ca="1" si="84"/>
        <v>3.2786042798549607E+28</v>
      </c>
      <c r="C999" s="1">
        <f t="shared" ca="1" si="85"/>
        <v>7.3823993793048598E+28</v>
      </c>
      <c r="D999" s="1">
        <f t="shared" ca="1" si="86"/>
        <v>8.2519081959493848E+27</v>
      </c>
      <c r="E999" s="37">
        <f t="shared" ca="1" si="87"/>
        <v>-1.3114417119419843E+29</v>
      </c>
    </row>
    <row r="1000" spans="1:5" x14ac:dyDescent="0.25">
      <c r="A1000" s="34">
        <f t="shared" si="83"/>
        <v>98.799999999998661</v>
      </c>
      <c r="B1000" s="35">
        <f t="shared" ca="1" si="84"/>
        <v>4.0530269431335599E+28</v>
      </c>
      <c r="C1000" s="1">
        <f t="shared" ca="1" si="85"/>
        <v>8.2943538458492825E+28</v>
      </c>
      <c r="D1000" s="1">
        <f t="shared" ca="1" si="86"/>
        <v>1.8829995958216258E+27</v>
      </c>
      <c r="E1000" s="37">
        <f t="shared" ca="1" si="87"/>
        <v>-1.6212107772534239E+29</v>
      </c>
    </row>
    <row r="1001" spans="1:5" x14ac:dyDescent="0.25">
      <c r="A1001" s="34">
        <f t="shared" si="83"/>
        <v>98.899999999998656</v>
      </c>
      <c r="B1001" s="35">
        <f t="shared" ca="1" si="84"/>
        <v>4.9641607060289157E+28</v>
      </c>
      <c r="C1001" s="1">
        <f t="shared" ca="1" si="85"/>
        <v>9.2368709353416655E+28</v>
      </c>
      <c r="D1001" s="1">
        <f t="shared" ca="1" si="86"/>
        <v>-6.9145047671616605E+27</v>
      </c>
      <c r="E1001" s="37">
        <f t="shared" ca="1" si="87"/>
        <v>-1.9856642824115663E+29</v>
      </c>
    </row>
    <row r="1002" spans="1:5" x14ac:dyDescent="0.25">
      <c r="A1002" s="34">
        <f t="shared" si="83"/>
        <v>98.99999999999865</v>
      </c>
      <c r="B1002" s="35">
        <f t="shared" ca="1" si="84"/>
        <v>6.0288936142177764E+28</v>
      </c>
      <c r="C1002" s="1">
        <f t="shared" ca="1" si="85"/>
        <v>1.0186362097411165E+29</v>
      </c>
      <c r="D1002" s="1">
        <f t="shared" ca="1" si="86"/>
        <v>-1.8714251310243879E+28</v>
      </c>
      <c r="E1002" s="37">
        <f t="shared" ca="1" si="87"/>
        <v>-2.4115574456871106E+29</v>
      </c>
    </row>
    <row r="1003" spans="1:5" x14ac:dyDescent="0.25">
      <c r="A1003" s="34">
        <f t="shared" si="83"/>
        <v>99.099999999998644</v>
      </c>
      <c r="B1003" s="35">
        <f t="shared" ca="1" si="84"/>
        <v>7.2646796878759279E+28</v>
      </c>
      <c r="C1003" s="1">
        <f t="shared" ca="1" si="85"/>
        <v>1.1110243982565252E+29</v>
      </c>
      <c r="D1003" s="1">
        <f t="shared" ca="1" si="86"/>
        <v>-3.4191153931866037E+28</v>
      </c>
      <c r="E1003" s="37">
        <f t="shared" ca="1" si="87"/>
        <v>-2.9058718751503711E+29</v>
      </c>
    </row>
    <row r="1004" spans="1:5" x14ac:dyDescent="0.25">
      <c r="A1004" s="34">
        <f t="shared" si="83"/>
        <v>99.199999999998639</v>
      </c>
      <c r="B1004" s="35">
        <f t="shared" ca="1" si="84"/>
        <v>8.6891020966713221E+28</v>
      </c>
      <c r="C1004" s="1">
        <f t="shared" ca="1" si="85"/>
        <v>1.1964813825829546E+29</v>
      </c>
      <c r="D1004" s="1">
        <f t="shared" ca="1" si="86"/>
        <v>-5.4133903675130986E+28</v>
      </c>
      <c r="E1004" s="37">
        <f t="shared" ca="1" si="87"/>
        <v>-3.4756408386685289E+29</v>
      </c>
    </row>
    <row r="1005" spans="1:5" x14ac:dyDescent="0.25">
      <c r="A1005" s="34">
        <f t="shared" si="83"/>
        <v>99.299999999998633</v>
      </c>
      <c r="B1005" s="35">
        <f t="shared" ca="1" si="84"/>
        <v>1.031926976440311E+29</v>
      </c>
      <c r="C1005" s="1">
        <f t="shared" ca="1" si="85"/>
        <v>1.2692749765642484E+29</v>
      </c>
      <c r="D1005" s="1">
        <f t="shared" ca="1" si="86"/>
        <v>-7.9457897631637367E+28</v>
      </c>
      <c r="E1005" s="37">
        <f t="shared" ca="1" si="87"/>
        <v>-4.1277079057612438E+29</v>
      </c>
    </row>
    <row r="1006" spans="1:5" x14ac:dyDescent="0.25">
      <c r="A1006" s="34">
        <f t="shared" si="83"/>
        <v>99.399999999998627</v>
      </c>
      <c r="B1006" s="35">
        <f t="shared" ca="1" si="84"/>
        <v>1.2171008058539149E+29</v>
      </c>
      <c r="C1006" s="1">
        <f t="shared" ca="1" si="85"/>
        <v>1.3220189765917901E+29</v>
      </c>
      <c r="D1006" s="1">
        <f t="shared" ca="1" si="86"/>
        <v>-1.1121826351160399E+29</v>
      </c>
      <c r="E1006" s="37">
        <f t="shared" ca="1" si="87"/>
        <v>-4.8684032234156596E+29</v>
      </c>
    </row>
    <row r="1007" spans="1:5" x14ac:dyDescent="0.25">
      <c r="A1007" s="34">
        <f t="shared" si="83"/>
        <v>99.499999999998622</v>
      </c>
      <c r="B1007" s="35">
        <f t="shared" ca="1" si="84"/>
        <v>1.425779727426116E+29</v>
      </c>
      <c r="C1007" s="1">
        <f t="shared" ca="1" si="85"/>
        <v>1.3453341256446513E+29</v>
      </c>
      <c r="D1007" s="1">
        <f t="shared" ca="1" si="86"/>
        <v>-1.506225329207581E+29</v>
      </c>
      <c r="E1007" s="37">
        <f t="shared" ca="1" si="87"/>
        <v>-5.7031189097044638E+29</v>
      </c>
    </row>
    <row r="1008" spans="1:5" x14ac:dyDescent="0.25">
      <c r="A1008" s="34">
        <f t="shared" si="83"/>
        <v>99.599999999998616</v>
      </c>
      <c r="B1008" s="35">
        <f t="shared" ca="1" si="84"/>
        <v>1.6589404818981648E+29</v>
      </c>
      <c r="C1008" s="1">
        <f t="shared" ca="1" si="85"/>
        <v>1.3274573252487701E+29</v>
      </c>
      <c r="D1008" s="1">
        <f t="shared" ca="1" si="86"/>
        <v>-1.9904236385475602E+29</v>
      </c>
      <c r="E1008" s="37">
        <f t="shared" ca="1" si="87"/>
        <v>-6.6357619275926593E+29</v>
      </c>
    </row>
    <row r="1009" spans="1:5" x14ac:dyDescent="0.25">
      <c r="A1009" s="34">
        <f t="shared" si="83"/>
        <v>99.69999999999861</v>
      </c>
      <c r="B1009" s="35">
        <f t="shared" ca="1" si="84"/>
        <v>1.9170148312895595E+29</v>
      </c>
      <c r="C1009" s="1">
        <f t="shared" ca="1" si="85"/>
        <v>1.2537944015489046E+29</v>
      </c>
      <c r="D1009" s="1">
        <f t="shared" ca="1" si="86"/>
        <v>-2.5802352610302147E+29</v>
      </c>
      <c r="E1009" s="37">
        <f t="shared" ca="1" si="87"/>
        <v>-7.6680593251582379E+29</v>
      </c>
    </row>
    <row r="1010" spans="1:5" x14ac:dyDescent="0.25">
      <c r="A1010" s="34">
        <f t="shared" si="83"/>
        <v>99.799999999998604</v>
      </c>
      <c r="B1010" s="35">
        <f t="shared" ca="1" si="84"/>
        <v>2.1996717237411162E+29</v>
      </c>
      <c r="C1010" s="1">
        <f t="shared" ca="1" si="85"/>
        <v>1.106412083828759E+29</v>
      </c>
      <c r="D1010" s="1">
        <f t="shared" ca="1" si="86"/>
        <v>-3.2929313636534744E+29</v>
      </c>
      <c r="E1010" s="37">
        <f t="shared" ca="1" si="87"/>
        <v>-8.7986868949644647E+29</v>
      </c>
    </row>
    <row r="1011" spans="1:5" x14ac:dyDescent="0.25">
      <c r="A1011" s="34">
        <f t="shared" si="83"/>
        <v>99.899999999998599</v>
      </c>
      <c r="B1011" s="35">
        <f t="shared" ca="1" si="84"/>
        <v>2.5055470310361712E+29</v>
      </c>
      <c r="C1011" s="1">
        <f t="shared" ca="1" si="85"/>
        <v>8.6346549718156849E+28</v>
      </c>
      <c r="D1011" s="1">
        <f t="shared" ca="1" si="86"/>
        <v>-4.147628564890775E+29</v>
      </c>
      <c r="E1011" s="37">
        <f t="shared" ca="1" si="87"/>
        <v>-1.0022188124144685E+30</v>
      </c>
    </row>
    <row r="1012" spans="1:5" x14ac:dyDescent="0.25">
      <c r="A1012" s="34">
        <f t="shared" si="83"/>
        <v>99.999999999998593</v>
      </c>
      <c r="B1012" s="35">
        <f t="shared" ca="1" si="84"/>
        <v>2.8319114509947218E+29</v>
      </c>
      <c r="C1012" s="1">
        <f t="shared" ca="1" si="85"/>
        <v>4.9855848965832326E+28</v>
      </c>
      <c r="D1012" s="1">
        <f t="shared" ca="1" si="86"/>
        <v>-5.1652644123311212E+29</v>
      </c>
      <c r="E1012" s="37">
        <f t="shared" ca="1" si="87"/>
        <v>-1.1327645803978887E+30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4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/>
  <dimension ref="A1:L510"/>
  <sheetViews>
    <sheetView zoomScale="190" zoomScaleNormal="190" workbookViewId="0">
      <selection activeCell="B9" sqref="B9"/>
    </sheetView>
  </sheetViews>
  <sheetFormatPr defaultRowHeight="15" x14ac:dyDescent="0.25"/>
  <cols>
    <col min="5" max="5" width="3.7109375" customWidth="1"/>
    <col min="7" max="7" width="3.7109375" customWidth="1"/>
  </cols>
  <sheetData>
    <row r="1" spans="1:12" x14ac:dyDescent="0.25">
      <c r="A1" s="8" t="s">
        <v>61</v>
      </c>
      <c r="J1" s="2"/>
    </row>
    <row r="2" spans="1:12" x14ac:dyDescent="0.25">
      <c r="A2" s="44" t="s">
        <v>58</v>
      </c>
      <c r="J2" s="2"/>
    </row>
    <row r="3" spans="1:12" x14ac:dyDescent="0.25">
      <c r="E3" s="4"/>
    </row>
    <row r="4" spans="1:12" x14ac:dyDescent="0.25">
      <c r="E4" s="4"/>
    </row>
    <row r="5" spans="1:12" x14ac:dyDescent="0.25">
      <c r="A5" s="5" t="s">
        <v>25</v>
      </c>
      <c r="E5" s="4"/>
      <c r="H5" s="2"/>
    </row>
    <row r="6" spans="1:12" x14ac:dyDescent="0.25">
      <c r="A6" s="46" t="s">
        <v>14</v>
      </c>
      <c r="B6" s="47"/>
      <c r="C6" s="47"/>
      <c r="D6" s="48"/>
      <c r="F6" s="53" t="s">
        <v>5</v>
      </c>
      <c r="H6" s="55" t="s">
        <v>22</v>
      </c>
      <c r="I6" s="56" t="s">
        <v>21</v>
      </c>
      <c r="J6" s="56" t="s">
        <v>20</v>
      </c>
      <c r="K6" s="56" t="s">
        <v>19</v>
      </c>
      <c r="L6" s="57" t="s">
        <v>17</v>
      </c>
    </row>
    <row r="7" spans="1:12" x14ac:dyDescent="0.25">
      <c r="A7" s="49" t="s">
        <v>24</v>
      </c>
      <c r="B7" s="50"/>
      <c r="C7" s="51"/>
      <c r="D7" s="52"/>
      <c r="F7" s="54">
        <v>0.2</v>
      </c>
      <c r="H7" s="58">
        <f>R_x</f>
        <v>0</v>
      </c>
      <c r="I7" s="59">
        <f>L_x</f>
        <v>1</v>
      </c>
      <c r="J7" s="45">
        <f>C_x</f>
        <v>0.25</v>
      </c>
      <c r="K7" s="59">
        <f>E0_x</f>
        <v>1</v>
      </c>
      <c r="L7" s="60">
        <f>w_x</f>
        <v>1.8708286933869707</v>
      </c>
    </row>
    <row r="8" spans="1:12" x14ac:dyDescent="0.25">
      <c r="C8" s="7"/>
      <c r="D8" s="7"/>
    </row>
    <row r="9" spans="1:12" ht="15.75" thickBot="1" x14ac:dyDescent="0.3">
      <c r="A9" s="39" t="s">
        <v>4</v>
      </c>
      <c r="B9" s="31" t="s">
        <v>63</v>
      </c>
      <c r="C9" s="43" t="s">
        <v>3</v>
      </c>
      <c r="D9" s="2"/>
      <c r="I9" s="2"/>
    </row>
    <row r="10" spans="1:12" x14ac:dyDescent="0.25">
      <c r="A10" s="34">
        <v>0</v>
      </c>
      <c r="B10" s="35">
        <v>0</v>
      </c>
      <c r="C10" s="37">
        <v>0</v>
      </c>
      <c r="E10" t="s">
        <v>30</v>
      </c>
      <c r="I10" s="1"/>
    </row>
    <row r="11" spans="1:12" x14ac:dyDescent="0.25">
      <c r="A11" s="61">
        <f t="array" ref="A11:C11">ODE_RK4(A10:C10,$F$7,$H$7,$I$7,$J$7,$K$7,$L$7)</f>
        <v>0.2</v>
      </c>
      <c r="B11" s="62">
        <v>2.4799128108593201E-3</v>
      </c>
      <c r="C11" s="63">
        <v>3.6486349386267505E-2</v>
      </c>
      <c r="E11" t="s">
        <v>29</v>
      </c>
      <c r="I11" s="1"/>
    </row>
    <row r="12" spans="1:12" x14ac:dyDescent="0.25">
      <c r="A12" s="34">
        <f t="array" ref="A12:C12">ODE_RK4(A11:C11,$F$7,$H$7,$I$7,$J$7,$K$7,$L$7)</f>
        <v>0.4</v>
      </c>
      <c r="B12" s="35">
        <v>1.8822598485484242E-2</v>
      </c>
      <c r="C12" s="37">
        <v>0.13511095466131479</v>
      </c>
      <c r="E12" t="s">
        <v>28</v>
      </c>
      <c r="I12" s="1"/>
    </row>
    <row r="13" spans="1:12" x14ac:dyDescent="0.25">
      <c r="A13" s="34">
        <f t="array" ref="A13:C13">ODE_RK4(A12:C12,$F$7,$H$7,$I$7,$J$7,$K$7,$L$7)</f>
        <v>0.60000000000000009</v>
      </c>
      <c r="B13" s="35">
        <v>5.8724403251746493E-2</v>
      </c>
      <c r="C13" s="37">
        <v>0.26586172864289859</v>
      </c>
      <c r="E13" t="s">
        <v>27</v>
      </c>
      <c r="I13" s="1"/>
    </row>
    <row r="14" spans="1:12" x14ac:dyDescent="0.25">
      <c r="A14" s="34">
        <f t="array" ref="A14:C14">ODE_RK4(A13:C13,$F$7,$H$7,$I$7,$J$7,$K$7,$L$7)</f>
        <v>0.8</v>
      </c>
      <c r="B14" s="35">
        <v>0.12449211610050197</v>
      </c>
      <c r="C14" s="37">
        <v>0.38626178738658234</v>
      </c>
      <c r="I14" s="1"/>
    </row>
    <row r="15" spans="1:12" x14ac:dyDescent="0.25">
      <c r="A15" s="34">
        <f t="array" ref="A15:C15">ODE_RK4(A14:C14,$F$7,$H$7,$I$7,$J$7,$K$7,$L$7)</f>
        <v>1</v>
      </c>
      <c r="B15" s="35">
        <v>0.20948862776709898</v>
      </c>
      <c r="C15" s="37">
        <v>0.45109572026393241</v>
      </c>
      <c r="E15" t="s">
        <v>26</v>
      </c>
      <c r="H15" s="1"/>
      <c r="I15" s="1"/>
    </row>
    <row r="16" spans="1:12" x14ac:dyDescent="0.25">
      <c r="A16" s="34">
        <f t="array" ref="A16:C16">ODE_RK4(A15:C15,$F$7,$H$7,$I$7,$J$7,$K$7,$L$7)</f>
        <v>1.2</v>
      </c>
      <c r="B16" s="35">
        <v>0.29866287567211119</v>
      </c>
      <c r="C16" s="37">
        <v>0.42317278477313325</v>
      </c>
    </row>
    <row r="17" spans="1:3" x14ac:dyDescent="0.25">
      <c r="A17" s="34">
        <f t="array" ref="A17:C17">ODE_RK4(A16:C16,$F$7,$H$7,$I$7,$J$7,$K$7,$L$7)</f>
        <v>1.4</v>
      </c>
      <c r="B17" s="35">
        <v>0.3711520001347155</v>
      </c>
      <c r="C17" s="37">
        <v>0.28292645812327033</v>
      </c>
    </row>
    <row r="18" spans="1:3" x14ac:dyDescent="0.25">
      <c r="A18" s="34">
        <f t="array" ref="A18:C18">ODE_RK4(A17:C17,$F$7,$H$7,$I$7,$J$7,$K$7,$L$7)</f>
        <v>1.5999999999999999</v>
      </c>
      <c r="B18" s="35">
        <v>0.404513610724964</v>
      </c>
      <c r="C18" s="37">
        <v>3.4819236730638664E-2</v>
      </c>
    </row>
    <row r="19" spans="1:3" x14ac:dyDescent="0.25">
      <c r="A19" s="34">
        <f t="array" ref="A19:C19">ODE_RK4(A18:C18,$F$7,$H$7,$I$7,$J$7,$K$7,$L$7)</f>
        <v>1.7999999999999998</v>
      </c>
      <c r="B19" s="35">
        <v>0.37979016376091052</v>
      </c>
      <c r="C19" s="37">
        <v>-0.29091700737528547</v>
      </c>
    </row>
    <row r="20" spans="1:3" x14ac:dyDescent="0.25">
      <c r="A20" s="34">
        <f t="array" ref="A20:C20">ODE_RK4(A19:C19,$F$7,$H$7,$I$7,$J$7,$K$7,$L$7)</f>
        <v>1.9999999999999998</v>
      </c>
      <c r="B20" s="35">
        <v>0.28639549696817912</v>
      </c>
      <c r="C20" s="37">
        <v>-0.64181795374678718</v>
      </c>
    </row>
    <row r="21" spans="1:3" x14ac:dyDescent="0.25">
      <c r="A21" s="34">
        <f t="array" ref="A21:C21">ODE_RK4(A20:C20,$F$7,$H$7,$I$7,$J$7,$K$7,$L$7)</f>
        <v>2.1999999999999997</v>
      </c>
      <c r="B21" s="35">
        <v>0.1257901604755535</v>
      </c>
      <c r="C21" s="37">
        <v>-0.95161353594973996</v>
      </c>
    </row>
    <row r="22" spans="1:3" x14ac:dyDescent="0.25">
      <c r="A22" s="34">
        <f t="array" ref="A22:C22">ODE_RK4(A21:C21,$F$7,$H$7,$I$7,$J$7,$K$7,$L$7)</f>
        <v>2.4</v>
      </c>
      <c r="B22" s="35">
        <v>-8.6911861790757494E-2</v>
      </c>
      <c r="C22" s="37">
        <v>-1.1521941155153688</v>
      </c>
    </row>
    <row r="23" spans="1:3" x14ac:dyDescent="0.25">
      <c r="A23" s="34">
        <f t="array" ref="A23:C23">ODE_RK4(A22:C22,$F$7,$H$7,$I$7,$J$7,$K$7,$L$7)</f>
        <v>2.6</v>
      </c>
      <c r="B23" s="35">
        <v>-0.32391279898522807</v>
      </c>
      <c r="C23" s="37">
        <v>-1.1870189706034819</v>
      </c>
    </row>
    <row r="24" spans="1:3" x14ac:dyDescent="0.25">
      <c r="A24" s="34">
        <f t="array" ref="A24:C24">ODE_RK4(A23:C23,$F$7,$H$7,$I$7,$J$7,$K$7,$L$7)</f>
        <v>2.8000000000000003</v>
      </c>
      <c r="B24" s="35">
        <v>-0.54831991876424668</v>
      </c>
      <c r="C24" s="37">
        <v>-1.0234829456037295</v>
      </c>
    </row>
    <row r="25" spans="1:3" x14ac:dyDescent="0.25">
      <c r="A25" s="34">
        <f t="array" ref="A25:C25">ODE_RK4(A24:C24,$F$7,$H$7,$I$7,$J$7,$K$7,$L$7)</f>
        <v>3.0000000000000004</v>
      </c>
      <c r="B25" s="35">
        <v>-0.71989754524888927</v>
      </c>
      <c r="C25" s="37">
        <v>-0.66181309016362622</v>
      </c>
    </row>
    <row r="26" spans="1:3" x14ac:dyDescent="0.25">
      <c r="A26" s="34">
        <f t="array" ref="A26:C26">ODE_RK4(A25:C25,$F$7,$H$7,$I$7,$J$7,$K$7,$L$7)</f>
        <v>3.2000000000000006</v>
      </c>
      <c r="B26" s="35">
        <v>-0.80208418208265819</v>
      </c>
      <c r="C26" s="37">
        <v>-0.13857224158074488</v>
      </c>
    </row>
    <row r="27" spans="1:3" x14ac:dyDescent="0.25">
      <c r="A27" s="34">
        <f t="array" ref="A27:C27">ODE_RK4(A26:C26,$F$7,$H$7,$I$7,$J$7,$K$7,$L$7)</f>
        <v>3.4000000000000008</v>
      </c>
      <c r="B27" s="35">
        <v>-0.76907495320421737</v>
      </c>
      <c r="C27" s="37">
        <v>0.47627306933355218</v>
      </c>
    </row>
    <row r="28" spans="1:3" x14ac:dyDescent="0.25">
      <c r="A28" s="34">
        <f t="array" ref="A28:C28">ODE_RK4(A27:C27,$F$7,$H$7,$I$7,$J$7,$K$7,$L$7)</f>
        <v>3.600000000000001</v>
      </c>
      <c r="B28" s="35">
        <v>-0.61167000762257617</v>
      </c>
      <c r="C28" s="37">
        <v>1.0886502891795407</v>
      </c>
    </row>
    <row r="29" spans="1:3" x14ac:dyDescent="0.25">
      <c r="A29" s="34">
        <f t="array" ref="A29:C29">ODE_RK4(A28:C28,$F$7,$H$7,$I$7,$J$7,$K$7,$L$7)</f>
        <v>3.8000000000000012</v>
      </c>
      <c r="B29" s="35">
        <v>-0.34072016346869483</v>
      </c>
      <c r="C29" s="37">
        <v>1.5948180171516446</v>
      </c>
    </row>
    <row r="30" spans="1:3" x14ac:dyDescent="0.25">
      <c r="A30" s="34">
        <f t="array" ref="A30:C30">ODE_RK4(A29:C29,$F$7,$H$7,$I$7,$J$7,$K$7,$L$7)</f>
        <v>4.0000000000000009</v>
      </c>
      <c r="B30" s="35">
        <v>1.2649854669921523E-2</v>
      </c>
      <c r="C30" s="37">
        <v>1.8987207660497529</v>
      </c>
    </row>
    <row r="31" spans="1:3" x14ac:dyDescent="0.25">
      <c r="A31" s="34">
        <f t="array" ref="A31:C31">ODE_RK4(A30:C30,$F$7,$H$7,$I$7,$J$7,$K$7,$L$7)</f>
        <v>4.2000000000000011</v>
      </c>
      <c r="B31" s="35">
        <v>0.4003436287438461</v>
      </c>
      <c r="C31" s="37">
        <v>1.9293863958227682</v>
      </c>
    </row>
    <row r="32" spans="1:3" x14ac:dyDescent="0.25">
      <c r="A32" s="34">
        <f t="array" ref="A32:C32">ODE_RK4(A31:C31,$F$7,$H$7,$I$7,$J$7,$K$7,$L$7)</f>
        <v>4.4000000000000012</v>
      </c>
      <c r="B32" s="35">
        <v>0.76382227353694843</v>
      </c>
      <c r="C32" s="37">
        <v>1.6553108567054273</v>
      </c>
    </row>
    <row r="33" spans="1:3" x14ac:dyDescent="0.25">
      <c r="A33" s="34">
        <f t="array" ref="A33:C33">ODE_RK4(A32:C32,$F$7,$H$7,$I$7,$J$7,$K$7,$L$7)</f>
        <v>4.6000000000000014</v>
      </c>
      <c r="B33" s="35">
        <v>1.042977047228659</v>
      </c>
      <c r="C33" s="37">
        <v>1.0931194850985797</v>
      </c>
    </row>
    <row r="34" spans="1:3" x14ac:dyDescent="0.25">
      <c r="A34" s="34">
        <f t="array" ref="A34:C34">ODE_RK4(A33:C33,$F$7,$H$7,$I$7,$J$7,$K$7,$L$7)</f>
        <v>4.8000000000000016</v>
      </c>
      <c r="B34" s="35">
        <v>1.1859956722240543</v>
      </c>
      <c r="C34" s="37">
        <v>0.30862747227427789</v>
      </c>
    </row>
    <row r="35" spans="1:3" x14ac:dyDescent="0.25">
      <c r="A35" s="34">
        <f t="array" ref="A35:C35">ODE_RK4(A34:C34,$F$7,$H$7,$I$7,$J$7,$K$7,$L$7)</f>
        <v>5.0000000000000018</v>
      </c>
      <c r="B35" s="35">
        <v>1.1586126577024229</v>
      </c>
      <c r="C35" s="37">
        <v>-0.59037758373070803</v>
      </c>
    </row>
    <row r="36" spans="1:3" x14ac:dyDescent="0.25">
      <c r="A36" s="34">
        <f t="array" ref="A36:C36">ODE_RK4(A35:C35,$F$7,$H$7,$I$7,$J$7,$K$7,$L$7)</f>
        <v>5.200000000000002</v>
      </c>
      <c r="B36" s="35">
        <v>0.95113520888712499</v>
      </c>
      <c r="C36" s="37">
        <v>-1.468930464171903</v>
      </c>
    </row>
    <row r="37" spans="1:3" x14ac:dyDescent="0.25">
      <c r="A37" s="34">
        <f t="array" ref="A37:C37">ODE_RK4(A36:C36,$F$7,$H$7,$I$7,$J$7,$K$7,$L$7)</f>
        <v>5.4000000000000021</v>
      </c>
      <c r="B37" s="35">
        <v>0.58191199594790777</v>
      </c>
      <c r="C37" s="37">
        <v>-2.1852321130731025</v>
      </c>
    </row>
    <row r="38" spans="1:3" x14ac:dyDescent="0.25">
      <c r="A38" s="34">
        <f t="array" ref="A38:C38">ODE_RK4(A37:C37,$F$7,$H$7,$I$7,$J$7,$K$7,$L$7)</f>
        <v>5.6000000000000023</v>
      </c>
      <c r="B38" s="35">
        <v>9.6429054594010744E-2</v>
      </c>
      <c r="C38" s="37">
        <v>-2.6134640226018444</v>
      </c>
    </row>
    <row r="39" spans="1:3" x14ac:dyDescent="0.25">
      <c r="A39" s="34">
        <f t="array" ref="A39:C39">ODE_RK4(A38:C38,$F$7,$H$7,$I$7,$J$7,$K$7,$L$7)</f>
        <v>5.8000000000000025</v>
      </c>
      <c r="B39" s="35">
        <v>-0.43810005268963303</v>
      </c>
      <c r="C39" s="37">
        <v>-2.6654123141247728</v>
      </c>
    </row>
    <row r="40" spans="1:3" x14ac:dyDescent="0.25">
      <c r="A40" s="34">
        <f t="array" ref="A40:C40">ODE_RK4(A39:C39,$F$7,$H$7,$I$7,$J$7,$K$7,$L$7)</f>
        <v>6.0000000000000027</v>
      </c>
      <c r="B40" s="35">
        <v>-0.94204073602455929</v>
      </c>
      <c r="C40" s="37">
        <v>-2.307244220572751</v>
      </c>
    </row>
    <row r="41" spans="1:3" x14ac:dyDescent="0.25">
      <c r="A41" s="34">
        <f t="array" ref="A41:C41">ODE_RK4(A40:C40,$F$7,$H$7,$I$7,$J$7,$K$7,$L$7)</f>
        <v>6.2000000000000028</v>
      </c>
      <c r="B41" s="35">
        <v>-1.3352517818305838</v>
      </c>
      <c r="C41" s="37">
        <v>-1.5683943285735151</v>
      </c>
    </row>
    <row r="42" spans="1:3" x14ac:dyDescent="0.25">
      <c r="A42" s="34">
        <f t="array" ref="A42:C42">ODE_RK4(A41:C41,$F$7,$H$7,$I$7,$J$7,$K$7,$L$7)</f>
        <v>6.400000000000003</v>
      </c>
      <c r="B42" s="35">
        <v>-1.5498177195567149</v>
      </c>
      <c r="C42" s="37">
        <v>-0.54066743257048078</v>
      </c>
    </row>
    <row r="43" spans="1:3" x14ac:dyDescent="0.25">
      <c r="A43" s="34">
        <f t="array" ref="A43:C43">ODE_RK4(A42:C42,$F$7,$H$7,$I$7,$J$7,$K$7,$L$7)</f>
        <v>6.6000000000000032</v>
      </c>
      <c r="B43" s="35">
        <v>-1.5415780126502248</v>
      </c>
      <c r="C43" s="37">
        <v>0.63281898258711355</v>
      </c>
    </row>
    <row r="44" spans="1:3" x14ac:dyDescent="0.25">
      <c r="A44" s="34">
        <f t="array" ref="A44:C44">ODE_RK4(A43:C43,$F$7,$H$7,$I$7,$J$7,$K$7,$L$7)</f>
        <v>6.8000000000000034</v>
      </c>
      <c r="B44" s="35">
        <v>-1.2985213390692869</v>
      </c>
      <c r="C44" s="37">
        <v>1.7775822110045769</v>
      </c>
    </row>
    <row r="45" spans="1:3" x14ac:dyDescent="0.25">
      <c r="A45" s="34">
        <f t="array" ref="A45:C45">ODE_RK4(A44:C44,$F$7,$H$7,$I$7,$J$7,$K$7,$L$7)</f>
        <v>7.0000000000000036</v>
      </c>
      <c r="B45" s="35">
        <v>-0.84452302364737919</v>
      </c>
      <c r="C45" s="37">
        <v>2.7138287546236572</v>
      </c>
    </row>
    <row r="46" spans="1:3" x14ac:dyDescent="0.25">
      <c r="A46" s="34">
        <f t="array" ref="A46:C46">ODE_RK4(A45:C45,$F$7,$H$7,$I$7,$J$7,$K$7,$L$7)</f>
        <v>7.2000000000000037</v>
      </c>
      <c r="B46" s="35">
        <v>-0.23758095270202095</v>
      </c>
      <c r="C46" s="37">
        <v>3.2847088509263225</v>
      </c>
    </row>
    <row r="47" spans="1:3" x14ac:dyDescent="0.25">
      <c r="A47" s="34">
        <f t="array" ref="A47:C47">ODE_RK4(A46:C46,$F$7,$H$7,$I$7,$J$7,$K$7,$L$7)</f>
        <v>7.4000000000000039</v>
      </c>
      <c r="B47" s="35">
        <v>0.43744886804324834</v>
      </c>
      <c r="C47" s="37">
        <v>3.3823285905080311</v>
      </c>
    </row>
    <row r="48" spans="1:3" x14ac:dyDescent="0.25">
      <c r="A48" s="34">
        <f t="array" ref="A48:C48">ODE_RK4(A47:C47,$F$7,$H$7,$I$7,$J$7,$K$7,$L$7)</f>
        <v>7.6000000000000041</v>
      </c>
      <c r="B48" s="35">
        <v>1.0807319468041001</v>
      </c>
      <c r="C48" s="37">
        <v>2.9672402922634444</v>
      </c>
    </row>
    <row r="49" spans="1:3" x14ac:dyDescent="0.25">
      <c r="A49" s="34">
        <f t="array" ref="A49:C49">ODE_RK4(A48:C48,$F$7,$H$7,$I$7,$J$7,$K$7,$L$7)</f>
        <v>7.8000000000000043</v>
      </c>
      <c r="B49" s="35">
        <v>1.5922845069079012</v>
      </c>
      <c r="C49" s="37">
        <v>2.0779944378060367</v>
      </c>
    </row>
    <row r="50" spans="1:3" x14ac:dyDescent="0.25">
      <c r="A50" s="34">
        <f t="array" ref="A50:C50">ODE_RK4(A49:C49,$F$7,$H$7,$I$7,$J$7,$K$7,$L$7)</f>
        <v>8.0000000000000036</v>
      </c>
      <c r="B50" s="35">
        <v>1.8875401000283771</v>
      </c>
      <c r="C50" s="37">
        <v>0.82878546754119409</v>
      </c>
    </row>
    <row r="51" spans="1:3" x14ac:dyDescent="0.25">
      <c r="A51" s="34">
        <f t="array" ref="A51:C51">ODE_RK4(A50:C50,$F$7,$H$7,$I$7,$J$7,$K$7,$L$7)</f>
        <v>8.2000000000000028</v>
      </c>
      <c r="B51" s="35">
        <v>1.9112263340486428</v>
      </c>
      <c r="C51" s="37">
        <v>-0.60495304493730573</v>
      </c>
    </row>
    <row r="52" spans="1:3" x14ac:dyDescent="0.25">
      <c r="A52" s="34">
        <f t="array" ref="A52:C52">ODE_RK4(A51:C51,$F$7,$H$7,$I$7,$J$7,$K$7,$L$7)</f>
        <v>8.4000000000000021</v>
      </c>
      <c r="B52" s="35">
        <v>1.6472882846266113</v>
      </c>
      <c r="C52" s="37">
        <v>-2.0112309165003772</v>
      </c>
    </row>
    <row r="53" spans="1:3" x14ac:dyDescent="0.25">
      <c r="A53" s="34">
        <f t="array" ref="A53:C53">ODE_RK4(A52:C52,$F$7,$H$7,$I$7,$J$7,$K$7,$L$7)</f>
        <v>8.6000000000000014</v>
      </c>
      <c r="B53" s="35">
        <v>1.1231263989609519</v>
      </c>
      <c r="C53" s="37">
        <v>-3.1729818155004019</v>
      </c>
    </row>
    <row r="54" spans="1:3" x14ac:dyDescent="0.25">
      <c r="A54" s="34">
        <f t="array" ref="A54:C54">ODE_RK4(A53:C53,$F$7,$H$7,$I$7,$J$7,$K$7,$L$7)</f>
        <v>8.8000000000000007</v>
      </c>
      <c r="B54" s="35">
        <v>0.40724429277904484</v>
      </c>
      <c r="C54" s="37">
        <v>-3.901646740307644</v>
      </c>
    </row>
    <row r="55" spans="1:3" x14ac:dyDescent="0.25">
      <c r="A55" s="34">
        <f t="array" ref="A55:C55">ODE_RK4(A54:C54,$F$7,$H$7,$I$7,$J$7,$K$7,$L$7)</f>
        <v>9</v>
      </c>
      <c r="B55" s="35">
        <v>-0.39959518234872737</v>
      </c>
      <c r="C55" s="37">
        <v>-4.0676535794826663</v>
      </c>
    </row>
    <row r="56" spans="1:3" x14ac:dyDescent="0.25">
      <c r="A56" s="34">
        <f t="array" ref="A56:C56">ODE_RK4(A55:C55,$F$7,$H$7,$I$7,$J$7,$K$7,$L$7)</f>
        <v>9.1999999999999993</v>
      </c>
      <c r="B56" s="35">
        <v>-1.1785820261124016</v>
      </c>
      <c r="C56" s="37">
        <v>-3.6228826698327659</v>
      </c>
    </row>
    <row r="57" spans="1:3" x14ac:dyDescent="0.25">
      <c r="A57" s="34">
        <f t="array" ref="A57:C57">ODE_RK4(A56:C56,$F$7,$H$7,$I$7,$J$7,$K$7,$L$7)</f>
        <v>9.3999999999999986</v>
      </c>
      <c r="B57" s="35">
        <v>-1.8104302263022465</v>
      </c>
      <c r="C57" s="37">
        <v>-2.6112938409463617</v>
      </c>
    </row>
    <row r="58" spans="1:3" x14ac:dyDescent="0.25">
      <c r="A58" s="34">
        <f t="array" ref="A58:C58">ODE_RK4(A57:C57,$F$7,$H$7,$I$7,$J$7,$K$7,$L$7)</f>
        <v>9.5999999999999979</v>
      </c>
      <c r="B58" s="35">
        <v>-2.1936980373545523</v>
      </c>
      <c r="C58" s="37">
        <v>-1.1656181923452253</v>
      </c>
    </row>
    <row r="59" spans="1:3" x14ac:dyDescent="0.25">
      <c r="A59" s="34">
        <f t="array" ref="A59:C59">ODE_RK4(A58:C58,$F$7,$H$7,$I$7,$J$7,$K$7,$L$7)</f>
        <v>9.7999999999999972</v>
      </c>
      <c r="B59" s="35">
        <v>-2.261036012507974</v>
      </c>
      <c r="C59" s="37">
        <v>0.50986543307969789</v>
      </c>
    </row>
    <row r="60" spans="1:3" x14ac:dyDescent="0.25">
      <c r="A60" s="34">
        <f t="array" ref="A60:C60">ODE_RK4(A59:C59,$F$7,$H$7,$I$7,$J$7,$K$7,$L$7)</f>
        <v>9.9999999999999964</v>
      </c>
      <c r="B60" s="35">
        <v>-1.9907655214001874</v>
      </c>
      <c r="C60" s="37">
        <v>2.1682662800409824</v>
      </c>
    </row>
    <row r="61" spans="1:3" x14ac:dyDescent="0.25">
      <c r="A61" s="34">
        <f t="array" ref="A61:C61">ODE_RK4(A60:C60,$F$7,$H$7,$I$7,$J$7,$K$7,$L$7)</f>
        <v>10.199999999999996</v>
      </c>
      <c r="B61" s="35">
        <v>-1.4118290729115706</v>
      </c>
      <c r="C61" s="37">
        <v>3.5566201817645595</v>
      </c>
    </row>
    <row r="62" spans="1:3" x14ac:dyDescent="0.25">
      <c r="A62" s="34">
        <f t="array" ref="A62:C62">ODE_RK4(A61:C61,$F$7,$H$7,$I$7,$J$7,$K$7,$L$7)</f>
        <v>10.399999999999995</v>
      </c>
      <c r="B62" s="35">
        <v>-0.6011196437729539</v>
      </c>
      <c r="C62" s="37">
        <v>4.4545998191128424</v>
      </c>
    </row>
    <row r="63" spans="1:3" x14ac:dyDescent="0.25">
      <c r="A63" s="34">
        <f t="array" ref="A63:C63">ODE_RK4(A62:C62,$F$7,$H$7,$I$7,$J$7,$K$7,$L$7)</f>
        <v>10.599999999999994</v>
      </c>
      <c r="B63" s="35">
        <v>0.32665195610432218</v>
      </c>
      <c r="C63" s="37">
        <v>4.7094552293963394</v>
      </c>
    </row>
    <row r="64" spans="1:3" x14ac:dyDescent="0.25">
      <c r="A64" s="34">
        <f t="array" ref="A64:C64">ODE_RK4(A63:C63,$F$7,$H$7,$I$7,$J$7,$K$7,$L$7)</f>
        <v>10.799999999999994</v>
      </c>
      <c r="B64" s="35">
        <v>1.2352296088423362</v>
      </c>
      <c r="C64" s="37">
        <v>4.2616469432888175</v>
      </c>
    </row>
    <row r="65" spans="1:3" x14ac:dyDescent="0.25">
      <c r="A65" s="34">
        <f t="array" ref="A65:C65">ODE_RK4(A64:C64,$F$7,$H$7,$I$7,$J$7,$K$7,$L$7)</f>
        <v>10.999999999999993</v>
      </c>
      <c r="B65" s="35">
        <v>1.9869095094370022</v>
      </c>
      <c r="C65" s="37">
        <v>3.156915188391245</v>
      </c>
    </row>
    <row r="66" spans="1:3" x14ac:dyDescent="0.25">
      <c r="A66" s="34">
        <f t="array" ref="A66:C66">ODE_RK4(A65:C65,$F$7,$H$7,$I$7,$J$7,$K$7,$L$7)</f>
        <v>11.199999999999992</v>
      </c>
      <c r="B66" s="35">
        <v>2.4634856384161492</v>
      </c>
      <c r="C66" s="37">
        <v>1.5425106388976659</v>
      </c>
    </row>
    <row r="67" spans="1:3" x14ac:dyDescent="0.25">
      <c r="A67" s="34">
        <f t="array" ref="A67:C67">ODE_RK4(A66:C66,$F$7,$H$7,$I$7,$J$7,$K$7,$L$7)</f>
        <v>11.399999999999991</v>
      </c>
      <c r="B67" s="35">
        <v>2.584846345400444</v>
      </c>
      <c r="C67" s="37">
        <v>-0.35229564968656191</v>
      </c>
    </row>
    <row r="68" spans="1:3" x14ac:dyDescent="0.25">
      <c r="A68" s="34">
        <f t="array" ref="A68:C68">ODE_RK4(A67:C67,$F$7,$H$7,$I$7,$J$7,$K$7,$L$7)</f>
        <v>11.599999999999991</v>
      </c>
      <c r="B68" s="35">
        <v>2.3222952528807594</v>
      </c>
      <c r="C68" s="37">
        <v>-2.2488658674129849</v>
      </c>
    </row>
    <row r="69" spans="1:3" x14ac:dyDescent="0.25">
      <c r="A69" s="34">
        <f t="array" ref="A69:C69">ODE_RK4(A68:C68,$F$7,$H$7,$I$7,$J$7,$K$7,$L$7)</f>
        <v>11.79999999999999</v>
      </c>
      <c r="B69" s="35">
        <v>1.704400421825333</v>
      </c>
      <c r="C69" s="37">
        <v>-3.8603476018913589</v>
      </c>
    </row>
    <row r="70" spans="1:3" x14ac:dyDescent="0.25">
      <c r="A70" s="34">
        <f t="array" ref="A70:C70">ODE_RK4(A69:C69,$F$7,$H$7,$I$7,$J$7,$K$7,$L$7)</f>
        <v>11.999999999999989</v>
      </c>
      <c r="B70" s="35">
        <v>0.81426600477139088</v>
      </c>
      <c r="C70" s="37">
        <v>-4.9352203702487394</v>
      </c>
    </row>
    <row r="71" spans="1:3" x14ac:dyDescent="0.25">
      <c r="A71" s="34">
        <f t="array" ref="A71:C71">ODE_RK4(A70:C70,$F$7,$H$7,$I$7,$J$7,$K$7,$L$7)</f>
        <v>12.199999999999989</v>
      </c>
      <c r="B71" s="35">
        <v>-0.22158932112208529</v>
      </c>
      <c r="C71" s="37">
        <v>-5.2966026108719486</v>
      </c>
    </row>
    <row r="72" spans="1:3" x14ac:dyDescent="0.25">
      <c r="A72" s="34">
        <f t="array" ref="A72:C72">ODE_RK4(A71:C71,$F$7,$H$7,$I$7,$J$7,$K$7,$L$7)</f>
        <v>12.399999999999988</v>
      </c>
      <c r="B72" s="35">
        <v>-1.2512677933842391</v>
      </c>
      <c r="C72" s="37">
        <v>-4.8711693953794786</v>
      </c>
    </row>
    <row r="73" spans="1:3" x14ac:dyDescent="0.25">
      <c r="A73" s="34">
        <f t="array" ref="A73:C73">ODE_RK4(A72:C72,$F$7,$H$7,$I$7,$J$7,$K$7,$L$7)</f>
        <v>12.599999999999987</v>
      </c>
      <c r="B73" s="35">
        <v>-2.1198627800198304</v>
      </c>
      <c r="C73" s="37">
        <v>-3.7029784237438124</v>
      </c>
    </row>
    <row r="74" spans="1:3" x14ac:dyDescent="0.25">
      <c r="A74" s="34">
        <f t="array" ref="A74:C74">ODE_RK4(A73:C73,$F$7,$H$7,$I$7,$J$7,$K$7,$L$7)</f>
        <v>12.799999999999986</v>
      </c>
      <c r="B74" s="35">
        <v>-2.6928549862973163</v>
      </c>
      <c r="C74" s="37">
        <v>-1.9497104844028048</v>
      </c>
    </row>
    <row r="75" spans="1:3" x14ac:dyDescent="0.25">
      <c r="A75" s="34">
        <f t="array" ref="A75:C75">ODE_RK4(A74:C74,$F$7,$H$7,$I$7,$J$7,$K$7,$L$7)</f>
        <v>12.999999999999986</v>
      </c>
      <c r="B75" s="35">
        <v>-2.8769877002129536</v>
      </c>
      <c r="C75" s="37">
        <v>0.13852411244043217</v>
      </c>
    </row>
    <row r="76" spans="1:3" x14ac:dyDescent="0.25">
      <c r="A76" s="34">
        <f t="array" ref="A76:C76">ODE_RK4(A75:C75,$F$7,$H$7,$I$7,$J$7,$K$7,$L$7)</f>
        <v>13.199999999999985</v>
      </c>
      <c r="B76" s="35">
        <v>-2.6353756152829528</v>
      </c>
      <c r="C76" s="37">
        <v>2.2549790831083332</v>
      </c>
    </row>
    <row r="77" spans="1:3" x14ac:dyDescent="0.25">
      <c r="A77" s="34">
        <f t="array" ref="A77:C77">ODE_RK4(A76:C76,$F$7,$H$7,$I$7,$J$7,$K$7,$L$7)</f>
        <v>13.399999999999984</v>
      </c>
      <c r="B77" s="35">
        <v>-1.994408668389521</v>
      </c>
      <c r="C77" s="37">
        <v>4.0815257320719383</v>
      </c>
    </row>
    <row r="78" spans="1:3" x14ac:dyDescent="0.25">
      <c r="A78" s="34">
        <f t="array" ref="A78:C78">ODE_RK4(A77:C77,$F$7,$H$7,$I$7,$J$7,$K$7,$L$7)</f>
        <v>13.599999999999984</v>
      </c>
      <c r="B78" s="35">
        <v>-1.0412115640861028</v>
      </c>
      <c r="C78" s="37">
        <v>5.3366614113397368</v>
      </c>
    </row>
    <row r="79" spans="1:3" x14ac:dyDescent="0.25">
      <c r="A79" s="34">
        <f t="array" ref="A79:C79">ODE_RK4(A78:C78,$F$7,$H$7,$I$7,$J$7,$K$7,$L$7)</f>
        <v>13.799999999999983</v>
      </c>
      <c r="B79" s="35">
        <v>8.8164801246296109E-2</v>
      </c>
      <c r="C79" s="37">
        <v>5.8190003842370412</v>
      </c>
    </row>
    <row r="80" spans="1:3" x14ac:dyDescent="0.25">
      <c r="A80" s="34">
        <f t="array" ref="A80:C80">ODE_RK4(A79:C79,$F$7,$H$7,$I$7,$J$7,$K$7,$L$7)</f>
        <v>13.999999999999982</v>
      </c>
      <c r="B80" s="35">
        <v>1.2282249815770181</v>
      </c>
      <c r="C80" s="37">
        <v>5.4395128782720308</v>
      </c>
    </row>
    <row r="81" spans="1:3" x14ac:dyDescent="0.25">
      <c r="A81" s="34">
        <f t="array" ref="A81:C81">ODE_RK4(A80:C80,$F$7,$H$7,$I$7,$J$7,$K$7,$L$7)</f>
        <v>14.199999999999982</v>
      </c>
      <c r="B81" s="35">
        <v>2.208384404969439</v>
      </c>
      <c r="C81" s="37">
        <v>4.2373612608088971</v>
      </c>
    </row>
    <row r="82" spans="1:3" x14ac:dyDescent="0.25">
      <c r="A82" s="34">
        <f t="array" ref="A82:C82">ODE_RK4(A81:C81,$F$7,$H$7,$I$7,$J$7,$K$7,$L$7)</f>
        <v>14.399999999999981</v>
      </c>
      <c r="B82" s="35">
        <v>2.8785987377506914</v>
      </c>
      <c r="C82" s="37">
        <v>2.3765870851166753</v>
      </c>
    </row>
    <row r="83" spans="1:3" x14ac:dyDescent="0.25">
      <c r="A83" s="34">
        <f t="array" ref="A83:C83">ODE_RK4(A82:C82,$F$7,$H$7,$I$7,$J$7,$K$7,$L$7)</f>
        <v>14.59999999999998</v>
      </c>
      <c r="B83" s="35">
        <v>3.1324011695819798</v>
      </c>
      <c r="C83" s="37">
        <v>0.12377514586885185</v>
      </c>
    </row>
    <row r="84" spans="1:3" x14ac:dyDescent="0.25">
      <c r="A84" s="34">
        <f t="array" ref="A84:C84">ODE_RK4(A83:C83,$F$7,$H$7,$I$7,$J$7,$K$7,$L$7)</f>
        <v>14.799999999999979</v>
      </c>
      <c r="B84" s="35">
        <v>2.9238008165781788</v>
      </c>
      <c r="C84" s="37">
        <v>-2.1902719533859258</v>
      </c>
    </row>
    <row r="85" spans="1:3" x14ac:dyDescent="0.25">
      <c r="A85" s="34">
        <f t="array" ref="A85:C85">ODE_RK4(A84:C84,$F$7,$H$7,$I$7,$J$7,$K$7,$L$7)</f>
        <v>14.999999999999979</v>
      </c>
      <c r="B85" s="35">
        <v>2.2753621044517081</v>
      </c>
      <c r="C85" s="37">
        <v>-4.2193185993036231</v>
      </c>
    </row>
    <row r="86" spans="1:3" x14ac:dyDescent="0.25">
      <c r="A86" s="34">
        <f t="array" ref="A86:C86">ODE_RK4(A85:C85,$F$7,$H$7,$I$7,$J$7,$K$7,$L$7)</f>
        <v>15.199999999999978</v>
      </c>
      <c r="B86" s="35">
        <v>1.2760764647752352</v>
      </c>
      <c r="C86" s="37">
        <v>-5.65371463850345</v>
      </c>
    </row>
    <row r="87" spans="1:3" x14ac:dyDescent="0.25">
      <c r="A87" s="34">
        <f t="array" ref="A87:C87">ODE_RK4(A86:C86,$F$7,$H$7,$I$7,$J$7,$K$7,$L$7)</f>
        <v>15.399999999999977</v>
      </c>
      <c r="B87" s="35">
        <v>6.9164017926658827E-2</v>
      </c>
      <c r="C87" s="37">
        <v>-6.2678010934486732</v>
      </c>
    </row>
    <row r="88" spans="1:3" x14ac:dyDescent="0.25">
      <c r="A88" s="34">
        <f t="array" ref="A88:C88">ODE_RK4(A87:C87,$F$7,$H$7,$I$7,$J$7,$K$7,$L$7)</f>
        <v>15.599999999999977</v>
      </c>
      <c r="B88" s="35">
        <v>-1.168525050763648</v>
      </c>
      <c r="C88" s="37">
        <v>-5.9554240498053526</v>
      </c>
    </row>
    <row r="89" spans="1:3" x14ac:dyDescent="0.25">
      <c r="A89" s="34">
        <f t="array" ref="A89:C89">ODE_RK4(A88:C88,$F$7,$H$7,$I$7,$J$7,$K$7,$L$7)</f>
        <v>15.799999999999976</v>
      </c>
      <c r="B89" s="35">
        <v>-2.2525358579630499</v>
      </c>
      <c r="C89" s="37">
        <v>-4.7479657513693594</v>
      </c>
    </row>
    <row r="90" spans="1:3" x14ac:dyDescent="0.25">
      <c r="A90" s="34">
        <f t="array" ref="A90:C90">ODE_RK4(A89:C89,$F$7,$H$7,$I$7,$J$7,$K$7,$L$7)</f>
        <v>15.999999999999975</v>
      </c>
      <c r="B90" s="35">
        <v>-3.0184144333712384</v>
      </c>
      <c r="C90" s="37">
        <v>-2.8118704919940791</v>
      </c>
    </row>
    <row r="91" spans="1:3" x14ac:dyDescent="0.25">
      <c r="A91" s="34">
        <f t="array" ref="A91:C91">ODE_RK4(A90:C90,$F$7,$H$7,$I$7,$J$7,$K$7,$L$7)</f>
        <v>16.199999999999974</v>
      </c>
      <c r="B91" s="35">
        <v>-3.3467451081761506</v>
      </c>
      <c r="C91" s="37">
        <v>-0.42571288771633675</v>
      </c>
    </row>
    <row r="92" spans="1:3" x14ac:dyDescent="0.25">
      <c r="A92" s="34">
        <f t="array" ref="A92:C92">ODE_RK4(A91:C91,$F$7,$H$7,$I$7,$J$7,$K$7,$L$7)</f>
        <v>16.399999999999974</v>
      </c>
      <c r="B92" s="35">
        <v>-3.1817951427242663</v>
      </c>
      <c r="C92" s="37">
        <v>2.060033973338415</v>
      </c>
    </row>
    <row r="93" spans="1:3" x14ac:dyDescent="0.25">
      <c r="A93" s="34">
        <f t="array" ref="A93:C93">ODE_RK4(A92:C92,$F$7,$H$7,$I$7,$J$7,$K$7,$L$7)</f>
        <v>16.599999999999973</v>
      </c>
      <c r="B93" s="35">
        <v>-2.5408520162595827</v>
      </c>
      <c r="C93" s="37">
        <v>4.2746975514155361</v>
      </c>
    </row>
    <row r="94" spans="1:3" x14ac:dyDescent="0.25">
      <c r="A94" s="34">
        <f t="array" ref="A94:C94">ODE_RK4(A93:C93,$F$7,$H$7,$I$7,$J$7,$K$7,$L$7)</f>
        <v>16.799999999999972</v>
      </c>
      <c r="B94" s="35">
        <v>-1.5127048736257602</v>
      </c>
      <c r="C94" s="37">
        <v>5.8829127477362322</v>
      </c>
    </row>
    <row r="95" spans="1:3" x14ac:dyDescent="0.25">
      <c r="A95" s="34">
        <f t="array" ref="A95:C95">ODE_RK4(A94:C94,$F$7,$H$7,$I$7,$J$7,$K$7,$L$7)</f>
        <v>16.999999999999972</v>
      </c>
      <c r="B95" s="35">
        <v>-0.24534243766159247</v>
      </c>
      <c r="C95" s="37">
        <v>6.6355906587165761</v>
      </c>
    </row>
    <row r="96" spans="1:3" x14ac:dyDescent="0.25">
      <c r="A96" s="34">
        <f t="array" ref="A96:C96">ODE_RK4(A95:C95,$F$7,$H$7,$I$7,$J$7,$K$7,$L$7)</f>
        <v>17.199999999999971</v>
      </c>
      <c r="B96" s="35">
        <v>1.0754277529304723</v>
      </c>
      <c r="C96" s="37">
        <v>6.4085763401815816</v>
      </c>
    </row>
    <row r="97" spans="1:3" x14ac:dyDescent="0.25">
      <c r="A97" s="34">
        <f t="array" ref="A97:C97">ODE_RK4(A96:C96,$F$7,$H$7,$I$7,$J$7,$K$7,$L$7)</f>
        <v>17.39999999999997</v>
      </c>
      <c r="B97" s="35">
        <v>2.2533376911295431</v>
      </c>
      <c r="C97" s="37">
        <v>5.2229850922535119</v>
      </c>
    </row>
    <row r="98" spans="1:3" x14ac:dyDescent="0.25">
      <c r="A98" s="34">
        <f t="array" ref="A98:C98">ODE_RK4(A97:C97,$F$7,$H$7,$I$7,$J$7,$K$7,$L$7)</f>
        <v>17.599999999999969</v>
      </c>
      <c r="B98" s="35">
        <v>3.1109491295003942</v>
      </c>
      <c r="C98" s="37">
        <v>3.2439051840596234</v>
      </c>
    </row>
    <row r="99" spans="1:3" x14ac:dyDescent="0.25">
      <c r="A99" s="34">
        <f t="array" ref="A99:C99">ODE_RK4(A98:C98,$F$7,$H$7,$I$7,$J$7,$K$7,$L$7)</f>
        <v>17.799999999999969</v>
      </c>
      <c r="B99" s="35">
        <v>3.5164862284904985</v>
      </c>
      <c r="C99" s="37">
        <v>0.7573902432073476</v>
      </c>
    </row>
    <row r="100" spans="1:3" x14ac:dyDescent="0.25">
      <c r="A100" s="34">
        <f t="array" ref="A100:C100">ODE_RK4(A99:C99,$F$7,$H$7,$I$7,$J$7,$K$7,$L$7)</f>
        <v>17.999999999999968</v>
      </c>
      <c r="B100" s="35">
        <v>3.4041378976836016</v>
      </c>
      <c r="C100" s="37">
        <v>-1.8710491045067021</v>
      </c>
    </row>
    <row r="101" spans="1:3" x14ac:dyDescent="0.25">
      <c r="A101" s="34">
        <f t="array" ref="A101:C101">ODE_RK4(A100:C100,$F$7,$H$7,$I$7,$J$7,$K$7,$L$7)</f>
        <v>18.199999999999967</v>
      </c>
      <c r="B101" s="35">
        <v>2.784694174193115</v>
      </c>
      <c r="C101" s="37">
        <v>-4.250406630063285</v>
      </c>
    </row>
    <row r="102" spans="1:3" x14ac:dyDescent="0.25">
      <c r="A102" s="34">
        <f t="array" ref="A102:C102">ODE_RK4(A101:C101,$F$7,$H$7,$I$7,$J$7,$K$7,$L$7)</f>
        <v>18.399999999999967</v>
      </c>
      <c r="B102" s="35">
        <v>1.7448034453118697</v>
      </c>
      <c r="C102" s="37">
        <v>-6.022593928440366</v>
      </c>
    </row>
    <row r="103" spans="1:3" x14ac:dyDescent="0.25">
      <c r="A103" s="34">
        <f t="array" ref="A103:C103">ODE_RK4(A102:C102,$F$7,$H$7,$I$7,$J$7,$K$7,$L$7)</f>
        <v>18.599999999999966</v>
      </c>
      <c r="B103" s="35">
        <v>0.43483493680605467</v>
      </c>
      <c r="C103" s="37">
        <v>-6.9165430261722864</v>
      </c>
    </row>
    <row r="104" spans="1:3" x14ac:dyDescent="0.25">
      <c r="A104" s="34">
        <f t="array" ref="A104:C104">ODE_RK4(A103:C103,$F$7,$H$7,$I$7,$J$7,$K$7,$L$7)</f>
        <v>18.799999999999965</v>
      </c>
      <c r="B104" s="35">
        <v>-0.95295067018569424</v>
      </c>
      <c r="C104" s="37">
        <v>-6.7897933306198475</v>
      </c>
    </row>
    <row r="105" spans="1:3" x14ac:dyDescent="0.25">
      <c r="A105" s="34">
        <f t="array" ref="A105:C105">ODE_RK4(A104:C104,$F$7,$H$7,$I$7,$J$7,$K$7,$L$7)</f>
        <v>18.999999999999964</v>
      </c>
      <c r="B105" s="35">
        <v>-2.2127405133143041</v>
      </c>
      <c r="C105" s="37">
        <v>-5.6511648123749909</v>
      </c>
    </row>
    <row r="106" spans="1:3" x14ac:dyDescent="0.25">
      <c r="A106" s="34">
        <f t="array" ref="A106:C106">ODE_RK4(A105:C105,$F$7,$H$7,$I$7,$J$7,$K$7,$L$7)</f>
        <v>19.199999999999964</v>
      </c>
      <c r="B106" s="35">
        <v>-3.1558233920776577</v>
      </c>
      <c r="C106" s="37">
        <v>-3.660912930103402</v>
      </c>
    </row>
    <row r="107" spans="1:3" x14ac:dyDescent="0.25">
      <c r="A107" s="34">
        <f t="array" ref="A107:C107">ODE_RK4(A106:C106,$F$7,$H$7,$I$7,$J$7,$K$7,$L$7)</f>
        <v>19.399999999999963</v>
      </c>
      <c r="B107" s="35">
        <v>-3.6389732704376758</v>
      </c>
      <c r="C107" s="37">
        <v>-1.1081268983077246</v>
      </c>
    </row>
    <row r="108" spans="1:3" x14ac:dyDescent="0.25">
      <c r="A108" s="34">
        <f t="array" ref="A108:C108">ODE_RK4(A107:C107,$F$7,$H$7,$I$7,$J$7,$K$7,$L$7)</f>
        <v>19.599999999999962</v>
      </c>
      <c r="B108" s="35">
        <v>-3.5862765415193856</v>
      </c>
      <c r="C108" s="37">
        <v>1.6314337969562525</v>
      </c>
    </row>
    <row r="109" spans="1:3" x14ac:dyDescent="0.25">
      <c r="A109" s="34">
        <f t="array" ref="A109:C109">ODE_RK4(A108:C108,$F$7,$H$7,$I$7,$J$7,$K$7,$L$7)</f>
        <v>19.799999999999962</v>
      </c>
      <c r="B109" s="35">
        <v>-3.0010657792544544</v>
      </c>
      <c r="C109" s="37">
        <v>4.1508891708680054</v>
      </c>
    </row>
    <row r="110" spans="1:3" x14ac:dyDescent="0.25">
      <c r="A110" s="34">
        <f t="array" ref="A110:C110">ODE_RK4(A109:C109,$F$7,$H$7,$I$7,$J$7,$K$7,$L$7)</f>
        <v>19.999999999999961</v>
      </c>
      <c r="B110" s="35">
        <v>-1.9660831319895673</v>
      </c>
      <c r="C110" s="37">
        <v>6.0729271524065558</v>
      </c>
    </row>
    <row r="111" spans="1:3" x14ac:dyDescent="0.25">
      <c r="A111" s="34">
        <f t="array" ref="A111:C111">ODE_RK4(A110:C110,$F$7,$H$7,$I$7,$J$7,$K$7,$L$7)</f>
        <v>20.19999999999996</v>
      </c>
      <c r="B111" s="35">
        <v>-0.63175223484011478</v>
      </c>
      <c r="C111" s="37">
        <v>7.1065406076674851</v>
      </c>
    </row>
    <row r="112" spans="1:3" x14ac:dyDescent="0.25">
      <c r="A112" s="34">
        <f t="array" ref="A112:C112">ODE_RK4(A111:C111,$F$7,$H$7,$I$7,$J$7,$K$7,$L$7)</f>
        <v>20.399999999999959</v>
      </c>
      <c r="B112" s="35">
        <v>0.80577446086917059</v>
      </c>
      <c r="C112" s="37">
        <v>7.0912476528107344</v>
      </c>
    </row>
    <row r="113" spans="1:3" x14ac:dyDescent="0.25">
      <c r="A113" s="34">
        <f t="array" ref="A113:C113">ODE_RK4(A112:C112,$F$7,$H$7,$I$7,$J$7,$K$7,$L$7)</f>
        <v>20.599999999999959</v>
      </c>
      <c r="B113" s="35">
        <v>2.1335756338147096</v>
      </c>
      <c r="C113" s="37">
        <v>6.0220526011847051</v>
      </c>
    </row>
    <row r="114" spans="1:3" x14ac:dyDescent="0.25">
      <c r="A114" s="34">
        <f t="array" ref="A114:C114">ODE_RK4(A113:C113,$F$7,$H$7,$I$7,$J$7,$K$7,$L$7)</f>
        <v>20.799999999999958</v>
      </c>
      <c r="B114" s="35">
        <v>3.15363414484752</v>
      </c>
      <c r="C114" s="37">
        <v>4.051258986783667</v>
      </c>
    </row>
    <row r="115" spans="1:3" x14ac:dyDescent="0.25">
      <c r="A115" s="34">
        <f t="array" ref="A115:C115">ODE_RK4(A114:C114,$F$7,$H$7,$I$7,$J$7,$K$7,$L$7)</f>
        <v>20.999999999999957</v>
      </c>
      <c r="B115" s="35">
        <v>3.712491640956129</v>
      </c>
      <c r="C115" s="37">
        <v>1.466706855031386</v>
      </c>
    </row>
    <row r="116" spans="1:3" x14ac:dyDescent="0.25">
      <c r="A116" s="34">
        <f t="array" ref="A116:C116">ODE_RK4(A115:C115,$F$7,$H$7,$I$7,$J$7,$K$7,$L$7)</f>
        <v>21.199999999999957</v>
      </c>
      <c r="B116" s="35">
        <v>3.7244255485677478</v>
      </c>
      <c r="C116" s="37">
        <v>-1.3504456338948314</v>
      </c>
    </row>
    <row r="117" spans="1:3" x14ac:dyDescent="0.25">
      <c r="A117" s="34">
        <f t="array" ref="A117:C117">ODE_RK4(A116:C116,$F$7,$H$7,$I$7,$J$7,$K$7,$L$7)</f>
        <v>21.399999999999956</v>
      </c>
      <c r="B117" s="35">
        <v>3.1846348569979042</v>
      </c>
      <c r="C117" s="37">
        <v>-3.9821772852228734</v>
      </c>
    </row>
    <row r="118" spans="1:3" x14ac:dyDescent="0.25">
      <c r="A118" s="34">
        <f t="array" ref="A118:C118">ODE_RK4(A117:C117,$F$7,$H$7,$I$7,$J$7,$K$7,$L$7)</f>
        <v>21.599999999999955</v>
      </c>
      <c r="B118" s="35">
        <v>2.1704012140906714</v>
      </c>
      <c r="C118" s="37">
        <v>-6.0358977404277114</v>
      </c>
    </row>
    <row r="119" spans="1:3" x14ac:dyDescent="0.25">
      <c r="A119" s="34">
        <f t="array" ref="A119:C119">ODE_RK4(A118:C118,$F$7,$H$7,$I$7,$J$7,$K$7,$L$7)</f>
        <v>21.799999999999955</v>
      </c>
      <c r="B119" s="35">
        <v>0.82998632036807551</v>
      </c>
      <c r="C119" s="37">
        <v>-7.203257892312287</v>
      </c>
    </row>
    <row r="120" spans="1:3" x14ac:dyDescent="0.25">
      <c r="A120" s="34">
        <f t="array" ref="A120:C120">ODE_RK4(A119:C119,$F$7,$H$7,$I$7,$J$7,$K$7,$L$7)</f>
        <v>21.999999999999954</v>
      </c>
      <c r="B120" s="35">
        <v>-0.63913349749434589</v>
      </c>
      <c r="C120" s="37">
        <v>-7.3066310526183393</v>
      </c>
    </row>
    <row r="121" spans="1:3" x14ac:dyDescent="0.25">
      <c r="A121" s="34">
        <f t="array" ref="A121:C121">ODE_RK4(A120:C120,$F$7,$H$7,$I$7,$J$7,$K$7,$L$7)</f>
        <v>22.199999999999953</v>
      </c>
      <c r="B121" s="35">
        <v>-2.0194864764263976</v>
      </c>
      <c r="C121" s="37">
        <v>-6.3262312866784924</v>
      </c>
    </row>
    <row r="122" spans="1:3" x14ac:dyDescent="0.25">
      <c r="A122" s="34">
        <f t="array" ref="A122:C122">ODE_RK4(A121:C121,$F$7,$H$7,$I$7,$J$7,$K$7,$L$7)</f>
        <v>22.399999999999952</v>
      </c>
      <c r="B122" s="35">
        <v>-3.1059363275956455</v>
      </c>
      <c r="C122" s="37">
        <v>-4.4037157658723931</v>
      </c>
    </row>
    <row r="123" spans="1:3" x14ac:dyDescent="0.25">
      <c r="A123" s="34">
        <f t="array" ref="A123:C123">ODE_RK4(A122:C122,$F$7,$H$7,$I$7,$J$7,$K$7,$L$7)</f>
        <v>22.599999999999952</v>
      </c>
      <c r="B123" s="35">
        <v>-3.736297836339352</v>
      </c>
      <c r="C123" s="37">
        <v>-1.8216363326993745</v>
      </c>
    </row>
    <row r="124" spans="1:3" x14ac:dyDescent="0.25">
      <c r="A124" s="34">
        <f t="array" ref="A124:C124">ODE_RK4(A123:C123,$F$7,$H$7,$I$7,$J$7,$K$7,$L$7)</f>
        <v>22.799999999999951</v>
      </c>
      <c r="B124" s="35">
        <v>-3.8156488197511385</v>
      </c>
      <c r="C124" s="37">
        <v>1.0382668419784276</v>
      </c>
    </row>
    <row r="125" spans="1:3" x14ac:dyDescent="0.25">
      <c r="A125" s="34">
        <f t="array" ref="A125:C125">ODE_RK4(A124:C124,$F$7,$H$7,$I$7,$J$7,$K$7,$L$7)</f>
        <v>22.99999999999995</v>
      </c>
      <c r="B125" s="35">
        <v>-3.3306792540469985</v>
      </c>
      <c r="C125" s="37">
        <v>3.751746692186972</v>
      </c>
    </row>
    <row r="126" spans="1:3" x14ac:dyDescent="0.25">
      <c r="A126" s="34">
        <f t="array" ref="A126:C126">ODE_RK4(A125:C125,$F$7,$H$7,$I$7,$J$7,$K$7,$L$7)</f>
        <v>23.19999999999995</v>
      </c>
      <c r="B126" s="35">
        <v>-2.3519004221790611</v>
      </c>
      <c r="C126" s="37">
        <v>5.9152535588218695</v>
      </c>
    </row>
    <row r="127" spans="1:3" x14ac:dyDescent="0.25">
      <c r="A127" s="34">
        <f t="array" ref="A127:C127">ODE_RK4(A126:C126,$F$7,$H$7,$I$7,$J$7,$K$7,$L$7)</f>
        <v>23.399999999999949</v>
      </c>
      <c r="B127" s="35">
        <v>-1.0233504627132388</v>
      </c>
      <c r="C127" s="37">
        <v>7.2062064172661069</v>
      </c>
    </row>
    <row r="128" spans="1:3" x14ac:dyDescent="0.25">
      <c r="A128" s="34">
        <f t="array" ref="A128:C128">ODE_RK4(A127:C127,$F$7,$H$7,$I$7,$J$7,$K$7,$L$7)</f>
        <v>23.599999999999948</v>
      </c>
      <c r="B128" s="35">
        <v>0.45869431845209219</v>
      </c>
      <c r="C128" s="37">
        <v>7.4312918916548956</v>
      </c>
    </row>
    <row r="129" spans="1:3" x14ac:dyDescent="0.25">
      <c r="A129" s="34">
        <f t="array" ref="A129:C129">ODE_RK4(A128:C128,$F$7,$H$7,$I$7,$J$7,$K$7,$L$7)</f>
        <v>23.799999999999947</v>
      </c>
      <c r="B129" s="35">
        <v>1.8748422902657613</v>
      </c>
      <c r="C129" s="37">
        <v>6.555529838349111</v>
      </c>
    </row>
    <row r="130" spans="1:3" x14ac:dyDescent="0.25">
      <c r="A130" s="34">
        <f t="array" ref="A130:C130">ODE_RK4(A129:C129,$F$7,$H$7,$I$7,$J$7,$K$7,$L$7)</f>
        <v>23.999999999999947</v>
      </c>
      <c r="B130" s="35">
        <v>3.0152037842665762</v>
      </c>
      <c r="C130" s="37">
        <v>4.7077181568655231</v>
      </c>
    </row>
    <row r="131" spans="1:3" x14ac:dyDescent="0.25">
      <c r="A131" s="34">
        <f t="array" ref="A131:C131">ODE_RK4(A130:C130,$F$7,$H$7,$I$7,$J$7,$K$7,$L$7)</f>
        <v>24.199999999999946</v>
      </c>
      <c r="B131" s="35">
        <v>3.71063290248865</v>
      </c>
      <c r="C131" s="37">
        <v>2.1614081117032069</v>
      </c>
    </row>
    <row r="132" spans="1:3" x14ac:dyDescent="0.25">
      <c r="A132" s="34">
        <f t="array" ref="A132:C132">ODE_RK4(A131:C131,$F$7,$H$7,$I$7,$J$7,$K$7,$L$7)</f>
        <v>24.399999999999945</v>
      </c>
      <c r="B132" s="35">
        <v>3.8579238426824056</v>
      </c>
      <c r="C132" s="37">
        <v>-0.70576746226482223</v>
      </c>
    </row>
    <row r="133" spans="1:3" x14ac:dyDescent="0.25">
      <c r="A133" s="34">
        <f t="array" ref="A133:C133">ODE_RK4(A132:C132,$F$7,$H$7,$I$7,$J$7,$K$7,$L$7)</f>
        <v>24.599999999999945</v>
      </c>
      <c r="B133" s="35">
        <v>3.4351926192536921</v>
      </c>
      <c r="C133" s="37">
        <v>-3.4683401284747428</v>
      </c>
    </row>
    <row r="134" spans="1:3" x14ac:dyDescent="0.25">
      <c r="A134" s="34">
        <f t="array" ref="A134:C134">ODE_RK4(A133:C133,$F$7,$H$7,$I$7,$J$7,$K$7,$L$7)</f>
        <v>24.799999999999944</v>
      </c>
      <c r="B134" s="35">
        <v>2.5051420825614401</v>
      </c>
      <c r="C134" s="37">
        <v>-5.7164130603959959</v>
      </c>
    </row>
    <row r="135" spans="1:3" x14ac:dyDescent="0.25">
      <c r="A135" s="34">
        <f t="array" ref="A135:C135">ODE_RK4(A134:C134,$F$7,$H$7,$I$7,$J$7,$K$7,$L$7)</f>
        <v>24.999999999999943</v>
      </c>
      <c r="B135" s="35">
        <v>1.2057211143302802</v>
      </c>
      <c r="C135" s="37">
        <v>-7.1167401308936089</v>
      </c>
    </row>
    <row r="136" spans="1:3" x14ac:dyDescent="0.25">
      <c r="A136" s="34">
        <f t="array" ref="A136:C136">ODE_RK4(A135:C135,$F$7,$H$7,$I$7,$J$7,$K$7,$L$7)</f>
        <v>25.199999999999942</v>
      </c>
      <c r="B136" s="35">
        <v>-0.27042458291706839</v>
      </c>
      <c r="C136" s="37">
        <v>-7.4623370722814659</v>
      </c>
    </row>
    <row r="137" spans="1:3" x14ac:dyDescent="0.25">
      <c r="A137" s="34">
        <f t="array" ref="A137:C137">ODE_RK4(A136:C136,$F$7,$H$7,$I$7,$J$7,$K$7,$L$7)</f>
        <v>25.399999999999942</v>
      </c>
      <c r="B137" s="35">
        <v>-1.7046360718929467</v>
      </c>
      <c r="C137" s="37">
        <v>-6.7032077502068033</v>
      </c>
    </row>
    <row r="138" spans="1:3" x14ac:dyDescent="0.25">
      <c r="A138" s="34">
        <f t="array" ref="A138:C138">ODE_RK4(A137:C137,$F$7,$H$7,$I$7,$J$7,$K$7,$L$7)</f>
        <v>25.599999999999941</v>
      </c>
      <c r="B138" s="35">
        <v>-2.8847702557232617</v>
      </c>
      <c r="C138" s="37">
        <v>-4.9536048723307911</v>
      </c>
    </row>
    <row r="139" spans="1:3" x14ac:dyDescent="0.25">
      <c r="A139" s="34">
        <f t="array" ref="A139:C139">ODE_RK4(A138:C138,$F$7,$H$7,$I$7,$J$7,$K$7,$L$7)</f>
        <v>25.79999999999994</v>
      </c>
      <c r="B139" s="35">
        <v>-3.6367146470985223</v>
      </c>
      <c r="C139" s="37">
        <v>-2.4747664786985188</v>
      </c>
    </row>
    <row r="140" spans="1:3" x14ac:dyDescent="0.25">
      <c r="A140" s="34">
        <f t="array" ref="A140:C140">ODE_RK4(A139:C139,$F$7,$H$7,$I$7,$J$7,$K$7,$L$7)</f>
        <v>25.99999999999994</v>
      </c>
      <c r="B140" s="35">
        <v>-3.8501861924231475</v>
      </c>
      <c r="C140" s="37">
        <v>0.36425342322365317</v>
      </c>
    </row>
    <row r="141" spans="1:3" x14ac:dyDescent="0.25">
      <c r="A141" s="34">
        <f t="array" ref="A141:C141">ODE_RK4(A140:C140,$F$7,$H$7,$I$7,$J$7,$K$7,$L$7)</f>
        <v>26.199999999999939</v>
      </c>
      <c r="B141" s="35">
        <v>-3.4949750359309051</v>
      </c>
      <c r="C141" s="37">
        <v>3.1417632531644606</v>
      </c>
    </row>
    <row r="142" spans="1:3" x14ac:dyDescent="0.25">
      <c r="A142" s="34">
        <f t="array" ref="A142:C142">ODE_RK4(A141:C141,$F$7,$H$7,$I$7,$J$7,$K$7,$L$7)</f>
        <v>26.399999999999938</v>
      </c>
      <c r="B142" s="35">
        <v>-2.6252303495286058</v>
      </c>
      <c r="C142" s="37">
        <v>5.4463372198737234</v>
      </c>
    </row>
    <row r="143" spans="1:3" x14ac:dyDescent="0.25">
      <c r="A143" s="34">
        <f t="array" ref="A143:C143">ODE_RK4(A142:C142,$F$7,$H$7,$I$7,$J$7,$K$7,$L$7)</f>
        <v>26.599999999999937</v>
      </c>
      <c r="B143" s="35">
        <v>-1.3711785697236321</v>
      </c>
      <c r="C143" s="37">
        <v>6.938021048149043</v>
      </c>
    </row>
    <row r="144" spans="1:3" x14ac:dyDescent="0.25">
      <c r="A144" s="34">
        <f t="array" ref="A144:C144">ODE_RK4(A143:C143,$F$7,$H$7,$I$7,$J$7,$K$7,$L$7)</f>
        <v>26.799999999999937</v>
      </c>
      <c r="B144" s="35">
        <v>8.0455426819737053E-2</v>
      </c>
      <c r="C144" s="37">
        <v>7.3986961496543184</v>
      </c>
    </row>
    <row r="145" spans="1:3" x14ac:dyDescent="0.25">
      <c r="A145" s="34">
        <f t="array" ref="A145:C145">ODE_RK4(A144:C144,$F$7,$H$7,$I$7,$J$7,$K$7,$L$7)</f>
        <v>26.999999999999936</v>
      </c>
      <c r="B145" s="35">
        <v>1.514368959238283</v>
      </c>
      <c r="C145" s="37">
        <v>6.764108740700701</v>
      </c>
    </row>
    <row r="146" spans="1:3" x14ac:dyDescent="0.25">
      <c r="A146" s="34">
        <f t="array" ref="A146:C146">ODE_RK4(A145:C145,$F$7,$H$7,$I$7,$J$7,$K$7,$L$7)</f>
        <v>27.199999999999935</v>
      </c>
      <c r="B146" s="35">
        <v>2.7187517875672977</v>
      </c>
      <c r="C146" s="37">
        <v>5.1328404882141996</v>
      </c>
    </row>
    <row r="147" spans="1:3" x14ac:dyDescent="0.25">
      <c r="A147" s="34">
        <f t="array" ref="A147:C147">ODE_RK4(A146:C146,$F$7,$H$7,$I$7,$J$7,$K$7,$L$7)</f>
        <v>27.399999999999935</v>
      </c>
      <c r="B147" s="35">
        <v>3.5167087828351509</v>
      </c>
      <c r="C147" s="37">
        <v>2.7509669179538307</v>
      </c>
    </row>
    <row r="148" spans="1:3" x14ac:dyDescent="0.25">
      <c r="A148" s="34">
        <f t="array" ref="A148:C148">ODE_RK4(A147:C147,$F$7,$H$7,$I$7,$J$7,$K$7,$L$7)</f>
        <v>27.599999999999934</v>
      </c>
      <c r="B148" s="35">
        <v>3.7923533958488238</v>
      </c>
      <c r="C148" s="37">
        <v>-2.5205088500675377E-2</v>
      </c>
    </row>
    <row r="149" spans="1:3" x14ac:dyDescent="0.25">
      <c r="A149" s="34">
        <f t="array" ref="A149:C149">ODE_RK4(A148:C148,$F$7,$H$7,$I$7,$J$7,$K$7,$L$7)</f>
        <v>27.799999999999933</v>
      </c>
      <c r="B149" s="35">
        <v>3.5077063071983425</v>
      </c>
      <c r="C149" s="37">
        <v>-2.7826575662837998</v>
      </c>
    </row>
    <row r="150" spans="1:3" x14ac:dyDescent="0.25">
      <c r="A150" s="34">
        <f t="array" ref="A150:C150">ODE_RK4(A149:C149,$F$7,$H$7,$I$7,$J$7,$K$7,$L$7)</f>
        <v>27.999999999999932</v>
      </c>
      <c r="B150" s="35">
        <v>2.707924781787924</v>
      </c>
      <c r="C150" s="37">
        <v>-5.1133682042115556</v>
      </c>
    </row>
    <row r="151" spans="1:3" x14ac:dyDescent="0.25">
      <c r="A151" s="34">
        <f t="array" ref="A151:C151">ODE_RK4(A150:C150,$F$7,$H$7,$I$7,$J$7,$K$7,$L$7)</f>
        <v>28.199999999999932</v>
      </c>
      <c r="B151" s="35">
        <v>1.5141432733785678</v>
      </c>
      <c r="C151" s="37">
        <v>-6.6749459669428282</v>
      </c>
    </row>
    <row r="152" spans="1:3" x14ac:dyDescent="0.25">
      <c r="A152" s="34">
        <f t="array" ref="A152:C152">ODE_RK4(A151:C151,$F$7,$H$7,$I$7,$J$7,$K$7,$L$7)</f>
        <v>28.399999999999931</v>
      </c>
      <c r="B152" s="35">
        <v>0.10505973749215514</v>
      </c>
      <c r="C152" s="37">
        <v>-7.2411462215756384</v>
      </c>
    </row>
    <row r="153" spans="1:3" x14ac:dyDescent="0.25">
      <c r="A153" s="34">
        <f t="array" ref="A153:C153">ODE_RK4(A152:C152,$F$7,$H$7,$I$7,$J$7,$K$7,$L$7)</f>
        <v>28.59999999999993</v>
      </c>
      <c r="B153" s="35">
        <v>-1.3099236541433901</v>
      </c>
      <c r="C153" s="37">
        <v>-6.7347803772972119</v>
      </c>
    </row>
    <row r="154" spans="1:3" x14ac:dyDescent="0.25">
      <c r="A154" s="34">
        <f t="array" ref="A154:C154">ODE_RK4(A153:C153,$F$7,$H$7,$I$7,$J$7,$K$7,$L$7)</f>
        <v>28.79999999999993</v>
      </c>
      <c r="B154" s="35">
        <v>-2.5219522702913224</v>
      </c>
      <c r="C154" s="37">
        <v>-5.2382132731881486</v>
      </c>
    </row>
    <row r="155" spans="1:3" x14ac:dyDescent="0.25">
      <c r="A155" s="34">
        <f t="array" ref="A155:C155">ODE_RK4(A154:C154,$F$7,$H$7,$I$7,$J$7,$K$7,$L$7)</f>
        <v>28.999999999999929</v>
      </c>
      <c r="B155" s="35">
        <v>-3.3536796416640504</v>
      </c>
      <c r="C155" s="37">
        <v>-2.9800248079983427</v>
      </c>
    </row>
    <row r="156" spans="1:3" x14ac:dyDescent="0.25">
      <c r="A156" s="34">
        <f t="array" ref="A156:C156">ODE_RK4(A155:C155,$F$7,$H$7,$I$7,$J$7,$K$7,$L$7)</f>
        <v>29.199999999999928</v>
      </c>
      <c r="B156" s="35">
        <v>-3.6853276341036434</v>
      </c>
      <c r="C156" s="37">
        <v>-0.29998793900677079</v>
      </c>
    </row>
    <row r="157" spans="1:3" x14ac:dyDescent="0.25">
      <c r="A157" s="34">
        <f t="array" ref="A157:C157">ODE_RK4(A156:C156,$F$7,$H$7,$I$7,$J$7,$K$7,$L$7)</f>
        <v>29.399999999999928</v>
      </c>
      <c r="B157" s="35">
        <v>-3.4720002759622868</v>
      </c>
      <c r="C157" s="37">
        <v>2.4022553636668773</v>
      </c>
    </row>
    <row r="158" spans="1:3" x14ac:dyDescent="0.25">
      <c r="A158" s="34">
        <f t="array" ref="A158:C158">ODE_RK4(A157:C157,$F$7,$H$7,$I$7,$J$7,$K$7,$L$7)</f>
        <v>29.599999999999927</v>
      </c>
      <c r="B158" s="35">
        <v>-2.7497387755643565</v>
      </c>
      <c r="C158" s="37">
        <v>4.7270383462024181</v>
      </c>
    </row>
    <row r="159" spans="1:3" x14ac:dyDescent="0.25">
      <c r="A159" s="34">
        <f t="array" ref="A159:C159">ODE_RK4(A158:C158,$F$7,$H$7,$I$7,$J$7,$K$7,$L$7)</f>
        <v>29.799999999999926</v>
      </c>
      <c r="B159" s="35">
        <v>-1.6295047642873772</v>
      </c>
      <c r="C159" s="37">
        <v>6.3340358662168184</v>
      </c>
    </row>
    <row r="160" spans="1:3" x14ac:dyDescent="0.25">
      <c r="A160" s="34">
        <f t="array" ref="A160:C160">ODE_RK4(A159:C159,$F$7,$H$7,$I$7,$J$7,$K$7,$L$7)</f>
        <v>29.999999999999925</v>
      </c>
      <c r="B160" s="35">
        <v>-0.28008685735620387</v>
      </c>
      <c r="C160" s="37">
        <v>6.9922970449784083</v>
      </c>
    </row>
    <row r="161" spans="1:3" x14ac:dyDescent="0.25">
      <c r="A161" s="34">
        <f t="array" ref="A161:C161">ODE_RK4(A160:C160,$F$7,$H$7,$I$7,$J$7,$K$7,$L$7)</f>
        <v>30.199999999999925</v>
      </c>
      <c r="B161" s="35">
        <v>1.0974296704662141</v>
      </c>
      <c r="C161" s="37">
        <v>6.613556978897277</v>
      </c>
    </row>
    <row r="162" spans="1:3" x14ac:dyDescent="0.25">
      <c r="A162" s="34">
        <f t="array" ref="A162:C162">ODE_RK4(A161:C161,$F$7,$H$7,$I$7,$J$7,$K$7,$L$7)</f>
        <v>30.399999999999924</v>
      </c>
      <c r="B162" s="35">
        <v>2.2997541981573608</v>
      </c>
      <c r="C162" s="37">
        <v>5.2640044307489173</v>
      </c>
    </row>
    <row r="163" spans="1:3" x14ac:dyDescent="0.25">
      <c r="A163" s="34">
        <f t="array" ref="A163:C163">ODE_RK4(A162:C162,$F$7,$H$7,$I$7,$J$7,$K$7,$L$7)</f>
        <v>30.599999999999923</v>
      </c>
      <c r="B163" s="35">
        <v>3.1515215475090406</v>
      </c>
      <c r="C163" s="37">
        <v>3.1529476232443168</v>
      </c>
    </row>
    <row r="164" spans="1:3" x14ac:dyDescent="0.25">
      <c r="A164" s="34">
        <f t="array" ref="A164:C164">ODE_RK4(A163:C163,$F$7,$H$7,$I$7,$J$7,$K$7,$L$7)</f>
        <v>30.799999999999923</v>
      </c>
      <c r="B164" s="35">
        <v>3.5309772206968768</v>
      </c>
      <c r="C164" s="37">
        <v>0.6002898933587808</v>
      </c>
    </row>
    <row r="165" spans="1:3" x14ac:dyDescent="0.25">
      <c r="A165" s="34">
        <f t="array" ref="A165:C165">ODE_RK4(A164:C164,$F$7,$H$7,$I$7,$J$7,$K$7,$L$7)</f>
        <v>30.999999999999922</v>
      </c>
      <c r="B165" s="35">
        <v>3.3874389760799843</v>
      </c>
      <c r="C165" s="37">
        <v>-2.0121221433766818</v>
      </c>
    </row>
    <row r="166" spans="1:3" x14ac:dyDescent="0.25">
      <c r="A166" s="34">
        <f t="array" ref="A166:C166">ODE_RK4(A165:C165,$F$7,$H$7,$I$7,$J$7,$K$7,$L$7)</f>
        <v>31.199999999999921</v>
      </c>
      <c r="B166" s="35">
        <v>2.7480216764052368</v>
      </c>
      <c r="C166" s="37">
        <v>-4.2978536393454281</v>
      </c>
    </row>
    <row r="167" spans="1:3" x14ac:dyDescent="0.25">
      <c r="A167" s="34">
        <f t="array" ref="A167:C167">ODE_RK4(A166:C166,$F$7,$H$7,$I$7,$J$7,$K$7,$L$7)</f>
        <v>31.39999999999992</v>
      </c>
      <c r="B167" s="35">
        <v>1.7127404059012612</v>
      </c>
      <c r="C167" s="37">
        <v>-5.9232904228228058</v>
      </c>
    </row>
    <row r="168" spans="1:3" x14ac:dyDescent="0.25">
      <c r="A168" s="34">
        <f t="array" ref="A168:C168">ODE_RK4(A167:C167,$F$7,$H$7,$I$7,$J$7,$K$7,$L$7)</f>
        <v>31.59999999999992</v>
      </c>
      <c r="B168" s="35">
        <v>0.43885018174057433</v>
      </c>
      <c r="C168" s="37">
        <v>-6.6565366980584573</v>
      </c>
    </row>
    <row r="169" spans="1:3" x14ac:dyDescent="0.25">
      <c r="A169" s="34">
        <f t="array" ref="A169:C169">ODE_RK4(A168:C168,$F$7,$H$7,$I$7,$J$7,$K$7,$L$7)</f>
        <v>31.799999999999919</v>
      </c>
      <c r="B169" s="35">
        <v>-0.88312338339967433</v>
      </c>
      <c r="C169" s="37">
        <v>-6.4006039528527907</v>
      </c>
    </row>
    <row r="170" spans="1:3" x14ac:dyDescent="0.25">
      <c r="A170" s="34">
        <f t="array" ref="A170:C170">ODE_RK4(A169:C169,$F$7,$H$7,$I$7,$J$7,$K$7,$L$7)</f>
        <v>31.999999999999918</v>
      </c>
      <c r="B170" s="35">
        <v>-2.0579970564907839</v>
      </c>
      <c r="C170" s="37">
        <v>-5.2061250035426019</v>
      </c>
    </row>
    <row r="171" spans="1:3" x14ac:dyDescent="0.25">
      <c r="A171" s="34">
        <f t="array" ref="A171:C171">ODE_RK4(A170:C170,$F$7,$H$7,$I$7,$J$7,$K$7,$L$7)</f>
        <v>32.199999999999918</v>
      </c>
      <c r="B171" s="35">
        <v>-2.9148723575764981</v>
      </c>
      <c r="C171" s="37">
        <v>-3.26194550162811</v>
      </c>
    </row>
    <row r="172" spans="1:3" x14ac:dyDescent="0.25">
      <c r="A172" s="34">
        <f t="array" ref="A172:C172">ODE_RK4(A171:C171,$F$7,$H$7,$I$7,$J$7,$K$7,$L$7)</f>
        <v>32.39999999999992</v>
      </c>
      <c r="B172" s="35">
        <v>-3.3320972572422525</v>
      </c>
      <c r="C172" s="37">
        <v>-0.86527398562176527</v>
      </c>
    </row>
    <row r="173" spans="1:3" x14ac:dyDescent="0.25">
      <c r="A173" s="34">
        <f t="array" ref="A173:C173">ODE_RK4(A172:C172,$F$7,$H$7,$I$7,$J$7,$K$7,$L$7)</f>
        <v>32.599999999999923</v>
      </c>
      <c r="B173" s="35">
        <v>-3.254585852735123</v>
      </c>
      <c r="C173" s="37">
        <v>1.6238921529323558</v>
      </c>
    </row>
    <row r="174" spans="1:3" x14ac:dyDescent="0.25">
      <c r="A174" s="34">
        <f t="array" ref="A174:C174">ODE_RK4(A173:C173,$F$7,$H$7,$I$7,$J$7,$K$7,$L$7)</f>
        <v>32.799999999999926</v>
      </c>
      <c r="B174" s="35">
        <v>-2.7010227491330849</v>
      </c>
      <c r="C174" s="37">
        <v>3.8370565288996237</v>
      </c>
    </row>
    <row r="175" spans="1:3" x14ac:dyDescent="0.25">
      <c r="A175" s="34">
        <f t="array" ref="A175:C175">ODE_RK4(A174:C174,$F$7,$H$7,$I$7,$J$7,$K$7,$L$7)</f>
        <v>32.999999999999929</v>
      </c>
      <c r="B175" s="35">
        <v>-1.7600212742221601</v>
      </c>
      <c r="C175" s="37">
        <v>5.4520108471575055</v>
      </c>
    </row>
    <row r="176" spans="1:3" x14ac:dyDescent="0.25">
      <c r="A176" s="34">
        <f t="array" ref="A176:C176">ODE_RK4(A175:C175,$F$7,$H$7,$I$7,$J$7,$K$7,$L$7)</f>
        <v>33.199999999999932</v>
      </c>
      <c r="B176" s="35">
        <v>-0.57596543848784854</v>
      </c>
      <c r="C176" s="37">
        <v>6.2399389702762811</v>
      </c>
    </row>
    <row r="177" spans="1:3" x14ac:dyDescent="0.25">
      <c r="A177" s="34">
        <f t="array" ref="A177:C177">ODE_RK4(A176:C176,$F$7,$H$7,$I$7,$J$7,$K$7,$L$7)</f>
        <v>33.399999999999935</v>
      </c>
      <c r="B177" s="35">
        <v>0.6732059689975014</v>
      </c>
      <c r="C177" s="37">
        <v>6.0979225674482347</v>
      </c>
    </row>
    <row r="178" spans="1:3" x14ac:dyDescent="0.25">
      <c r="A178" s="34">
        <f t="array" ref="A178:C178">ODE_RK4(A177:C177,$F$7,$H$7,$I$7,$J$7,$K$7,$L$7)</f>
        <v>33.599999999999937</v>
      </c>
      <c r="B178" s="35">
        <v>1.8028460174583762</v>
      </c>
      <c r="C178" s="37">
        <v>5.0622173975906248</v>
      </c>
    </row>
    <row r="179" spans="1:3" x14ac:dyDescent="0.25">
      <c r="A179" s="34">
        <f t="array" ref="A179:C179">ODE_RK4(A178:C178,$F$7,$H$7,$I$7,$J$7,$K$7,$L$7)</f>
        <v>33.79999999999994</v>
      </c>
      <c r="B179" s="35">
        <v>2.6490110726753779</v>
      </c>
      <c r="C179" s="37">
        <v>3.3006155135919268</v>
      </c>
    </row>
    <row r="180" spans="1:3" x14ac:dyDescent="0.25">
      <c r="A180" s="34">
        <f t="array" ref="A180:C180">ODE_RK4(A179:C179,$F$7,$H$7,$I$7,$J$7,$K$7,$L$7)</f>
        <v>33.999999999999943</v>
      </c>
      <c r="B180" s="35">
        <v>3.0923503244863721</v>
      </c>
      <c r="C180" s="37">
        <v>1.085363966047165</v>
      </c>
    </row>
    <row r="181" spans="1:3" x14ac:dyDescent="0.25">
      <c r="A181" s="34">
        <f t="array" ref="A181:C181">ODE_RK4(A180:C180,$F$7,$H$7,$I$7,$J$7,$K$7,$L$7)</f>
        <v>34.199999999999946</v>
      </c>
      <c r="B181" s="35">
        <v>3.0749777482890903</v>
      </c>
      <c r="C181" s="37">
        <v>-1.2490029155661548</v>
      </c>
    </row>
    <row r="182" spans="1:3" x14ac:dyDescent="0.25">
      <c r="A182" s="34">
        <f t="array" ref="A182:C182">ODE_RK4(A181:C181,$F$7,$H$7,$I$7,$J$7,$K$7,$L$7)</f>
        <v>34.399999999999949</v>
      </c>
      <c r="B182" s="35">
        <v>2.6079355828108755</v>
      </c>
      <c r="C182" s="37">
        <v>-3.3563732261235408</v>
      </c>
    </row>
    <row r="183" spans="1:3" x14ac:dyDescent="0.25">
      <c r="A183" s="34">
        <f t="array" ref="A183:C183">ODE_RK4(A182:C182,$F$7,$H$7,$I$7,$J$7,$K$7,$L$7)</f>
        <v>34.599999999999952</v>
      </c>
      <c r="B183" s="35">
        <v>1.7683028583558107</v>
      </c>
      <c r="C183" s="37">
        <v>-4.930594930125582</v>
      </c>
    </row>
    <row r="184" spans="1:3" x14ac:dyDescent="0.25">
      <c r="A184" s="34">
        <f t="array" ref="A184:C184">ODE_RK4(A183:C183,$F$7,$H$7,$I$7,$J$7,$K$7,$L$7)</f>
        <v>34.799999999999955</v>
      </c>
      <c r="B184" s="35">
        <v>0.68656430313979588</v>
      </c>
      <c r="C184" s="37">
        <v>-5.7501344997543109</v>
      </c>
    </row>
    <row r="185" spans="1:3" x14ac:dyDescent="0.25">
      <c r="A185" s="34">
        <f t="array" ref="A185:C185">ODE_RK4(A184:C184,$F$7,$H$7,$I$7,$J$7,$K$7,$L$7)</f>
        <v>34.999999999999957</v>
      </c>
      <c r="B185" s="35">
        <v>-0.47370236840366187</v>
      </c>
      <c r="C185" s="37">
        <v>-5.7093150268314679</v>
      </c>
    </row>
    <row r="186" spans="1:3" x14ac:dyDescent="0.25">
      <c r="A186" s="34">
        <f t="array" ref="A186:C186">ODE_RK4(A185:C185,$F$7,$H$7,$I$7,$J$7,$K$7,$L$7)</f>
        <v>35.19999999999996</v>
      </c>
      <c r="B186" s="35">
        <v>-1.5406538359317326</v>
      </c>
      <c r="C186" s="37">
        <v>-4.8317192591631954</v>
      </c>
    </row>
    <row r="187" spans="1:3" x14ac:dyDescent="0.25">
      <c r="A187" s="34">
        <f t="array" ref="A187:C187">ODE_RK4(A186:C186,$F$7,$H$7,$I$7,$J$7,$K$7,$L$7)</f>
        <v>35.399999999999963</v>
      </c>
      <c r="B187" s="35">
        <v>-2.359741765151401</v>
      </c>
      <c r="C187" s="37">
        <v>-3.264095544509853</v>
      </c>
    </row>
    <row r="188" spans="1:3" x14ac:dyDescent="0.25">
      <c r="A188" s="34">
        <f t="array" ref="A188:C188">ODE_RK4(A187:C187,$F$7,$H$7,$I$7,$J$7,$K$7,$L$7)</f>
        <v>35.599999999999966</v>
      </c>
      <c r="B188" s="35">
        <v>-2.8161885031166585</v>
      </c>
      <c r="C188" s="37">
        <v>-1.2520567653431969</v>
      </c>
    </row>
    <row r="189" spans="1:3" x14ac:dyDescent="0.25">
      <c r="A189" s="34">
        <f t="array" ref="A189:C189">ODE_RK4(A188:C188,$F$7,$H$7,$I$7,$J$7,$K$7,$L$7)</f>
        <v>35.799999999999969</v>
      </c>
      <c r="B189" s="35">
        <v>-2.8510958148216061</v>
      </c>
      <c r="C189" s="37">
        <v>0.8984345944960328</v>
      </c>
    </row>
    <row r="190" spans="1:3" x14ac:dyDescent="0.25">
      <c r="A190" s="34">
        <f t="array" ref="A190:C190">ODE_RK4(A189:C189,$F$7,$H$7,$I$7,$J$7,$K$7,$L$7)</f>
        <v>35.999999999999972</v>
      </c>
      <c r="B190" s="35">
        <v>-2.4689219362970056</v>
      </c>
      <c r="C190" s="37">
        <v>2.867751110019412</v>
      </c>
    </row>
    <row r="191" spans="1:3" x14ac:dyDescent="0.25">
      <c r="A191" s="34">
        <f t="array" ref="A191:C191">ODE_RK4(A190:C190,$F$7,$H$7,$I$7,$J$7,$K$7,$L$7)</f>
        <v>36.199999999999974</v>
      </c>
      <c r="B191" s="35">
        <v>-1.7353985609992142</v>
      </c>
      <c r="C191" s="37">
        <v>4.370308801190979</v>
      </c>
    </row>
    <row r="192" spans="1:3" x14ac:dyDescent="0.25">
      <c r="A192" s="34">
        <f t="array" ref="A192:C192">ODE_RK4(A191:C191,$F$7,$H$7,$I$7,$J$7,$K$7,$L$7)</f>
        <v>36.399999999999977</v>
      </c>
      <c r="B192" s="35">
        <v>-0.76640740711632582</v>
      </c>
      <c r="C192" s="37">
        <v>5.1961484706275316</v>
      </c>
    </row>
    <row r="193" spans="1:3" x14ac:dyDescent="0.25">
      <c r="A193" s="34">
        <f t="array" ref="A193:C193">ODE_RK4(A192:C192,$F$7,$H$7,$I$7,$J$7,$K$7,$L$7)</f>
        <v>36.59999999999998</v>
      </c>
      <c r="B193" s="35">
        <v>0.29032438794769955</v>
      </c>
      <c r="C193" s="37">
        <v>5.2403105845096452</v>
      </c>
    </row>
    <row r="194" spans="1:3" x14ac:dyDescent="0.25">
      <c r="A194" s="34">
        <f t="array" ref="A194:C194">ODE_RK4(A193:C193,$F$7,$H$7,$I$7,$J$7,$K$7,$L$7)</f>
        <v>36.799999999999983</v>
      </c>
      <c r="B194" s="35">
        <v>1.2778189850858572</v>
      </c>
      <c r="C194" s="37">
        <v>4.5158882620087351</v>
      </c>
    </row>
    <row r="195" spans="1:3" x14ac:dyDescent="0.25">
      <c r="A195" s="34">
        <f t="array" ref="A195:C195">ODE_RK4(A194:C194,$F$7,$H$7,$I$7,$J$7,$K$7,$L$7)</f>
        <v>36.999999999999986</v>
      </c>
      <c r="B195" s="35">
        <v>2.0532663719950928</v>
      </c>
      <c r="C195" s="37">
        <v>3.1491843692920378</v>
      </c>
    </row>
    <row r="196" spans="1:3" x14ac:dyDescent="0.25">
      <c r="A196" s="34">
        <f t="array" ref="A196:C196">ODE_RK4(A195:C195,$F$7,$H$7,$I$7,$J$7,$K$7,$L$7)</f>
        <v>37.199999999999989</v>
      </c>
      <c r="B196" s="35">
        <v>2.508758427302948</v>
      </c>
      <c r="C196" s="37">
        <v>1.3581212880588083</v>
      </c>
    </row>
    <row r="197" spans="1:3" x14ac:dyDescent="0.25">
      <c r="A197" s="34">
        <f t="array" ref="A197:C197">ODE_RK4(A196:C196,$F$7,$H$7,$I$7,$J$7,$K$7,$L$7)</f>
        <v>37.399999999999991</v>
      </c>
      <c r="B197" s="35">
        <v>2.5863159760351953</v>
      </c>
      <c r="C197" s="37">
        <v>-0.58245994628644371</v>
      </c>
    </row>
    <row r="198" spans="1:3" x14ac:dyDescent="0.25">
      <c r="A198" s="34">
        <f t="array" ref="A198:C198">ODE_RK4(A197:C197,$F$7,$H$7,$I$7,$J$7,$K$7,$L$7)</f>
        <v>37.599999999999994</v>
      </c>
      <c r="B198" s="35">
        <v>2.2851144805677666</v>
      </c>
      <c r="C198" s="37">
        <v>-2.3830919960563</v>
      </c>
    </row>
    <row r="199" spans="1:3" x14ac:dyDescent="0.25">
      <c r="A199" s="34">
        <f t="array" ref="A199:C199">ODE_RK4(A198:C198,$F$7,$H$7,$I$7,$J$7,$K$7,$L$7)</f>
        <v>37.799999999999997</v>
      </c>
      <c r="B199" s="35">
        <v>1.6600343637226032</v>
      </c>
      <c r="C199" s="37">
        <v>-3.7830404057210028</v>
      </c>
    </row>
    <row r="200" spans="1:3" x14ac:dyDescent="0.25">
      <c r="A200" s="34">
        <f t="array" ref="A200:C200">ODE_RK4(A199:C199,$F$7,$H$7,$I$7,$J$7,$K$7,$L$7)</f>
        <v>38</v>
      </c>
      <c r="B200" s="35">
        <v>0.81198338497446776</v>
      </c>
      <c r="C200" s="37">
        <v>-4.5882084142735797</v>
      </c>
    </row>
    <row r="201" spans="1:3" x14ac:dyDescent="0.25">
      <c r="A201" s="34">
        <f t="array" ref="A201:C201">ODE_RK4(A200:C200,$F$7,$H$7,$I$7,$J$7,$K$7,$L$7)</f>
        <v>38.200000000000003</v>
      </c>
      <c r="B201" s="35">
        <v>-0.12834095461212691</v>
      </c>
      <c r="C201" s="37">
        <v>-4.6980542846076387</v>
      </c>
    </row>
    <row r="202" spans="1:3" x14ac:dyDescent="0.25">
      <c r="A202" s="34">
        <f t="array" ref="A202:C202">ODE_RK4(A201:C201,$F$7,$H$7,$I$7,$J$7,$K$7,$L$7)</f>
        <v>38.400000000000006</v>
      </c>
      <c r="B202" s="35">
        <v>-1.0206431527027084</v>
      </c>
      <c r="C202" s="37">
        <v>-4.1177872193909053</v>
      </c>
    </row>
    <row r="203" spans="1:3" x14ac:dyDescent="0.25">
      <c r="A203" s="34">
        <f t="array" ref="A203:C203">ODE_RK4(A202:C202,$F$7,$H$7,$I$7,$J$7,$K$7,$L$7)</f>
        <v>38.600000000000009</v>
      </c>
      <c r="B203" s="35">
        <v>-1.7360491437224637</v>
      </c>
      <c r="C203" s="37">
        <v>-2.9544252397519792</v>
      </c>
    </row>
    <row r="204" spans="1:3" x14ac:dyDescent="0.25">
      <c r="A204" s="34">
        <f t="array" ref="A204:C204">ODE_RK4(A203:C203,$F$7,$H$7,$I$7,$J$7,$K$7,$L$7)</f>
        <v>38.800000000000011</v>
      </c>
      <c r="B204" s="35">
        <v>-2.1757914450503626</v>
      </c>
      <c r="C204" s="37">
        <v>-1.3977689554047394</v>
      </c>
    </row>
    <row r="205" spans="1:3" x14ac:dyDescent="0.25">
      <c r="A205" s="34">
        <f t="array" ref="A205:C205">ODE_RK4(A204:C204,$F$7,$H$7,$I$7,$J$7,$K$7,$L$7)</f>
        <v>39.000000000000014</v>
      </c>
      <c r="B205" s="35">
        <v>-2.2848400090478034</v>
      </c>
      <c r="C205" s="37">
        <v>0.31041038015635514</v>
      </c>
    </row>
    <row r="206" spans="1:3" x14ac:dyDescent="0.25">
      <c r="A206" s="34">
        <f t="array" ref="A206:C206">ODE_RK4(A205:C205,$F$7,$H$7,$I$7,$J$7,$K$7,$L$7)</f>
        <v>39.200000000000017</v>
      </c>
      <c r="B206" s="35">
        <v>-2.0585983565873072</v>
      </c>
      <c r="C206" s="37">
        <v>1.9139871396275592</v>
      </c>
    </row>
    <row r="207" spans="1:3" x14ac:dyDescent="0.25">
      <c r="A207" s="34">
        <f t="array" ref="A207:C207">ODE_RK4(A206:C206,$F$7,$H$7,$I$7,$J$7,$K$7,$L$7)</f>
        <v>39.40000000000002</v>
      </c>
      <c r="B207" s="35">
        <v>-1.5418834352467421</v>
      </c>
      <c r="C207" s="37">
        <v>3.1810401083790922</v>
      </c>
    </row>
    <row r="208" spans="1:3" x14ac:dyDescent="0.25">
      <c r="A208" s="34">
        <f t="array" ref="A208:C208">ODE_RK4(A207:C207,$F$7,$H$7,$I$7,$J$7,$K$7,$L$7)</f>
        <v>39.600000000000023</v>
      </c>
      <c r="B208" s="35">
        <v>-0.82059176735697448</v>
      </c>
      <c r="C208" s="37">
        <v>3.937526312012146</v>
      </c>
    </row>
    <row r="209" spans="1:3" x14ac:dyDescent="0.25">
      <c r="A209" s="34">
        <f t="array" ref="A209:C209">ODE_RK4(A208:C208,$F$7,$H$7,$I$7,$J$7,$K$7,$L$7)</f>
        <v>39.800000000000026</v>
      </c>
      <c r="B209" s="35">
        <v>-7.5416115858807364E-3</v>
      </c>
      <c r="C209" s="37">
        <v>4.0911607384038255</v>
      </c>
    </row>
    <row r="210" spans="1:3" x14ac:dyDescent="0.25">
      <c r="A210" s="34">
        <f t="array" ref="A210:C210">ODE_RK4(A209:C209,$F$7,$H$7,$I$7,$J$7,$K$7,$L$7)</f>
        <v>40.000000000000028</v>
      </c>
      <c r="B210" s="35">
        <v>0.77519123196019635</v>
      </c>
      <c r="C210" s="37">
        <v>3.6422298051161843</v>
      </c>
    </row>
    <row r="211" spans="1:3" x14ac:dyDescent="0.25">
      <c r="A211" s="34">
        <f t="array" ref="A211:C211">ODE_RK4(A210:C210,$F$7,$H$7,$I$7,$J$7,$K$7,$L$7)</f>
        <v>40.200000000000031</v>
      </c>
      <c r="B211" s="35">
        <v>1.4146757214356378</v>
      </c>
      <c r="C211" s="37">
        <v>2.6801511061157766</v>
      </c>
    </row>
    <row r="212" spans="1:3" x14ac:dyDescent="0.25">
      <c r="A212" s="34">
        <f t="array" ref="A212:C212">ODE_RK4(A211:C211,$F$7,$H$7,$I$7,$J$7,$K$7,$L$7)</f>
        <v>40.400000000000034</v>
      </c>
      <c r="B212" s="35">
        <v>1.8234812850852375</v>
      </c>
      <c r="C212" s="37">
        <v>1.3667922158843921</v>
      </c>
    </row>
    <row r="213" spans="1:3" x14ac:dyDescent="0.25">
      <c r="A213" s="34">
        <f t="array" ref="A213:C213">ODE_RK4(A212:C212,$F$7,$H$7,$I$7,$J$7,$K$7,$L$7)</f>
        <v>40.600000000000037</v>
      </c>
      <c r="B213" s="35">
        <v>1.9516087410128868</v>
      </c>
      <c r="C213" s="37">
        <v>-9.0463284724736859E-2</v>
      </c>
    </row>
    <row r="214" spans="1:3" x14ac:dyDescent="0.25">
      <c r="A214" s="34">
        <f t="array" ref="A214:C214">ODE_RK4(A213:C213,$F$7,$H$7,$I$7,$J$7,$K$7,$L$7)</f>
        <v>40.80000000000004</v>
      </c>
      <c r="B214" s="35">
        <v>1.7923719319599796</v>
      </c>
      <c r="C214" s="37">
        <v>-1.4714598014753943</v>
      </c>
    </row>
    <row r="215" spans="1:3" x14ac:dyDescent="0.25">
      <c r="A215" s="34">
        <f t="array" ref="A215:C215">ODE_RK4(A214:C214,$F$7,$H$7,$I$7,$J$7,$K$7,$L$7)</f>
        <v>41.000000000000043</v>
      </c>
      <c r="B215" s="35">
        <v>1.3815799011412222</v>
      </c>
      <c r="C215" s="37">
        <v>-2.5766541092444175</v>
      </c>
    </row>
    <row r="216" spans="1:3" x14ac:dyDescent="0.25">
      <c r="A216" s="34">
        <f t="array" ref="A216:C216">ODE_RK4(A215:C215,$F$7,$H$7,$I$7,$J$7,$K$7,$L$7)</f>
        <v>41.200000000000045</v>
      </c>
      <c r="B216" s="35">
        <v>0.7904078813195935</v>
      </c>
      <c r="C216" s="37">
        <v>-3.2560597584874929</v>
      </c>
    </row>
    <row r="217" spans="1:3" x14ac:dyDescent="0.25">
      <c r="A217" s="34">
        <f t="array" ref="A217:C217">ODE_RK4(A216:C216,$F$7,$H$7,$I$7,$J$7,$K$7,$L$7)</f>
        <v>41.400000000000048</v>
      </c>
      <c r="B217" s="35">
        <v>0.11328666755861083</v>
      </c>
      <c r="C217" s="37">
        <v>-3.4295361092617691</v>
      </c>
    </row>
    <row r="218" spans="1:3" x14ac:dyDescent="0.25">
      <c r="A218" s="34">
        <f t="array" ref="A218:C218">ODE_RK4(A217:C217,$F$7,$H$7,$I$7,$J$7,$K$7,$L$7)</f>
        <v>41.600000000000051</v>
      </c>
      <c r="B218" s="35">
        <v>-0.54715688451169187</v>
      </c>
      <c r="C218" s="37">
        <v>-3.0956880313728408</v>
      </c>
    </row>
    <row r="219" spans="1:3" x14ac:dyDescent="0.25">
      <c r="A219" s="34">
        <f t="array" ref="A219:C219">ODE_RK4(A218:C218,$F$7,$H$7,$I$7,$J$7,$K$7,$L$7)</f>
        <v>41.800000000000054</v>
      </c>
      <c r="B219" s="35">
        <v>-1.0957099310634373</v>
      </c>
      <c r="C219" s="37">
        <v>-2.3284904362166241</v>
      </c>
    </row>
    <row r="220" spans="1:3" x14ac:dyDescent="0.25">
      <c r="A220" s="34">
        <f t="array" ref="A220:C220">ODE_RK4(A219:C219,$F$7,$H$7,$I$7,$J$7,$K$7,$L$7)</f>
        <v>42.000000000000057</v>
      </c>
      <c r="B220" s="35">
        <v>-1.4583519030188612</v>
      </c>
      <c r="C220" s="37">
        <v>-1.2626679462654362</v>
      </c>
    </row>
    <row r="221" spans="1:3" x14ac:dyDescent="0.25">
      <c r="A221" s="34">
        <f t="array" ref="A221:C221">ODE_RK4(A220:C220,$F$7,$H$7,$I$7,$J$7,$K$7,$L$7)</f>
        <v>42.20000000000006</v>
      </c>
      <c r="B221" s="35">
        <v>-1.592199247176324</v>
      </c>
      <c r="C221" s="37">
        <v>-7.0544685035433652E-2</v>
      </c>
    </row>
    <row r="222" spans="1:3" x14ac:dyDescent="0.25">
      <c r="A222" s="34">
        <f t="array" ref="A222:C222">ODE_RK4(A221:C221,$F$7,$H$7,$I$7,$J$7,$K$7,$L$7)</f>
        <v>42.400000000000063</v>
      </c>
      <c r="B222" s="35">
        <v>-1.4902875957172745</v>
      </c>
      <c r="C222" s="37">
        <v>1.0657210338865126</v>
      </c>
    </row>
    <row r="223" spans="1:3" x14ac:dyDescent="0.25">
      <c r="A223" s="34">
        <f t="array" ref="A223:C223">ODE_RK4(A222:C222,$F$7,$H$7,$I$7,$J$7,$K$7,$L$7)</f>
        <v>42.600000000000065</v>
      </c>
      <c r="B223" s="35">
        <v>-1.1807114508180745</v>
      </c>
      <c r="C223" s="37">
        <v>1.9820565144955875</v>
      </c>
    </row>
    <row r="224" spans="1:3" x14ac:dyDescent="0.25">
      <c r="A224" s="34">
        <f t="array" ref="A224:C224">ODE_RK4(A223:C223,$F$7,$H$7,$I$7,$J$7,$K$7,$L$7)</f>
        <v>42.800000000000068</v>
      </c>
      <c r="B224" s="35">
        <v>-0.7205283152076315</v>
      </c>
      <c r="C224" s="37">
        <v>2.5562574022161311</v>
      </c>
    </row>
    <row r="225" spans="1:3" x14ac:dyDescent="0.25">
      <c r="A225" s="34">
        <f t="array" ref="A225:C225">ODE_RK4(A224:C224,$F$7,$H$7,$I$7,$J$7,$K$7,$L$7)</f>
        <v>43.000000000000071</v>
      </c>
      <c r="B225" s="35">
        <v>-0.18561929751027362</v>
      </c>
      <c r="C225" s="37">
        <v>2.7241721751717929</v>
      </c>
    </row>
    <row r="226" spans="1:3" x14ac:dyDescent="0.25">
      <c r="A226" s="34">
        <f t="array" ref="A226:C226">ODE_RK4(A225:C225,$F$7,$H$7,$I$7,$J$7,$K$7,$L$7)</f>
        <v>43.200000000000074</v>
      </c>
      <c r="B226" s="35">
        <v>0.34173663013190125</v>
      </c>
      <c r="C226" s="37">
        <v>2.4861634697979658</v>
      </c>
    </row>
    <row r="227" spans="1:3" x14ac:dyDescent="0.25">
      <c r="A227" s="34">
        <f t="array" ref="A227:C227">ODE_RK4(A226:C226,$F$7,$H$7,$I$7,$J$7,$K$7,$L$7)</f>
        <v>43.400000000000077</v>
      </c>
      <c r="B227" s="35">
        <v>0.78555143260477389</v>
      </c>
      <c r="C227" s="37">
        <v>1.903333460972064</v>
      </c>
    </row>
    <row r="228" spans="1:3" x14ac:dyDescent="0.25">
      <c r="A228" s="34">
        <f t="array" ref="A228:C228">ODE_RK4(A227:C227,$F$7,$H$7,$I$7,$J$7,$K$7,$L$7)</f>
        <v>43.60000000000008</v>
      </c>
      <c r="B228" s="35">
        <v>1.0871183939484315</v>
      </c>
      <c r="C228" s="37">
        <v>1.0846234372362276</v>
      </c>
    </row>
    <row r="229" spans="1:3" x14ac:dyDescent="0.25">
      <c r="A229" s="34">
        <f t="array" ref="A229:C229">ODE_RK4(A228:C228,$F$7,$H$7,$I$7,$J$7,$K$7,$L$7)</f>
        <v>43.800000000000082</v>
      </c>
      <c r="B229" s="35">
        <v>1.2127082873127437</v>
      </c>
      <c r="C229" s="37">
        <v>0.16727423964154886</v>
      </c>
    </row>
    <row r="230" spans="1:3" x14ac:dyDescent="0.25">
      <c r="A230" s="34">
        <f t="array" ref="A230:C230">ODE_RK4(A229:C229,$F$7,$H$7,$I$7,$J$7,$K$7,$L$7)</f>
        <v>44.000000000000085</v>
      </c>
      <c r="B230" s="35">
        <v>1.1569738683638231</v>
      </c>
      <c r="C230" s="37">
        <v>-0.70594405383201664</v>
      </c>
    </row>
    <row r="231" spans="1:3" x14ac:dyDescent="0.25">
      <c r="A231" s="34">
        <f t="array" ref="A231:C231">ODE_RK4(A230:C230,$F$7,$H$7,$I$7,$J$7,$K$7,$L$7)</f>
        <v>44.200000000000088</v>
      </c>
      <c r="B231" s="35">
        <v>0.94179092232908346</v>
      </c>
      <c r="C231" s="37">
        <v>-1.4089859304957288</v>
      </c>
    </row>
    <row r="232" spans="1:3" x14ac:dyDescent="0.25">
      <c r="A232" s="34">
        <f t="array" ref="A232:C232">ODE_RK4(A231:C231,$F$7,$H$7,$I$7,$J$7,$K$7,$L$7)</f>
        <v>44.400000000000091</v>
      </c>
      <c r="B232" s="35">
        <v>0.61099593245585881</v>
      </c>
      <c r="C232" s="37">
        <v>-1.8507942226675664</v>
      </c>
    </row>
    <row r="233" spans="1:3" x14ac:dyDescent="0.25">
      <c r="A233" s="34">
        <f t="array" ref="A233:C233">ODE_RK4(A232:C232,$F$7,$H$7,$I$7,$J$7,$K$7,$L$7)</f>
        <v>44.600000000000094</v>
      </c>
      <c r="B233" s="35">
        <v>0.22210131241175862</v>
      </c>
      <c r="C233" s="37">
        <v>-1.986916949434357</v>
      </c>
    </row>
    <row r="234" spans="1:3" x14ac:dyDescent="0.25">
      <c r="A234" s="34">
        <f t="array" ref="A234:C234">ODE_RK4(A233:C233,$F$7,$H$7,$I$7,$J$7,$K$7,$L$7)</f>
        <v>44.800000000000097</v>
      </c>
      <c r="B234" s="35">
        <v>-0.16351522883671554</v>
      </c>
      <c r="C234" s="37">
        <v>-1.8230249973438333</v>
      </c>
    </row>
    <row r="235" spans="1:3" x14ac:dyDescent="0.25">
      <c r="A235" s="34">
        <f t="array" ref="A235:C235">ODE_RK4(A234:C234,$F$7,$H$7,$I$7,$J$7,$K$7,$L$7)</f>
        <v>45.000000000000099</v>
      </c>
      <c r="B235" s="35">
        <v>-0.49029734218354332</v>
      </c>
      <c r="C235" s="37">
        <v>-1.4102595437024594</v>
      </c>
    </row>
    <row r="236" spans="1:3" x14ac:dyDescent="0.25">
      <c r="A236" s="34">
        <f t="array" ref="A236:C236">ODE_RK4(A235:C235,$F$7,$H$7,$I$7,$J$7,$K$7,$L$7)</f>
        <v>45.200000000000102</v>
      </c>
      <c r="B236" s="35">
        <v>-0.71654400975965382</v>
      </c>
      <c r="C236" s="37">
        <v>-0.83366348061870499</v>
      </c>
    </row>
    <row r="237" spans="1:3" x14ac:dyDescent="0.25">
      <c r="A237" s="34">
        <f t="array" ref="A237:C237">ODE_RK4(A236:C236,$F$7,$H$7,$I$7,$J$7,$K$7,$L$7)</f>
        <v>45.400000000000105</v>
      </c>
      <c r="B237" s="35">
        <v>-0.8196245187954263</v>
      </c>
      <c r="C237" s="37">
        <v>-0.1960065470340544</v>
      </c>
    </row>
    <row r="238" spans="1:3" x14ac:dyDescent="0.25">
      <c r="A238" s="34">
        <f t="array" ref="A238:C238">ODE_RK4(A237:C237,$F$7,$H$7,$I$7,$J$7,$K$7,$L$7)</f>
        <v>45.600000000000108</v>
      </c>
      <c r="B238" s="35">
        <v>-0.79774051412903113</v>
      </c>
      <c r="C238" s="37">
        <v>0.40006215882133667</v>
      </c>
    </row>
    <row r="239" spans="1:3" x14ac:dyDescent="0.25">
      <c r="A239" s="34">
        <f t="array" ref="A239:C239">ODE_RK4(A238:C238,$F$7,$H$7,$I$7,$J$7,$K$7,$L$7)</f>
        <v>45.800000000000111</v>
      </c>
      <c r="B239" s="35">
        <v>-0.6682074670984014</v>
      </c>
      <c r="C239" s="37">
        <v>0.86849234837289835</v>
      </c>
    </row>
    <row r="240" spans="1:3" x14ac:dyDescent="0.25">
      <c r="A240" s="34">
        <f t="array" ref="A240:C240">ODE_RK4(A239:C239,$F$7,$H$7,$I$7,$J$7,$K$7,$L$7)</f>
        <v>46.000000000000114</v>
      </c>
      <c r="B240" s="35">
        <v>-0.46280386823460101</v>
      </c>
      <c r="C240" s="37">
        <v>1.1523024242328301</v>
      </c>
    </row>
    <row r="241" spans="1:3" x14ac:dyDescent="0.25">
      <c r="A241" s="34">
        <f t="array" ref="A241:C241">ODE_RK4(A240:C240,$F$7,$H$7,$I$7,$J$7,$K$7,$L$7)</f>
        <v>46.200000000000117</v>
      </c>
      <c r="B241" s="35">
        <v>-0.22118754257283357</v>
      </c>
      <c r="C241" s="37">
        <v>1.2302268531481091</v>
      </c>
    </row>
    <row r="242" spans="1:3" x14ac:dyDescent="0.25">
      <c r="A242" s="34">
        <f t="array" ref="A242:C242">ODE_RK4(A241:C241,$F$7,$H$7,$I$7,$J$7,$K$7,$L$7)</f>
        <v>46.400000000000119</v>
      </c>
      <c r="B242" s="35">
        <v>1.6364872314990481E-2</v>
      </c>
      <c r="C242" s="37">
        <v>1.116816582781563</v>
      </c>
    </row>
    <row r="243" spans="1:3" x14ac:dyDescent="0.25">
      <c r="A243" s="34">
        <f t="array" ref="A243:C243">ODE_RK4(A242:C242,$F$7,$H$7,$I$7,$J$7,$K$7,$L$7)</f>
        <v>46.600000000000122</v>
      </c>
      <c r="B243" s="35">
        <v>0.21561085631595817</v>
      </c>
      <c r="C243" s="37">
        <v>0.8564272246471758</v>
      </c>
    </row>
    <row r="244" spans="1:3" x14ac:dyDescent="0.25">
      <c r="A244" s="34">
        <f t="array" ref="A244:C244">ODE_RK4(A243:C243,$F$7,$H$7,$I$7,$J$7,$K$7,$L$7)</f>
        <v>46.800000000000125</v>
      </c>
      <c r="B244" s="35">
        <v>0.35329640387861894</v>
      </c>
      <c r="C244" s="37">
        <v>0.51255793019779849</v>
      </c>
    </row>
    <row r="245" spans="1:3" x14ac:dyDescent="0.25">
      <c r="A245" s="34">
        <f t="array" ref="A245:C245">ODE_RK4(A244:C244,$F$7,$H$7,$I$7,$J$7,$K$7,$L$7)</f>
        <v>47.000000000000128</v>
      </c>
      <c r="B245" s="35">
        <v>0.41969227023440092</v>
      </c>
      <c r="C245" s="37">
        <v>0.15473006413580276</v>
      </c>
    </row>
    <row r="246" spans="1:3" x14ac:dyDescent="0.25">
      <c r="A246" s="34">
        <f t="array" ref="A246:C246">ODE_RK4(A245:C245,$F$7,$H$7,$I$7,$J$7,$K$7,$L$7)</f>
        <v>47.200000000000131</v>
      </c>
      <c r="B246" s="35">
        <v>0.41846871525075058</v>
      </c>
      <c r="C246" s="37">
        <v>-0.15459462207810826</v>
      </c>
    </row>
    <row r="247" spans="1:3" x14ac:dyDescent="0.25">
      <c r="A247" s="34">
        <f t="array" ref="A247:C247">ODE_RK4(A246:C246,$F$7,$H$7,$I$7,$J$7,$K$7,$L$7)</f>
        <v>47.400000000000134</v>
      </c>
      <c r="B247" s="35">
        <v>0.3641583452040052</v>
      </c>
      <c r="C247" s="37">
        <v>-0.37069985794411114</v>
      </c>
    </row>
    <row r="248" spans="1:3" x14ac:dyDescent="0.25">
      <c r="A248" s="34">
        <f t="array" ref="A248:C248">ODE_RK4(A247:C247,$F$7,$H$7,$I$7,$J$7,$K$7,$L$7)</f>
        <v>47.600000000000136</v>
      </c>
      <c r="B248" s="35">
        <v>0.27787840489200666</v>
      </c>
      <c r="C248" s="37">
        <v>-0.47310382168085546</v>
      </c>
    </row>
    <row r="249" spans="1:3" x14ac:dyDescent="0.25">
      <c r="A249" s="34">
        <f t="array" ref="A249:C249">ODE_RK4(A248:C248,$F$7,$H$7,$I$7,$J$7,$K$7,$L$7)</f>
        <v>47.800000000000139</v>
      </c>
      <c r="B249" s="35">
        <v>0.18226217893962277</v>
      </c>
      <c r="C249" s="37">
        <v>-0.46690583685407644</v>
      </c>
    </row>
    <row r="250" spans="1:3" x14ac:dyDescent="0.25">
      <c r="A250" s="34">
        <f t="array" ref="A250:C250">ODE_RK4(A249:C249,$F$7,$H$7,$I$7,$J$7,$K$7,$L$7)</f>
        <v>48.000000000000142</v>
      </c>
      <c r="B250" s="35">
        <v>9.663960279132873E-2</v>
      </c>
      <c r="C250" s="37">
        <v>-0.37903928694798672</v>
      </c>
    </row>
    <row r="251" spans="1:3" x14ac:dyDescent="0.25">
      <c r="A251" s="34">
        <f t="array" ref="A251:C251">ODE_RK4(A250:C250,$F$7,$H$7,$I$7,$J$7,$K$7,$L$7)</f>
        <v>48.200000000000145</v>
      </c>
      <c r="B251" s="35">
        <v>3.3400247066127764E-2</v>
      </c>
      <c r="C251" s="37">
        <v>-0.25042931193284856</v>
      </c>
    </row>
    <row r="252" spans="1:3" x14ac:dyDescent="0.25">
      <c r="A252" s="34">
        <f t="array" ref="A252:C252">ODE_RK4(A251:C251,$F$7,$H$7,$I$7,$J$7,$K$7,$L$7)</f>
        <v>48.400000000000148</v>
      </c>
      <c r="B252" s="35">
        <v>-3.8062422314457459E-3</v>
      </c>
      <c r="C252" s="37">
        <v>-0.12578997730567085</v>
      </c>
    </row>
    <row r="253" spans="1:3" x14ac:dyDescent="0.25">
      <c r="A253" s="34">
        <f t="array" ref="A253:C253">ODE_RK4(A252:C252,$F$7,$H$7,$I$7,$J$7,$K$7,$L$7)</f>
        <v>48.600000000000151</v>
      </c>
      <c r="B253" s="35">
        <v>-1.9769844277693023E-2</v>
      </c>
      <c r="C253" s="37">
        <v>-4.3189185583233619E-2</v>
      </c>
    </row>
    <row r="254" spans="1:3" x14ac:dyDescent="0.25">
      <c r="A254" s="34">
        <f t="array" ref="A254:C254">ODE_RK4(A253:C253,$F$7,$H$7,$I$7,$J$7,$K$7,$L$7)</f>
        <v>48.800000000000153</v>
      </c>
      <c r="B254" s="35">
        <v>-2.5488695873188368E-2</v>
      </c>
      <c r="C254" s="37">
        <v>-2.5495612874094832E-2</v>
      </c>
    </row>
    <row r="255" spans="1:3" x14ac:dyDescent="0.25">
      <c r="A255" s="34">
        <f t="array" ref="A255:C255">ODE_RK4(A254:C254,$F$7,$H$7,$I$7,$J$7,$K$7,$L$7)</f>
        <v>49.000000000000156</v>
      </c>
      <c r="B255" s="35">
        <v>-3.4562827319790657E-2</v>
      </c>
      <c r="C255" s="37">
        <v>-7.5409619900404234E-2</v>
      </c>
    </row>
    <row r="256" spans="1:3" x14ac:dyDescent="0.25">
      <c r="A256" s="34">
        <f t="array" ref="A256:C256">ODE_RK4(A255:C255,$F$7,$H$7,$I$7,$J$7,$K$7,$L$7)</f>
        <v>49.200000000000159</v>
      </c>
      <c r="B256" s="35">
        <v>-5.9041086506898308E-2</v>
      </c>
      <c r="C256" s="37">
        <v>-0.17505044285499183</v>
      </c>
    </row>
    <row r="257" spans="1:3" x14ac:dyDescent="0.25">
      <c r="A257" s="34">
        <f t="array" ref="A257:C257">ODE_RK4(A256:C256,$F$7,$H$7,$I$7,$J$7,$K$7,$L$7)</f>
        <v>49.400000000000162</v>
      </c>
      <c r="B257" s="35">
        <v>-0.10565435772288151</v>
      </c>
      <c r="C257" s="37">
        <v>-0.29016286592078028</v>
      </c>
    </row>
    <row r="258" spans="1:3" x14ac:dyDescent="0.25">
      <c r="A258" s="34">
        <f t="array" ref="A258:C258">ODE_RK4(A257:C257,$F$7,$H$7,$I$7,$J$7,$K$7,$L$7)</f>
        <v>49.600000000000165</v>
      </c>
      <c r="B258" s="35">
        <v>-0.17328762007422122</v>
      </c>
      <c r="C258" s="37">
        <v>-0.37808778431133622</v>
      </c>
    </row>
    <row r="259" spans="1:3" x14ac:dyDescent="0.25">
      <c r="A259" s="34">
        <f t="array" ref="A259:C259">ODE_RK4(A258:C258,$F$7,$H$7,$I$7,$J$7,$K$7,$L$7)</f>
        <v>49.800000000000168</v>
      </c>
      <c r="B259" s="35">
        <v>-0.25229257419732332</v>
      </c>
      <c r="C259" s="37">
        <v>-0.39788384174798896</v>
      </c>
    </row>
    <row r="260" spans="1:3" x14ac:dyDescent="0.25">
      <c r="A260" s="34">
        <f t="array" ref="A260:C260">ODE_RK4(A259:C259,$F$7,$H$7,$I$7,$J$7,$K$7,$L$7)</f>
        <v>50.000000000000171</v>
      </c>
      <c r="B260" s="35">
        <v>-0.32586873363952257</v>
      </c>
      <c r="C260" s="37">
        <v>-0.32053375380848359</v>
      </c>
    </row>
    <row r="261" spans="1:3" x14ac:dyDescent="0.25">
      <c r="A261" s="34">
        <f t="array" ref="A261:C261">ODE_RK4(A260:C260,$F$7,$H$7,$I$7,$J$7,$K$7,$L$7)</f>
        <v>50.200000000000173</v>
      </c>
      <c r="B261" s="35">
        <v>-0.37331456223929332</v>
      </c>
      <c r="C261" s="37">
        <v>-0.1371063725784355</v>
      </c>
    </row>
    <row r="262" spans="1:3" x14ac:dyDescent="0.25">
      <c r="A262" s="34">
        <f t="array" ref="A262:C262">ODE_RK4(A261:C261,$F$7,$H$7,$I$7,$J$7,$K$7,$L$7)</f>
        <v>50.400000000000176</v>
      </c>
      <c r="B262" s="35">
        <v>-0.37455254141871913</v>
      </c>
      <c r="C262" s="37">
        <v>0.13690931846968762</v>
      </c>
    </row>
    <row r="263" spans="1:3" x14ac:dyDescent="0.25">
      <c r="A263" s="34">
        <f t="array" ref="A263:C263">ODE_RK4(A262:C262,$F$7,$H$7,$I$7,$J$7,$K$7,$L$7)</f>
        <v>50.600000000000179</v>
      </c>
      <c r="B263" s="35">
        <v>-0.31503992739347858</v>
      </c>
      <c r="C263" s="37">
        <v>0.46218685677164661</v>
      </c>
    </row>
    <row r="264" spans="1:3" x14ac:dyDescent="0.25">
      <c r="A264" s="34">
        <f t="array" ref="A264:C264">ODE_RK4(A263:C263,$F$7,$H$7,$I$7,$J$7,$K$7,$L$7)</f>
        <v>50.800000000000182</v>
      </c>
      <c r="B264" s="35">
        <v>-0.19004911062412999</v>
      </c>
      <c r="C264" s="37">
        <v>0.78122717391430629</v>
      </c>
    </row>
    <row r="265" spans="1:3" x14ac:dyDescent="0.25">
      <c r="A265" s="34">
        <f t="array" ref="A265:C265">ODE_RK4(A264:C264,$F$7,$H$7,$I$7,$J$7,$K$7,$L$7)</f>
        <v>51.000000000000185</v>
      </c>
      <c r="B265" s="35">
        <v>-7.3673603610902305E-3</v>
      </c>
      <c r="C265" s="37">
        <v>1.0282865096414651</v>
      </c>
    </row>
    <row r="266" spans="1:3" x14ac:dyDescent="0.25">
      <c r="A266" s="34">
        <f t="array" ref="A266:C266">ODE_RK4(A265:C265,$F$7,$H$7,$I$7,$J$7,$K$7,$L$7)</f>
        <v>51.200000000000188</v>
      </c>
      <c r="B266" s="35">
        <v>0.21228042098462688</v>
      </c>
      <c r="C266" s="37">
        <v>1.1418823735400685</v>
      </c>
    </row>
    <row r="267" spans="1:3" x14ac:dyDescent="0.25">
      <c r="A267" s="34">
        <f t="array" ref="A267:C267">ODE_RK4(A266:C266,$F$7,$H$7,$I$7,$J$7,$K$7,$L$7)</f>
        <v>51.40000000000019</v>
      </c>
      <c r="B267" s="35">
        <v>0.4373811671948275</v>
      </c>
      <c r="C267" s="37">
        <v>1.0776090382353711</v>
      </c>
    </row>
    <row r="268" spans="1:3" x14ac:dyDescent="0.25">
      <c r="A268" s="34">
        <f t="array" ref="A268:C268">ODE_RK4(A267:C267,$F$7,$H$7,$I$7,$J$7,$K$7,$L$7)</f>
        <v>51.600000000000193</v>
      </c>
      <c r="B268" s="35">
        <v>0.63017122582269225</v>
      </c>
      <c r="C268" s="37">
        <v>0.8188093460484247</v>
      </c>
    </row>
    <row r="269" spans="1:3" x14ac:dyDescent="0.25">
      <c r="A269" s="34">
        <f t="array" ref="A269:C269">ODE_RK4(A268:C268,$F$7,$H$7,$I$7,$J$7,$K$7,$L$7)</f>
        <v>51.800000000000196</v>
      </c>
      <c r="B269" s="35">
        <v>0.75290618071425985</v>
      </c>
      <c r="C269" s="37">
        <v>0.38291167240229612</v>
      </c>
    </row>
    <row r="270" spans="1:3" x14ac:dyDescent="0.25">
      <c r="A270" s="34">
        <f t="array" ref="A270:C270">ODE_RK4(A269:C269,$F$7,$H$7,$I$7,$J$7,$K$7,$L$7)</f>
        <v>52.000000000000199</v>
      </c>
      <c r="B270" s="35">
        <v>0.77483048632620399</v>
      </c>
      <c r="C270" s="37">
        <v>-0.17808109924286347</v>
      </c>
    </row>
    <row r="271" spans="1:3" x14ac:dyDescent="0.25">
      <c r="A271" s="34">
        <f t="array" ref="A271:C271">ODE_RK4(A270:C270,$F$7,$H$7,$I$7,$J$7,$K$7,$L$7)</f>
        <v>52.200000000000202</v>
      </c>
      <c r="B271" s="35">
        <v>0.67860679593489948</v>
      </c>
      <c r="C271" s="37">
        <v>-0.78347593789439851</v>
      </c>
    </row>
    <row r="272" spans="1:3" x14ac:dyDescent="0.25">
      <c r="A272" s="34">
        <f t="array" ref="A272:C272">ODE_RK4(A271:C271,$F$7,$H$7,$I$7,$J$7,$K$7,$L$7)</f>
        <v>52.400000000000205</v>
      </c>
      <c r="B272" s="35">
        <v>0.46497229610796631</v>
      </c>
      <c r="C272" s="37">
        <v>-1.3355399973867086</v>
      </c>
    </row>
    <row r="273" spans="1:3" x14ac:dyDescent="0.25">
      <c r="A273" s="34">
        <f t="array" ref="A273:C273">ODE_RK4(A272:C272,$F$7,$H$7,$I$7,$J$7,$K$7,$L$7)</f>
        <v>52.600000000000207</v>
      </c>
      <c r="B273" s="35">
        <v>0.15462150060491903</v>
      </c>
      <c r="C273" s="37">
        <v>-1.735228255931518</v>
      </c>
    </row>
    <row r="274" spans="1:3" x14ac:dyDescent="0.25">
      <c r="A274" s="34">
        <f t="array" ref="A274:C274">ODE_RK4(A273:C273,$F$7,$H$7,$I$7,$J$7,$K$7,$L$7)</f>
        <v>52.80000000000021</v>
      </c>
      <c r="B274" s="35">
        <v>-0.21325823468313454</v>
      </c>
      <c r="C274" s="37">
        <v>-1.899464262412905</v>
      </c>
    </row>
    <row r="275" spans="1:3" x14ac:dyDescent="0.25">
      <c r="A275" s="34">
        <f t="array" ref="A275:C275">ODE_RK4(A274:C274,$F$7,$H$7,$I$7,$J$7,$K$7,$L$7)</f>
        <v>53.000000000000213</v>
      </c>
      <c r="B275" s="35">
        <v>-0.58581658980289242</v>
      </c>
      <c r="C275" s="37">
        <v>-1.7770184551077937</v>
      </c>
    </row>
    <row r="276" spans="1:3" x14ac:dyDescent="0.25">
      <c r="A276" s="34">
        <f t="array" ref="A276:C276">ODE_RK4(A275:C275,$F$7,$H$7,$I$7,$J$7,$K$7,$L$7)</f>
        <v>53.200000000000216</v>
      </c>
      <c r="B276" s="35">
        <v>-0.90416070164826245</v>
      </c>
      <c r="C276" s="37">
        <v>-1.3600952230432892</v>
      </c>
    </row>
    <row r="277" spans="1:3" x14ac:dyDescent="0.25">
      <c r="A277" s="34">
        <f t="array" ref="A277:C277">ODE_RK4(A276:C276,$F$7,$H$7,$I$7,$J$7,$K$7,$L$7)</f>
        <v>53.400000000000219</v>
      </c>
      <c r="B277" s="35">
        <v>-1.1126631126198363</v>
      </c>
      <c r="C277" s="37">
        <v>-0.6893154860467503</v>
      </c>
    </row>
    <row r="278" spans="1:3" x14ac:dyDescent="0.25">
      <c r="A278" s="34">
        <f t="array" ref="A278:C278">ODE_RK4(A277:C277,$F$7,$H$7,$I$7,$J$7,$K$7,$L$7)</f>
        <v>53.600000000000222</v>
      </c>
      <c r="B278" s="35">
        <v>-1.1684863647662356</v>
      </c>
      <c r="C278" s="37">
        <v>0.14921070724764396</v>
      </c>
    </row>
    <row r="279" spans="1:3" x14ac:dyDescent="0.25">
      <c r="A279" s="34">
        <f t="array" ref="A279:C279">ODE_RK4(A278:C278,$F$7,$H$7,$I$7,$J$7,$K$7,$L$7)</f>
        <v>53.800000000000225</v>
      </c>
      <c r="B279" s="35">
        <v>-1.0497178935910929</v>
      </c>
      <c r="C279" s="37">
        <v>1.0347414806700113</v>
      </c>
    </row>
    <row r="280" spans="1:3" x14ac:dyDescent="0.25">
      <c r="A280" s="34">
        <f t="array" ref="A280:C280">ODE_RK4(A279:C279,$F$7,$H$7,$I$7,$J$7,$K$7,$L$7)</f>
        <v>54.000000000000227</v>
      </c>
      <c r="B280" s="35">
        <v>-0.76064120559715676</v>
      </c>
      <c r="C280" s="37">
        <v>1.8293548506668664</v>
      </c>
    </row>
    <row r="281" spans="1:3" x14ac:dyDescent="0.25">
      <c r="A281" s="34">
        <f t="array" ref="A281:C281">ODE_RK4(A280:C280,$F$7,$H$7,$I$7,$J$7,$K$7,$L$7)</f>
        <v>54.20000000000023</v>
      </c>
      <c r="B281" s="35">
        <v>-0.33306059711738539</v>
      </c>
      <c r="C281" s="37">
        <v>2.3994624606406063</v>
      </c>
    </row>
    <row r="282" spans="1:3" x14ac:dyDescent="0.25">
      <c r="A282" s="34">
        <f t="array" ref="A282:C282">ODE_RK4(A281:C281,$F$7,$H$7,$I$7,$J$7,$K$7,$L$7)</f>
        <v>54.400000000000233</v>
      </c>
      <c r="B282" s="35">
        <v>0.17680646853414167</v>
      </c>
      <c r="C282" s="37">
        <v>2.6380249844034864</v>
      </c>
    </row>
    <row r="283" spans="1:3" x14ac:dyDescent="0.25">
      <c r="A283" s="34">
        <f t="array" ref="A283:C283">ODE_RK4(A282:C282,$F$7,$H$7,$I$7,$J$7,$K$7,$L$7)</f>
        <v>54.600000000000236</v>
      </c>
      <c r="B283" s="35">
        <v>0.69564336841519658</v>
      </c>
      <c r="C283" s="37">
        <v>2.483806417768545</v>
      </c>
    </row>
    <row r="284" spans="1:3" x14ac:dyDescent="0.25">
      <c r="A284" s="34">
        <f t="array" ref="A284:C284">ODE_RK4(A283:C283,$F$7,$H$7,$I$7,$J$7,$K$7,$L$7)</f>
        <v>54.800000000000239</v>
      </c>
      <c r="B284" s="35">
        <v>1.1436159840855344</v>
      </c>
      <c r="C284" s="37">
        <v>1.9343017972027141</v>
      </c>
    </row>
    <row r="285" spans="1:3" x14ac:dyDescent="0.25">
      <c r="A285" s="34">
        <f t="array" ref="A285:C285">ODE_RK4(A284:C284,$F$7,$H$7,$I$7,$J$7,$K$7,$L$7)</f>
        <v>55.000000000000242</v>
      </c>
      <c r="B285" s="35">
        <v>1.4466888530096234</v>
      </c>
      <c r="C285" s="37">
        <v>1.0498465549582807</v>
      </c>
    </row>
    <row r="286" spans="1:3" x14ac:dyDescent="0.25">
      <c r="A286" s="34">
        <f t="array" ref="A286:C286">ODE_RK4(A285:C285,$F$7,$H$7,$I$7,$J$7,$K$7,$L$7)</f>
        <v>55.200000000000244</v>
      </c>
      <c r="B286" s="35">
        <v>1.5487712344914957</v>
      </c>
      <c r="C286" s="37">
        <v>-5.2254880062990727E-2</v>
      </c>
    </row>
    <row r="287" spans="1:3" x14ac:dyDescent="0.25">
      <c r="A287" s="34">
        <f t="array" ref="A287:C287">ODE_RK4(A286:C286,$F$7,$H$7,$I$7,$J$7,$K$7,$L$7)</f>
        <v>55.400000000000247</v>
      </c>
      <c r="B287" s="35">
        <v>1.4217122802896602</v>
      </c>
      <c r="C287" s="37">
        <v>-1.2131596856537306</v>
      </c>
    </row>
    <row r="288" spans="1:3" x14ac:dyDescent="0.25">
      <c r="A288" s="34">
        <f t="array" ref="A288:C288">ODE_RK4(A287:C287,$F$7,$H$7,$I$7,$J$7,$K$7,$L$7)</f>
        <v>55.60000000000025</v>
      </c>
      <c r="B288" s="35">
        <v>1.0714097217641023</v>
      </c>
      <c r="C288" s="37">
        <v>-2.2554676176126689</v>
      </c>
    </row>
    <row r="289" spans="1:3" x14ac:dyDescent="0.25">
      <c r="A289" s="34">
        <f t="array" ref="A289:C289">ODE_RK4(A288:C288,$F$7,$H$7,$I$7,$J$7,$K$7,$L$7)</f>
        <v>55.800000000000253</v>
      </c>
      <c r="B289" s="35">
        <v>0.53883750128762076</v>
      </c>
      <c r="C289" s="37">
        <v>-3.0104142712600681</v>
      </c>
    </row>
    <row r="290" spans="1:3" x14ac:dyDescent="0.25">
      <c r="A290" s="34">
        <f t="array" ref="A290:C290">ODE_RK4(A289:C289,$F$7,$H$7,$I$7,$J$7,$K$7,$L$7)</f>
        <v>56.000000000000256</v>
      </c>
      <c r="B290" s="35">
        <v>-0.10444078925657829</v>
      </c>
      <c r="C290" s="37">
        <v>-3.3450961841235451</v>
      </c>
    </row>
    <row r="291" spans="1:3" x14ac:dyDescent="0.25">
      <c r="A291" s="34">
        <f t="array" ref="A291:C291">ODE_RK4(A290:C290,$F$7,$H$7,$I$7,$J$7,$K$7,$L$7)</f>
        <v>56.200000000000259</v>
      </c>
      <c r="B291" s="35">
        <v>-0.76583851977351913</v>
      </c>
      <c r="C291" s="37">
        <v>-3.1853493425893005</v>
      </c>
    </row>
    <row r="292" spans="1:3" x14ac:dyDescent="0.25">
      <c r="A292" s="34">
        <f t="array" ref="A292:C292">ODE_RK4(A291:C291,$F$7,$H$7,$I$7,$J$7,$K$7,$L$7)</f>
        <v>56.400000000000261</v>
      </c>
      <c r="B292" s="35">
        <v>-1.3451218793005644</v>
      </c>
      <c r="C292" s="37">
        <v>-2.5304069924134422</v>
      </c>
    </row>
    <row r="293" spans="1:3" x14ac:dyDescent="0.25">
      <c r="A293" s="34">
        <f t="array" ref="A293:C293">ODE_RK4(A292:C292,$F$7,$H$7,$I$7,$J$7,$K$7,$L$7)</f>
        <v>56.600000000000264</v>
      </c>
      <c r="B293" s="35">
        <v>-1.749655009906153</v>
      </c>
      <c r="C293" s="37">
        <v>-1.4566148492920339</v>
      </c>
    </row>
    <row r="294" spans="1:3" x14ac:dyDescent="0.25">
      <c r="A294" s="34">
        <f t="array" ref="A294:C294">ODE_RK4(A293:C293,$F$7,$H$7,$I$7,$J$7,$K$7,$L$7)</f>
        <v>56.800000000000267</v>
      </c>
      <c r="B294" s="35">
        <v>-1.9091877918573872</v>
      </c>
      <c r="C294" s="37">
        <v>-0.10912010658542637</v>
      </c>
    </row>
    <row r="295" spans="1:3" x14ac:dyDescent="0.25">
      <c r="A295" s="34">
        <f t="array" ref="A295:C295">ODE_RK4(A294:C294,$F$7,$H$7,$I$7,$J$7,$K$7,$L$7)</f>
        <v>57.00000000000027</v>
      </c>
      <c r="B295" s="35">
        <v>-1.7878292105184455</v>
      </c>
      <c r="C295" s="37">
        <v>1.3176712505462196</v>
      </c>
    </row>
    <row r="296" spans="1:3" x14ac:dyDescent="0.25">
      <c r="A296" s="34">
        <f t="array" ref="A296:C296">ODE_RK4(A295:C295,$F$7,$H$7,$I$7,$J$7,$K$7,$L$7)</f>
        <v>57.200000000000273</v>
      </c>
      <c r="B296" s="35">
        <v>-1.3911940050689728</v>
      </c>
      <c r="C296" s="37">
        <v>2.608250050089211</v>
      </c>
    </row>
    <row r="297" spans="1:3" x14ac:dyDescent="0.25">
      <c r="A297" s="34">
        <f t="array" ref="A297:C297">ODE_RK4(A296:C296,$F$7,$H$7,$I$7,$J$7,$K$7,$L$7)</f>
        <v>57.400000000000276</v>
      </c>
      <c r="B297" s="35">
        <v>-0.76738962261523413</v>
      </c>
      <c r="C297" s="37">
        <v>3.5586783216687277</v>
      </c>
    </row>
    <row r="298" spans="1:3" x14ac:dyDescent="0.25">
      <c r="A298" s="34">
        <f t="array" ref="A298:C298">ODE_RK4(A297:C297,$F$7,$H$7,$I$7,$J$7,$K$7,$L$7)</f>
        <v>57.600000000000279</v>
      </c>
      <c r="B298" s="35">
        <v>-1.428570828257314E-3</v>
      </c>
      <c r="C298" s="37">
        <v>4.0088107770176835</v>
      </c>
    </row>
    <row r="299" spans="1:3" x14ac:dyDescent="0.25">
      <c r="A299" s="34">
        <f t="array" ref="A299:C299">ODE_RK4(A298:C298,$F$7,$H$7,$I$7,$J$7,$K$7,$L$7)</f>
        <v>57.800000000000281</v>
      </c>
      <c r="B299" s="35">
        <v>0.79632933468022982</v>
      </c>
      <c r="C299" s="37">
        <v>3.8689731806238208</v>
      </c>
    </row>
    <row r="300" spans="1:3" x14ac:dyDescent="0.25">
      <c r="A300" s="34">
        <f t="array" ref="A300:C300">ODE_RK4(A299:C299,$F$7,$H$7,$I$7,$J$7,$K$7,$L$7)</f>
        <v>58.000000000000284</v>
      </c>
      <c r="B300" s="35">
        <v>1.5061379606029277</v>
      </c>
      <c r="C300" s="37">
        <v>3.136692931483517</v>
      </c>
    </row>
    <row r="301" spans="1:3" x14ac:dyDescent="0.25">
      <c r="A301" s="34">
        <f t="array" ref="A301:C301">ODE_RK4(A300:C300,$F$7,$H$7,$I$7,$J$7,$K$7,$L$7)</f>
        <v>58.200000000000287</v>
      </c>
      <c r="B301" s="35">
        <v>2.0169115490114464</v>
      </c>
      <c r="C301" s="37">
        <v>1.9004847300634291</v>
      </c>
    </row>
    <row r="302" spans="1:3" x14ac:dyDescent="0.25">
      <c r="A302" s="34">
        <f t="array" ref="A302:C302">ODE_RK4(A301:C301,$F$7,$H$7,$I$7,$J$7,$K$7,$L$7)</f>
        <v>58.40000000000029</v>
      </c>
      <c r="B302" s="35">
        <v>2.2436267990029242</v>
      </c>
      <c r="C302" s="37">
        <v>0.32962411508816958</v>
      </c>
    </row>
    <row r="303" spans="1:3" x14ac:dyDescent="0.25">
      <c r="A303" s="34">
        <f t="array" ref="A303:C303">ODE_RK4(A302:C302,$F$7,$H$7,$I$7,$J$7,$K$7,$L$7)</f>
        <v>58.600000000000293</v>
      </c>
      <c r="B303" s="35">
        <v>2.1413518436541334</v>
      </c>
      <c r="C303" s="37">
        <v>-1.3489950165525324</v>
      </c>
    </row>
    <row r="304" spans="1:3" x14ac:dyDescent="0.25">
      <c r="A304" s="34">
        <f t="array" ref="A304:C304">ODE_RK4(A303:C303,$F$7,$H$7,$I$7,$J$7,$K$7,$L$7)</f>
        <v>58.800000000000296</v>
      </c>
      <c r="B304" s="35">
        <v>1.7136035854272089</v>
      </c>
      <c r="C304" s="37">
        <v>-2.8837608148660934</v>
      </c>
    </row>
    <row r="305" spans="1:3" x14ac:dyDescent="0.25">
      <c r="A305" s="34">
        <f t="array" ref="A305:C305">ODE_RK4(A304:C304,$F$7,$H$7,$I$7,$J$7,$K$7,$L$7)</f>
        <v>59.000000000000298</v>
      </c>
      <c r="B305" s="35">
        <v>1.013539253844199</v>
      </c>
      <c r="C305" s="37">
        <v>-4.0362117699664903</v>
      </c>
    </row>
    <row r="306" spans="1:3" x14ac:dyDescent="0.25">
      <c r="A306" s="34">
        <f t="array" ref="A306:C306">ODE_RK4(A305:C305,$F$7,$H$7,$I$7,$J$7,$K$7,$L$7)</f>
        <v>59.200000000000301</v>
      </c>
      <c r="B306" s="35">
        <v>0.13755249094644817</v>
      </c>
      <c r="C306" s="37">
        <v>-4.618151220181347</v>
      </c>
    </row>
    <row r="307" spans="1:3" x14ac:dyDescent="0.25">
      <c r="A307" s="34">
        <f t="array" ref="A307:C307">ODE_RK4(A306:C306,$F$7,$H$7,$I$7,$J$7,$K$7,$L$7)</f>
        <v>59.400000000000304</v>
      </c>
      <c r="B307" s="35">
        <v>-0.78799004317867383</v>
      </c>
      <c r="C307" s="37">
        <v>-4.522222525056212</v>
      </c>
    </row>
    <row r="308" spans="1:3" x14ac:dyDescent="0.25">
      <c r="A308" s="34">
        <f t="array" ref="A308:C308">ODE_RK4(A307:C307,$F$7,$H$7,$I$7,$J$7,$K$7,$L$7)</f>
        <v>59.600000000000307</v>
      </c>
      <c r="B308" s="35">
        <v>-1.6250480200671751</v>
      </c>
      <c r="C308" s="37">
        <v>-3.740998611672385</v>
      </c>
    </row>
    <row r="309" spans="1:3" x14ac:dyDescent="0.25">
      <c r="A309" s="34">
        <f t="array" ref="A309:C309">ODE_RK4(A308:C308,$F$7,$H$7,$I$7,$J$7,$K$7,$L$7)</f>
        <v>59.80000000000031</v>
      </c>
      <c r="B309" s="35">
        <v>-2.2445821669291046</v>
      </c>
      <c r="C309" s="37">
        <v>-2.3712762139172647</v>
      </c>
    </row>
    <row r="310" spans="1:3" x14ac:dyDescent="0.25">
      <c r="A310" s="34">
        <f t="array" ref="A310:C310">ODE_RK4(A309:C309,$F$7,$H$7,$I$7,$J$7,$K$7,$L$7)</f>
        <v>60.000000000000313</v>
      </c>
      <c r="B310" s="35">
        <v>-2.5464951582723643</v>
      </c>
      <c r="C310" s="37">
        <v>-0.60246515336906103</v>
      </c>
    </row>
    <row r="311" spans="1:3" x14ac:dyDescent="0.25">
      <c r="A311" s="34">
        <f t="array" ref="A311:C311">ODE_RK4(A310:C310,$F$7,$H$7,$I$7,$J$7,$K$7,$L$7)</f>
        <v>60.200000000000315</v>
      </c>
      <c r="B311" s="35">
        <v>-2.4757502766464778</v>
      </c>
      <c r="C311" s="37">
        <v>1.3096020799225454</v>
      </c>
    </row>
    <row r="312" spans="1:3" x14ac:dyDescent="0.25">
      <c r="A312" s="34">
        <f t="array" ref="A312:C312">ODE_RK4(A311:C311,$F$7,$H$7,$I$7,$J$7,$K$7,$L$7)</f>
        <v>60.400000000000318</v>
      </c>
      <c r="B312" s="35">
        <v>-2.0320795461211447</v>
      </c>
      <c r="C312" s="37">
        <v>3.0798192708505869</v>
      </c>
    </row>
    <row r="313" spans="1:3" x14ac:dyDescent="0.25">
      <c r="A313" s="34">
        <f t="array" ref="A313:C313">ODE_RK4(A312:C312,$F$7,$H$7,$I$7,$J$7,$K$7,$L$7)</f>
        <v>60.600000000000321</v>
      </c>
      <c r="B313" s="35">
        <v>-1.2716077781180286</v>
      </c>
      <c r="C313" s="37">
        <v>4.4364974881012804</v>
      </c>
    </row>
    <row r="314" spans="1:3" x14ac:dyDescent="0.25">
      <c r="A314" s="34">
        <f t="array" ref="A314:C314">ODE_RK4(A313:C313,$F$7,$H$7,$I$7,$J$7,$K$7,$L$7)</f>
        <v>60.800000000000324</v>
      </c>
      <c r="B314" s="35">
        <v>-0.29991739124472794</v>
      </c>
      <c r="C314" s="37">
        <v>5.163179486852898</v>
      </c>
    </row>
    <row r="315" spans="1:3" x14ac:dyDescent="0.25">
      <c r="A315" s="34">
        <f t="array" ref="A315:C315">ODE_RK4(A314:C314,$F$7,$H$7,$I$7,$J$7,$K$7,$L$7)</f>
        <v>61.000000000000327</v>
      </c>
      <c r="B315" s="35">
        <v>0.74261745093798792</v>
      </c>
      <c r="C315" s="37">
        <v>5.1331255071716235</v>
      </c>
    </row>
    <row r="316" spans="1:3" x14ac:dyDescent="0.25">
      <c r="A316" s="34">
        <f t="array" ref="A316:C316">ODE_RK4(A315:C315,$F$7,$H$7,$I$7,$J$7,$K$7,$L$7)</f>
        <v>61.20000000000033</v>
      </c>
      <c r="B316" s="35">
        <v>1.7011891237690024</v>
      </c>
      <c r="C316" s="37">
        <v>4.3309830384124286</v>
      </c>
    </row>
    <row r="317" spans="1:3" x14ac:dyDescent="0.25">
      <c r="A317" s="34">
        <f t="array" ref="A317:C317">ODE_RK4(A316:C316,$F$7,$H$7,$I$7,$J$7,$K$7,$L$7)</f>
        <v>61.400000000000333</v>
      </c>
      <c r="B317" s="35">
        <v>2.4296427223535719</v>
      </c>
      <c r="C317" s="37">
        <v>2.8579899211816855</v>
      </c>
    </row>
    <row r="318" spans="1:3" x14ac:dyDescent="0.25">
      <c r="A318" s="34">
        <f t="array" ref="A318:C318">ODE_RK4(A317:C317,$F$7,$H$7,$I$7,$J$7,$K$7,$L$7)</f>
        <v>61.600000000000335</v>
      </c>
      <c r="B318" s="35">
        <v>2.81283284343625</v>
      </c>
      <c r="C318" s="37">
        <v>0.91950501619532665</v>
      </c>
    </row>
    <row r="319" spans="1:3" x14ac:dyDescent="0.25">
      <c r="A319" s="34">
        <f t="array" ref="A319:C319">ODE_RK4(A318:C318,$F$7,$H$7,$I$7,$J$7,$K$7,$L$7)</f>
        <v>61.800000000000338</v>
      </c>
      <c r="B319" s="35">
        <v>2.7848207749140181</v>
      </c>
      <c r="C319" s="37">
        <v>-1.2036509707019916</v>
      </c>
    </row>
    <row r="320" spans="1:3" x14ac:dyDescent="0.25">
      <c r="A320" s="34">
        <f t="array" ref="A320:C320">ODE_RK4(A319:C319,$F$7,$H$7,$I$7,$J$7,$K$7,$L$7)</f>
        <v>62.000000000000341</v>
      </c>
      <c r="B320" s="35">
        <v>2.3400367744595276</v>
      </c>
      <c r="C320" s="37">
        <v>-3.1960404002680423</v>
      </c>
    </row>
    <row r="321" spans="1:3" x14ac:dyDescent="0.25">
      <c r="A321" s="34">
        <f t="array" ref="A321:C321">ODE_RK4(A320:C320,$F$7,$H$7,$I$7,$J$7,$K$7,$L$7)</f>
        <v>62.200000000000344</v>
      </c>
      <c r="B321" s="35">
        <v>1.5355412499811609</v>
      </c>
      <c r="C321" s="37">
        <v>-4.754673866763186</v>
      </c>
    </row>
    <row r="322" spans="1:3" x14ac:dyDescent="0.25">
      <c r="A322" s="34">
        <f t="array" ref="A322:C322">ODE_RK4(A321:C321,$F$7,$H$7,$I$7,$J$7,$K$7,$L$7)</f>
        <v>62.400000000000347</v>
      </c>
      <c r="B322" s="35">
        <v>0.48383677059193575</v>
      </c>
      <c r="C322" s="37">
        <v>-5.6352437374345747</v>
      </c>
    </row>
    <row r="323" spans="1:3" x14ac:dyDescent="0.25">
      <c r="A323" s="34">
        <f t="array" ref="A323:C323">ODE_RK4(A322:C322,$F$7,$H$7,$I$7,$J$7,$K$7,$L$7)</f>
        <v>62.60000000000035</v>
      </c>
      <c r="B323" s="35">
        <v>-0.66288609883662586</v>
      </c>
      <c r="C323" s="37">
        <v>-5.6904486960807654</v>
      </c>
    </row>
    <row r="324" spans="1:3" x14ac:dyDescent="0.25">
      <c r="A324" s="34">
        <f t="array" ref="A324:C324">ODE_RK4(A323:C323,$F$7,$H$7,$I$7,$J$7,$K$7,$L$7)</f>
        <v>62.800000000000352</v>
      </c>
      <c r="B324" s="35">
        <v>-1.734859654508645</v>
      </c>
      <c r="C324" s="37">
        <v>-4.8943930553886847</v>
      </c>
    </row>
    <row r="325" spans="1:3" x14ac:dyDescent="0.25">
      <c r="A325" s="34">
        <f t="array" ref="A325:C325">ODE_RK4(A324:C324,$F$7,$H$7,$I$7,$J$7,$K$7,$L$7)</f>
        <v>63.000000000000355</v>
      </c>
      <c r="B325" s="35">
        <v>-2.5699810263083824</v>
      </c>
      <c r="C325" s="37">
        <v>-3.3490507656390651</v>
      </c>
    </row>
    <row r="326" spans="1:3" x14ac:dyDescent="0.25">
      <c r="A326" s="34">
        <f t="array" ref="A326:C326">ODE_RK4(A325:C325,$F$7,$H$7,$I$7,$J$7,$K$7,$L$7)</f>
        <v>63.200000000000358</v>
      </c>
      <c r="B326" s="35">
        <v>-3.038416141166389</v>
      </c>
      <c r="C326" s="37">
        <v>-1.2714451228430295</v>
      </c>
    </row>
    <row r="327" spans="1:3" x14ac:dyDescent="0.25">
      <c r="A327" s="34">
        <f t="array" ref="A327:C327">ODE_RK4(A326:C326,$F$7,$H$7,$I$7,$J$7,$K$7,$L$7)</f>
        <v>63.400000000000361</v>
      </c>
      <c r="B327" s="35">
        <v>-3.0628181597215995</v>
      </c>
      <c r="C327" s="37">
        <v>1.0368853566142371</v>
      </c>
    </row>
    <row r="328" spans="1:3" x14ac:dyDescent="0.25">
      <c r="A328" s="34">
        <f t="array" ref="A328:C328">ODE_RK4(A327:C327,$F$7,$H$7,$I$7,$J$7,$K$7,$L$7)</f>
        <v>63.600000000000364</v>
      </c>
      <c r="B328" s="35">
        <v>-2.6310071632141581</v>
      </c>
      <c r="C328" s="37">
        <v>3.2338301704782144</v>
      </c>
    </row>
    <row r="329" spans="1:3" x14ac:dyDescent="0.25">
      <c r="A329" s="34">
        <f t="array" ref="A329:C329">ODE_RK4(A328:C328,$F$7,$H$7,$I$7,$J$7,$K$7,$L$7)</f>
        <v>63.800000000000367</v>
      </c>
      <c r="B329" s="35">
        <v>-1.7990445912029369</v>
      </c>
      <c r="C329" s="37">
        <v>4.9876284312414896</v>
      </c>
    </row>
    <row r="330" spans="1:3" x14ac:dyDescent="0.25">
      <c r="A330" s="34">
        <f t="array" ref="A330:C330">ODE_RK4(A329:C329,$F$7,$H$7,$I$7,$J$7,$K$7,$L$7)</f>
        <v>64.000000000000369</v>
      </c>
      <c r="B330" s="35">
        <v>-0.68405783249736807</v>
      </c>
      <c r="C330" s="37">
        <v>6.0271571899416587</v>
      </c>
    </row>
    <row r="331" spans="1:3" x14ac:dyDescent="0.25">
      <c r="A331" s="34">
        <f t="array" ref="A331:C331">ODE_RK4(A330:C330,$F$7,$H$7,$I$7,$J$7,$K$7,$L$7)</f>
        <v>64.200000000000372</v>
      </c>
      <c r="B331" s="35">
        <v>0.55228394782596379</v>
      </c>
      <c r="C331" s="37">
        <v>6.1839364347152861</v>
      </c>
    </row>
    <row r="332" spans="1:3" x14ac:dyDescent="0.25">
      <c r="A332" s="34">
        <f t="array" ref="A332:C332">ODE_RK4(A331:C331,$F$7,$H$7,$I$7,$J$7,$K$7,$L$7)</f>
        <v>64.400000000000375</v>
      </c>
      <c r="B332" s="35">
        <v>1.727306187274416</v>
      </c>
      <c r="C332" s="37">
        <v>5.4193300035962224</v>
      </c>
    </row>
    <row r="333" spans="1:3" x14ac:dyDescent="0.25">
      <c r="A333" s="34">
        <f t="array" ref="A333:C333">ODE_RK4(A332:C332,$F$7,$H$7,$I$7,$J$7,$K$7,$L$7)</f>
        <v>64.600000000000378</v>
      </c>
      <c r="B333" s="35">
        <v>2.6644367013467884</v>
      </c>
      <c r="C333" s="37">
        <v>3.8325650306619878</v>
      </c>
    </row>
    <row r="334" spans="1:3" x14ac:dyDescent="0.25">
      <c r="A334" s="34">
        <f t="array" ref="A334:C334">ODE_RK4(A333:C333,$F$7,$H$7,$I$7,$J$7,$K$7,$L$7)</f>
        <v>64.800000000000381</v>
      </c>
      <c r="B334" s="35">
        <v>3.2198449559295428</v>
      </c>
      <c r="C334" s="37">
        <v>1.6480384488077324</v>
      </c>
    </row>
    <row r="335" spans="1:3" x14ac:dyDescent="0.25">
      <c r="A335" s="34">
        <f t="array" ref="A335:C335">ODE_RK4(A334:C334,$F$7,$H$7,$I$7,$J$7,$K$7,$L$7)</f>
        <v>65.000000000000384</v>
      </c>
      <c r="B335" s="35">
        <v>3.304578459424298</v>
      </c>
      <c r="C335" s="37">
        <v>-0.81649655377368946</v>
      </c>
    </row>
    <row r="336" spans="1:3" x14ac:dyDescent="0.25">
      <c r="A336" s="34">
        <f t="array" ref="A336:C336">ODE_RK4(A335:C335,$F$7,$H$7,$I$7,$J$7,$K$7,$L$7)</f>
        <v>65.200000000000387</v>
      </c>
      <c r="B336" s="35">
        <v>2.8987806247439565</v>
      </c>
      <c r="C336" s="37">
        <v>-3.1963414719205439</v>
      </c>
    </row>
    <row r="337" spans="1:3" x14ac:dyDescent="0.25">
      <c r="A337" s="34">
        <f t="array" ref="A337:C337">ODE_RK4(A336:C336,$F$7,$H$7,$I$7,$J$7,$K$7,$L$7)</f>
        <v>65.400000000000389</v>
      </c>
      <c r="B337" s="35">
        <v>2.0557214521047285</v>
      </c>
      <c r="C337" s="37">
        <v>-5.1340532575499624</v>
      </c>
    </row>
    <row r="338" spans="1:3" x14ac:dyDescent="0.25">
      <c r="A338" s="34">
        <f t="array" ref="A338:C338">ODE_RK4(A337:C337,$F$7,$H$7,$I$7,$J$7,$K$7,$L$7)</f>
        <v>65.600000000000392</v>
      </c>
      <c r="B338" s="35">
        <v>0.89488084668962187</v>
      </c>
      <c r="C338" s="37">
        <v>-6.3333453013771823</v>
      </c>
    </row>
    <row r="339" spans="1:3" x14ac:dyDescent="0.25">
      <c r="A339" s="34">
        <f t="array" ref="A339:C339">ODE_RK4(A338:C338,$F$7,$H$7,$I$7,$J$7,$K$7,$L$7)</f>
        <v>65.800000000000395</v>
      </c>
      <c r="B339" s="35">
        <v>-0.41503001919312132</v>
      </c>
      <c r="C339" s="37">
        <v>-6.6045293839779839</v>
      </c>
    </row>
    <row r="340" spans="1:3" x14ac:dyDescent="0.25">
      <c r="A340" s="34">
        <f t="array" ref="A340:C340">ODE_RK4(A339:C339,$F$7,$H$7,$I$7,$J$7,$K$7,$L$7)</f>
        <v>66.000000000000398</v>
      </c>
      <c r="B340" s="35">
        <v>-1.680689507402725</v>
      </c>
      <c r="C340" s="37">
        <v>-5.894509365163394</v>
      </c>
    </row>
    <row r="341" spans="1:3" x14ac:dyDescent="0.25">
      <c r="A341" s="34">
        <f t="array" ref="A341:C341">ODE_RK4(A340:C340,$F$7,$H$7,$I$7,$J$7,$K$7,$L$7)</f>
        <v>66.200000000000401</v>
      </c>
      <c r="B341" s="35">
        <v>-2.7128202566950015</v>
      </c>
      <c r="C341" s="37">
        <v>-4.2965851801182424</v>
      </c>
    </row>
    <row r="342" spans="1:3" x14ac:dyDescent="0.25">
      <c r="A342" s="34">
        <f t="array" ref="A342:C342">ODE_RK4(A341:C341,$F$7,$H$7,$I$7,$J$7,$K$7,$L$7)</f>
        <v>66.400000000000404</v>
      </c>
      <c r="B342" s="35">
        <v>-3.3546122804150231</v>
      </c>
      <c r="C342" s="37">
        <v>-2.0383228745769157</v>
      </c>
    </row>
    <row r="343" spans="1:3" x14ac:dyDescent="0.25">
      <c r="A343" s="34">
        <f t="array" ref="A343:C343">ODE_RK4(A342:C342,$F$7,$H$7,$I$7,$J$7,$K$7,$L$7)</f>
        <v>66.600000000000406</v>
      </c>
      <c r="B343" s="35">
        <v>-3.5056291445080072</v>
      </c>
      <c r="C343" s="37">
        <v>0.55095389952156104</v>
      </c>
    </row>
    <row r="344" spans="1:3" x14ac:dyDescent="0.25">
      <c r="A344" s="34">
        <f t="array" ref="A344:C344">ODE_RK4(A343:C343,$F$7,$H$7,$I$7,$J$7,$K$7,$L$7)</f>
        <v>66.800000000000409</v>
      </c>
      <c r="B344" s="35">
        <v>-3.137540826442943</v>
      </c>
      <c r="C344" s="37">
        <v>3.0883916431472889</v>
      </c>
    </row>
    <row r="345" spans="1:3" x14ac:dyDescent="0.25">
      <c r="A345" s="34">
        <f t="array" ref="A345:C345">ODE_RK4(A344:C344,$F$7,$H$7,$I$7,$J$7,$K$7,$L$7)</f>
        <v>67.000000000000412</v>
      </c>
      <c r="B345" s="35">
        <v>-2.2992166635073517</v>
      </c>
      <c r="C345" s="37">
        <v>5.1944610157107229</v>
      </c>
    </row>
    <row r="346" spans="1:3" x14ac:dyDescent="0.25">
      <c r="A346" s="34">
        <f t="array" ref="A346:C346">ODE_RK4(A345:C345,$F$7,$H$7,$I$7,$J$7,$K$7,$L$7)</f>
        <v>67.200000000000415</v>
      </c>
      <c r="B346" s="35">
        <v>-1.1102886134169536</v>
      </c>
      <c r="C346" s="37">
        <v>6.5499580653310936</v>
      </c>
    </row>
    <row r="347" spans="1:3" x14ac:dyDescent="0.25">
      <c r="A347" s="34">
        <f t="array" ref="A347:C347">ODE_RK4(A346:C346,$F$7,$H$7,$I$7,$J$7,$K$7,$L$7)</f>
        <v>67.400000000000418</v>
      </c>
      <c r="B347" s="35">
        <v>0.25597581693584281</v>
      </c>
      <c r="C347" s="37">
        <v>6.9445575009403555</v>
      </c>
    </row>
    <row r="348" spans="1:3" x14ac:dyDescent="0.25">
      <c r="A348" s="34">
        <f t="array" ref="A348:C348">ODE_RK4(A347:C347,$F$7,$H$7,$I$7,$J$7,$K$7,$L$7)</f>
        <v>67.600000000000421</v>
      </c>
      <c r="B348" s="35">
        <v>1.5980305392196088</v>
      </c>
      <c r="C348" s="37">
        <v>6.3095076991137411</v>
      </c>
    </row>
    <row r="349" spans="1:3" x14ac:dyDescent="0.25">
      <c r="A349" s="34">
        <f t="array" ref="A349:C349">ODE_RK4(A348:C348,$F$7,$H$7,$I$7,$J$7,$K$7,$L$7)</f>
        <v>67.800000000000423</v>
      </c>
      <c r="B349" s="35">
        <v>2.7159109820307776</v>
      </c>
      <c r="C349" s="37">
        <v>4.7293765802527563</v>
      </c>
    </row>
    <row r="350" spans="1:3" x14ac:dyDescent="0.25">
      <c r="A350" s="34">
        <f t="array" ref="A350:C350">ODE_RK4(A349:C349,$F$7,$H$7,$I$7,$J$7,$K$7,$L$7)</f>
        <v>68.000000000000426</v>
      </c>
      <c r="B350" s="35">
        <v>3.4411543241475817</v>
      </c>
      <c r="C350" s="37">
        <v>2.4308708025229988</v>
      </c>
    </row>
    <row r="351" spans="1:3" x14ac:dyDescent="0.25">
      <c r="A351" s="34">
        <f t="array" ref="A351:C351">ODE_RK4(A350:C350,$F$7,$H$7,$I$7,$J$7,$K$7,$L$7)</f>
        <v>68.200000000000429</v>
      </c>
      <c r="B351" s="35">
        <v>3.6622845376738078</v>
      </c>
      <c r="C351" s="37">
        <v>-0.24980674909414979</v>
      </c>
    </row>
    <row r="352" spans="1:3" x14ac:dyDescent="0.25">
      <c r="A352" s="34">
        <f t="array" ref="A352:C352">ODE_RK4(A351:C351,$F$7,$H$7,$I$7,$J$7,$K$7,$L$7)</f>
        <v>68.400000000000432</v>
      </c>
      <c r="B352" s="35">
        <v>3.3419926706989487</v>
      </c>
      <c r="C352" s="37">
        <v>-2.9163434370385994</v>
      </c>
    </row>
    <row r="353" spans="1:3" x14ac:dyDescent="0.25">
      <c r="A353" s="34">
        <f t="array" ref="A353:C353">ODE_RK4(A352:C352,$F$7,$H$7,$I$7,$J$7,$K$7,$L$7)</f>
        <v>68.600000000000435</v>
      </c>
      <c r="B353" s="35">
        <v>2.5233581463444308</v>
      </c>
      <c r="C353" s="37">
        <v>-5.1711613302705075</v>
      </c>
    </row>
    <row r="354" spans="1:3" x14ac:dyDescent="0.25">
      <c r="A354" s="34">
        <f t="array" ref="A354:C354">ODE_RK4(A353:C353,$F$7,$H$7,$I$7,$J$7,$K$7,$L$7)</f>
        <v>68.800000000000438</v>
      </c>
      <c r="B354" s="35">
        <v>1.3240831748682151</v>
      </c>
      <c r="C354" s="37">
        <v>-6.6749449948895156</v>
      </c>
    </row>
    <row r="355" spans="1:3" x14ac:dyDescent="0.25">
      <c r="A355" s="34">
        <f t="array" ref="A355:C355">ODE_RK4(A354:C354,$F$7,$H$7,$I$7,$J$7,$K$7,$L$7)</f>
        <v>69.000000000000441</v>
      </c>
      <c r="B355" s="35">
        <v>-8.0492715407426196E-2</v>
      </c>
      <c r="C355" s="37">
        <v>-7.1979032356756045</v>
      </c>
    </row>
    <row r="356" spans="1:3" x14ac:dyDescent="0.25">
      <c r="A356" s="34">
        <f t="array" ref="A356:C356">ODE_RK4(A355:C355,$F$7,$H$7,$I$7,$J$7,$K$7,$L$7)</f>
        <v>69.200000000000443</v>
      </c>
      <c r="B356" s="35">
        <v>-1.4831373938562813</v>
      </c>
      <c r="C356" s="37">
        <v>-6.6549914525267138</v>
      </c>
    </row>
    <row r="357" spans="1:3" x14ac:dyDescent="0.25">
      <c r="A357" s="34">
        <f t="array" ref="A357:C357">ODE_RK4(A356:C356,$F$7,$H$7,$I$7,$J$7,$K$7,$L$7)</f>
        <v>69.400000000000446</v>
      </c>
      <c r="B357" s="35">
        <v>-2.6754337269498834</v>
      </c>
      <c r="C357" s="37">
        <v>-5.1196802643935033</v>
      </c>
    </row>
    <row r="358" spans="1:3" x14ac:dyDescent="0.25">
      <c r="A358" s="34">
        <f t="array" ref="A358:C358">ODE_RK4(A357:C357,$F$7,$H$7,$I$7,$J$7,$K$7,$L$7)</f>
        <v>69.600000000000449</v>
      </c>
      <c r="B358" s="35">
        <v>-3.4788802164921462</v>
      </c>
      <c r="C358" s="37">
        <v>-2.8140495340966671</v>
      </c>
    </row>
    <row r="359" spans="1:3" x14ac:dyDescent="0.25">
      <c r="A359" s="34">
        <f t="array" ref="A359:C359">ODE_RK4(A358:C358,$F$7,$H$7,$I$7,$J$7,$K$7,$L$7)</f>
        <v>69.800000000000452</v>
      </c>
      <c r="B359" s="35">
        <v>-3.7717243143516219</v>
      </c>
      <c r="C359" s="37">
        <v>-7.6537518421733619E-2</v>
      </c>
    </row>
    <row r="360" spans="1:3" x14ac:dyDescent="0.25">
      <c r="A360" s="34">
        <f t="array" ref="A360:C360">ODE_RK4(A359:C359,$F$7,$H$7,$I$7,$J$7,$K$7,$L$7)</f>
        <v>70.000000000000455</v>
      </c>
      <c r="B360" s="35">
        <v>-3.5074787224149797</v>
      </c>
      <c r="C360" s="37">
        <v>2.6879520845969287</v>
      </c>
    </row>
    <row r="361" spans="1:3" x14ac:dyDescent="0.25">
      <c r="A361" s="34">
        <f t="array" ref="A361:C361">ODE_RK4(A360:C360,$F$7,$H$7,$I$7,$J$7,$K$7,$L$7)</f>
        <v>70.200000000000458</v>
      </c>
      <c r="B361" s="35">
        <v>-2.7222951566859872</v>
      </c>
      <c r="C361" s="37">
        <v>5.0681980179674184</v>
      </c>
    </row>
    <row r="362" spans="1:3" x14ac:dyDescent="0.25">
      <c r="A362" s="34">
        <f t="array" ref="A362:C362">ODE_RK4(A361:C361,$F$7,$H$7,$I$7,$J$7,$K$7,$L$7)</f>
        <v>70.40000000000046</v>
      </c>
      <c r="B362" s="35">
        <v>-1.5300267581609761</v>
      </c>
      <c r="C362" s="37">
        <v>6.7080911769576055</v>
      </c>
    </row>
    <row r="363" spans="1:3" x14ac:dyDescent="0.25">
      <c r="A363" s="34">
        <f t="array" ref="A363:C363">ODE_RK4(A362:C362,$F$7,$H$7,$I$7,$J$7,$K$7,$L$7)</f>
        <v>70.600000000000463</v>
      </c>
      <c r="B363" s="35">
        <v>-0.10565219613686994</v>
      </c>
      <c r="C363" s="37">
        <v>7.3601313824461956</v>
      </c>
    </row>
    <row r="364" spans="1:3" x14ac:dyDescent="0.25">
      <c r="A364" s="34">
        <f t="array" ref="A364:C364">ODE_RK4(A363:C363,$F$7,$H$7,$I$7,$J$7,$K$7,$L$7)</f>
        <v>70.800000000000466</v>
      </c>
      <c r="B364" s="35">
        <v>1.3405151592425824</v>
      </c>
      <c r="C364" s="37">
        <v>6.9229226256934107</v>
      </c>
    </row>
    <row r="365" spans="1:3" x14ac:dyDescent="0.25">
      <c r="A365" s="34">
        <f t="array" ref="A365:C365">ODE_RK4(A364:C364,$F$7,$H$7,$I$7,$J$7,$K$7,$L$7)</f>
        <v>71.000000000000469</v>
      </c>
      <c r="B365" s="35">
        <v>2.5940150959922565</v>
      </c>
      <c r="C365" s="37">
        <v>5.4569659567839608</v>
      </c>
    </row>
    <row r="366" spans="1:3" x14ac:dyDescent="0.25">
      <c r="A366" s="34">
        <f t="array" ref="A366:C366">ODE_RK4(A365:C365,$F$7,$H$7,$I$7,$J$7,$K$7,$L$7)</f>
        <v>71.200000000000472</v>
      </c>
      <c r="B366" s="35">
        <v>3.4681806475401178</v>
      </c>
      <c r="C366" s="37">
        <v>3.1762866615804617</v>
      </c>
    </row>
    <row r="367" spans="1:3" x14ac:dyDescent="0.25">
      <c r="A367" s="34">
        <f t="array" ref="A367:C367">ODE_RK4(A366:C366,$F$7,$H$7,$I$7,$J$7,$K$7,$L$7)</f>
        <v>71.400000000000475</v>
      </c>
      <c r="B367" s="35">
        <v>3.832053378880008</v>
      </c>
      <c r="C367" s="37">
        <v>0.41705457201238216</v>
      </c>
    </row>
    <row r="368" spans="1:3" x14ac:dyDescent="0.25">
      <c r="A368" s="34">
        <f t="array" ref="A368:C368">ODE_RK4(A367:C367,$F$7,$H$7,$I$7,$J$7,$K$7,$L$7)</f>
        <v>71.600000000000477</v>
      </c>
      <c r="B368" s="35">
        <v>3.6300820283826045</v>
      </c>
      <c r="C368" s="37">
        <v>-2.4121818565843118</v>
      </c>
    </row>
    <row r="369" spans="1:3" x14ac:dyDescent="0.25">
      <c r="A369" s="34">
        <f t="array" ref="A369:C369">ODE_RK4(A368:C368,$F$7,$H$7,$I$7,$J$7,$K$7,$L$7)</f>
        <v>71.80000000000048</v>
      </c>
      <c r="B369" s="35">
        <v>2.8906298231546099</v>
      </c>
      <c r="C369" s="37">
        <v>-4.8912486198871488</v>
      </c>
    </row>
    <row r="370" spans="1:3" x14ac:dyDescent="0.25">
      <c r="A370" s="34">
        <f t="array" ref="A370:C370">ODE_RK4(A369:C369,$F$7,$H$7,$I$7,$J$7,$K$7,$L$7)</f>
        <v>72.000000000000483</v>
      </c>
      <c r="B370" s="35">
        <v>1.7219838406135648</v>
      </c>
      <c r="C370" s="37">
        <v>-6.6510136364264572</v>
      </c>
    </row>
    <row r="371" spans="1:3" x14ac:dyDescent="0.25">
      <c r="A371" s="34">
        <f t="array" ref="A371:C371">ODE_RK4(A370:C370,$F$7,$H$7,$I$7,$J$7,$K$7,$L$7)</f>
        <v>72.200000000000486</v>
      </c>
      <c r="B371" s="35">
        <v>0.29642906672948777</v>
      </c>
      <c r="C371" s="37">
        <v>-7.4285827502513921</v>
      </c>
    </row>
    <row r="372" spans="1:3" x14ac:dyDescent="0.25">
      <c r="A372" s="34">
        <f t="array" ref="A372:C372">ODE_RK4(A371:C371,$F$7,$H$7,$I$7,$J$7,$K$7,$L$7)</f>
        <v>72.400000000000489</v>
      </c>
      <c r="B372" s="35">
        <v>-1.1752604339060442</v>
      </c>
      <c r="C372" s="37">
        <v>-7.1067367751864419</v>
      </c>
    </row>
    <row r="373" spans="1:3" x14ac:dyDescent="0.25">
      <c r="A373" s="34">
        <f t="array" ref="A373:C373">ODE_RK4(A372:C372,$F$7,$H$7,$I$7,$J$7,$K$7,$L$7)</f>
        <v>72.600000000000492</v>
      </c>
      <c r="B373" s="35">
        <v>-2.4751200402242768</v>
      </c>
      <c r="C373" s="37">
        <v>-5.7316697832714647</v>
      </c>
    </row>
    <row r="374" spans="1:3" x14ac:dyDescent="0.25">
      <c r="A374" s="34">
        <f t="array" ref="A374:C374">ODE_RK4(A373:C373,$F$7,$H$7,$I$7,$J$7,$K$7,$L$7)</f>
        <v>72.800000000000495</v>
      </c>
      <c r="B374" s="35">
        <v>-3.4104152715663036</v>
      </c>
      <c r="C374" s="37">
        <v>-3.5063346169292848</v>
      </c>
    </row>
    <row r="375" spans="1:3" x14ac:dyDescent="0.25">
      <c r="A375" s="34">
        <f t="array" ref="A375:C375">ODE_RK4(A374:C374,$F$7,$H$7,$I$7,$J$7,$K$7,$L$7)</f>
        <v>73.000000000000497</v>
      </c>
      <c r="B375" s="35">
        <v>-3.8423418090415602</v>
      </c>
      <c r="C375" s="37">
        <v>-0.7603579462677148</v>
      </c>
    </row>
    <row r="376" spans="1:3" x14ac:dyDescent="0.25">
      <c r="A376" s="34">
        <f t="array" ref="A376:C376">ODE_RK4(A375:C375,$F$7,$H$7,$I$7,$J$7,$K$7,$L$7)</f>
        <v>73.2000000000005</v>
      </c>
      <c r="B376" s="35">
        <v>-3.7067130701174174</v>
      </c>
      <c r="C376" s="37">
        <v>2.0989961923726916</v>
      </c>
    </row>
    <row r="377" spans="1:3" x14ac:dyDescent="0.25">
      <c r="A377" s="34">
        <f t="array" ref="A377:C377">ODE_RK4(A376:C376,$F$7,$H$7,$I$7,$J$7,$K$7,$L$7)</f>
        <v>73.400000000000503</v>
      </c>
      <c r="B377" s="35">
        <v>-3.0235390797592583</v>
      </c>
      <c r="C377" s="37">
        <v>4.647488471634774</v>
      </c>
    </row>
    <row r="378" spans="1:3" x14ac:dyDescent="0.25">
      <c r="A378" s="34">
        <f t="array" ref="A378:C378">ODE_RK4(A377:C377,$F$7,$H$7,$I$7,$J$7,$K$7,$L$7)</f>
        <v>73.600000000000506</v>
      </c>
      <c r="B378" s="35">
        <v>-1.8940612025699626</v>
      </c>
      <c r="C378" s="37">
        <v>6.5071181175549038</v>
      </c>
    </row>
    <row r="379" spans="1:3" x14ac:dyDescent="0.25">
      <c r="A379" s="34">
        <f t="array" ref="A379:C379">ODE_RK4(A378:C378,$F$7,$H$7,$I$7,$J$7,$K$7,$L$7)</f>
        <v>73.800000000000509</v>
      </c>
      <c r="B379" s="35">
        <v>-0.48568409583401673</v>
      </c>
      <c r="C379" s="37">
        <v>7.4024296091878385</v>
      </c>
    </row>
    <row r="380" spans="1:3" x14ac:dyDescent="0.25">
      <c r="A380" s="34">
        <f t="array" ref="A380:C380">ODE_RK4(A379:C379,$F$7,$H$7,$I$7,$J$7,$K$7,$L$7)</f>
        <v>74.000000000000512</v>
      </c>
      <c r="B380" s="35">
        <v>0.99294294083307832</v>
      </c>
      <c r="C380" s="37">
        <v>7.2014894431932239</v>
      </c>
    </row>
    <row r="381" spans="1:3" x14ac:dyDescent="0.25">
      <c r="A381" s="34">
        <f t="array" ref="A381:C381">ODE_RK4(A380:C380,$F$7,$H$7,$I$7,$J$7,$K$7,$L$7)</f>
        <v>74.200000000000514</v>
      </c>
      <c r="B381" s="35">
        <v>2.3229702559067587</v>
      </c>
      <c r="C381" s="37">
        <v>5.9354114303472381</v>
      </c>
    </row>
    <row r="382" spans="1:3" x14ac:dyDescent="0.25">
      <c r="A382" s="34">
        <f t="array" ref="A382:C382">ODE_RK4(A381:C381,$F$7,$H$7,$I$7,$J$7,$K$7,$L$7)</f>
        <v>74.400000000000517</v>
      </c>
      <c r="B382" s="35">
        <v>3.3078791627446198</v>
      </c>
      <c r="C382" s="37">
        <v>3.7935285371345042</v>
      </c>
    </row>
    <row r="383" spans="1:3" x14ac:dyDescent="0.25">
      <c r="A383" s="34">
        <f t="array" ref="A383:C383">ODE_RK4(A382:C382,$F$7,$H$7,$I$7,$J$7,$K$7,$L$7)</f>
        <v>74.60000000000052</v>
      </c>
      <c r="B383" s="35">
        <v>3.8026439977608457</v>
      </c>
      <c r="C383" s="37">
        <v>1.0949619699549191</v>
      </c>
    </row>
    <row r="384" spans="1:3" x14ac:dyDescent="0.25">
      <c r="A384" s="34">
        <f t="array" ref="A384:C384">ODE_RK4(A383:C383,$F$7,$H$7,$I$7,$J$7,$K$7,$L$7)</f>
        <v>74.800000000000523</v>
      </c>
      <c r="B384" s="35">
        <v>3.7351789386506966</v>
      </c>
      <c r="C384" s="37">
        <v>-1.7591260450437076</v>
      </c>
    </row>
    <row r="385" spans="1:3" x14ac:dyDescent="0.25">
      <c r="A385" s="34">
        <f t="array" ref="A385:C385">ODE_RK4(A384:C384,$F$7,$H$7,$I$7,$J$7,$K$7,$L$7)</f>
        <v>75.000000000000526</v>
      </c>
      <c r="B385" s="35">
        <v>3.1168843068182133</v>
      </c>
      <c r="C385" s="37">
        <v>-4.3454223318767262</v>
      </c>
    </row>
    <row r="386" spans="1:3" x14ac:dyDescent="0.25">
      <c r="A386" s="34">
        <f t="array" ref="A386:C386">ODE_RK4(A385:C385,$F$7,$H$7,$I$7,$J$7,$K$7,$L$7)</f>
        <v>75.200000000000529</v>
      </c>
      <c r="B386" s="35">
        <v>2.0407428764418585</v>
      </c>
      <c r="C386" s="37">
        <v>-6.2815172564300896</v>
      </c>
    </row>
    <row r="387" spans="1:3" x14ac:dyDescent="0.25">
      <c r="A387" s="34">
        <f t="array" ref="A387:C387">ODE_RK4(A386:C386,$F$7,$H$7,$I$7,$J$7,$K$7,$L$7)</f>
        <v>75.400000000000531</v>
      </c>
      <c r="B387" s="35">
        <v>0.66728113679700773</v>
      </c>
      <c r="C387" s="37">
        <v>-7.2826917053264237</v>
      </c>
    </row>
    <row r="388" spans="1:3" x14ac:dyDescent="0.25">
      <c r="A388" s="34">
        <f t="array" ref="A388:C388">ODE_RK4(A387:C387,$F$7,$H$7,$I$7,$J$7,$K$7,$L$7)</f>
        <v>75.600000000000534</v>
      </c>
      <c r="B388" s="35">
        <v>-0.79947684094009785</v>
      </c>
      <c r="C388" s="37">
        <v>-7.2039677917451783</v>
      </c>
    </row>
    <row r="389" spans="1:3" x14ac:dyDescent="0.25">
      <c r="A389" s="34">
        <f t="array" ref="A389:C389">ODE_RK4(A388:C388,$F$7,$H$7,$I$7,$J$7,$K$7,$L$7)</f>
        <v>75.800000000000537</v>
      </c>
      <c r="B389" s="35">
        <v>-2.1424461992967885</v>
      </c>
      <c r="C389" s="37">
        <v>-6.0611859628235711</v>
      </c>
    </row>
    <row r="390" spans="1:3" x14ac:dyDescent="0.25">
      <c r="A390" s="34">
        <f t="array" ref="A390:C390">ODE_RK4(A389:C389,$F$7,$H$7,$I$7,$J$7,$K$7,$L$7)</f>
        <v>76.00000000000054</v>
      </c>
      <c r="B390" s="35">
        <v>-3.1637490714092613</v>
      </c>
      <c r="C390" s="37">
        <v>-4.0280317507362877</v>
      </c>
    </row>
    <row r="391" spans="1:3" x14ac:dyDescent="0.25">
      <c r="A391" s="34">
        <f t="array" ref="A391:C391">ODE_RK4(A390:C390,$F$7,$H$7,$I$7,$J$7,$K$7,$L$7)</f>
        <v>76.200000000000543</v>
      </c>
      <c r="B391" s="35">
        <v>-3.7139965759885003</v>
      </c>
      <c r="C391" s="37">
        <v>-1.4095469925622606</v>
      </c>
    </row>
    <row r="392" spans="1:3" x14ac:dyDescent="0.25">
      <c r="A392" s="34">
        <f t="array" ref="A392:C392">ODE_RK4(A391:C391,$F$7,$H$7,$I$7,$J$7,$K$7,$L$7)</f>
        <v>76.400000000000546</v>
      </c>
      <c r="B392" s="35">
        <v>-3.7142332086115712</v>
      </c>
      <c r="C392" s="37">
        <v>1.4038215692812761</v>
      </c>
    </row>
    <row r="393" spans="1:3" x14ac:dyDescent="0.25">
      <c r="A393" s="34">
        <f t="array" ref="A393:C393">ODE_RK4(A392:C392,$F$7,$H$7,$I$7,$J$7,$K$7,$L$7)</f>
        <v>76.600000000000549</v>
      </c>
      <c r="B393" s="35">
        <v>-3.1673062612964946</v>
      </c>
      <c r="C393" s="37">
        <v>3.9946873000359018</v>
      </c>
    </row>
    <row r="394" spans="1:3" x14ac:dyDescent="0.25">
      <c r="A394" s="34">
        <f t="array" ref="A394:C394">ODE_RK4(A393:C393,$F$7,$H$7,$I$7,$J$7,$K$7,$L$7)</f>
        <v>76.800000000000551</v>
      </c>
      <c r="B394" s="35">
        <v>-2.1570170119210967</v>
      </c>
      <c r="C394" s="37">
        <v>5.9809119634104677</v>
      </c>
    </row>
    <row r="395" spans="1:3" x14ac:dyDescent="0.25">
      <c r="A395" s="34">
        <f t="array" ref="A395:C395">ODE_RK4(A394:C394,$F$7,$H$7,$I$7,$J$7,$K$7,$L$7)</f>
        <v>77.000000000000554</v>
      </c>
      <c r="B395" s="35">
        <v>-0.83524296248485763</v>
      </c>
      <c r="C395" s="37">
        <v>7.0722124995203064</v>
      </c>
    </row>
    <row r="396" spans="1:3" x14ac:dyDescent="0.25">
      <c r="A396" s="34">
        <f t="array" ref="A396:C396">ODE_RK4(A395:C395,$F$7,$H$7,$I$7,$J$7,$K$7,$L$7)</f>
        <v>77.200000000000557</v>
      </c>
      <c r="B396" s="35">
        <v>0.60098459144085492</v>
      </c>
      <c r="C396" s="37">
        <v>7.1127649814728553</v>
      </c>
    </row>
    <row r="397" spans="1:3" x14ac:dyDescent="0.25">
      <c r="A397" s="34">
        <f t="array" ref="A397:C397">ODE_RK4(A396:C396,$F$7,$H$7,$I$7,$J$7,$K$7,$L$7)</f>
        <v>77.40000000000056</v>
      </c>
      <c r="B397" s="35">
        <v>1.9389748853931486</v>
      </c>
      <c r="C397" s="37">
        <v>6.1035260644061822</v>
      </c>
    </row>
    <row r="398" spans="1:3" x14ac:dyDescent="0.25">
      <c r="A398" s="34">
        <f t="array" ref="A398:C398">ODE_RK4(A397:C397,$F$7,$H$7,$I$7,$J$7,$K$7,$L$7)</f>
        <v>77.600000000000563</v>
      </c>
      <c r="B398" s="35">
        <v>2.9820106712868188</v>
      </c>
      <c r="C398" s="37">
        <v>4.2010634603934252</v>
      </c>
    </row>
    <row r="399" spans="1:3" x14ac:dyDescent="0.25">
      <c r="A399" s="34">
        <f t="array" ref="A399:C399">ODE_RK4(A398:C398,$F$7,$H$7,$I$7,$J$7,$K$7,$L$7)</f>
        <v>77.800000000000566</v>
      </c>
      <c r="B399" s="35">
        <v>3.5783951651265617</v>
      </c>
      <c r="C399" s="37">
        <v>1.6932210449317493</v>
      </c>
    </row>
    <row r="400" spans="1:3" x14ac:dyDescent="0.25">
      <c r="A400" s="34">
        <f t="array" ref="A400:C400">ODE_RK4(A399:C399,$F$7,$H$7,$I$7,$J$7,$K$7,$L$7)</f>
        <v>78.000000000000568</v>
      </c>
      <c r="B400" s="35">
        <v>3.6436054112021576</v>
      </c>
      <c r="C400" s="37">
        <v>-1.0445926434723125</v>
      </c>
    </row>
    <row r="401" spans="1:3" x14ac:dyDescent="0.25">
      <c r="A401" s="34">
        <f t="array" ref="A401:C401">ODE_RK4(A400:C400,$F$7,$H$7,$I$7,$J$7,$K$7,$L$7)</f>
        <v>78.200000000000571</v>
      </c>
      <c r="B401" s="35">
        <v>3.172303199652565</v>
      </c>
      <c r="C401" s="37">
        <v>-3.6058313823672621</v>
      </c>
    </row>
    <row r="402" spans="1:3" x14ac:dyDescent="0.25">
      <c r="A402" s="34">
        <f t="array" ref="A402:C402">ODE_RK4(A401:C401,$F$7,$H$7,$I$7,$J$7,$K$7,$L$7)</f>
        <v>78.400000000000574</v>
      </c>
      <c r="B402" s="35">
        <v>2.2384918540584779</v>
      </c>
      <c r="C402" s="37">
        <v>-5.6134386395055387</v>
      </c>
    </row>
    <row r="403" spans="1:3" x14ac:dyDescent="0.25">
      <c r="A403" s="34">
        <f t="array" ref="A403:C403">ODE_RK4(A402:C402,$F$7,$H$7,$I$7,$J$7,$K$7,$L$7)</f>
        <v>78.600000000000577</v>
      </c>
      <c r="B403" s="35">
        <v>0.98388907123958558</v>
      </c>
      <c r="C403" s="37">
        <v>-6.7755961558100335</v>
      </c>
    </row>
    <row r="404" spans="1:3" x14ac:dyDescent="0.25">
      <c r="A404" s="34">
        <f t="array" ref="A404:C404">ODE_RK4(A403:C403,$F$7,$H$7,$I$7,$J$7,$K$7,$L$7)</f>
        <v>78.80000000000058</v>
      </c>
      <c r="B404" s="35">
        <v>-0.4036563576294816</v>
      </c>
      <c r="C404" s="37">
        <v>-6.9283156495392904</v>
      </c>
    </row>
    <row r="405" spans="1:3" x14ac:dyDescent="0.25">
      <c r="A405" s="34">
        <f t="array" ref="A405:C405">ODE_RK4(A404:C404,$F$7,$H$7,$I$7,$J$7,$K$7,$L$7)</f>
        <v>79.000000000000583</v>
      </c>
      <c r="B405" s="35">
        <v>-1.7184059495700532</v>
      </c>
      <c r="C405" s="37">
        <v>-6.0586311124263252</v>
      </c>
    </row>
    <row r="406" spans="1:3" x14ac:dyDescent="0.25">
      <c r="A406" s="34">
        <f t="array" ref="A406:C406">ODE_RK4(A405:C405,$F$7,$H$7,$I$7,$J$7,$K$7,$L$7)</f>
        <v>79.200000000000585</v>
      </c>
      <c r="B406" s="35">
        <v>-2.7673684041056461</v>
      </c>
      <c r="C406" s="37">
        <v>-4.3051035858748357</v>
      </c>
    </row>
    <row r="407" spans="1:3" x14ac:dyDescent="0.25">
      <c r="A407" s="34">
        <f t="array" ref="A407:C407">ODE_RK4(A406:C406,$F$7,$H$7,$I$7,$J$7,$K$7,$L$7)</f>
        <v>79.400000000000588</v>
      </c>
      <c r="B407" s="35">
        <v>-3.398750470611815</v>
      </c>
      <c r="C407" s="37">
        <v>-1.9357721481081112</v>
      </c>
    </row>
    <row r="408" spans="1:3" x14ac:dyDescent="0.25">
      <c r="A408" s="34">
        <f t="array" ref="A408:C408">ODE_RK4(A407:C407,$F$7,$H$7,$I$7,$J$7,$K$7,$L$7)</f>
        <v>79.600000000000591</v>
      </c>
      <c r="B408" s="35">
        <v>-3.5240094521027565</v>
      </c>
      <c r="C408" s="37">
        <v>0.6929439616636075</v>
      </c>
    </row>
    <row r="409" spans="1:3" x14ac:dyDescent="0.25">
      <c r="A409" s="34">
        <f t="array" ref="A409:C409">ODE_RK4(A408:C408,$F$7,$H$7,$I$7,$J$7,$K$7,$L$7)</f>
        <v>79.800000000000594</v>
      </c>
      <c r="B409" s="35">
        <v>-3.1302904641173543</v>
      </c>
      <c r="C409" s="37">
        <v>3.1900725983170637</v>
      </c>
    </row>
    <row r="410" spans="1:3" x14ac:dyDescent="0.25">
      <c r="A410" s="34">
        <f t="array" ref="A410:C410">ODE_RK4(A409:C409,$F$7,$H$7,$I$7,$J$7,$K$7,$L$7)</f>
        <v>80.000000000000597</v>
      </c>
      <c r="B410" s="35">
        <v>-2.2814982692253318</v>
      </c>
      <c r="C410" s="37">
        <v>5.1884855980511544</v>
      </c>
    </row>
    <row r="411" spans="1:3" x14ac:dyDescent="0.25">
      <c r="A411" s="34">
        <f t="array" ref="A411:C411">ODE_RK4(A410:C410,$F$7,$H$7,$I$7,$J$7,$K$7,$L$7)</f>
        <v>80.2000000000006</v>
      </c>
      <c r="B411" s="35">
        <v>-1.1079669871206317</v>
      </c>
      <c r="C411" s="37">
        <v>6.399106663795239</v>
      </c>
    </row>
    <row r="412" spans="1:3" x14ac:dyDescent="0.25">
      <c r="A412" s="34">
        <f t="array" ref="A412:C412">ODE_RK4(A411:C411,$F$7,$H$7,$I$7,$J$7,$K$7,$L$7)</f>
        <v>80.400000000000603</v>
      </c>
      <c r="B412" s="35">
        <v>0.2136080837461547</v>
      </c>
      <c r="C412" s="37">
        <v>6.6528916925749391</v>
      </c>
    </row>
    <row r="413" spans="1:3" x14ac:dyDescent="0.25">
      <c r="A413" s="34">
        <f t="array" ref="A413:C413">ODE_RK4(A412:C412,$F$7,$H$7,$I$7,$J$7,$K$7,$L$7)</f>
        <v>80.600000000000605</v>
      </c>
      <c r="B413" s="35">
        <v>1.4868787077278902</v>
      </c>
      <c r="C413" s="37">
        <v>5.924460223847392</v>
      </c>
    </row>
    <row r="414" spans="1:3" x14ac:dyDescent="0.25">
      <c r="A414" s="34">
        <f t="array" ref="A414:C414">ODE_RK4(A413:C413,$F$7,$H$7,$I$7,$J$7,$K$7,$L$7)</f>
        <v>80.800000000000608</v>
      </c>
      <c r="B414" s="35">
        <v>2.5251399086877955</v>
      </c>
      <c r="C414" s="37">
        <v>4.3340702319206921</v>
      </c>
    </row>
    <row r="415" spans="1:3" x14ac:dyDescent="0.25">
      <c r="A415" s="34">
        <f t="array" ref="A415:C415">ODE_RK4(A414:C414,$F$7,$H$7,$I$7,$J$7,$K$7,$L$7)</f>
        <v>81.000000000000611</v>
      </c>
      <c r="B415" s="35">
        <v>3.178824680304924</v>
      </c>
      <c r="C415" s="37">
        <v>2.1279056896462465</v>
      </c>
    </row>
    <row r="416" spans="1:3" x14ac:dyDescent="0.25">
      <c r="A416" s="34">
        <f t="array" ref="A416:C416">ODE_RK4(A415:C415,$F$7,$H$7,$I$7,$J$7,$K$7,$L$7)</f>
        <v>81.200000000000614</v>
      </c>
      <c r="B416" s="35">
        <v>3.35713078115326</v>
      </c>
      <c r="C416" s="37">
        <v>-0.36011054925979824</v>
      </c>
    </row>
    <row r="417" spans="1:3" x14ac:dyDescent="0.25">
      <c r="A417" s="34">
        <f t="array" ref="A417:C417">ODE_RK4(A416:C416,$F$7,$H$7,$I$7,$J$7,$K$7,$L$7)</f>
        <v>81.400000000000617</v>
      </c>
      <c r="B417" s="35">
        <v>3.0406402091475258</v>
      </c>
      <c r="C417" s="37">
        <v>-2.7590439442932553</v>
      </c>
    </row>
    <row r="418" spans="1:3" x14ac:dyDescent="0.25">
      <c r="A418" s="34">
        <f t="array" ref="A418:C418">ODE_RK4(A417:C417,$F$7,$H$7,$I$7,$J$7,$K$7,$L$7)</f>
        <v>81.60000000000062</v>
      </c>
      <c r="B418" s="35">
        <v>2.2831765486449065</v>
      </c>
      <c r="C418" s="37">
        <v>-4.7164827364046538</v>
      </c>
    </row>
    <row r="419" spans="1:3" x14ac:dyDescent="0.25">
      <c r="A419" s="34">
        <f t="array" ref="A419:C419">ODE_RK4(A418:C418,$F$7,$H$7,$I$7,$J$7,$K$7,$L$7)</f>
        <v>81.800000000000622</v>
      </c>
      <c r="B419" s="35">
        <v>1.2027741511456469</v>
      </c>
      <c r="C419" s="37">
        <v>-5.9505313076641571</v>
      </c>
    </row>
    <row r="420" spans="1:3" x14ac:dyDescent="0.25">
      <c r="A420" s="34">
        <f t="array" ref="A420:C420">ODE_RK4(A419:C419,$F$7,$H$7,$I$7,$J$7,$K$7,$L$7)</f>
        <v>82.000000000000625</v>
      </c>
      <c r="B420" s="35">
        <v>-3.6741357523612406E-2</v>
      </c>
      <c r="C420" s="37">
        <v>-6.2905584290884162</v>
      </c>
    </row>
    <row r="421" spans="1:3" x14ac:dyDescent="0.25">
      <c r="A421" s="34">
        <f t="array" ref="A421:C421">ODE_RK4(A420:C420,$F$7,$H$7,$I$7,$J$7,$K$7,$L$7)</f>
        <v>82.200000000000628</v>
      </c>
      <c r="B421" s="35">
        <v>-1.2506831471929838</v>
      </c>
      <c r="C421" s="37">
        <v>-5.7007871984335123</v>
      </c>
    </row>
    <row r="422" spans="1:3" x14ac:dyDescent="0.25">
      <c r="A422" s="34">
        <f t="array" ref="A422:C422">ODE_RK4(A421:C421,$F$7,$H$7,$I$7,$J$7,$K$7,$L$7)</f>
        <v>82.400000000000631</v>
      </c>
      <c r="B422" s="35">
        <v>-2.2611373586961321</v>
      </c>
      <c r="C422" s="37">
        <v>-4.2834658451636232</v>
      </c>
    </row>
    <row r="423" spans="1:3" x14ac:dyDescent="0.25">
      <c r="A423" s="34">
        <f t="array" ref="A423:C423">ODE_RK4(A422:C422,$F$7,$H$7,$I$7,$J$7,$K$7,$L$7)</f>
        <v>82.600000000000634</v>
      </c>
      <c r="B423" s="35">
        <v>-2.9231495622188084</v>
      </c>
      <c r="C423" s="37">
        <v>-2.2614616143396433</v>
      </c>
    </row>
    <row r="424" spans="1:3" x14ac:dyDescent="0.25">
      <c r="A424" s="34">
        <f t="array" ref="A424:C424">ODE_RK4(A423:C423,$F$7,$H$7,$I$7,$J$7,$K$7,$L$7)</f>
        <v>82.800000000000637</v>
      </c>
      <c r="B424" s="35">
        <v>-3.1455925857330236</v>
      </c>
      <c r="C424" s="37">
        <v>5.6799545997213041E-2</v>
      </c>
    </row>
    <row r="425" spans="1:3" x14ac:dyDescent="0.25">
      <c r="A425" s="34">
        <f t="array" ref="A425:C425">ODE_RK4(A424:C424,$F$7,$H$7,$I$7,$J$7,$K$7,$L$7)</f>
        <v>83.000000000000639</v>
      </c>
      <c r="B425" s="35">
        <v>-2.9037003797027654</v>
      </c>
      <c r="C425" s="37">
        <v>2.3245298404229717</v>
      </c>
    </row>
    <row r="426" spans="1:3" x14ac:dyDescent="0.25">
      <c r="A426" s="34">
        <f t="array" ref="A426:C426">ODE_RK4(A425:C425,$F$7,$H$7,$I$7,$J$7,$K$7,$L$7)</f>
        <v>83.200000000000642</v>
      </c>
      <c r="B426" s="35">
        <v>-2.2415455637371862</v>
      </c>
      <c r="C426" s="37">
        <v>4.2086690869431074</v>
      </c>
    </row>
    <row r="427" spans="1:3" x14ac:dyDescent="0.25">
      <c r="A427" s="34">
        <f t="array" ref="A427:C427">ODE_RK4(A426:C426,$F$7,$H$7,$I$7,$J$7,$K$7,$L$7)</f>
        <v>83.400000000000645</v>
      </c>
      <c r="B427" s="35">
        <v>-1.2642677067692456</v>
      </c>
      <c r="C427" s="37">
        <v>5.4390114743455467</v>
      </c>
    </row>
    <row r="428" spans="1:3" x14ac:dyDescent="0.25">
      <c r="A428" s="34">
        <f t="array" ref="A428:C428">ODE_RK4(A427:C427,$F$7,$H$7,$I$7,$J$7,$K$7,$L$7)</f>
        <v>83.600000000000648</v>
      </c>
      <c r="B428" s="35">
        <v>-0.12139183690510347</v>
      </c>
      <c r="C428" s="37">
        <v>5.8470920829053883</v>
      </c>
    </row>
    <row r="429" spans="1:3" x14ac:dyDescent="0.25">
      <c r="A429" s="34">
        <f t="array" ref="A429:C429">ODE_RK4(A428:C428,$F$7,$H$7,$I$7,$J$7,$K$7,$L$7)</f>
        <v>83.800000000000651</v>
      </c>
      <c r="B429" s="35">
        <v>1.0161179128103359</v>
      </c>
      <c r="C429" s="37">
        <v>5.3892161193611834</v>
      </c>
    </row>
    <row r="430" spans="1:3" x14ac:dyDescent="0.25">
      <c r="A430" s="34">
        <f t="array" ref="A430:C430">ODE_RK4(A429:C429,$F$7,$H$7,$I$7,$J$7,$K$7,$L$7)</f>
        <v>84.000000000000654</v>
      </c>
      <c r="B430" s="35">
        <v>1.98153831925283</v>
      </c>
      <c r="C430" s="37">
        <v>4.1504888105450668</v>
      </c>
    </row>
    <row r="431" spans="1:3" x14ac:dyDescent="0.25">
      <c r="A431" s="34">
        <f t="array" ref="A431:C431">ODE_RK4(A430:C430,$F$7,$H$7,$I$7,$J$7,$K$7,$L$7)</f>
        <v>84.200000000000657</v>
      </c>
      <c r="B431" s="35">
        <v>2.6369280564096145</v>
      </c>
      <c r="C431" s="37">
        <v>2.3296066194665714</v>
      </c>
    </row>
    <row r="432" spans="1:3" x14ac:dyDescent="0.25">
      <c r="A432" s="34">
        <f t="array" ref="A432:C432">ODE_RK4(A431:C431,$F$7,$H$7,$I$7,$J$7,$K$7,$L$7)</f>
        <v>84.400000000000659</v>
      </c>
      <c r="B432" s="35">
        <v>2.8929017389033906</v>
      </c>
      <c r="C432" s="37">
        <v>0.20705603897814395</v>
      </c>
    </row>
    <row r="433" spans="1:3" x14ac:dyDescent="0.25">
      <c r="A433" s="34">
        <f t="array" ref="A433:C433">ODE_RK4(A432:C432,$F$7,$H$7,$I$7,$J$7,$K$7,$L$7)</f>
        <v>84.600000000000662</v>
      </c>
      <c r="B433" s="35">
        <v>2.7207925074535142</v>
      </c>
      <c r="C433" s="37">
        <v>-1.8981998707835435</v>
      </c>
    </row>
    <row r="434" spans="1:3" x14ac:dyDescent="0.25">
      <c r="A434" s="34">
        <f t="array" ref="A434:C434">ODE_RK4(A433:C433,$F$7,$H$7,$I$7,$J$7,$K$7,$L$7)</f>
        <v>84.800000000000665</v>
      </c>
      <c r="B434" s="35">
        <v>2.1555527344041652</v>
      </c>
      <c r="C434" s="37">
        <v>-3.6768433595816621</v>
      </c>
    </row>
    <row r="435" spans="1:3" x14ac:dyDescent="0.25">
      <c r="A435" s="34">
        <f t="array" ref="A435:C435">ODE_RK4(A434:C434,$F$7,$H$7,$I$7,$J$7,$K$7,$L$7)</f>
        <v>85.000000000000668</v>
      </c>
      <c r="B435" s="35">
        <v>1.2891597486129569</v>
      </c>
      <c r="C435" s="37">
        <v>-4.8748445073703133</v>
      </c>
    </row>
    <row r="436" spans="1:3" x14ac:dyDescent="0.25">
      <c r="A436" s="34">
        <f t="array" ref="A436:C436">ODE_RK4(A435:C435,$F$7,$H$7,$I$7,$J$7,$K$7,$L$7)</f>
        <v>85.200000000000671</v>
      </c>
      <c r="B436" s="35">
        <v>0.25571649094661186</v>
      </c>
      <c r="C436" s="37">
        <v>-5.3298603756745404</v>
      </c>
    </row>
    <row r="437" spans="1:3" x14ac:dyDescent="0.25">
      <c r="A437" s="34">
        <f t="array" ref="A437:C437">ODE_RK4(A436:C436,$F$7,$H$7,$I$7,$J$7,$K$7,$L$7)</f>
        <v>85.400000000000674</v>
      </c>
      <c r="B437" s="35">
        <v>-0.78934841759579744</v>
      </c>
      <c r="C437" s="37">
        <v>-4.9931572332658893</v>
      </c>
    </row>
    <row r="438" spans="1:3" x14ac:dyDescent="0.25">
      <c r="A438" s="34">
        <f t="array" ref="A438:C438">ODE_RK4(A437:C437,$F$7,$H$7,$I$7,$J$7,$K$7,$L$7)</f>
        <v>85.600000000000676</v>
      </c>
      <c r="B438" s="35">
        <v>-1.6927489613926152</v>
      </c>
      <c r="C438" s="37">
        <v>-3.9341079953530338</v>
      </c>
    </row>
    <row r="439" spans="1:3" x14ac:dyDescent="0.25">
      <c r="A439" s="34">
        <f t="array" ref="A439:C439">ODE_RK4(A438:C438,$F$7,$H$7,$I$7,$J$7,$K$7,$L$7)</f>
        <v>85.800000000000679</v>
      </c>
      <c r="B439" s="35">
        <v>-2.3259215167684371</v>
      </c>
      <c r="C439" s="37">
        <v>-2.3269970934750246</v>
      </c>
    </row>
    <row r="440" spans="1:3" x14ac:dyDescent="0.25">
      <c r="A440" s="34">
        <f t="array" ref="A440:C440">ODE_RK4(A439:C439,$F$7,$H$7,$I$7,$J$7,$K$7,$L$7)</f>
        <v>86.000000000000682</v>
      </c>
      <c r="B440" s="35">
        <v>-2.6033756765137648</v>
      </c>
      <c r="C440" s="37">
        <v>-0.42252615911564129</v>
      </c>
    </row>
    <row r="441" spans="1:3" x14ac:dyDescent="0.25">
      <c r="A441" s="34">
        <f t="array" ref="A441:C441">ODE_RK4(A440:C440,$F$7,$H$7,$I$7,$J$7,$K$7,$L$7)</f>
        <v>86.200000000000685</v>
      </c>
      <c r="B441" s="35">
        <v>-2.4941883550616231</v>
      </c>
      <c r="C441" s="37">
        <v>1.4913456849151094</v>
      </c>
    </row>
    <row r="442" spans="1:3" x14ac:dyDescent="0.25">
      <c r="A442" s="34">
        <f t="array" ref="A442:C442">ODE_RK4(A441:C441,$F$7,$H$7,$I$7,$J$7,$K$7,$L$7)</f>
        <v>86.400000000000688</v>
      </c>
      <c r="B442" s="35">
        <v>-2.0251036921047652</v>
      </c>
      <c r="C442" s="37">
        <v>3.1331029587486521</v>
      </c>
    </row>
    <row r="443" spans="1:3" x14ac:dyDescent="0.25">
      <c r="A443" s="34">
        <f t="array" ref="A443:C443">ODE_RK4(A442:C442,$F$7,$H$7,$I$7,$J$7,$K$7,$L$7)</f>
        <v>86.600000000000691</v>
      </c>
      <c r="B443" s="35">
        <v>-1.2749959226497587</v>
      </c>
      <c r="C443" s="37">
        <v>4.2692609458410224</v>
      </c>
    </row>
    <row r="444" spans="1:3" x14ac:dyDescent="0.25">
      <c r="A444" s="34">
        <f t="array" ref="A444:C444">ODE_RK4(A443:C443,$F$7,$H$7,$I$7,$J$7,$K$7,$L$7)</f>
        <v>86.800000000000693</v>
      </c>
      <c r="B444" s="35">
        <v>-0.36175125503503203</v>
      </c>
      <c r="C444" s="37">
        <v>4.7476688238082438</v>
      </c>
    </row>
    <row r="445" spans="1:3" x14ac:dyDescent="0.25">
      <c r="A445" s="34">
        <f t="array" ref="A445:C445">ODE_RK4(A444:C444,$F$7,$H$7,$I$7,$J$7,$K$7,$L$7)</f>
        <v>87.000000000000696</v>
      </c>
      <c r="B445" s="35">
        <v>0.57626820352612773</v>
      </c>
      <c r="C445" s="37">
        <v>4.5177636018409206</v>
      </c>
    </row>
    <row r="446" spans="1:3" x14ac:dyDescent="0.25">
      <c r="A446" s="34">
        <f t="array" ref="A446:C446">ODE_RK4(A445:C445,$F$7,$H$7,$I$7,$J$7,$K$7,$L$7)</f>
        <v>87.200000000000699</v>
      </c>
      <c r="B446" s="35">
        <v>1.4012626397498105</v>
      </c>
      <c r="C446" s="37">
        <v>3.6350985615213909</v>
      </c>
    </row>
    <row r="447" spans="1:3" x14ac:dyDescent="0.25">
      <c r="A447" s="34">
        <f t="array" ref="A447:C447">ODE_RK4(A446:C446,$F$7,$H$7,$I$7,$J$7,$K$7,$L$7)</f>
        <v>87.400000000000702</v>
      </c>
      <c r="B447" s="35">
        <v>1.996325072076492</v>
      </c>
      <c r="C447" s="37">
        <v>2.2499091794973354</v>
      </c>
    </row>
    <row r="448" spans="1:3" x14ac:dyDescent="0.25">
      <c r="A448" s="34">
        <f t="array" ref="A448:C448">ODE_RK4(A447:C447,$F$7,$H$7,$I$7,$J$7,$K$7,$L$7)</f>
        <v>87.600000000000705</v>
      </c>
      <c r="B448" s="35">
        <v>2.2820517948835772</v>
      </c>
      <c r="C448" s="37">
        <v>0.58189009226160393</v>
      </c>
    </row>
    <row r="449" spans="1:3" x14ac:dyDescent="0.25">
      <c r="A449" s="34">
        <f t="array" ref="A449:C449">ODE_RK4(A448:C448,$F$7,$H$7,$I$7,$J$7,$K$7,$L$7)</f>
        <v>87.800000000000708</v>
      </c>
      <c r="B449" s="35">
        <v>2.2270659021121029</v>
      </c>
      <c r="C449" s="37">
        <v>-1.1146268569051507</v>
      </c>
    </row>
    <row r="450" spans="1:3" x14ac:dyDescent="0.25">
      <c r="A450" s="34">
        <f t="array" ref="A450:C450">ODE_RK4(A449:C449,$F$7,$H$7,$I$7,$J$7,$K$7,$L$7)</f>
        <v>88.000000000000711</v>
      </c>
      <c r="B450" s="35">
        <v>1.8510709648985624</v>
      </c>
      <c r="C450" s="37">
        <v>-2.5895772081335604</v>
      </c>
    </row>
    <row r="451" spans="1:3" x14ac:dyDescent="0.25">
      <c r="A451" s="34">
        <f t="array" ref="A451:C451">ODE_RK4(A450:C450,$F$7,$H$7,$I$7,$J$7,$K$7,$L$7)</f>
        <v>88.200000000000713</v>
      </c>
      <c r="B451" s="35">
        <v>1.2202156316478963</v>
      </c>
      <c r="C451" s="37">
        <v>-3.6341820255292823</v>
      </c>
    </row>
    <row r="452" spans="1:3" x14ac:dyDescent="0.25">
      <c r="A452" s="34">
        <f t="array" ref="A452:C452">ODE_RK4(A451:C451,$F$7,$H$7,$I$7,$J$7,$K$7,$L$7)</f>
        <v>88.400000000000716</v>
      </c>
      <c r="B452" s="35">
        <v>0.43571185565174653</v>
      </c>
      <c r="C452" s="37">
        <v>-4.1105760856878542</v>
      </c>
    </row>
    <row r="453" spans="1:3" x14ac:dyDescent="0.25">
      <c r="A453" s="34">
        <f t="array" ref="A453:C453">ODE_RK4(A452:C452,$F$7,$H$7,$I$7,$J$7,$K$7,$L$7)</f>
        <v>88.600000000000719</v>
      </c>
      <c r="B453" s="35">
        <v>-0.38236660563350833</v>
      </c>
      <c r="C453" s="37">
        <v>-3.9698298765567861</v>
      </c>
    </row>
    <row r="454" spans="1:3" x14ac:dyDescent="0.25">
      <c r="A454" s="34">
        <f t="array" ref="A454:C454">ODE_RK4(A453:C453,$F$7,$H$7,$I$7,$J$7,$K$7,$L$7)</f>
        <v>88.800000000000722</v>
      </c>
      <c r="B454" s="35">
        <v>-1.1135169393544464</v>
      </c>
      <c r="C454" s="37">
        <v>-3.2560382163404356</v>
      </c>
    </row>
    <row r="455" spans="1:3" x14ac:dyDescent="0.25">
      <c r="A455" s="34">
        <f t="array" ref="A455:C455">ODE_RK4(A454:C454,$F$7,$H$7,$I$7,$J$7,$K$7,$L$7)</f>
        <v>89.000000000000725</v>
      </c>
      <c r="B455" s="35">
        <v>-1.6546338351430354</v>
      </c>
      <c r="C455" s="37">
        <v>-2.0963330671017588</v>
      </c>
    </row>
    <row r="456" spans="1:3" x14ac:dyDescent="0.25">
      <c r="A456" s="34">
        <f t="array" ref="A456:C456">ODE_RK4(A455:C455,$F$7,$H$7,$I$7,$J$7,$K$7,$L$7)</f>
        <v>89.200000000000728</v>
      </c>
      <c r="B456" s="35">
        <v>-1.9345813432030656</v>
      </c>
      <c r="C456" s="37">
        <v>-0.67881576958809919</v>
      </c>
    </row>
    <row r="457" spans="1:3" x14ac:dyDescent="0.25">
      <c r="A457" s="34">
        <f t="array" ref="A457:C457">ODE_RK4(A456:C456,$F$7,$H$7,$I$7,$J$7,$K$7,$L$7)</f>
        <v>89.40000000000073</v>
      </c>
      <c r="B457" s="35">
        <v>-1.923445618942784</v>
      </c>
      <c r="C457" s="37">
        <v>0.77783129955419361</v>
      </c>
    </row>
    <row r="458" spans="1:3" x14ac:dyDescent="0.25">
      <c r="A458" s="34">
        <f t="array" ref="A458:C458">ODE_RK4(A457:C457,$F$7,$H$7,$I$7,$J$7,$K$7,$L$7)</f>
        <v>89.600000000000733</v>
      </c>
      <c r="B458" s="35">
        <v>-1.6352814718043331</v>
      </c>
      <c r="C458" s="37">
        <v>2.0581606410774143</v>
      </c>
    </row>
    <row r="459" spans="1:3" x14ac:dyDescent="0.25">
      <c r="A459" s="34">
        <f t="array" ref="A459:C459">ODE_RK4(A458:C458,$F$7,$H$7,$I$7,$J$7,$K$7,$L$7)</f>
        <v>89.800000000000736</v>
      </c>
      <c r="B459" s="35">
        <v>-1.1241925036680134</v>
      </c>
      <c r="C459" s="37">
        <v>2.9819627497650849</v>
      </c>
    </row>
    <row r="460" spans="1:3" x14ac:dyDescent="0.25">
      <c r="A460" s="34">
        <f t="array" ref="A460:C460">ODE_RK4(A459:C459,$F$7,$H$7,$I$7,$J$7,$K$7,$L$7)</f>
        <v>90.000000000000739</v>
      </c>
      <c r="B460" s="35">
        <v>-0.47459895977249156</v>
      </c>
      <c r="C460" s="37">
        <v>3.4296823820998266</v>
      </c>
    </row>
    <row r="461" spans="1:3" x14ac:dyDescent="0.25">
      <c r="A461" s="34">
        <f t="array" ref="A461:C461">ODE_RK4(A460:C460,$F$7,$H$7,$I$7,$J$7,$K$7,$L$7)</f>
        <v>90.200000000000742</v>
      </c>
      <c r="B461" s="35">
        <v>0.21260563312788461</v>
      </c>
      <c r="C461" s="37">
        <v>3.3576553779927854</v>
      </c>
    </row>
    <row r="462" spans="1:3" x14ac:dyDescent="0.25">
      <c r="A462" s="34">
        <f t="array" ref="A462:C462">ODE_RK4(A461:C461,$F$7,$H$7,$I$7,$J$7,$K$7,$L$7)</f>
        <v>90.400000000000745</v>
      </c>
      <c r="B462" s="35">
        <v>0.83575232972906088</v>
      </c>
      <c r="C462" s="37">
        <v>2.8012639395943193</v>
      </c>
    </row>
    <row r="463" spans="1:3" x14ac:dyDescent="0.25">
      <c r="A463" s="34">
        <f t="array" ref="A463:C463">ODE_RK4(A462:C462,$F$7,$H$7,$I$7,$J$7,$K$7,$L$7)</f>
        <v>90.600000000000747</v>
      </c>
      <c r="B463" s="35">
        <v>1.3075028884450024</v>
      </c>
      <c r="C463" s="37">
        <v>1.8660294014059762</v>
      </c>
    </row>
    <row r="464" spans="1:3" x14ac:dyDescent="0.25">
      <c r="A464" s="34">
        <f t="array" ref="A464:C464">ODE_RK4(A463:C463,$F$7,$H$7,$I$7,$J$7,$K$7,$L$7)</f>
        <v>90.80000000000075</v>
      </c>
      <c r="B464" s="35">
        <v>1.5671101240550722</v>
      </c>
      <c r="C464" s="37">
        <v>0.7085081038287282</v>
      </c>
    </row>
    <row r="465" spans="1:3" x14ac:dyDescent="0.25">
      <c r="A465" s="34">
        <f t="array" ref="A465:C465">ODE_RK4(A464:C464,$F$7,$H$7,$I$7,$J$7,$K$7,$L$7)</f>
        <v>91.000000000000753</v>
      </c>
      <c r="B465" s="35">
        <v>1.5881084065894941</v>
      </c>
      <c r="C465" s="37">
        <v>-0.48965550945725211</v>
      </c>
    </row>
    <row r="466" spans="1:3" x14ac:dyDescent="0.25">
      <c r="A466" s="34">
        <f t="array" ref="A466:C466">ODE_RK4(A465:C465,$F$7,$H$7,$I$7,$J$7,$K$7,$L$7)</f>
        <v>91.200000000000756</v>
      </c>
      <c r="B466" s="35">
        <v>1.3804830787261519</v>
      </c>
      <c r="C466" s="37">
        <v>-1.5502522104783267</v>
      </c>
    </row>
    <row r="467" spans="1:3" x14ac:dyDescent="0.25">
      <c r="A467" s="34">
        <f t="array" ref="A467:C467">ODE_RK4(A466:C466,$F$7,$H$7,$I$7,$J$7,$K$7,$L$7)</f>
        <v>91.400000000000759</v>
      </c>
      <c r="B467" s="35">
        <v>0.98725421491891963</v>
      </c>
      <c r="C467" s="37">
        <v>-2.3251261520073321</v>
      </c>
    </row>
    <row r="468" spans="1:3" x14ac:dyDescent="0.25">
      <c r="A468" s="34">
        <f t="array" ref="A468:C468">ODE_RK4(A467:C467,$F$7,$H$7,$I$7,$J$7,$K$7,$L$7)</f>
        <v>91.600000000000762</v>
      </c>
      <c r="B468" s="35">
        <v>0.47626854276779718</v>
      </c>
      <c r="C468" s="37">
        <v>-2.716895601826808</v>
      </c>
    </row>
    <row r="469" spans="1:3" x14ac:dyDescent="0.25">
      <c r="A469" s="34">
        <f t="array" ref="A469:C469">ODE_RK4(A468:C468,$F$7,$H$7,$I$7,$J$7,$K$7,$L$7)</f>
        <v>91.800000000000765</v>
      </c>
      <c r="B469" s="35">
        <v>-7.1308777859584227E-2</v>
      </c>
      <c r="C469" s="37">
        <v>-2.6908744434599807</v>
      </c>
    </row>
    <row r="470" spans="1:3" x14ac:dyDescent="0.25">
      <c r="A470" s="34">
        <f t="array" ref="A470:C470">ODE_RK4(A469:C469,$F$7,$H$7,$I$7,$J$7,$K$7,$L$7)</f>
        <v>92.000000000000767</v>
      </c>
      <c r="B470" s="35">
        <v>-0.57387552792933338</v>
      </c>
      <c r="C470" s="37">
        <v>-2.2767900923202289</v>
      </c>
    </row>
    <row r="471" spans="1:3" x14ac:dyDescent="0.25">
      <c r="A471" s="34">
        <f t="array" ref="A471:C471">ODE_RK4(A470:C470,$F$7,$H$7,$I$7,$J$7,$K$7,$L$7)</f>
        <v>92.20000000000077</v>
      </c>
      <c r="B471" s="35">
        <v>-0.96160411005425184</v>
      </c>
      <c r="C471" s="37">
        <v>-1.5605465308528519</v>
      </c>
    </row>
    <row r="472" spans="1:3" x14ac:dyDescent="0.25">
      <c r="A472" s="34">
        <f t="array" ref="A472:C472">ODE_RK4(A471:C471,$F$7,$H$7,$I$7,$J$7,$K$7,$L$7)</f>
        <v>92.400000000000773</v>
      </c>
      <c r="B472" s="35">
        <v>-1.1861486040069369</v>
      </c>
      <c r="C472" s="37">
        <v>-0.66782303102418772</v>
      </c>
    </row>
    <row r="473" spans="1:3" x14ac:dyDescent="0.25">
      <c r="A473" s="34">
        <f t="array" ref="A473:C473">ODE_RK4(A472:C472,$F$7,$H$7,$I$7,$J$7,$K$7,$L$7)</f>
        <v>92.600000000000776</v>
      </c>
      <c r="B473" s="35">
        <v>-1.2264969828605452</v>
      </c>
      <c r="C473" s="37">
        <v>0.2575094813330665</v>
      </c>
    </row>
    <row r="474" spans="1:3" x14ac:dyDescent="0.25">
      <c r="A474" s="34">
        <f t="array" ref="A474:C474">ODE_RK4(A473:C473,$F$7,$H$7,$I$7,$J$7,$K$7,$L$7)</f>
        <v>92.800000000000779</v>
      </c>
      <c r="B474" s="35">
        <v>-1.0902909276453105</v>
      </c>
      <c r="C474" s="37">
        <v>1.0765061396337279</v>
      </c>
    </row>
    <row r="475" spans="1:3" x14ac:dyDescent="0.25">
      <c r="A475" s="34">
        <f t="array" ref="A475:C475">ODE_RK4(A474:C474,$F$7,$H$7,$I$7,$J$7,$K$7,$L$7)</f>
        <v>93.000000000000782</v>
      </c>
      <c r="B475" s="35">
        <v>-0.81068121179681618</v>
      </c>
      <c r="C475" s="37">
        <v>1.6760945629038693</v>
      </c>
    </row>
    <row r="476" spans="1:3" x14ac:dyDescent="0.25">
      <c r="A476" s="34">
        <f t="array" ref="A476:C476">ODE_RK4(A475:C475,$F$7,$H$7,$I$7,$J$7,$K$7,$L$7)</f>
        <v>93.200000000000784</v>
      </c>
      <c r="B476" s="35">
        <v>-0.43948320062258178</v>
      </c>
      <c r="C476" s="37">
        <v>1.9846801921808168</v>
      </c>
    </row>
    <row r="477" spans="1:3" x14ac:dyDescent="0.25">
      <c r="A477" s="34">
        <f t="array" ref="A477:C477">ODE_RK4(A476:C476,$F$7,$H$7,$I$7,$J$7,$K$7,$L$7)</f>
        <v>93.400000000000787</v>
      </c>
      <c r="B477" s="35">
        <v>-3.7935802476700586E-2</v>
      </c>
      <c r="C477" s="37">
        <v>1.9802577238878181</v>
      </c>
    </row>
    <row r="478" spans="1:3" x14ac:dyDescent="0.25">
      <c r="A478" s="34">
        <f t="array" ref="A478:C478">ODE_RK4(A477:C477,$F$7,$H$7,$I$7,$J$7,$K$7,$L$7)</f>
        <v>93.60000000000079</v>
      </c>
      <c r="B478" s="35">
        <v>0.33333056756476898</v>
      </c>
      <c r="C478" s="37">
        <v>1.6901896598489656</v>
      </c>
    </row>
    <row r="479" spans="1:3" x14ac:dyDescent="0.25">
      <c r="A479" s="34">
        <f t="array" ref="A479:C479">ODE_RK4(A478:C478,$F$7,$H$7,$I$7,$J$7,$K$7,$L$7)</f>
        <v>93.800000000000793</v>
      </c>
      <c r="B479" s="35">
        <v>0.62348297180621259</v>
      </c>
      <c r="C479" s="37">
        <v>1.1831981753183114</v>
      </c>
    </row>
    <row r="480" spans="1:3" x14ac:dyDescent="0.25">
      <c r="A480" s="34">
        <f t="array" ref="A480:C480">ODE_RK4(A479:C479,$F$7,$H$7,$I$7,$J$7,$K$7,$L$7)</f>
        <v>94.000000000000796</v>
      </c>
      <c r="B480" s="35">
        <v>0.79843426772758086</v>
      </c>
      <c r="C480" s="37">
        <v>0.5553447342057416</v>
      </c>
    </row>
    <row r="481" spans="1:3" x14ac:dyDescent="0.25">
      <c r="A481" s="34">
        <f t="array" ref="A481:C481">ODE_RK4(A480:C480,$F$7,$H$7,$I$7,$J$7,$K$7,$L$7)</f>
        <v>94.200000000000799</v>
      </c>
      <c r="B481" s="35">
        <v>0.8446028573610056</v>
      </c>
      <c r="C481" s="37">
        <v>-8.7350586210884096E-2</v>
      </c>
    </row>
    <row r="482" spans="1:3" x14ac:dyDescent="0.25">
      <c r="A482" s="34">
        <f t="array" ref="A482:C482">ODE_RK4(A481:C481,$F$7,$H$7,$I$7,$J$7,$K$7,$L$7)</f>
        <v>94.400000000000801</v>
      </c>
      <c r="B482" s="35">
        <v>0.76911469467911608</v>
      </c>
      <c r="C482" s="37">
        <v>-0.64659987745039083</v>
      </c>
    </row>
    <row r="483" spans="1:3" x14ac:dyDescent="0.25">
      <c r="A483" s="34">
        <f t="array" ref="A483:C483">ODE_RK4(A482:C482,$F$7,$H$7,$I$7,$J$7,$K$7,$L$7)</f>
        <v>94.600000000000804</v>
      </c>
      <c r="B483" s="35">
        <v>0.59668434050725749</v>
      </c>
      <c r="C483" s="37">
        <v>-1.0469237580810478</v>
      </c>
    </row>
    <row r="484" spans="1:3" x14ac:dyDescent="0.25">
      <c r="A484" s="34">
        <f t="array" ref="A484:C484">ODE_RK4(A483:C483,$F$7,$H$7,$I$7,$J$7,$K$7,$L$7)</f>
        <v>94.800000000000807</v>
      </c>
      <c r="B484" s="35">
        <v>0.36394326644206221</v>
      </c>
      <c r="C484" s="37">
        <v>-1.2457943103341367</v>
      </c>
    </row>
    <row r="485" spans="1:3" x14ac:dyDescent="0.25">
      <c r="A485" s="34">
        <f t="array" ref="A485:C485">ODE_RK4(A484:C484,$F$7,$H$7,$I$7,$J$7,$K$7,$L$7)</f>
        <v>95.00000000000081</v>
      </c>
      <c r="B485" s="35">
        <v>0.11235559563429387</v>
      </c>
      <c r="C485" s="37">
        <v>-1.2374887476079333</v>
      </c>
    </row>
    <row r="486" spans="1:3" x14ac:dyDescent="0.25">
      <c r="A486" s="34">
        <f t="array" ref="A486:C486">ODE_RK4(A485:C485,$F$7,$H$7,$I$7,$J$7,$K$7,$L$7)</f>
        <v>95.200000000000813</v>
      </c>
      <c r="B486" s="35">
        <v>-0.11898040046976346</v>
      </c>
      <c r="C486" s="37">
        <v>-1.0504411909406062</v>
      </c>
    </row>
    <row r="487" spans="1:3" x14ac:dyDescent="0.25">
      <c r="A487" s="34">
        <f t="array" ref="A487:C487">ODE_RK4(A486:C486,$F$7,$H$7,$I$7,$J$7,$K$7,$L$7)</f>
        <v>95.400000000000816</v>
      </c>
      <c r="B487" s="35">
        <v>-0.2994184411406271</v>
      </c>
      <c r="C487" s="37">
        <v>-0.73900196590278289</v>
      </c>
    </row>
    <row r="488" spans="1:3" x14ac:dyDescent="0.25">
      <c r="A488" s="34">
        <f t="array" ref="A488:C488">ODE_RK4(A487:C487,$F$7,$H$7,$I$7,$J$7,$K$7,$L$7)</f>
        <v>95.600000000000819</v>
      </c>
      <c r="B488" s="35">
        <v>-0.41078921847302025</v>
      </c>
      <c r="C488" s="37">
        <v>-0.37142432731621766</v>
      </c>
    </row>
    <row r="489" spans="1:3" x14ac:dyDescent="0.25">
      <c r="A489" s="34">
        <f t="array" ref="A489:C489">ODE_RK4(A488:C488,$F$7,$H$7,$I$7,$J$7,$K$7,$L$7)</f>
        <v>95.800000000000821</v>
      </c>
      <c r="B489" s="35">
        <v>-0.44884135414484744</v>
      </c>
      <c r="C489" s="37">
        <v>-1.6449929918530004E-2</v>
      </c>
    </row>
    <row r="490" spans="1:3" x14ac:dyDescent="0.25">
      <c r="A490" s="34">
        <f t="array" ref="A490:C490">ODE_RK4(A489:C489,$F$7,$H$7,$I$7,$J$7,$K$7,$L$7)</f>
        <v>96.000000000000824</v>
      </c>
      <c r="B490" s="35">
        <v>-0.42206835122692066</v>
      </c>
      <c r="C490" s="37">
        <v>0.26902424359315852</v>
      </c>
    </row>
    <row r="491" spans="1:3" x14ac:dyDescent="0.25">
      <c r="A491" s="34">
        <f t="array" ref="A491:C491">ODE_RK4(A490:C490,$F$7,$H$7,$I$7,$J$7,$K$7,$L$7)</f>
        <v>96.200000000000827</v>
      </c>
      <c r="B491" s="35">
        <v>-0.34836185612451875</v>
      </c>
      <c r="C491" s="37">
        <v>0.44904579746288564</v>
      </c>
    </row>
    <row r="492" spans="1:3" x14ac:dyDescent="0.25">
      <c r="A492" s="34">
        <f t="array" ref="A492:C492">ODE_RK4(A491:C491,$F$7,$H$7,$I$7,$J$7,$K$7,$L$7)</f>
        <v>96.40000000000083</v>
      </c>
      <c r="B492" s="35">
        <v>-0.25029703537456954</v>
      </c>
      <c r="C492" s="37">
        <v>0.51302096733137192</v>
      </c>
    </row>
    <row r="493" spans="1:3" x14ac:dyDescent="0.25">
      <c r="A493" s="34">
        <f t="array" ref="A493:C493">ODE_RK4(A492:C492,$F$7,$H$7,$I$7,$J$7,$K$7,$L$7)</f>
        <v>96.600000000000833</v>
      </c>
      <c r="B493" s="35">
        <v>-0.15005577325524233</v>
      </c>
      <c r="C493" s="37">
        <v>0.47492061073127401</v>
      </c>
    </row>
    <row r="494" spans="1:3" x14ac:dyDescent="0.25">
      <c r="A494" s="34">
        <f t="array" ref="A494:C494">ODE_RK4(A493:C493,$F$7,$H$7,$I$7,$J$7,$K$7,$L$7)</f>
        <v>96.800000000000836</v>
      </c>
      <c r="B494" s="35">
        <v>-6.4998374686776217E-2</v>
      </c>
      <c r="C494" s="37">
        <v>0.36774474791652029</v>
      </c>
    </row>
    <row r="495" spans="1:3" x14ac:dyDescent="0.25">
      <c r="A495" s="34">
        <f t="array" ref="A495:C495">ODE_RK4(A494:C494,$F$7,$H$7,$I$7,$J$7,$K$7,$L$7)</f>
        <v>97.000000000000838</v>
      </c>
      <c r="B495" s="35">
        <v>-4.7109511537174603E-3</v>
      </c>
      <c r="C495" s="37">
        <v>0.23458016766354875</v>
      </c>
    </row>
    <row r="496" spans="1:3" x14ac:dyDescent="0.25">
      <c r="A496" s="34">
        <f t="array" ref="A496:C496">ODE_RK4(A495:C495,$F$7,$H$7,$I$7,$J$7,$K$7,$L$7)</f>
        <v>97.200000000000841</v>
      </c>
      <c r="B496" s="35">
        <v>2.9976131339635538E-2</v>
      </c>
      <c r="C496" s="37">
        <v>0.11817912540844573</v>
      </c>
    </row>
    <row r="497" spans="1:3" x14ac:dyDescent="0.25">
      <c r="A497" s="34">
        <f t="array" ref="A497:C497">ODE_RK4(A496:C496,$F$7,$H$7,$I$7,$J$7,$K$7,$L$7)</f>
        <v>97.400000000000844</v>
      </c>
      <c r="B497" s="35">
        <v>4.5917402651976198E-2</v>
      </c>
      <c r="C497" s="37">
        <v>5.1204888657481143E-2</v>
      </c>
    </row>
    <row r="498" spans="1:3" x14ac:dyDescent="0.25">
      <c r="A498" s="34">
        <f t="array" ref="A498:C498">ODE_RK4(A497:C497,$F$7,$H$7,$I$7,$J$7,$K$7,$L$7)</f>
        <v>97.600000000000847</v>
      </c>
      <c r="B498" s="35">
        <v>5.4864386573377083E-2</v>
      </c>
      <c r="C498" s="37">
        <v>4.9099640286927357E-2</v>
      </c>
    </row>
    <row r="499" spans="1:3" x14ac:dyDescent="0.25">
      <c r="A499" s="34">
        <f t="array" ref="A499:C499">ODE_RK4(A498:C498,$F$7,$H$7,$I$7,$J$7,$K$7,$L$7)</f>
        <v>97.80000000000085</v>
      </c>
      <c r="B499" s="35">
        <v>6.9636736107787103E-2</v>
      </c>
      <c r="C499" s="37">
        <v>0.10697382594832849</v>
      </c>
    </row>
    <row r="500" spans="1:3" x14ac:dyDescent="0.25">
      <c r="A500" s="34">
        <f t="array" ref="A500:C500">ODE_RK4(A499:C499,$F$7,$H$7,$I$7,$J$7,$K$7,$L$7)</f>
        <v>98.000000000000853</v>
      </c>
      <c r="B500" s="35">
        <v>0.10012986155781227</v>
      </c>
      <c r="C500" s="37">
        <v>0.20110097295966561</v>
      </c>
    </row>
    <row r="501" spans="1:3" x14ac:dyDescent="0.25">
      <c r="A501" s="34">
        <f t="array" ref="A501:C501">ODE_RK4(A500:C500,$F$7,$H$7,$I$7,$J$7,$K$7,$L$7)</f>
        <v>98.200000000000855</v>
      </c>
      <c r="B501" s="35">
        <v>0.15006159132252125</v>
      </c>
      <c r="C501" s="37">
        <v>0.2946819106140442</v>
      </c>
    </row>
    <row r="502" spans="1:3" x14ac:dyDescent="0.25">
      <c r="A502" s="34">
        <f t="array" ref="A502:C502">ODE_RK4(A501:C501,$F$7,$H$7,$I$7,$J$7,$K$7,$L$7)</f>
        <v>98.400000000000858</v>
      </c>
      <c r="B502" s="35">
        <v>0.21520535186028195</v>
      </c>
      <c r="C502" s="37">
        <v>0.34668913681618874</v>
      </c>
    </row>
    <row r="503" spans="1:3" x14ac:dyDescent="0.25">
      <c r="A503" s="34">
        <f t="array" ref="A503:C503">ODE_RK4(A502:C502,$F$7,$H$7,$I$7,$J$7,$K$7,$L$7)</f>
        <v>98.600000000000861</v>
      </c>
      <c r="B503" s="35">
        <v>0.2835519514108964</v>
      </c>
      <c r="C503" s="37">
        <v>0.32197527219732835</v>
      </c>
    </row>
    <row r="504" spans="1:3" x14ac:dyDescent="0.25">
      <c r="A504" s="34">
        <f t="array" ref="A504:C504">ODE_RK4(A503:C503,$F$7,$H$7,$I$7,$J$7,$K$7,$L$7)</f>
        <v>98.800000000000864</v>
      </c>
      <c r="B504" s="35">
        <v>0.33744429886128186</v>
      </c>
      <c r="C504" s="37">
        <v>0.20054750583871533</v>
      </c>
    </row>
    <row r="505" spans="1:3" x14ac:dyDescent="0.25">
      <c r="A505" s="34">
        <f t="array" ref="A505:C505">ODE_RK4(A504:C504,$F$7,$H$7,$I$7,$J$7,$K$7,$L$7)</f>
        <v>99.000000000000867</v>
      </c>
      <c r="B505" s="35">
        <v>0.35731498006027262</v>
      </c>
      <c r="C505" s="37">
        <v>-1.597140741144204E-2</v>
      </c>
    </row>
    <row r="506" spans="1:3" x14ac:dyDescent="0.25">
      <c r="A506" s="34">
        <f t="array" ref="A506:C506">ODE_RK4(A505:C505,$F$7,$H$7,$I$7,$J$7,$K$7,$L$7)</f>
        <v>99.20000000000087</v>
      </c>
      <c r="B506" s="35">
        <v>0.32630520843121613</v>
      </c>
      <c r="C506" s="37">
        <v>-0.30217262735671996</v>
      </c>
    </row>
    <row r="507" spans="1:3" x14ac:dyDescent="0.25">
      <c r="A507" s="34">
        <f t="array" ref="A507:C507">ODE_RK4(A506:C506,$F$7,$H$7,$I$7,$J$7,$K$7,$L$7)</f>
        <v>99.400000000000873</v>
      </c>
      <c r="B507" s="35">
        <v>0.23482434377839162</v>
      </c>
      <c r="C507" s="37">
        <v>-0.61165942595559575</v>
      </c>
    </row>
    <row r="508" spans="1:3" x14ac:dyDescent="0.25">
      <c r="A508" s="34">
        <f t="array" ref="A508:C508">ODE_RK4(A507:C507,$F$7,$H$7,$I$7,$J$7,$K$7,$L$7)</f>
        <v>99.600000000000875</v>
      </c>
      <c r="B508" s="35">
        <v>8.4067644602141556E-2</v>
      </c>
      <c r="C508" s="37">
        <v>-0.88454007583595395</v>
      </c>
    </row>
    <row r="509" spans="1:3" x14ac:dyDescent="0.25">
      <c r="A509" s="34">
        <f t="array" ref="A509:C509">ODE_RK4(A508:C508,$F$7,$H$7,$I$7,$J$7,$K$7,$L$7)</f>
        <v>99.800000000000878</v>
      </c>
      <c r="B509" s="35">
        <v>-0.11234021966530328</v>
      </c>
      <c r="C509" s="37">
        <v>-1.0584092113926284</v>
      </c>
    </row>
    <row r="510" spans="1:3" x14ac:dyDescent="0.25">
      <c r="A510" s="34">
        <f t="array" ref="A510:C510">ODE_RK4(A509:C509,$F$7,$H$7,$I$7,$J$7,$K$7,$L$7)</f>
        <v>100.00000000000088</v>
      </c>
      <c r="B510" s="35">
        <v>-0.32908876002094112</v>
      </c>
      <c r="C510" s="37">
        <v>-1.0808729094831682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4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Planilhas</vt:lpstr>
      </vt:variant>
      <vt:variant>
        <vt:i4>5</vt:i4>
      </vt:variant>
      <vt:variant>
        <vt:lpstr>Gráficos</vt:lpstr>
      </vt:variant>
      <vt:variant>
        <vt:i4>3</vt:i4>
      </vt:variant>
      <vt:variant>
        <vt:lpstr>Intervalos Nomeados</vt:lpstr>
      </vt:variant>
      <vt:variant>
        <vt:i4>10</vt:i4>
      </vt:variant>
    </vt:vector>
  </HeadingPairs>
  <TitlesOfParts>
    <vt:vector size="18" baseType="lpstr">
      <vt:lpstr>Resolução Teórica</vt:lpstr>
      <vt:lpstr>Solução Exata</vt:lpstr>
      <vt:lpstr>edo - i - euler</vt:lpstr>
      <vt:lpstr>edo - i - dif.finita</vt:lpstr>
      <vt:lpstr>edo - i - RK4</vt:lpstr>
      <vt:lpstr>Gráf1</vt:lpstr>
      <vt:lpstr>Gráf2</vt:lpstr>
      <vt:lpstr>Gráf3</vt:lpstr>
      <vt:lpstr>A1_x</vt:lpstr>
      <vt:lpstr>A2_x</vt:lpstr>
      <vt:lpstr>C_x</vt:lpstr>
      <vt:lpstr>E0_x</vt:lpstr>
      <vt:lpstr>K_x</vt:lpstr>
      <vt:lpstr>L_x</vt:lpstr>
      <vt:lpstr>p_x</vt:lpstr>
      <vt:lpstr>R_x</vt:lpstr>
      <vt:lpstr>w_x</vt:lpstr>
      <vt:lpstr>w2_x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</dc:creator>
  <cp:lastModifiedBy>Gustavo Mirapalheta</cp:lastModifiedBy>
  <dcterms:created xsi:type="dcterms:W3CDTF">2011-02-13T18:05:21Z</dcterms:created>
  <dcterms:modified xsi:type="dcterms:W3CDTF">2021-12-02T16:46:17Z</dcterms:modified>
</cp:coreProperties>
</file>