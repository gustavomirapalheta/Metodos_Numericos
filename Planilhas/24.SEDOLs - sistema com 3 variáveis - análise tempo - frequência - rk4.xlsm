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8_{EEDAE621-A213-4417-887D-C54A88F2FCCF}" xr6:coauthVersionLast="47" xr6:coauthVersionMax="47" xr10:uidLastSave="{00000000-0000-0000-0000-000000000000}"/>
  <bookViews>
    <workbookView xWindow="-120" yWindow="-120" windowWidth="27960" windowHeight="14220" activeTab="1"/>
  </bookViews>
  <sheets>
    <sheet name="Plan1" sheetId="1" r:id="rId1"/>
    <sheet name="Plan2" sheetId="2" r:id="rId2"/>
    <sheet name="Plan2 (2)" sheetId="4" r:id="rId3"/>
    <sheet name="Plan3" sheetId="3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3" l="1"/>
  <c r="D12" i="3"/>
  <c r="A13" i="3"/>
  <c r="F13" i="3"/>
  <c r="A12" i="3"/>
  <c r="C13" i="3"/>
  <c r="C12" i="3"/>
  <c r="B13" i="3"/>
  <c r="B12" i="3"/>
  <c r="E13" i="4" a="1"/>
  <c r="E13" i="4"/>
  <c r="H13" i="4" s="1" a="1"/>
  <c r="F13" i="4"/>
  <c r="A14" i="4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K17" i="1"/>
  <c r="K18" i="1"/>
  <c r="K19" i="1"/>
  <c r="K20" i="1"/>
  <c r="K21" i="1"/>
  <c r="K22" i="1"/>
  <c r="K23" i="1"/>
  <c r="L12" i="1"/>
  <c r="L15" i="1"/>
  <c r="K16" i="1"/>
  <c r="L4" i="1" a="1"/>
  <c r="L4" i="1"/>
  <c r="D9" i="1"/>
  <c r="C10" i="1"/>
  <c r="G4" i="2" a="1"/>
  <c r="G5" i="2"/>
  <c r="G4" i="4" a="1"/>
  <c r="G6" i="4"/>
  <c r="G4" i="2"/>
  <c r="G6" i="2"/>
  <c r="M4" i="2" a="1"/>
  <c r="M4" i="2"/>
  <c r="M5" i="2"/>
  <c r="M6" i="2"/>
  <c r="O4" i="2" a="1"/>
  <c r="P4" i="2"/>
  <c r="O4" i="2"/>
  <c r="Q4" i="2"/>
  <c r="G13" i="4"/>
  <c r="L6" i="1"/>
  <c r="G4" i="4"/>
  <c r="G5" i="4"/>
  <c r="M4" i="4" a="1"/>
  <c r="M6" i="4"/>
  <c r="M4" i="4"/>
  <c r="M5" i="4"/>
  <c r="O4" i="4" a="1"/>
  <c r="O4" i="4"/>
  <c r="Q4" i="4"/>
  <c r="P4" i="4"/>
  <c r="E13" i="3"/>
  <c r="L5" i="1"/>
  <c r="H13" i="4" l="1"/>
  <c r="I13" i="4"/>
  <c r="J13" i="4"/>
  <c r="A14" i="3"/>
  <c r="A15" i="4"/>
  <c r="A15" i="3" l="1"/>
  <c r="A16" i="4"/>
  <c r="K13" i="4" a="1"/>
  <c r="K13" i="4" l="1"/>
  <c r="L13" i="4"/>
  <c r="M13" i="4"/>
  <c r="A16" i="3"/>
  <c r="A17" i="4"/>
  <c r="A17" i="3" l="1"/>
  <c r="A18" i="4"/>
  <c r="N13" i="4" a="1"/>
  <c r="N13" i="4" l="1"/>
  <c r="O13" i="4"/>
  <c r="P13" i="4"/>
  <c r="A18" i="3"/>
  <c r="A19" i="4"/>
  <c r="A19" i="3" l="1"/>
  <c r="A20" i="4"/>
  <c r="B14" i="4" a="1"/>
  <c r="B14" i="4" l="1"/>
  <c r="D14" i="4"/>
  <c r="D14" i="3" s="1"/>
  <c r="F14" i="3" s="1"/>
  <c r="C14" i="4"/>
  <c r="C14" i="3" s="1"/>
  <c r="E14" i="3" s="1"/>
  <c r="A20" i="3"/>
  <c r="A21" i="4"/>
  <c r="A21" i="3" l="1"/>
  <c r="A22" i="4"/>
  <c r="B14" i="3"/>
  <c r="E14" i="4" a="1"/>
  <c r="G14" i="4" l="1"/>
  <c r="F14" i="4"/>
  <c r="E14" i="4"/>
  <c r="A22" i="3"/>
  <c r="A23" i="4"/>
  <c r="A23" i="3" l="1"/>
  <c r="A24" i="4"/>
  <c r="H14" i="4" a="1"/>
  <c r="J14" i="4" l="1"/>
  <c r="H14" i="4"/>
  <c r="I14" i="4"/>
  <c r="A24" i="3"/>
  <c r="A25" i="4"/>
  <c r="A25" i="3" l="1"/>
  <c r="A26" i="4"/>
  <c r="K14" i="4" a="1"/>
  <c r="M14" i="4" l="1"/>
  <c r="K14" i="4"/>
  <c r="L14" i="4"/>
  <c r="A26" i="3"/>
  <c r="A27" i="4"/>
  <c r="A27" i="3" l="1"/>
  <c r="A28" i="4"/>
  <c r="N14" i="4" a="1"/>
  <c r="O14" i="4" l="1"/>
  <c r="P14" i="4"/>
  <c r="N14" i="4"/>
  <c r="B15" i="4" s="1" a="1"/>
  <c r="A28" i="3"/>
  <c r="A29" i="4"/>
  <c r="A29" i="3" l="1"/>
  <c r="A30" i="4"/>
  <c r="D15" i="4"/>
  <c r="D15" i="3" s="1"/>
  <c r="F15" i="3" s="1"/>
  <c r="C15" i="4"/>
  <c r="C15" i="3" s="1"/>
  <c r="E15" i="3" s="1"/>
  <c r="B15" i="4"/>
  <c r="B15" i="3" l="1"/>
  <c r="E15" i="4" a="1"/>
  <c r="A30" i="3"/>
  <c r="A31" i="4"/>
  <c r="A31" i="3" l="1"/>
  <c r="A32" i="4"/>
  <c r="G15" i="4"/>
  <c r="E15" i="4"/>
  <c r="F15" i="4"/>
  <c r="H15" i="4" l="1" a="1"/>
  <c r="A32" i="3"/>
  <c r="A33" i="4"/>
  <c r="A33" i="3" l="1"/>
  <c r="A34" i="4"/>
  <c r="J15" i="4"/>
  <c r="H15" i="4"/>
  <c r="I15" i="4"/>
  <c r="K15" i="4" l="1" a="1"/>
  <c r="A34" i="3"/>
  <c r="A35" i="4"/>
  <c r="A35" i="3" l="1"/>
  <c r="A36" i="4"/>
  <c r="M15" i="4"/>
  <c r="K15" i="4"/>
  <c r="L15" i="4"/>
  <c r="N15" i="4" l="1" a="1"/>
  <c r="A36" i="3"/>
  <c r="A37" i="4"/>
  <c r="A37" i="3" l="1"/>
  <c r="A38" i="4"/>
  <c r="P15" i="4"/>
  <c r="N15" i="4"/>
  <c r="O15" i="4"/>
  <c r="B16" i="4" l="1" a="1"/>
  <c r="A38" i="3"/>
  <c r="A39" i="4"/>
  <c r="A39" i="3" l="1"/>
  <c r="A40" i="4"/>
  <c r="C16" i="4"/>
  <c r="C16" i="3" s="1"/>
  <c r="E16" i="3" s="1"/>
  <c r="D16" i="4"/>
  <c r="D16" i="3" s="1"/>
  <c r="F16" i="3" s="1"/>
  <c r="B16" i="4"/>
  <c r="B16" i="3" l="1"/>
  <c r="E16" i="4" a="1"/>
  <c r="A40" i="3"/>
  <c r="A41" i="4"/>
  <c r="A41" i="3" l="1"/>
  <c r="A42" i="4"/>
  <c r="F16" i="4"/>
  <c r="G16" i="4"/>
  <c r="E16" i="4"/>
  <c r="H16" i="4" l="1" a="1"/>
  <c r="A42" i="3"/>
  <c r="A43" i="4"/>
  <c r="A43" i="3" l="1"/>
  <c r="A44" i="4"/>
  <c r="I16" i="4"/>
  <c r="J16" i="4"/>
  <c r="H16" i="4"/>
  <c r="K16" i="4" l="1" a="1"/>
  <c r="A44" i="3"/>
  <c r="A45" i="4"/>
  <c r="A45" i="3" l="1"/>
  <c r="A46" i="4"/>
  <c r="L16" i="4"/>
  <c r="M16" i="4"/>
  <c r="K16" i="4"/>
  <c r="N16" i="4" l="1" a="1"/>
  <c r="A46" i="3"/>
  <c r="A47" i="4"/>
  <c r="A47" i="3" l="1"/>
  <c r="A48" i="4"/>
  <c r="O16" i="4"/>
  <c r="P16" i="4"/>
  <c r="N16" i="4"/>
  <c r="B17" i="4" s="1" a="1"/>
  <c r="D17" i="4" l="1"/>
  <c r="D17" i="3" s="1"/>
  <c r="F17" i="3" s="1"/>
  <c r="B17" i="4"/>
  <c r="C17" i="4"/>
  <c r="C17" i="3" s="1"/>
  <c r="E17" i="3" s="1"/>
  <c r="A48" i="3"/>
  <c r="A49" i="4"/>
  <c r="A49" i="3" l="1"/>
  <c r="A50" i="4"/>
  <c r="B17" i="3"/>
  <c r="E17" i="4" a="1"/>
  <c r="G17" i="4" l="1"/>
  <c r="E17" i="4"/>
  <c r="F17" i="4"/>
  <c r="A50" i="3"/>
  <c r="A51" i="4"/>
  <c r="A51" i="3" l="1"/>
  <c r="A52" i="4"/>
  <c r="H17" i="4" a="1"/>
  <c r="J17" i="4" l="1"/>
  <c r="H17" i="4"/>
  <c r="I17" i="4"/>
  <c r="A52" i="3"/>
  <c r="A53" i="4"/>
  <c r="A53" i="3" l="1"/>
  <c r="A54" i="4"/>
  <c r="K17" i="4" a="1"/>
  <c r="M17" i="4" l="1"/>
  <c r="K17" i="4"/>
  <c r="L17" i="4"/>
  <c r="A54" i="3"/>
  <c r="A55" i="4"/>
  <c r="A55" i="3" l="1"/>
  <c r="A56" i="4"/>
  <c r="N17" i="4" a="1"/>
  <c r="P17" i="4" l="1"/>
  <c r="N17" i="4"/>
  <c r="O17" i="4"/>
  <c r="A56" i="3"/>
  <c r="A57" i="4"/>
  <c r="A57" i="3" l="1"/>
  <c r="A58" i="4"/>
  <c r="B18" i="4" a="1"/>
  <c r="C18" i="4" l="1"/>
  <c r="C18" i="3" s="1"/>
  <c r="E18" i="3" s="1"/>
  <c r="D18" i="4"/>
  <c r="D18" i="3" s="1"/>
  <c r="F18" i="3" s="1"/>
  <c r="B18" i="4"/>
  <c r="A58" i="3"/>
  <c r="A59" i="4"/>
  <c r="A59" i="3" l="1"/>
  <c r="A60" i="4"/>
  <c r="B18" i="3"/>
  <c r="E18" i="4" a="1"/>
  <c r="F18" i="4" l="1"/>
  <c r="G18" i="4"/>
  <c r="E18" i="4"/>
  <c r="A60" i="3"/>
  <c r="A61" i="4"/>
  <c r="A61" i="3" l="1"/>
  <c r="A62" i="4"/>
  <c r="H18" i="4" a="1"/>
  <c r="I18" i="4" l="1"/>
  <c r="J18" i="4"/>
  <c r="H18" i="4"/>
  <c r="A62" i="3"/>
  <c r="A63" i="4"/>
  <c r="A63" i="3" l="1"/>
  <c r="A64" i="4"/>
  <c r="K18" i="4" a="1"/>
  <c r="L18" i="4" l="1"/>
  <c r="M18" i="4"/>
  <c r="K18" i="4"/>
  <c r="A64" i="3"/>
  <c r="A65" i="4"/>
  <c r="A65" i="3" l="1"/>
  <c r="A66" i="4"/>
  <c r="N18" i="4" a="1"/>
  <c r="O18" i="4" l="1"/>
  <c r="P18" i="4"/>
  <c r="N18" i="4"/>
  <c r="B19" i="4" s="1" a="1"/>
  <c r="A66" i="3"/>
  <c r="A67" i="4"/>
  <c r="A67" i="3" l="1"/>
  <c r="A68" i="4"/>
  <c r="D19" i="4"/>
  <c r="D19" i="3" s="1"/>
  <c r="F19" i="3" s="1"/>
  <c r="B19" i="4"/>
  <c r="C19" i="4"/>
  <c r="C19" i="3" s="1"/>
  <c r="E19" i="3" s="1"/>
  <c r="B19" i="3" l="1"/>
  <c r="E19" i="4" a="1"/>
  <c r="A68" i="3"/>
  <c r="A69" i="4"/>
  <c r="A69" i="3" l="1"/>
  <c r="A70" i="4"/>
  <c r="G19" i="4"/>
  <c r="E19" i="4"/>
  <c r="F19" i="4"/>
  <c r="H19" i="4" l="1" a="1"/>
  <c r="A70" i="3"/>
  <c r="A71" i="4"/>
  <c r="A71" i="3" l="1"/>
  <c r="A72" i="4"/>
  <c r="J19" i="4"/>
  <c r="H19" i="4"/>
  <c r="I19" i="4"/>
  <c r="K19" i="4" l="1" a="1"/>
  <c r="A72" i="3"/>
  <c r="A73" i="4"/>
  <c r="A73" i="3" l="1"/>
  <c r="A74" i="4"/>
  <c r="M19" i="4"/>
  <c r="K19" i="4"/>
  <c r="L19" i="4"/>
  <c r="N19" i="4" l="1" a="1"/>
  <c r="A74" i="3"/>
  <c r="A75" i="4"/>
  <c r="A75" i="3" l="1"/>
  <c r="A76" i="4"/>
  <c r="P19" i="4"/>
  <c r="N19" i="4"/>
  <c r="O19" i="4"/>
  <c r="B20" i="4" l="1" a="1"/>
  <c r="A76" i="3"/>
  <c r="A77" i="4"/>
  <c r="A77" i="3" l="1"/>
  <c r="A78" i="4"/>
  <c r="C20" i="4"/>
  <c r="C20" i="3" s="1"/>
  <c r="E20" i="3" s="1"/>
  <c r="D20" i="4"/>
  <c r="D20" i="3" s="1"/>
  <c r="F20" i="3" s="1"/>
  <c r="B20" i="4"/>
  <c r="B20" i="3" l="1"/>
  <c r="E20" i="4" a="1"/>
  <c r="A78" i="3"/>
  <c r="A79" i="4"/>
  <c r="A79" i="3" l="1"/>
  <c r="A80" i="4"/>
  <c r="F20" i="4"/>
  <c r="G20" i="4"/>
  <c r="E20" i="4"/>
  <c r="H20" i="4" l="1" a="1"/>
  <c r="A80" i="3"/>
  <c r="A81" i="4"/>
  <c r="A81" i="3" l="1"/>
  <c r="A82" i="4"/>
  <c r="I20" i="4"/>
  <c r="J20" i="4"/>
  <c r="H20" i="4"/>
  <c r="K20" i="4" l="1" a="1"/>
  <c r="A82" i="3"/>
  <c r="A83" i="4"/>
  <c r="A83" i="3" l="1"/>
  <c r="A84" i="4"/>
  <c r="L20" i="4"/>
  <c r="M20" i="4"/>
  <c r="K20" i="4"/>
  <c r="N20" i="4" l="1" a="1"/>
  <c r="A84" i="3"/>
  <c r="A85" i="4"/>
  <c r="A85" i="3" l="1"/>
  <c r="A86" i="4"/>
  <c r="O20" i="4"/>
  <c r="P20" i="4"/>
  <c r="N20" i="4"/>
  <c r="B21" i="4" s="1" a="1"/>
  <c r="D21" i="4" l="1"/>
  <c r="D21" i="3" s="1"/>
  <c r="F21" i="3" s="1"/>
  <c r="B21" i="4"/>
  <c r="C21" i="4"/>
  <c r="C21" i="3" s="1"/>
  <c r="E21" i="3" s="1"/>
  <c r="A86" i="3"/>
  <c r="A87" i="4"/>
  <c r="A87" i="3" l="1"/>
  <c r="A88" i="4"/>
  <c r="B21" i="3"/>
  <c r="E21" i="4" a="1"/>
  <c r="G21" i="4" l="1"/>
  <c r="E21" i="4"/>
  <c r="F21" i="4"/>
  <c r="A88" i="3"/>
  <c r="A89" i="4"/>
  <c r="A89" i="3" l="1"/>
  <c r="A90" i="4"/>
  <c r="H21" i="4" a="1"/>
  <c r="J21" i="4" l="1"/>
  <c r="H21" i="4"/>
  <c r="I21" i="4"/>
  <c r="A90" i="3"/>
  <c r="A91" i="4"/>
  <c r="A91" i="3" l="1"/>
  <c r="A92" i="4"/>
  <c r="K21" i="4" a="1"/>
  <c r="M21" i="4" l="1"/>
  <c r="K21" i="4"/>
  <c r="L21" i="4"/>
  <c r="A92" i="3"/>
  <c r="A93" i="4"/>
  <c r="A93" i="3" l="1"/>
  <c r="A94" i="4"/>
  <c r="N21" i="4" a="1"/>
  <c r="P21" i="4" l="1"/>
  <c r="N21" i="4"/>
  <c r="O21" i="4"/>
  <c r="A94" i="3"/>
  <c r="A95" i="4"/>
  <c r="A95" i="3" l="1"/>
  <c r="A96" i="4"/>
  <c r="B22" i="4" a="1"/>
  <c r="C22" i="4" l="1"/>
  <c r="C22" i="3" s="1"/>
  <c r="E22" i="3" s="1"/>
  <c r="D22" i="4"/>
  <c r="D22" i="3" s="1"/>
  <c r="F22" i="3" s="1"/>
  <c r="B22" i="4"/>
  <c r="A96" i="3"/>
  <c r="A97" i="4"/>
  <c r="A97" i="3" l="1"/>
  <c r="A98" i="4"/>
  <c r="B22" i="3"/>
  <c r="E22" i="4" a="1"/>
  <c r="F22" i="4" l="1"/>
  <c r="G22" i="4"/>
  <c r="E22" i="4"/>
  <c r="A98" i="3"/>
  <c r="A99" i="4"/>
  <c r="A99" i="3" l="1"/>
  <c r="A100" i="4"/>
  <c r="H22" i="4" a="1"/>
  <c r="I22" i="4" l="1"/>
  <c r="J22" i="4"/>
  <c r="H22" i="4"/>
  <c r="A100" i="3"/>
  <c r="A101" i="4"/>
  <c r="A101" i="3" l="1"/>
  <c r="A102" i="4"/>
  <c r="K22" i="4" a="1"/>
  <c r="L22" i="4" l="1"/>
  <c r="M22" i="4"/>
  <c r="K22" i="4"/>
  <c r="A102" i="3"/>
  <c r="A103" i="4"/>
  <c r="A103" i="3" l="1"/>
  <c r="A104" i="4"/>
  <c r="N22" i="4" a="1"/>
  <c r="O22" i="4" l="1"/>
  <c r="P22" i="4"/>
  <c r="N22" i="4"/>
  <c r="B23" i="4" s="1" a="1"/>
  <c r="A104" i="3"/>
  <c r="A105" i="4"/>
  <c r="A105" i="3" l="1"/>
  <c r="A106" i="4"/>
  <c r="D23" i="4"/>
  <c r="D23" i="3" s="1"/>
  <c r="F23" i="3" s="1"/>
  <c r="B23" i="4"/>
  <c r="C23" i="4"/>
  <c r="C23" i="3" s="1"/>
  <c r="E23" i="3" s="1"/>
  <c r="B23" i="3" l="1"/>
  <c r="E23" i="4" a="1"/>
  <c r="A106" i="3"/>
  <c r="A107" i="4"/>
  <c r="A107" i="3" l="1"/>
  <c r="A108" i="4"/>
  <c r="G23" i="4"/>
  <c r="E23" i="4"/>
  <c r="F23" i="4"/>
  <c r="H23" i="4" l="1" a="1"/>
  <c r="A108" i="3"/>
  <c r="A109" i="4"/>
  <c r="A109" i="3" l="1"/>
  <c r="A110" i="4"/>
  <c r="J23" i="4"/>
  <c r="H23" i="4"/>
  <c r="I23" i="4"/>
  <c r="K23" i="4" l="1" a="1"/>
  <c r="A110" i="3"/>
  <c r="A111" i="4"/>
  <c r="A111" i="3" l="1"/>
  <c r="A112" i="4"/>
  <c r="M23" i="4"/>
  <c r="K23" i="4"/>
  <c r="L23" i="4"/>
  <c r="N23" i="4" l="1" a="1"/>
  <c r="A112" i="3"/>
  <c r="A113" i="4"/>
  <c r="A113" i="3" l="1"/>
  <c r="A114" i="4"/>
  <c r="P23" i="4"/>
  <c r="N23" i="4"/>
  <c r="O23" i="4"/>
  <c r="B24" i="4" l="1" a="1"/>
  <c r="A114" i="3"/>
  <c r="A115" i="4"/>
  <c r="A115" i="3" l="1"/>
  <c r="A116" i="4"/>
  <c r="C24" i="4"/>
  <c r="C24" i="3" s="1"/>
  <c r="E24" i="3" s="1"/>
  <c r="D24" i="4"/>
  <c r="D24" i="3" s="1"/>
  <c r="F24" i="3" s="1"/>
  <c r="B24" i="4"/>
  <c r="B24" i="3" l="1"/>
  <c r="E24" i="4" a="1"/>
  <c r="A116" i="3"/>
  <c r="A117" i="4"/>
  <c r="A117" i="3" l="1"/>
  <c r="A118" i="4"/>
  <c r="F24" i="4"/>
  <c r="G24" i="4"/>
  <c r="E24" i="4"/>
  <c r="H24" i="4" l="1" a="1"/>
  <c r="A118" i="3"/>
  <c r="A119" i="4"/>
  <c r="A119" i="3" l="1"/>
  <c r="A120" i="4"/>
  <c r="I24" i="4"/>
  <c r="J24" i="4"/>
  <c r="H24" i="4"/>
  <c r="K24" i="4" l="1" a="1"/>
  <c r="A120" i="3"/>
  <c r="A121" i="4"/>
  <c r="A121" i="3" l="1"/>
  <c r="A122" i="4"/>
  <c r="L24" i="4"/>
  <c r="M24" i="4"/>
  <c r="K24" i="4"/>
  <c r="N24" i="4" l="1" a="1"/>
  <c r="A122" i="3"/>
  <c r="A123" i="4"/>
  <c r="A123" i="3" l="1"/>
  <c r="A124" i="4"/>
  <c r="O24" i="4"/>
  <c r="P24" i="4"/>
  <c r="N24" i="4"/>
  <c r="B25" i="4" s="1" a="1"/>
  <c r="D25" i="4" l="1"/>
  <c r="D25" i="3" s="1"/>
  <c r="F25" i="3" s="1"/>
  <c r="B25" i="4"/>
  <c r="C25" i="4"/>
  <c r="C25" i="3" s="1"/>
  <c r="E25" i="3" s="1"/>
  <c r="A124" i="3"/>
  <c r="A125" i="4"/>
  <c r="A125" i="3" l="1"/>
  <c r="A126" i="4"/>
  <c r="B25" i="3"/>
  <c r="E25" i="4" a="1"/>
  <c r="G25" i="4" l="1"/>
  <c r="E25" i="4"/>
  <c r="F25" i="4"/>
  <c r="A126" i="3"/>
  <c r="A127" i="4"/>
  <c r="A127" i="3" l="1"/>
  <c r="A128" i="4"/>
  <c r="H25" i="4" a="1"/>
  <c r="J25" i="4" l="1"/>
  <c r="H25" i="4"/>
  <c r="I25" i="4"/>
  <c r="A128" i="3"/>
  <c r="A129" i="4"/>
  <c r="A129" i="3" l="1"/>
  <c r="A130" i="4"/>
  <c r="K25" i="4" a="1"/>
  <c r="M25" i="4" l="1"/>
  <c r="K25" i="4"/>
  <c r="L25" i="4"/>
  <c r="A130" i="3"/>
  <c r="A131" i="4"/>
  <c r="A131" i="3" l="1"/>
  <c r="A132" i="4"/>
  <c r="N25" i="4" a="1"/>
  <c r="P25" i="4" l="1"/>
  <c r="N25" i="4"/>
  <c r="O25" i="4"/>
  <c r="A132" i="3"/>
  <c r="A133" i="4"/>
  <c r="A133" i="3" l="1"/>
  <c r="A134" i="4"/>
  <c r="B26" i="4" a="1"/>
  <c r="C26" i="4" l="1"/>
  <c r="C26" i="3" s="1"/>
  <c r="E26" i="3" s="1"/>
  <c r="D26" i="4"/>
  <c r="D26" i="3" s="1"/>
  <c r="F26" i="3" s="1"/>
  <c r="B26" i="4"/>
  <c r="A134" i="3"/>
  <c r="A135" i="4"/>
  <c r="A135" i="3" l="1"/>
  <c r="A136" i="4"/>
  <c r="B26" i="3"/>
  <c r="E26" i="4" a="1"/>
  <c r="F26" i="4" l="1"/>
  <c r="G26" i="4"/>
  <c r="E26" i="4"/>
  <c r="A136" i="3"/>
  <c r="A137" i="4"/>
  <c r="A137" i="3" l="1"/>
  <c r="A138" i="4"/>
  <c r="H26" i="4" a="1"/>
  <c r="I26" i="4" l="1"/>
  <c r="J26" i="4"/>
  <c r="H26" i="4"/>
  <c r="A138" i="3"/>
  <c r="A139" i="4"/>
  <c r="A139" i="3" l="1"/>
  <c r="A140" i="4"/>
  <c r="K26" i="4" a="1"/>
  <c r="L26" i="4" l="1"/>
  <c r="M26" i="4"/>
  <c r="K26" i="4"/>
  <c r="A140" i="3"/>
  <c r="A141" i="4"/>
  <c r="A141" i="3" l="1"/>
  <c r="A142" i="4"/>
  <c r="N26" i="4" a="1"/>
  <c r="O26" i="4" l="1"/>
  <c r="P26" i="4"/>
  <c r="N26" i="4"/>
  <c r="B27" i="4" s="1" a="1"/>
  <c r="A142" i="3"/>
  <c r="A143" i="4"/>
  <c r="A143" i="3" l="1"/>
  <c r="A144" i="4"/>
  <c r="D27" i="4"/>
  <c r="D27" i="3" s="1"/>
  <c r="F27" i="3" s="1"/>
  <c r="B27" i="4"/>
  <c r="C27" i="4"/>
  <c r="C27" i="3" s="1"/>
  <c r="E27" i="3" s="1"/>
  <c r="B27" i="3" l="1"/>
  <c r="E27" i="4" a="1"/>
  <c r="A144" i="3"/>
  <c r="A145" i="4"/>
  <c r="A145" i="3" l="1"/>
  <c r="A146" i="4"/>
  <c r="G27" i="4"/>
  <c r="E27" i="4"/>
  <c r="F27" i="4"/>
  <c r="H27" i="4" l="1" a="1"/>
  <c r="A146" i="3"/>
  <c r="A147" i="4"/>
  <c r="A147" i="3" l="1"/>
  <c r="A148" i="4"/>
  <c r="J27" i="4"/>
  <c r="H27" i="4"/>
  <c r="I27" i="4"/>
  <c r="K27" i="4" l="1" a="1"/>
  <c r="A148" i="3"/>
  <c r="A149" i="4"/>
  <c r="A149" i="3" l="1"/>
  <c r="A150" i="4"/>
  <c r="M27" i="4"/>
  <c r="K27" i="4"/>
  <c r="L27" i="4"/>
  <c r="N27" i="4" l="1" a="1"/>
  <c r="A150" i="3"/>
  <c r="A151" i="4"/>
  <c r="A151" i="3" l="1"/>
  <c r="A152" i="4"/>
  <c r="P27" i="4"/>
  <c r="N27" i="4"/>
  <c r="O27" i="4"/>
  <c r="B28" i="4" l="1" a="1"/>
  <c r="A152" i="3"/>
  <c r="A153" i="4"/>
  <c r="A153" i="3" l="1"/>
  <c r="A154" i="4"/>
  <c r="C28" i="4"/>
  <c r="C28" i="3" s="1"/>
  <c r="E28" i="3" s="1"/>
  <c r="D28" i="4"/>
  <c r="D28" i="3" s="1"/>
  <c r="F28" i="3" s="1"/>
  <c r="B28" i="4"/>
  <c r="B28" i="3" l="1"/>
  <c r="E28" i="4" a="1"/>
  <c r="A154" i="3"/>
  <c r="A155" i="4"/>
  <c r="A155" i="3" l="1"/>
  <c r="A156" i="4"/>
  <c r="F28" i="4"/>
  <c r="G28" i="4"/>
  <c r="E28" i="4"/>
  <c r="H28" i="4" l="1" a="1"/>
  <c r="A156" i="3"/>
  <c r="A157" i="4"/>
  <c r="A157" i="3" l="1"/>
  <c r="A158" i="4"/>
  <c r="I28" i="4"/>
  <c r="J28" i="4"/>
  <c r="H28" i="4"/>
  <c r="K28" i="4" l="1" a="1"/>
  <c r="A158" i="3"/>
  <c r="A159" i="4"/>
  <c r="A159" i="3" l="1"/>
  <c r="A160" i="4"/>
  <c r="L28" i="4"/>
  <c r="M28" i="4"/>
  <c r="K28" i="4"/>
  <c r="N28" i="4" l="1" a="1"/>
  <c r="A160" i="3"/>
  <c r="A161" i="4"/>
  <c r="A161" i="3" l="1"/>
  <c r="A162" i="4"/>
  <c r="O28" i="4"/>
  <c r="P28" i="4"/>
  <c r="N28" i="4"/>
  <c r="B29" i="4" s="1" a="1"/>
  <c r="D29" i="4" l="1"/>
  <c r="D29" i="3" s="1"/>
  <c r="F29" i="3" s="1"/>
  <c r="B29" i="4"/>
  <c r="C29" i="4"/>
  <c r="C29" i="3" s="1"/>
  <c r="E29" i="3" s="1"/>
  <c r="A162" i="3"/>
  <c r="A163" i="4"/>
  <c r="A163" i="3" l="1"/>
  <c r="A164" i="4"/>
  <c r="B29" i="3"/>
  <c r="E29" i="4" a="1"/>
  <c r="G29" i="4" l="1"/>
  <c r="E29" i="4"/>
  <c r="F29" i="4"/>
  <c r="A164" i="3"/>
  <c r="A165" i="4"/>
  <c r="A165" i="3" l="1"/>
  <c r="A166" i="4"/>
  <c r="H29" i="4" a="1"/>
  <c r="J29" i="4" l="1"/>
  <c r="H29" i="4"/>
  <c r="I29" i="4"/>
  <c r="A166" i="3"/>
  <c r="A167" i="4"/>
  <c r="A167" i="3" l="1"/>
  <c r="A168" i="4"/>
  <c r="K29" i="4" a="1"/>
  <c r="M29" i="4" l="1"/>
  <c r="K29" i="4"/>
  <c r="L29" i="4"/>
  <c r="A168" i="3"/>
  <c r="A169" i="4"/>
  <c r="A169" i="3" l="1"/>
  <c r="A170" i="4"/>
  <c r="N29" i="4" a="1"/>
  <c r="P29" i="4" l="1"/>
  <c r="N29" i="4"/>
  <c r="O29" i="4"/>
  <c r="A170" i="3"/>
  <c r="A171" i="4"/>
  <c r="A171" i="3" l="1"/>
  <c r="A172" i="4"/>
  <c r="B30" i="4" a="1"/>
  <c r="C30" i="4" l="1"/>
  <c r="C30" i="3" s="1"/>
  <c r="E30" i="3" s="1"/>
  <c r="D30" i="4"/>
  <c r="D30" i="3" s="1"/>
  <c r="F30" i="3" s="1"/>
  <c r="B30" i="4"/>
  <c r="A172" i="3"/>
  <c r="A173" i="4"/>
  <c r="A173" i="3" l="1"/>
  <c r="A174" i="4"/>
  <c r="B30" i="3"/>
  <c r="E30" i="4" a="1"/>
  <c r="F30" i="4" l="1"/>
  <c r="G30" i="4"/>
  <c r="E30" i="4"/>
  <c r="A174" i="3"/>
  <c r="A175" i="4"/>
  <c r="A175" i="3" l="1"/>
  <c r="A176" i="4"/>
  <c r="H30" i="4" a="1"/>
  <c r="I30" i="4" l="1"/>
  <c r="J30" i="4"/>
  <c r="H30" i="4"/>
  <c r="A176" i="3"/>
  <c r="A177" i="4"/>
  <c r="A177" i="3" l="1"/>
  <c r="A178" i="4"/>
  <c r="K30" i="4" a="1"/>
  <c r="L30" i="4" l="1"/>
  <c r="M30" i="4"/>
  <c r="K30" i="4"/>
  <c r="A178" i="3"/>
  <c r="A179" i="4"/>
  <c r="A179" i="3" l="1"/>
  <c r="A180" i="4"/>
  <c r="N30" i="4" a="1"/>
  <c r="O30" i="4" l="1"/>
  <c r="P30" i="4"/>
  <c r="N30" i="4"/>
  <c r="B31" i="4" s="1" a="1"/>
  <c r="A180" i="3"/>
  <c r="A181" i="4"/>
  <c r="A181" i="3" l="1"/>
  <c r="A182" i="4"/>
  <c r="D31" i="4"/>
  <c r="D31" i="3" s="1"/>
  <c r="F31" i="3" s="1"/>
  <c r="B31" i="4"/>
  <c r="C31" i="4"/>
  <c r="C31" i="3" s="1"/>
  <c r="E31" i="3" s="1"/>
  <c r="B31" i="3" l="1"/>
  <c r="E31" i="4" a="1"/>
  <c r="A182" i="3"/>
  <c r="A183" i="4"/>
  <c r="A183" i="3" l="1"/>
  <c r="A184" i="4"/>
  <c r="G31" i="4"/>
  <c r="E31" i="4"/>
  <c r="F31" i="4"/>
  <c r="H31" i="4" l="1" a="1"/>
  <c r="A184" i="3"/>
  <c r="A185" i="4"/>
  <c r="A185" i="3" l="1"/>
  <c r="A186" i="4"/>
  <c r="J31" i="4"/>
  <c r="H31" i="4"/>
  <c r="I31" i="4"/>
  <c r="K31" i="4" l="1" a="1"/>
  <c r="A186" i="3"/>
  <c r="A187" i="4"/>
  <c r="A187" i="3" l="1"/>
  <c r="A188" i="4"/>
  <c r="M31" i="4"/>
  <c r="K31" i="4"/>
  <c r="L31" i="4"/>
  <c r="N31" i="4" l="1" a="1"/>
  <c r="A188" i="3"/>
  <c r="A189" i="4"/>
  <c r="A189" i="3" l="1"/>
  <c r="A190" i="4"/>
  <c r="P31" i="4"/>
  <c r="N31" i="4"/>
  <c r="O31" i="4"/>
  <c r="B32" i="4" l="1" a="1"/>
  <c r="A190" i="3"/>
  <c r="A191" i="4"/>
  <c r="A191" i="3" l="1"/>
  <c r="A192" i="4"/>
  <c r="C32" i="4"/>
  <c r="C32" i="3" s="1"/>
  <c r="E32" i="3" s="1"/>
  <c r="D32" i="4"/>
  <c r="D32" i="3" s="1"/>
  <c r="F32" i="3" s="1"/>
  <c r="B32" i="4"/>
  <c r="B32" i="3" l="1"/>
  <c r="E32" i="4" a="1"/>
  <c r="A192" i="3"/>
  <c r="A193" i="4"/>
  <c r="A193" i="3" l="1"/>
  <c r="A194" i="4"/>
  <c r="F32" i="4"/>
  <c r="G32" i="4"/>
  <c r="E32" i="4"/>
  <c r="H32" i="4" l="1" a="1"/>
  <c r="A194" i="3"/>
  <c r="A195" i="4"/>
  <c r="A195" i="3" l="1"/>
  <c r="A196" i="4"/>
  <c r="E194" i="3"/>
  <c r="F194" i="3"/>
  <c r="I32" i="4"/>
  <c r="J32" i="4"/>
  <c r="H32" i="4"/>
  <c r="K32" i="4" l="1" a="1"/>
  <c r="A196" i="3"/>
  <c r="A197" i="4"/>
  <c r="F195" i="3"/>
  <c r="E195" i="3"/>
  <c r="A197" i="3" l="1"/>
  <c r="A198" i="4"/>
  <c r="E196" i="3"/>
  <c r="F196" i="3"/>
  <c r="L32" i="4"/>
  <c r="M32" i="4"/>
  <c r="K32" i="4"/>
  <c r="N32" i="4" l="1" a="1"/>
  <c r="A198" i="3"/>
  <c r="A199" i="4"/>
  <c r="F197" i="3"/>
  <c r="E197" i="3"/>
  <c r="A199" i="3" l="1"/>
  <c r="A200" i="4"/>
  <c r="E198" i="3"/>
  <c r="F198" i="3"/>
  <c r="O32" i="4"/>
  <c r="P32" i="4"/>
  <c r="N32" i="4"/>
  <c r="B33" i="4" s="1" a="1"/>
  <c r="D33" i="4" l="1"/>
  <c r="D33" i="3" s="1"/>
  <c r="F33" i="3" s="1"/>
  <c r="B33" i="4"/>
  <c r="C33" i="4"/>
  <c r="C33" i="3" s="1"/>
  <c r="E33" i="3" s="1"/>
  <c r="A200" i="3"/>
  <c r="A201" i="4"/>
  <c r="F199" i="3"/>
  <c r="E199" i="3"/>
  <c r="A201" i="3" l="1"/>
  <c r="A202" i="4"/>
  <c r="E200" i="3"/>
  <c r="F200" i="3"/>
  <c r="B33" i="3"/>
  <c r="E33" i="4" a="1"/>
  <c r="G33" i="4" l="1"/>
  <c r="E33" i="4"/>
  <c r="F33" i="4"/>
  <c r="A202" i="3"/>
  <c r="A203" i="4"/>
  <c r="F201" i="3"/>
  <c r="E201" i="3"/>
  <c r="A203" i="3" l="1"/>
  <c r="A204" i="4"/>
  <c r="E202" i="3"/>
  <c r="F202" i="3"/>
  <c r="H33" i="4" a="1"/>
  <c r="J33" i="4" l="1"/>
  <c r="H33" i="4"/>
  <c r="I33" i="4"/>
  <c r="A204" i="3"/>
  <c r="A205" i="4"/>
  <c r="F203" i="3"/>
  <c r="E203" i="3"/>
  <c r="A205" i="3" l="1"/>
  <c r="A206" i="4"/>
  <c r="E204" i="3"/>
  <c r="F204" i="3"/>
  <c r="K33" i="4" a="1"/>
  <c r="M33" i="4" l="1"/>
  <c r="K33" i="4"/>
  <c r="L33" i="4"/>
  <c r="A206" i="3"/>
  <c r="A207" i="4"/>
  <c r="F205" i="3"/>
  <c r="E205" i="3"/>
  <c r="A207" i="3" l="1"/>
  <c r="A208" i="4"/>
  <c r="E206" i="3"/>
  <c r="F206" i="3"/>
  <c r="N33" i="4" a="1"/>
  <c r="P33" i="4" l="1"/>
  <c r="N33" i="4"/>
  <c r="O33" i="4"/>
  <c r="A208" i="3"/>
  <c r="A209" i="4"/>
  <c r="F207" i="3"/>
  <c r="E207" i="3"/>
  <c r="A209" i="3" l="1"/>
  <c r="A210" i="4"/>
  <c r="E208" i="3"/>
  <c r="F208" i="3"/>
  <c r="B34" i="4" a="1"/>
  <c r="C34" i="4" l="1"/>
  <c r="C34" i="3" s="1"/>
  <c r="E34" i="3" s="1"/>
  <c r="D34" i="4"/>
  <c r="D34" i="3" s="1"/>
  <c r="F34" i="3" s="1"/>
  <c r="B34" i="4"/>
  <c r="A210" i="3"/>
  <c r="A211" i="4"/>
  <c r="F209" i="3"/>
  <c r="E209" i="3"/>
  <c r="A211" i="3" l="1"/>
  <c r="A212" i="4"/>
  <c r="E210" i="3"/>
  <c r="F210" i="3"/>
  <c r="B34" i="3"/>
  <c r="E34" i="4" a="1"/>
  <c r="F34" i="4" l="1"/>
  <c r="G34" i="4"/>
  <c r="E34" i="4"/>
  <c r="A212" i="3"/>
  <c r="A213" i="4"/>
  <c r="F211" i="3"/>
  <c r="E211" i="3"/>
  <c r="A213" i="3" l="1"/>
  <c r="A214" i="4"/>
  <c r="E212" i="3"/>
  <c r="F212" i="3"/>
  <c r="H34" i="4" a="1"/>
  <c r="I34" i="4" l="1"/>
  <c r="J34" i="4"/>
  <c r="H34" i="4"/>
  <c r="A214" i="3"/>
  <c r="A215" i="4"/>
  <c r="F213" i="3"/>
  <c r="E213" i="3"/>
  <c r="A215" i="3" l="1"/>
  <c r="A216" i="4"/>
  <c r="E214" i="3"/>
  <c r="F214" i="3"/>
  <c r="K34" i="4" a="1"/>
  <c r="L34" i="4" l="1"/>
  <c r="M34" i="4"/>
  <c r="K34" i="4"/>
  <c r="A216" i="3"/>
  <c r="A217" i="4"/>
  <c r="F215" i="3"/>
  <c r="E215" i="3"/>
  <c r="A217" i="3" l="1"/>
  <c r="A218" i="4"/>
  <c r="E216" i="3"/>
  <c r="F216" i="3"/>
  <c r="N34" i="4" a="1"/>
  <c r="O34" i="4" l="1"/>
  <c r="P34" i="4"/>
  <c r="N34" i="4"/>
  <c r="B35" i="4" s="1" a="1"/>
  <c r="A218" i="3"/>
  <c r="A219" i="4"/>
  <c r="F217" i="3"/>
  <c r="E217" i="3"/>
  <c r="A219" i="3" l="1"/>
  <c r="A220" i="4"/>
  <c r="E218" i="3"/>
  <c r="F218" i="3"/>
  <c r="D35" i="4"/>
  <c r="D35" i="3" s="1"/>
  <c r="F35" i="3" s="1"/>
  <c r="B35" i="4"/>
  <c r="C35" i="4"/>
  <c r="C35" i="3" s="1"/>
  <c r="E35" i="3" s="1"/>
  <c r="B35" i="3" l="1"/>
  <c r="E35" i="4" a="1"/>
  <c r="A220" i="3"/>
  <c r="A221" i="4"/>
  <c r="F219" i="3"/>
  <c r="E219" i="3"/>
  <c r="A221" i="3" l="1"/>
  <c r="A222" i="4"/>
  <c r="E220" i="3"/>
  <c r="F220" i="3"/>
  <c r="G35" i="4"/>
  <c r="E35" i="4"/>
  <c r="F35" i="4"/>
  <c r="H35" i="4" l="1" a="1"/>
  <c r="A222" i="3"/>
  <c r="A223" i="4"/>
  <c r="F221" i="3"/>
  <c r="E221" i="3"/>
  <c r="A223" i="3" l="1"/>
  <c r="A224" i="4"/>
  <c r="E222" i="3"/>
  <c r="F222" i="3"/>
  <c r="J35" i="4"/>
  <c r="H35" i="4"/>
  <c r="I35" i="4"/>
  <c r="K35" i="4" l="1" a="1"/>
  <c r="A224" i="3"/>
  <c r="A225" i="4"/>
  <c r="F223" i="3"/>
  <c r="E223" i="3"/>
  <c r="A225" i="3" l="1"/>
  <c r="A226" i="4"/>
  <c r="E224" i="3"/>
  <c r="F224" i="3"/>
  <c r="M35" i="4"/>
  <c r="K35" i="4"/>
  <c r="L35" i="4"/>
  <c r="N35" i="4" l="1" a="1"/>
  <c r="A226" i="3"/>
  <c r="A227" i="4"/>
  <c r="F225" i="3"/>
  <c r="E225" i="3"/>
  <c r="A227" i="3" l="1"/>
  <c r="A228" i="4"/>
  <c r="E226" i="3"/>
  <c r="F226" i="3"/>
  <c r="P35" i="4"/>
  <c r="N35" i="4"/>
  <c r="O35" i="4"/>
  <c r="B36" i="4" l="1" a="1"/>
  <c r="A228" i="3"/>
  <c r="A229" i="4"/>
  <c r="F227" i="3"/>
  <c r="E227" i="3"/>
  <c r="A229" i="3" l="1"/>
  <c r="A230" i="4"/>
  <c r="E228" i="3"/>
  <c r="F228" i="3"/>
  <c r="C36" i="4"/>
  <c r="C36" i="3" s="1"/>
  <c r="E36" i="3" s="1"/>
  <c r="D36" i="4"/>
  <c r="D36" i="3" s="1"/>
  <c r="F36" i="3" s="1"/>
  <c r="B36" i="4"/>
  <c r="B36" i="3" l="1"/>
  <c r="E36" i="4" a="1"/>
  <c r="A230" i="3"/>
  <c r="A231" i="4"/>
  <c r="F229" i="3"/>
  <c r="E229" i="3"/>
  <c r="A231" i="3" l="1"/>
  <c r="A232" i="4"/>
  <c r="E230" i="3"/>
  <c r="F230" i="3"/>
  <c r="F36" i="4"/>
  <c r="G36" i="4"/>
  <c r="E36" i="4"/>
  <c r="H36" i="4" l="1" a="1"/>
  <c r="A232" i="3"/>
  <c r="A233" i="4"/>
  <c r="F231" i="3"/>
  <c r="E231" i="3"/>
  <c r="A233" i="3" l="1"/>
  <c r="A234" i="4"/>
  <c r="E232" i="3"/>
  <c r="F232" i="3"/>
  <c r="I36" i="4"/>
  <c r="J36" i="4"/>
  <c r="H36" i="4"/>
  <c r="K36" i="4" l="1" a="1"/>
  <c r="A234" i="3"/>
  <c r="A235" i="4"/>
  <c r="F233" i="3"/>
  <c r="E233" i="3"/>
  <c r="A235" i="3" l="1"/>
  <c r="A236" i="4"/>
  <c r="E234" i="3"/>
  <c r="F234" i="3"/>
  <c r="L36" i="4"/>
  <c r="M36" i="4"/>
  <c r="K36" i="4"/>
  <c r="N36" i="4" l="1" a="1"/>
  <c r="A236" i="3"/>
  <c r="A237" i="4"/>
  <c r="F235" i="3"/>
  <c r="E235" i="3"/>
  <c r="A237" i="3" l="1"/>
  <c r="A238" i="4"/>
  <c r="E236" i="3"/>
  <c r="F236" i="3"/>
  <c r="O36" i="4"/>
  <c r="P36" i="4"/>
  <c r="N36" i="4"/>
  <c r="B37" i="4" s="1" a="1"/>
  <c r="D37" i="4" l="1"/>
  <c r="D37" i="3" s="1"/>
  <c r="F37" i="3" s="1"/>
  <c r="B37" i="4"/>
  <c r="C37" i="4"/>
  <c r="C37" i="3" s="1"/>
  <c r="E37" i="3" s="1"/>
  <c r="A238" i="3"/>
  <c r="A239" i="4"/>
  <c r="F237" i="3"/>
  <c r="E237" i="3"/>
  <c r="A239" i="3" l="1"/>
  <c r="A240" i="4"/>
  <c r="F238" i="3"/>
  <c r="E238" i="3"/>
  <c r="B37" i="3"/>
  <c r="E37" i="4" a="1"/>
  <c r="G37" i="4" l="1"/>
  <c r="E37" i="4"/>
  <c r="F37" i="4"/>
  <c r="A240" i="3"/>
  <c r="A241" i="4"/>
  <c r="F239" i="3"/>
  <c r="E239" i="3"/>
  <c r="A241" i="3" l="1"/>
  <c r="A242" i="4"/>
  <c r="F240" i="3"/>
  <c r="E240" i="3"/>
  <c r="H37" i="4" a="1"/>
  <c r="J37" i="4" l="1"/>
  <c r="H37" i="4"/>
  <c r="I37" i="4"/>
  <c r="A242" i="3"/>
  <c r="A243" i="4"/>
  <c r="F241" i="3"/>
  <c r="E241" i="3"/>
  <c r="A243" i="3" l="1"/>
  <c r="A244" i="4"/>
  <c r="F242" i="3"/>
  <c r="E242" i="3"/>
  <c r="K37" i="4" a="1"/>
  <c r="M37" i="4" l="1"/>
  <c r="K37" i="4"/>
  <c r="L37" i="4"/>
  <c r="A244" i="3"/>
  <c r="A245" i="4"/>
  <c r="F243" i="3"/>
  <c r="E243" i="3"/>
  <c r="A245" i="3" l="1"/>
  <c r="A246" i="4"/>
  <c r="F244" i="3"/>
  <c r="E244" i="3"/>
  <c r="N37" i="4" a="1"/>
  <c r="P37" i="4" l="1"/>
  <c r="N37" i="4"/>
  <c r="O37" i="4"/>
  <c r="A246" i="3"/>
  <c r="A247" i="4"/>
  <c r="F245" i="3"/>
  <c r="E245" i="3"/>
  <c r="A247" i="3" l="1"/>
  <c r="A248" i="4"/>
  <c r="F246" i="3"/>
  <c r="E246" i="3"/>
  <c r="B38" i="4" a="1"/>
  <c r="C38" i="4" l="1"/>
  <c r="C38" i="3" s="1"/>
  <c r="E38" i="3" s="1"/>
  <c r="D38" i="4"/>
  <c r="D38" i="3" s="1"/>
  <c r="F38" i="3" s="1"/>
  <c r="B38" i="4"/>
  <c r="A248" i="3"/>
  <c r="A249" i="4"/>
  <c r="F247" i="3"/>
  <c r="E247" i="3"/>
  <c r="A249" i="3" l="1"/>
  <c r="A250" i="4"/>
  <c r="F248" i="3"/>
  <c r="E248" i="3"/>
  <c r="B38" i="3"/>
  <c r="E38" i="4" a="1"/>
  <c r="F38" i="4" l="1"/>
  <c r="G38" i="4"/>
  <c r="E38" i="4"/>
  <c r="A250" i="3"/>
  <c r="A251" i="4"/>
  <c r="F249" i="3"/>
  <c r="E249" i="3"/>
  <c r="A251" i="3" l="1"/>
  <c r="A252" i="4"/>
  <c r="F250" i="3"/>
  <c r="E250" i="3"/>
  <c r="H38" i="4" a="1"/>
  <c r="I38" i="4" l="1"/>
  <c r="J38" i="4"/>
  <c r="H38" i="4"/>
  <c r="A252" i="3"/>
  <c r="A253" i="4"/>
  <c r="F251" i="3"/>
  <c r="E251" i="3"/>
  <c r="A253" i="3" l="1"/>
  <c r="A254" i="4"/>
  <c r="F252" i="3"/>
  <c r="E252" i="3"/>
  <c r="K38" i="4" a="1"/>
  <c r="L38" i="4" l="1"/>
  <c r="M38" i="4"/>
  <c r="K38" i="4"/>
  <c r="A254" i="3"/>
  <c r="A255" i="4"/>
  <c r="F253" i="3"/>
  <c r="E253" i="3"/>
  <c r="A255" i="3" l="1"/>
  <c r="A256" i="4"/>
  <c r="F254" i="3"/>
  <c r="E254" i="3"/>
  <c r="N38" i="4" a="1"/>
  <c r="O38" i="4" l="1"/>
  <c r="P38" i="4"/>
  <c r="N38" i="4"/>
  <c r="B39" i="4" s="1" a="1"/>
  <c r="A256" i="3"/>
  <c r="A257" i="4"/>
  <c r="F255" i="3"/>
  <c r="E255" i="3"/>
  <c r="A257" i="3" l="1"/>
  <c r="A258" i="4"/>
  <c r="F256" i="3"/>
  <c r="E256" i="3"/>
  <c r="D39" i="4"/>
  <c r="D39" i="3" s="1"/>
  <c r="F39" i="3" s="1"/>
  <c r="B39" i="4"/>
  <c r="C39" i="4"/>
  <c r="C39" i="3" s="1"/>
  <c r="E39" i="3" s="1"/>
  <c r="B39" i="3" l="1"/>
  <c r="E39" i="4" a="1"/>
  <c r="A258" i="3"/>
  <c r="A259" i="4"/>
  <c r="F257" i="3"/>
  <c r="E257" i="3"/>
  <c r="A259" i="3" l="1"/>
  <c r="A260" i="4"/>
  <c r="F258" i="3"/>
  <c r="E258" i="3"/>
  <c r="G39" i="4"/>
  <c r="E39" i="4"/>
  <c r="F39" i="4"/>
  <c r="H39" i="4" l="1" a="1"/>
  <c r="A260" i="3"/>
  <c r="A261" i="4"/>
  <c r="F259" i="3"/>
  <c r="E259" i="3"/>
  <c r="A261" i="3" l="1"/>
  <c r="A262" i="4"/>
  <c r="F260" i="3"/>
  <c r="E260" i="3"/>
  <c r="J39" i="4"/>
  <c r="H39" i="4"/>
  <c r="I39" i="4"/>
  <c r="K39" i="4" l="1" a="1"/>
  <c r="A262" i="3"/>
  <c r="A263" i="4"/>
  <c r="F261" i="3"/>
  <c r="E261" i="3"/>
  <c r="A263" i="3" l="1"/>
  <c r="A264" i="4"/>
  <c r="F262" i="3"/>
  <c r="E262" i="3"/>
  <c r="M39" i="4"/>
  <c r="K39" i="4"/>
  <c r="L39" i="4"/>
  <c r="N39" i="4" l="1" a="1"/>
  <c r="A264" i="3"/>
  <c r="A265" i="4"/>
  <c r="F263" i="3"/>
  <c r="E263" i="3"/>
  <c r="A265" i="3" l="1"/>
  <c r="A266" i="4"/>
  <c r="F264" i="3"/>
  <c r="E264" i="3"/>
  <c r="P39" i="4"/>
  <c r="N39" i="4"/>
  <c r="O39" i="4"/>
  <c r="B40" i="4" l="1" a="1"/>
  <c r="A266" i="3"/>
  <c r="A267" i="4"/>
  <c r="F265" i="3"/>
  <c r="E265" i="3"/>
  <c r="A267" i="3" l="1"/>
  <c r="A268" i="4"/>
  <c r="F266" i="3"/>
  <c r="E266" i="3"/>
  <c r="C40" i="4"/>
  <c r="C40" i="3" s="1"/>
  <c r="E40" i="3" s="1"/>
  <c r="D40" i="4"/>
  <c r="D40" i="3" s="1"/>
  <c r="F40" i="3" s="1"/>
  <c r="B40" i="4"/>
  <c r="B40" i="3" l="1"/>
  <c r="E40" i="4" a="1"/>
  <c r="A268" i="3"/>
  <c r="A269" i="4"/>
  <c r="F267" i="3"/>
  <c r="E267" i="3"/>
  <c r="A269" i="3" l="1"/>
  <c r="A270" i="4"/>
  <c r="F268" i="3"/>
  <c r="E268" i="3"/>
  <c r="F40" i="4"/>
  <c r="G40" i="4"/>
  <c r="E40" i="4"/>
  <c r="H40" i="4" l="1" a="1"/>
  <c r="A270" i="3"/>
  <c r="A271" i="4"/>
  <c r="F269" i="3"/>
  <c r="E269" i="3"/>
  <c r="A271" i="3" l="1"/>
  <c r="A272" i="4"/>
  <c r="F270" i="3"/>
  <c r="E270" i="3"/>
  <c r="I40" i="4"/>
  <c r="J40" i="4"/>
  <c r="H40" i="4"/>
  <c r="K40" i="4" l="1" a="1"/>
  <c r="A272" i="3"/>
  <c r="A273" i="4"/>
  <c r="F271" i="3"/>
  <c r="E271" i="3"/>
  <c r="A273" i="3" l="1"/>
  <c r="A274" i="4"/>
  <c r="F272" i="3"/>
  <c r="E272" i="3"/>
  <c r="L40" i="4"/>
  <c r="M40" i="4"/>
  <c r="K40" i="4"/>
  <c r="N40" i="4" l="1" a="1"/>
  <c r="A274" i="3"/>
  <c r="A275" i="4"/>
  <c r="F273" i="3"/>
  <c r="E273" i="3"/>
  <c r="A275" i="3" l="1"/>
  <c r="A276" i="4"/>
  <c r="F274" i="3"/>
  <c r="E274" i="3"/>
  <c r="O40" i="4"/>
  <c r="P40" i="4"/>
  <c r="N40" i="4"/>
  <c r="B41" i="4" s="1" a="1"/>
  <c r="D41" i="4" l="1"/>
  <c r="D41" i="3" s="1"/>
  <c r="F41" i="3" s="1"/>
  <c r="B41" i="4"/>
  <c r="C41" i="4"/>
  <c r="C41" i="3" s="1"/>
  <c r="E41" i="3" s="1"/>
  <c r="A276" i="3"/>
  <c r="A277" i="4"/>
  <c r="F275" i="3"/>
  <c r="E275" i="3"/>
  <c r="A277" i="3" l="1"/>
  <c r="A278" i="4"/>
  <c r="F276" i="3"/>
  <c r="E276" i="3"/>
  <c r="B41" i="3"/>
  <c r="E41" i="4" a="1"/>
  <c r="G41" i="4" l="1"/>
  <c r="E41" i="4"/>
  <c r="F41" i="4"/>
  <c r="A278" i="3"/>
  <c r="A279" i="4"/>
  <c r="F277" i="3"/>
  <c r="E277" i="3"/>
  <c r="A279" i="3" l="1"/>
  <c r="A280" i="4"/>
  <c r="F278" i="3"/>
  <c r="E278" i="3"/>
  <c r="H41" i="4" a="1"/>
  <c r="J41" i="4" l="1"/>
  <c r="H41" i="4"/>
  <c r="I41" i="4"/>
  <c r="A280" i="3"/>
  <c r="A281" i="4"/>
  <c r="F279" i="3"/>
  <c r="E279" i="3"/>
  <c r="A281" i="3" l="1"/>
  <c r="A282" i="4"/>
  <c r="F280" i="3"/>
  <c r="E280" i="3"/>
  <c r="K41" i="4" a="1"/>
  <c r="M41" i="4" l="1"/>
  <c r="K41" i="4"/>
  <c r="L41" i="4"/>
  <c r="A282" i="3"/>
  <c r="A283" i="4"/>
  <c r="F281" i="3"/>
  <c r="E281" i="3"/>
  <c r="A283" i="3" l="1"/>
  <c r="A284" i="4"/>
  <c r="F282" i="3"/>
  <c r="E282" i="3"/>
  <c r="N41" i="4" a="1"/>
  <c r="P41" i="4" l="1"/>
  <c r="N41" i="4"/>
  <c r="O41" i="4"/>
  <c r="A284" i="3"/>
  <c r="A285" i="4"/>
  <c r="F283" i="3"/>
  <c r="E283" i="3"/>
  <c r="A285" i="3" l="1"/>
  <c r="A286" i="4"/>
  <c r="F284" i="3"/>
  <c r="E284" i="3"/>
  <c r="B42" i="4" a="1"/>
  <c r="C42" i="4" l="1"/>
  <c r="C42" i="3" s="1"/>
  <c r="E42" i="3" s="1"/>
  <c r="D42" i="4"/>
  <c r="D42" i="3" s="1"/>
  <c r="F42" i="3" s="1"/>
  <c r="B42" i="4"/>
  <c r="A286" i="3"/>
  <c r="A287" i="4"/>
  <c r="F285" i="3"/>
  <c r="E285" i="3"/>
  <c r="A287" i="3" l="1"/>
  <c r="A288" i="4"/>
  <c r="F286" i="3"/>
  <c r="E286" i="3"/>
  <c r="B42" i="3"/>
  <c r="E42" i="4" a="1"/>
  <c r="F42" i="4" l="1"/>
  <c r="G42" i="4"/>
  <c r="E42" i="4"/>
  <c r="A288" i="3"/>
  <c r="A289" i="4"/>
  <c r="F287" i="3"/>
  <c r="E287" i="3"/>
  <c r="A289" i="3" l="1"/>
  <c r="A290" i="4"/>
  <c r="F288" i="3"/>
  <c r="E288" i="3"/>
  <c r="H42" i="4" a="1"/>
  <c r="I42" i="4" l="1"/>
  <c r="J42" i="4"/>
  <c r="H42" i="4"/>
  <c r="A290" i="3"/>
  <c r="A291" i="4"/>
  <c r="F289" i="3"/>
  <c r="E289" i="3"/>
  <c r="A291" i="3" l="1"/>
  <c r="A292" i="4"/>
  <c r="F290" i="3"/>
  <c r="E290" i="3"/>
  <c r="K42" i="4" a="1"/>
  <c r="L42" i="4" l="1"/>
  <c r="M42" i="4"/>
  <c r="K42" i="4"/>
  <c r="A292" i="3"/>
  <c r="A293" i="4"/>
  <c r="F291" i="3"/>
  <c r="E291" i="3"/>
  <c r="A293" i="3" l="1"/>
  <c r="A294" i="4"/>
  <c r="F292" i="3"/>
  <c r="E292" i="3"/>
  <c r="N42" i="4" a="1"/>
  <c r="O42" i="4" l="1"/>
  <c r="P42" i="4"/>
  <c r="N42" i="4"/>
  <c r="B43" i="4" s="1" a="1"/>
  <c r="A294" i="3"/>
  <c r="A295" i="4"/>
  <c r="F293" i="3"/>
  <c r="E293" i="3"/>
  <c r="A295" i="3" l="1"/>
  <c r="A296" i="4"/>
  <c r="F294" i="3"/>
  <c r="E294" i="3"/>
  <c r="D43" i="4"/>
  <c r="D43" i="3" s="1"/>
  <c r="F43" i="3" s="1"/>
  <c r="B43" i="4"/>
  <c r="C43" i="4"/>
  <c r="C43" i="3" s="1"/>
  <c r="E43" i="3" s="1"/>
  <c r="B43" i="3" l="1"/>
  <c r="E43" i="4" a="1"/>
  <c r="A296" i="3"/>
  <c r="A297" i="4"/>
  <c r="F295" i="3"/>
  <c r="E295" i="3"/>
  <c r="A297" i="3" l="1"/>
  <c r="A298" i="4"/>
  <c r="F296" i="3"/>
  <c r="E296" i="3"/>
  <c r="G43" i="4"/>
  <c r="E43" i="4"/>
  <c r="F43" i="4"/>
  <c r="H43" i="4" l="1" a="1"/>
  <c r="A298" i="3"/>
  <c r="A299" i="4"/>
  <c r="F297" i="3"/>
  <c r="E297" i="3"/>
  <c r="A299" i="3" l="1"/>
  <c r="A300" i="4"/>
  <c r="A300" i="3" s="1"/>
  <c r="F298" i="3"/>
  <c r="E298" i="3"/>
  <c r="J43" i="4"/>
  <c r="H43" i="4"/>
  <c r="I43" i="4"/>
  <c r="K43" i="4" l="1" a="1"/>
  <c r="F300" i="3"/>
  <c r="E300" i="3"/>
  <c r="F299" i="3"/>
  <c r="E299" i="3"/>
  <c r="M43" i="4" l="1"/>
  <c r="K43" i="4"/>
  <c r="L43" i="4"/>
  <c r="N43" i="4" l="1" a="1"/>
  <c r="P43" i="4" l="1"/>
  <c r="N43" i="4"/>
  <c r="O43" i="4"/>
  <c r="B44" i="4" l="1" a="1"/>
  <c r="C44" i="4" l="1"/>
  <c r="C44" i="3" s="1"/>
  <c r="E44" i="3" s="1"/>
  <c r="D44" i="4"/>
  <c r="D44" i="3" s="1"/>
  <c r="F44" i="3" s="1"/>
  <c r="B44" i="4"/>
  <c r="B44" i="3" l="1"/>
  <c r="E44" i="4" a="1"/>
  <c r="F44" i="4" l="1"/>
  <c r="G44" i="4"/>
  <c r="E44" i="4"/>
  <c r="H44" i="4" l="1" a="1"/>
  <c r="I44" i="4" l="1"/>
  <c r="J44" i="4"/>
  <c r="H44" i="4"/>
  <c r="K44" i="4" l="1" a="1"/>
  <c r="L44" i="4" l="1"/>
  <c r="M44" i="4"/>
  <c r="K44" i="4"/>
  <c r="N44" i="4" l="1" a="1"/>
  <c r="O44" i="4" l="1"/>
  <c r="P44" i="4"/>
  <c r="N44" i="4"/>
  <c r="B45" i="4" s="1" a="1"/>
  <c r="D45" i="4" l="1"/>
  <c r="D45" i="3" s="1"/>
  <c r="F45" i="3" s="1"/>
  <c r="B45" i="4"/>
  <c r="C45" i="4"/>
  <c r="C45" i="3" s="1"/>
  <c r="E45" i="3" s="1"/>
  <c r="B45" i="3" l="1"/>
  <c r="E45" i="4" a="1"/>
  <c r="G45" i="4" l="1"/>
  <c r="E45" i="4"/>
  <c r="F45" i="4"/>
  <c r="H45" i="4" l="1" a="1"/>
  <c r="J45" i="4" l="1"/>
  <c r="H45" i="4"/>
  <c r="I45" i="4"/>
  <c r="K45" i="4" l="1" a="1"/>
  <c r="M45" i="4" l="1"/>
  <c r="K45" i="4"/>
  <c r="L45" i="4"/>
  <c r="N45" i="4" l="1" a="1"/>
  <c r="P45" i="4" l="1"/>
  <c r="N45" i="4"/>
  <c r="O45" i="4"/>
  <c r="B46" i="4" l="1" a="1"/>
  <c r="C46" i="4" l="1"/>
  <c r="C46" i="3" s="1"/>
  <c r="E46" i="3" s="1"/>
  <c r="D46" i="4"/>
  <c r="D46" i="3" s="1"/>
  <c r="F46" i="3" s="1"/>
  <c r="B46" i="4"/>
  <c r="B46" i="3" l="1"/>
  <c r="E46" i="4" a="1"/>
  <c r="F46" i="4" l="1"/>
  <c r="G46" i="4"/>
  <c r="E46" i="4"/>
  <c r="H46" i="4" l="1" a="1"/>
  <c r="I46" i="4" l="1"/>
  <c r="J46" i="4"/>
  <c r="H46" i="4"/>
  <c r="K46" i="4" l="1" a="1"/>
  <c r="L46" i="4" l="1"/>
  <c r="M46" i="4"/>
  <c r="K46" i="4"/>
  <c r="N46" i="4" l="1" a="1"/>
  <c r="O46" i="4" l="1"/>
  <c r="P46" i="4"/>
  <c r="N46" i="4"/>
  <c r="B47" i="4" s="1" a="1"/>
  <c r="D47" i="4" l="1"/>
  <c r="D47" i="3" s="1"/>
  <c r="F47" i="3" s="1"/>
  <c r="B47" i="4"/>
  <c r="C47" i="4"/>
  <c r="C47" i="3" s="1"/>
  <c r="E47" i="3" s="1"/>
  <c r="B47" i="3" l="1"/>
  <c r="E47" i="4" a="1"/>
  <c r="G47" i="4" l="1"/>
  <c r="E47" i="4"/>
  <c r="F47" i="4"/>
  <c r="H47" i="4" l="1" a="1"/>
  <c r="J47" i="4" l="1"/>
  <c r="H47" i="4"/>
  <c r="I47" i="4"/>
  <c r="K47" i="4" l="1" a="1"/>
  <c r="M47" i="4" l="1"/>
  <c r="K47" i="4"/>
  <c r="L47" i="4"/>
  <c r="N47" i="4" l="1" a="1"/>
  <c r="P47" i="4" l="1"/>
  <c r="N47" i="4"/>
  <c r="O47" i="4"/>
  <c r="B48" i="4" l="1" a="1"/>
  <c r="C48" i="4" l="1"/>
  <c r="C48" i="3" s="1"/>
  <c r="E48" i="3" s="1"/>
  <c r="D48" i="4"/>
  <c r="D48" i="3" s="1"/>
  <c r="F48" i="3" s="1"/>
  <c r="B48" i="4"/>
  <c r="B48" i="3" l="1"/>
  <c r="E48" i="4" a="1"/>
  <c r="F48" i="4" l="1"/>
  <c r="G48" i="4"/>
  <c r="E48" i="4"/>
  <c r="H48" i="4" l="1" a="1"/>
  <c r="I48" i="4" l="1"/>
  <c r="J48" i="4"/>
  <c r="H48" i="4"/>
  <c r="K48" i="4" l="1" a="1"/>
  <c r="L48" i="4" l="1"/>
  <c r="M48" i="4"/>
  <c r="K48" i="4"/>
  <c r="N48" i="4" l="1" a="1"/>
  <c r="O48" i="4" l="1"/>
  <c r="P48" i="4"/>
  <c r="N48" i="4"/>
  <c r="B49" i="4" s="1" a="1"/>
  <c r="D49" i="4" l="1"/>
  <c r="D49" i="3" s="1"/>
  <c r="F49" i="3" s="1"/>
  <c r="B49" i="4"/>
  <c r="C49" i="4"/>
  <c r="C49" i="3" s="1"/>
  <c r="E49" i="3" s="1"/>
  <c r="B49" i="3" l="1"/>
  <c r="E49" i="4" a="1"/>
  <c r="G49" i="4" l="1"/>
  <c r="E49" i="4"/>
  <c r="F49" i="4"/>
  <c r="H49" i="4" l="1" a="1"/>
  <c r="J49" i="4" l="1"/>
  <c r="H49" i="4"/>
  <c r="I49" i="4"/>
  <c r="K49" i="4" l="1" a="1"/>
  <c r="M49" i="4" l="1"/>
  <c r="K49" i="4"/>
  <c r="L49" i="4"/>
  <c r="N49" i="4" l="1" a="1"/>
  <c r="P49" i="4" l="1"/>
  <c r="N49" i="4"/>
  <c r="O49" i="4"/>
  <c r="B50" i="4" l="1" a="1"/>
  <c r="C50" i="4" l="1"/>
  <c r="C50" i="3" s="1"/>
  <c r="E50" i="3" s="1"/>
  <c r="D50" i="4"/>
  <c r="D50" i="3" s="1"/>
  <c r="F50" i="3" s="1"/>
  <c r="B50" i="4"/>
  <c r="B50" i="3" l="1"/>
  <c r="E50" i="4" a="1"/>
  <c r="F50" i="4" l="1"/>
  <c r="G50" i="4"/>
  <c r="E50" i="4"/>
  <c r="H50" i="4" l="1" a="1"/>
  <c r="I50" i="4" l="1"/>
  <c r="J50" i="4"/>
  <c r="H50" i="4"/>
  <c r="K50" i="4" l="1" a="1"/>
  <c r="L50" i="4" l="1"/>
  <c r="M50" i="4"/>
  <c r="K50" i="4"/>
  <c r="N50" i="4" l="1" a="1"/>
  <c r="O50" i="4" l="1"/>
  <c r="P50" i="4"/>
  <c r="N50" i="4"/>
  <c r="B51" i="4" s="1" a="1"/>
  <c r="D51" i="4" l="1"/>
  <c r="D51" i="3" s="1"/>
  <c r="F51" i="3" s="1"/>
  <c r="B51" i="4"/>
  <c r="C51" i="4"/>
  <c r="C51" i="3" s="1"/>
  <c r="E51" i="3" s="1"/>
  <c r="B51" i="3" l="1"/>
  <c r="E51" i="4" a="1"/>
  <c r="G51" i="4" l="1"/>
  <c r="E51" i="4"/>
  <c r="F51" i="4"/>
  <c r="H51" i="4" l="1" a="1"/>
  <c r="J51" i="4" l="1"/>
  <c r="H51" i="4"/>
  <c r="I51" i="4"/>
  <c r="K51" i="4" l="1" a="1"/>
  <c r="M51" i="4" l="1"/>
  <c r="K51" i="4"/>
  <c r="L51" i="4"/>
  <c r="N51" i="4" l="1" a="1"/>
  <c r="P51" i="4" l="1"/>
  <c r="N51" i="4"/>
  <c r="O51" i="4"/>
  <c r="B52" i="4" l="1" a="1"/>
  <c r="C52" i="4" l="1"/>
  <c r="C52" i="3" s="1"/>
  <c r="E52" i="3" s="1"/>
  <c r="D52" i="4"/>
  <c r="D52" i="3" s="1"/>
  <c r="F52" i="3" s="1"/>
  <c r="B52" i="4"/>
  <c r="B52" i="3" l="1"/>
  <c r="E52" i="4" a="1"/>
  <c r="F52" i="4" l="1"/>
  <c r="G52" i="4"/>
  <c r="E52" i="4"/>
  <c r="H52" i="4" l="1" a="1"/>
  <c r="I52" i="4" l="1"/>
  <c r="J52" i="4"/>
  <c r="H52" i="4"/>
  <c r="K52" i="4" l="1" a="1"/>
  <c r="L52" i="4" l="1"/>
  <c r="M52" i="4"/>
  <c r="K52" i="4"/>
  <c r="N52" i="4" l="1" a="1"/>
  <c r="O52" i="4" l="1"/>
  <c r="P52" i="4"/>
  <c r="N52" i="4"/>
  <c r="B53" i="4" s="1" a="1"/>
  <c r="D53" i="4" l="1"/>
  <c r="D53" i="3" s="1"/>
  <c r="F53" i="3" s="1"/>
  <c r="B53" i="4"/>
  <c r="C53" i="4"/>
  <c r="C53" i="3" s="1"/>
  <c r="E53" i="3" s="1"/>
  <c r="B53" i="3" l="1"/>
  <c r="E53" i="4" a="1"/>
  <c r="G53" i="4" l="1"/>
  <c r="E53" i="4"/>
  <c r="F53" i="4"/>
  <c r="H53" i="4" l="1" a="1"/>
  <c r="J53" i="4" l="1"/>
  <c r="H53" i="4"/>
  <c r="I53" i="4"/>
  <c r="K53" i="4" l="1" a="1"/>
  <c r="M53" i="4" l="1"/>
  <c r="K53" i="4"/>
  <c r="L53" i="4"/>
  <c r="N53" i="4" l="1" a="1"/>
  <c r="P53" i="4" l="1"/>
  <c r="N53" i="4"/>
  <c r="O53" i="4"/>
  <c r="B54" i="4" l="1" a="1"/>
  <c r="C54" i="4" l="1"/>
  <c r="C54" i="3" s="1"/>
  <c r="E54" i="3" s="1"/>
  <c r="D54" i="4"/>
  <c r="D54" i="3" s="1"/>
  <c r="F54" i="3" s="1"/>
  <c r="B54" i="4"/>
  <c r="B54" i="3" l="1"/>
  <c r="E54" i="4" a="1"/>
  <c r="F54" i="4" l="1"/>
  <c r="G54" i="4"/>
  <c r="E54" i="4"/>
  <c r="H54" i="4" l="1" a="1"/>
  <c r="I54" i="4" l="1"/>
  <c r="J54" i="4"/>
  <c r="H54" i="4"/>
  <c r="K54" i="4" l="1" a="1"/>
  <c r="L54" i="4" l="1"/>
  <c r="M54" i="4"/>
  <c r="K54" i="4"/>
  <c r="N54" i="4" l="1" a="1"/>
  <c r="O54" i="4" l="1"/>
  <c r="P54" i="4"/>
  <c r="N54" i="4"/>
  <c r="B55" i="4" s="1" a="1"/>
  <c r="D55" i="4" l="1"/>
  <c r="D55" i="3" s="1"/>
  <c r="F55" i="3" s="1"/>
  <c r="B55" i="4"/>
  <c r="C55" i="4"/>
  <c r="C55" i="3" s="1"/>
  <c r="E55" i="3" s="1"/>
  <c r="B55" i="3" l="1"/>
  <c r="E55" i="4" a="1"/>
  <c r="G55" i="4" l="1"/>
  <c r="E55" i="4"/>
  <c r="F55" i="4"/>
  <c r="H55" i="4" l="1" a="1"/>
  <c r="J55" i="4" l="1"/>
  <c r="H55" i="4"/>
  <c r="I55" i="4"/>
  <c r="K55" i="4" l="1" a="1"/>
  <c r="M55" i="4" l="1"/>
  <c r="K55" i="4"/>
  <c r="L55" i="4"/>
  <c r="N55" i="4" l="1" a="1"/>
  <c r="P55" i="4" l="1"/>
  <c r="N55" i="4"/>
  <c r="O55" i="4"/>
  <c r="B56" i="4" l="1" a="1"/>
  <c r="C56" i="4" l="1"/>
  <c r="C56" i="3" s="1"/>
  <c r="E56" i="3" s="1"/>
  <c r="D56" i="4"/>
  <c r="D56" i="3" s="1"/>
  <c r="F56" i="3" s="1"/>
  <c r="B56" i="4"/>
  <c r="B56" i="3" l="1"/>
  <c r="E56" i="4" a="1"/>
  <c r="F56" i="4" l="1"/>
  <c r="G56" i="4"/>
  <c r="E56" i="4"/>
  <c r="H56" i="4" l="1" a="1"/>
  <c r="I56" i="4" l="1"/>
  <c r="J56" i="4"/>
  <c r="H56" i="4"/>
  <c r="K56" i="4" l="1" a="1"/>
  <c r="L56" i="4" l="1"/>
  <c r="M56" i="4"/>
  <c r="K56" i="4"/>
  <c r="N56" i="4" l="1" a="1"/>
  <c r="O56" i="4" l="1"/>
  <c r="P56" i="4"/>
  <c r="N56" i="4"/>
  <c r="B57" i="4" s="1" a="1"/>
  <c r="D57" i="4" l="1"/>
  <c r="D57" i="3" s="1"/>
  <c r="F57" i="3" s="1"/>
  <c r="B57" i="4"/>
  <c r="C57" i="4"/>
  <c r="C57" i="3" s="1"/>
  <c r="E57" i="3" s="1"/>
  <c r="B57" i="3" l="1"/>
  <c r="E57" i="4" a="1"/>
  <c r="G57" i="4" l="1"/>
  <c r="E57" i="4"/>
  <c r="F57" i="4"/>
  <c r="H57" i="4" l="1" a="1"/>
  <c r="J57" i="4" l="1"/>
  <c r="H57" i="4"/>
  <c r="I57" i="4"/>
  <c r="K57" i="4" l="1" a="1"/>
  <c r="M57" i="4" l="1"/>
  <c r="K57" i="4"/>
  <c r="L57" i="4"/>
  <c r="N57" i="4" l="1" a="1"/>
  <c r="P57" i="4" l="1"/>
  <c r="N57" i="4"/>
  <c r="O57" i="4"/>
  <c r="B58" i="4" l="1" a="1"/>
  <c r="C58" i="4" l="1"/>
  <c r="C58" i="3" s="1"/>
  <c r="E58" i="3" s="1"/>
  <c r="D58" i="4"/>
  <c r="D58" i="3" s="1"/>
  <c r="F58" i="3" s="1"/>
  <c r="B58" i="4"/>
  <c r="B58" i="3" l="1"/>
  <c r="E58" i="4" a="1"/>
  <c r="F58" i="4" l="1"/>
  <c r="G58" i="4"/>
  <c r="E58" i="4"/>
  <c r="H58" i="4" l="1" a="1"/>
  <c r="I58" i="4" l="1"/>
  <c r="J58" i="4"/>
  <c r="H58" i="4"/>
  <c r="K58" i="4" l="1" a="1"/>
  <c r="L58" i="4" l="1"/>
  <c r="M58" i="4"/>
  <c r="K58" i="4"/>
  <c r="N58" i="4" l="1" a="1"/>
  <c r="O58" i="4" l="1"/>
  <c r="P58" i="4"/>
  <c r="N58" i="4"/>
  <c r="B59" i="4" s="1" a="1"/>
  <c r="D59" i="4" l="1"/>
  <c r="D59" i="3" s="1"/>
  <c r="F59" i="3" s="1"/>
  <c r="B59" i="4"/>
  <c r="C59" i="4"/>
  <c r="C59" i="3" s="1"/>
  <c r="E59" i="3" s="1"/>
  <c r="B59" i="3" l="1"/>
  <c r="E59" i="4" a="1"/>
  <c r="G59" i="4" l="1"/>
  <c r="E59" i="4"/>
  <c r="F59" i="4"/>
  <c r="H59" i="4" l="1" a="1"/>
  <c r="J59" i="4" l="1"/>
  <c r="H59" i="4"/>
  <c r="I59" i="4"/>
  <c r="K59" i="4" l="1" a="1"/>
  <c r="M59" i="4" l="1"/>
  <c r="K59" i="4"/>
  <c r="L59" i="4"/>
  <c r="N59" i="4" l="1" a="1"/>
  <c r="P59" i="4" l="1"/>
  <c r="N59" i="4"/>
  <c r="O59" i="4"/>
  <c r="B60" i="4" l="1" a="1"/>
  <c r="C60" i="4" l="1"/>
  <c r="C60" i="3" s="1"/>
  <c r="E60" i="3" s="1"/>
  <c r="D60" i="4"/>
  <c r="D60" i="3" s="1"/>
  <c r="F60" i="3" s="1"/>
  <c r="B60" i="4"/>
  <c r="B60" i="3" l="1"/>
  <c r="E60" i="4" a="1"/>
  <c r="F60" i="4" l="1"/>
  <c r="G60" i="4"/>
  <c r="E60" i="4"/>
  <c r="H60" i="4" l="1" a="1"/>
  <c r="I60" i="4" l="1"/>
  <c r="J60" i="4"/>
  <c r="H60" i="4"/>
  <c r="K60" i="4" l="1" a="1"/>
  <c r="L60" i="4" l="1"/>
  <c r="M60" i="4"/>
  <c r="K60" i="4"/>
  <c r="N60" i="4" l="1" a="1"/>
  <c r="O60" i="4" l="1"/>
  <c r="P60" i="4"/>
  <c r="N60" i="4"/>
  <c r="B61" i="4" s="1" a="1"/>
  <c r="D61" i="4" l="1"/>
  <c r="D61" i="3" s="1"/>
  <c r="F61" i="3" s="1"/>
  <c r="B61" i="4"/>
  <c r="C61" i="4"/>
  <c r="C61" i="3" s="1"/>
  <c r="E61" i="3" s="1"/>
  <c r="B61" i="3" l="1"/>
  <c r="E61" i="4" a="1"/>
  <c r="G61" i="4" l="1"/>
  <c r="E61" i="4"/>
  <c r="F61" i="4"/>
  <c r="H61" i="4" l="1" a="1"/>
  <c r="J61" i="4" l="1"/>
  <c r="H61" i="4"/>
  <c r="I61" i="4"/>
  <c r="K61" i="4" l="1" a="1"/>
  <c r="M61" i="4" l="1"/>
  <c r="K61" i="4"/>
  <c r="L61" i="4"/>
  <c r="N61" i="4" l="1" a="1"/>
  <c r="P61" i="4" l="1"/>
  <c r="N61" i="4"/>
  <c r="O61" i="4"/>
  <c r="B62" i="4" l="1" a="1"/>
  <c r="C62" i="4" l="1"/>
  <c r="C62" i="3" s="1"/>
  <c r="E62" i="3" s="1"/>
  <c r="D62" i="4"/>
  <c r="D62" i="3" s="1"/>
  <c r="F62" i="3" s="1"/>
  <c r="B62" i="4"/>
  <c r="B62" i="3" l="1"/>
  <c r="E62" i="4" a="1"/>
  <c r="F62" i="4" l="1"/>
  <c r="G62" i="4"/>
  <c r="E62" i="4"/>
  <c r="H62" i="4" l="1" a="1"/>
  <c r="I62" i="4" l="1"/>
  <c r="J62" i="4"/>
  <c r="H62" i="4"/>
  <c r="K62" i="4" l="1" a="1"/>
  <c r="L62" i="4" l="1"/>
  <c r="M62" i="4"/>
  <c r="K62" i="4"/>
  <c r="N62" i="4" l="1" a="1"/>
  <c r="O62" i="4" l="1"/>
  <c r="P62" i="4"/>
  <c r="N62" i="4"/>
  <c r="B63" i="4" s="1" a="1"/>
  <c r="D63" i="4" l="1"/>
  <c r="D63" i="3" s="1"/>
  <c r="F63" i="3" s="1"/>
  <c r="B63" i="4"/>
  <c r="C63" i="4"/>
  <c r="C63" i="3" s="1"/>
  <c r="E63" i="3" s="1"/>
  <c r="B63" i="3" l="1"/>
  <c r="E63" i="4" a="1"/>
  <c r="G63" i="4" l="1"/>
  <c r="E63" i="4"/>
  <c r="F63" i="4"/>
  <c r="H63" i="4" l="1" a="1"/>
  <c r="J63" i="4" l="1"/>
  <c r="H63" i="4"/>
  <c r="I63" i="4"/>
  <c r="K63" i="4" l="1" a="1"/>
  <c r="M63" i="4" l="1"/>
  <c r="K63" i="4"/>
  <c r="L63" i="4"/>
  <c r="N63" i="4" l="1" a="1"/>
  <c r="P63" i="4" l="1"/>
  <c r="N63" i="4"/>
  <c r="O63" i="4"/>
  <c r="B64" i="4" l="1" a="1"/>
  <c r="C64" i="4" l="1"/>
  <c r="C64" i="3" s="1"/>
  <c r="E64" i="3" s="1"/>
  <c r="D64" i="4"/>
  <c r="D64" i="3" s="1"/>
  <c r="F64" i="3" s="1"/>
  <c r="B64" i="4"/>
  <c r="B64" i="3" l="1"/>
  <c r="E64" i="4" a="1"/>
  <c r="F64" i="4" l="1"/>
  <c r="G64" i="4"/>
  <c r="E64" i="4"/>
  <c r="H64" i="4" l="1" a="1"/>
  <c r="I64" i="4" l="1"/>
  <c r="J64" i="4"/>
  <c r="H64" i="4"/>
  <c r="K64" i="4" l="1" a="1"/>
  <c r="L64" i="4" l="1"/>
  <c r="M64" i="4"/>
  <c r="K64" i="4"/>
  <c r="N64" i="4" l="1" a="1"/>
  <c r="O64" i="4" l="1"/>
  <c r="P64" i="4"/>
  <c r="N64" i="4"/>
  <c r="B65" i="4" s="1" a="1"/>
  <c r="D65" i="4" l="1"/>
  <c r="D65" i="3" s="1"/>
  <c r="F65" i="3" s="1"/>
  <c r="B65" i="4"/>
  <c r="C65" i="4"/>
  <c r="C65" i="3" s="1"/>
  <c r="E65" i="3" s="1"/>
  <c r="B65" i="3" l="1"/>
  <c r="E65" i="4" a="1"/>
  <c r="G65" i="4" l="1"/>
  <c r="E65" i="4"/>
  <c r="F65" i="4"/>
  <c r="H65" i="4" l="1" a="1"/>
  <c r="J65" i="4" l="1"/>
  <c r="H65" i="4"/>
  <c r="I65" i="4"/>
  <c r="K65" i="4" l="1" a="1"/>
  <c r="M65" i="4" l="1"/>
  <c r="K65" i="4"/>
  <c r="L65" i="4"/>
  <c r="N65" i="4" l="1" a="1"/>
  <c r="P65" i="4" l="1"/>
  <c r="N65" i="4"/>
  <c r="O65" i="4"/>
  <c r="B66" i="4" l="1" a="1"/>
  <c r="C66" i="4" l="1"/>
  <c r="C66" i="3" s="1"/>
  <c r="E66" i="3" s="1"/>
  <c r="D66" i="4"/>
  <c r="D66" i="3" s="1"/>
  <c r="F66" i="3" s="1"/>
  <c r="B66" i="4"/>
  <c r="B66" i="3" l="1"/>
  <c r="E66" i="4" a="1"/>
  <c r="F66" i="4" l="1"/>
  <c r="G66" i="4"/>
  <c r="E66" i="4"/>
  <c r="H66" i="4" l="1" a="1"/>
  <c r="I66" i="4" l="1"/>
  <c r="J66" i="4"/>
  <c r="H66" i="4"/>
  <c r="K66" i="4" l="1" a="1"/>
  <c r="L66" i="4" l="1"/>
  <c r="M66" i="4"/>
  <c r="K66" i="4"/>
  <c r="N66" i="4" l="1" a="1"/>
  <c r="O66" i="4" l="1"/>
  <c r="P66" i="4"/>
  <c r="N66" i="4"/>
  <c r="B67" i="4" s="1" a="1"/>
  <c r="D67" i="4" l="1"/>
  <c r="D67" i="3" s="1"/>
  <c r="F67" i="3" s="1"/>
  <c r="B67" i="4"/>
  <c r="C67" i="4"/>
  <c r="C67" i="3" s="1"/>
  <c r="E67" i="3" s="1"/>
  <c r="B67" i="3" l="1"/>
  <c r="E67" i="4" a="1"/>
  <c r="G67" i="4" l="1"/>
  <c r="E67" i="4"/>
  <c r="F67" i="4"/>
  <c r="H67" i="4" l="1" a="1"/>
  <c r="J67" i="4" l="1"/>
  <c r="H67" i="4"/>
  <c r="I67" i="4"/>
  <c r="K67" i="4" l="1" a="1"/>
  <c r="M67" i="4" l="1"/>
  <c r="K67" i="4"/>
  <c r="L67" i="4"/>
  <c r="N67" i="4" l="1" a="1"/>
  <c r="P67" i="4" l="1"/>
  <c r="N67" i="4"/>
  <c r="O67" i="4"/>
  <c r="B68" i="4" l="1" a="1"/>
  <c r="C68" i="4" l="1"/>
  <c r="C68" i="3" s="1"/>
  <c r="E68" i="3" s="1"/>
  <c r="D68" i="4"/>
  <c r="D68" i="3" s="1"/>
  <c r="F68" i="3" s="1"/>
  <c r="B68" i="4"/>
  <c r="B68" i="3" l="1"/>
  <c r="E68" i="4" a="1"/>
  <c r="F68" i="4" l="1"/>
  <c r="G68" i="4"/>
  <c r="E68" i="4"/>
  <c r="H68" i="4" l="1" a="1"/>
  <c r="I68" i="4" l="1"/>
  <c r="J68" i="4"/>
  <c r="H68" i="4"/>
  <c r="K68" i="4" l="1" a="1"/>
  <c r="L68" i="4" l="1"/>
  <c r="M68" i="4"/>
  <c r="K68" i="4"/>
  <c r="N68" i="4" l="1" a="1"/>
  <c r="O68" i="4" l="1"/>
  <c r="P68" i="4"/>
  <c r="N68" i="4"/>
  <c r="B69" i="4" s="1" a="1"/>
  <c r="D69" i="4" l="1"/>
  <c r="D69" i="3" s="1"/>
  <c r="F69" i="3" s="1"/>
  <c r="B69" i="4"/>
  <c r="C69" i="4"/>
  <c r="C69" i="3" s="1"/>
  <c r="E69" i="3" s="1"/>
  <c r="B69" i="3" l="1"/>
  <c r="E69" i="4" a="1"/>
  <c r="G69" i="4" l="1"/>
  <c r="E69" i="4"/>
  <c r="F69" i="4"/>
  <c r="H69" i="4" l="1" a="1"/>
  <c r="J69" i="4" l="1"/>
  <c r="H69" i="4"/>
  <c r="I69" i="4"/>
  <c r="K69" i="4" l="1" a="1"/>
  <c r="M69" i="4" l="1"/>
  <c r="K69" i="4"/>
  <c r="L69" i="4"/>
  <c r="N69" i="4" l="1" a="1"/>
  <c r="P69" i="4" l="1"/>
  <c r="N69" i="4"/>
  <c r="O69" i="4"/>
  <c r="B70" i="4" l="1" a="1"/>
  <c r="C70" i="4" l="1"/>
  <c r="C70" i="3" s="1"/>
  <c r="E70" i="3" s="1"/>
  <c r="D70" i="4"/>
  <c r="D70" i="3" s="1"/>
  <c r="F70" i="3" s="1"/>
  <c r="B70" i="4"/>
  <c r="B70" i="3" l="1"/>
  <c r="E70" i="4" a="1"/>
  <c r="F70" i="4" l="1"/>
  <c r="G70" i="4"/>
  <c r="E70" i="4"/>
  <c r="H70" i="4" l="1" a="1"/>
  <c r="I70" i="4" l="1"/>
  <c r="J70" i="4"/>
  <c r="H70" i="4"/>
  <c r="K70" i="4" l="1" a="1"/>
  <c r="L70" i="4" l="1"/>
  <c r="M70" i="4"/>
  <c r="K70" i="4"/>
  <c r="N70" i="4" l="1" a="1"/>
  <c r="O70" i="4" l="1"/>
  <c r="P70" i="4"/>
  <c r="N70" i="4"/>
  <c r="B71" i="4" s="1" a="1"/>
  <c r="D71" i="4" l="1"/>
  <c r="D71" i="3" s="1"/>
  <c r="F71" i="3" s="1"/>
  <c r="B71" i="4"/>
  <c r="C71" i="4"/>
  <c r="C71" i="3" s="1"/>
  <c r="E71" i="3" s="1"/>
  <c r="B71" i="3" l="1"/>
  <c r="E71" i="4" a="1"/>
  <c r="G71" i="4" l="1"/>
  <c r="E71" i="4"/>
  <c r="F71" i="4"/>
  <c r="H71" i="4" l="1" a="1"/>
  <c r="J71" i="4" l="1"/>
  <c r="H71" i="4"/>
  <c r="I71" i="4"/>
  <c r="K71" i="4" l="1" a="1"/>
  <c r="M71" i="4" l="1"/>
  <c r="K71" i="4"/>
  <c r="L71" i="4"/>
  <c r="N71" i="4" l="1" a="1"/>
  <c r="P71" i="4" l="1"/>
  <c r="N71" i="4"/>
  <c r="O71" i="4"/>
  <c r="B72" i="4" l="1" a="1"/>
  <c r="C72" i="4" l="1"/>
  <c r="C72" i="3" s="1"/>
  <c r="E72" i="3" s="1"/>
  <c r="D72" i="4"/>
  <c r="D72" i="3" s="1"/>
  <c r="F72" i="3" s="1"/>
  <c r="B72" i="4"/>
  <c r="B72" i="3" l="1"/>
  <c r="E72" i="4" a="1"/>
  <c r="F72" i="4" l="1"/>
  <c r="G72" i="4"/>
  <c r="E72" i="4"/>
  <c r="H72" i="4" l="1" a="1"/>
  <c r="I72" i="4" l="1"/>
  <c r="J72" i="4"/>
  <c r="H72" i="4"/>
  <c r="K72" i="4" l="1" a="1"/>
  <c r="L72" i="4" l="1"/>
  <c r="M72" i="4"/>
  <c r="K72" i="4"/>
  <c r="N72" i="4" l="1" a="1"/>
  <c r="O72" i="4" l="1"/>
  <c r="P72" i="4"/>
  <c r="N72" i="4"/>
  <c r="B73" i="4" s="1" a="1"/>
  <c r="D73" i="4" l="1"/>
  <c r="D73" i="3" s="1"/>
  <c r="F73" i="3" s="1"/>
  <c r="B73" i="4"/>
  <c r="C73" i="4"/>
  <c r="C73" i="3" s="1"/>
  <c r="E73" i="3" s="1"/>
  <c r="B73" i="3" l="1"/>
  <c r="E73" i="4" a="1"/>
  <c r="G73" i="4" l="1"/>
  <c r="E73" i="4"/>
  <c r="F73" i="4"/>
  <c r="H73" i="4" l="1" a="1"/>
  <c r="J73" i="4" l="1"/>
  <c r="H73" i="4"/>
  <c r="I73" i="4"/>
  <c r="K73" i="4" l="1" a="1"/>
  <c r="M73" i="4" l="1"/>
  <c r="K73" i="4"/>
  <c r="L73" i="4"/>
  <c r="N73" i="4" l="1" a="1"/>
  <c r="P73" i="4" l="1"/>
  <c r="N73" i="4"/>
  <c r="O73" i="4"/>
  <c r="B74" i="4" l="1" a="1"/>
  <c r="C74" i="4" l="1"/>
  <c r="C74" i="3" s="1"/>
  <c r="E74" i="3" s="1"/>
  <c r="D74" i="4"/>
  <c r="D74" i="3" s="1"/>
  <c r="F74" i="3" s="1"/>
  <c r="B74" i="4"/>
  <c r="B74" i="3" l="1"/>
  <c r="E74" i="4" a="1"/>
  <c r="F74" i="4" l="1"/>
  <c r="G74" i="4"/>
  <c r="E74" i="4"/>
  <c r="H74" i="4" l="1" a="1"/>
  <c r="I74" i="4" l="1"/>
  <c r="J74" i="4"/>
  <c r="H74" i="4"/>
  <c r="K74" i="4" l="1" a="1"/>
  <c r="L74" i="4" l="1"/>
  <c r="M74" i="4"/>
  <c r="K74" i="4"/>
  <c r="N74" i="4" l="1" a="1"/>
  <c r="O74" i="4" l="1"/>
  <c r="P74" i="4"/>
  <c r="N74" i="4"/>
  <c r="B75" i="4" s="1" a="1"/>
  <c r="D75" i="4" l="1"/>
  <c r="D75" i="3" s="1"/>
  <c r="F75" i="3" s="1"/>
  <c r="B75" i="4"/>
  <c r="C75" i="4"/>
  <c r="C75" i="3" s="1"/>
  <c r="E75" i="3" s="1"/>
  <c r="B75" i="3" l="1"/>
  <c r="E75" i="4" a="1"/>
  <c r="G75" i="4" l="1"/>
  <c r="E75" i="4"/>
  <c r="F75" i="4"/>
  <c r="H75" i="4" l="1" a="1"/>
  <c r="J75" i="4" l="1"/>
  <c r="H75" i="4"/>
  <c r="I75" i="4"/>
  <c r="K75" i="4" l="1" a="1"/>
  <c r="M75" i="4" l="1"/>
  <c r="K75" i="4"/>
  <c r="L75" i="4"/>
  <c r="N75" i="4" l="1" a="1"/>
  <c r="P75" i="4" l="1"/>
  <c r="N75" i="4"/>
  <c r="O75" i="4"/>
  <c r="B76" i="4" l="1" a="1"/>
  <c r="C76" i="4" l="1"/>
  <c r="C76" i="3" s="1"/>
  <c r="E76" i="3" s="1"/>
  <c r="D76" i="4"/>
  <c r="D76" i="3" s="1"/>
  <c r="F76" i="3" s="1"/>
  <c r="B76" i="4"/>
  <c r="B76" i="3" l="1"/>
  <c r="E76" i="4" a="1"/>
  <c r="F76" i="4" l="1"/>
  <c r="G76" i="4"/>
  <c r="E76" i="4"/>
  <c r="H76" i="4" l="1" a="1"/>
  <c r="I76" i="4" l="1"/>
  <c r="J76" i="4"/>
  <c r="H76" i="4"/>
  <c r="K76" i="4" l="1" a="1"/>
  <c r="L76" i="4" l="1"/>
  <c r="M76" i="4"/>
  <c r="K76" i="4"/>
  <c r="N76" i="4" l="1" a="1"/>
  <c r="O76" i="4" l="1"/>
  <c r="P76" i="4"/>
  <c r="N76" i="4"/>
  <c r="B77" i="4" s="1" a="1"/>
  <c r="D77" i="4" l="1"/>
  <c r="D77" i="3" s="1"/>
  <c r="F77" i="3" s="1"/>
  <c r="B77" i="4"/>
  <c r="C77" i="4"/>
  <c r="C77" i="3" s="1"/>
  <c r="E77" i="3" s="1"/>
  <c r="B77" i="3" l="1"/>
  <c r="E77" i="4" a="1"/>
  <c r="G77" i="4" l="1"/>
  <c r="E77" i="4"/>
  <c r="F77" i="4"/>
  <c r="H77" i="4" l="1" a="1"/>
  <c r="J77" i="4" l="1"/>
  <c r="H77" i="4"/>
  <c r="I77" i="4"/>
  <c r="K77" i="4" l="1" a="1"/>
  <c r="M77" i="4" l="1"/>
  <c r="K77" i="4"/>
  <c r="L77" i="4"/>
  <c r="N77" i="4" l="1" a="1"/>
  <c r="P77" i="4" l="1"/>
  <c r="N77" i="4"/>
  <c r="O77" i="4"/>
  <c r="B78" i="4" l="1" a="1"/>
  <c r="C78" i="4" l="1"/>
  <c r="C78" i="3" s="1"/>
  <c r="E78" i="3" s="1"/>
  <c r="D78" i="4"/>
  <c r="D78" i="3" s="1"/>
  <c r="F78" i="3" s="1"/>
  <c r="B78" i="4"/>
  <c r="B78" i="3" l="1"/>
  <c r="E78" i="4" a="1"/>
  <c r="F78" i="4" l="1"/>
  <c r="G78" i="4"/>
  <c r="E78" i="4"/>
  <c r="H78" i="4" l="1" a="1"/>
  <c r="I78" i="4" l="1"/>
  <c r="J78" i="4"/>
  <c r="H78" i="4"/>
  <c r="K78" i="4" l="1" a="1"/>
  <c r="L78" i="4" l="1"/>
  <c r="M78" i="4"/>
  <c r="K78" i="4"/>
  <c r="N78" i="4" l="1" a="1"/>
  <c r="O78" i="4" l="1"/>
  <c r="P78" i="4"/>
  <c r="N78" i="4"/>
  <c r="B79" i="4" s="1" a="1"/>
  <c r="D79" i="4" l="1"/>
  <c r="D79" i="3" s="1"/>
  <c r="F79" i="3" s="1"/>
  <c r="B79" i="4"/>
  <c r="C79" i="4"/>
  <c r="C79" i="3" s="1"/>
  <c r="E79" i="3" s="1"/>
  <c r="B79" i="3" l="1"/>
  <c r="E79" i="4" a="1"/>
  <c r="G79" i="4" l="1"/>
  <c r="E79" i="4"/>
  <c r="F79" i="4"/>
  <c r="H79" i="4" l="1" a="1"/>
  <c r="J79" i="4" l="1"/>
  <c r="H79" i="4"/>
  <c r="I79" i="4"/>
  <c r="K79" i="4" l="1" a="1"/>
  <c r="M79" i="4" l="1"/>
  <c r="K79" i="4"/>
  <c r="L79" i="4"/>
  <c r="N79" i="4" l="1" a="1"/>
  <c r="P79" i="4" l="1"/>
  <c r="N79" i="4"/>
  <c r="O79" i="4"/>
  <c r="B80" i="4" l="1" a="1"/>
  <c r="C80" i="4" l="1"/>
  <c r="C80" i="3" s="1"/>
  <c r="E80" i="3" s="1"/>
  <c r="D80" i="4"/>
  <c r="D80" i="3" s="1"/>
  <c r="F80" i="3" s="1"/>
  <c r="B80" i="4"/>
  <c r="B80" i="3" l="1"/>
  <c r="E80" i="4" a="1"/>
  <c r="F80" i="4" l="1"/>
  <c r="G80" i="4"/>
  <c r="E80" i="4"/>
  <c r="H80" i="4" l="1" a="1"/>
  <c r="I80" i="4" l="1"/>
  <c r="J80" i="4"/>
  <c r="H80" i="4"/>
  <c r="K80" i="4" l="1" a="1"/>
  <c r="L80" i="4" l="1"/>
  <c r="M80" i="4"/>
  <c r="K80" i="4"/>
  <c r="N80" i="4" l="1" a="1"/>
  <c r="O80" i="4" l="1"/>
  <c r="P80" i="4"/>
  <c r="N80" i="4"/>
  <c r="B81" i="4" s="1" a="1"/>
  <c r="D81" i="4" l="1"/>
  <c r="D81" i="3" s="1"/>
  <c r="F81" i="3" s="1"/>
  <c r="B81" i="4"/>
  <c r="C81" i="4"/>
  <c r="C81" i="3" s="1"/>
  <c r="E81" i="3" s="1"/>
  <c r="B81" i="3" l="1"/>
  <c r="E81" i="4" a="1"/>
  <c r="G81" i="4" l="1"/>
  <c r="E81" i="4"/>
  <c r="F81" i="4"/>
  <c r="H81" i="4" l="1" a="1"/>
  <c r="J81" i="4" l="1"/>
  <c r="H81" i="4"/>
  <c r="I81" i="4"/>
  <c r="K81" i="4" l="1" a="1"/>
  <c r="M81" i="4" l="1"/>
  <c r="K81" i="4"/>
  <c r="L81" i="4"/>
  <c r="N81" i="4" l="1" a="1"/>
  <c r="O81" i="4" l="1"/>
  <c r="N81" i="4"/>
  <c r="P81" i="4"/>
  <c r="B82" i="4" l="1" a="1"/>
  <c r="D82" i="4" l="1"/>
  <c r="D82" i="3" s="1"/>
  <c r="F82" i="3" s="1"/>
  <c r="B82" i="4"/>
  <c r="C82" i="4"/>
  <c r="C82" i="3" s="1"/>
  <c r="E82" i="3" s="1"/>
  <c r="B82" i="3" l="1"/>
  <c r="E82" i="4" a="1"/>
  <c r="G82" i="4" l="1"/>
  <c r="E82" i="4"/>
  <c r="F82" i="4"/>
  <c r="H82" i="4" l="1" a="1"/>
  <c r="J82" i="4" l="1"/>
  <c r="H82" i="4"/>
  <c r="I82" i="4"/>
  <c r="K82" i="4" l="1" a="1"/>
  <c r="M82" i="4" l="1"/>
  <c r="K82" i="4"/>
  <c r="L82" i="4"/>
  <c r="N82" i="4" l="1" a="1"/>
  <c r="P82" i="4" l="1"/>
  <c r="N82" i="4"/>
  <c r="O82" i="4"/>
  <c r="B83" i="4" l="1" a="1"/>
  <c r="C83" i="4" l="1"/>
  <c r="C83" i="3" s="1"/>
  <c r="E83" i="3" s="1"/>
  <c r="D83" i="4"/>
  <c r="D83" i="3" s="1"/>
  <c r="F83" i="3" s="1"/>
  <c r="B83" i="4"/>
  <c r="B83" i="3" l="1"/>
  <c r="E83" i="4" a="1"/>
  <c r="F83" i="4" l="1"/>
  <c r="G83" i="4"/>
  <c r="E83" i="4"/>
  <c r="H83" i="4" l="1" a="1"/>
  <c r="I83" i="4" l="1"/>
  <c r="J83" i="4"/>
  <c r="H83" i="4"/>
  <c r="K83" i="4" l="1" a="1"/>
  <c r="L83" i="4" l="1"/>
  <c r="M83" i="4"/>
  <c r="K83" i="4"/>
  <c r="N83" i="4" l="1" a="1"/>
  <c r="O83" i="4" l="1"/>
  <c r="P83" i="4"/>
  <c r="N83" i="4"/>
  <c r="B84" i="4" s="1" a="1"/>
  <c r="D84" i="4" l="1"/>
  <c r="D84" i="3" s="1"/>
  <c r="F84" i="3" s="1"/>
  <c r="B84" i="4"/>
  <c r="C84" i="4"/>
  <c r="C84" i="3" s="1"/>
  <c r="E84" i="3" s="1"/>
  <c r="B84" i="3" l="1"/>
  <c r="E84" i="4" a="1"/>
  <c r="G84" i="4" l="1"/>
  <c r="E84" i="4"/>
  <c r="F84" i="4"/>
  <c r="H84" i="4" l="1" a="1"/>
  <c r="J84" i="4" l="1"/>
  <c r="H84" i="4"/>
  <c r="I84" i="4"/>
  <c r="K84" i="4" l="1" a="1"/>
  <c r="M84" i="4" l="1"/>
  <c r="K84" i="4"/>
  <c r="L84" i="4"/>
  <c r="N84" i="4" l="1" a="1"/>
  <c r="P84" i="4" l="1"/>
  <c r="N84" i="4"/>
  <c r="O84" i="4"/>
  <c r="B85" i="4" l="1" a="1"/>
  <c r="C85" i="4" l="1"/>
  <c r="C85" i="3" s="1"/>
  <c r="E85" i="3" s="1"/>
  <c r="D85" i="4"/>
  <c r="D85" i="3" s="1"/>
  <c r="F85" i="3" s="1"/>
  <c r="B85" i="4"/>
  <c r="B85" i="3" l="1"/>
  <c r="E85" i="4" a="1"/>
  <c r="F85" i="4" l="1"/>
  <c r="G85" i="4"/>
  <c r="E85" i="4"/>
  <c r="H85" i="4" l="1" a="1"/>
  <c r="I85" i="4" l="1"/>
  <c r="J85" i="4"/>
  <c r="H85" i="4"/>
  <c r="K85" i="4" l="1" a="1"/>
  <c r="L85" i="4" l="1"/>
  <c r="M85" i="4"/>
  <c r="K85" i="4"/>
  <c r="N85" i="4" l="1" a="1"/>
  <c r="O85" i="4" l="1"/>
  <c r="P85" i="4"/>
  <c r="N85" i="4"/>
  <c r="B86" i="4" s="1" a="1"/>
  <c r="D86" i="4" l="1"/>
  <c r="D86" i="3" s="1"/>
  <c r="F86" i="3" s="1"/>
  <c r="B86" i="4"/>
  <c r="C86" i="4"/>
  <c r="C86" i="3" s="1"/>
  <c r="E86" i="3" s="1"/>
  <c r="B86" i="3" l="1"/>
  <c r="E86" i="4" a="1"/>
  <c r="G86" i="4" l="1"/>
  <c r="E86" i="4"/>
  <c r="F86" i="4"/>
  <c r="H86" i="4" l="1" a="1"/>
  <c r="J86" i="4" l="1"/>
  <c r="H86" i="4"/>
  <c r="I86" i="4"/>
  <c r="K86" i="4" l="1" a="1"/>
  <c r="M86" i="4" l="1"/>
  <c r="K86" i="4"/>
  <c r="L86" i="4"/>
  <c r="N86" i="4" l="1" a="1"/>
  <c r="P86" i="4" l="1"/>
  <c r="N86" i="4"/>
  <c r="O86" i="4"/>
  <c r="B87" i="4" l="1" a="1"/>
  <c r="C87" i="4" l="1"/>
  <c r="C87" i="3" s="1"/>
  <c r="E87" i="3" s="1"/>
  <c r="D87" i="4"/>
  <c r="D87" i="3" s="1"/>
  <c r="F87" i="3" s="1"/>
  <c r="B87" i="4"/>
  <c r="B87" i="3" l="1"/>
  <c r="E87" i="4" a="1"/>
  <c r="F87" i="4" l="1"/>
  <c r="G87" i="4"/>
  <c r="E87" i="4"/>
  <c r="H87" i="4" l="1" a="1"/>
  <c r="I87" i="4" l="1"/>
  <c r="J87" i="4"/>
  <c r="H87" i="4"/>
  <c r="K87" i="4" l="1" a="1"/>
  <c r="L87" i="4" l="1"/>
  <c r="M87" i="4"/>
  <c r="K87" i="4"/>
  <c r="N87" i="4" l="1" a="1"/>
  <c r="O87" i="4" l="1"/>
  <c r="P87" i="4"/>
  <c r="N87" i="4"/>
  <c r="B88" i="4" s="1" a="1"/>
  <c r="D88" i="4" l="1"/>
  <c r="D88" i="3" s="1"/>
  <c r="F88" i="3" s="1"/>
  <c r="B88" i="4"/>
  <c r="C88" i="4"/>
  <c r="C88" i="3" s="1"/>
  <c r="E88" i="3" s="1"/>
  <c r="B88" i="3" l="1"/>
  <c r="E88" i="4" a="1"/>
  <c r="G88" i="4" l="1"/>
  <c r="E88" i="4"/>
  <c r="F88" i="4"/>
  <c r="H88" i="4" l="1" a="1"/>
  <c r="J88" i="4" l="1"/>
  <c r="H88" i="4"/>
  <c r="I88" i="4"/>
  <c r="K88" i="4" l="1" a="1"/>
  <c r="M88" i="4" l="1"/>
  <c r="K88" i="4"/>
  <c r="L88" i="4"/>
  <c r="N88" i="4" l="1" a="1"/>
  <c r="P88" i="4" l="1"/>
  <c r="N88" i="4"/>
  <c r="O88" i="4"/>
  <c r="B89" i="4" l="1" a="1"/>
  <c r="C89" i="4" l="1"/>
  <c r="C89" i="3" s="1"/>
  <c r="E89" i="3" s="1"/>
  <c r="D89" i="4"/>
  <c r="D89" i="3" s="1"/>
  <c r="F89" i="3" s="1"/>
  <c r="B89" i="4"/>
  <c r="B89" i="3" l="1"/>
  <c r="E89" i="4" a="1"/>
  <c r="F89" i="4" l="1"/>
  <c r="G89" i="4"/>
  <c r="E89" i="4"/>
  <c r="H89" i="4" l="1" a="1"/>
  <c r="I89" i="4" l="1"/>
  <c r="J89" i="4"/>
  <c r="H89" i="4"/>
  <c r="K89" i="4" l="1" a="1"/>
  <c r="L89" i="4" l="1"/>
  <c r="M89" i="4"/>
  <c r="K89" i="4"/>
  <c r="N89" i="4" l="1" a="1"/>
  <c r="O89" i="4" l="1"/>
  <c r="P89" i="4"/>
  <c r="N89" i="4"/>
  <c r="B90" i="4" s="1" a="1"/>
  <c r="D90" i="4" l="1"/>
  <c r="D90" i="3" s="1"/>
  <c r="F90" i="3" s="1"/>
  <c r="B90" i="4"/>
  <c r="C90" i="4"/>
  <c r="C90" i="3" s="1"/>
  <c r="E90" i="3" s="1"/>
  <c r="B90" i="3" l="1"/>
  <c r="E90" i="4" a="1"/>
  <c r="G90" i="4" l="1"/>
  <c r="E90" i="4"/>
  <c r="F90" i="4"/>
  <c r="H90" i="4" l="1" a="1"/>
  <c r="J90" i="4" l="1"/>
  <c r="H90" i="4"/>
  <c r="I90" i="4"/>
  <c r="K90" i="4" l="1" a="1"/>
  <c r="M90" i="4" l="1"/>
  <c r="K90" i="4"/>
  <c r="L90" i="4"/>
  <c r="N90" i="4" l="1" a="1"/>
  <c r="P90" i="4" l="1"/>
  <c r="N90" i="4"/>
  <c r="O90" i="4"/>
  <c r="B91" i="4" l="1" a="1"/>
  <c r="C91" i="4" l="1"/>
  <c r="C91" i="3" s="1"/>
  <c r="E91" i="3" s="1"/>
  <c r="D91" i="4"/>
  <c r="D91" i="3" s="1"/>
  <c r="F91" i="3" s="1"/>
  <c r="B91" i="4"/>
  <c r="B91" i="3" l="1"/>
  <c r="E91" i="4" a="1"/>
  <c r="F91" i="4" l="1"/>
  <c r="G91" i="4"/>
  <c r="E91" i="4"/>
  <c r="H91" i="4" l="1" a="1"/>
  <c r="I91" i="4" l="1"/>
  <c r="J91" i="4"/>
  <c r="H91" i="4"/>
  <c r="K91" i="4" l="1" a="1"/>
  <c r="L91" i="4" l="1"/>
  <c r="M91" i="4"/>
  <c r="K91" i="4"/>
  <c r="N91" i="4" l="1" a="1"/>
  <c r="O91" i="4" l="1"/>
  <c r="P91" i="4"/>
  <c r="N91" i="4"/>
  <c r="B92" i="4" s="1" a="1"/>
  <c r="D92" i="4" l="1"/>
  <c r="D92" i="3" s="1"/>
  <c r="F92" i="3" s="1"/>
  <c r="B92" i="4"/>
  <c r="C92" i="4"/>
  <c r="C92" i="3" s="1"/>
  <c r="E92" i="3" s="1"/>
  <c r="B92" i="3" l="1"/>
  <c r="E92" i="4" a="1"/>
  <c r="G92" i="4" l="1"/>
  <c r="E92" i="4"/>
  <c r="F92" i="4"/>
  <c r="H92" i="4" l="1" a="1"/>
  <c r="J92" i="4" l="1"/>
  <c r="H92" i="4"/>
  <c r="I92" i="4"/>
  <c r="K92" i="4" l="1" a="1"/>
  <c r="M92" i="4" l="1"/>
  <c r="K92" i="4"/>
  <c r="L92" i="4"/>
  <c r="N92" i="4" l="1" a="1"/>
  <c r="P92" i="4" l="1"/>
  <c r="N92" i="4"/>
  <c r="O92" i="4"/>
  <c r="B93" i="4" l="1" a="1"/>
  <c r="C93" i="4" l="1"/>
  <c r="C93" i="3" s="1"/>
  <c r="E93" i="3" s="1"/>
  <c r="D93" i="4"/>
  <c r="D93" i="3" s="1"/>
  <c r="F93" i="3" s="1"/>
  <c r="B93" i="4"/>
  <c r="B93" i="3" l="1"/>
  <c r="E93" i="4" a="1"/>
  <c r="F93" i="4" l="1"/>
  <c r="G93" i="4"/>
  <c r="E93" i="4"/>
  <c r="H93" i="4" l="1" a="1"/>
  <c r="I93" i="4" l="1"/>
  <c r="J93" i="4"/>
  <c r="H93" i="4"/>
  <c r="K93" i="4" l="1" a="1"/>
  <c r="L93" i="4" l="1"/>
  <c r="M93" i="4"/>
  <c r="K93" i="4"/>
  <c r="N93" i="4" l="1" a="1"/>
  <c r="O93" i="4" l="1"/>
  <c r="P93" i="4"/>
  <c r="N93" i="4"/>
  <c r="B94" i="4" s="1" a="1"/>
  <c r="D94" i="4" l="1"/>
  <c r="D94" i="3" s="1"/>
  <c r="F94" i="3" s="1"/>
  <c r="B94" i="4"/>
  <c r="C94" i="4"/>
  <c r="C94" i="3" s="1"/>
  <c r="E94" i="3" s="1"/>
  <c r="B94" i="3" l="1"/>
  <c r="E94" i="4" a="1"/>
  <c r="G94" i="4" l="1"/>
  <c r="E94" i="4"/>
  <c r="F94" i="4"/>
  <c r="H94" i="4" l="1" a="1"/>
  <c r="J94" i="4" l="1"/>
  <c r="H94" i="4"/>
  <c r="I94" i="4"/>
  <c r="K94" i="4" l="1" a="1"/>
  <c r="M94" i="4" l="1"/>
  <c r="K94" i="4"/>
  <c r="L94" i="4"/>
  <c r="N94" i="4" l="1" a="1"/>
  <c r="P94" i="4" l="1"/>
  <c r="N94" i="4"/>
  <c r="O94" i="4"/>
  <c r="B95" i="4" l="1" a="1"/>
  <c r="C95" i="4" l="1"/>
  <c r="C95" i="3" s="1"/>
  <c r="E95" i="3" s="1"/>
  <c r="D95" i="4"/>
  <c r="D95" i="3" s="1"/>
  <c r="F95" i="3" s="1"/>
  <c r="B95" i="4"/>
  <c r="B95" i="3" l="1"/>
  <c r="E95" i="4" a="1"/>
  <c r="F95" i="4" l="1"/>
  <c r="G95" i="4"/>
  <c r="E95" i="4"/>
  <c r="H95" i="4" l="1" a="1"/>
  <c r="I95" i="4" l="1"/>
  <c r="J95" i="4"/>
  <c r="H95" i="4"/>
  <c r="K95" i="4" l="1" a="1"/>
  <c r="L95" i="4" l="1"/>
  <c r="M95" i="4"/>
  <c r="K95" i="4"/>
  <c r="N95" i="4" l="1" a="1"/>
  <c r="O95" i="4" l="1"/>
  <c r="P95" i="4"/>
  <c r="N95" i="4"/>
  <c r="B96" i="4" s="1" a="1"/>
  <c r="D96" i="4" l="1"/>
  <c r="D96" i="3" s="1"/>
  <c r="F96" i="3" s="1"/>
  <c r="B96" i="4"/>
  <c r="C96" i="4"/>
  <c r="C96" i="3" s="1"/>
  <c r="E96" i="3" s="1"/>
  <c r="B96" i="3" l="1"/>
  <c r="E96" i="4" a="1"/>
  <c r="G96" i="4" l="1"/>
  <c r="E96" i="4"/>
  <c r="F96" i="4"/>
  <c r="H96" i="4" l="1" a="1"/>
  <c r="J96" i="4" l="1"/>
  <c r="H96" i="4"/>
  <c r="I96" i="4"/>
  <c r="K96" i="4" l="1" a="1"/>
  <c r="M96" i="4" l="1"/>
  <c r="K96" i="4"/>
  <c r="L96" i="4"/>
  <c r="N96" i="4" l="1" a="1"/>
  <c r="P96" i="4" l="1"/>
  <c r="N96" i="4"/>
  <c r="O96" i="4"/>
  <c r="B97" i="4" l="1" a="1"/>
  <c r="C97" i="4" l="1"/>
  <c r="C97" i="3" s="1"/>
  <c r="E97" i="3" s="1"/>
  <c r="D97" i="4"/>
  <c r="D97" i="3" s="1"/>
  <c r="F97" i="3" s="1"/>
  <c r="B97" i="4"/>
  <c r="B97" i="3" l="1"/>
  <c r="E97" i="4" a="1"/>
  <c r="F97" i="4" l="1"/>
  <c r="G97" i="4"/>
  <c r="E97" i="4"/>
  <c r="H97" i="4" l="1" a="1"/>
  <c r="I97" i="4" l="1"/>
  <c r="J97" i="4"/>
  <c r="H97" i="4"/>
  <c r="K97" i="4" l="1" a="1"/>
  <c r="L97" i="4" l="1"/>
  <c r="M97" i="4"/>
  <c r="K97" i="4"/>
  <c r="N97" i="4" l="1" a="1"/>
  <c r="O97" i="4" l="1"/>
  <c r="P97" i="4"/>
  <c r="N97" i="4"/>
  <c r="B98" i="4" s="1" a="1"/>
  <c r="D98" i="4" l="1"/>
  <c r="D98" i="3" s="1"/>
  <c r="F98" i="3" s="1"/>
  <c r="B98" i="4"/>
  <c r="C98" i="4"/>
  <c r="C98" i="3" s="1"/>
  <c r="E98" i="3" s="1"/>
  <c r="B98" i="3" l="1"/>
  <c r="E98" i="4" a="1"/>
  <c r="G98" i="4" l="1"/>
  <c r="E98" i="4"/>
  <c r="F98" i="4"/>
  <c r="H98" i="4" l="1" a="1"/>
  <c r="J98" i="4" l="1"/>
  <c r="H98" i="4"/>
  <c r="I98" i="4"/>
  <c r="K98" i="4" l="1" a="1"/>
  <c r="M98" i="4" l="1"/>
  <c r="K98" i="4"/>
  <c r="L98" i="4"/>
  <c r="N98" i="4" l="1" a="1"/>
  <c r="P98" i="4" l="1"/>
  <c r="N98" i="4"/>
  <c r="O98" i="4"/>
  <c r="B99" i="4" l="1" a="1"/>
  <c r="C99" i="4" l="1"/>
  <c r="C99" i="3" s="1"/>
  <c r="E99" i="3" s="1"/>
  <c r="D99" i="4"/>
  <c r="D99" i="3" s="1"/>
  <c r="F99" i="3" s="1"/>
  <c r="B99" i="4"/>
  <c r="B99" i="3" l="1"/>
  <c r="E99" i="4" a="1"/>
  <c r="F99" i="4" l="1"/>
  <c r="G99" i="4"/>
  <c r="E99" i="4"/>
  <c r="H99" i="4" l="1" a="1"/>
  <c r="I99" i="4" l="1"/>
  <c r="J99" i="4"/>
  <c r="H99" i="4"/>
  <c r="K99" i="4" l="1" a="1"/>
  <c r="L99" i="4" l="1"/>
  <c r="M99" i="4"/>
  <c r="K99" i="4"/>
  <c r="N99" i="4" l="1" a="1"/>
  <c r="O99" i="4" l="1"/>
  <c r="P99" i="4"/>
  <c r="N99" i="4"/>
  <c r="B100" i="4" s="1" a="1"/>
  <c r="D100" i="4" l="1"/>
  <c r="D100" i="3" s="1"/>
  <c r="F100" i="3" s="1"/>
  <c r="B100" i="4"/>
  <c r="C100" i="4"/>
  <c r="C100" i="3" s="1"/>
  <c r="E100" i="3" s="1"/>
  <c r="B100" i="3" l="1"/>
  <c r="E100" i="4" a="1"/>
  <c r="G100" i="4" l="1"/>
  <c r="E100" i="4"/>
  <c r="F100" i="4"/>
  <c r="H100" i="4" l="1" a="1"/>
  <c r="J100" i="4" l="1"/>
  <c r="H100" i="4"/>
  <c r="I100" i="4"/>
  <c r="K100" i="4" l="1" a="1"/>
  <c r="M100" i="4" l="1"/>
  <c r="K100" i="4"/>
  <c r="L100" i="4"/>
  <c r="N100" i="4" l="1" a="1"/>
  <c r="P100" i="4" l="1"/>
  <c r="N100" i="4"/>
  <c r="O100" i="4"/>
  <c r="B101" i="4" l="1" a="1"/>
  <c r="C101" i="4" l="1"/>
  <c r="C101" i="3" s="1"/>
  <c r="E101" i="3" s="1"/>
  <c r="D101" i="4"/>
  <c r="D101" i="3" s="1"/>
  <c r="F101" i="3" s="1"/>
  <c r="B101" i="4"/>
  <c r="B101" i="3" l="1"/>
  <c r="E101" i="4" a="1"/>
  <c r="F101" i="4" l="1"/>
  <c r="G101" i="4"/>
  <c r="E101" i="4"/>
  <c r="H101" i="4" l="1" a="1"/>
  <c r="I101" i="4" l="1"/>
  <c r="J101" i="4"/>
  <c r="H101" i="4"/>
  <c r="K101" i="4" l="1" a="1"/>
  <c r="L101" i="4" l="1"/>
  <c r="M101" i="4"/>
  <c r="K101" i="4"/>
  <c r="N101" i="4" l="1" a="1"/>
  <c r="O101" i="4" l="1"/>
  <c r="P101" i="4"/>
  <c r="N101" i="4"/>
  <c r="B102" i="4" s="1" a="1"/>
  <c r="D102" i="4" l="1"/>
  <c r="D102" i="3" s="1"/>
  <c r="F102" i="3" s="1"/>
  <c r="B102" i="4"/>
  <c r="C102" i="4"/>
  <c r="C102" i="3" s="1"/>
  <c r="E102" i="3" s="1"/>
  <c r="B102" i="3" l="1"/>
  <c r="E102" i="4" a="1"/>
  <c r="G102" i="4" l="1"/>
  <c r="E102" i="4"/>
  <c r="F102" i="4"/>
  <c r="H102" i="4" l="1" a="1"/>
  <c r="J102" i="4" l="1"/>
  <c r="H102" i="4"/>
  <c r="I102" i="4"/>
  <c r="K102" i="4" l="1" a="1"/>
  <c r="M102" i="4" l="1"/>
  <c r="K102" i="4"/>
  <c r="L102" i="4"/>
  <c r="N102" i="4" l="1" a="1"/>
  <c r="P102" i="4" l="1"/>
  <c r="N102" i="4"/>
  <c r="O102" i="4"/>
  <c r="B103" i="4" l="1" a="1"/>
  <c r="C103" i="4" l="1"/>
  <c r="C103" i="3" s="1"/>
  <c r="E103" i="3" s="1"/>
  <c r="D103" i="4"/>
  <c r="D103" i="3" s="1"/>
  <c r="F103" i="3" s="1"/>
  <c r="B103" i="4"/>
  <c r="B103" i="3" l="1"/>
  <c r="E103" i="4" a="1"/>
  <c r="F103" i="4" l="1"/>
  <c r="G103" i="4"/>
  <c r="E103" i="4"/>
  <c r="H103" i="4" l="1" a="1"/>
  <c r="I103" i="4" l="1"/>
  <c r="J103" i="4"/>
  <c r="H103" i="4"/>
  <c r="K103" i="4" l="1" a="1"/>
  <c r="L103" i="4" l="1"/>
  <c r="M103" i="4"/>
  <c r="K103" i="4"/>
  <c r="N103" i="4" l="1" a="1"/>
  <c r="O103" i="4" l="1"/>
  <c r="P103" i="4"/>
  <c r="N103" i="4"/>
  <c r="B104" i="4" s="1" a="1"/>
  <c r="D104" i="4" l="1"/>
  <c r="D104" i="3" s="1"/>
  <c r="F104" i="3" s="1"/>
  <c r="B104" i="4"/>
  <c r="C104" i="4"/>
  <c r="C104" i="3" s="1"/>
  <c r="E104" i="3" s="1"/>
  <c r="B104" i="3" l="1"/>
  <c r="E104" i="4" a="1"/>
  <c r="G104" i="4" l="1"/>
  <c r="E104" i="4"/>
  <c r="F104" i="4"/>
  <c r="H104" i="4" l="1" a="1"/>
  <c r="J104" i="4" l="1"/>
  <c r="H104" i="4"/>
  <c r="I104" i="4"/>
  <c r="K104" i="4" l="1" a="1"/>
  <c r="M104" i="4" l="1"/>
  <c r="K104" i="4"/>
  <c r="L104" i="4"/>
  <c r="N104" i="4" l="1" a="1"/>
  <c r="P104" i="4" l="1"/>
  <c r="N104" i="4"/>
  <c r="O104" i="4"/>
  <c r="B105" i="4" l="1" a="1"/>
  <c r="C105" i="4" l="1"/>
  <c r="C105" i="3" s="1"/>
  <c r="E105" i="3" s="1"/>
  <c r="D105" i="4"/>
  <c r="D105" i="3" s="1"/>
  <c r="F105" i="3" s="1"/>
  <c r="B105" i="4"/>
  <c r="B105" i="3" l="1"/>
  <c r="E105" i="4" a="1"/>
  <c r="F105" i="4" l="1"/>
  <c r="G105" i="4"/>
  <c r="E105" i="4"/>
  <c r="H105" i="4" l="1" a="1"/>
  <c r="I105" i="4" l="1"/>
  <c r="J105" i="4"/>
  <c r="H105" i="4"/>
  <c r="K105" i="4" l="1" a="1"/>
  <c r="L105" i="4" l="1"/>
  <c r="M105" i="4"/>
  <c r="K105" i="4"/>
  <c r="N105" i="4" l="1" a="1"/>
  <c r="O105" i="4" l="1"/>
  <c r="P105" i="4"/>
  <c r="N105" i="4"/>
  <c r="B106" i="4" s="1" a="1"/>
  <c r="D106" i="4" l="1"/>
  <c r="D106" i="3" s="1"/>
  <c r="F106" i="3" s="1"/>
  <c r="B106" i="4"/>
  <c r="C106" i="4"/>
  <c r="C106" i="3" s="1"/>
  <c r="E106" i="3" s="1"/>
  <c r="B106" i="3" l="1"/>
  <c r="E106" i="4" a="1"/>
  <c r="G106" i="4" l="1"/>
  <c r="E106" i="4"/>
  <c r="F106" i="4"/>
  <c r="H106" i="4" l="1" a="1"/>
  <c r="J106" i="4" l="1"/>
  <c r="H106" i="4"/>
  <c r="I106" i="4"/>
  <c r="K106" i="4" l="1" a="1"/>
  <c r="M106" i="4" l="1"/>
  <c r="K106" i="4"/>
  <c r="L106" i="4"/>
  <c r="N106" i="4" l="1" a="1"/>
  <c r="P106" i="4" l="1"/>
  <c r="N106" i="4"/>
  <c r="O106" i="4"/>
  <c r="B107" i="4" l="1" a="1"/>
  <c r="C107" i="4" l="1"/>
  <c r="C107" i="3" s="1"/>
  <c r="E107" i="3" s="1"/>
  <c r="D107" i="4"/>
  <c r="D107" i="3" s="1"/>
  <c r="F107" i="3" s="1"/>
  <c r="B107" i="4"/>
  <c r="B107" i="3" l="1"/>
  <c r="E107" i="4" a="1"/>
  <c r="F107" i="4" l="1"/>
  <c r="G107" i="4"/>
  <c r="E107" i="4"/>
  <c r="H107" i="4" l="1" a="1"/>
  <c r="I107" i="4" l="1"/>
  <c r="J107" i="4"/>
  <c r="H107" i="4"/>
  <c r="K107" i="4" l="1" a="1"/>
  <c r="L107" i="4" l="1"/>
  <c r="M107" i="4"/>
  <c r="K107" i="4"/>
  <c r="N107" i="4" l="1" a="1"/>
  <c r="O107" i="4" l="1"/>
  <c r="P107" i="4"/>
  <c r="N107" i="4"/>
  <c r="B108" i="4" s="1" a="1"/>
  <c r="D108" i="4" l="1"/>
  <c r="D108" i="3" s="1"/>
  <c r="F108" i="3" s="1"/>
  <c r="B108" i="4"/>
  <c r="C108" i="4"/>
  <c r="C108" i="3" s="1"/>
  <c r="E108" i="3" s="1"/>
  <c r="B108" i="3" l="1"/>
  <c r="E108" i="4" a="1"/>
  <c r="G108" i="4" l="1"/>
  <c r="E108" i="4"/>
  <c r="F108" i="4"/>
  <c r="H108" i="4" l="1" a="1"/>
  <c r="J108" i="4" l="1"/>
  <c r="H108" i="4"/>
  <c r="I108" i="4"/>
  <c r="K108" i="4" l="1" a="1"/>
  <c r="M108" i="4" l="1"/>
  <c r="K108" i="4"/>
  <c r="L108" i="4"/>
  <c r="N108" i="4" l="1" a="1"/>
  <c r="P108" i="4" l="1"/>
  <c r="N108" i="4"/>
  <c r="O108" i="4"/>
  <c r="B109" i="4" l="1" a="1"/>
  <c r="C109" i="4" l="1"/>
  <c r="C109" i="3" s="1"/>
  <c r="E109" i="3" s="1"/>
  <c r="D109" i="4"/>
  <c r="D109" i="3" s="1"/>
  <c r="F109" i="3" s="1"/>
  <c r="B109" i="4"/>
  <c r="B109" i="3" l="1"/>
  <c r="E109" i="4" a="1"/>
  <c r="F109" i="4" l="1"/>
  <c r="G109" i="4"/>
  <c r="E109" i="4"/>
  <c r="H109" i="4" l="1" a="1"/>
  <c r="I109" i="4" l="1"/>
  <c r="J109" i="4"/>
  <c r="H109" i="4"/>
  <c r="K109" i="4" l="1" a="1"/>
  <c r="L109" i="4" l="1"/>
  <c r="M109" i="4"/>
  <c r="K109" i="4"/>
  <c r="N109" i="4" l="1" a="1"/>
  <c r="O109" i="4" l="1"/>
  <c r="P109" i="4"/>
  <c r="N109" i="4"/>
  <c r="B110" i="4" s="1" a="1"/>
  <c r="D110" i="4" l="1"/>
  <c r="D110" i="3" s="1"/>
  <c r="F110" i="3" s="1"/>
  <c r="B110" i="4"/>
  <c r="C110" i="4"/>
  <c r="C110" i="3" s="1"/>
  <c r="E110" i="3" s="1"/>
  <c r="B110" i="3" l="1"/>
  <c r="E110" i="4" a="1"/>
  <c r="G110" i="4" l="1"/>
  <c r="E110" i="4"/>
  <c r="F110" i="4"/>
  <c r="H110" i="4" l="1" a="1"/>
  <c r="J110" i="4" l="1"/>
  <c r="H110" i="4"/>
  <c r="I110" i="4"/>
  <c r="K110" i="4" l="1" a="1"/>
  <c r="M110" i="4" l="1"/>
  <c r="K110" i="4"/>
  <c r="L110" i="4"/>
  <c r="N110" i="4" l="1" a="1"/>
  <c r="P110" i="4" l="1"/>
  <c r="N110" i="4"/>
  <c r="O110" i="4"/>
  <c r="B111" i="4" l="1" a="1"/>
  <c r="C111" i="4" l="1"/>
  <c r="C111" i="3" s="1"/>
  <c r="E111" i="3" s="1"/>
  <c r="D111" i="4"/>
  <c r="D111" i="3" s="1"/>
  <c r="F111" i="3" s="1"/>
  <c r="B111" i="4"/>
  <c r="B111" i="3" l="1"/>
  <c r="E111" i="4" a="1"/>
  <c r="F111" i="4" l="1"/>
  <c r="G111" i="4"/>
  <c r="E111" i="4"/>
  <c r="H111" i="4" l="1" a="1"/>
  <c r="I111" i="4" l="1"/>
  <c r="J111" i="4"/>
  <c r="H111" i="4"/>
  <c r="K111" i="4" l="1" a="1"/>
  <c r="L111" i="4" l="1"/>
  <c r="M111" i="4"/>
  <c r="K111" i="4"/>
  <c r="N111" i="4" l="1" a="1"/>
  <c r="O111" i="4" l="1"/>
  <c r="P111" i="4"/>
  <c r="N111" i="4"/>
  <c r="B112" i="4" s="1" a="1"/>
  <c r="D112" i="4" l="1"/>
  <c r="D112" i="3" s="1"/>
  <c r="F112" i="3" s="1"/>
  <c r="B112" i="4"/>
  <c r="C112" i="4"/>
  <c r="C112" i="3" s="1"/>
  <c r="E112" i="3" s="1"/>
  <c r="B112" i="3" l="1"/>
  <c r="E112" i="4" a="1"/>
  <c r="G112" i="4" l="1"/>
  <c r="E112" i="4"/>
  <c r="F112" i="4"/>
  <c r="H112" i="4" l="1" a="1"/>
  <c r="J112" i="4" l="1"/>
  <c r="H112" i="4"/>
  <c r="I112" i="4"/>
  <c r="K112" i="4" l="1" a="1"/>
  <c r="M112" i="4" l="1"/>
  <c r="K112" i="4"/>
  <c r="L112" i="4"/>
  <c r="N112" i="4" l="1" a="1"/>
  <c r="P112" i="4" l="1"/>
  <c r="N112" i="4"/>
  <c r="O112" i="4"/>
  <c r="B113" i="4" l="1" a="1"/>
  <c r="C113" i="4" l="1"/>
  <c r="C113" i="3" s="1"/>
  <c r="E113" i="3" s="1"/>
  <c r="D113" i="4"/>
  <c r="D113" i="3" s="1"/>
  <c r="F113" i="3" s="1"/>
  <c r="B113" i="4"/>
  <c r="B113" i="3" l="1"/>
  <c r="E113" i="4" a="1"/>
  <c r="F113" i="4" l="1"/>
  <c r="G113" i="4"/>
  <c r="E113" i="4"/>
  <c r="H113" i="4" l="1" a="1"/>
  <c r="I113" i="4" l="1"/>
  <c r="J113" i="4"/>
  <c r="H113" i="4"/>
  <c r="K113" i="4" l="1" a="1"/>
  <c r="L113" i="4" l="1"/>
  <c r="M113" i="4"/>
  <c r="K113" i="4"/>
  <c r="N113" i="4" l="1" a="1"/>
  <c r="O113" i="4" l="1"/>
  <c r="P113" i="4"/>
  <c r="N113" i="4"/>
  <c r="B114" i="4" s="1" a="1"/>
  <c r="D114" i="4" l="1"/>
  <c r="D114" i="3" s="1"/>
  <c r="F114" i="3" s="1"/>
  <c r="B114" i="4"/>
  <c r="C114" i="4"/>
  <c r="C114" i="3" s="1"/>
  <c r="E114" i="3" s="1"/>
  <c r="B114" i="3" l="1"/>
  <c r="E114" i="4" a="1"/>
  <c r="G114" i="4" l="1"/>
  <c r="E114" i="4"/>
  <c r="F114" i="4"/>
  <c r="H114" i="4" l="1" a="1"/>
  <c r="J114" i="4" l="1"/>
  <c r="H114" i="4"/>
  <c r="I114" i="4"/>
  <c r="K114" i="4" l="1" a="1"/>
  <c r="M114" i="4" l="1"/>
  <c r="K114" i="4"/>
  <c r="L114" i="4"/>
  <c r="N114" i="4" l="1" a="1"/>
  <c r="P114" i="4" l="1"/>
  <c r="N114" i="4"/>
  <c r="O114" i="4"/>
  <c r="B115" i="4" l="1" a="1"/>
  <c r="C115" i="4" l="1"/>
  <c r="C115" i="3" s="1"/>
  <c r="E115" i="3" s="1"/>
  <c r="D115" i="4"/>
  <c r="D115" i="3" s="1"/>
  <c r="F115" i="3" s="1"/>
  <c r="B115" i="4"/>
  <c r="B115" i="3" l="1"/>
  <c r="E115" i="4" a="1"/>
  <c r="F115" i="4" l="1"/>
  <c r="G115" i="4"/>
  <c r="E115" i="4"/>
  <c r="H115" i="4" l="1" a="1"/>
  <c r="I115" i="4" l="1"/>
  <c r="J115" i="4"/>
  <c r="H115" i="4"/>
  <c r="K115" i="4" l="1" a="1"/>
  <c r="L115" i="4" l="1"/>
  <c r="M115" i="4"/>
  <c r="K115" i="4"/>
  <c r="N115" i="4" l="1" a="1"/>
  <c r="O115" i="4" l="1"/>
  <c r="P115" i="4"/>
  <c r="N115" i="4"/>
  <c r="B116" i="4" s="1" a="1"/>
  <c r="D116" i="4" l="1"/>
  <c r="D116" i="3" s="1"/>
  <c r="F116" i="3" s="1"/>
  <c r="B116" i="4"/>
  <c r="C116" i="4"/>
  <c r="C116" i="3" s="1"/>
  <c r="E116" i="3" s="1"/>
  <c r="B116" i="3" l="1"/>
  <c r="E116" i="4" a="1"/>
  <c r="G116" i="4" l="1"/>
  <c r="E116" i="4"/>
  <c r="F116" i="4"/>
  <c r="H116" i="4" l="1" a="1"/>
  <c r="J116" i="4" l="1"/>
  <c r="H116" i="4"/>
  <c r="I116" i="4"/>
  <c r="K116" i="4" l="1" a="1"/>
  <c r="M116" i="4" l="1"/>
  <c r="K116" i="4"/>
  <c r="L116" i="4"/>
  <c r="N116" i="4" l="1" a="1"/>
  <c r="P116" i="4" l="1"/>
  <c r="N116" i="4"/>
  <c r="O116" i="4"/>
  <c r="B117" i="4" l="1" a="1"/>
  <c r="C117" i="4" l="1"/>
  <c r="C117" i="3" s="1"/>
  <c r="E117" i="3" s="1"/>
  <c r="D117" i="4"/>
  <c r="D117" i="3" s="1"/>
  <c r="F117" i="3" s="1"/>
  <c r="B117" i="4"/>
  <c r="B117" i="3" l="1"/>
  <c r="E117" i="4" a="1"/>
  <c r="F117" i="4" l="1"/>
  <c r="G117" i="4"/>
  <c r="E117" i="4"/>
  <c r="H117" i="4" l="1" a="1"/>
  <c r="I117" i="4" l="1"/>
  <c r="J117" i="4"/>
  <c r="H117" i="4"/>
  <c r="K117" i="4" l="1" a="1"/>
  <c r="L117" i="4" l="1"/>
  <c r="M117" i="4"/>
  <c r="K117" i="4"/>
  <c r="N117" i="4" l="1" a="1"/>
  <c r="O117" i="4" l="1"/>
  <c r="P117" i="4"/>
  <c r="N117" i="4"/>
  <c r="B118" i="4" s="1" a="1"/>
  <c r="D118" i="4" l="1"/>
  <c r="D118" i="3" s="1"/>
  <c r="F118" i="3" s="1"/>
  <c r="B118" i="4"/>
  <c r="C118" i="4"/>
  <c r="C118" i="3" s="1"/>
  <c r="E118" i="3" s="1"/>
  <c r="B118" i="3" l="1"/>
  <c r="E118" i="4" a="1"/>
  <c r="G118" i="4" l="1"/>
  <c r="E118" i="4"/>
  <c r="F118" i="4"/>
  <c r="H118" i="4" l="1" a="1"/>
  <c r="J118" i="4" l="1"/>
  <c r="H118" i="4"/>
  <c r="I118" i="4"/>
  <c r="K118" i="4" l="1" a="1"/>
  <c r="M118" i="4" l="1"/>
  <c r="K118" i="4"/>
  <c r="L118" i="4"/>
  <c r="N118" i="4" l="1" a="1"/>
  <c r="P118" i="4" l="1"/>
  <c r="N118" i="4"/>
  <c r="O118" i="4"/>
  <c r="B119" i="4" l="1" a="1"/>
  <c r="C119" i="4" l="1"/>
  <c r="C119" i="3" s="1"/>
  <c r="E119" i="3" s="1"/>
  <c r="D119" i="4"/>
  <c r="D119" i="3" s="1"/>
  <c r="F119" i="3" s="1"/>
  <c r="B119" i="4"/>
  <c r="B119" i="3" l="1"/>
  <c r="E119" i="4" a="1"/>
  <c r="F119" i="4" l="1"/>
  <c r="G119" i="4"/>
  <c r="E119" i="4"/>
  <c r="H119" i="4" l="1" a="1"/>
  <c r="I119" i="4" l="1"/>
  <c r="J119" i="4"/>
  <c r="H119" i="4"/>
  <c r="K119" i="4" l="1" a="1"/>
  <c r="L119" i="4" l="1"/>
  <c r="M119" i="4"/>
  <c r="K119" i="4"/>
  <c r="N119" i="4" l="1" a="1"/>
  <c r="O119" i="4" l="1"/>
  <c r="P119" i="4"/>
  <c r="N119" i="4"/>
  <c r="B120" i="4" s="1" a="1"/>
  <c r="D120" i="4" l="1"/>
  <c r="D120" i="3" s="1"/>
  <c r="F120" i="3" s="1"/>
  <c r="B120" i="4"/>
  <c r="C120" i="4"/>
  <c r="C120" i="3" s="1"/>
  <c r="E120" i="3" s="1"/>
  <c r="B120" i="3" l="1"/>
  <c r="E120" i="4" a="1"/>
  <c r="G120" i="4" l="1"/>
  <c r="E120" i="4"/>
  <c r="F120" i="4"/>
  <c r="H120" i="4" l="1" a="1"/>
  <c r="J120" i="4" l="1"/>
  <c r="H120" i="4"/>
  <c r="I120" i="4"/>
  <c r="K120" i="4" l="1" a="1"/>
  <c r="M120" i="4" l="1"/>
  <c r="K120" i="4"/>
  <c r="L120" i="4"/>
  <c r="N120" i="4" l="1" a="1"/>
  <c r="P120" i="4" l="1"/>
  <c r="N120" i="4"/>
  <c r="O120" i="4"/>
  <c r="B121" i="4" l="1" a="1"/>
  <c r="C121" i="4" l="1"/>
  <c r="C121" i="3" s="1"/>
  <c r="E121" i="3" s="1"/>
  <c r="D121" i="4"/>
  <c r="D121" i="3" s="1"/>
  <c r="F121" i="3" s="1"/>
  <c r="B121" i="4"/>
  <c r="B121" i="3" l="1"/>
  <c r="E121" i="4" a="1"/>
  <c r="F121" i="4" l="1"/>
  <c r="G121" i="4"/>
  <c r="E121" i="4"/>
  <c r="H121" i="4" l="1" a="1"/>
  <c r="I121" i="4" l="1"/>
  <c r="J121" i="4"/>
  <c r="H121" i="4"/>
  <c r="K121" i="4" l="1" a="1"/>
  <c r="L121" i="4" l="1"/>
  <c r="M121" i="4"/>
  <c r="K121" i="4"/>
  <c r="N121" i="4" l="1" a="1"/>
  <c r="O121" i="4" l="1"/>
  <c r="P121" i="4"/>
  <c r="N121" i="4"/>
  <c r="B122" i="4" s="1" a="1"/>
  <c r="D122" i="4" l="1"/>
  <c r="D122" i="3" s="1"/>
  <c r="F122" i="3" s="1"/>
  <c r="B122" i="4"/>
  <c r="C122" i="4"/>
  <c r="C122" i="3" s="1"/>
  <c r="E122" i="3" s="1"/>
  <c r="B122" i="3" l="1"/>
  <c r="E122" i="4" a="1"/>
  <c r="G122" i="4" l="1"/>
  <c r="E122" i="4"/>
  <c r="F122" i="4"/>
  <c r="H122" i="4" l="1" a="1"/>
  <c r="J122" i="4" l="1"/>
  <c r="H122" i="4"/>
  <c r="I122" i="4"/>
  <c r="K122" i="4" l="1" a="1"/>
  <c r="M122" i="4" l="1"/>
  <c r="K122" i="4"/>
  <c r="L122" i="4"/>
  <c r="N122" i="4" l="1" a="1"/>
  <c r="P122" i="4" l="1"/>
  <c r="N122" i="4"/>
  <c r="O122" i="4"/>
  <c r="B123" i="4" l="1" a="1"/>
  <c r="C123" i="4" l="1"/>
  <c r="C123" i="3" s="1"/>
  <c r="E123" i="3" s="1"/>
  <c r="D123" i="4"/>
  <c r="D123" i="3" s="1"/>
  <c r="F123" i="3" s="1"/>
  <c r="B123" i="4"/>
  <c r="B123" i="3" l="1"/>
  <c r="E123" i="4" a="1"/>
  <c r="F123" i="4" l="1"/>
  <c r="G123" i="4"/>
  <c r="E123" i="4"/>
  <c r="H123" i="4" l="1" a="1"/>
  <c r="I123" i="4" l="1"/>
  <c r="J123" i="4"/>
  <c r="H123" i="4"/>
  <c r="K123" i="4" l="1" a="1"/>
  <c r="L123" i="4" l="1"/>
  <c r="M123" i="4"/>
  <c r="K123" i="4"/>
  <c r="N123" i="4" l="1" a="1"/>
  <c r="O123" i="4" l="1"/>
  <c r="P123" i="4"/>
  <c r="N123" i="4"/>
  <c r="B124" i="4" s="1" a="1"/>
  <c r="D124" i="4" l="1"/>
  <c r="D124" i="3" s="1"/>
  <c r="F124" i="3" s="1"/>
  <c r="B124" i="4"/>
  <c r="C124" i="4"/>
  <c r="C124" i="3" s="1"/>
  <c r="E124" i="3" s="1"/>
  <c r="B124" i="3" l="1"/>
  <c r="E124" i="4" a="1"/>
  <c r="G124" i="4" l="1"/>
  <c r="E124" i="4"/>
  <c r="F124" i="4"/>
  <c r="H124" i="4" l="1" a="1"/>
  <c r="J124" i="4" l="1"/>
  <c r="H124" i="4"/>
  <c r="I124" i="4"/>
  <c r="K124" i="4" l="1" a="1"/>
  <c r="M124" i="4" l="1"/>
  <c r="K124" i="4"/>
  <c r="L124" i="4"/>
  <c r="N124" i="4" l="1" a="1"/>
  <c r="P124" i="4" l="1"/>
  <c r="N124" i="4"/>
  <c r="O124" i="4"/>
  <c r="B125" i="4" l="1" a="1"/>
  <c r="C125" i="4" l="1"/>
  <c r="C125" i="3" s="1"/>
  <c r="E125" i="3" s="1"/>
  <c r="D125" i="4"/>
  <c r="D125" i="3" s="1"/>
  <c r="F125" i="3" s="1"/>
  <c r="B125" i="4"/>
  <c r="B125" i="3" l="1"/>
  <c r="E125" i="4" a="1"/>
  <c r="F125" i="4" l="1"/>
  <c r="G125" i="4"/>
  <c r="E125" i="4"/>
  <c r="H125" i="4" l="1" a="1"/>
  <c r="I125" i="4" l="1"/>
  <c r="J125" i="4"/>
  <c r="H125" i="4"/>
  <c r="K125" i="4" l="1" a="1"/>
  <c r="L125" i="4" l="1"/>
  <c r="M125" i="4"/>
  <c r="K125" i="4"/>
  <c r="N125" i="4" l="1" a="1"/>
  <c r="O125" i="4" l="1"/>
  <c r="P125" i="4"/>
  <c r="N125" i="4"/>
  <c r="B126" i="4" s="1" a="1"/>
  <c r="D126" i="4" l="1"/>
  <c r="D126" i="3" s="1"/>
  <c r="F126" i="3" s="1"/>
  <c r="B126" i="4"/>
  <c r="C126" i="4"/>
  <c r="C126" i="3" s="1"/>
  <c r="E126" i="3" s="1"/>
  <c r="B126" i="3" l="1"/>
  <c r="E126" i="4" a="1"/>
  <c r="G126" i="4" l="1"/>
  <c r="E126" i="4"/>
  <c r="F126" i="4"/>
  <c r="H126" i="4" l="1" a="1"/>
  <c r="J126" i="4" l="1"/>
  <c r="H126" i="4"/>
  <c r="I126" i="4"/>
  <c r="K126" i="4" l="1" a="1"/>
  <c r="M126" i="4" l="1"/>
  <c r="K126" i="4"/>
  <c r="L126" i="4"/>
  <c r="N126" i="4" l="1" a="1"/>
  <c r="P126" i="4" l="1"/>
  <c r="N126" i="4"/>
  <c r="O126" i="4"/>
  <c r="B127" i="4" l="1" a="1"/>
  <c r="C127" i="4" l="1"/>
  <c r="C127" i="3" s="1"/>
  <c r="E127" i="3" s="1"/>
  <c r="D127" i="4"/>
  <c r="D127" i="3" s="1"/>
  <c r="F127" i="3" s="1"/>
  <c r="B127" i="4"/>
  <c r="B127" i="3" l="1"/>
  <c r="E127" i="4" a="1"/>
  <c r="F127" i="4" l="1"/>
  <c r="G127" i="4"/>
  <c r="E127" i="4"/>
  <c r="H127" i="4" l="1" a="1"/>
  <c r="I127" i="4" l="1"/>
  <c r="J127" i="4"/>
  <c r="H127" i="4"/>
  <c r="K127" i="4" l="1" a="1"/>
  <c r="L127" i="4" l="1"/>
  <c r="M127" i="4"/>
  <c r="K127" i="4"/>
  <c r="N127" i="4" l="1" a="1"/>
  <c r="O127" i="4" l="1"/>
  <c r="P127" i="4"/>
  <c r="N127" i="4"/>
  <c r="B128" i="4" s="1" a="1"/>
  <c r="D128" i="4" l="1"/>
  <c r="D128" i="3" s="1"/>
  <c r="F128" i="3" s="1"/>
  <c r="B128" i="4"/>
  <c r="C128" i="4"/>
  <c r="C128" i="3" s="1"/>
  <c r="E128" i="3" s="1"/>
  <c r="B128" i="3" l="1"/>
  <c r="E128" i="4" a="1"/>
  <c r="G128" i="4" l="1"/>
  <c r="E128" i="4"/>
  <c r="F128" i="4"/>
  <c r="H128" i="4" l="1" a="1"/>
  <c r="J128" i="4" l="1"/>
  <c r="H128" i="4"/>
  <c r="I128" i="4"/>
  <c r="K128" i="4" l="1" a="1"/>
  <c r="M128" i="4" l="1"/>
  <c r="K128" i="4"/>
  <c r="L128" i="4"/>
  <c r="N128" i="4" l="1" a="1"/>
  <c r="P128" i="4" l="1"/>
  <c r="N128" i="4"/>
  <c r="O128" i="4"/>
  <c r="B129" i="4" l="1" a="1"/>
  <c r="C129" i="4" l="1"/>
  <c r="C129" i="3" s="1"/>
  <c r="E129" i="3" s="1"/>
  <c r="D129" i="4"/>
  <c r="D129" i="3" s="1"/>
  <c r="F129" i="3" s="1"/>
  <c r="B129" i="4"/>
  <c r="B129" i="3" l="1"/>
  <c r="E129" i="4" a="1"/>
  <c r="F129" i="4" l="1"/>
  <c r="G129" i="4"/>
  <c r="E129" i="4"/>
  <c r="H129" i="4" l="1" a="1"/>
  <c r="I129" i="4" l="1"/>
  <c r="J129" i="4"/>
  <c r="H129" i="4"/>
  <c r="K129" i="4" l="1" a="1"/>
  <c r="L129" i="4" l="1"/>
  <c r="M129" i="4"/>
  <c r="K129" i="4"/>
  <c r="N129" i="4" l="1" a="1"/>
  <c r="O129" i="4" l="1"/>
  <c r="P129" i="4"/>
  <c r="N129" i="4"/>
  <c r="B130" i="4" s="1" a="1"/>
  <c r="D130" i="4" l="1"/>
  <c r="D130" i="3" s="1"/>
  <c r="F130" i="3" s="1"/>
  <c r="B130" i="4"/>
  <c r="C130" i="4"/>
  <c r="C130" i="3" s="1"/>
  <c r="E130" i="3" s="1"/>
  <c r="B130" i="3" l="1"/>
  <c r="E130" i="4" a="1"/>
  <c r="G130" i="4" l="1"/>
  <c r="E130" i="4"/>
  <c r="F130" i="4"/>
  <c r="H130" i="4" l="1" a="1"/>
  <c r="J130" i="4" l="1"/>
  <c r="H130" i="4"/>
  <c r="I130" i="4"/>
  <c r="K130" i="4" l="1" a="1"/>
  <c r="M130" i="4" l="1"/>
  <c r="K130" i="4"/>
  <c r="L130" i="4"/>
  <c r="N130" i="4" l="1" a="1"/>
  <c r="P130" i="4" l="1"/>
  <c r="N130" i="4"/>
  <c r="O130" i="4"/>
  <c r="B131" i="4" l="1" a="1"/>
  <c r="C131" i="4" l="1"/>
  <c r="C131" i="3" s="1"/>
  <c r="E131" i="3" s="1"/>
  <c r="D131" i="4"/>
  <c r="D131" i="3" s="1"/>
  <c r="F131" i="3" s="1"/>
  <c r="B131" i="4"/>
  <c r="B131" i="3" l="1"/>
  <c r="E131" i="4" a="1"/>
  <c r="F131" i="4" l="1"/>
  <c r="G131" i="4"/>
  <c r="E131" i="4"/>
  <c r="H131" i="4" l="1" a="1"/>
  <c r="I131" i="4" l="1"/>
  <c r="J131" i="4"/>
  <c r="H131" i="4"/>
  <c r="K131" i="4" l="1" a="1"/>
  <c r="L131" i="4" l="1"/>
  <c r="M131" i="4"/>
  <c r="K131" i="4"/>
  <c r="N131" i="4" l="1" a="1"/>
  <c r="O131" i="4" l="1"/>
  <c r="P131" i="4"/>
  <c r="N131" i="4"/>
  <c r="B132" i="4" s="1" a="1"/>
  <c r="D132" i="4" l="1"/>
  <c r="D132" i="3" s="1"/>
  <c r="F132" i="3" s="1"/>
  <c r="B132" i="4"/>
  <c r="C132" i="4"/>
  <c r="C132" i="3" s="1"/>
  <c r="E132" i="3" s="1"/>
  <c r="B132" i="3" l="1"/>
  <c r="E132" i="4" a="1"/>
  <c r="G132" i="4" l="1"/>
  <c r="E132" i="4"/>
  <c r="F132" i="4"/>
  <c r="H132" i="4" l="1" a="1"/>
  <c r="J132" i="4" l="1"/>
  <c r="H132" i="4"/>
  <c r="I132" i="4"/>
  <c r="K132" i="4" l="1" a="1"/>
  <c r="M132" i="4" l="1"/>
  <c r="K132" i="4"/>
  <c r="L132" i="4"/>
  <c r="N132" i="4" l="1" a="1"/>
  <c r="P132" i="4" l="1"/>
  <c r="N132" i="4"/>
  <c r="O132" i="4"/>
  <c r="B133" i="4" l="1" a="1"/>
  <c r="C133" i="4" l="1"/>
  <c r="C133" i="3" s="1"/>
  <c r="E133" i="3" s="1"/>
  <c r="D133" i="4"/>
  <c r="D133" i="3" s="1"/>
  <c r="F133" i="3" s="1"/>
  <c r="B133" i="4"/>
  <c r="B133" i="3" l="1"/>
  <c r="E133" i="4" a="1"/>
  <c r="F133" i="4" l="1"/>
  <c r="G133" i="4"/>
  <c r="E133" i="4"/>
  <c r="H133" i="4" l="1" a="1"/>
  <c r="I133" i="4" l="1"/>
  <c r="J133" i="4"/>
  <c r="H133" i="4"/>
  <c r="K133" i="4" l="1" a="1"/>
  <c r="L133" i="4" l="1"/>
  <c r="M133" i="4"/>
  <c r="K133" i="4"/>
  <c r="N133" i="4" l="1" a="1"/>
  <c r="O133" i="4" l="1"/>
  <c r="P133" i="4"/>
  <c r="N133" i="4"/>
  <c r="B134" i="4" s="1" a="1"/>
  <c r="D134" i="4" l="1"/>
  <c r="D134" i="3" s="1"/>
  <c r="F134" i="3" s="1"/>
  <c r="B134" i="4"/>
  <c r="C134" i="4"/>
  <c r="C134" i="3" s="1"/>
  <c r="E134" i="3" s="1"/>
  <c r="B134" i="3" l="1"/>
  <c r="E134" i="4" a="1"/>
  <c r="G134" i="4" l="1"/>
  <c r="E134" i="4"/>
  <c r="F134" i="4"/>
  <c r="H134" i="4" l="1" a="1"/>
  <c r="J134" i="4" l="1"/>
  <c r="H134" i="4"/>
  <c r="I134" i="4"/>
  <c r="K134" i="4" l="1" a="1"/>
  <c r="M134" i="4" l="1"/>
  <c r="K134" i="4"/>
  <c r="L134" i="4"/>
  <c r="N134" i="4" l="1" a="1"/>
  <c r="P134" i="4" l="1"/>
  <c r="N134" i="4"/>
  <c r="O134" i="4"/>
  <c r="B135" i="4" l="1" a="1"/>
  <c r="C135" i="4" l="1"/>
  <c r="C135" i="3" s="1"/>
  <c r="E135" i="3" s="1"/>
  <c r="D135" i="4"/>
  <c r="D135" i="3" s="1"/>
  <c r="F135" i="3" s="1"/>
  <c r="B135" i="4"/>
  <c r="B135" i="3" l="1"/>
  <c r="E135" i="4" a="1"/>
  <c r="F135" i="4" l="1"/>
  <c r="G135" i="4"/>
  <c r="E135" i="4"/>
  <c r="H135" i="4" l="1" a="1"/>
  <c r="I135" i="4" l="1"/>
  <c r="J135" i="4"/>
  <c r="H135" i="4"/>
  <c r="K135" i="4" l="1" a="1"/>
  <c r="L135" i="4" l="1"/>
  <c r="M135" i="4"/>
  <c r="K135" i="4"/>
  <c r="N135" i="4" l="1" a="1"/>
  <c r="O135" i="4" l="1"/>
  <c r="P135" i="4"/>
  <c r="N135" i="4"/>
  <c r="B136" i="4" s="1" a="1"/>
  <c r="D136" i="4" l="1"/>
  <c r="D136" i="3" s="1"/>
  <c r="F136" i="3" s="1"/>
  <c r="B136" i="4"/>
  <c r="C136" i="4"/>
  <c r="C136" i="3" s="1"/>
  <c r="E136" i="3" s="1"/>
  <c r="B136" i="3" l="1"/>
  <c r="E136" i="4" a="1"/>
  <c r="G136" i="4" l="1"/>
  <c r="E136" i="4"/>
  <c r="F136" i="4"/>
  <c r="H136" i="4" l="1" a="1"/>
  <c r="J136" i="4" l="1"/>
  <c r="H136" i="4"/>
  <c r="I136" i="4"/>
  <c r="K136" i="4" l="1" a="1"/>
  <c r="M136" i="4" l="1"/>
  <c r="K136" i="4"/>
  <c r="L136" i="4"/>
  <c r="N136" i="4" l="1" a="1"/>
  <c r="P136" i="4" l="1"/>
  <c r="N136" i="4"/>
  <c r="O136" i="4"/>
  <c r="B137" i="4" l="1" a="1"/>
  <c r="C137" i="4" l="1"/>
  <c r="C137" i="3" s="1"/>
  <c r="E137" i="3" s="1"/>
  <c r="D137" i="4"/>
  <c r="D137" i="3" s="1"/>
  <c r="F137" i="3" s="1"/>
  <c r="B137" i="4"/>
  <c r="B137" i="3" l="1"/>
  <c r="E137" i="4" a="1"/>
  <c r="F137" i="4" l="1"/>
  <c r="G137" i="4"/>
  <c r="E137" i="4"/>
  <c r="H137" i="4" l="1" a="1"/>
  <c r="I137" i="4" l="1"/>
  <c r="J137" i="4"/>
  <c r="H137" i="4"/>
  <c r="K137" i="4" l="1" a="1"/>
  <c r="L137" i="4" l="1"/>
  <c r="M137" i="4"/>
  <c r="K137" i="4"/>
  <c r="N137" i="4" l="1" a="1"/>
  <c r="O137" i="4" l="1"/>
  <c r="P137" i="4"/>
  <c r="N137" i="4"/>
  <c r="B138" i="4" s="1" a="1"/>
  <c r="D138" i="4" l="1"/>
  <c r="D138" i="3" s="1"/>
  <c r="F138" i="3" s="1"/>
  <c r="B138" i="4"/>
  <c r="C138" i="4"/>
  <c r="C138" i="3" s="1"/>
  <c r="E138" i="3" s="1"/>
  <c r="B138" i="3" l="1"/>
  <c r="E138" i="4" a="1"/>
  <c r="G138" i="4" l="1"/>
  <c r="E138" i="4"/>
  <c r="F138" i="4"/>
  <c r="H138" i="4" l="1" a="1"/>
  <c r="J138" i="4" l="1"/>
  <c r="H138" i="4"/>
  <c r="I138" i="4"/>
  <c r="K138" i="4" l="1" a="1"/>
  <c r="M138" i="4" l="1"/>
  <c r="K138" i="4"/>
  <c r="L138" i="4"/>
  <c r="N138" i="4" l="1" a="1"/>
  <c r="P138" i="4" l="1"/>
  <c r="N138" i="4"/>
  <c r="O138" i="4"/>
  <c r="B139" i="4" l="1" a="1"/>
  <c r="C139" i="4" l="1"/>
  <c r="C139" i="3" s="1"/>
  <c r="E139" i="3" s="1"/>
  <c r="D139" i="4"/>
  <c r="D139" i="3" s="1"/>
  <c r="F139" i="3" s="1"/>
  <c r="B139" i="4"/>
  <c r="B139" i="3" l="1"/>
  <c r="E139" i="4" a="1"/>
  <c r="F139" i="4" l="1"/>
  <c r="G139" i="4"/>
  <c r="E139" i="4"/>
  <c r="H139" i="4" l="1" a="1"/>
  <c r="I139" i="4" l="1"/>
  <c r="J139" i="4"/>
  <c r="H139" i="4"/>
  <c r="K139" i="4" l="1" a="1"/>
  <c r="L139" i="4" l="1"/>
  <c r="M139" i="4"/>
  <c r="K139" i="4"/>
  <c r="N139" i="4" l="1" a="1"/>
  <c r="O139" i="4" l="1"/>
  <c r="P139" i="4"/>
  <c r="N139" i="4"/>
  <c r="B140" i="4" s="1" a="1"/>
  <c r="D140" i="4" l="1"/>
  <c r="D140" i="3" s="1"/>
  <c r="F140" i="3" s="1"/>
  <c r="B140" i="4"/>
  <c r="C140" i="4"/>
  <c r="C140" i="3" s="1"/>
  <c r="E140" i="3" s="1"/>
  <c r="B140" i="3" l="1"/>
  <c r="E140" i="4" a="1"/>
  <c r="G140" i="4" l="1"/>
  <c r="E140" i="4"/>
  <c r="F140" i="4"/>
  <c r="H140" i="4" l="1" a="1"/>
  <c r="J140" i="4" l="1"/>
  <c r="H140" i="4"/>
  <c r="I140" i="4"/>
  <c r="K140" i="4" l="1" a="1"/>
  <c r="M140" i="4" l="1"/>
  <c r="K140" i="4"/>
  <c r="L140" i="4"/>
  <c r="N140" i="4" l="1" a="1"/>
  <c r="P140" i="4" l="1"/>
  <c r="N140" i="4"/>
  <c r="O140" i="4"/>
  <c r="B141" i="4" l="1" a="1"/>
  <c r="C141" i="4" l="1"/>
  <c r="C141" i="3" s="1"/>
  <c r="E141" i="3" s="1"/>
  <c r="D141" i="4"/>
  <c r="D141" i="3" s="1"/>
  <c r="F141" i="3" s="1"/>
  <c r="B141" i="4"/>
  <c r="B141" i="3" l="1"/>
  <c r="E141" i="4" a="1"/>
  <c r="F141" i="4" l="1"/>
  <c r="G141" i="4"/>
  <c r="E141" i="4"/>
  <c r="H141" i="4" l="1" a="1"/>
  <c r="I141" i="4" l="1"/>
  <c r="J141" i="4"/>
  <c r="H141" i="4"/>
  <c r="K141" i="4" l="1" a="1"/>
  <c r="L141" i="4" l="1"/>
  <c r="M141" i="4"/>
  <c r="K141" i="4"/>
  <c r="N141" i="4" l="1" a="1"/>
  <c r="O141" i="4" l="1"/>
  <c r="P141" i="4"/>
  <c r="N141" i="4"/>
  <c r="B142" i="4" s="1" a="1"/>
  <c r="D142" i="4" l="1"/>
  <c r="D142" i="3" s="1"/>
  <c r="F142" i="3" s="1"/>
  <c r="B142" i="4"/>
  <c r="C142" i="4"/>
  <c r="C142" i="3" s="1"/>
  <c r="E142" i="3" s="1"/>
  <c r="B142" i="3" l="1"/>
  <c r="E142" i="4" a="1"/>
  <c r="G142" i="4" l="1"/>
  <c r="E142" i="4"/>
  <c r="F142" i="4"/>
  <c r="H142" i="4" l="1" a="1"/>
  <c r="J142" i="4" l="1"/>
  <c r="H142" i="4"/>
  <c r="I142" i="4"/>
  <c r="K142" i="4" l="1" a="1"/>
  <c r="M142" i="4" l="1"/>
  <c r="K142" i="4"/>
  <c r="L142" i="4"/>
  <c r="N142" i="4" l="1" a="1"/>
  <c r="P142" i="4" l="1"/>
  <c r="N142" i="4"/>
  <c r="O142" i="4"/>
  <c r="B143" i="4" l="1" a="1"/>
  <c r="C143" i="4" l="1"/>
  <c r="C143" i="3" s="1"/>
  <c r="E143" i="3" s="1"/>
  <c r="D143" i="4"/>
  <c r="D143" i="3" s="1"/>
  <c r="F143" i="3" s="1"/>
  <c r="B143" i="4"/>
  <c r="B143" i="3" l="1"/>
  <c r="E143" i="4" a="1"/>
  <c r="F143" i="4" l="1"/>
  <c r="G143" i="4"/>
  <c r="E143" i="4"/>
  <c r="H143" i="4" l="1" a="1"/>
  <c r="I143" i="4" l="1"/>
  <c r="J143" i="4"/>
  <c r="H143" i="4"/>
  <c r="K143" i="4" l="1" a="1"/>
  <c r="L143" i="4" l="1"/>
  <c r="M143" i="4"/>
  <c r="K143" i="4"/>
  <c r="N143" i="4" l="1" a="1"/>
  <c r="O143" i="4" l="1"/>
  <c r="P143" i="4"/>
  <c r="N143" i="4"/>
  <c r="B144" i="4" s="1" a="1"/>
  <c r="D144" i="4" l="1"/>
  <c r="D144" i="3" s="1"/>
  <c r="F144" i="3" s="1"/>
  <c r="B144" i="4"/>
  <c r="C144" i="4"/>
  <c r="C144" i="3" s="1"/>
  <c r="E144" i="3" s="1"/>
  <c r="B144" i="3" l="1"/>
  <c r="E144" i="4" a="1"/>
  <c r="G144" i="4" l="1"/>
  <c r="E144" i="4"/>
  <c r="F144" i="4"/>
  <c r="H144" i="4" l="1" a="1"/>
  <c r="J144" i="4" l="1"/>
  <c r="H144" i="4"/>
  <c r="I144" i="4"/>
  <c r="K144" i="4" l="1" a="1"/>
  <c r="M144" i="4" l="1"/>
  <c r="K144" i="4"/>
  <c r="L144" i="4"/>
  <c r="N144" i="4" l="1" a="1"/>
  <c r="P144" i="4" l="1"/>
  <c r="N144" i="4"/>
  <c r="O144" i="4"/>
  <c r="B145" i="4" l="1" a="1"/>
  <c r="C145" i="4" l="1"/>
  <c r="C145" i="3" s="1"/>
  <c r="E145" i="3" s="1"/>
  <c r="D145" i="4"/>
  <c r="D145" i="3" s="1"/>
  <c r="F145" i="3" s="1"/>
  <c r="B145" i="4"/>
  <c r="B145" i="3" l="1"/>
  <c r="E145" i="4" a="1"/>
  <c r="F145" i="4" l="1"/>
  <c r="G145" i="4"/>
  <c r="E145" i="4"/>
  <c r="H145" i="4" l="1" a="1"/>
  <c r="I145" i="4" l="1"/>
  <c r="J145" i="4"/>
  <c r="H145" i="4"/>
  <c r="K145" i="4" l="1" a="1"/>
  <c r="L145" i="4" l="1"/>
  <c r="M145" i="4"/>
  <c r="K145" i="4"/>
  <c r="N145" i="4" l="1" a="1"/>
  <c r="O145" i="4" l="1"/>
  <c r="P145" i="4"/>
  <c r="N145" i="4"/>
  <c r="B146" i="4" s="1" a="1"/>
  <c r="D146" i="4" l="1"/>
  <c r="D146" i="3" s="1"/>
  <c r="F146" i="3" s="1"/>
  <c r="B146" i="4"/>
  <c r="C146" i="4"/>
  <c r="C146" i="3" s="1"/>
  <c r="E146" i="3" s="1"/>
  <c r="B146" i="3" l="1"/>
  <c r="E146" i="4" a="1"/>
  <c r="G146" i="4" l="1"/>
  <c r="E146" i="4"/>
  <c r="F146" i="4"/>
  <c r="H146" i="4" l="1" a="1"/>
  <c r="J146" i="4" l="1"/>
  <c r="H146" i="4"/>
  <c r="I146" i="4"/>
  <c r="K146" i="4" l="1" a="1"/>
  <c r="M146" i="4" l="1"/>
  <c r="K146" i="4"/>
  <c r="L146" i="4"/>
  <c r="N146" i="4" l="1" a="1"/>
  <c r="P146" i="4" l="1"/>
  <c r="N146" i="4"/>
  <c r="O146" i="4"/>
  <c r="B147" i="4" l="1" a="1"/>
  <c r="C147" i="4" l="1"/>
  <c r="C147" i="3" s="1"/>
  <c r="E147" i="3" s="1"/>
  <c r="D147" i="4"/>
  <c r="D147" i="3" s="1"/>
  <c r="F147" i="3" s="1"/>
  <c r="B147" i="4"/>
  <c r="B147" i="3" l="1"/>
  <c r="E147" i="4" a="1"/>
  <c r="F147" i="4" l="1"/>
  <c r="G147" i="4"/>
  <c r="E147" i="4"/>
  <c r="H147" i="4" l="1" a="1"/>
  <c r="I147" i="4" l="1"/>
  <c r="J147" i="4"/>
  <c r="H147" i="4"/>
  <c r="K147" i="4" l="1" a="1"/>
  <c r="L147" i="4" l="1"/>
  <c r="M147" i="4"/>
  <c r="K147" i="4"/>
  <c r="N147" i="4" l="1" a="1"/>
  <c r="O147" i="4" l="1"/>
  <c r="P147" i="4"/>
  <c r="N147" i="4"/>
  <c r="B148" i="4" s="1" a="1"/>
  <c r="D148" i="4" l="1"/>
  <c r="D148" i="3" s="1"/>
  <c r="F148" i="3" s="1"/>
  <c r="B148" i="4"/>
  <c r="C148" i="4"/>
  <c r="C148" i="3" s="1"/>
  <c r="E148" i="3" s="1"/>
  <c r="B148" i="3" l="1"/>
  <c r="E148" i="4" a="1"/>
  <c r="G148" i="4" l="1"/>
  <c r="E148" i="4"/>
  <c r="F148" i="4"/>
  <c r="H148" i="4" l="1" a="1"/>
  <c r="J148" i="4" l="1"/>
  <c r="H148" i="4"/>
  <c r="I148" i="4"/>
  <c r="K148" i="4" l="1" a="1"/>
  <c r="M148" i="4" l="1"/>
  <c r="K148" i="4"/>
  <c r="L148" i="4"/>
  <c r="N148" i="4" l="1" a="1"/>
  <c r="P148" i="4" l="1"/>
  <c r="N148" i="4"/>
  <c r="O148" i="4"/>
  <c r="B149" i="4" l="1" a="1"/>
  <c r="C149" i="4" l="1"/>
  <c r="C149" i="3" s="1"/>
  <c r="E149" i="3" s="1"/>
  <c r="D149" i="4"/>
  <c r="D149" i="3" s="1"/>
  <c r="F149" i="3" s="1"/>
  <c r="B149" i="4"/>
  <c r="B149" i="3" l="1"/>
  <c r="E149" i="4" a="1"/>
  <c r="F149" i="4" l="1"/>
  <c r="G149" i="4"/>
  <c r="E149" i="4"/>
  <c r="H149" i="4" l="1" a="1"/>
  <c r="I149" i="4" l="1"/>
  <c r="J149" i="4"/>
  <c r="H149" i="4"/>
  <c r="K149" i="4" l="1" a="1"/>
  <c r="L149" i="4" l="1"/>
  <c r="M149" i="4"/>
  <c r="K149" i="4"/>
  <c r="N149" i="4" l="1" a="1"/>
  <c r="O149" i="4" l="1"/>
  <c r="P149" i="4"/>
  <c r="N149" i="4"/>
  <c r="B150" i="4" s="1" a="1"/>
  <c r="D150" i="4" l="1"/>
  <c r="D150" i="3" s="1"/>
  <c r="F150" i="3" s="1"/>
  <c r="B150" i="4"/>
  <c r="C150" i="4"/>
  <c r="C150" i="3" s="1"/>
  <c r="E150" i="3" s="1"/>
  <c r="B150" i="3" l="1"/>
  <c r="E150" i="4" a="1"/>
  <c r="G150" i="4" l="1"/>
  <c r="E150" i="4"/>
  <c r="F150" i="4"/>
  <c r="H150" i="4" l="1" a="1"/>
  <c r="J150" i="4" l="1"/>
  <c r="H150" i="4"/>
  <c r="I150" i="4"/>
  <c r="K150" i="4" l="1" a="1"/>
  <c r="M150" i="4" l="1"/>
  <c r="K150" i="4"/>
  <c r="L150" i="4"/>
  <c r="N150" i="4" l="1" a="1"/>
  <c r="P150" i="4" l="1"/>
  <c r="N150" i="4"/>
  <c r="O150" i="4"/>
  <c r="B151" i="4" l="1" a="1"/>
  <c r="C151" i="4" l="1"/>
  <c r="C151" i="3" s="1"/>
  <c r="E151" i="3" s="1"/>
  <c r="D151" i="4"/>
  <c r="D151" i="3" s="1"/>
  <c r="F151" i="3" s="1"/>
  <c r="B151" i="4"/>
  <c r="B151" i="3" l="1"/>
  <c r="E151" i="4" a="1"/>
  <c r="F151" i="4" l="1"/>
  <c r="G151" i="4"/>
  <c r="E151" i="4"/>
  <c r="H151" i="4" l="1" a="1"/>
  <c r="I151" i="4" l="1"/>
  <c r="J151" i="4"/>
  <c r="H151" i="4"/>
  <c r="K151" i="4" l="1" a="1"/>
  <c r="L151" i="4" l="1"/>
  <c r="M151" i="4"/>
  <c r="K151" i="4"/>
  <c r="N151" i="4" l="1" a="1"/>
  <c r="O151" i="4" l="1"/>
  <c r="P151" i="4"/>
  <c r="N151" i="4"/>
  <c r="B152" i="4" s="1" a="1"/>
  <c r="D152" i="4" l="1"/>
  <c r="D152" i="3" s="1"/>
  <c r="F152" i="3" s="1"/>
  <c r="B152" i="4"/>
  <c r="C152" i="4"/>
  <c r="C152" i="3" s="1"/>
  <c r="E152" i="3" s="1"/>
  <c r="B152" i="3" l="1"/>
  <c r="E152" i="4" a="1"/>
  <c r="G152" i="4" l="1"/>
  <c r="E152" i="4"/>
  <c r="F152" i="4"/>
  <c r="H152" i="4" l="1" a="1"/>
  <c r="J152" i="4" l="1"/>
  <c r="H152" i="4"/>
  <c r="I152" i="4"/>
  <c r="K152" i="4" l="1" a="1"/>
  <c r="M152" i="4" l="1"/>
  <c r="K152" i="4"/>
  <c r="L152" i="4"/>
  <c r="N152" i="4" l="1" a="1"/>
  <c r="P152" i="4" l="1"/>
  <c r="N152" i="4"/>
  <c r="O152" i="4"/>
  <c r="B153" i="4" l="1" a="1"/>
  <c r="C153" i="4" l="1"/>
  <c r="C153" i="3" s="1"/>
  <c r="E153" i="3" s="1"/>
  <c r="D153" i="4"/>
  <c r="D153" i="3" s="1"/>
  <c r="F153" i="3" s="1"/>
  <c r="B153" i="4"/>
  <c r="B153" i="3" l="1"/>
  <c r="E153" i="4" a="1"/>
  <c r="F153" i="4" l="1"/>
  <c r="G153" i="4"/>
  <c r="E153" i="4"/>
  <c r="H153" i="4" l="1" a="1"/>
  <c r="I153" i="4" l="1"/>
  <c r="J153" i="4"/>
  <c r="H153" i="4"/>
  <c r="K153" i="4" l="1" a="1"/>
  <c r="L153" i="4" l="1"/>
  <c r="M153" i="4"/>
  <c r="K153" i="4"/>
  <c r="N153" i="4" l="1" a="1"/>
  <c r="O153" i="4" l="1"/>
  <c r="P153" i="4"/>
  <c r="N153" i="4"/>
  <c r="B154" i="4" s="1" a="1"/>
  <c r="D154" i="4" l="1"/>
  <c r="D154" i="3" s="1"/>
  <c r="F154" i="3" s="1"/>
  <c r="B154" i="4"/>
  <c r="C154" i="4"/>
  <c r="C154" i="3" s="1"/>
  <c r="E154" i="3" s="1"/>
  <c r="B154" i="3" l="1"/>
  <c r="E154" i="4" a="1"/>
  <c r="G154" i="4" l="1"/>
  <c r="E154" i="4"/>
  <c r="F154" i="4"/>
  <c r="H154" i="4" l="1" a="1"/>
  <c r="J154" i="4" l="1"/>
  <c r="H154" i="4"/>
  <c r="I154" i="4"/>
  <c r="K154" i="4" l="1" a="1"/>
  <c r="M154" i="4" l="1"/>
  <c r="K154" i="4"/>
  <c r="L154" i="4"/>
  <c r="N154" i="4" l="1" a="1"/>
  <c r="P154" i="4" l="1"/>
  <c r="N154" i="4"/>
  <c r="O154" i="4"/>
  <c r="B155" i="4" l="1" a="1"/>
  <c r="C155" i="4" l="1"/>
  <c r="C155" i="3" s="1"/>
  <c r="E155" i="3" s="1"/>
  <c r="D155" i="4"/>
  <c r="D155" i="3" s="1"/>
  <c r="F155" i="3" s="1"/>
  <c r="B155" i="4"/>
  <c r="B155" i="3" l="1"/>
  <c r="E155" i="4" a="1"/>
  <c r="F155" i="4" l="1"/>
  <c r="G155" i="4"/>
  <c r="E155" i="4"/>
  <c r="H155" i="4" l="1" a="1"/>
  <c r="I155" i="4" l="1"/>
  <c r="J155" i="4"/>
  <c r="H155" i="4"/>
  <c r="K155" i="4" l="1" a="1"/>
  <c r="L155" i="4" l="1"/>
  <c r="M155" i="4"/>
  <c r="K155" i="4"/>
  <c r="N155" i="4" l="1" a="1"/>
  <c r="O155" i="4" l="1"/>
  <c r="P155" i="4"/>
  <c r="N155" i="4"/>
  <c r="B156" i="4" s="1" a="1"/>
  <c r="D156" i="4" l="1"/>
  <c r="D156" i="3" s="1"/>
  <c r="F156" i="3" s="1"/>
  <c r="B156" i="4"/>
  <c r="C156" i="4"/>
  <c r="C156" i="3" s="1"/>
  <c r="E156" i="3" s="1"/>
  <c r="B156" i="3" l="1"/>
  <c r="E156" i="4" a="1"/>
  <c r="G156" i="4" l="1"/>
  <c r="E156" i="4"/>
  <c r="F156" i="4"/>
  <c r="H156" i="4" l="1" a="1"/>
  <c r="J156" i="4" l="1"/>
  <c r="H156" i="4"/>
  <c r="I156" i="4"/>
  <c r="K156" i="4" l="1" a="1"/>
  <c r="M156" i="4" l="1"/>
  <c r="K156" i="4"/>
  <c r="L156" i="4"/>
  <c r="N156" i="4" l="1" a="1"/>
  <c r="P156" i="4" l="1"/>
  <c r="N156" i="4"/>
  <c r="O156" i="4"/>
  <c r="B157" i="4" l="1" a="1"/>
  <c r="C157" i="4" l="1"/>
  <c r="C157" i="3" s="1"/>
  <c r="E157" i="3" s="1"/>
  <c r="D157" i="4"/>
  <c r="D157" i="3" s="1"/>
  <c r="F157" i="3" s="1"/>
  <c r="B157" i="4"/>
  <c r="B157" i="3" l="1"/>
  <c r="E157" i="4" a="1"/>
  <c r="F157" i="4" l="1"/>
  <c r="G157" i="4"/>
  <c r="E157" i="4"/>
  <c r="H157" i="4" l="1" a="1"/>
  <c r="I157" i="4" l="1"/>
  <c r="J157" i="4"/>
  <c r="H157" i="4"/>
  <c r="K157" i="4" l="1" a="1"/>
  <c r="L157" i="4" l="1"/>
  <c r="M157" i="4"/>
  <c r="K157" i="4"/>
  <c r="N157" i="4" l="1" a="1"/>
  <c r="O157" i="4" l="1"/>
  <c r="P157" i="4"/>
  <c r="N157" i="4"/>
  <c r="B158" i="4" s="1" a="1"/>
  <c r="D158" i="4" l="1"/>
  <c r="D158" i="3" s="1"/>
  <c r="F158" i="3" s="1"/>
  <c r="B158" i="4"/>
  <c r="C158" i="4"/>
  <c r="C158" i="3" s="1"/>
  <c r="E158" i="3" s="1"/>
  <c r="B158" i="3" l="1"/>
  <c r="E158" i="4" a="1"/>
  <c r="G158" i="4" l="1"/>
  <c r="E158" i="4"/>
  <c r="F158" i="4"/>
  <c r="H158" i="4" l="1" a="1"/>
  <c r="J158" i="4" l="1"/>
  <c r="H158" i="4"/>
  <c r="I158" i="4"/>
  <c r="K158" i="4" l="1" a="1"/>
  <c r="M158" i="4" l="1"/>
  <c r="K158" i="4"/>
  <c r="L158" i="4"/>
  <c r="N158" i="4" l="1" a="1"/>
  <c r="P158" i="4" l="1"/>
  <c r="N158" i="4"/>
  <c r="O158" i="4"/>
  <c r="B159" i="4" l="1" a="1"/>
  <c r="C159" i="4" l="1"/>
  <c r="C159" i="3" s="1"/>
  <c r="E159" i="3" s="1"/>
  <c r="D159" i="4"/>
  <c r="D159" i="3" s="1"/>
  <c r="F159" i="3" s="1"/>
  <c r="B159" i="4"/>
  <c r="B159" i="3" l="1"/>
  <c r="E159" i="4" a="1"/>
  <c r="F159" i="4" l="1"/>
  <c r="G159" i="4"/>
  <c r="E159" i="4"/>
  <c r="H159" i="4" l="1" a="1"/>
  <c r="I159" i="4" l="1"/>
  <c r="J159" i="4"/>
  <c r="H159" i="4"/>
  <c r="K159" i="4" l="1" a="1"/>
  <c r="L159" i="4" l="1"/>
  <c r="M159" i="4"/>
  <c r="K159" i="4"/>
  <c r="N159" i="4" l="1" a="1"/>
  <c r="O159" i="4" l="1"/>
  <c r="P159" i="4"/>
  <c r="N159" i="4"/>
  <c r="B160" i="4" s="1" a="1"/>
  <c r="D160" i="4" l="1"/>
  <c r="D160" i="3" s="1"/>
  <c r="F160" i="3" s="1"/>
  <c r="B160" i="4"/>
  <c r="C160" i="4"/>
  <c r="C160" i="3" s="1"/>
  <c r="E160" i="3" s="1"/>
  <c r="B160" i="3" l="1"/>
  <c r="E160" i="4" a="1"/>
  <c r="G160" i="4" l="1"/>
  <c r="E160" i="4"/>
  <c r="F160" i="4"/>
  <c r="H160" i="4" l="1" a="1"/>
  <c r="J160" i="4" l="1"/>
  <c r="H160" i="4"/>
  <c r="I160" i="4"/>
  <c r="K160" i="4" l="1" a="1"/>
  <c r="M160" i="4" l="1"/>
  <c r="K160" i="4"/>
  <c r="L160" i="4"/>
  <c r="N160" i="4" l="1" a="1"/>
  <c r="P160" i="4" l="1"/>
  <c r="N160" i="4"/>
  <c r="O160" i="4"/>
  <c r="B161" i="4" l="1" a="1"/>
  <c r="C161" i="4" l="1"/>
  <c r="C161" i="3" s="1"/>
  <c r="E161" i="3" s="1"/>
  <c r="D161" i="4"/>
  <c r="D161" i="3" s="1"/>
  <c r="F161" i="3" s="1"/>
  <c r="B161" i="4"/>
  <c r="B161" i="3" l="1"/>
  <c r="E161" i="4" a="1"/>
  <c r="F161" i="4" l="1"/>
  <c r="G161" i="4"/>
  <c r="E161" i="4"/>
  <c r="H161" i="4" l="1" a="1"/>
  <c r="I161" i="4" l="1"/>
  <c r="J161" i="4"/>
  <c r="H161" i="4"/>
  <c r="K161" i="4" l="1" a="1"/>
  <c r="L161" i="4" l="1"/>
  <c r="M161" i="4"/>
  <c r="K161" i="4"/>
  <c r="N161" i="4" l="1" a="1"/>
  <c r="O161" i="4" l="1"/>
  <c r="P161" i="4"/>
  <c r="N161" i="4"/>
  <c r="B162" i="4" s="1" a="1"/>
  <c r="D162" i="4" l="1"/>
  <c r="D162" i="3" s="1"/>
  <c r="F162" i="3" s="1"/>
  <c r="B162" i="4"/>
  <c r="C162" i="4"/>
  <c r="C162" i="3" s="1"/>
  <c r="E162" i="3" s="1"/>
  <c r="B162" i="3" l="1"/>
  <c r="E162" i="4" a="1"/>
  <c r="G162" i="4" l="1"/>
  <c r="E162" i="4"/>
  <c r="F162" i="4"/>
  <c r="H162" i="4" l="1" a="1"/>
  <c r="J162" i="4" l="1"/>
  <c r="H162" i="4"/>
  <c r="I162" i="4"/>
  <c r="K162" i="4" l="1" a="1"/>
  <c r="M162" i="4" l="1"/>
  <c r="K162" i="4"/>
  <c r="L162" i="4"/>
  <c r="N162" i="4" l="1" a="1"/>
  <c r="P162" i="4" l="1"/>
  <c r="N162" i="4"/>
  <c r="O162" i="4"/>
  <c r="B163" i="4" l="1" a="1"/>
  <c r="C163" i="4" l="1"/>
  <c r="C163" i="3" s="1"/>
  <c r="E163" i="3" s="1"/>
  <c r="D163" i="4"/>
  <c r="D163" i="3" s="1"/>
  <c r="F163" i="3" s="1"/>
  <c r="B163" i="4"/>
  <c r="B163" i="3" l="1"/>
  <c r="E163" i="4" a="1"/>
  <c r="F163" i="4" l="1"/>
  <c r="G163" i="4"/>
  <c r="E163" i="4"/>
  <c r="H163" i="4" l="1" a="1"/>
  <c r="I163" i="4" l="1"/>
  <c r="J163" i="4"/>
  <c r="H163" i="4"/>
  <c r="K163" i="4" l="1" a="1"/>
  <c r="L163" i="4" l="1"/>
  <c r="M163" i="4"/>
  <c r="K163" i="4"/>
  <c r="N163" i="4" l="1" a="1"/>
  <c r="O163" i="4" l="1"/>
  <c r="P163" i="4"/>
  <c r="N163" i="4"/>
  <c r="B164" i="4" s="1" a="1"/>
  <c r="D164" i="4" l="1"/>
  <c r="D164" i="3" s="1"/>
  <c r="F164" i="3" s="1"/>
  <c r="B164" i="4"/>
  <c r="C164" i="4"/>
  <c r="C164" i="3" s="1"/>
  <c r="E164" i="3" s="1"/>
  <c r="B164" i="3" l="1"/>
  <c r="E164" i="4" a="1"/>
  <c r="G164" i="4" l="1"/>
  <c r="E164" i="4"/>
  <c r="F164" i="4"/>
  <c r="H164" i="4" l="1" a="1"/>
  <c r="J164" i="4" l="1"/>
  <c r="H164" i="4"/>
  <c r="I164" i="4"/>
  <c r="K164" i="4" l="1" a="1"/>
  <c r="M164" i="4" l="1"/>
  <c r="K164" i="4"/>
  <c r="L164" i="4"/>
  <c r="N164" i="4" l="1" a="1"/>
  <c r="P164" i="4" l="1"/>
  <c r="N164" i="4"/>
  <c r="O164" i="4"/>
  <c r="B165" i="4" l="1" a="1"/>
  <c r="C165" i="4" l="1"/>
  <c r="C165" i="3" s="1"/>
  <c r="E165" i="3" s="1"/>
  <c r="D165" i="4"/>
  <c r="D165" i="3" s="1"/>
  <c r="F165" i="3" s="1"/>
  <c r="B165" i="4"/>
  <c r="B165" i="3" l="1"/>
  <c r="E165" i="4" a="1"/>
  <c r="F165" i="4" l="1"/>
  <c r="G165" i="4"/>
  <c r="E165" i="4"/>
  <c r="H165" i="4" l="1" a="1"/>
  <c r="I165" i="4" l="1"/>
  <c r="J165" i="4"/>
  <c r="H165" i="4"/>
  <c r="K165" i="4" l="1" a="1"/>
  <c r="L165" i="4" l="1"/>
  <c r="M165" i="4"/>
  <c r="K165" i="4"/>
  <c r="N165" i="4" l="1" a="1"/>
  <c r="O165" i="4" l="1"/>
  <c r="P165" i="4"/>
  <c r="N165" i="4"/>
  <c r="B166" i="4" s="1" a="1"/>
  <c r="D166" i="4" l="1"/>
  <c r="D166" i="3" s="1"/>
  <c r="F166" i="3" s="1"/>
  <c r="B166" i="4"/>
  <c r="C166" i="4"/>
  <c r="C166" i="3" s="1"/>
  <c r="E166" i="3" s="1"/>
  <c r="B166" i="3" l="1"/>
  <c r="E166" i="4" a="1"/>
  <c r="G166" i="4" l="1"/>
  <c r="E166" i="4"/>
  <c r="F166" i="4"/>
  <c r="H166" i="4" l="1" a="1"/>
  <c r="J166" i="4" l="1"/>
  <c r="H166" i="4"/>
  <c r="I166" i="4"/>
  <c r="K166" i="4" l="1" a="1"/>
  <c r="M166" i="4" l="1"/>
  <c r="K166" i="4"/>
  <c r="L166" i="4"/>
  <c r="N166" i="4" l="1" a="1"/>
  <c r="P166" i="4" l="1"/>
  <c r="N166" i="4"/>
  <c r="O166" i="4"/>
  <c r="B167" i="4" l="1" a="1"/>
  <c r="C167" i="4" l="1"/>
  <c r="C167" i="3" s="1"/>
  <c r="E167" i="3" s="1"/>
  <c r="D167" i="4"/>
  <c r="D167" i="3" s="1"/>
  <c r="F167" i="3" s="1"/>
  <c r="B167" i="4"/>
  <c r="B167" i="3" l="1"/>
  <c r="E167" i="4" a="1"/>
  <c r="F167" i="4" l="1"/>
  <c r="G167" i="4"/>
  <c r="E167" i="4"/>
  <c r="H167" i="4" l="1" a="1"/>
  <c r="I167" i="4" l="1"/>
  <c r="J167" i="4"/>
  <c r="H167" i="4"/>
  <c r="K167" i="4" l="1" a="1"/>
  <c r="L167" i="4" l="1"/>
  <c r="M167" i="4"/>
  <c r="K167" i="4"/>
  <c r="N167" i="4" l="1" a="1"/>
  <c r="O167" i="4" l="1"/>
  <c r="P167" i="4"/>
  <c r="N167" i="4"/>
  <c r="B168" i="4" s="1" a="1"/>
  <c r="D168" i="4" l="1"/>
  <c r="D168" i="3" s="1"/>
  <c r="F168" i="3" s="1"/>
  <c r="B168" i="4"/>
  <c r="C168" i="4"/>
  <c r="C168" i="3" s="1"/>
  <c r="E168" i="3" s="1"/>
  <c r="B168" i="3" l="1"/>
  <c r="E168" i="4" a="1"/>
  <c r="G168" i="4" l="1"/>
  <c r="E168" i="4"/>
  <c r="F168" i="4"/>
  <c r="H168" i="4" l="1" a="1"/>
  <c r="J168" i="4" l="1"/>
  <c r="H168" i="4"/>
  <c r="I168" i="4"/>
  <c r="K168" i="4" l="1" a="1"/>
  <c r="M168" i="4" l="1"/>
  <c r="K168" i="4"/>
  <c r="L168" i="4"/>
  <c r="N168" i="4" l="1" a="1"/>
  <c r="P168" i="4" l="1"/>
  <c r="N168" i="4"/>
  <c r="O168" i="4"/>
  <c r="B169" i="4" l="1" a="1"/>
  <c r="C169" i="4" l="1"/>
  <c r="C169" i="3" s="1"/>
  <c r="E169" i="3" s="1"/>
  <c r="D169" i="4"/>
  <c r="D169" i="3" s="1"/>
  <c r="F169" i="3" s="1"/>
  <c r="B169" i="4"/>
  <c r="B169" i="3" l="1"/>
  <c r="E169" i="4" a="1"/>
  <c r="F169" i="4" l="1"/>
  <c r="G169" i="4"/>
  <c r="E169" i="4"/>
  <c r="H169" i="4" l="1" a="1"/>
  <c r="I169" i="4" l="1"/>
  <c r="J169" i="4"/>
  <c r="H169" i="4"/>
  <c r="K169" i="4" l="1" a="1"/>
  <c r="L169" i="4" l="1"/>
  <c r="M169" i="4"/>
  <c r="K169" i="4"/>
  <c r="N169" i="4" l="1" a="1"/>
  <c r="O169" i="4" l="1"/>
  <c r="P169" i="4"/>
  <c r="N169" i="4"/>
  <c r="B170" i="4" s="1" a="1"/>
  <c r="D170" i="4" l="1"/>
  <c r="D170" i="3" s="1"/>
  <c r="F170" i="3" s="1"/>
  <c r="B170" i="4"/>
  <c r="C170" i="4"/>
  <c r="C170" i="3" s="1"/>
  <c r="E170" i="3" s="1"/>
  <c r="B170" i="3" l="1"/>
  <c r="E170" i="4" a="1"/>
  <c r="G170" i="4" l="1"/>
  <c r="E170" i="4"/>
  <c r="F170" i="4"/>
  <c r="H170" i="4" l="1" a="1"/>
  <c r="J170" i="4" l="1"/>
  <c r="H170" i="4"/>
  <c r="I170" i="4"/>
  <c r="K170" i="4" l="1" a="1"/>
  <c r="M170" i="4" l="1"/>
  <c r="K170" i="4"/>
  <c r="L170" i="4"/>
  <c r="N170" i="4" l="1" a="1"/>
  <c r="P170" i="4" l="1"/>
  <c r="N170" i="4"/>
  <c r="O170" i="4"/>
  <c r="B171" i="4" l="1" a="1"/>
  <c r="C171" i="4" l="1"/>
  <c r="C171" i="3" s="1"/>
  <c r="E171" i="3" s="1"/>
  <c r="D171" i="4"/>
  <c r="D171" i="3" s="1"/>
  <c r="F171" i="3" s="1"/>
  <c r="B171" i="4"/>
  <c r="B171" i="3" l="1"/>
  <c r="E171" i="4" a="1"/>
  <c r="F171" i="4" l="1"/>
  <c r="G171" i="4"/>
  <c r="E171" i="4"/>
  <c r="H171" i="4" l="1" a="1"/>
  <c r="I171" i="4" l="1"/>
  <c r="J171" i="4"/>
  <c r="H171" i="4"/>
  <c r="K171" i="4" l="1" a="1"/>
  <c r="L171" i="4" l="1"/>
  <c r="M171" i="4"/>
  <c r="K171" i="4"/>
  <c r="N171" i="4" l="1" a="1"/>
  <c r="O171" i="4" l="1"/>
  <c r="P171" i="4"/>
  <c r="N171" i="4"/>
  <c r="B172" i="4" s="1" a="1"/>
  <c r="D172" i="4" l="1"/>
  <c r="D172" i="3" s="1"/>
  <c r="F172" i="3" s="1"/>
  <c r="B172" i="4"/>
  <c r="C172" i="4"/>
  <c r="C172" i="3" s="1"/>
  <c r="E172" i="3" s="1"/>
  <c r="B172" i="3" l="1"/>
  <c r="E172" i="4" a="1"/>
  <c r="G172" i="4" l="1"/>
  <c r="E172" i="4"/>
  <c r="F172" i="4"/>
  <c r="H172" i="4" l="1" a="1"/>
  <c r="J172" i="4" l="1"/>
  <c r="H172" i="4"/>
  <c r="I172" i="4"/>
  <c r="K172" i="4" l="1" a="1"/>
  <c r="M172" i="4" l="1"/>
  <c r="K172" i="4"/>
  <c r="L172" i="4"/>
  <c r="N172" i="4" l="1" a="1"/>
  <c r="P172" i="4" l="1"/>
  <c r="N172" i="4"/>
  <c r="O172" i="4"/>
  <c r="B173" i="4" l="1" a="1"/>
  <c r="C173" i="4" l="1"/>
  <c r="C173" i="3" s="1"/>
  <c r="E173" i="3" s="1"/>
  <c r="D173" i="4"/>
  <c r="D173" i="3" s="1"/>
  <c r="F173" i="3" s="1"/>
  <c r="B173" i="4"/>
  <c r="B173" i="3" l="1"/>
  <c r="E173" i="4" a="1"/>
  <c r="F173" i="4" l="1"/>
  <c r="G173" i="4"/>
  <c r="E173" i="4"/>
  <c r="H173" i="4" l="1" a="1"/>
  <c r="I173" i="4" l="1"/>
  <c r="J173" i="4"/>
  <c r="H173" i="4"/>
  <c r="K173" i="4" l="1" a="1"/>
  <c r="L173" i="4" l="1"/>
  <c r="M173" i="4"/>
  <c r="K173" i="4"/>
  <c r="N173" i="4" l="1" a="1"/>
  <c r="O173" i="4" l="1"/>
  <c r="P173" i="4"/>
  <c r="N173" i="4"/>
  <c r="B174" i="4" s="1" a="1"/>
  <c r="D174" i="4" l="1"/>
  <c r="D174" i="3" s="1"/>
  <c r="F174" i="3" s="1"/>
  <c r="B174" i="4"/>
  <c r="C174" i="4"/>
  <c r="C174" i="3" s="1"/>
  <c r="E174" i="3" s="1"/>
  <c r="B174" i="3" l="1"/>
  <c r="E174" i="4" a="1"/>
  <c r="G174" i="4" l="1"/>
  <c r="E174" i="4"/>
  <c r="F174" i="4"/>
  <c r="H174" i="4" l="1" a="1"/>
  <c r="J174" i="4" l="1"/>
  <c r="H174" i="4"/>
  <c r="I174" i="4"/>
  <c r="K174" i="4" l="1" a="1"/>
  <c r="M174" i="4" l="1"/>
  <c r="K174" i="4"/>
  <c r="L174" i="4"/>
  <c r="N174" i="4" l="1" a="1"/>
  <c r="P174" i="4" l="1"/>
  <c r="N174" i="4"/>
  <c r="O174" i="4"/>
  <c r="B175" i="4" l="1" a="1"/>
  <c r="C175" i="4" l="1"/>
  <c r="C175" i="3" s="1"/>
  <c r="E175" i="3" s="1"/>
  <c r="D175" i="4"/>
  <c r="D175" i="3" s="1"/>
  <c r="F175" i="3" s="1"/>
  <c r="B175" i="4"/>
  <c r="B175" i="3" l="1"/>
  <c r="E175" i="4" a="1"/>
  <c r="F175" i="4" l="1"/>
  <c r="G175" i="4"/>
  <c r="E175" i="4"/>
  <c r="H175" i="4" l="1" a="1"/>
  <c r="I175" i="4" l="1"/>
  <c r="J175" i="4"/>
  <c r="H175" i="4"/>
  <c r="K175" i="4" l="1" a="1"/>
  <c r="L175" i="4" l="1"/>
  <c r="M175" i="4"/>
  <c r="K175" i="4"/>
  <c r="N175" i="4" l="1" a="1"/>
  <c r="O175" i="4" l="1"/>
  <c r="P175" i="4"/>
  <c r="N175" i="4"/>
  <c r="B176" i="4" s="1" a="1"/>
  <c r="D176" i="4" l="1"/>
  <c r="D176" i="3" s="1"/>
  <c r="F176" i="3" s="1"/>
  <c r="B176" i="4"/>
  <c r="C176" i="4"/>
  <c r="C176" i="3" s="1"/>
  <c r="E176" i="3" s="1"/>
  <c r="B176" i="3" l="1"/>
  <c r="E176" i="4" a="1"/>
  <c r="G176" i="4" l="1"/>
  <c r="E176" i="4"/>
  <c r="F176" i="4"/>
  <c r="H176" i="4" l="1" a="1"/>
  <c r="J176" i="4" l="1"/>
  <c r="H176" i="4"/>
  <c r="I176" i="4"/>
  <c r="K176" i="4" l="1" a="1"/>
  <c r="M176" i="4" l="1"/>
  <c r="K176" i="4"/>
  <c r="L176" i="4"/>
  <c r="N176" i="4" l="1" a="1"/>
  <c r="P176" i="4" l="1"/>
  <c r="N176" i="4"/>
  <c r="O176" i="4"/>
  <c r="B177" i="4" l="1" a="1"/>
  <c r="C177" i="4" l="1"/>
  <c r="C177" i="3" s="1"/>
  <c r="E177" i="3" s="1"/>
  <c r="D177" i="4"/>
  <c r="D177" i="3" s="1"/>
  <c r="F177" i="3" s="1"/>
  <c r="B177" i="4"/>
  <c r="B177" i="3" l="1"/>
  <c r="E177" i="4" a="1"/>
  <c r="F177" i="4" l="1"/>
  <c r="G177" i="4"/>
  <c r="E177" i="4"/>
  <c r="H177" i="4" l="1" a="1"/>
  <c r="I177" i="4" l="1"/>
  <c r="J177" i="4"/>
  <c r="H177" i="4"/>
  <c r="K177" i="4" l="1" a="1"/>
  <c r="L177" i="4" l="1"/>
  <c r="M177" i="4"/>
  <c r="K177" i="4"/>
  <c r="N177" i="4" l="1" a="1"/>
  <c r="O177" i="4" l="1"/>
  <c r="P177" i="4"/>
  <c r="N177" i="4"/>
  <c r="B178" i="4" s="1" a="1"/>
  <c r="D178" i="4" l="1"/>
  <c r="D178" i="3" s="1"/>
  <c r="F178" i="3" s="1"/>
  <c r="B178" i="4"/>
  <c r="C178" i="4"/>
  <c r="C178" i="3" s="1"/>
  <c r="E178" i="3" s="1"/>
  <c r="B178" i="3" l="1"/>
  <c r="E178" i="4" a="1"/>
  <c r="G178" i="4" l="1"/>
  <c r="E178" i="4"/>
  <c r="F178" i="4"/>
  <c r="H178" i="4" l="1" a="1"/>
  <c r="J178" i="4" l="1"/>
  <c r="H178" i="4"/>
  <c r="I178" i="4"/>
  <c r="K178" i="4" l="1" a="1"/>
  <c r="M178" i="4" l="1"/>
  <c r="K178" i="4"/>
  <c r="L178" i="4"/>
  <c r="N178" i="4" l="1" a="1"/>
  <c r="P178" i="4" l="1"/>
  <c r="N178" i="4"/>
  <c r="O178" i="4"/>
  <c r="B179" i="4" l="1" a="1"/>
  <c r="C179" i="4" l="1"/>
  <c r="C179" i="3" s="1"/>
  <c r="E179" i="3" s="1"/>
  <c r="D179" i="4"/>
  <c r="D179" i="3" s="1"/>
  <c r="F179" i="3" s="1"/>
  <c r="B179" i="4"/>
  <c r="B179" i="3" l="1"/>
  <c r="E179" i="4" a="1"/>
  <c r="G179" i="4" l="1"/>
  <c r="E179" i="4"/>
  <c r="F179" i="4"/>
  <c r="H179" i="4" l="1" a="1"/>
  <c r="J179" i="4" l="1"/>
  <c r="H179" i="4"/>
  <c r="I179" i="4"/>
  <c r="K179" i="4" l="1" a="1"/>
  <c r="M179" i="4" l="1"/>
  <c r="K179" i="4"/>
  <c r="L179" i="4"/>
  <c r="N179" i="4" l="1" a="1"/>
  <c r="P179" i="4" l="1"/>
  <c r="N179" i="4"/>
  <c r="O179" i="4"/>
  <c r="B180" i="4" l="1" a="1"/>
  <c r="C180" i="4" l="1"/>
  <c r="C180" i="3" s="1"/>
  <c r="E180" i="3" s="1"/>
  <c r="D180" i="4"/>
  <c r="D180" i="3" s="1"/>
  <c r="F180" i="3" s="1"/>
  <c r="B180" i="4"/>
  <c r="B180" i="3" l="1"/>
  <c r="E180" i="4" a="1"/>
  <c r="F180" i="4" l="1"/>
  <c r="G180" i="4"/>
  <c r="E180" i="4"/>
  <c r="H180" i="4" l="1" a="1"/>
  <c r="I180" i="4" l="1"/>
  <c r="J180" i="4"/>
  <c r="H180" i="4"/>
  <c r="K180" i="4" l="1" a="1"/>
  <c r="L180" i="4" l="1"/>
  <c r="M180" i="4"/>
  <c r="K180" i="4"/>
  <c r="N180" i="4" l="1" a="1"/>
  <c r="O180" i="4" l="1"/>
  <c r="P180" i="4"/>
  <c r="N180" i="4"/>
  <c r="B181" i="4" s="1" a="1"/>
  <c r="D181" i="4" l="1"/>
  <c r="D181" i="3" s="1"/>
  <c r="F181" i="3" s="1"/>
  <c r="B181" i="4"/>
  <c r="C181" i="4"/>
  <c r="C181" i="3" s="1"/>
  <c r="E181" i="3" s="1"/>
  <c r="B181" i="3" l="1"/>
  <c r="E181" i="4" a="1"/>
  <c r="G181" i="4" l="1"/>
  <c r="E181" i="4"/>
  <c r="F181" i="4"/>
  <c r="H181" i="4" l="1" a="1"/>
  <c r="J181" i="4" l="1"/>
  <c r="H181" i="4"/>
  <c r="I181" i="4"/>
  <c r="K181" i="4" l="1" a="1"/>
  <c r="M181" i="4" l="1"/>
  <c r="K181" i="4"/>
  <c r="L181" i="4"/>
  <c r="N181" i="4" l="1" a="1"/>
  <c r="P181" i="4" l="1"/>
  <c r="N181" i="4"/>
  <c r="O181" i="4"/>
  <c r="B182" i="4" l="1" a="1"/>
  <c r="C182" i="4" l="1"/>
  <c r="C182" i="3" s="1"/>
  <c r="E182" i="3" s="1"/>
  <c r="D182" i="4"/>
  <c r="D182" i="3" s="1"/>
  <c r="F182" i="3" s="1"/>
  <c r="B182" i="4"/>
  <c r="B182" i="3" l="1"/>
  <c r="E182" i="4" a="1"/>
  <c r="F182" i="4" l="1"/>
  <c r="G182" i="4"/>
  <c r="E182" i="4"/>
  <c r="H182" i="4" l="1" a="1"/>
  <c r="I182" i="4" l="1"/>
  <c r="J182" i="4"/>
  <c r="H182" i="4"/>
  <c r="K182" i="4" l="1" a="1"/>
  <c r="L182" i="4" l="1"/>
  <c r="M182" i="4"/>
  <c r="K182" i="4"/>
  <c r="N182" i="4" l="1" a="1"/>
  <c r="O182" i="4" l="1"/>
  <c r="P182" i="4"/>
  <c r="N182" i="4"/>
  <c r="B183" i="4" s="1" a="1"/>
  <c r="D183" i="4" l="1"/>
  <c r="D183" i="3" s="1"/>
  <c r="F183" i="3" s="1"/>
  <c r="B183" i="4"/>
  <c r="C183" i="4"/>
  <c r="C183" i="3" s="1"/>
  <c r="E183" i="3" s="1"/>
  <c r="B183" i="3" l="1"/>
  <c r="E183" i="4" a="1"/>
  <c r="G183" i="4" l="1"/>
  <c r="E183" i="4"/>
  <c r="F183" i="4"/>
  <c r="H183" i="4" l="1" a="1"/>
  <c r="J183" i="4" l="1"/>
  <c r="H183" i="4"/>
  <c r="I183" i="4"/>
  <c r="K183" i="4" l="1" a="1"/>
  <c r="M183" i="4" l="1"/>
  <c r="K183" i="4"/>
  <c r="L183" i="4"/>
  <c r="N183" i="4" l="1" a="1"/>
  <c r="P183" i="4" l="1"/>
  <c r="N183" i="4"/>
  <c r="O183" i="4"/>
  <c r="B184" i="4" l="1" a="1"/>
  <c r="C184" i="4" l="1"/>
  <c r="C184" i="3" s="1"/>
  <c r="E184" i="3" s="1"/>
  <c r="D184" i="4"/>
  <c r="D184" i="3" s="1"/>
  <c r="F184" i="3" s="1"/>
  <c r="B184" i="4"/>
  <c r="B184" i="3" l="1"/>
  <c r="E184" i="4" a="1"/>
  <c r="F184" i="4" l="1"/>
  <c r="G184" i="4"/>
  <c r="E184" i="4"/>
  <c r="H184" i="4" l="1" a="1"/>
  <c r="I184" i="4" l="1"/>
  <c r="J184" i="4"/>
  <c r="H184" i="4"/>
  <c r="K184" i="4" l="1" a="1"/>
  <c r="L184" i="4" l="1"/>
  <c r="M184" i="4"/>
  <c r="K184" i="4"/>
  <c r="N184" i="4" l="1" a="1"/>
  <c r="O184" i="4" l="1"/>
  <c r="P184" i="4"/>
  <c r="N184" i="4"/>
  <c r="B185" i="4" s="1" a="1"/>
  <c r="D185" i="4" l="1"/>
  <c r="D185" i="3" s="1"/>
  <c r="F185" i="3" s="1"/>
  <c r="B185" i="4"/>
  <c r="C185" i="4"/>
  <c r="C185" i="3" s="1"/>
  <c r="E185" i="3" s="1"/>
  <c r="B185" i="3" l="1"/>
  <c r="E185" i="4" a="1"/>
  <c r="G185" i="4" l="1"/>
  <c r="E185" i="4"/>
  <c r="F185" i="4"/>
  <c r="H185" i="4" l="1" a="1"/>
  <c r="J185" i="4" l="1"/>
  <c r="H185" i="4"/>
  <c r="I185" i="4"/>
  <c r="K185" i="4" l="1" a="1"/>
  <c r="M185" i="4" l="1"/>
  <c r="K185" i="4"/>
  <c r="L185" i="4"/>
  <c r="N185" i="4" l="1" a="1"/>
  <c r="P185" i="4" l="1"/>
  <c r="N185" i="4"/>
  <c r="O185" i="4"/>
  <c r="B186" i="4" l="1" a="1"/>
  <c r="C186" i="4" l="1"/>
  <c r="C186" i="3" s="1"/>
  <c r="E186" i="3" s="1"/>
  <c r="D186" i="4"/>
  <c r="D186" i="3" s="1"/>
  <c r="F186" i="3" s="1"/>
  <c r="B186" i="4"/>
  <c r="B186" i="3" l="1"/>
  <c r="E186" i="4" a="1"/>
  <c r="F186" i="4" l="1"/>
  <c r="G186" i="4"/>
  <c r="E186" i="4"/>
  <c r="H186" i="4" l="1" a="1"/>
  <c r="I186" i="4" l="1"/>
  <c r="J186" i="4"/>
  <c r="H186" i="4"/>
  <c r="K186" i="4" l="1" a="1"/>
  <c r="L186" i="4" l="1"/>
  <c r="M186" i="4"/>
  <c r="K186" i="4"/>
  <c r="N186" i="4" l="1" a="1"/>
  <c r="O186" i="4" l="1"/>
  <c r="P186" i="4"/>
  <c r="N186" i="4"/>
  <c r="B187" i="4" s="1" a="1"/>
  <c r="D187" i="4" l="1"/>
  <c r="D187" i="3" s="1"/>
  <c r="F187" i="3" s="1"/>
  <c r="B187" i="4"/>
  <c r="C187" i="4"/>
  <c r="C187" i="3" s="1"/>
  <c r="E187" i="3" s="1"/>
  <c r="B187" i="3" l="1"/>
  <c r="E187" i="4" a="1"/>
  <c r="G187" i="4" l="1"/>
  <c r="E187" i="4"/>
  <c r="F187" i="4"/>
  <c r="H187" i="4" l="1" a="1"/>
  <c r="J187" i="4" l="1"/>
  <c r="H187" i="4"/>
  <c r="I187" i="4"/>
  <c r="K187" i="4" l="1" a="1"/>
  <c r="M187" i="4" l="1"/>
  <c r="K187" i="4"/>
  <c r="L187" i="4"/>
  <c r="N187" i="4" l="1" a="1"/>
  <c r="P187" i="4" l="1"/>
  <c r="N187" i="4"/>
  <c r="O187" i="4"/>
  <c r="B188" i="4" l="1" a="1"/>
  <c r="C188" i="4" l="1"/>
  <c r="C188" i="3" s="1"/>
  <c r="E188" i="3" s="1"/>
  <c r="D188" i="4"/>
  <c r="D188" i="3" s="1"/>
  <c r="F188" i="3" s="1"/>
  <c r="B188" i="4"/>
  <c r="B188" i="3" l="1"/>
  <c r="E188" i="4" a="1"/>
  <c r="F188" i="4" l="1"/>
  <c r="G188" i="4"/>
  <c r="E188" i="4"/>
  <c r="H188" i="4" l="1" a="1"/>
  <c r="I188" i="4" l="1"/>
  <c r="J188" i="4"/>
  <c r="H188" i="4"/>
  <c r="K188" i="4" l="1" a="1"/>
  <c r="L188" i="4" l="1"/>
  <c r="M188" i="4"/>
  <c r="K188" i="4"/>
  <c r="N188" i="4" l="1" a="1"/>
  <c r="O188" i="4" l="1"/>
  <c r="P188" i="4"/>
  <c r="N188" i="4"/>
  <c r="B189" i="4" s="1" a="1"/>
  <c r="D189" i="4" l="1"/>
  <c r="D189" i="3" s="1"/>
  <c r="F189" i="3" s="1"/>
  <c r="B189" i="4"/>
  <c r="C189" i="4"/>
  <c r="C189" i="3" s="1"/>
  <c r="E189" i="3" s="1"/>
  <c r="B189" i="3" l="1"/>
  <c r="E189" i="4" a="1"/>
  <c r="G189" i="4" l="1"/>
  <c r="E189" i="4"/>
  <c r="F189" i="4"/>
  <c r="H189" i="4" l="1" a="1"/>
  <c r="J189" i="4" l="1"/>
  <c r="H189" i="4"/>
  <c r="I189" i="4"/>
  <c r="K189" i="4" l="1" a="1"/>
  <c r="M189" i="4" l="1"/>
  <c r="K189" i="4"/>
  <c r="L189" i="4"/>
  <c r="N189" i="4" l="1" a="1"/>
  <c r="P189" i="4" l="1"/>
  <c r="N189" i="4"/>
  <c r="O189" i="4"/>
  <c r="B190" i="4" l="1" a="1"/>
  <c r="C190" i="4" l="1"/>
  <c r="C190" i="3" s="1"/>
  <c r="E190" i="3" s="1"/>
  <c r="D190" i="4"/>
  <c r="D190" i="3" s="1"/>
  <c r="F190" i="3" s="1"/>
  <c r="B190" i="4"/>
  <c r="B190" i="3" l="1"/>
  <c r="E190" i="4" a="1"/>
  <c r="F190" i="4" l="1"/>
  <c r="G190" i="4"/>
  <c r="E190" i="4"/>
  <c r="H190" i="4" l="1" a="1"/>
  <c r="I190" i="4" l="1"/>
  <c r="J190" i="4"/>
  <c r="H190" i="4"/>
  <c r="K190" i="4" l="1" a="1"/>
  <c r="L190" i="4" l="1"/>
  <c r="M190" i="4"/>
  <c r="K190" i="4"/>
  <c r="N190" i="4" l="1" a="1"/>
  <c r="O190" i="4" l="1"/>
  <c r="P190" i="4"/>
  <c r="N190" i="4"/>
  <c r="B191" i="4" s="1" a="1"/>
  <c r="D191" i="4" l="1"/>
  <c r="D191" i="3" s="1"/>
  <c r="F191" i="3" s="1"/>
  <c r="B191" i="4"/>
  <c r="C191" i="4"/>
  <c r="C191" i="3" s="1"/>
  <c r="E191" i="3" s="1"/>
  <c r="B191" i="3" l="1"/>
  <c r="E191" i="4" a="1"/>
  <c r="G191" i="4" l="1"/>
  <c r="E191" i="4"/>
  <c r="F191" i="4"/>
  <c r="H191" i="4" l="1" a="1"/>
  <c r="J191" i="4" l="1"/>
  <c r="H191" i="4"/>
  <c r="I191" i="4"/>
  <c r="K191" i="4" l="1" a="1"/>
  <c r="M191" i="4" l="1"/>
  <c r="K191" i="4"/>
  <c r="L191" i="4"/>
  <c r="N191" i="4" l="1" a="1"/>
  <c r="P191" i="4" l="1"/>
  <c r="N191" i="4"/>
  <c r="O191" i="4"/>
  <c r="B192" i="4" l="1" a="1"/>
  <c r="C192" i="4" l="1"/>
  <c r="C192" i="3" s="1"/>
  <c r="E192" i="3" s="1"/>
  <c r="D192" i="4"/>
  <c r="D192" i="3" s="1"/>
  <c r="F192" i="3" s="1"/>
  <c r="B192" i="4"/>
  <c r="B192" i="3" l="1"/>
  <c r="E192" i="4" a="1"/>
  <c r="F192" i="4" l="1"/>
  <c r="G192" i="4"/>
  <c r="E192" i="4"/>
  <c r="H192" i="4" l="1" a="1"/>
  <c r="I192" i="4" l="1"/>
  <c r="J192" i="4"/>
  <c r="H192" i="4"/>
  <c r="K192" i="4" l="1" a="1"/>
  <c r="L192" i="4" l="1"/>
  <c r="M192" i="4"/>
  <c r="K192" i="4"/>
  <c r="N192" i="4" l="1" a="1"/>
  <c r="O192" i="4" l="1"/>
  <c r="P192" i="4"/>
  <c r="N192" i="4"/>
  <c r="B193" i="4" s="1" a="1"/>
  <c r="D193" i="4" l="1"/>
  <c r="D193" i="3" s="1"/>
  <c r="F193" i="3" s="1"/>
  <c r="B193" i="4"/>
  <c r="C193" i="4"/>
  <c r="C193" i="3" s="1"/>
  <c r="E193" i="3" s="1"/>
  <c r="B193" i="3" l="1"/>
  <c r="E193" i="4" a="1"/>
  <c r="G193" i="4" l="1"/>
  <c r="E193" i="4"/>
  <c r="F193" i="4"/>
  <c r="H193" i="4" l="1" a="1"/>
  <c r="J193" i="4" l="1"/>
  <c r="H193" i="4"/>
  <c r="I193" i="4"/>
  <c r="K193" i="4" l="1" a="1"/>
  <c r="M193" i="4" l="1"/>
  <c r="K193" i="4"/>
  <c r="L193" i="4"/>
  <c r="N193" i="4" l="1" a="1"/>
  <c r="P193" i="4" l="1"/>
  <c r="N193" i="4"/>
  <c r="O193" i="4"/>
  <c r="B194" i="4" l="1" a="1"/>
  <c r="C194" i="4" l="1"/>
  <c r="C194" i="3" s="1"/>
  <c r="D194" i="4"/>
  <c r="D194" i="3" s="1"/>
  <c r="B194" i="4"/>
  <c r="B194" i="3" l="1"/>
  <c r="E194" i="4" a="1"/>
  <c r="F194" i="4" l="1"/>
  <c r="G194" i="4"/>
  <c r="E194" i="4"/>
  <c r="H194" i="4" l="1" a="1"/>
  <c r="I194" i="4" l="1"/>
  <c r="J194" i="4"/>
  <c r="H194" i="4"/>
  <c r="K194" i="4" l="1" a="1"/>
  <c r="L194" i="4" l="1"/>
  <c r="M194" i="4"/>
  <c r="K194" i="4"/>
  <c r="N194" i="4" l="1" a="1"/>
  <c r="O194" i="4" l="1"/>
  <c r="P194" i="4"/>
  <c r="N194" i="4"/>
  <c r="B195" i="4" s="1" a="1"/>
  <c r="D195" i="4" l="1"/>
  <c r="D195" i="3" s="1"/>
  <c r="B195" i="4"/>
  <c r="C195" i="4"/>
  <c r="C195" i="3" s="1"/>
  <c r="B195" i="3" l="1"/>
  <c r="E195" i="4" a="1"/>
  <c r="G195" i="4" l="1"/>
  <c r="E195" i="4"/>
  <c r="F195" i="4"/>
  <c r="H195" i="4" l="1" a="1"/>
  <c r="J195" i="4" l="1"/>
  <c r="H195" i="4"/>
  <c r="I195" i="4"/>
  <c r="K195" i="4" l="1" a="1"/>
  <c r="M195" i="4" l="1"/>
  <c r="K195" i="4"/>
  <c r="L195" i="4"/>
  <c r="N195" i="4" l="1" a="1"/>
  <c r="P195" i="4" l="1"/>
  <c r="N195" i="4"/>
  <c r="O195" i="4"/>
  <c r="B196" i="4" l="1" a="1"/>
  <c r="C196" i="4" l="1"/>
  <c r="C196" i="3" s="1"/>
  <c r="D196" i="4"/>
  <c r="D196" i="3" s="1"/>
  <c r="B196" i="4"/>
  <c r="B196" i="3" l="1"/>
  <c r="E196" i="4" a="1"/>
  <c r="F196" i="4" l="1"/>
  <c r="G196" i="4"/>
  <c r="E196" i="4"/>
  <c r="H196" i="4" l="1" a="1"/>
  <c r="I196" i="4" l="1"/>
  <c r="J196" i="4"/>
  <c r="H196" i="4"/>
  <c r="K196" i="4" l="1" a="1"/>
  <c r="L196" i="4" l="1"/>
  <c r="M196" i="4"/>
  <c r="K196" i="4"/>
  <c r="N196" i="4" l="1" a="1"/>
  <c r="O196" i="4" l="1"/>
  <c r="P196" i="4"/>
  <c r="N196" i="4"/>
  <c r="B197" i="4" s="1" a="1"/>
  <c r="D197" i="4" l="1"/>
  <c r="D197" i="3" s="1"/>
  <c r="B197" i="4"/>
  <c r="C197" i="4"/>
  <c r="C197" i="3" s="1"/>
  <c r="B197" i="3" l="1"/>
  <c r="E197" i="4" a="1"/>
  <c r="G197" i="4" l="1"/>
  <c r="E197" i="4"/>
  <c r="F197" i="4"/>
  <c r="H197" i="4" l="1" a="1"/>
  <c r="J197" i="4" l="1"/>
  <c r="H197" i="4"/>
  <c r="I197" i="4"/>
  <c r="K197" i="4" l="1" a="1"/>
  <c r="M197" i="4" l="1"/>
  <c r="K197" i="4"/>
  <c r="L197" i="4"/>
  <c r="N197" i="4" l="1" a="1"/>
  <c r="P197" i="4" l="1"/>
  <c r="N197" i="4"/>
  <c r="O197" i="4"/>
  <c r="B198" i="4" l="1" a="1"/>
  <c r="C198" i="4" l="1"/>
  <c r="C198" i="3" s="1"/>
  <c r="D198" i="4"/>
  <c r="D198" i="3" s="1"/>
  <c r="B198" i="4"/>
  <c r="B198" i="3" l="1"/>
  <c r="E198" i="4" a="1"/>
  <c r="F198" i="4" l="1"/>
  <c r="G198" i="4"/>
  <c r="E198" i="4"/>
  <c r="H198" i="4" l="1" a="1"/>
  <c r="I198" i="4" l="1"/>
  <c r="J198" i="4"/>
  <c r="H198" i="4"/>
  <c r="K198" i="4" l="1" a="1"/>
  <c r="L198" i="4" l="1"/>
  <c r="M198" i="4"/>
  <c r="K198" i="4"/>
  <c r="N198" i="4" l="1" a="1"/>
  <c r="O198" i="4" l="1"/>
  <c r="P198" i="4"/>
  <c r="N198" i="4"/>
  <c r="B199" i="4" s="1" a="1"/>
  <c r="D199" i="4" l="1"/>
  <c r="D199" i="3" s="1"/>
  <c r="B199" i="4"/>
  <c r="C199" i="4"/>
  <c r="C199" i="3" s="1"/>
  <c r="B199" i="3" l="1"/>
  <c r="E199" i="4" a="1"/>
  <c r="G199" i="4" l="1"/>
  <c r="E199" i="4"/>
  <c r="F199" i="4"/>
  <c r="H199" i="4" l="1" a="1"/>
  <c r="J199" i="4" l="1"/>
  <c r="H199" i="4"/>
  <c r="I199" i="4"/>
  <c r="K199" i="4" l="1" a="1"/>
  <c r="M199" i="4" l="1"/>
  <c r="K199" i="4"/>
  <c r="L199" i="4"/>
  <c r="N199" i="4" l="1" a="1"/>
  <c r="P199" i="4" l="1"/>
  <c r="N199" i="4"/>
  <c r="O199" i="4"/>
  <c r="B200" i="4" l="1" a="1"/>
  <c r="C200" i="4" l="1"/>
  <c r="C200" i="3" s="1"/>
  <c r="D200" i="4"/>
  <c r="D200" i="3" s="1"/>
  <c r="B200" i="4"/>
  <c r="B200" i="3" l="1"/>
  <c r="E200" i="4" a="1"/>
  <c r="F200" i="4" l="1"/>
  <c r="G200" i="4"/>
  <c r="E200" i="4"/>
  <c r="H200" i="4" l="1" a="1"/>
  <c r="I200" i="4" l="1"/>
  <c r="J200" i="4"/>
  <c r="H200" i="4"/>
  <c r="K200" i="4" l="1" a="1"/>
  <c r="L200" i="4" l="1"/>
  <c r="M200" i="4"/>
  <c r="K200" i="4"/>
  <c r="N200" i="4" l="1" a="1"/>
  <c r="O200" i="4" l="1"/>
  <c r="P200" i="4"/>
  <c r="N200" i="4"/>
  <c r="B201" i="4" s="1" a="1"/>
  <c r="D201" i="4" l="1"/>
  <c r="D201" i="3" s="1"/>
  <c r="B201" i="4"/>
  <c r="C201" i="4"/>
  <c r="C201" i="3" s="1"/>
  <c r="B201" i="3" l="1"/>
  <c r="E201" i="4" a="1"/>
  <c r="G201" i="4" l="1"/>
  <c r="E201" i="4"/>
  <c r="F201" i="4"/>
  <c r="H201" i="4" l="1" a="1"/>
  <c r="J201" i="4" l="1"/>
  <c r="H201" i="4"/>
  <c r="I201" i="4"/>
  <c r="K201" i="4" l="1" a="1"/>
  <c r="M201" i="4" l="1"/>
  <c r="K201" i="4"/>
  <c r="L201" i="4"/>
  <c r="N201" i="4" l="1" a="1"/>
  <c r="P201" i="4" l="1"/>
  <c r="N201" i="4"/>
  <c r="O201" i="4"/>
  <c r="B202" i="4" l="1" a="1"/>
  <c r="C202" i="4" l="1"/>
  <c r="C202" i="3" s="1"/>
  <c r="D202" i="4"/>
  <c r="D202" i="3" s="1"/>
  <c r="B202" i="4"/>
  <c r="B202" i="3" l="1"/>
  <c r="E202" i="4" a="1"/>
  <c r="F202" i="4" l="1"/>
  <c r="G202" i="4"/>
  <c r="E202" i="4"/>
  <c r="H202" i="4" l="1" a="1"/>
  <c r="I202" i="4" l="1"/>
  <c r="J202" i="4"/>
  <c r="H202" i="4"/>
  <c r="K202" i="4" l="1" a="1"/>
  <c r="L202" i="4" l="1"/>
  <c r="M202" i="4"/>
  <c r="K202" i="4"/>
  <c r="N202" i="4" l="1" a="1"/>
  <c r="O202" i="4" l="1"/>
  <c r="P202" i="4"/>
  <c r="N202" i="4"/>
  <c r="B203" i="4" s="1" a="1"/>
  <c r="D203" i="4" l="1"/>
  <c r="D203" i="3" s="1"/>
  <c r="B203" i="4"/>
  <c r="C203" i="4"/>
  <c r="C203" i="3" s="1"/>
  <c r="B203" i="3" l="1"/>
  <c r="E203" i="4" a="1"/>
  <c r="G203" i="4" l="1"/>
  <c r="E203" i="4"/>
  <c r="F203" i="4"/>
  <c r="H203" i="4" l="1" a="1"/>
  <c r="J203" i="4" l="1"/>
  <c r="H203" i="4"/>
  <c r="I203" i="4"/>
  <c r="K203" i="4" l="1" a="1"/>
  <c r="M203" i="4" l="1"/>
  <c r="K203" i="4"/>
  <c r="L203" i="4"/>
  <c r="N203" i="4" l="1" a="1"/>
  <c r="P203" i="4" l="1"/>
  <c r="N203" i="4"/>
  <c r="O203" i="4"/>
  <c r="B204" i="4" l="1" a="1"/>
  <c r="C204" i="4" l="1"/>
  <c r="C204" i="3" s="1"/>
  <c r="D204" i="4"/>
  <c r="D204" i="3" s="1"/>
  <c r="B204" i="4"/>
  <c r="B204" i="3" l="1"/>
  <c r="E204" i="4" a="1"/>
  <c r="F204" i="4" l="1"/>
  <c r="G204" i="4"/>
  <c r="E204" i="4"/>
  <c r="H204" i="4" l="1" a="1"/>
  <c r="I204" i="4" l="1"/>
  <c r="J204" i="4"/>
  <c r="H204" i="4"/>
  <c r="K204" i="4" l="1" a="1"/>
  <c r="L204" i="4" l="1"/>
  <c r="M204" i="4"/>
  <c r="K204" i="4"/>
  <c r="N204" i="4" l="1" a="1"/>
  <c r="O204" i="4" l="1"/>
  <c r="P204" i="4"/>
  <c r="N204" i="4"/>
  <c r="B205" i="4" s="1" a="1"/>
  <c r="D205" i="4" l="1"/>
  <c r="D205" i="3" s="1"/>
  <c r="B205" i="4"/>
  <c r="C205" i="4"/>
  <c r="C205" i="3" s="1"/>
  <c r="B205" i="3" l="1"/>
  <c r="E205" i="4" a="1"/>
  <c r="G205" i="4" l="1"/>
  <c r="E205" i="4"/>
  <c r="F205" i="4"/>
  <c r="H205" i="4" l="1" a="1"/>
  <c r="J205" i="4" l="1"/>
  <c r="H205" i="4"/>
  <c r="I205" i="4"/>
  <c r="K205" i="4" l="1" a="1"/>
  <c r="M205" i="4" l="1"/>
  <c r="K205" i="4"/>
  <c r="L205" i="4"/>
  <c r="N205" i="4" l="1" a="1"/>
  <c r="P205" i="4" l="1"/>
  <c r="N205" i="4"/>
  <c r="O205" i="4"/>
  <c r="B206" i="4" l="1" a="1"/>
  <c r="C206" i="4" l="1"/>
  <c r="C206" i="3" s="1"/>
  <c r="D206" i="4"/>
  <c r="D206" i="3" s="1"/>
  <c r="B206" i="4"/>
  <c r="B206" i="3" l="1"/>
  <c r="E206" i="4" a="1"/>
  <c r="F206" i="4" l="1"/>
  <c r="G206" i="4"/>
  <c r="E206" i="4"/>
  <c r="H206" i="4" l="1" a="1"/>
  <c r="I206" i="4" l="1"/>
  <c r="J206" i="4"/>
  <c r="H206" i="4"/>
  <c r="K206" i="4" l="1" a="1"/>
  <c r="L206" i="4" l="1"/>
  <c r="M206" i="4"/>
  <c r="K206" i="4"/>
  <c r="N206" i="4" l="1" a="1"/>
  <c r="O206" i="4" l="1"/>
  <c r="P206" i="4"/>
  <c r="N206" i="4"/>
  <c r="B207" i="4" s="1" a="1"/>
  <c r="D207" i="4" l="1"/>
  <c r="D207" i="3" s="1"/>
  <c r="B207" i="4"/>
  <c r="C207" i="4"/>
  <c r="C207" i="3" s="1"/>
  <c r="B207" i="3" l="1"/>
  <c r="E207" i="4" a="1"/>
  <c r="G207" i="4" l="1"/>
  <c r="E207" i="4"/>
  <c r="F207" i="4"/>
  <c r="H207" i="4" l="1" a="1"/>
  <c r="J207" i="4" l="1"/>
  <c r="H207" i="4"/>
  <c r="I207" i="4"/>
  <c r="K207" i="4" l="1" a="1"/>
  <c r="M207" i="4" l="1"/>
  <c r="K207" i="4"/>
  <c r="L207" i="4"/>
  <c r="N207" i="4" l="1" a="1"/>
  <c r="P207" i="4" l="1"/>
  <c r="N207" i="4"/>
  <c r="O207" i="4"/>
  <c r="B208" i="4" l="1" a="1"/>
  <c r="C208" i="4" l="1"/>
  <c r="C208" i="3" s="1"/>
  <c r="D208" i="4"/>
  <c r="D208" i="3" s="1"/>
  <c r="B208" i="4"/>
  <c r="B208" i="3" l="1"/>
  <c r="E208" i="4" a="1"/>
  <c r="F208" i="4" l="1"/>
  <c r="G208" i="4"/>
  <c r="E208" i="4"/>
  <c r="H208" i="4" l="1" a="1"/>
  <c r="I208" i="4" l="1"/>
  <c r="J208" i="4"/>
  <c r="H208" i="4"/>
  <c r="K208" i="4" l="1" a="1"/>
  <c r="L208" i="4" l="1"/>
  <c r="M208" i="4"/>
  <c r="K208" i="4"/>
  <c r="N208" i="4" l="1" a="1"/>
  <c r="O208" i="4" l="1"/>
  <c r="P208" i="4"/>
  <c r="N208" i="4"/>
  <c r="B209" i="4" s="1" a="1"/>
  <c r="D209" i="4" l="1"/>
  <c r="D209" i="3" s="1"/>
  <c r="B209" i="4"/>
  <c r="C209" i="4"/>
  <c r="C209" i="3" s="1"/>
  <c r="B209" i="3" l="1"/>
  <c r="E209" i="4" a="1"/>
  <c r="G209" i="4" l="1"/>
  <c r="E209" i="4"/>
  <c r="F209" i="4"/>
  <c r="H209" i="4" l="1" a="1"/>
  <c r="J209" i="4" l="1"/>
  <c r="H209" i="4"/>
  <c r="I209" i="4"/>
  <c r="K209" i="4" l="1" a="1"/>
  <c r="M209" i="4" l="1"/>
  <c r="K209" i="4"/>
  <c r="L209" i="4"/>
  <c r="N209" i="4" l="1" a="1"/>
  <c r="P209" i="4" l="1"/>
  <c r="N209" i="4"/>
  <c r="O209" i="4"/>
  <c r="B210" i="4" l="1" a="1"/>
  <c r="C210" i="4" l="1"/>
  <c r="C210" i="3" s="1"/>
  <c r="D210" i="4"/>
  <c r="D210" i="3" s="1"/>
  <c r="B210" i="4"/>
  <c r="B210" i="3" l="1"/>
  <c r="E210" i="4" a="1"/>
  <c r="F210" i="4" l="1"/>
  <c r="G210" i="4"/>
  <c r="E210" i="4"/>
  <c r="H210" i="4" l="1" a="1"/>
  <c r="I210" i="4" l="1"/>
  <c r="J210" i="4"/>
  <c r="H210" i="4"/>
  <c r="K210" i="4" l="1" a="1"/>
  <c r="L210" i="4" l="1"/>
  <c r="M210" i="4"/>
  <c r="K210" i="4"/>
  <c r="N210" i="4" l="1" a="1"/>
  <c r="O210" i="4" l="1"/>
  <c r="P210" i="4"/>
  <c r="N210" i="4"/>
  <c r="B211" i="4" s="1" a="1"/>
  <c r="D211" i="4" l="1"/>
  <c r="D211" i="3" s="1"/>
  <c r="B211" i="4"/>
  <c r="C211" i="4"/>
  <c r="C211" i="3" s="1"/>
  <c r="B211" i="3" l="1"/>
  <c r="E211" i="4" a="1"/>
  <c r="G211" i="4" l="1"/>
  <c r="E211" i="4"/>
  <c r="F211" i="4"/>
  <c r="H211" i="4" l="1" a="1"/>
  <c r="J211" i="4" l="1"/>
  <c r="H211" i="4"/>
  <c r="I211" i="4"/>
  <c r="K211" i="4" l="1" a="1"/>
  <c r="M211" i="4" l="1"/>
  <c r="K211" i="4"/>
  <c r="L211" i="4"/>
  <c r="N211" i="4" l="1" a="1"/>
  <c r="P211" i="4" l="1"/>
  <c r="N211" i="4"/>
  <c r="O211" i="4"/>
  <c r="B212" i="4" l="1" a="1"/>
  <c r="C212" i="4" l="1"/>
  <c r="C212" i="3" s="1"/>
  <c r="D212" i="4"/>
  <c r="D212" i="3" s="1"/>
  <c r="B212" i="4"/>
  <c r="B212" i="3" l="1"/>
  <c r="E212" i="4" a="1"/>
  <c r="F212" i="4" l="1"/>
  <c r="G212" i="4"/>
  <c r="E212" i="4"/>
  <c r="H212" i="4" l="1" a="1"/>
  <c r="I212" i="4" l="1"/>
  <c r="J212" i="4"/>
  <c r="H212" i="4"/>
  <c r="K212" i="4" l="1" a="1"/>
  <c r="L212" i="4" l="1"/>
  <c r="M212" i="4"/>
  <c r="K212" i="4"/>
  <c r="N212" i="4" l="1" a="1"/>
  <c r="O212" i="4" l="1"/>
  <c r="P212" i="4"/>
  <c r="N212" i="4"/>
  <c r="B213" i="4" s="1" a="1"/>
  <c r="D213" i="4" l="1"/>
  <c r="D213" i="3" s="1"/>
  <c r="B213" i="4"/>
  <c r="C213" i="4"/>
  <c r="C213" i="3" s="1"/>
  <c r="B213" i="3" l="1"/>
  <c r="E213" i="4" a="1"/>
  <c r="G213" i="4" l="1"/>
  <c r="E213" i="4"/>
  <c r="F213" i="4"/>
  <c r="H213" i="4" l="1" a="1"/>
  <c r="J213" i="4" l="1"/>
  <c r="H213" i="4"/>
  <c r="I213" i="4"/>
  <c r="K213" i="4" l="1" a="1"/>
  <c r="M213" i="4" l="1"/>
  <c r="K213" i="4"/>
  <c r="L213" i="4"/>
  <c r="N213" i="4" l="1" a="1"/>
  <c r="P213" i="4" l="1"/>
  <c r="N213" i="4"/>
  <c r="O213" i="4"/>
  <c r="B214" i="4" l="1" a="1"/>
  <c r="C214" i="4" l="1"/>
  <c r="C214" i="3" s="1"/>
  <c r="D214" i="4"/>
  <c r="D214" i="3" s="1"/>
  <c r="B214" i="4"/>
  <c r="B214" i="3" l="1"/>
  <c r="E214" i="4" a="1"/>
  <c r="F214" i="4" l="1"/>
  <c r="G214" i="4"/>
  <c r="E214" i="4"/>
  <c r="H214" i="4" l="1" a="1"/>
  <c r="I214" i="4" l="1"/>
  <c r="J214" i="4"/>
  <c r="H214" i="4"/>
  <c r="K214" i="4" l="1" a="1"/>
  <c r="L214" i="4" l="1"/>
  <c r="M214" i="4"/>
  <c r="K214" i="4"/>
  <c r="N214" i="4" l="1" a="1"/>
  <c r="O214" i="4" l="1"/>
  <c r="P214" i="4"/>
  <c r="N214" i="4"/>
  <c r="B215" i="4" s="1" a="1"/>
  <c r="D215" i="4" l="1"/>
  <c r="D215" i="3" s="1"/>
  <c r="B215" i="4"/>
  <c r="C215" i="4"/>
  <c r="C215" i="3" s="1"/>
  <c r="B215" i="3" l="1"/>
  <c r="E215" i="4" a="1"/>
  <c r="G215" i="4" l="1"/>
  <c r="E215" i="4"/>
  <c r="F215" i="4"/>
  <c r="H215" i="4" l="1" a="1"/>
  <c r="J215" i="4" l="1"/>
  <c r="H215" i="4"/>
  <c r="I215" i="4"/>
  <c r="K215" i="4" l="1" a="1"/>
  <c r="M215" i="4" l="1"/>
  <c r="K215" i="4"/>
  <c r="L215" i="4"/>
  <c r="N215" i="4" l="1" a="1"/>
  <c r="P215" i="4" l="1"/>
  <c r="N215" i="4"/>
  <c r="O215" i="4"/>
  <c r="B216" i="4" l="1" a="1"/>
  <c r="C216" i="4" l="1"/>
  <c r="C216" i="3" s="1"/>
  <c r="D216" i="4"/>
  <c r="D216" i="3" s="1"/>
  <c r="B216" i="4"/>
  <c r="B216" i="3" l="1"/>
  <c r="E216" i="4" a="1"/>
  <c r="F216" i="4" l="1"/>
  <c r="G216" i="4"/>
  <c r="E216" i="4"/>
  <c r="H216" i="4" l="1" a="1"/>
  <c r="I216" i="4" l="1"/>
  <c r="J216" i="4"/>
  <c r="H216" i="4"/>
  <c r="K216" i="4" l="1" a="1"/>
  <c r="L216" i="4" l="1"/>
  <c r="M216" i="4"/>
  <c r="K216" i="4"/>
  <c r="N216" i="4" l="1" a="1"/>
  <c r="O216" i="4" l="1"/>
  <c r="P216" i="4"/>
  <c r="N216" i="4"/>
  <c r="B217" i="4" s="1" a="1"/>
  <c r="D217" i="4" l="1"/>
  <c r="D217" i="3" s="1"/>
  <c r="B217" i="4"/>
  <c r="C217" i="4"/>
  <c r="C217" i="3" s="1"/>
  <c r="B217" i="3" l="1"/>
  <c r="E217" i="4" a="1"/>
  <c r="G217" i="4" l="1"/>
  <c r="E217" i="4"/>
  <c r="F217" i="4"/>
  <c r="H217" i="4" l="1" a="1"/>
  <c r="J217" i="4" l="1"/>
  <c r="H217" i="4"/>
  <c r="I217" i="4"/>
  <c r="K217" i="4" l="1" a="1"/>
  <c r="M217" i="4" l="1"/>
  <c r="K217" i="4"/>
  <c r="L217" i="4"/>
  <c r="N217" i="4" l="1" a="1"/>
  <c r="P217" i="4" l="1"/>
  <c r="N217" i="4"/>
  <c r="O217" i="4"/>
  <c r="B218" i="4" l="1" a="1"/>
  <c r="C218" i="4" l="1"/>
  <c r="C218" i="3" s="1"/>
  <c r="D218" i="4"/>
  <c r="D218" i="3" s="1"/>
  <c r="B218" i="4"/>
  <c r="B218" i="3" l="1"/>
  <c r="E218" i="4" a="1"/>
  <c r="F218" i="4" l="1"/>
  <c r="G218" i="4"/>
  <c r="E218" i="4"/>
  <c r="H218" i="4" l="1" a="1"/>
  <c r="I218" i="4" l="1"/>
  <c r="J218" i="4"/>
  <c r="H218" i="4"/>
  <c r="K218" i="4" l="1" a="1"/>
  <c r="L218" i="4" l="1"/>
  <c r="M218" i="4"/>
  <c r="K218" i="4"/>
  <c r="N218" i="4" l="1" a="1"/>
  <c r="O218" i="4" l="1"/>
  <c r="P218" i="4"/>
  <c r="N218" i="4"/>
  <c r="B219" i="4" s="1" a="1"/>
  <c r="D219" i="4" l="1"/>
  <c r="D219" i="3" s="1"/>
  <c r="B219" i="4"/>
  <c r="C219" i="4"/>
  <c r="C219" i="3" s="1"/>
  <c r="B219" i="3" l="1"/>
  <c r="E219" i="4" a="1"/>
  <c r="G219" i="4" l="1"/>
  <c r="E219" i="4"/>
  <c r="F219" i="4"/>
  <c r="H219" i="4" l="1" a="1"/>
  <c r="J219" i="4" l="1"/>
  <c r="H219" i="4"/>
  <c r="I219" i="4"/>
  <c r="K219" i="4" l="1" a="1"/>
  <c r="M219" i="4" l="1"/>
  <c r="K219" i="4"/>
  <c r="L219" i="4"/>
  <c r="N219" i="4" l="1" a="1"/>
  <c r="P219" i="4" l="1"/>
  <c r="N219" i="4"/>
  <c r="O219" i="4"/>
  <c r="B220" i="4" l="1" a="1"/>
  <c r="C220" i="4" l="1"/>
  <c r="C220" i="3" s="1"/>
  <c r="D220" i="4"/>
  <c r="D220" i="3" s="1"/>
  <c r="B220" i="4"/>
  <c r="B220" i="3" l="1"/>
  <c r="E220" i="4" a="1"/>
  <c r="F220" i="4" l="1"/>
  <c r="G220" i="4"/>
  <c r="E220" i="4"/>
  <c r="H220" i="4" l="1" a="1"/>
  <c r="I220" i="4" l="1"/>
  <c r="J220" i="4"/>
  <c r="H220" i="4"/>
  <c r="K220" i="4" l="1" a="1"/>
  <c r="L220" i="4" l="1"/>
  <c r="M220" i="4"/>
  <c r="K220" i="4"/>
  <c r="N220" i="4" l="1" a="1"/>
  <c r="O220" i="4" l="1"/>
  <c r="P220" i="4"/>
  <c r="N220" i="4"/>
  <c r="B221" i="4" s="1" a="1"/>
  <c r="D221" i="4" l="1"/>
  <c r="D221" i="3" s="1"/>
  <c r="B221" i="4"/>
  <c r="C221" i="4"/>
  <c r="C221" i="3" s="1"/>
  <c r="B221" i="3" l="1"/>
  <c r="E221" i="4" a="1"/>
  <c r="G221" i="4" l="1"/>
  <c r="E221" i="4"/>
  <c r="F221" i="4"/>
  <c r="H221" i="4" l="1" a="1"/>
  <c r="J221" i="4" l="1"/>
  <c r="H221" i="4"/>
  <c r="I221" i="4"/>
  <c r="K221" i="4" l="1" a="1"/>
  <c r="M221" i="4" l="1"/>
  <c r="K221" i="4"/>
  <c r="L221" i="4"/>
  <c r="N221" i="4" l="1" a="1"/>
  <c r="P221" i="4" l="1"/>
  <c r="N221" i="4"/>
  <c r="O221" i="4"/>
  <c r="B222" i="4" l="1" a="1"/>
  <c r="C222" i="4" l="1"/>
  <c r="C222" i="3" s="1"/>
  <c r="D222" i="4"/>
  <c r="D222" i="3" s="1"/>
  <c r="B222" i="4"/>
  <c r="B222" i="3" l="1"/>
  <c r="E222" i="4" a="1"/>
  <c r="F222" i="4" l="1"/>
  <c r="G222" i="4"/>
  <c r="E222" i="4"/>
  <c r="H222" i="4" l="1" a="1"/>
  <c r="I222" i="4" l="1"/>
  <c r="J222" i="4"/>
  <c r="H222" i="4"/>
  <c r="K222" i="4" l="1" a="1"/>
  <c r="L222" i="4" l="1"/>
  <c r="M222" i="4"/>
  <c r="K222" i="4"/>
  <c r="N222" i="4" l="1" a="1"/>
  <c r="O222" i="4" l="1"/>
  <c r="P222" i="4"/>
  <c r="N222" i="4"/>
  <c r="B223" i="4" s="1" a="1"/>
  <c r="D223" i="4" l="1"/>
  <c r="D223" i="3" s="1"/>
  <c r="B223" i="4"/>
  <c r="C223" i="4"/>
  <c r="C223" i="3" s="1"/>
  <c r="B223" i="3" l="1"/>
  <c r="E223" i="4" a="1"/>
  <c r="G223" i="4" l="1"/>
  <c r="E223" i="4"/>
  <c r="F223" i="4"/>
  <c r="H223" i="4" l="1" a="1"/>
  <c r="J223" i="4" l="1"/>
  <c r="H223" i="4"/>
  <c r="I223" i="4"/>
  <c r="K223" i="4" l="1" a="1"/>
  <c r="M223" i="4" l="1"/>
  <c r="K223" i="4"/>
  <c r="L223" i="4"/>
  <c r="N223" i="4" l="1" a="1"/>
  <c r="P223" i="4" l="1"/>
  <c r="N223" i="4"/>
  <c r="O223" i="4"/>
  <c r="B224" i="4" l="1" a="1"/>
  <c r="C224" i="4" l="1"/>
  <c r="C224" i="3" s="1"/>
  <c r="D224" i="4"/>
  <c r="D224" i="3" s="1"/>
  <c r="B224" i="4"/>
  <c r="B224" i="3" l="1"/>
  <c r="E224" i="4" a="1"/>
  <c r="F224" i="4" l="1"/>
  <c r="G224" i="4"/>
  <c r="E224" i="4"/>
  <c r="H224" i="4" l="1" a="1"/>
  <c r="I224" i="4" l="1"/>
  <c r="J224" i="4"/>
  <c r="H224" i="4"/>
  <c r="K224" i="4" l="1" a="1"/>
  <c r="L224" i="4" l="1"/>
  <c r="M224" i="4"/>
  <c r="K224" i="4"/>
  <c r="N224" i="4" l="1" a="1"/>
  <c r="O224" i="4" l="1"/>
  <c r="P224" i="4"/>
  <c r="N224" i="4"/>
  <c r="B225" i="4" s="1" a="1"/>
  <c r="D225" i="4" l="1"/>
  <c r="D225" i="3" s="1"/>
  <c r="B225" i="4"/>
  <c r="C225" i="4"/>
  <c r="C225" i="3" s="1"/>
  <c r="B225" i="3" l="1"/>
  <c r="E225" i="4" a="1"/>
  <c r="G225" i="4" l="1"/>
  <c r="E225" i="4"/>
  <c r="F225" i="4"/>
  <c r="H225" i="4" l="1" a="1"/>
  <c r="J225" i="4" l="1"/>
  <c r="H225" i="4"/>
  <c r="I225" i="4"/>
  <c r="K225" i="4" l="1" a="1"/>
  <c r="M225" i="4" l="1"/>
  <c r="K225" i="4"/>
  <c r="L225" i="4"/>
  <c r="N225" i="4" l="1" a="1"/>
  <c r="P225" i="4" l="1"/>
  <c r="N225" i="4"/>
  <c r="O225" i="4"/>
  <c r="B226" i="4" l="1" a="1"/>
  <c r="C226" i="4" l="1"/>
  <c r="C226" i="3" s="1"/>
  <c r="D226" i="4"/>
  <c r="D226" i="3" s="1"/>
  <c r="B226" i="4"/>
  <c r="B226" i="3" l="1"/>
  <c r="E226" i="4" a="1"/>
  <c r="F226" i="4" l="1"/>
  <c r="G226" i="4"/>
  <c r="E226" i="4"/>
  <c r="H226" i="4" l="1" a="1"/>
  <c r="I226" i="4" l="1"/>
  <c r="J226" i="4"/>
  <c r="H226" i="4"/>
  <c r="K226" i="4" l="1" a="1"/>
  <c r="L226" i="4" l="1"/>
  <c r="M226" i="4"/>
  <c r="K226" i="4"/>
  <c r="N226" i="4" l="1" a="1"/>
  <c r="O226" i="4" l="1"/>
  <c r="P226" i="4"/>
  <c r="N226" i="4"/>
  <c r="B227" i="4" s="1" a="1"/>
  <c r="D227" i="4" l="1"/>
  <c r="D227" i="3" s="1"/>
  <c r="B227" i="4"/>
  <c r="C227" i="4"/>
  <c r="C227" i="3" s="1"/>
  <c r="B227" i="3" l="1"/>
  <c r="E227" i="4" a="1"/>
  <c r="G227" i="4" l="1"/>
  <c r="E227" i="4"/>
  <c r="F227" i="4"/>
  <c r="H227" i="4" l="1" a="1"/>
  <c r="J227" i="4" l="1"/>
  <c r="H227" i="4"/>
  <c r="I227" i="4"/>
  <c r="K227" i="4" l="1" a="1"/>
  <c r="M227" i="4" l="1"/>
  <c r="K227" i="4"/>
  <c r="L227" i="4"/>
  <c r="N227" i="4" l="1" a="1"/>
  <c r="O227" i="4" l="1"/>
  <c r="N227" i="4"/>
  <c r="P227" i="4"/>
  <c r="B228" i="4" l="1" a="1"/>
  <c r="D228" i="4" l="1"/>
  <c r="D228" i="3" s="1"/>
  <c r="B228" i="4"/>
  <c r="C228" i="4"/>
  <c r="C228" i="3" s="1"/>
  <c r="B228" i="3" l="1"/>
  <c r="E228" i="4" a="1"/>
  <c r="F228" i="4" l="1"/>
  <c r="G228" i="4"/>
  <c r="E228" i="4"/>
  <c r="H228" i="4" l="1" a="1"/>
  <c r="I228" i="4" l="1"/>
  <c r="J228" i="4"/>
  <c r="H228" i="4"/>
  <c r="K228" i="4" l="1" a="1"/>
  <c r="L228" i="4" l="1"/>
  <c r="M228" i="4"/>
  <c r="K228" i="4"/>
  <c r="N228" i="4" l="1" a="1"/>
  <c r="O228" i="4" l="1"/>
  <c r="P228" i="4"/>
  <c r="N228" i="4"/>
  <c r="B229" i="4" s="1" a="1"/>
  <c r="D229" i="4" l="1"/>
  <c r="D229" i="3" s="1"/>
  <c r="B229" i="4"/>
  <c r="C229" i="4"/>
  <c r="C229" i="3" s="1"/>
  <c r="B229" i="3" l="1"/>
  <c r="E229" i="4" a="1"/>
  <c r="G229" i="4" l="1"/>
  <c r="E229" i="4"/>
  <c r="F229" i="4"/>
  <c r="H229" i="4" l="1" a="1"/>
  <c r="J229" i="4" l="1"/>
  <c r="H229" i="4"/>
  <c r="I229" i="4"/>
  <c r="K229" i="4" l="1" a="1"/>
  <c r="M229" i="4" l="1"/>
  <c r="K229" i="4"/>
  <c r="L229" i="4"/>
  <c r="N229" i="4" l="1" a="1"/>
  <c r="P229" i="4" l="1"/>
  <c r="N229" i="4"/>
  <c r="O229" i="4"/>
  <c r="B230" i="4" l="1" a="1"/>
  <c r="C230" i="4" l="1"/>
  <c r="C230" i="3" s="1"/>
  <c r="D230" i="4"/>
  <c r="D230" i="3" s="1"/>
  <c r="B230" i="4"/>
  <c r="B230" i="3" l="1"/>
  <c r="E230" i="4" a="1"/>
  <c r="F230" i="4" l="1"/>
  <c r="G230" i="4"/>
  <c r="E230" i="4"/>
  <c r="H230" i="4" l="1" a="1"/>
  <c r="I230" i="4" l="1"/>
  <c r="J230" i="4"/>
  <c r="H230" i="4"/>
  <c r="K230" i="4" l="1" a="1"/>
  <c r="L230" i="4" l="1"/>
  <c r="M230" i="4"/>
  <c r="K230" i="4"/>
  <c r="N230" i="4" l="1" a="1"/>
  <c r="O230" i="4" l="1"/>
  <c r="P230" i="4"/>
  <c r="N230" i="4"/>
  <c r="B231" i="4" s="1" a="1"/>
  <c r="D231" i="4" l="1"/>
  <c r="D231" i="3" s="1"/>
  <c r="B231" i="4"/>
  <c r="C231" i="4"/>
  <c r="C231" i="3" s="1"/>
  <c r="B231" i="3" l="1"/>
  <c r="E231" i="4" a="1"/>
  <c r="G231" i="4" l="1"/>
  <c r="E231" i="4"/>
  <c r="F231" i="4"/>
  <c r="H231" i="4" l="1" a="1"/>
  <c r="J231" i="4" l="1"/>
  <c r="H231" i="4"/>
  <c r="I231" i="4"/>
  <c r="K231" i="4" l="1" a="1"/>
  <c r="M231" i="4" l="1"/>
  <c r="K231" i="4"/>
  <c r="L231" i="4"/>
  <c r="N231" i="4" l="1" a="1"/>
  <c r="P231" i="4" l="1"/>
  <c r="N231" i="4"/>
  <c r="O231" i="4"/>
  <c r="B232" i="4" l="1" a="1"/>
  <c r="C232" i="4" l="1"/>
  <c r="C232" i="3" s="1"/>
  <c r="D232" i="4"/>
  <c r="D232" i="3" s="1"/>
  <c r="B232" i="4"/>
  <c r="B232" i="3" l="1"/>
  <c r="E232" i="4" a="1"/>
  <c r="F232" i="4" l="1"/>
  <c r="G232" i="4"/>
  <c r="E232" i="4"/>
  <c r="H232" i="4" l="1" a="1"/>
  <c r="I232" i="4" l="1"/>
  <c r="J232" i="4"/>
  <c r="H232" i="4"/>
  <c r="K232" i="4" l="1" a="1"/>
  <c r="L232" i="4" l="1"/>
  <c r="M232" i="4"/>
  <c r="K232" i="4"/>
  <c r="N232" i="4" l="1" a="1"/>
  <c r="O232" i="4" l="1"/>
  <c r="P232" i="4"/>
  <c r="N232" i="4"/>
  <c r="B233" i="4" s="1" a="1"/>
  <c r="D233" i="4" l="1"/>
  <c r="D233" i="3" s="1"/>
  <c r="B233" i="4"/>
  <c r="C233" i="4"/>
  <c r="C233" i="3" s="1"/>
  <c r="B233" i="3" l="1"/>
  <c r="E233" i="4" a="1"/>
  <c r="G233" i="4" l="1"/>
  <c r="E233" i="4"/>
  <c r="F233" i="4"/>
  <c r="H233" i="4" l="1" a="1"/>
  <c r="J233" i="4" l="1"/>
  <c r="H233" i="4"/>
  <c r="I233" i="4"/>
  <c r="K233" i="4" l="1" a="1"/>
  <c r="M233" i="4" l="1"/>
  <c r="K233" i="4"/>
  <c r="L233" i="4"/>
  <c r="N233" i="4" l="1" a="1"/>
  <c r="P233" i="4" l="1"/>
  <c r="N233" i="4"/>
  <c r="O233" i="4"/>
  <c r="B234" i="4" l="1" a="1"/>
  <c r="C234" i="4" l="1"/>
  <c r="C234" i="3" s="1"/>
  <c r="D234" i="4"/>
  <c r="D234" i="3" s="1"/>
  <c r="B234" i="4"/>
  <c r="B234" i="3" l="1"/>
  <c r="E234" i="4" a="1"/>
  <c r="F234" i="4" l="1"/>
  <c r="G234" i="4"/>
  <c r="E234" i="4"/>
  <c r="H234" i="4" l="1" a="1"/>
  <c r="I234" i="4" l="1"/>
  <c r="J234" i="4"/>
  <c r="H234" i="4"/>
  <c r="K234" i="4" l="1" a="1"/>
  <c r="L234" i="4" l="1"/>
  <c r="M234" i="4"/>
  <c r="K234" i="4"/>
  <c r="N234" i="4" l="1" a="1"/>
  <c r="O234" i="4" l="1"/>
  <c r="P234" i="4"/>
  <c r="N234" i="4"/>
  <c r="B235" i="4" s="1" a="1"/>
  <c r="D235" i="4" l="1"/>
  <c r="D235" i="3" s="1"/>
  <c r="B235" i="4"/>
  <c r="C235" i="4"/>
  <c r="C235" i="3" s="1"/>
  <c r="B235" i="3" l="1"/>
  <c r="E235" i="4" a="1"/>
  <c r="G235" i="4" l="1"/>
  <c r="E235" i="4"/>
  <c r="F235" i="4"/>
  <c r="H235" i="4" l="1" a="1"/>
  <c r="J235" i="4" l="1"/>
  <c r="H235" i="4"/>
  <c r="I235" i="4"/>
  <c r="K235" i="4" l="1" a="1"/>
  <c r="M235" i="4" l="1"/>
  <c r="K235" i="4"/>
  <c r="L235" i="4"/>
  <c r="N235" i="4" l="1" a="1"/>
  <c r="P235" i="4" l="1"/>
  <c r="N235" i="4"/>
  <c r="O235" i="4"/>
  <c r="B236" i="4" l="1" a="1"/>
  <c r="C236" i="4" l="1"/>
  <c r="C236" i="3" s="1"/>
  <c r="D236" i="4"/>
  <c r="D236" i="3" s="1"/>
  <c r="B236" i="4"/>
  <c r="B236" i="3" l="1"/>
  <c r="E236" i="4" a="1"/>
  <c r="F236" i="4" l="1"/>
  <c r="G236" i="4"/>
  <c r="E236" i="4"/>
  <c r="H236" i="4" l="1" a="1"/>
  <c r="I236" i="4" l="1"/>
  <c r="J236" i="4"/>
  <c r="H236" i="4"/>
  <c r="K236" i="4" l="1" a="1"/>
  <c r="L236" i="4" l="1"/>
  <c r="M236" i="4"/>
  <c r="K236" i="4"/>
  <c r="N236" i="4" l="1" a="1"/>
  <c r="O236" i="4" l="1"/>
  <c r="P236" i="4"/>
  <c r="N236" i="4"/>
  <c r="B237" i="4" s="1" a="1"/>
  <c r="D237" i="4" l="1"/>
  <c r="D237" i="3" s="1"/>
  <c r="B237" i="4"/>
  <c r="C237" i="4"/>
  <c r="C237" i="3" s="1"/>
  <c r="B237" i="3" l="1"/>
  <c r="E237" i="4" a="1"/>
  <c r="G237" i="4" l="1"/>
  <c r="E237" i="4"/>
  <c r="F237" i="4"/>
  <c r="H237" i="4" l="1" a="1"/>
  <c r="J237" i="4" l="1"/>
  <c r="H237" i="4"/>
  <c r="I237" i="4"/>
  <c r="K237" i="4" l="1" a="1"/>
  <c r="M237" i="4" l="1"/>
  <c r="K237" i="4"/>
  <c r="L237" i="4"/>
  <c r="N237" i="4" l="1" a="1"/>
  <c r="P237" i="4" l="1"/>
  <c r="N237" i="4"/>
  <c r="O237" i="4"/>
  <c r="B238" i="4" l="1" a="1"/>
  <c r="C238" i="4" l="1"/>
  <c r="C238" i="3" s="1"/>
  <c r="D238" i="4"/>
  <c r="D238" i="3" s="1"/>
  <c r="B238" i="4"/>
  <c r="B238" i="3" l="1"/>
  <c r="E238" i="4" a="1"/>
  <c r="F238" i="4" l="1"/>
  <c r="G238" i="4"/>
  <c r="E238" i="4"/>
  <c r="H238" i="4" l="1" a="1"/>
  <c r="I238" i="4" l="1"/>
  <c r="J238" i="4"/>
  <c r="H238" i="4"/>
  <c r="K238" i="4" l="1" a="1"/>
  <c r="L238" i="4" l="1"/>
  <c r="M238" i="4"/>
  <c r="K238" i="4"/>
  <c r="N238" i="4" l="1" a="1"/>
  <c r="O238" i="4" l="1"/>
  <c r="P238" i="4"/>
  <c r="N238" i="4"/>
  <c r="B239" i="4" s="1" a="1"/>
  <c r="D239" i="4" l="1"/>
  <c r="D239" i="3" s="1"/>
  <c r="B239" i="4"/>
  <c r="C239" i="4"/>
  <c r="C239" i="3" s="1"/>
  <c r="B239" i="3" l="1"/>
  <c r="E239" i="4" a="1"/>
  <c r="G239" i="4" l="1"/>
  <c r="E239" i="4"/>
  <c r="F239" i="4"/>
  <c r="H239" i="4" l="1" a="1"/>
  <c r="J239" i="4" l="1"/>
  <c r="H239" i="4"/>
  <c r="I239" i="4"/>
  <c r="K239" i="4" l="1" a="1"/>
  <c r="M239" i="4" l="1"/>
  <c r="K239" i="4"/>
  <c r="L239" i="4"/>
  <c r="N239" i="4" l="1" a="1"/>
  <c r="P239" i="4" l="1"/>
  <c r="N239" i="4"/>
  <c r="O239" i="4"/>
  <c r="B240" i="4" l="1" a="1"/>
  <c r="C240" i="4" l="1"/>
  <c r="C240" i="3" s="1"/>
  <c r="D240" i="4"/>
  <c r="D240" i="3" s="1"/>
  <c r="B240" i="4"/>
  <c r="B240" i="3" l="1"/>
  <c r="E240" i="4" a="1"/>
  <c r="F240" i="4" l="1"/>
  <c r="G240" i="4"/>
  <c r="E240" i="4"/>
  <c r="H240" i="4" l="1" a="1"/>
  <c r="I240" i="4" l="1"/>
  <c r="J240" i="4"/>
  <c r="H240" i="4"/>
  <c r="K240" i="4" l="1" a="1"/>
  <c r="L240" i="4" l="1"/>
  <c r="M240" i="4"/>
  <c r="K240" i="4"/>
  <c r="N240" i="4" l="1" a="1"/>
  <c r="O240" i="4" l="1"/>
  <c r="P240" i="4"/>
  <c r="N240" i="4"/>
  <c r="B241" i="4" s="1" a="1"/>
  <c r="D241" i="4" l="1"/>
  <c r="D241" i="3" s="1"/>
  <c r="B241" i="4"/>
  <c r="C241" i="4"/>
  <c r="C241" i="3" s="1"/>
  <c r="B241" i="3" l="1"/>
  <c r="E241" i="4" a="1"/>
  <c r="G241" i="4" l="1"/>
  <c r="E241" i="4"/>
  <c r="F241" i="4"/>
  <c r="H241" i="4" l="1" a="1"/>
  <c r="J241" i="4" l="1"/>
  <c r="H241" i="4"/>
  <c r="I241" i="4"/>
  <c r="K241" i="4" l="1" a="1"/>
  <c r="M241" i="4" l="1"/>
  <c r="K241" i="4"/>
  <c r="L241" i="4"/>
  <c r="N241" i="4" l="1" a="1"/>
  <c r="P241" i="4" l="1"/>
  <c r="N241" i="4"/>
  <c r="O241" i="4"/>
  <c r="B242" i="4" l="1" a="1"/>
  <c r="C242" i="4" l="1"/>
  <c r="C242" i="3" s="1"/>
  <c r="D242" i="4"/>
  <c r="D242" i="3" s="1"/>
  <c r="B242" i="4"/>
  <c r="B242" i="3" l="1"/>
  <c r="E242" i="4" a="1"/>
  <c r="F242" i="4" l="1"/>
  <c r="G242" i="4"/>
  <c r="E242" i="4"/>
  <c r="H242" i="4" l="1" a="1"/>
  <c r="I242" i="4" l="1"/>
  <c r="J242" i="4"/>
  <c r="H242" i="4"/>
  <c r="K242" i="4" l="1" a="1"/>
  <c r="L242" i="4" l="1"/>
  <c r="M242" i="4"/>
  <c r="K242" i="4"/>
  <c r="N242" i="4" l="1" a="1"/>
  <c r="O242" i="4" l="1"/>
  <c r="P242" i="4"/>
  <c r="N242" i="4"/>
  <c r="B243" i="4" s="1" a="1"/>
  <c r="D243" i="4" l="1"/>
  <c r="D243" i="3" s="1"/>
  <c r="B243" i="4"/>
  <c r="C243" i="4"/>
  <c r="C243" i="3" s="1"/>
  <c r="B243" i="3" l="1"/>
  <c r="E243" i="4" a="1"/>
  <c r="G243" i="4" l="1"/>
  <c r="E243" i="4"/>
  <c r="F243" i="4"/>
  <c r="H243" i="4" l="1" a="1"/>
  <c r="J243" i="4" l="1"/>
  <c r="H243" i="4"/>
  <c r="I243" i="4"/>
  <c r="K243" i="4" l="1" a="1"/>
  <c r="M243" i="4" l="1"/>
  <c r="K243" i="4"/>
  <c r="L243" i="4"/>
  <c r="N243" i="4" l="1" a="1"/>
  <c r="P243" i="4" l="1"/>
  <c r="N243" i="4"/>
  <c r="O243" i="4"/>
  <c r="B244" i="4" l="1" a="1"/>
  <c r="C244" i="4" l="1"/>
  <c r="C244" i="3" s="1"/>
  <c r="D244" i="4"/>
  <c r="D244" i="3" s="1"/>
  <c r="B244" i="4"/>
  <c r="B244" i="3" l="1"/>
  <c r="E244" i="4" a="1"/>
  <c r="F244" i="4" l="1"/>
  <c r="G244" i="4"/>
  <c r="E244" i="4"/>
  <c r="H244" i="4" l="1" a="1"/>
  <c r="I244" i="4" l="1"/>
  <c r="J244" i="4"/>
  <c r="H244" i="4"/>
  <c r="K244" i="4" l="1" a="1"/>
  <c r="L244" i="4" l="1"/>
  <c r="M244" i="4"/>
  <c r="K244" i="4"/>
  <c r="N244" i="4" l="1" a="1"/>
  <c r="O244" i="4" l="1"/>
  <c r="P244" i="4"/>
  <c r="N244" i="4"/>
  <c r="B245" i="4" s="1" a="1"/>
  <c r="D245" i="4" l="1"/>
  <c r="D245" i="3" s="1"/>
  <c r="B245" i="4"/>
  <c r="C245" i="4"/>
  <c r="C245" i="3" s="1"/>
  <c r="B245" i="3" l="1"/>
  <c r="E245" i="4" a="1"/>
  <c r="G245" i="4" l="1"/>
  <c r="E245" i="4"/>
  <c r="F245" i="4"/>
  <c r="H245" i="4" l="1" a="1"/>
  <c r="J245" i="4" l="1"/>
  <c r="H245" i="4"/>
  <c r="I245" i="4"/>
  <c r="K245" i="4" l="1" a="1"/>
  <c r="M245" i="4" l="1"/>
  <c r="K245" i="4"/>
  <c r="L245" i="4"/>
  <c r="N245" i="4" l="1" a="1"/>
  <c r="P245" i="4" l="1"/>
  <c r="N245" i="4"/>
  <c r="O245" i="4"/>
  <c r="B246" i="4" l="1" a="1"/>
  <c r="C246" i="4" l="1"/>
  <c r="C246" i="3" s="1"/>
  <c r="D246" i="4"/>
  <c r="D246" i="3" s="1"/>
  <c r="B246" i="4"/>
  <c r="B246" i="3" l="1"/>
  <c r="E246" i="4" a="1"/>
  <c r="F246" i="4" l="1"/>
  <c r="G246" i="4"/>
  <c r="E246" i="4"/>
  <c r="H246" i="4" l="1" a="1"/>
  <c r="I246" i="4" l="1"/>
  <c r="J246" i="4"/>
  <c r="H246" i="4"/>
  <c r="K246" i="4" l="1" a="1"/>
  <c r="L246" i="4" l="1"/>
  <c r="M246" i="4"/>
  <c r="K246" i="4"/>
  <c r="N246" i="4" l="1" a="1"/>
  <c r="O246" i="4" l="1"/>
  <c r="P246" i="4"/>
  <c r="N246" i="4"/>
  <c r="B247" i="4" s="1" a="1"/>
  <c r="D247" i="4" l="1"/>
  <c r="D247" i="3" s="1"/>
  <c r="B247" i="4"/>
  <c r="C247" i="4"/>
  <c r="C247" i="3" s="1"/>
  <c r="B247" i="3" l="1"/>
  <c r="E247" i="4" a="1"/>
  <c r="G247" i="4" l="1"/>
  <c r="E247" i="4"/>
  <c r="F247" i="4"/>
  <c r="H247" i="4" l="1" a="1"/>
  <c r="J247" i="4" l="1"/>
  <c r="H247" i="4"/>
  <c r="I247" i="4"/>
  <c r="K247" i="4" l="1" a="1"/>
  <c r="M247" i="4" l="1"/>
  <c r="K247" i="4"/>
  <c r="L247" i="4"/>
  <c r="N247" i="4" l="1" a="1"/>
  <c r="P247" i="4" l="1"/>
  <c r="N247" i="4"/>
  <c r="O247" i="4"/>
  <c r="B248" i="4" l="1" a="1"/>
  <c r="C248" i="4" l="1"/>
  <c r="C248" i="3" s="1"/>
  <c r="D248" i="4"/>
  <c r="D248" i="3" s="1"/>
  <c r="B248" i="4"/>
  <c r="B248" i="3" l="1"/>
  <c r="E248" i="4" a="1"/>
  <c r="F248" i="4" l="1"/>
  <c r="G248" i="4"/>
  <c r="E248" i="4"/>
  <c r="H248" i="4" l="1" a="1"/>
  <c r="I248" i="4" l="1"/>
  <c r="J248" i="4"/>
  <c r="H248" i="4"/>
  <c r="K248" i="4" l="1" a="1"/>
  <c r="L248" i="4" l="1"/>
  <c r="M248" i="4"/>
  <c r="K248" i="4"/>
  <c r="N248" i="4" l="1" a="1"/>
  <c r="O248" i="4" l="1"/>
  <c r="P248" i="4"/>
  <c r="N248" i="4"/>
  <c r="B249" i="4" s="1" a="1"/>
  <c r="D249" i="4" l="1"/>
  <c r="D249" i="3" s="1"/>
  <c r="B249" i="4"/>
  <c r="C249" i="4"/>
  <c r="C249" i="3" s="1"/>
  <c r="B249" i="3" l="1"/>
  <c r="E249" i="4" a="1"/>
  <c r="G249" i="4" l="1"/>
  <c r="E249" i="4"/>
  <c r="F249" i="4"/>
  <c r="H249" i="4" l="1" a="1"/>
  <c r="J249" i="4" l="1"/>
  <c r="H249" i="4"/>
  <c r="I249" i="4"/>
  <c r="K249" i="4" l="1" a="1"/>
  <c r="M249" i="4" l="1"/>
  <c r="K249" i="4"/>
  <c r="L249" i="4"/>
  <c r="N249" i="4" l="1" a="1"/>
  <c r="P249" i="4" l="1"/>
  <c r="N249" i="4"/>
  <c r="O249" i="4"/>
  <c r="B250" i="4" l="1" a="1"/>
  <c r="C250" i="4" l="1"/>
  <c r="C250" i="3" s="1"/>
  <c r="D250" i="4"/>
  <c r="D250" i="3" s="1"/>
  <c r="B250" i="4"/>
  <c r="B250" i="3" l="1"/>
  <c r="E250" i="4" a="1"/>
  <c r="F250" i="4" l="1"/>
  <c r="G250" i="4"/>
  <c r="E250" i="4"/>
  <c r="H250" i="4" l="1" a="1"/>
  <c r="I250" i="4" l="1"/>
  <c r="J250" i="4"/>
  <c r="H250" i="4"/>
  <c r="K250" i="4" l="1" a="1"/>
  <c r="L250" i="4" l="1"/>
  <c r="M250" i="4"/>
  <c r="K250" i="4"/>
  <c r="N250" i="4" l="1" a="1"/>
  <c r="O250" i="4" l="1"/>
  <c r="P250" i="4"/>
  <c r="N250" i="4"/>
  <c r="B251" i="4" s="1" a="1"/>
  <c r="D251" i="4" l="1"/>
  <c r="D251" i="3" s="1"/>
  <c r="B251" i="4"/>
  <c r="C251" i="4"/>
  <c r="C251" i="3" s="1"/>
  <c r="B251" i="3" l="1"/>
  <c r="E251" i="4" a="1"/>
  <c r="G251" i="4" l="1"/>
  <c r="E251" i="4"/>
  <c r="F251" i="4"/>
  <c r="H251" i="4" l="1" a="1"/>
  <c r="J251" i="4" l="1"/>
  <c r="H251" i="4"/>
  <c r="I251" i="4"/>
  <c r="K251" i="4" l="1" a="1"/>
  <c r="M251" i="4" l="1"/>
  <c r="K251" i="4"/>
  <c r="L251" i="4"/>
  <c r="N251" i="4" l="1" a="1"/>
  <c r="P251" i="4" l="1"/>
  <c r="N251" i="4"/>
  <c r="O251" i="4"/>
  <c r="B252" i="4" l="1" a="1"/>
  <c r="C252" i="4" l="1"/>
  <c r="C252" i="3" s="1"/>
  <c r="D252" i="4"/>
  <c r="D252" i="3" s="1"/>
  <c r="B252" i="4"/>
  <c r="B252" i="3" l="1"/>
  <c r="E252" i="4" a="1"/>
  <c r="F252" i="4" l="1"/>
  <c r="G252" i="4"/>
  <c r="E252" i="4"/>
  <c r="H252" i="4" l="1" a="1"/>
  <c r="I252" i="4" l="1"/>
  <c r="J252" i="4"/>
  <c r="H252" i="4"/>
  <c r="K252" i="4" l="1" a="1"/>
  <c r="L252" i="4" l="1"/>
  <c r="M252" i="4"/>
  <c r="K252" i="4"/>
  <c r="N252" i="4" l="1" a="1"/>
  <c r="O252" i="4" l="1"/>
  <c r="P252" i="4"/>
  <c r="N252" i="4"/>
  <c r="B253" i="4" s="1" a="1"/>
  <c r="D253" i="4" l="1"/>
  <c r="D253" i="3" s="1"/>
  <c r="B253" i="4"/>
  <c r="C253" i="4"/>
  <c r="C253" i="3" s="1"/>
  <c r="B253" i="3" l="1"/>
  <c r="E253" i="4" a="1"/>
  <c r="G253" i="4" l="1"/>
  <c r="E253" i="4"/>
  <c r="F253" i="4"/>
  <c r="H253" i="4" l="1" a="1"/>
  <c r="J253" i="4" l="1"/>
  <c r="H253" i="4"/>
  <c r="I253" i="4"/>
  <c r="K253" i="4" l="1" a="1"/>
  <c r="M253" i="4" l="1"/>
  <c r="K253" i="4"/>
  <c r="L253" i="4"/>
  <c r="N253" i="4" l="1" a="1"/>
  <c r="P253" i="4" l="1"/>
  <c r="N253" i="4"/>
  <c r="O253" i="4"/>
  <c r="B254" i="4" l="1" a="1"/>
  <c r="C254" i="4" l="1"/>
  <c r="C254" i="3" s="1"/>
  <c r="D254" i="4"/>
  <c r="D254" i="3" s="1"/>
  <c r="B254" i="4"/>
  <c r="B254" i="3" l="1"/>
  <c r="E254" i="4" a="1"/>
  <c r="F254" i="4" l="1"/>
  <c r="G254" i="4"/>
  <c r="E254" i="4"/>
  <c r="H254" i="4" l="1" a="1"/>
  <c r="I254" i="4" l="1"/>
  <c r="J254" i="4"/>
  <c r="H254" i="4"/>
  <c r="K254" i="4" l="1" a="1"/>
  <c r="L254" i="4" l="1"/>
  <c r="M254" i="4"/>
  <c r="K254" i="4"/>
  <c r="N254" i="4" l="1" a="1"/>
  <c r="O254" i="4" l="1"/>
  <c r="P254" i="4"/>
  <c r="N254" i="4"/>
  <c r="B255" i="4" s="1" a="1"/>
  <c r="D255" i="4" l="1"/>
  <c r="D255" i="3" s="1"/>
  <c r="B255" i="4"/>
  <c r="C255" i="4"/>
  <c r="C255" i="3" s="1"/>
  <c r="B255" i="3" l="1"/>
  <c r="E255" i="4" a="1"/>
  <c r="G255" i="4" l="1"/>
  <c r="E255" i="4"/>
  <c r="F255" i="4"/>
  <c r="H255" i="4" l="1" a="1"/>
  <c r="J255" i="4" l="1"/>
  <c r="H255" i="4"/>
  <c r="I255" i="4"/>
  <c r="K255" i="4" l="1" a="1"/>
  <c r="M255" i="4" l="1"/>
  <c r="K255" i="4"/>
  <c r="L255" i="4"/>
  <c r="N255" i="4" l="1" a="1"/>
  <c r="P255" i="4" l="1"/>
  <c r="N255" i="4"/>
  <c r="O255" i="4"/>
  <c r="B256" i="4" l="1" a="1"/>
  <c r="C256" i="4" l="1"/>
  <c r="C256" i="3" s="1"/>
  <c r="D256" i="4"/>
  <c r="D256" i="3" s="1"/>
  <c r="B256" i="4"/>
  <c r="B256" i="3" l="1"/>
  <c r="E256" i="4" a="1"/>
  <c r="F256" i="4" l="1"/>
  <c r="G256" i="4"/>
  <c r="E256" i="4"/>
  <c r="H256" i="4" l="1" a="1"/>
  <c r="I256" i="4" l="1"/>
  <c r="J256" i="4"/>
  <c r="H256" i="4"/>
  <c r="K256" i="4" l="1" a="1"/>
  <c r="L256" i="4" l="1"/>
  <c r="M256" i="4"/>
  <c r="K256" i="4"/>
  <c r="N256" i="4" l="1" a="1"/>
  <c r="O256" i="4" l="1"/>
  <c r="P256" i="4"/>
  <c r="N256" i="4"/>
  <c r="B257" i="4" s="1" a="1"/>
  <c r="D257" i="4" l="1"/>
  <c r="D257" i="3" s="1"/>
  <c r="B257" i="4"/>
  <c r="C257" i="4"/>
  <c r="C257" i="3" s="1"/>
  <c r="B257" i="3" l="1"/>
  <c r="E257" i="4" a="1"/>
  <c r="G257" i="4" l="1"/>
  <c r="E257" i="4"/>
  <c r="F257" i="4"/>
  <c r="H257" i="4" l="1" a="1"/>
  <c r="J257" i="4" l="1"/>
  <c r="H257" i="4"/>
  <c r="I257" i="4"/>
  <c r="K257" i="4" l="1" a="1"/>
  <c r="M257" i="4" l="1"/>
  <c r="K257" i="4"/>
  <c r="L257" i="4"/>
  <c r="N257" i="4" l="1" a="1"/>
  <c r="P257" i="4" l="1"/>
  <c r="N257" i="4"/>
  <c r="O257" i="4"/>
  <c r="B258" i="4" l="1" a="1"/>
  <c r="C258" i="4" l="1"/>
  <c r="C258" i="3" s="1"/>
  <c r="D258" i="4"/>
  <c r="D258" i="3" s="1"/>
  <c r="B258" i="4"/>
  <c r="B258" i="3" l="1"/>
  <c r="E258" i="4" a="1"/>
  <c r="F258" i="4" l="1"/>
  <c r="G258" i="4"/>
  <c r="E258" i="4"/>
  <c r="H258" i="4" l="1" a="1"/>
  <c r="I258" i="4" l="1"/>
  <c r="J258" i="4"/>
  <c r="H258" i="4"/>
  <c r="K258" i="4" l="1" a="1"/>
  <c r="L258" i="4" l="1"/>
  <c r="M258" i="4"/>
  <c r="K258" i="4"/>
  <c r="N258" i="4" l="1" a="1"/>
  <c r="O258" i="4" l="1"/>
  <c r="P258" i="4"/>
  <c r="N258" i="4"/>
  <c r="B259" i="4" s="1" a="1"/>
  <c r="D259" i="4" l="1"/>
  <c r="D259" i="3" s="1"/>
  <c r="B259" i="4"/>
  <c r="C259" i="4"/>
  <c r="C259" i="3" s="1"/>
  <c r="B259" i="3" l="1"/>
  <c r="E259" i="4" a="1"/>
  <c r="G259" i="4" l="1"/>
  <c r="E259" i="4"/>
  <c r="F259" i="4"/>
  <c r="H259" i="4" l="1" a="1"/>
  <c r="J259" i="4" l="1"/>
  <c r="H259" i="4"/>
  <c r="I259" i="4"/>
  <c r="K259" i="4" l="1" a="1"/>
  <c r="M259" i="4" l="1"/>
  <c r="K259" i="4"/>
  <c r="L259" i="4"/>
  <c r="N259" i="4" l="1" a="1"/>
  <c r="P259" i="4" l="1"/>
  <c r="N259" i="4"/>
  <c r="O259" i="4"/>
  <c r="B260" i="4" l="1" a="1"/>
  <c r="C260" i="4" l="1"/>
  <c r="C260" i="3" s="1"/>
  <c r="D260" i="4"/>
  <c r="D260" i="3" s="1"/>
  <c r="B260" i="4"/>
  <c r="B260" i="3" l="1"/>
  <c r="E260" i="4" a="1"/>
  <c r="F260" i="4" l="1"/>
  <c r="G260" i="4"/>
  <c r="E260" i="4"/>
  <c r="H260" i="4" l="1" a="1"/>
  <c r="I260" i="4" l="1"/>
  <c r="J260" i="4"/>
  <c r="H260" i="4"/>
  <c r="K260" i="4" l="1" a="1"/>
  <c r="L260" i="4" l="1"/>
  <c r="M260" i="4"/>
  <c r="K260" i="4"/>
  <c r="N260" i="4" l="1" a="1"/>
  <c r="O260" i="4" l="1"/>
  <c r="P260" i="4"/>
  <c r="N260" i="4"/>
  <c r="B261" i="4" s="1" a="1"/>
  <c r="D261" i="4" l="1"/>
  <c r="D261" i="3" s="1"/>
  <c r="B261" i="4"/>
  <c r="C261" i="4"/>
  <c r="C261" i="3" s="1"/>
  <c r="B261" i="3" l="1"/>
  <c r="E261" i="4" a="1"/>
  <c r="G261" i="4" l="1"/>
  <c r="E261" i="4"/>
  <c r="F261" i="4"/>
  <c r="H261" i="4" l="1" a="1"/>
  <c r="J261" i="4" l="1"/>
  <c r="H261" i="4"/>
  <c r="I261" i="4"/>
  <c r="K261" i="4" l="1" a="1"/>
  <c r="M261" i="4" l="1"/>
  <c r="K261" i="4"/>
  <c r="L261" i="4"/>
  <c r="N261" i="4" l="1" a="1"/>
  <c r="P261" i="4" l="1"/>
  <c r="N261" i="4"/>
  <c r="O261" i="4"/>
  <c r="B262" i="4" l="1" a="1"/>
  <c r="C262" i="4" l="1"/>
  <c r="C262" i="3" s="1"/>
  <c r="D262" i="4"/>
  <c r="D262" i="3" s="1"/>
  <c r="B262" i="4"/>
  <c r="B262" i="3" l="1"/>
  <c r="E262" i="4" a="1"/>
  <c r="F262" i="4" l="1"/>
  <c r="G262" i="4"/>
  <c r="E262" i="4"/>
  <c r="H262" i="4" l="1" a="1"/>
  <c r="I262" i="4" l="1"/>
  <c r="J262" i="4"/>
  <c r="H262" i="4"/>
  <c r="K262" i="4" l="1" a="1"/>
  <c r="L262" i="4" l="1"/>
  <c r="M262" i="4"/>
  <c r="K262" i="4"/>
  <c r="N262" i="4" l="1" a="1"/>
  <c r="O262" i="4" l="1"/>
  <c r="P262" i="4"/>
  <c r="N262" i="4"/>
  <c r="B263" i="4" s="1" a="1"/>
  <c r="D263" i="4" l="1"/>
  <c r="D263" i="3" s="1"/>
  <c r="B263" i="4"/>
  <c r="C263" i="4"/>
  <c r="C263" i="3" s="1"/>
  <c r="B263" i="3" l="1"/>
  <c r="E263" i="4" a="1"/>
  <c r="G263" i="4" l="1"/>
  <c r="E263" i="4"/>
  <c r="F263" i="4"/>
  <c r="H263" i="4" l="1" a="1"/>
  <c r="J263" i="4" l="1"/>
  <c r="H263" i="4"/>
  <c r="I263" i="4"/>
  <c r="K263" i="4" l="1" a="1"/>
  <c r="M263" i="4" l="1"/>
  <c r="K263" i="4"/>
  <c r="L263" i="4"/>
  <c r="N263" i="4" l="1" a="1"/>
  <c r="P263" i="4" l="1"/>
  <c r="N263" i="4"/>
  <c r="O263" i="4"/>
  <c r="B264" i="4" l="1" a="1"/>
  <c r="C264" i="4" l="1"/>
  <c r="C264" i="3" s="1"/>
  <c r="D264" i="4"/>
  <c r="D264" i="3" s="1"/>
  <c r="B264" i="4"/>
  <c r="B264" i="3" l="1"/>
  <c r="E264" i="4" a="1"/>
  <c r="F264" i="4" l="1"/>
  <c r="G264" i="4"/>
  <c r="E264" i="4"/>
  <c r="H264" i="4" l="1" a="1"/>
  <c r="I264" i="4" l="1"/>
  <c r="J264" i="4"/>
  <c r="H264" i="4"/>
  <c r="K264" i="4" l="1" a="1"/>
  <c r="L264" i="4" l="1"/>
  <c r="M264" i="4"/>
  <c r="K264" i="4"/>
  <c r="N264" i="4" l="1" a="1"/>
  <c r="O264" i="4" l="1"/>
  <c r="P264" i="4"/>
  <c r="N264" i="4"/>
  <c r="B265" i="4" s="1" a="1"/>
  <c r="D265" i="4" l="1"/>
  <c r="D265" i="3" s="1"/>
  <c r="B265" i="4"/>
  <c r="C265" i="4"/>
  <c r="C265" i="3" s="1"/>
  <c r="B265" i="3" l="1"/>
  <c r="E265" i="4" a="1"/>
  <c r="G265" i="4" l="1"/>
  <c r="E265" i="4"/>
  <c r="F265" i="4"/>
  <c r="H265" i="4" l="1" a="1"/>
  <c r="J265" i="4" l="1"/>
  <c r="H265" i="4"/>
  <c r="I265" i="4"/>
  <c r="K265" i="4" l="1" a="1"/>
  <c r="M265" i="4" l="1"/>
  <c r="K265" i="4"/>
  <c r="L265" i="4"/>
  <c r="N265" i="4" l="1" a="1"/>
  <c r="P265" i="4" l="1"/>
  <c r="N265" i="4"/>
  <c r="O265" i="4"/>
  <c r="B266" i="4" l="1" a="1"/>
  <c r="C266" i="4" l="1"/>
  <c r="C266" i="3" s="1"/>
  <c r="D266" i="4"/>
  <c r="D266" i="3" s="1"/>
  <c r="B266" i="4"/>
  <c r="B266" i="3" l="1"/>
  <c r="E266" i="4" a="1"/>
  <c r="F266" i="4" l="1"/>
  <c r="G266" i="4"/>
  <c r="E266" i="4"/>
  <c r="H266" i="4" l="1" a="1"/>
  <c r="I266" i="4" l="1"/>
  <c r="J266" i="4"/>
  <c r="H266" i="4"/>
  <c r="K266" i="4" l="1" a="1"/>
  <c r="L266" i="4" l="1"/>
  <c r="M266" i="4"/>
  <c r="K266" i="4"/>
  <c r="N266" i="4" l="1" a="1"/>
  <c r="O266" i="4" l="1"/>
  <c r="P266" i="4"/>
  <c r="N266" i="4"/>
  <c r="B267" i="4" s="1" a="1"/>
  <c r="D267" i="4" l="1"/>
  <c r="D267" i="3" s="1"/>
  <c r="B267" i="4"/>
  <c r="C267" i="4"/>
  <c r="C267" i="3" s="1"/>
  <c r="B267" i="3" l="1"/>
  <c r="E267" i="4" a="1"/>
  <c r="G267" i="4" l="1"/>
  <c r="E267" i="4"/>
  <c r="F267" i="4"/>
  <c r="H267" i="4" l="1" a="1"/>
  <c r="J267" i="4" l="1"/>
  <c r="H267" i="4"/>
  <c r="I267" i="4"/>
  <c r="K267" i="4" l="1" a="1"/>
  <c r="M267" i="4" l="1"/>
  <c r="K267" i="4"/>
  <c r="L267" i="4"/>
  <c r="N267" i="4" l="1" a="1"/>
  <c r="P267" i="4" l="1"/>
  <c r="N267" i="4"/>
  <c r="O267" i="4"/>
  <c r="B268" i="4" l="1" a="1"/>
  <c r="C268" i="4" l="1"/>
  <c r="C268" i="3" s="1"/>
  <c r="D268" i="4"/>
  <c r="D268" i="3" s="1"/>
  <c r="B268" i="4"/>
  <c r="B268" i="3" l="1"/>
  <c r="E268" i="4" a="1"/>
  <c r="F268" i="4" l="1"/>
  <c r="G268" i="4"/>
  <c r="E268" i="4"/>
  <c r="H268" i="4" l="1" a="1"/>
  <c r="I268" i="4" l="1"/>
  <c r="J268" i="4"/>
  <c r="H268" i="4"/>
  <c r="K268" i="4" l="1" a="1"/>
  <c r="L268" i="4" l="1"/>
  <c r="M268" i="4"/>
  <c r="K268" i="4"/>
  <c r="N268" i="4" l="1" a="1"/>
  <c r="O268" i="4" l="1"/>
  <c r="P268" i="4"/>
  <c r="N268" i="4"/>
  <c r="B269" i="4" s="1" a="1"/>
  <c r="D269" i="4" l="1"/>
  <c r="D269" i="3" s="1"/>
  <c r="B269" i="4"/>
  <c r="C269" i="4"/>
  <c r="C269" i="3" s="1"/>
  <c r="B269" i="3" l="1"/>
  <c r="E269" i="4" a="1"/>
  <c r="G269" i="4" l="1"/>
  <c r="E269" i="4"/>
  <c r="F269" i="4"/>
  <c r="H269" i="4" l="1" a="1"/>
  <c r="J269" i="4" l="1"/>
  <c r="H269" i="4"/>
  <c r="I269" i="4"/>
  <c r="K269" i="4" l="1" a="1"/>
  <c r="M269" i="4" l="1"/>
  <c r="K269" i="4"/>
  <c r="L269" i="4"/>
  <c r="N269" i="4" l="1" a="1"/>
  <c r="P269" i="4" l="1"/>
  <c r="N269" i="4"/>
  <c r="O269" i="4"/>
  <c r="B270" i="4" l="1" a="1"/>
  <c r="C270" i="4" l="1"/>
  <c r="C270" i="3" s="1"/>
  <c r="D270" i="4"/>
  <c r="D270" i="3" s="1"/>
  <c r="B270" i="4"/>
  <c r="B270" i="3" l="1"/>
  <c r="E270" i="4" a="1"/>
  <c r="F270" i="4" l="1"/>
  <c r="G270" i="4"/>
  <c r="E270" i="4"/>
  <c r="H270" i="4" l="1" a="1"/>
  <c r="I270" i="4" l="1"/>
  <c r="J270" i="4"/>
  <c r="H270" i="4"/>
  <c r="K270" i="4" l="1" a="1"/>
  <c r="L270" i="4" l="1"/>
  <c r="M270" i="4"/>
  <c r="K270" i="4"/>
  <c r="N270" i="4" l="1" a="1"/>
  <c r="O270" i="4" l="1"/>
  <c r="P270" i="4"/>
  <c r="N270" i="4"/>
  <c r="B271" i="4" s="1" a="1"/>
  <c r="D271" i="4" l="1"/>
  <c r="D271" i="3" s="1"/>
  <c r="B271" i="4"/>
  <c r="C271" i="4"/>
  <c r="C271" i="3" s="1"/>
  <c r="B271" i="3" l="1"/>
  <c r="E271" i="4" a="1"/>
  <c r="G271" i="4" l="1"/>
  <c r="E271" i="4"/>
  <c r="F271" i="4"/>
  <c r="H271" i="4" l="1" a="1"/>
  <c r="J271" i="4" l="1"/>
  <c r="H271" i="4"/>
  <c r="I271" i="4"/>
  <c r="K271" i="4" l="1" a="1"/>
  <c r="M271" i="4" l="1"/>
  <c r="K271" i="4"/>
  <c r="L271" i="4"/>
  <c r="N271" i="4" l="1" a="1"/>
  <c r="P271" i="4" l="1"/>
  <c r="N271" i="4"/>
  <c r="O271" i="4"/>
  <c r="B272" i="4" l="1" a="1"/>
  <c r="C272" i="4" l="1"/>
  <c r="C272" i="3" s="1"/>
  <c r="D272" i="4"/>
  <c r="D272" i="3" s="1"/>
  <c r="B272" i="4"/>
  <c r="B272" i="3" l="1"/>
  <c r="E272" i="4" a="1"/>
  <c r="F272" i="4" l="1"/>
  <c r="G272" i="4"/>
  <c r="E272" i="4"/>
  <c r="H272" i="4" l="1" a="1"/>
  <c r="I272" i="4" l="1"/>
  <c r="J272" i="4"/>
  <c r="H272" i="4"/>
  <c r="K272" i="4" l="1" a="1"/>
  <c r="L272" i="4" l="1"/>
  <c r="M272" i="4"/>
  <c r="K272" i="4"/>
  <c r="N272" i="4" l="1" a="1"/>
  <c r="O272" i="4" l="1"/>
  <c r="P272" i="4"/>
  <c r="N272" i="4"/>
  <c r="B273" i="4" s="1" a="1"/>
  <c r="D273" i="4" l="1"/>
  <c r="D273" i="3" s="1"/>
  <c r="B273" i="4"/>
  <c r="C273" i="4"/>
  <c r="C273" i="3" s="1"/>
  <c r="B273" i="3" l="1"/>
  <c r="E273" i="4" a="1"/>
  <c r="G273" i="4" l="1"/>
  <c r="E273" i="4"/>
  <c r="F273" i="4"/>
  <c r="H273" i="4" l="1" a="1"/>
  <c r="J273" i="4" l="1"/>
  <c r="H273" i="4"/>
  <c r="I273" i="4"/>
  <c r="K273" i="4" l="1" a="1"/>
  <c r="M273" i="4" l="1"/>
  <c r="K273" i="4"/>
  <c r="L273" i="4"/>
  <c r="N273" i="4" l="1" a="1"/>
  <c r="P273" i="4" l="1"/>
  <c r="N273" i="4"/>
  <c r="O273" i="4"/>
  <c r="B274" i="4" l="1" a="1"/>
  <c r="C274" i="4" l="1"/>
  <c r="C274" i="3" s="1"/>
  <c r="D274" i="4"/>
  <c r="D274" i="3" s="1"/>
  <c r="B274" i="4"/>
  <c r="B274" i="3" l="1"/>
  <c r="E274" i="4" a="1"/>
  <c r="F274" i="4" l="1"/>
  <c r="G274" i="4"/>
  <c r="E274" i="4"/>
  <c r="H274" i="4" l="1" a="1"/>
  <c r="I274" i="4" l="1"/>
  <c r="J274" i="4"/>
  <c r="H274" i="4"/>
  <c r="K274" i="4" l="1" a="1"/>
  <c r="L274" i="4" l="1"/>
  <c r="M274" i="4"/>
  <c r="K274" i="4"/>
  <c r="N274" i="4" l="1" a="1"/>
  <c r="O274" i="4" l="1"/>
  <c r="P274" i="4"/>
  <c r="N274" i="4"/>
  <c r="B275" i="4" s="1" a="1"/>
  <c r="D275" i="4" l="1"/>
  <c r="D275" i="3" s="1"/>
  <c r="B275" i="4"/>
  <c r="C275" i="4"/>
  <c r="C275" i="3" s="1"/>
  <c r="B275" i="3" l="1"/>
  <c r="E275" i="4" a="1"/>
  <c r="G275" i="4" l="1"/>
  <c r="E275" i="4"/>
  <c r="F275" i="4"/>
  <c r="H275" i="4" l="1" a="1"/>
  <c r="J275" i="4" l="1"/>
  <c r="H275" i="4"/>
  <c r="I275" i="4"/>
  <c r="K275" i="4" l="1" a="1"/>
  <c r="M275" i="4" l="1"/>
  <c r="K275" i="4"/>
  <c r="L275" i="4"/>
  <c r="N275" i="4" l="1" a="1"/>
  <c r="P275" i="4" l="1"/>
  <c r="N275" i="4"/>
  <c r="O275" i="4"/>
  <c r="B276" i="4" l="1" a="1"/>
  <c r="C276" i="4" l="1"/>
  <c r="C276" i="3" s="1"/>
  <c r="D276" i="4"/>
  <c r="D276" i="3" s="1"/>
  <c r="B276" i="4"/>
  <c r="B276" i="3" l="1"/>
  <c r="E276" i="4" a="1"/>
  <c r="F276" i="4" l="1"/>
  <c r="G276" i="4"/>
  <c r="E276" i="4"/>
  <c r="H276" i="4" l="1" a="1"/>
  <c r="I276" i="4" l="1"/>
  <c r="J276" i="4"/>
  <c r="H276" i="4"/>
  <c r="K276" i="4" l="1" a="1"/>
  <c r="L276" i="4" l="1"/>
  <c r="M276" i="4"/>
  <c r="K276" i="4"/>
  <c r="N276" i="4" l="1" a="1"/>
  <c r="O276" i="4" l="1"/>
  <c r="P276" i="4"/>
  <c r="N276" i="4"/>
  <c r="B277" i="4" s="1" a="1"/>
  <c r="D277" i="4" l="1"/>
  <c r="D277" i="3" s="1"/>
  <c r="B277" i="4"/>
  <c r="C277" i="4"/>
  <c r="C277" i="3" s="1"/>
  <c r="B277" i="3" l="1"/>
  <c r="E277" i="4" a="1"/>
  <c r="G277" i="4" l="1"/>
  <c r="E277" i="4"/>
  <c r="F277" i="4"/>
  <c r="H277" i="4" l="1" a="1"/>
  <c r="J277" i="4" l="1"/>
  <c r="H277" i="4"/>
  <c r="I277" i="4"/>
  <c r="K277" i="4" l="1" a="1"/>
  <c r="M277" i="4" l="1"/>
  <c r="K277" i="4"/>
  <c r="L277" i="4"/>
  <c r="N277" i="4" l="1" a="1"/>
  <c r="P277" i="4" l="1"/>
  <c r="N277" i="4"/>
  <c r="O277" i="4"/>
  <c r="B278" i="4" l="1" a="1"/>
  <c r="C278" i="4" l="1"/>
  <c r="C278" i="3" s="1"/>
  <c r="D278" i="4"/>
  <c r="D278" i="3" s="1"/>
  <c r="B278" i="4"/>
  <c r="B278" i="3" l="1"/>
  <c r="E278" i="4" a="1"/>
  <c r="F278" i="4" l="1"/>
  <c r="G278" i="4"/>
  <c r="E278" i="4"/>
  <c r="H278" i="4" l="1" a="1"/>
  <c r="I278" i="4" l="1"/>
  <c r="J278" i="4"/>
  <c r="H278" i="4"/>
  <c r="K278" i="4" l="1" a="1"/>
  <c r="L278" i="4" l="1"/>
  <c r="M278" i="4"/>
  <c r="K278" i="4"/>
  <c r="N278" i="4" l="1" a="1"/>
  <c r="O278" i="4" l="1"/>
  <c r="P278" i="4"/>
  <c r="N278" i="4"/>
  <c r="B279" i="4" s="1" a="1"/>
  <c r="D279" i="4" l="1"/>
  <c r="D279" i="3" s="1"/>
  <c r="B279" i="4"/>
  <c r="C279" i="4"/>
  <c r="C279" i="3" s="1"/>
  <c r="B279" i="3" l="1"/>
  <c r="E279" i="4" a="1"/>
  <c r="G279" i="4" l="1"/>
  <c r="E279" i="4"/>
  <c r="F279" i="4"/>
  <c r="H279" i="4" l="1" a="1"/>
  <c r="J279" i="4" l="1"/>
  <c r="H279" i="4"/>
  <c r="I279" i="4"/>
  <c r="K279" i="4" l="1" a="1"/>
  <c r="M279" i="4" l="1"/>
  <c r="K279" i="4"/>
  <c r="L279" i="4"/>
  <c r="N279" i="4" l="1" a="1"/>
  <c r="P279" i="4" l="1"/>
  <c r="N279" i="4"/>
  <c r="O279" i="4"/>
  <c r="B280" i="4" l="1" a="1"/>
  <c r="C280" i="4" l="1"/>
  <c r="C280" i="3" s="1"/>
  <c r="D280" i="4"/>
  <c r="D280" i="3" s="1"/>
  <c r="B280" i="4"/>
  <c r="B280" i="3" l="1"/>
  <c r="E280" i="4" a="1"/>
  <c r="F280" i="4" l="1"/>
  <c r="G280" i="4"/>
  <c r="E280" i="4"/>
  <c r="H280" i="4" l="1" a="1"/>
  <c r="I280" i="4" l="1"/>
  <c r="J280" i="4"/>
  <c r="H280" i="4"/>
  <c r="K280" i="4" l="1" a="1"/>
  <c r="L280" i="4" l="1"/>
  <c r="M280" i="4"/>
  <c r="K280" i="4"/>
  <c r="N280" i="4" l="1" a="1"/>
  <c r="O280" i="4" l="1"/>
  <c r="P280" i="4"/>
  <c r="N280" i="4"/>
  <c r="B281" i="4" s="1" a="1"/>
  <c r="D281" i="4" l="1"/>
  <c r="D281" i="3" s="1"/>
  <c r="B281" i="4"/>
  <c r="C281" i="4"/>
  <c r="C281" i="3" s="1"/>
  <c r="B281" i="3" l="1"/>
  <c r="E281" i="4" a="1"/>
  <c r="G281" i="4" l="1"/>
  <c r="E281" i="4"/>
  <c r="F281" i="4"/>
  <c r="H281" i="4" l="1" a="1"/>
  <c r="J281" i="4" l="1"/>
  <c r="H281" i="4"/>
  <c r="I281" i="4"/>
  <c r="K281" i="4" l="1" a="1"/>
  <c r="M281" i="4" l="1"/>
  <c r="K281" i="4"/>
  <c r="L281" i="4"/>
  <c r="N281" i="4" l="1" a="1"/>
  <c r="P281" i="4" l="1"/>
  <c r="N281" i="4"/>
  <c r="O281" i="4"/>
  <c r="B282" i="4" l="1" a="1"/>
  <c r="C282" i="4" l="1"/>
  <c r="C282" i="3" s="1"/>
  <c r="D282" i="4"/>
  <c r="D282" i="3" s="1"/>
  <c r="B282" i="4"/>
  <c r="B282" i="3" l="1"/>
  <c r="E282" i="4" a="1"/>
  <c r="F282" i="4" l="1"/>
  <c r="G282" i="4"/>
  <c r="E282" i="4"/>
  <c r="H282" i="4" l="1" a="1"/>
  <c r="I282" i="4" l="1"/>
  <c r="J282" i="4"/>
  <c r="H282" i="4"/>
  <c r="K282" i="4" l="1" a="1"/>
  <c r="L282" i="4" l="1"/>
  <c r="M282" i="4"/>
  <c r="K282" i="4"/>
  <c r="N282" i="4" l="1" a="1"/>
  <c r="O282" i="4" l="1"/>
  <c r="P282" i="4"/>
  <c r="N282" i="4"/>
  <c r="B283" i="4" s="1" a="1"/>
  <c r="D283" i="4" l="1"/>
  <c r="D283" i="3" s="1"/>
  <c r="B283" i="4"/>
  <c r="C283" i="4"/>
  <c r="C283" i="3" s="1"/>
  <c r="B283" i="3" l="1"/>
  <c r="E283" i="4" a="1"/>
  <c r="G283" i="4" l="1"/>
  <c r="E283" i="4"/>
  <c r="F283" i="4"/>
  <c r="H283" i="4" l="1" a="1"/>
  <c r="J283" i="4" l="1"/>
  <c r="H283" i="4"/>
  <c r="I283" i="4"/>
  <c r="K283" i="4" l="1" a="1"/>
  <c r="M283" i="4" l="1"/>
  <c r="K283" i="4"/>
  <c r="L283" i="4"/>
  <c r="N283" i="4" l="1" a="1"/>
  <c r="P283" i="4" l="1"/>
  <c r="N283" i="4"/>
  <c r="O283" i="4"/>
  <c r="B284" i="4" l="1" a="1"/>
  <c r="C284" i="4" l="1"/>
  <c r="C284" i="3" s="1"/>
  <c r="D284" i="4"/>
  <c r="D284" i="3" s="1"/>
  <c r="B284" i="4"/>
  <c r="B284" i="3" l="1"/>
  <c r="E284" i="4" a="1"/>
  <c r="F284" i="4" l="1"/>
  <c r="G284" i="4"/>
  <c r="E284" i="4"/>
  <c r="H284" i="4" l="1" a="1"/>
  <c r="I284" i="4" l="1"/>
  <c r="J284" i="4"/>
  <c r="H284" i="4"/>
  <c r="K284" i="4" l="1" a="1"/>
  <c r="L284" i="4" l="1"/>
  <c r="M284" i="4"/>
  <c r="K284" i="4"/>
  <c r="N284" i="4" l="1" a="1"/>
  <c r="O284" i="4" l="1"/>
  <c r="P284" i="4"/>
  <c r="N284" i="4"/>
  <c r="B285" i="4" s="1" a="1"/>
  <c r="D285" i="4" l="1"/>
  <c r="D285" i="3" s="1"/>
  <c r="B285" i="4"/>
  <c r="C285" i="4"/>
  <c r="C285" i="3" s="1"/>
  <c r="B285" i="3" l="1"/>
  <c r="E285" i="4" a="1"/>
  <c r="G285" i="4" l="1"/>
  <c r="E285" i="4"/>
  <c r="F285" i="4"/>
  <c r="H285" i="4" l="1" a="1"/>
  <c r="J285" i="4" l="1"/>
  <c r="H285" i="4"/>
  <c r="I285" i="4"/>
  <c r="K285" i="4" l="1" a="1"/>
  <c r="M285" i="4" l="1"/>
  <c r="K285" i="4"/>
  <c r="L285" i="4"/>
  <c r="N285" i="4" l="1" a="1"/>
  <c r="P285" i="4" l="1"/>
  <c r="N285" i="4"/>
  <c r="O285" i="4"/>
  <c r="B286" i="4" l="1" a="1"/>
  <c r="C286" i="4" l="1"/>
  <c r="C286" i="3" s="1"/>
  <c r="D286" i="4"/>
  <c r="D286" i="3" s="1"/>
  <c r="B286" i="4"/>
  <c r="B286" i="3" l="1"/>
  <c r="E286" i="4" a="1"/>
  <c r="F286" i="4" l="1"/>
  <c r="G286" i="4"/>
  <c r="E286" i="4"/>
  <c r="H286" i="4" l="1" a="1"/>
  <c r="I286" i="4" l="1"/>
  <c r="J286" i="4"/>
  <c r="H286" i="4"/>
  <c r="K286" i="4" l="1" a="1"/>
  <c r="L286" i="4" l="1"/>
  <c r="M286" i="4"/>
  <c r="K286" i="4"/>
  <c r="N286" i="4" l="1" a="1"/>
  <c r="O286" i="4" l="1"/>
  <c r="P286" i="4"/>
  <c r="N286" i="4"/>
  <c r="B287" i="4" s="1" a="1"/>
  <c r="D287" i="4" l="1"/>
  <c r="D287" i="3" s="1"/>
  <c r="B287" i="4"/>
  <c r="C287" i="4"/>
  <c r="C287" i="3" s="1"/>
  <c r="B287" i="3" l="1"/>
  <c r="E287" i="4" a="1"/>
  <c r="G287" i="4" l="1"/>
  <c r="E287" i="4"/>
  <c r="F287" i="4"/>
  <c r="H287" i="4" l="1" a="1"/>
  <c r="J287" i="4" l="1"/>
  <c r="H287" i="4"/>
  <c r="I287" i="4"/>
  <c r="K287" i="4" l="1" a="1"/>
  <c r="M287" i="4" l="1"/>
  <c r="K287" i="4"/>
  <c r="L287" i="4"/>
  <c r="N287" i="4" l="1" a="1"/>
  <c r="P287" i="4" l="1"/>
  <c r="N287" i="4"/>
  <c r="O287" i="4"/>
  <c r="B288" i="4" l="1" a="1"/>
  <c r="C288" i="4" l="1"/>
  <c r="C288" i="3" s="1"/>
  <c r="D288" i="4"/>
  <c r="D288" i="3" s="1"/>
  <c r="B288" i="4"/>
  <c r="B288" i="3" l="1"/>
  <c r="E288" i="4" a="1"/>
  <c r="F288" i="4" l="1"/>
  <c r="G288" i="4"/>
  <c r="E288" i="4"/>
  <c r="H288" i="4" l="1" a="1"/>
  <c r="I288" i="4" l="1"/>
  <c r="J288" i="4"/>
  <c r="H288" i="4"/>
  <c r="K288" i="4" l="1" a="1"/>
  <c r="L288" i="4" l="1"/>
  <c r="M288" i="4"/>
  <c r="K288" i="4"/>
  <c r="N288" i="4" l="1" a="1"/>
  <c r="O288" i="4" l="1"/>
  <c r="P288" i="4"/>
  <c r="N288" i="4"/>
  <c r="B289" i="4" s="1" a="1"/>
  <c r="D289" i="4" l="1"/>
  <c r="D289" i="3" s="1"/>
  <c r="B289" i="4"/>
  <c r="C289" i="4"/>
  <c r="C289" i="3" s="1"/>
  <c r="B289" i="3" l="1"/>
  <c r="E289" i="4" a="1"/>
  <c r="G289" i="4" l="1"/>
  <c r="E289" i="4"/>
  <c r="F289" i="4"/>
  <c r="H289" i="4" l="1" a="1"/>
  <c r="J289" i="4" l="1"/>
  <c r="H289" i="4"/>
  <c r="I289" i="4"/>
  <c r="K289" i="4" l="1" a="1"/>
  <c r="M289" i="4" l="1"/>
  <c r="K289" i="4"/>
  <c r="L289" i="4"/>
  <c r="N289" i="4" l="1" a="1"/>
  <c r="P289" i="4" l="1"/>
  <c r="N289" i="4"/>
  <c r="O289" i="4"/>
  <c r="B290" i="4" l="1" a="1"/>
  <c r="C290" i="4" l="1"/>
  <c r="C290" i="3" s="1"/>
  <c r="D290" i="4"/>
  <c r="D290" i="3" s="1"/>
  <c r="B290" i="4"/>
  <c r="B290" i="3" l="1"/>
  <c r="E290" i="4" a="1"/>
  <c r="F290" i="4" l="1"/>
  <c r="G290" i="4"/>
  <c r="E290" i="4"/>
  <c r="H290" i="4" l="1" a="1"/>
  <c r="I290" i="4" l="1"/>
  <c r="J290" i="4"/>
  <c r="H290" i="4"/>
  <c r="K290" i="4" l="1" a="1"/>
  <c r="L290" i="4" l="1"/>
  <c r="M290" i="4"/>
  <c r="K290" i="4"/>
  <c r="N290" i="4" l="1" a="1"/>
  <c r="O290" i="4" l="1"/>
  <c r="P290" i="4"/>
  <c r="N290" i="4"/>
  <c r="B291" i="4" s="1" a="1"/>
  <c r="D291" i="4" l="1"/>
  <c r="D291" i="3" s="1"/>
  <c r="B291" i="4"/>
  <c r="C291" i="4"/>
  <c r="C291" i="3" s="1"/>
  <c r="B291" i="3" l="1"/>
  <c r="E291" i="4" a="1"/>
  <c r="G291" i="4" l="1"/>
  <c r="E291" i="4"/>
  <c r="F291" i="4"/>
  <c r="H291" i="4" l="1" a="1"/>
  <c r="J291" i="4" l="1"/>
  <c r="H291" i="4"/>
  <c r="I291" i="4"/>
  <c r="K291" i="4" l="1" a="1"/>
  <c r="M291" i="4" l="1"/>
  <c r="K291" i="4"/>
  <c r="L291" i="4"/>
  <c r="N291" i="4" l="1" a="1"/>
  <c r="P291" i="4" l="1"/>
  <c r="N291" i="4"/>
  <c r="O291" i="4"/>
  <c r="B292" i="4" l="1" a="1"/>
  <c r="C292" i="4" l="1"/>
  <c r="C292" i="3" s="1"/>
  <c r="D292" i="4"/>
  <c r="D292" i="3" s="1"/>
  <c r="B292" i="4"/>
  <c r="B292" i="3" l="1"/>
  <c r="E292" i="4" a="1"/>
  <c r="F292" i="4" l="1"/>
  <c r="G292" i="4"/>
  <c r="E292" i="4"/>
  <c r="H292" i="4" l="1" a="1"/>
  <c r="I292" i="4" l="1"/>
  <c r="J292" i="4"/>
  <c r="H292" i="4"/>
  <c r="K292" i="4" l="1" a="1"/>
  <c r="L292" i="4" l="1"/>
  <c r="M292" i="4"/>
  <c r="K292" i="4"/>
  <c r="N292" i="4" l="1" a="1"/>
  <c r="O292" i="4" l="1"/>
  <c r="P292" i="4"/>
  <c r="N292" i="4"/>
  <c r="B293" i="4" s="1" a="1"/>
  <c r="D293" i="4" l="1"/>
  <c r="D293" i="3" s="1"/>
  <c r="B293" i="4"/>
  <c r="C293" i="4"/>
  <c r="C293" i="3" s="1"/>
  <c r="B293" i="3" l="1"/>
  <c r="E293" i="4" a="1"/>
  <c r="G293" i="4" l="1"/>
  <c r="E293" i="4"/>
  <c r="F293" i="4"/>
  <c r="H293" i="4" l="1" a="1"/>
  <c r="J293" i="4" l="1"/>
  <c r="H293" i="4"/>
  <c r="I293" i="4"/>
  <c r="K293" i="4" l="1" a="1"/>
  <c r="M293" i="4" l="1"/>
  <c r="K293" i="4"/>
  <c r="L293" i="4"/>
  <c r="N293" i="4" l="1" a="1"/>
  <c r="P293" i="4" l="1"/>
  <c r="N293" i="4"/>
  <c r="O293" i="4"/>
  <c r="B294" i="4" l="1" a="1"/>
  <c r="C294" i="4" l="1"/>
  <c r="C294" i="3" s="1"/>
  <c r="D294" i="4"/>
  <c r="D294" i="3" s="1"/>
  <c r="B294" i="4"/>
  <c r="B294" i="3" l="1"/>
  <c r="E294" i="4" a="1"/>
  <c r="F294" i="4" l="1"/>
  <c r="G294" i="4"/>
  <c r="E294" i="4"/>
  <c r="H294" i="4" l="1" a="1"/>
  <c r="I294" i="4" l="1"/>
  <c r="J294" i="4"/>
  <c r="H294" i="4"/>
  <c r="K294" i="4" l="1" a="1"/>
  <c r="L294" i="4" l="1"/>
  <c r="M294" i="4"/>
  <c r="K294" i="4"/>
  <c r="N294" i="4" l="1" a="1"/>
  <c r="O294" i="4" l="1"/>
  <c r="P294" i="4"/>
  <c r="N294" i="4"/>
  <c r="B295" i="4" s="1" a="1"/>
  <c r="D295" i="4" l="1"/>
  <c r="D295" i="3" s="1"/>
  <c r="B295" i="4"/>
  <c r="C295" i="4"/>
  <c r="C295" i="3" s="1"/>
  <c r="B295" i="3" l="1"/>
  <c r="E295" i="4" a="1"/>
  <c r="G295" i="4" l="1"/>
  <c r="E295" i="4"/>
  <c r="F295" i="4"/>
  <c r="H295" i="4" l="1" a="1"/>
  <c r="J295" i="4" l="1"/>
  <c r="H295" i="4"/>
  <c r="I295" i="4"/>
  <c r="K295" i="4" l="1" a="1"/>
  <c r="M295" i="4" l="1"/>
  <c r="K295" i="4"/>
  <c r="L295" i="4"/>
  <c r="N295" i="4" l="1" a="1"/>
  <c r="P295" i="4" l="1"/>
  <c r="N295" i="4"/>
  <c r="O295" i="4"/>
  <c r="B296" i="4" l="1" a="1"/>
  <c r="C296" i="4" l="1"/>
  <c r="C296" i="3" s="1"/>
  <c r="D296" i="4"/>
  <c r="D296" i="3" s="1"/>
  <c r="B296" i="4"/>
  <c r="B296" i="3" l="1"/>
  <c r="E296" i="4" a="1"/>
  <c r="F296" i="4" l="1"/>
  <c r="G296" i="4"/>
  <c r="E296" i="4"/>
  <c r="H296" i="4" l="1" a="1"/>
  <c r="I296" i="4" l="1"/>
  <c r="J296" i="4"/>
  <c r="H296" i="4"/>
  <c r="K296" i="4" l="1" a="1"/>
  <c r="L296" i="4" l="1"/>
  <c r="M296" i="4"/>
  <c r="K296" i="4"/>
  <c r="N296" i="4" l="1" a="1"/>
  <c r="O296" i="4" l="1"/>
  <c r="P296" i="4"/>
  <c r="N296" i="4"/>
  <c r="B297" i="4" s="1" a="1"/>
  <c r="D297" i="4" l="1"/>
  <c r="D297" i="3" s="1"/>
  <c r="B297" i="4"/>
  <c r="C297" i="4"/>
  <c r="C297" i="3" s="1"/>
  <c r="B297" i="3" l="1"/>
  <c r="E297" i="4" a="1"/>
  <c r="G297" i="4" l="1"/>
  <c r="E297" i="4"/>
  <c r="F297" i="4"/>
  <c r="H297" i="4" l="1" a="1"/>
  <c r="J297" i="4" l="1"/>
  <c r="H297" i="4"/>
  <c r="I297" i="4"/>
  <c r="K297" i="4" l="1" a="1"/>
  <c r="M297" i="4" l="1"/>
  <c r="K297" i="4"/>
  <c r="L297" i="4"/>
  <c r="N297" i="4" l="1" a="1"/>
  <c r="P297" i="4" l="1"/>
  <c r="N297" i="4"/>
  <c r="O297" i="4"/>
  <c r="B298" i="4" l="1" a="1"/>
  <c r="C298" i="4" l="1"/>
  <c r="C298" i="3" s="1"/>
  <c r="D298" i="4"/>
  <c r="D298" i="3" s="1"/>
  <c r="B298" i="4"/>
  <c r="B298" i="3" l="1"/>
  <c r="E298" i="4" a="1"/>
  <c r="F298" i="4" l="1"/>
  <c r="G298" i="4"/>
  <c r="E298" i="4"/>
  <c r="H298" i="4" l="1" a="1"/>
  <c r="I298" i="4" l="1"/>
  <c r="J298" i="4"/>
  <c r="H298" i="4"/>
  <c r="K298" i="4" l="1" a="1"/>
  <c r="L298" i="4" l="1"/>
  <c r="M298" i="4"/>
  <c r="K298" i="4"/>
  <c r="N298" i="4" l="1" a="1"/>
  <c r="O298" i="4" l="1"/>
  <c r="P298" i="4"/>
  <c r="N298" i="4"/>
  <c r="B299" i="4" s="1" a="1"/>
  <c r="D299" i="4" l="1"/>
  <c r="D299" i="3" s="1"/>
  <c r="B299" i="4"/>
  <c r="C299" i="4"/>
  <c r="C299" i="3" s="1"/>
  <c r="B299" i="3" l="1"/>
  <c r="E299" i="4" a="1"/>
  <c r="G299" i="4" l="1"/>
  <c r="E299" i="4"/>
  <c r="F299" i="4"/>
  <c r="H299" i="4" l="1" a="1"/>
  <c r="J299" i="4" l="1"/>
  <c r="H299" i="4"/>
  <c r="I299" i="4"/>
  <c r="K299" i="4" l="1" a="1"/>
  <c r="M299" i="4" l="1"/>
  <c r="K299" i="4"/>
  <c r="L299" i="4"/>
  <c r="N299" i="4" l="1" a="1"/>
  <c r="P299" i="4" l="1"/>
  <c r="N299" i="4"/>
  <c r="O299" i="4"/>
  <c r="B300" i="4" l="1" a="1"/>
  <c r="C300" i="4" l="1"/>
  <c r="C300" i="3" s="1"/>
  <c r="D300" i="4"/>
  <c r="D300" i="3" s="1"/>
  <c r="B300" i="4"/>
  <c r="B300" i="3" l="1"/>
  <c r="E300" i="4" a="1"/>
  <c r="F300" i="4" l="1"/>
  <c r="G300" i="4"/>
  <c r="E300" i="4"/>
  <c r="H300" i="4" s="1" a="1"/>
  <c r="I300" i="4" l="1"/>
  <c r="J300" i="4"/>
  <c r="H300" i="4"/>
  <c r="K300" i="4" s="1" a="1"/>
  <c r="L300" i="4" l="1"/>
  <c r="M300" i="4"/>
  <c r="K300" i="4"/>
  <c r="N300" i="4" s="1" a="1"/>
  <c r="O300" i="4" l="1"/>
  <c r="P300" i="4"/>
  <c r="N300" i="4"/>
</calcChain>
</file>

<file path=xl/sharedStrings.xml><?xml version="1.0" encoding="utf-8"?>
<sst xmlns="http://schemas.openxmlformats.org/spreadsheetml/2006/main" count="45" uniqueCount="36">
  <si>
    <t>Iniciar?</t>
  </si>
  <si>
    <t>n</t>
  </si>
  <si>
    <t>s</t>
  </si>
  <si>
    <t>X(0)</t>
  </si>
  <si>
    <t>A</t>
  </si>
  <si>
    <t>X(t)</t>
  </si>
  <si>
    <t>x(0)</t>
  </si>
  <si>
    <t>X'(t)</t>
  </si>
  <si>
    <t>X(t+h)</t>
  </si>
  <si>
    <t>h=</t>
  </si>
  <si>
    <t>t</t>
  </si>
  <si>
    <t>x1</t>
  </si>
  <si>
    <t>x2</t>
  </si>
  <si>
    <t>x3</t>
  </si>
  <si>
    <t>x(t)</t>
  </si>
  <si>
    <t>k1 = f(t,x1,x2,x3)</t>
  </si>
  <si>
    <t>k2 = f(t+h/2 , x1+k1.h/2 , x2+l1.h/2 , x3+m1.h/2 )</t>
  </si>
  <si>
    <t>k3 = f(t+h/2 , x1+k2.h/2 , x2+l2.h/2 , x3+m2.h/2 )</t>
  </si>
  <si>
    <t>k4 = f(t+h , x1+k3.h , x2+l3.h , x3+m3.h)</t>
  </si>
  <si>
    <t>x1(t+h) = x1(t) + 1/6.(k1 + 2.k2 + 2.k3 + k4)</t>
  </si>
  <si>
    <t>k1</t>
  </si>
  <si>
    <t>l1</t>
  </si>
  <si>
    <t>m1</t>
  </si>
  <si>
    <t>k2</t>
  </si>
  <si>
    <t>l2</t>
  </si>
  <si>
    <t>m2</t>
  </si>
  <si>
    <t>k3</t>
  </si>
  <si>
    <t>l3</t>
  </si>
  <si>
    <t>m3</t>
  </si>
  <si>
    <t>k4</t>
  </si>
  <si>
    <t>l4</t>
  </si>
  <si>
    <t>m4</t>
  </si>
  <si>
    <t>Mostrar até :</t>
  </si>
  <si>
    <t>segundos</t>
  </si>
  <si>
    <t>xr2</t>
  </si>
  <si>
    <t>xr3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</si>
</sst>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00"/>
    <numFmt numFmtId="173" formatCode="0.0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72" fontId="0" fillId="0" borderId="0" xfId="0" applyNumberFormat="1"/>
    <xf numFmtId="172" fontId="0" fillId="0" borderId="0" xfId="0" applyNumberFormat="1" applyAlignment="1">
      <alignment horizontal="center"/>
    </xf>
    <xf numFmtId="173" fontId="0" fillId="0" borderId="0" xfId="0" applyNumberFormat="1"/>
    <xf numFmtId="172" fontId="0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2" fontId="0" fillId="0" borderId="1" xfId="0" applyNumberFormat="1" applyBorder="1"/>
    <xf numFmtId="0" fontId="0" fillId="0" borderId="0" xfId="0" applyBorder="1"/>
    <xf numFmtId="172" fontId="0" fillId="0" borderId="1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/>
    <xf numFmtId="172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73" fontId="0" fillId="0" borderId="2" xfId="0" applyNumberFormat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591591591591595E-2"/>
          <c:y val="3.0303030303030304E-2"/>
          <c:w val="0.86786786786786785"/>
          <c:h val="0.8658008658008657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'Plan2 (2)'!$B$12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'Plan2 (2)'!$A$13:$A$300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'Plan2 (2)'!$B$13:$B$300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97-4C0B-A72E-BA59D4378C6B}"/>
            </c:ext>
          </c:extLst>
        </c:ser>
        <c:ser>
          <c:idx val="1"/>
          <c:order val="1"/>
          <c:tx>
            <c:strRef>
              <c:f>'Plan2 (2)'!$C$12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'Plan2 (2)'!$A$13:$A$300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'Plan2 (2)'!$C$13:$C$300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97-4C0B-A72E-BA59D4378C6B}"/>
            </c:ext>
          </c:extLst>
        </c:ser>
        <c:ser>
          <c:idx val="2"/>
          <c:order val="2"/>
          <c:tx>
            <c:strRef>
              <c:f>'Plan2 (2)'!$D$12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'Plan2 (2)'!$A$13:$A$300</c:f>
              <c:numCache>
                <c:formatCode>0.0</c:formatCode>
                <c:ptCount val="28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</c:numCache>
            </c:numRef>
          </c:xVal>
          <c:yVal>
            <c:numRef>
              <c:f>'Plan2 (2)'!$D$13:$D$300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97-4C0B-A72E-BA59D4378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1600"/>
        <c:axId val="1"/>
      </c:scatterChart>
      <c:valAx>
        <c:axId val="42046160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04616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227272727272725E-2"/>
          <c:y val="2.9350104821802937E-2"/>
          <c:w val="0.91801347888153462"/>
          <c:h val="0.906209664968349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Plan3!$C$12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Plan3!$B$13:$B$300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Plan3!$C$13:$C$300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-0.37742168302462592</c:v>
                </c:pt>
                <c:pt idx="182">
                  <c:v>-0.33242407362170906</c:v>
                </c:pt>
                <c:pt idx="183">
                  <c:v>-0.28719431568376713</c:v>
                </c:pt>
                <c:pt idx="184">
                  <c:v>-0.24190558752240585</c:v>
                </c:pt>
                <c:pt idx="185">
                  <c:v>-0.19672742772967766</c:v>
                </c:pt>
                <c:pt idx="186">
                  <c:v>-0.1518251865286715</c:v>
                </c:pt>
                <c:pt idx="187">
                  <c:v>-0.10735950490678783</c:v>
                </c:pt>
                <c:pt idx="188">
                  <c:v>-6.3485822847400064E-2</c:v>
                </c:pt>
                <c:pt idx="189">
                  <c:v>-2.0353917838200196E-2</c:v>
                </c:pt>
                <c:pt idx="190">
                  <c:v>2.1892525304190051E-2</c:v>
                </c:pt>
                <c:pt idx="191">
                  <c:v>6.311631239324958E-2</c:v>
                </c:pt>
                <c:pt idx="192">
                  <c:v>0.10318710485486016</c:v>
                </c:pt>
                <c:pt idx="193">
                  <c:v>0.14198175111194497</c:v>
                </c:pt>
                <c:pt idx="194">
                  <c:v>0.17938458388914227</c:v>
                </c:pt>
                <c:pt idx="195">
                  <c:v>0.21528768309254898</c:v>
                </c:pt>
                <c:pt idx="196">
                  <c:v>0.24959110405512686</c:v>
                </c:pt>
                <c:pt idx="197">
                  <c:v>0.28220307107167897</c:v>
                </c:pt>
                <c:pt idx="198">
                  <c:v>0.31304013627793081</c:v>
                </c:pt>
                <c:pt idx="199">
                  <c:v>0.3420273040557652</c:v>
                </c:pt>
                <c:pt idx="200">
                  <c:v>0.36909812127065555</c:v>
                </c:pt>
                <c:pt idx="201">
                  <c:v>0.39419473376743935</c:v>
                </c:pt>
                <c:pt idx="202">
                  <c:v>0.41726790966641136</c:v>
                </c:pt>
                <c:pt idx="203">
                  <c:v>0.43827703011295971</c:v>
                </c:pt>
                <c:pt idx="204">
                  <c:v>0.45719004824030651</c:v>
                </c:pt>
                <c:pt idx="205">
                  <c:v>0.47398341720606157</c:v>
                </c:pt>
                <c:pt idx="206">
                  <c:v>0.48864198825899563</c:v>
                </c:pt>
                <c:pt idx="207">
                  <c:v>0.50115887988245034</c:v>
                </c:pt>
                <c:pt idx="208">
                  <c:v>0.51153531914492223</c:v>
                </c:pt>
                <c:pt idx="209">
                  <c:v>0.51978045646640303</c:v>
                </c:pt>
                <c:pt idx="210">
                  <c:v>0.52591115508087638</c:v>
                </c:pt>
                <c:pt idx="211">
                  <c:v>0.52995175654083115</c:v>
                </c:pt>
                <c:pt idx="212">
                  <c:v>0.53193382366865649</c:v>
                </c:pt>
                <c:pt idx="213">
                  <c:v>0.53189586241225162</c:v>
                </c:pt>
                <c:pt idx="214">
                  <c:v>0.5298830241080732</c:v>
                </c:pt>
                <c:pt idx="215">
                  <c:v>0.52594678969412345</c:v>
                </c:pt>
                <c:pt idx="216">
                  <c:v>0.52014463744805972</c:v>
                </c:pt>
                <c:pt idx="217">
                  <c:v>0.51253969585170245</c:v>
                </c:pt>
                <c:pt idx="218">
                  <c:v>0.50320038320278826</c:v>
                </c:pt>
                <c:pt idx="219">
                  <c:v>0.49220003560792591</c:v>
                </c:pt>
                <c:pt idx="220">
                  <c:v>0.4796165249974616</c:v>
                </c:pt>
                <c:pt idx="221">
                  <c:v>0.46553186880346736</c:v>
                </c:pt>
                <c:pt idx="222">
                  <c:v>0.45003183293646293</c:v>
                </c:pt>
                <c:pt idx="223">
                  <c:v>0.43320552968492815</c:v>
                </c:pt>
                <c:pt idx="224">
                  <c:v>0.41514501214433608</c:v>
                </c:pt>
                <c:pt idx="225">
                  <c:v>0.39594486675952573</c:v>
                </c:pt>
                <c:pt idx="226">
                  <c:v>0.37570180553595151</c:v>
                </c:pt>
                <c:pt idx="227">
                  <c:v>0.35451425944191539</c:v>
                </c:pt>
                <c:pt idx="228">
                  <c:v>0.33248197448554823</c:v>
                </c:pt>
                <c:pt idx="229">
                  <c:v>0.30970561190731027</c:v>
                </c:pt>
                <c:pt idx="230">
                  <c:v>0.2862863538813909</c:v>
                </c:pt>
                <c:pt idx="231">
                  <c:v>0.26232551606787652</c:v>
                </c:pt>
                <c:pt idx="232">
                  <c:v>0.23792416830220978</c:v>
                </c:pt>
                <c:pt idx="233">
                  <c:v>0.21318276464957076</c:v>
                </c:pt>
                <c:pt idx="234">
                  <c:v>0.18820078398967047</c:v>
                </c:pt>
                <c:pt idx="235">
                  <c:v>0.16307638223236284</c:v>
                </c:pt>
                <c:pt idx="236">
                  <c:v>0.13790605719675908</c:v>
                </c:pt>
                <c:pt idx="237">
                  <c:v>0.11278432711647988</c:v>
                </c:pt>
                <c:pt idx="238">
                  <c:v>8.7803423661617142E-2</c:v>
                </c:pt>
                <c:pt idx="239">
                  <c:v>6.3053000294210709E-2</c:v>
                </c:pt>
                <c:pt idx="240">
                  <c:v>3.8619856698889815E-2</c:v>
                </c:pt>
                <c:pt idx="241">
                  <c:v>1.4587679954091971E-2</c:v>
                </c:pt>
                <c:pt idx="242">
                  <c:v>-8.9631969677372442E-3</c:v>
                </c:pt>
                <c:pt idx="243">
                  <c:v>-3.1956018860039313E-2</c:v>
                </c:pt>
                <c:pt idx="244">
                  <c:v>-5.4317813668859162E-2</c:v>
                </c:pt>
                <c:pt idx="245">
                  <c:v>-7.5979579250639029E-2</c:v>
                </c:pt>
                <c:pt idx="246">
                  <c:v>-9.6876451222469656E-2</c:v>
                </c:pt>
                <c:pt idx="247">
                  <c:v>-0.11694785170261872</c:v>
                </c:pt>
                <c:pt idx="248">
                  <c:v>-0.13613761881464459</c:v>
                </c:pt>
                <c:pt idx="249">
                  <c:v>-0.15439411690267951</c:v>
                </c:pt>
                <c:pt idx="250">
                  <c:v>-0.1716703274782829</c:v>
                </c:pt>
                <c:pt idx="251">
                  <c:v>-0.18792392099038299</c:v>
                </c:pt>
                <c:pt idx="252">
                  <c:v>-0.2031173095790185</c:v>
                </c:pt>
                <c:pt idx="253">
                  <c:v>-0.21721768104064634</c:v>
                </c:pt>
                <c:pt idx="254">
                  <c:v>-0.23019701429749631</c:v>
                </c:pt>
                <c:pt idx="255">
                  <c:v>-0.24203207672563867</c:v>
                </c:pt>
                <c:pt idx="256">
                  <c:v>-0.25270440375591485</c:v>
                </c:pt>
                <c:pt idx="257">
                  <c:v>-0.26220026121849954</c:v>
                </c:pt>
                <c:pt idx="258">
                  <c:v>-0.2705105909554722</c:v>
                </c:pt>
                <c:pt idx="259">
                  <c:v>-0.27763094027624191</c:v>
                </c:pt>
                <c:pt idx="260">
                  <c:v>-0.28356137587787744</c:v>
                </c:pt>
                <c:pt idx="261">
                  <c:v>-0.28830638289623767</c:v>
                </c:pt>
                <c:pt idx="262">
                  <c:v>-0.29187474979419226</c:v>
                </c:pt>
                <c:pt idx="263">
                  <c:v>-0.29427943983009269</c:v>
                </c:pt>
                <c:pt idx="264">
                  <c:v>-0.29553744988294234</c:v>
                </c:pt>
                <c:pt idx="265">
                  <c:v>-0.29566965744037649</c:v>
                </c:pt>
                <c:pt idx="266">
                  <c:v>-0.29470065658157107</c:v>
                </c:pt>
                <c:pt idx="267">
                  <c:v>-0.29265858380953552</c:v>
                </c:pt>
                <c:pt idx="268">
                  <c:v>-0.28957493460591061</c:v>
                </c:pt>
                <c:pt idx="269">
                  <c:v>-0.28548437159639806</c:v>
                </c:pt>
                <c:pt idx="270">
                  <c:v>-0.28042452522632294</c:v>
                </c:pt>
                <c:pt idx="271">
                  <c:v>-0.27443578785360612</c:v>
                </c:pt>
                <c:pt idx="272">
                  <c:v>-0.2675611021706612</c:v>
                </c:pt>
                <c:pt idx="273">
                  <c:v>-0.25984574486748357</c:v>
                </c:pt>
                <c:pt idx="274">
                  <c:v>-0.25133710644554963</c:v>
                </c:pt>
                <c:pt idx="275">
                  <c:v>-0.2420844680861729</c:v>
                </c:pt>
                <c:pt idx="276">
                  <c:v>-0.23213877646777095</c:v>
                </c:pt>
                <c:pt idx="277">
                  <c:v>-0.22155241741418469</c:v>
                </c:pt>
                <c:pt idx="278">
                  <c:v>-0.21037898924087806</c:v>
                </c:pt>
                <c:pt idx="279">
                  <c:v>-0.19867307664765385</c:v>
                </c:pt>
                <c:pt idx="280">
                  <c:v>-0.18649002598558162</c:v>
                </c:pt>
                <c:pt idx="281">
                  <c:v>-0.17388572270228692</c:v>
                </c:pt>
                <c:pt idx="282">
                  <c:v>-0.16091637174374093</c:v>
                </c:pt>
                <c:pt idx="283">
                  <c:v>-0.14763828166236975</c:v>
                </c:pt>
                <c:pt idx="284">
                  <c:v>-0.13410765315082737</c:v>
                </c:pt>
                <c:pt idx="285">
                  <c:v>-0.12038037268830963</c:v>
                </c:pt>
                <c:pt idx="286">
                  <c:v>-0.10651181195198993</c:v>
                </c:pt>
                <c:pt idx="287">
                  <c:v>-9.2556633610203193E-2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29-48B6-B4B1-E7897291B398}"/>
            </c:ext>
          </c:extLst>
        </c:ser>
        <c:ser>
          <c:idx val="2"/>
          <c:order val="2"/>
          <c:tx>
            <c:strRef>
              <c:f>Plan3!$D$12</c:f>
              <c:strCache>
                <c:ptCount val="1"/>
                <c:pt idx="0">
                  <c:v>x3</c:v>
                </c:pt>
              </c:strCache>
            </c:strRef>
          </c:tx>
          <c:marker>
            <c:symbol val="none"/>
          </c:marker>
          <c:xVal>
            <c:numRef>
              <c:f>Plan3!$B$13:$B$300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Plan3!$D$13:$D$300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0.14676341378843219</c:v>
                </c:pt>
                <c:pt idx="182">
                  <c:v>0.1573366679335593</c:v>
                </c:pt>
                <c:pt idx="183">
                  <c:v>0.1670899027453755</c:v>
                </c:pt>
                <c:pt idx="184">
                  <c:v>0.17600516160539517</c:v>
                </c:pt>
                <c:pt idx="185">
                  <c:v>0.18406800065997572</c:v>
                </c:pt>
                <c:pt idx="186">
                  <c:v>0.19126746420036636</c:v>
                </c:pt>
                <c:pt idx="187">
                  <c:v>0.19759604763465366</c:v>
                </c:pt>
                <c:pt idx="188">
                  <c:v>0.2030496484656219</c:v>
                </c:pt>
                <c:pt idx="189">
                  <c:v>0.20762750572387303</c:v>
                </c:pt>
                <c:pt idx="190">
                  <c:v>0.21133212833842177</c:v>
                </c:pt>
                <c:pt idx="191">
                  <c:v>0.21416921295732796</c:v>
                </c:pt>
                <c:pt idx="192">
                  <c:v>0.21614755175869549</c:v>
                </c:pt>
                <c:pt idx="193">
                  <c:v>0.21727893081750779</c:v>
                </c:pt>
                <c:pt idx="194">
                  <c:v>0.21757801961625084</c:v>
                </c:pt>
                <c:pt idx="195">
                  <c:v>0.21706225230706969</c:v>
                </c:pt>
                <c:pt idx="196">
                  <c:v>0.21575170135030186</c:v>
                </c:pt>
                <c:pt idx="197">
                  <c:v>0.21366894416862625</c:v>
                </c:pt>
                <c:pt idx="198">
                  <c:v>0.21083892346776562</c:v>
                </c:pt>
                <c:pt idx="199">
                  <c:v>0.2072888018837023</c:v>
                </c:pt>
                <c:pt idx="200">
                  <c:v>0.20304781162273597</c:v>
                </c:pt>
                <c:pt idx="201">
                  <c:v>0.19814709976446354</c:v>
                </c:pt>
                <c:pt idx="202">
                  <c:v>0.19261956989894105</c:v>
                </c:pt>
                <c:pt idx="203">
                  <c:v>0.18649972076794702</c:v>
                </c:pt>
                <c:pt idx="204">
                  <c:v>0.17982348257646733</c:v>
                </c:pt>
                <c:pt idx="205">
                  <c:v>0.1726280516343339</c:v>
                </c:pt>
                <c:pt idx="206">
                  <c:v>0.16495172397944682</c:v>
                </c:pt>
                <c:pt idx="207">
                  <c:v>0.15683372862327738</c:v>
                </c:pt>
                <c:pt idx="208">
                  <c:v>0.14831406104647687</c:v>
                </c:pt>
                <c:pt idx="209">
                  <c:v>0.13943331755749735</c:v>
                </c:pt>
                <c:pt idx="210">
                  <c:v>0.13023253111026825</c:v>
                </c:pt>
                <c:pt idx="211">
                  <c:v>0.12075300915827208</c:v>
                </c:pt>
                <c:pt idx="212">
                  <c:v>0.11103617410193392</c:v>
                </c:pt>
                <c:pt idx="213">
                  <c:v>0.10112340686419713</c:v>
                </c:pt>
                <c:pt idx="214">
                  <c:v>9.105589410562033E-2</c:v>
                </c:pt>
                <c:pt idx="215">
                  <c:v>8.0874479565418017E-2</c:v>
                </c:pt>
                <c:pt idx="216">
                  <c:v>7.0619519988702875E-2</c:v>
                </c:pt>
                <c:pt idx="217">
                  <c:v>6.0330746072897061E-2</c:v>
                </c:pt>
                <c:pt idx="218">
                  <c:v>5.0047128837988578E-2</c:v>
                </c:pt>
                <c:pt idx="219">
                  <c:v>3.9806751796145137E-2</c:v>
                </c:pt>
                <c:pt idx="220">
                  <c:v>2.9646689266288953E-2</c:v>
                </c:pt>
                <c:pt idx="221">
                  <c:v>1.9602891148709833E-2</c:v>
                </c:pt>
                <c:pt idx="222">
                  <c:v>9.7100744437775607E-3</c:v>
                </c:pt>
                <c:pt idx="223">
                  <c:v>1.6217674342414168E-6</c:v>
                </c:pt>
                <c:pt idx="224">
                  <c:v>-9.4905129154724561E-3</c:v>
                </c:pt>
                <c:pt idx="225">
                  <c:v>-1.8735891150690499E-2</c:v>
                </c:pt>
                <c:pt idx="226">
                  <c:v>-2.7705669289306949E-2</c:v>
                </c:pt>
                <c:pt idx="227">
                  <c:v>-3.6372670091752046E-2</c:v>
                </c:pt>
                <c:pt idx="228">
                  <c:v>-4.4711446546456805E-2</c:v>
                </c:pt>
                <c:pt idx="229">
                  <c:v>-5.2698337839583428E-2</c:v>
                </c:pt>
                <c:pt idx="230">
                  <c:v>-6.0311517442819526E-2</c:v>
                </c:pt>
                <c:pt idx="231">
                  <c:v>-6.7531033316239927E-2</c:v>
                </c:pt>
                <c:pt idx="232">
                  <c:v>-7.4338840252595115E-2</c:v>
                </c:pt>
                <c:pt idx="233">
                  <c:v>-8.0718824417988735E-2</c:v>
                </c:pt>
                <c:pt idx="234">
                  <c:v>-8.6656820171668175E-2</c:v>
                </c:pt>
                <c:pt idx="235">
                  <c:v>-9.2140619274488397E-2</c:v>
                </c:pt>
                <c:pt idx="236">
                  <c:v>-9.715997262143998E-2</c:v>
                </c:pt>
                <c:pt idx="237">
                  <c:v>-0.10170658465838492</c:v>
                </c:pt>
                <c:pt idx="238">
                  <c:v>-0.10577410066674987</c:v>
                </c:pt>
                <c:pt idx="239">
                  <c:v>-0.10935808712232423</c:v>
                </c:pt>
                <c:pt idx="240">
                  <c:v>-0.11245600535544285</c:v>
                </c:pt>
                <c:pt idx="241">
                  <c:v>-0.11506717875965153</c:v>
                </c:pt>
                <c:pt idx="242">
                  <c:v>-0.11719275381441098</c:v>
                </c:pt>
                <c:pt idx="243">
                  <c:v>-0.11883565520445619</c:v>
                </c:pt>
                <c:pt idx="244">
                  <c:v>-0.12000053533405815</c:v>
                </c:pt>
                <c:pt idx="245">
                  <c:v>-0.12069371854861007</c:v>
                </c:pt>
                <c:pt idx="246">
                  <c:v>-0.1209231403886578</c:v>
                </c:pt>
                <c:pt idx="247">
                  <c:v>-0.12069828221270235</c:v>
                </c:pt>
                <c:pt idx="248">
                  <c:v>-0.12003010153481054</c:v>
                </c:pt>
                <c:pt idx="249">
                  <c:v>-0.11893095843127709</c:v>
                </c:pt>
                <c:pt idx="250">
                  <c:v>-0.1174145383772893</c:v>
                </c:pt>
                <c:pt idx="251">
                  <c:v>-0.11549577187976401</c:v>
                </c:pt>
                <c:pt idx="252">
                  <c:v>-0.11319075127626747</c:v>
                </c:pt>
                <c:pt idx="253">
                  <c:v>-0.11051664507221352</c:v>
                </c:pt>
                <c:pt idx="254">
                  <c:v>-0.1074916101893859</c:v>
                </c:pt>
                <c:pt idx="255">
                  <c:v>-0.1041347024982768</c:v>
                </c:pt>
                <c:pt idx="256">
                  <c:v>-0.10046578600480874</c:v>
                </c:pt>
                <c:pt idx="257">
                  <c:v>-9.6505441058747712E-2</c:v>
                </c:pt>
                <c:pt idx="258">
                  <c:v>-9.2274871946565876E-2</c:v>
                </c:pt>
                <c:pt idx="259">
                  <c:v>-8.7795814225714627E-2</c:v>
                </c:pt>
                <c:pt idx="260">
                  <c:v>-8.3090442150276361E-2</c:v>
                </c:pt>
                <c:pt idx="261">
                  <c:v>-7.8181276529825303E-2</c:v>
                </c:pt>
                <c:pt idx="262">
                  <c:v>-7.3091093354102285E-2</c:v>
                </c:pt>
                <c:pt idx="263">
                  <c:v>-6.7842833505852379E-2</c:v>
                </c:pt>
                <c:pt idx="264">
                  <c:v>-6.2459513872949943E-2</c:v>
                </c:pt>
                <c:pt idx="265">
                  <c:v>-5.6964140158805354E-2</c:v>
                </c:pt>
                <c:pt idx="266">
                  <c:v>-5.1379621677077318E-2</c:v>
                </c:pt>
                <c:pt idx="267">
                  <c:v>-4.5728688402970792E-2</c:v>
                </c:pt>
                <c:pt idx="268">
                  <c:v>-4.0033810538951463E-2</c:v>
                </c:pt>
                <c:pt idx="269">
                  <c:v>-3.4317120837623005E-2</c:v>
                </c:pt>
                <c:pt idx="270">
                  <c:v>-2.8600339908863015E-2</c:v>
                </c:pt>
                <c:pt idx="271">
                  <c:v>-2.2904704722168229E-2</c:v>
                </c:pt>
                <c:pt idx="272">
                  <c:v>-1.7250900498590894E-2</c:v>
                </c:pt>
                <c:pt idx="273">
                  <c:v>-1.1658996169726042E-2</c:v>
                </c:pt>
                <c:pt idx="274">
                  <c:v>-6.148383564005688E-3</c:v>
                </c:pt>
                <c:pt idx="275">
                  <c:v>-7.3772046313999584E-4</c:v>
                </c:pt>
                <c:pt idx="276">
                  <c:v>4.5551223460129258E-3</c:v>
                </c:pt>
                <c:pt idx="277">
                  <c:v>9.7131099164994468E-3</c:v>
                </c:pt>
                <c:pt idx="278">
                  <c:v>1.4720087793235392E-2</c:v>
                </c:pt>
                <c:pt idx="279">
                  <c:v>1.9560822399454714E-2</c:v>
                </c:pt>
                <c:pt idx="280">
                  <c:v>2.422103710267106E-2</c:v>
                </c:pt>
                <c:pt idx="281">
                  <c:v>2.8687443922454738E-2</c:v>
                </c:pt>
                <c:pt idx="282">
                  <c:v>3.2947770859355983E-2</c:v>
                </c:pt>
                <c:pt idx="283">
                  <c:v>3.6990784841031223E-2</c:v>
                </c:pt>
                <c:pt idx="284">
                  <c:v>4.0806310297996702E-2</c:v>
                </c:pt>
                <c:pt idx="285">
                  <c:v>4.4385243397390806E-2</c:v>
                </c:pt>
                <c:pt idx="286">
                  <c:v>4.7719561978622212E-2</c:v>
                </c:pt>
                <c:pt idx="287">
                  <c:v>5.0802331249768684E-2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29-48B6-B4B1-E7897291B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7832"/>
        <c:axId val="1"/>
      </c:scatterChart>
      <c:scatterChart>
        <c:scatterStyle val="lineMarker"/>
        <c:varyColors val="0"/>
        <c:ser>
          <c:idx val="1"/>
          <c:order val="1"/>
          <c:tx>
            <c:strRef>
              <c:f>Plan3!$E$12</c:f>
              <c:strCache>
                <c:ptCount val="1"/>
                <c:pt idx="0">
                  <c:v>xr2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Plan3!$B$13:$B$300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Plan3!$E$13:$E$300</c:f>
              <c:numCache>
                <c:formatCode>0.00</c:formatCode>
                <c:ptCount val="288"/>
                <c:pt idx="0">
                  <c:v>2</c:v>
                </c:pt>
                <c:pt idx="1">
                  <c:v>2.4826184617653002</c:v>
                </c:pt>
                <c:pt idx="2">
                  <c:v>2.8943229926685943</c:v>
                </c:pt>
                <c:pt idx="3">
                  <c:v>3.2412605650059261</c:v>
                </c:pt>
                <c:pt idx="4">
                  <c:v>3.5289521967208595</c:v>
                </c:pt>
                <c:pt idx="5">
                  <c:v>3.7623737026789232</c:v>
                </c:pt>
                <c:pt idx="6">
                  <c:v>3.9460262226685532</c:v>
                </c:pt>
                <c:pt idx="7">
                  <c:v>4.0839977424610865</c:v>
                </c:pt>
                <c:pt idx="8">
                  <c:v>4.1800166809593993</c:v>
                </c:pt>
                <c:pt idx="9">
                  <c:v>4.2374984902794983</c:v>
                </c:pt>
                <c:pt idx="10">
                  <c:v>4.2595861044856624</c:v>
                </c:pt>
                <c:pt idx="11">
                  <c:v>4.2491849748277994</c:v>
                </c:pt>
                <c:pt idx="12">
                  <c:v>4.2089933431167035</c:v>
                </c:pt>
                <c:pt idx="13">
                  <c:v>4.1415283289169951</c:v>
                </c:pt>
                <c:pt idx="14">
                  <c:v>4.0491483393050158</c:v>
                </c:pt>
                <c:pt idx="15">
                  <c:v>3.9340722509440882</c:v>
                </c:pt>
                <c:pt idx="16">
                  <c:v>3.7983957622170474</c:v>
                </c:pt>
                <c:pt idx="17">
                  <c:v>3.6441052672851293</c:v>
                </c:pt>
                <c:pt idx="18">
                  <c:v>3.4730895634736143</c:v>
                </c:pt>
                <c:pt idx="19">
                  <c:v>3.2871496676674057</c:v>
                </c:pt>
                <c:pt idx="20">
                  <c:v>3.0880069858615982</c:v>
                </c:pt>
                <c:pt idx="21">
                  <c:v>2.8773100521496828</c:v>
                </c:pt>
                <c:pt idx="22">
                  <c:v>2.6566400288025678</c:v>
                </c:pt>
                <c:pt idx="23">
                  <c:v>2.4275151373058019</c:v>
                </c:pt>
                <c:pt idx="24">
                  <c:v>2.191394170937957</c:v>
                </c:pt>
                <c:pt idx="25">
                  <c:v>1.9496792223892017</c:v>
                </c:pt>
                <c:pt idx="26">
                  <c:v>1.7037177447712513</c:v>
                </c:pt>
                <c:pt idx="27">
                  <c:v>1.4548040509257045</c:v>
                </c:pt>
                <c:pt idx="28">
                  <c:v>1.2041803439932042</c:v>
                </c:pt>
                <c:pt idx="29">
                  <c:v>0.95303736158153607</c:v>
                </c:pt>
                <c:pt idx="30">
                  <c:v>0.70251470640931024</c:v>
                </c:pt>
                <c:pt idx="31">
                  <c:v>0.45370092786503374</c:v>
                </c:pt>
                <c:pt idx="32">
                  <c:v>0.20763341138790964</c:v>
                </c:pt>
                <c:pt idx="33">
                  <c:v>-3.4701874159830975E-2</c:v>
                </c:pt>
                <c:pt idx="34">
                  <c:v>-0.27237072699214804</c:v>
                </c:pt>
                <c:pt idx="35">
                  <c:v>-0.50449112204412161</c:v>
                </c:pt>
                <c:pt idx="36">
                  <c:v>-0.73023364589771567</c:v>
                </c:pt>
                <c:pt idx="37">
                  <c:v>-0.94882192749717387</c:v>
                </c:pt>
                <c:pt idx="38">
                  <c:v>-1.1595330391042551</c:v>
                </c:pt>
                <c:pt idx="39">
                  <c:v>-1.3616978455008233</c:v>
                </c:pt>
                <c:pt idx="40">
                  <c:v>-1.5547012826616811</c:v>
                </c:pt>
                <c:pt idx="41">
                  <c:v>-1.7379825500308557</c:v>
                </c:pt>
                <c:pt idx="42">
                  <c:v>-1.9110352031720899</c:v>
                </c:pt>
                <c:pt idx="43">
                  <c:v>-2.073407135957261</c:v>
                </c:pt>
                <c:pt idx="44">
                  <c:v>-2.224700443629545</c:v>
                </c:pt>
                <c:pt idx="45">
                  <c:v>-2.3645711600529213</c:v>
                </c:pt>
                <c:pt idx="46">
                  <c:v>-2.4927288642549592</c:v>
                </c:pt>
                <c:pt idx="47">
                  <c:v>-2.6089361530022499</c:v>
                </c:pt>
                <c:pt idx="48">
                  <c:v>-2.7130079776317921</c:v>
                </c:pt>
                <c:pt idx="49">
                  <c:v>-2.8048108447097824</c:v>
                </c:pt>
                <c:pt idx="50">
                  <c:v>-2.8842618813126863</c:v>
                </c:pt>
                <c:pt idx="51">
                  <c:v>-2.9513277668339493</c:v>
                </c:pt>
                <c:pt idx="52">
                  <c:v>-3.0060235342218151</c:v>
                </c:pt>
                <c:pt idx="53">
                  <c:v>-3.0484112444570424</c:v>
                </c:pt>
                <c:pt idx="54">
                  <c:v>-3.0785985388905379</c:v>
                </c:pt>
                <c:pt idx="55">
                  <c:v>-3.0967370747860343</c:v>
                </c:pt>
                <c:pt idx="56">
                  <c:v>-3.1030208500572249</c:v>
                </c:pt>
                <c:pt idx="57">
                  <c:v>-3.0976844237570234</c:v>
                </c:pt>
                <c:pt idx="58">
                  <c:v>-3.0810010393731084</c:v>
                </c:pt>
                <c:pt idx="59">
                  <c:v>-3.053280658412608</c:v>
                </c:pt>
                <c:pt idx="60">
                  <c:v>-3.0148679121231812</c:v>
                </c:pt>
                <c:pt idx="61">
                  <c:v>-2.9661399795012326</c:v>
                </c:pt>
                <c:pt idx="62">
                  <c:v>-2.9075043999835741</c:v>
                </c:pt>
                <c:pt idx="63">
                  <c:v>-2.839396829409393</c:v>
                </c:pt>
                <c:pt idx="64">
                  <c:v>-2.7622787479776632</c:v>
                </c:pt>
                <c:pt idx="65">
                  <c:v>-2.6766351290136652</c:v>
                </c:pt>
                <c:pt idx="66">
                  <c:v>-2.5829720773995923</c:v>
                </c:pt>
                <c:pt idx="67">
                  <c:v>-2.4818144465206942</c:v>
                </c:pt>
                <c:pt idx="68">
                  <c:v>-2.3737034425323689</c:v>
                </c:pt>
                <c:pt idx="69">
                  <c:v>-2.259194224667362</c:v>
                </c:pt>
                <c:pt idx="70">
                  <c:v>-2.13885351017798</c:v>
                </c:pt>
                <c:pt idx="71">
                  <c:v>-2.0132571923482003</c:v>
                </c:pt>
                <c:pt idx="72">
                  <c:v>-1.8829879798169462</c:v>
                </c:pt>
                <c:pt idx="73">
                  <c:v>-1.7486330652287401</c:v>
                </c:pt>
                <c:pt idx="74">
                  <c:v>-1.6107818309736301</c:v>
                </c:pt>
                <c:pt idx="75">
                  <c:v>-1.4700235994968085</c:v>
                </c:pt>
                <c:pt idx="76">
                  <c:v>-1.3269454353518628</c:v>
                </c:pt>
                <c:pt idx="77">
                  <c:v>-1.1821300058422179</c:v>
                </c:pt>
                <c:pt idx="78">
                  <c:v>-1.0361535067451442</c:v>
                </c:pt>
                <c:pt idx="79">
                  <c:v>-0.88958365924381932</c:v>
                </c:pt>
                <c:pt idx="80">
                  <c:v>-0.74297778380740587</c:v>
                </c:pt>
                <c:pt idx="81">
                  <c:v>-0.59688095635899963</c:v>
                </c:pt>
                <c:pt idx="82">
                  <c:v>-0.45182425165864964</c:v>
                </c:pt>
                <c:pt idx="83">
                  <c:v>-0.30832307840545087</c:v>
                </c:pt>
                <c:pt idx="84">
                  <c:v>-0.16687561013095348</c:v>
                </c:pt>
                <c:pt idx="85">
                  <c:v>-2.7961315517752772E-2</c:v>
                </c:pt>
                <c:pt idx="86">
                  <c:v>0.10796040866596121</c:v>
                </c:pt>
                <c:pt idx="87">
                  <c:v>0.2404514992710424</c:v>
                </c:pt>
                <c:pt idx="88">
                  <c:v>0.36909638081330831</c:v>
                </c:pt>
                <c:pt idx="89">
                  <c:v>0.49350301000902197</c:v>
                </c:pt>
                <c:pt idx="90">
                  <c:v>0.61330380939193119</c:v>
                </c:pt>
                <c:pt idx="91">
                  <c:v>0.72815648904343178</c:v>
                </c:pt>
                <c:pt idx="92">
                  <c:v>0.83774475590125552</c:v>
                </c:pt>
                <c:pt idx="93">
                  <c:v>0.94177891053863183</c:v>
                </c:pt>
                <c:pt idx="94">
                  <c:v>1.0399963317236769</c:v>
                </c:pt>
                <c:pt idx="95">
                  <c:v>1.132161849476413</c:v>
                </c:pt>
                <c:pt idx="96">
                  <c:v>1.2180680077370005</c:v>
                </c:pt>
                <c:pt idx="97">
                  <c:v>1.2975352181422184</c:v>
                </c:pt>
                <c:pt idx="98">
                  <c:v>1.370411806776789</c:v>
                </c:pt>
                <c:pt idx="99">
                  <c:v>1.4365739561207254</c:v>
                </c:pt>
                <c:pt idx="100">
                  <c:v>1.4959255447524713</c:v>
                </c:pt>
                <c:pt idx="101">
                  <c:v>1.5483978876892868</c:v>
                </c:pt>
                <c:pt idx="102">
                  <c:v>1.5939493805502762</c:v>
                </c:pt>
                <c:pt idx="103">
                  <c:v>1.6325650510129031</c:v>
                </c:pt>
                <c:pt idx="104">
                  <c:v>1.6642560213001276</c:v>
                </c:pt>
                <c:pt idx="105">
                  <c:v>1.6890588856818765</c:v>
                </c:pt>
                <c:pt idx="106">
                  <c:v>1.7070350072008955</c:v>
                </c:pt>
                <c:pt idx="107">
                  <c:v>1.7182697380387826</c:v>
                </c:pt>
                <c:pt idx="108">
                  <c:v>1.7228715681227977</c:v>
                </c:pt>
                <c:pt idx="109">
                  <c:v>1.7209712067377116</c:v>
                </c:pt>
                <c:pt idx="110">
                  <c:v>1.7127206020493031</c:v>
                </c:pt>
                <c:pt idx="111">
                  <c:v>1.69829190356712</c:v>
                </c:pt>
                <c:pt idx="112">
                  <c:v>1.6778763726737824</c:v>
                </c:pt>
                <c:pt idx="113">
                  <c:v>1.6516832464265347</c:v>
                </c:pt>
                <c:pt idx="114">
                  <c:v>1.6199385598941296</c:v>
                </c:pt>
                <c:pt idx="115">
                  <c:v>1.582883932328693</c:v>
                </c:pt>
                <c:pt idx="116">
                  <c:v>1.5407753224883118</c:v>
                </c:pt>
                <c:pt idx="117">
                  <c:v>1.4938817584220918</c:v>
                </c:pt>
                <c:pt idx="118">
                  <c:v>1.4424840470058116</c:v>
                </c:pt>
                <c:pt idx="119">
                  <c:v>1.38687346847358</c:v>
                </c:pt>
                <c:pt idx="120">
                  <c:v>1.327350461129662</c:v>
                </c:pt>
                <c:pt idx="121">
                  <c:v>1.264223301345518</c:v>
                </c:pt>
                <c:pt idx="122">
                  <c:v>1.1978067838507891</c:v>
                </c:pt>
                <c:pt idx="123">
                  <c:v>1.1284209072142031</c:v>
                </c:pt>
                <c:pt idx="124">
                  <c:v>1.0563895692819436</c:v>
                </c:pt>
                <c:pt idx="125">
                  <c:v>0.98203927719776496</c:v>
                </c:pt>
                <c:pt idx="126">
                  <c:v>0.90569787647188083</c:v>
                </c:pt>
                <c:pt idx="127">
                  <c:v>0.82769330339533242</c:v>
                </c:pt>
                <c:pt idx="128">
                  <c:v>0.74835236491404722</c:v>
                </c:pt>
                <c:pt idx="129">
                  <c:v>0.66799954988310006</c:v>
                </c:pt>
                <c:pt idx="130">
                  <c:v>0.58695587541774186</c:v>
                </c:pt>
                <c:pt idx="131">
                  <c:v>0.50553777184456028</c:v>
                </c:pt>
                <c:pt idx="132">
                  <c:v>0.42405600953467282</c:v>
                </c:pt>
                <c:pt idx="133">
                  <c:v>0.34281467067213789</c:v>
                </c:pt>
                <c:pt idx="134">
                  <c:v>0.26211016877581095</c:v>
                </c:pt>
                <c:pt idx="135">
                  <c:v>0.18223031855268246</c:v>
                </c:pt>
                <c:pt idx="136">
                  <c:v>0.10345345841632284</c:v>
                </c:pt>
                <c:pt idx="137">
                  <c:v>2.6047627756426994E-2</c:v>
                </c:pt>
                <c:pt idx="138">
                  <c:v>-4.9730199204411615E-2</c:v>
                </c:pt>
                <c:pt idx="139">
                  <c:v>-0.12363482138168122</c:v>
                </c:pt>
                <c:pt idx="140">
                  <c:v>-0.19543345929407496</c:v>
                </c:pt>
                <c:pt idx="141">
                  <c:v>-0.26490634293990206</c:v>
                </c:pt>
                <c:pt idx="142">
                  <c:v>-0.33184723825112222</c:v>
                </c:pt>
                <c:pt idx="143">
                  <c:v>-0.39606391153807202</c:v>
                </c:pt>
                <c:pt idx="144">
                  <c:v>-0.45737853158136754</c:v>
                </c:pt>
                <c:pt idx="145">
                  <c:v>-0.51562800926673502</c:v>
                </c:pt>
                <c:pt idx="146">
                  <c:v>-0.57066427489284333</c:v>
                </c:pt>
                <c:pt idx="147">
                  <c:v>-0.62235449351083105</c:v>
                </c:pt>
                <c:pt idx="148">
                  <c:v>-0.67058121887640987</c:v>
                </c:pt>
                <c:pt idx="149">
                  <c:v>-0.71524248681051072</c:v>
                </c:pt>
                <c:pt idx="150">
                  <c:v>-0.75625184897177022</c:v>
                </c:pt>
                <c:pt idx="151">
                  <c:v>-0.79353834824314129</c:v>
                </c:pt>
                <c:pt idx="152">
                  <c:v>-0.82704643712499881</c:v>
                </c:pt>
                <c:pt idx="153">
                  <c:v>-0.8567358407077883</c:v>
                </c:pt>
                <c:pt idx="154">
                  <c:v>-0.88258136596807557</c:v>
                </c:pt>
                <c:pt idx="155">
                  <c:v>-0.90457265929238273</c:v>
                </c:pt>
                <c:pt idx="156">
                  <c:v>-0.92271391428306682</c:v>
                </c:pt>
                <c:pt idx="157">
                  <c:v>-0.93702353203940592</c:v>
                </c:pt>
                <c:pt idx="158">
                  <c:v>-0.94753373623471981</c:v>
                </c:pt>
                <c:pt idx="159">
                  <c:v>-0.95429014542654722</c:v>
                </c:pt>
                <c:pt idx="160">
                  <c:v>-0.95735130514146216</c:v>
                </c:pt>
                <c:pt idx="161">
                  <c:v>-0.95678818236889451</c:v>
                </c:pt>
                <c:pt idx="162">
                  <c:v>-0.95268362517925387</c:v>
                </c:pt>
                <c:pt idx="163">
                  <c:v>-0.94513179025069904</c:v>
                </c:pt>
                <c:pt idx="164">
                  <c:v>-0.93423754114605873</c:v>
                </c:pt>
                <c:pt idx="165">
                  <c:v>-0.92011582022674232</c:v>
                </c:pt>
                <c:pt idx="166">
                  <c:v>-0.90289099712408138</c:v>
                </c:pt>
                <c:pt idx="167">
                  <c:v>-0.88269619671054489</c:v>
                </c:pt>
                <c:pt idx="168">
                  <c:v>-0.85967260952385804</c:v>
                </c:pt>
                <c:pt idx="169">
                  <c:v>-0.83396878759643134</c:v>
                </c:pt>
                <c:pt idx="170">
                  <c:v>-0.80573992863093424</c:v>
                </c:pt>
                <c:pt idx="171">
                  <c:v>-0.77514715144060775</c:v>
                </c:pt>
                <c:pt idx="172">
                  <c:v>-0.74235676554032604</c:v>
                </c:pt>
                <c:pt idx="173">
                  <c:v>-0.70753953773183675</c:v>
                </c:pt>
                <c:pt idx="174">
                  <c:v>-0.67086995847441921</c:v>
                </c:pt>
                <c:pt idx="175">
                  <c:v>-0.63252551077080066</c:v>
                </c:pt>
                <c:pt idx="176">
                  <c:v>-0.59268594422800303</c:v>
                </c:pt>
                <c:pt idx="177">
                  <c:v>-0.55153255687430625</c:v>
                </c:pt>
                <c:pt idx="178">
                  <c:v>-0.50924748722719193</c:v>
                </c:pt>
                <c:pt idx="179">
                  <c:v>-0.46601301901346054</c:v>
                </c:pt>
                <c:pt idx="180">
                  <c:v>-0.42201090084221893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29-48B6-B4B1-E7897291B398}"/>
            </c:ext>
          </c:extLst>
        </c:ser>
        <c:ser>
          <c:idx val="3"/>
          <c:order val="3"/>
          <c:tx>
            <c:strRef>
              <c:f>Plan3!$F$12</c:f>
              <c:strCache>
                <c:ptCount val="1"/>
                <c:pt idx="0">
                  <c:v>xr3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Plan3!$B$13:$B$300</c:f>
              <c:numCache>
                <c:formatCode>0.00</c:formatCode>
                <c:ptCount val="288"/>
                <c:pt idx="0">
                  <c:v>1</c:v>
                </c:pt>
                <c:pt idx="1">
                  <c:v>0.65250526489916671</c:v>
                </c:pt>
                <c:pt idx="2">
                  <c:v>0.27456928108334444</c:v>
                </c:pt>
                <c:pt idx="3">
                  <c:v>-0.12744614312063068</c:v>
                </c:pt>
                <c:pt idx="4">
                  <c:v>-0.54774368641719473</c:v>
                </c:pt>
                <c:pt idx="5">
                  <c:v>-0.98103817538453075</c:v>
                </c:pt>
                <c:pt idx="6">
                  <c:v>-1.4225108447735559</c:v>
                </c:pt>
                <c:pt idx="7">
                  <c:v>-1.8677693422157009</c:v>
                </c:pt>
                <c:pt idx="8">
                  <c:v>-2.3128127250700512</c:v>
                </c:pt>
                <c:pt idx="9">
                  <c:v>-2.7540007878492609</c:v>
                </c:pt>
                <c:pt idx="10">
                  <c:v>-3.1880271387398116</c:v>
                </c:pt>
                <c:pt idx="11">
                  <c:v>-3.6118955144398264</c:v>
                </c:pt>
                <c:pt idx="12">
                  <c:v>-4.0228988849890088</c:v>
                </c:pt>
                <c:pt idx="13">
                  <c:v>-4.4186009554389534</c:v>
                </c:pt>
                <c:pt idx="14">
                  <c:v>-4.7968197199690055</c:v>
                </c:pt>
                <c:pt idx="15">
                  <c:v>-5.1556127671504832</c:v>
                </c:pt>
                <c:pt idx="16">
                  <c:v>-5.4932640731667934</c:v>
                </c:pt>
                <c:pt idx="17">
                  <c:v>-5.8082720534950303</c:v>
                </c:pt>
                <c:pt idx="18">
                  <c:v>-6.0993386733618289</c:v>
                </c:pt>
                <c:pt idx="19">
                  <c:v>-6.3653594436563194</c:v>
                </c:pt>
                <c:pt idx="20">
                  <c:v>-6.6054141523152765</c:v>
                </c:pt>
                <c:pt idx="21">
                  <c:v>-6.8187582018412565</c:v>
                </c:pt>
                <c:pt idx="22">
                  <c:v>-7.0048144418828375</c:v>
                </c:pt>
                <c:pt idx="23">
                  <c:v>-7.1631654019690671</c:v>
                </c:pt>
                <c:pt idx="24">
                  <c:v>-7.2935458437874008</c:v>
                </c:pt>
                <c:pt idx="25">
                  <c:v>-7.3958355650366068</c:v>
                </c:pt>
                <c:pt idx="26">
                  <c:v>-7.470052398059023</c:v>
                </c:pt>
                <c:pt idx="27">
                  <c:v>-7.5163453563237574</c:v>
                </c:pt>
                <c:pt idx="28">
                  <c:v>-7.5349878905380683</c:v>
                </c:pt>
                <c:pt idx="29">
                  <c:v>-7.5263712238353708</c:v>
                </c:pt>
                <c:pt idx="30">
                  <c:v>-7.4909977422372025</c:v>
                </c:pt>
                <c:pt idx="31">
                  <c:v>-7.4294744225120359</c:v>
                </c:pt>
                <c:pt idx="32">
                  <c:v>-7.3425062847435232</c:v>
                </c:pt>
                <c:pt idx="33">
                  <c:v>-7.230889861451872</c:v>
                </c:pt>
                <c:pt idx="34">
                  <c:v>-7.0955066790531331</c:v>
                </c:pt>
                <c:pt idx="35">
                  <c:v>-6.9373167508527827</c:v>
                </c:pt>
                <c:pt idx="36">
                  <c:v>-6.7573520837060723</c:v>
                </c:pt>
                <c:pt idx="37">
                  <c:v>-6.5567102029859639</c:v>
                </c:pt>
                <c:pt idx="38">
                  <c:v>-6.3365477026227524</c:v>
                </c:pt>
                <c:pt idx="39">
                  <c:v>-6.0980738287556999</c:v>
                </c:pt>
                <c:pt idx="40">
                  <c:v>-5.8425441070001636</c:v>
                </c:pt>
                <c:pt idx="41">
                  <c:v>-5.5712540245142943</c:v>
                </c:pt>
                <c:pt idx="42">
                  <c:v>-5.2855327789747584</c:v>
                </c:pt>
                <c:pt idx="43">
                  <c:v>-4.9867371072657916</c:v>
                </c:pt>
                <c:pt idx="44">
                  <c:v>-4.6762452071725065</c:v>
                </c:pt>
                <c:pt idx="45">
                  <c:v>-4.3554507656679595</c:v>
                </c:pt>
                <c:pt idx="46">
                  <c:v>-4.0257571075124359</c:v>
                </c:pt>
                <c:pt idx="47">
                  <c:v>-3.6885714778594392</c:v>
                </c:pt>
                <c:pt idx="48">
                  <c:v>-3.3452994724014102</c:v>
                </c:pt>
                <c:pt idx="49">
                  <c:v>-2.9973396283032816</c:v>
                </c:pt>
                <c:pt idx="50">
                  <c:v>-2.6460781887766132</c:v>
                </c:pt>
                <c:pt idx="51">
                  <c:v>-2.2928840536532888</c:v>
                </c:pt>
                <c:pt idx="52">
                  <c:v>-1.9391039277366966</c:v>
                </c:pt>
                <c:pt idx="53">
                  <c:v>-1.586057678050367</c:v>
                </c:pt>
                <c:pt idx="54">
                  <c:v>-1.2350339103788555</c:v>
                </c:pt>
                <c:pt idx="55">
                  <c:v>-0.88728577471228975</c:v>
                </c:pt>
                <c:pt idx="56">
                  <c:v>-0.54402700837294393</c:v>
                </c:pt>
                <c:pt idx="57">
                  <c:v>-0.20642822472739808</c:v>
                </c:pt>
                <c:pt idx="58">
                  <c:v>0.12438654552119144</c:v>
                </c:pt>
                <c:pt idx="59">
                  <c:v>0.44734305440240574</c:v>
                </c:pt>
                <c:pt idx="60">
                  <c:v>0.76141977300791053</c:v>
                </c:pt>
                <c:pt idx="61">
                  <c:v>1.0656505599502966</c:v>
                </c:pt>
                <c:pt idx="62">
                  <c:v>1.3591270588002342</c:v>
                </c:pt>
                <c:pt idx="63">
                  <c:v>1.6410008223328876</c:v>
                </c:pt>
                <c:pt idx="64">
                  <c:v>1.9104851623941828</c:v>
                </c:pt>
                <c:pt idx="65">
                  <c:v>2.1668567251697457</c:v>
                </c:pt>
                <c:pt idx="66">
                  <c:v>2.4094567925994843</c:v>
                </c:pt>
                <c:pt idx="67">
                  <c:v>2.6376923116245279</c:v>
                </c:pt>
                <c:pt idx="68">
                  <c:v>2.8510366538765091</c:v>
                </c:pt>
                <c:pt idx="69">
                  <c:v>3.0490301093181595</c:v>
                </c:pt>
                <c:pt idx="70">
                  <c:v>3.2312801182153992</c:v>
                </c:pt>
                <c:pt idx="71">
                  <c:v>3.3974612466612819</c:v>
                </c:pt>
                <c:pt idx="72">
                  <c:v>3.5473149116783032</c:v>
                </c:pt>
                <c:pt idx="73">
                  <c:v>3.6806488626949947</c:v>
                </c:pt>
                <c:pt idx="74">
                  <c:v>3.7973364269229144</c:v>
                </c:pt>
                <c:pt idx="75">
                  <c:v>3.8973155268489048</c:v>
                </c:pt>
                <c:pt idx="76">
                  <c:v>3.9805874787028457</c:v>
                </c:pt>
                <c:pt idx="77">
                  <c:v>4.0472155813613524</c:v>
                </c:pt>
                <c:pt idx="78">
                  <c:v>4.0973235057014881</c:v>
                </c:pt>
                <c:pt idx="79">
                  <c:v>4.1310934949243219</c:v>
                </c:pt>
                <c:pt idx="80">
                  <c:v>4.148764386825051</c:v>
                </c:pt>
                <c:pt idx="81">
                  <c:v>4.1506294693936443</c:v>
                </c:pt>
                <c:pt idx="82">
                  <c:v>4.1370341814869898</c:v>
                </c:pt>
                <c:pt idx="83">
                  <c:v>4.1083736706199767</c:v>
                </c:pt>
                <c:pt idx="84">
                  <c:v>4.0650902201787291</c:v>
                </c:pt>
                <c:pt idx="85">
                  <c:v>4.0076705585643477</c:v>
                </c:pt>
                <c:pt idx="86">
                  <c:v>3.9366430629303135</c:v>
                </c:pt>
                <c:pt idx="87">
                  <c:v>3.8525748702816487</c:v>
                </c:pt>
                <c:pt idx="88">
                  <c:v>3.7560689087595986</c:v>
                </c:pt>
                <c:pt idx="89">
                  <c:v>3.647760861942893</c:v>
                </c:pt>
                <c:pt idx="90">
                  <c:v>3.5283160789565167</c:v>
                </c:pt>
                <c:pt idx="91">
                  <c:v>3.3984264430925339</c:v>
                </c:pt>
                <c:pt idx="92">
                  <c:v>3.2588072115161859</c:v>
                </c:pt>
                <c:pt idx="93">
                  <c:v>3.1101938384556562</c:v>
                </c:pt>
                <c:pt idx="94">
                  <c:v>2.9533387940571627</c:v>
                </c:pt>
                <c:pt idx="95">
                  <c:v>2.7890083908301051</c:v>
                </c:pt>
                <c:pt idx="96">
                  <c:v>2.6179796293116748</c:v>
                </c:pt>
                <c:pt idx="97">
                  <c:v>2.4410370742485825</c:v>
                </c:pt>
                <c:pt idx="98">
                  <c:v>2.2589697722273683</c:v>
                </c:pt>
                <c:pt idx="99">
                  <c:v>2.0725682212862626</c:v>
                </c:pt>
                <c:pt idx="100">
                  <c:v>1.8826214026129344</c:v>
                </c:pt>
                <c:pt idx="101">
                  <c:v>1.6899138839759555</c:v>
                </c:pt>
                <c:pt idx="102">
                  <c:v>1.4952230040557268</c:v>
                </c:pt>
                <c:pt idx="103">
                  <c:v>1.2993161463352969</c:v>
                </c:pt>
                <c:pt idx="104">
                  <c:v>1.102948110685356</c:v>
                </c:pt>
                <c:pt idx="105">
                  <c:v>0.90685859023310678</c:v>
                </c:pt>
                <c:pt idx="106">
                  <c:v>0.71176976054412866</c:v>
                </c:pt>
                <c:pt idx="107">
                  <c:v>0.51838398757219406</c:v>
                </c:pt>
                <c:pt idx="108">
                  <c:v>0.32738166024670012</c:v>
                </c:pt>
                <c:pt idx="109">
                  <c:v>0.13941915297335342</c:v>
                </c:pt>
                <c:pt idx="110">
                  <c:v>-4.4873077276602669E-2</c:v>
                </c:pt>
                <c:pt idx="111">
                  <c:v>-0.22489225521764233</c:v>
                </c:pt>
                <c:pt idx="112">
                  <c:v>-0.40006490937665962</c:v>
                </c:pt>
                <c:pt idx="113">
                  <c:v>-0.5698483492353752</c:v>
                </c:pt>
                <c:pt idx="114">
                  <c:v>-0.73373199513111143</c:v>
                </c:pt>
                <c:pt idx="115">
                  <c:v>-0.89123855925594819</c:v>
                </c:pt>
                <c:pt idx="116">
                  <c:v>-1.0419250766844685</c:v>
                </c:pt>
                <c:pt idx="117">
                  <c:v>-1.1853837859413006</c:v>
                </c:pt>
                <c:pt idx="118">
                  <c:v>-1.3212428591895233</c:v>
                </c:pt>
                <c:pt idx="119">
                  <c:v>-1.4491669826778584</c:v>
                </c:pt>
                <c:pt idx="120">
                  <c:v>-1.5688577886266295</c:v>
                </c:pt>
                <c:pt idx="121">
                  <c:v>-1.6800541402580695</c:v>
                </c:pt>
                <c:pt idx="122">
                  <c:v>-1.7825322721840966</c:v>
                </c:pt>
                <c:pt idx="123">
                  <c:v>-1.8761057888526866</c:v>
                </c:pt>
                <c:pt idx="124">
                  <c:v>-1.960625524221062</c:v>
                </c:pt>
                <c:pt idx="125">
                  <c:v>-2.0359792662688299</c:v>
                </c:pt>
                <c:pt idx="126">
                  <c:v>-2.1020913503857779</c:v>
                </c:pt>
                <c:pt idx="127">
                  <c:v>-2.1589221260662206</c:v>
                </c:pt>
                <c:pt idx="128">
                  <c:v>-2.2064673017136722</c:v>
                </c:pt>
                <c:pt idx="129">
                  <c:v>-2.2447571727053548</c:v>
                </c:pt>
                <c:pt idx="130">
                  <c:v>-2.2738557381849605</c:v>
                </c:pt>
                <c:pt idx="131">
                  <c:v>-2.293859712343576</c:v>
                </c:pt>
                <c:pt idx="132">
                  <c:v>-2.3048974362122716</c:v>
                </c:pt>
                <c:pt idx="133">
                  <c:v>-2.3071276962251988</c:v>
                </c:pt>
                <c:pt idx="134">
                  <c:v>-2.3007384560188937</c:v>
                </c:pt>
                <c:pt idx="135">
                  <c:v>-2.2859455081117157</c:v>
                </c:pt>
                <c:pt idx="136">
                  <c:v>-2.2629910522569068</c:v>
                </c:pt>
                <c:pt idx="137">
                  <c:v>-2.2321422073837813</c:v>
                </c:pt>
                <c:pt idx="138">
                  <c:v>-2.193689464134164</c:v>
                </c:pt>
                <c:pt idx="139">
                  <c:v>-2.1479450850657376</c:v>
                </c:pt>
                <c:pt idx="140">
                  <c:v>-2.0952414596307771</c:v>
                </c:pt>
                <c:pt idx="141">
                  <c:v>-2.0359294210483547</c:v>
                </c:pt>
                <c:pt idx="142">
                  <c:v>-1.9703765321710371</c:v>
                </c:pt>
                <c:pt idx="143">
                  <c:v>-1.8989653474040546</c:v>
                </c:pt>
                <c:pt idx="144">
                  <c:v>-1.8220916576666011</c:v>
                </c:pt>
                <c:pt idx="145">
                  <c:v>-1.7401627252921803</c:v>
                </c:pt>
                <c:pt idx="146">
                  <c:v>-1.6535955156486077</c:v>
                </c:pt>
                <c:pt idx="147">
                  <c:v>-1.5628149321193754</c:v>
                </c:pt>
                <c:pt idx="148">
                  <c:v>-1.46825206092762</c:v>
                </c:pt>
                <c:pt idx="149">
                  <c:v>-1.3703424321029523</c:v>
                </c:pt>
                <c:pt idx="150">
                  <c:v>-1.2695243026910683</c:v>
                </c:pt>
                <c:pt idx="151">
                  <c:v>-1.1662369680875229</c:v>
                </c:pt>
                <c:pt idx="152">
                  <c:v>-1.0609191071415289</c:v>
                </c:pt>
                <c:pt idx="153">
                  <c:v>-0.95400716642441208</c:v>
                </c:pt>
                <c:pt idx="154">
                  <c:v>-0.84593378879166603</c:v>
                </c:pt>
                <c:pt idx="155">
                  <c:v>-0.73712629108874572</c:v>
                </c:pt>
                <c:pt idx="156">
                  <c:v>-0.62800519556012135</c:v>
                </c:pt>
                <c:pt idx="157">
                  <c:v>-0.51898281922004008</c:v>
                </c:pt>
                <c:pt idx="158">
                  <c:v>-0.41046192513325869</c:v>
                </c:pt>
                <c:pt idx="159">
                  <c:v>-0.30283443923606973</c:v>
                </c:pt>
                <c:pt idx="160">
                  <c:v>-0.19648023600360703</c:v>
                </c:pt>
                <c:pt idx="161">
                  <c:v>-9.176599594002105E-2</c:v>
                </c:pt>
                <c:pt idx="162">
                  <c:v>1.0955862464993207E-2</c:v>
                </c:pt>
                <c:pt idx="163">
                  <c:v>0.11134817400534074</c:v>
                </c:pt>
                <c:pt idx="164">
                  <c:v>0.20908993928197134</c:v>
                </c:pt>
                <c:pt idx="165">
                  <c:v>0.30387715684567962</c:v>
                </c:pt>
                <c:pt idx="166">
                  <c:v>0.39542357365931724</c:v>
                </c:pt>
                <c:pt idx="167">
                  <c:v>0.48346135291184233</c:v>
                </c:pt>
                <c:pt idx="168">
                  <c:v>0.56774165854518555</c:v>
                </c:pt>
                <c:pt idx="169">
                  <c:v>0.64803515617852092</c:v>
                </c:pt>
                <c:pt idx="170">
                  <c:v>0.72413243043209907</c:v>
                </c:pt>
                <c:pt idx="171">
                  <c:v>0.79584431896328367</c:v>
                </c:pt>
                <c:pt idx="172">
                  <c:v>0.86300216382983963</c:v>
                </c:pt>
                <c:pt idx="173">
                  <c:v>0.92545798108890309</c:v>
                </c:pt>
                <c:pt idx="174">
                  <c:v>0.98308454982353388</c:v>
                </c:pt>
                <c:pt idx="175">
                  <c:v>1.0357754220614801</c:v>
                </c:pt>
                <c:pt idx="176">
                  <c:v>1.0834448553119942</c:v>
                </c:pt>
                <c:pt idx="177">
                  <c:v>1.1260276696955174</c:v>
                </c:pt>
                <c:pt idx="178">
                  <c:v>1.1634790318771502</c:v>
                </c:pt>
                <c:pt idx="179">
                  <c:v>1.1957741682374434</c:v>
                </c:pt>
                <c:pt idx="180">
                  <c:v>1.2229080099226739</c:v>
                </c:pt>
                <c:pt idx="181">
                  <c:v>1.2448947726109232</c:v>
                </c:pt>
                <c:pt idx="182">
                  <c:v>1.2617674740095826</c:v>
                </c:pt>
                <c:pt idx="183">
                  <c:v>1.2735773922640026</c:v>
                </c:pt>
                <c:pt idx="184">
                  <c:v>1.2803934686056475</c:v>
                </c:pt>
                <c:pt idx="185">
                  <c:v>1.2823016577010671</c:v>
                </c:pt>
                <c:pt idx="186">
                  <c:v>1.2794042292801422</c:v>
                </c:pt>
                <c:pt idx="187">
                  <c:v>1.2718190247232988</c:v>
                </c:pt>
                <c:pt idx="188">
                  <c:v>1.2596786723726943</c:v>
                </c:pt>
                <c:pt idx="189">
                  <c:v>1.2431297654018112</c:v>
                </c:pt>
                <c:pt idx="190">
                  <c:v>1.2223320061315308</c:v>
                </c:pt>
                <c:pt idx="191">
                  <c:v>1.1974573207187564</c:v>
                </c:pt>
                <c:pt idx="192">
                  <c:v>1.1686889481662288</c:v>
                </c:pt>
                <c:pt idx="193">
                  <c:v>1.1362205076095764</c:v>
                </c:pt>
                <c:pt idx="194">
                  <c:v>1.1002550478301805</c:v>
                </c:pt>
                <c:pt idx="195">
                  <c:v>1.0610040829204788</c:v>
                </c:pt>
                <c:pt idx="196">
                  <c:v>1.0186866179922722</c:v>
                </c:pt>
                <c:pt idx="197">
                  <c:v>0.97352816876889448</c:v>
                </c:pt>
                <c:pt idx="198">
                  <c:v>0.92575977883924288</c:v>
                </c:pt>
                <c:pt idx="199">
                  <c:v>0.87561703827617066</c:v>
                </c:pt>
                <c:pt idx="200">
                  <c:v>0.82333910723417336</c:v>
                </c:pt>
                <c:pt idx="201">
                  <c:v>0.76916774804226007</c:v>
                </c:pt>
                <c:pt idx="202">
                  <c:v>0.71334636919800143</c:v>
                </c:pt>
                <c:pt idx="203">
                  <c:v>0.65611908454865064</c:v>
                </c:pt>
                <c:pt idx="204">
                  <c:v>0.5977297908156004</c:v>
                </c:pt>
                <c:pt idx="205">
                  <c:v>0.53842126647997901</c:v>
                </c:pt>
                <c:pt idx="206">
                  <c:v>0.47843429490059702</c:v>
                </c:pt>
                <c:pt idx="207">
                  <c:v>0.41800681438147064</c:v>
                </c:pt>
                <c:pt idx="208">
                  <c:v>0.35737309774549775</c:v>
                </c:pt>
                <c:pt idx="209">
                  <c:v>0.29676296380429651</c:v>
                </c:pt>
                <c:pt idx="210">
                  <c:v>0.2364010229424843</c:v>
                </c:pt>
                <c:pt idx="211">
                  <c:v>0.17650595885852952</c:v>
                </c:pt>
                <c:pt idx="212">
                  <c:v>0.11728984832450175</c:v>
                </c:pt>
                <c:pt idx="213">
                  <c:v>5.8957520644329638E-2</c:v>
                </c:pt>
                <c:pt idx="214">
                  <c:v>1.7059583052898911E-3</c:v>
                </c:pt>
                <c:pt idx="215">
                  <c:v>-5.4276259868865827E-2</c:v>
                </c:pt>
                <c:pt idx="216">
                  <c:v>-0.10880947194176571</c:v>
                </c:pt>
                <c:pt idx="217">
                  <c:v>-0.16172340153089776</c:v>
                </c:pt>
                <c:pt idx="218">
                  <c:v>-0.21285758116868558</c:v>
                </c:pt>
                <c:pt idx="219">
                  <c:v>-0.26206172979508524</c:v>
                </c:pt>
                <c:pt idx="220">
                  <c:v>-0.30919608400155241</c:v>
                </c:pt>
                <c:pt idx="221">
                  <c:v>-0.35413168282649043</c:v>
                </c:pt>
                <c:pt idx="222">
                  <c:v>-0.39675060607927559</c:v>
                </c:pt>
                <c:pt idx="223">
                  <c:v>-0.43694616634308503</c:v>
                </c:pt>
                <c:pt idx="224">
                  <c:v>-0.47462305497546398</c:v>
                </c:pt>
                <c:pt idx="225">
                  <c:v>-0.5096974425893388</c:v>
                </c:pt>
                <c:pt idx="226">
                  <c:v>-0.54209703465550729</c:v>
                </c:pt>
                <c:pt idx="227">
                  <c:v>-0.57176108302005568</c:v>
                </c:pt>
                <c:pt idx="228">
                  <c:v>-0.59864035427622686</c:v>
                </c:pt>
                <c:pt idx="229">
                  <c:v>-0.62269705606959103</c:v>
                </c:pt>
                <c:pt idx="230">
                  <c:v>-0.64390472254759035</c:v>
                </c:pt>
                <c:pt idx="231">
                  <c:v>-0.66224806028929972</c:v>
                </c:pt>
                <c:pt idx="232">
                  <c:v>-0.67772275616827793</c:v>
                </c:pt>
                <c:pt idx="233">
                  <c:v>-0.6903352487104083</c:v>
                </c:pt>
                <c:pt idx="234">
                  <c:v>-0.70010246460942449</c:v>
                </c:pt>
                <c:pt idx="235">
                  <c:v>-0.70705152215518996</c:v>
                </c:pt>
                <c:pt idx="236">
                  <c:v>-0.71121940341359458</c:v>
                </c:pt>
                <c:pt idx="237">
                  <c:v>-0.71265259707203177</c:v>
                </c:pt>
                <c:pt idx="238">
                  <c:v>-0.71140671393073385</c:v>
                </c:pt>
                <c:pt idx="239">
                  <c:v>-0.70754607707772499</c:v>
                </c:pt>
                <c:pt idx="240">
                  <c:v>-0.70114328883378541</c:v>
                </c:pt>
                <c:pt idx="241">
                  <c:v>-0.69227877659361592</c:v>
                </c:pt>
                <c:pt idx="242">
                  <c:v>-0.68104031972040879</c:v>
                </c:pt>
                <c:pt idx="243">
                  <c:v>-0.66752255967333918</c:v>
                </c:pt>
                <c:pt idx="244">
                  <c:v>-0.65182649556120975</c:v>
                </c:pt>
                <c:pt idx="245">
                  <c:v>-0.6340589673207444</c:v>
                </c:pt>
                <c:pt idx="246">
                  <c:v>-0.61433212871500964</c:v>
                </c:pt>
                <c:pt idx="247">
                  <c:v>-0.59276291233633516</c:v>
                </c:pt>
                <c:pt idx="248">
                  <c:v>-0.56947248877913137</c:v>
                </c:pt>
                <c:pt idx="249">
                  <c:v>-0.54458572212140899</c:v>
                </c:pt>
                <c:pt idx="250">
                  <c:v>-0.51823062381985974</c:v>
                </c:pt>
                <c:pt idx="251">
                  <c:v>-0.49053780708234945</c:v>
                </c:pt>
                <c:pt idx="252">
                  <c:v>-0.46163994373391504</c:v>
                </c:pt>
                <c:pt idx="253">
                  <c:v>-0.43167122553817172</c:v>
                </c:pt>
                <c:pt idx="254">
                  <c:v>-0.40076683187577217</c:v>
                </c:pt>
                <c:pt idx="255">
                  <c:v>-0.36906240561557407</c:v>
                </c:pt>
                <c:pt idx="256">
                  <c:v>-0.33669353894283766</c:v>
                </c:pt>
                <c:pt idx="257">
                  <c:v>-0.30379527083247787</c:v>
                </c:pt>
                <c:pt idx="258">
                  <c:v>-0.27050159777452715</c:v>
                </c:pt>
                <c:pt idx="259">
                  <c:v>-0.23694499927392884</c:v>
                </c:pt>
                <c:pt idx="260">
                  <c:v>-0.20325597955798685</c:v>
                </c:pt>
                <c:pt idx="261">
                  <c:v>-0.16956262683265549</c:v>
                </c:pt>
                <c:pt idx="262">
                  <c:v>-0.13599019133378523</c:v>
                </c:pt>
                <c:pt idx="263">
                  <c:v>-0.10266068332185951</c:v>
                </c:pt>
                <c:pt idx="264">
                  <c:v>-6.9692492069086759E-2</c:v>
                </c:pt>
                <c:pt idx="265">
                  <c:v>-3.720002678636454E-2</c:v>
                </c:pt>
                <c:pt idx="266">
                  <c:v>-5.2933803350250636E-3</c:v>
                </c:pt>
                <c:pt idx="267">
                  <c:v>2.5921983535189246E-2</c:v>
                </c:pt>
                <c:pt idx="268">
                  <c:v>5.63455187843801E-2</c:v>
                </c:pt>
                <c:pt idx="269">
                  <c:v>8.5881860983399588E-2</c:v>
                </c:pt>
                <c:pt idx="270">
                  <c:v>0.11444106608745748</c:v>
                </c:pt>
                <c:pt idx="271">
                  <c:v>0.14193882375539418</c:v>
                </c:pt>
                <c:pt idx="272">
                  <c:v>0.16829664498942082</c:v>
                </c:pt>
                <c:pt idx="273">
                  <c:v>0.19344202397053217</c:v>
                </c:pt>
                <c:pt idx="274">
                  <c:v>0.21730857406342891</c:v>
                </c:pt>
                <c:pt idx="275">
                  <c:v>0.23983613806131568</c:v>
                </c:pt>
                <c:pt idx="276">
                  <c:v>0.26097087283505943</c:v>
                </c:pt>
                <c:pt idx="277">
                  <c:v>0.28066530864260197</c:v>
                </c:pt>
                <c:pt idx="278">
                  <c:v>0.29887838344294387</c:v>
                </c:pt>
                <c:pt idx="279">
                  <c:v>0.31557545264418868</c:v>
                </c:pt>
                <c:pt idx="280">
                  <c:v>0.33072827479681827</c:v>
                </c:pt>
                <c:pt idx="281">
                  <c:v>0.34431497382132997</c:v>
                </c:pt>
                <c:pt idx="282">
                  <c:v>0.35631997843340307</c:v>
                </c:pt>
                <c:pt idx="283">
                  <c:v>0.36673393949968419</c:v>
                </c:pt>
                <c:pt idx="284">
                  <c:v>0.37555362612292392</c:v>
                </c:pt>
                <c:pt idx="285">
                  <c:v>0.38278180131640854</c:v>
                </c:pt>
                <c:pt idx="286">
                  <c:v>0.38842707818428512</c:v>
                </c:pt>
                <c:pt idx="287">
                  <c:v>0.39250375757636513</c:v>
                </c:pt>
              </c:numCache>
            </c:numRef>
          </c:xVal>
          <c:yVal>
            <c:numRef>
              <c:f>Plan3!$F$13:$F$300</c:f>
              <c:numCache>
                <c:formatCode>0.00</c:formatCode>
                <c:ptCount val="288"/>
                <c:pt idx="0">
                  <c:v>3</c:v>
                </c:pt>
                <c:pt idx="1">
                  <c:v>2.7259516545859168</c:v>
                </c:pt>
                <c:pt idx="2">
                  <c:v>2.47021472304312</c:v>
                </c:pt>
                <c:pt idx="3">
                  <c:v>2.2306586796563561</c:v>
                </c:pt>
                <c:pt idx="4">
                  <c:v>2.0054601955926579</c:v>
                </c:pt>
                <c:pt idx="5">
                  <c:v>1.7930647907974995</c:v>
                </c:pt>
                <c:pt idx="6">
                  <c:v>1.5921529224447755</c:v>
                </c:pt>
                <c:pt idx="7">
                  <c:v>1.4016099888458928</c:v>
                </c:pt>
                <c:pt idx="8">
                  <c:v>1.2204997903973562</c:v>
                </c:pt>
                <c:pt idx="9">
                  <c:v>1.0480410442750132</c:v>
                </c:pt>
                <c:pt idx="10">
                  <c:v>0.88358659806960105</c:v>
                </c:pt>
                <c:pt idx="11">
                  <c:v>0.72660503019749922</c:v>
                </c:pt>
                <c:pt idx="12">
                  <c:v>0.57666436241274921</c:v>
                </c:pt>
                <c:pt idx="13">
                  <c:v>0.43341764270793032</c:v>
                </c:pt>
                <c:pt idx="14">
                  <c:v>0.29659018586522956</c:v>
                </c:pt>
                <c:pt idx="15">
                  <c:v>0.16596828438304539</c:v>
                </c:pt>
                <c:pt idx="16">
                  <c:v>4.1389224878674205E-2</c:v>
                </c:pt>
                <c:pt idx="17">
                  <c:v>-7.7267535275233834E-2</c:v>
                </c:pt>
                <c:pt idx="18">
                  <c:v>-0.1900881590572257</c:v>
                </c:pt>
                <c:pt idx="19">
                  <c:v>-0.29713130146192079</c:v>
                </c:pt>
                <c:pt idx="20">
                  <c:v>-0.39843416122792308</c:v>
                </c:pt>
                <c:pt idx="21">
                  <c:v>-0.49401780045070792</c:v>
                </c:pt>
                <c:pt idx="22">
                  <c:v>-0.58389180965105159</c:v>
                </c:pt>
                <c:pt idx="23">
                  <c:v>-0.66805838687659702</c:v>
                </c:pt>
                <c:pt idx="24">
                  <c:v>-0.74651589152718811</c:v>
                </c:pt>
                <c:pt idx="25">
                  <c:v>-0.81926192667944364</c:v>
                </c:pt>
                <c:pt idx="26">
                  <c:v>-0.88629599762446021</c:v>
                </c:pt>
                <c:pt idx="27">
                  <c:v>-0.94762178902041294</c:v>
                </c:pt>
                <c:pt idx="28">
                  <c:v>-1.0032490984074529</c:v>
                </c:pt>
                <c:pt idx="29">
                  <c:v>-1.0531954597549176</c:v>
                </c:pt>
                <c:pt idx="30">
                  <c:v>-1.0974874871393361</c:v>
                </c:pt>
                <c:pt idx="31">
                  <c:v>-1.1361619655233977</c:v>
                </c:pt>
                <c:pt idx="32">
                  <c:v>-1.1692667128657921</c:v>
                </c:pt>
                <c:pt idx="33">
                  <c:v>-1.1968612353910824</c:v>
                </c:pt>
                <c:pt idx="34">
                  <c:v>-1.219017195744778</c:v>
                </c:pt>
                <c:pt idx="35">
                  <c:v>-1.2358187119139359</c:v>
                </c:pt>
                <c:pt idx="36">
                  <c:v>-1.247362503174827</c:v>
                </c:pt>
                <c:pt idx="37">
                  <c:v>-1.2537578979073687</c:v>
                </c:pt>
                <c:pt idx="38">
                  <c:v>-1.2551267168655387</c:v>
                </c:pt>
                <c:pt idx="39">
                  <c:v>-1.2516030443913806</c:v>
                </c:pt>
                <c:pt idx="40">
                  <c:v>-1.2433328990877246</c:v>
                </c:pt>
                <c:pt idx="41">
                  <c:v>-1.2304738146040544</c:v>
                </c:pt>
                <c:pt idx="42">
                  <c:v>-1.2131943404258585</c:v>
                </c:pt>
                <c:pt idx="43">
                  <c:v>-1.1916734718769808</c:v>
                </c:pt>
                <c:pt idx="44">
                  <c:v>-1.1661000179352965</c:v>
                </c:pt>
                <c:pt idx="45">
                  <c:v>-1.1366719149142901</c:v>
                </c:pt>
                <c:pt idx="46">
                  <c:v>-1.103595493567922</c:v>
                </c:pt>
                <c:pt idx="47">
                  <c:v>-1.0670847067257898</c:v>
                </c:pt>
                <c:pt idx="48">
                  <c:v>-1.0273603241533096</c:v>
                </c:pt>
                <c:pt idx="49">
                  <c:v>-0.98464910095160152</c:v>
                </c:pt>
                <c:pt idx="50">
                  <c:v>-0.93918292545894744</c:v>
                </c:pt>
                <c:pt idx="51">
                  <c:v>-0.89119795228572463</c:v>
                </c:pt>
                <c:pt idx="52">
                  <c:v>-0.84093372580389847</c:v>
                </c:pt>
                <c:pt idx="53">
                  <c:v>-0.78863229911728272</c:v>
                </c:pt>
                <c:pt idx="54">
                  <c:v>-0.73453735325714442</c:v>
                </c:pt>
                <c:pt idx="55">
                  <c:v>-0.67889332107706291</c:v>
                </c:pt>
                <c:pt idx="56">
                  <c:v>-0.62194452005933809</c:v>
                </c:pt>
                <c:pt idx="57">
                  <c:v>-0.56393429799109818</c:v>
                </c:pt>
                <c:pt idx="58">
                  <c:v>-0.50510419522029881</c:v>
                </c:pt>
                <c:pt idx="59">
                  <c:v>-0.44569312695898378</c:v>
                </c:pt>
                <c:pt idx="60">
                  <c:v>-0.38593658886268695</c:v>
                </c:pt>
                <c:pt idx="61">
                  <c:v>-0.32606588888006749</c:v>
                </c:pt>
                <c:pt idx="62">
                  <c:v>-0.26630740813533188</c:v>
                </c:pt>
                <c:pt idx="63">
                  <c:v>-0.20688189337740706</c:v>
                </c:pt>
                <c:pt idx="64">
                  <c:v>-0.1480037833040003</c:v>
                </c:pt>
                <c:pt idx="65">
                  <c:v>-8.988057084555115E-2</c:v>
                </c:pt>
                <c:pt idx="66">
                  <c:v>-3.2712203273665141E-2</c:v>
                </c:pt>
                <c:pt idx="67">
                  <c:v>2.3309478218976942E-2</c:v>
                </c:pt>
                <c:pt idx="68">
                  <c:v>7.8001258034851723E-2</c:v>
                </c:pt>
                <c:pt idx="69">
                  <c:v>0.13118902356298959</c:v>
                </c:pt>
                <c:pt idx="70">
                  <c:v>0.18270819943248853</c:v>
                </c:pt>
                <c:pt idx="71">
                  <c:v>0.23240413781925778</c:v>
                </c:pt>
                <c:pt idx="72">
                  <c:v>0.28013246419716381</c:v>
                </c:pt>
                <c:pt idx="73">
                  <c:v>0.32575937812036437</c:v>
                </c:pt>
                <c:pt idx="74">
                  <c:v>0.36916190881442634</c:v>
                </c:pt>
                <c:pt idx="75">
                  <c:v>0.41022812553946386</c:v>
                </c:pt>
                <c:pt idx="76">
                  <c:v>0.44885730286864006</c:v>
                </c:pt>
                <c:pt idx="77">
                  <c:v>0.48496004119958552</c:v>
                </c:pt>
                <c:pt idx="78">
                  <c:v>0.51845834298424565</c:v>
                </c:pt>
                <c:pt idx="79">
                  <c:v>0.54928564532403656</c:v>
                </c:pt>
                <c:pt idx="80">
                  <c:v>0.57738680973163459</c:v>
                </c:pt>
                <c:pt idx="81">
                  <c:v>0.60271807000794186</c:v>
                </c:pt>
                <c:pt idx="82">
                  <c:v>0.62524693932247122</c:v>
                </c:pt>
                <c:pt idx="83">
                  <c:v>0.64495207771730667</c:v>
                </c:pt>
                <c:pt idx="84">
                  <c:v>0.66182312137868804</c:v>
                </c:pt>
                <c:pt idx="85">
                  <c:v>0.67586047513591774</c:v>
                </c:pt>
                <c:pt idx="86">
                  <c:v>0.68707506975451049</c:v>
                </c:pt>
                <c:pt idx="87">
                  <c:v>0.69548808568914</c:v>
                </c:pt>
                <c:pt idx="88">
                  <c:v>0.7011306450518574</c:v>
                </c:pt>
                <c:pt idx="89">
                  <c:v>0.70404347363215602</c:v>
                </c:pt>
                <c:pt idx="90">
                  <c:v>0.70427653487767161</c:v>
                </c:pt>
                <c:pt idx="91">
                  <c:v>0.70188863780759658</c:v>
                </c:pt>
                <c:pt idx="92">
                  <c:v>0.69694702088523919</c:v>
                </c:pt>
                <c:pt idx="93">
                  <c:v>0.68952691392159926</c:v>
                </c:pt>
                <c:pt idx="94">
                  <c:v>0.67971108011840731</c:v>
                </c:pt>
                <c:pt idx="95">
                  <c:v>0.66758934038686712</c:v>
                </c:pt>
                <c:pt idx="96">
                  <c:v>0.65325808209746217</c:v>
                </c:pt>
                <c:pt idx="97">
                  <c:v>0.63681975442676553</c:v>
                </c:pt>
                <c:pt idx="98">
                  <c:v>0.61838235246940243</c:v>
                </c:pt>
                <c:pt idx="99">
                  <c:v>0.59805889227733566</c:v>
                </c:pt>
                <c:pt idx="100">
                  <c:v>0.57596687897469789</c:v>
                </c:pt>
                <c:pt idx="101">
                  <c:v>0.55222777007471358</c:v>
                </c:pt>
                <c:pt idx="102">
                  <c:v>0.52696643609610427</c:v>
                </c:pt>
                <c:pt idx="103">
                  <c:v>0.50031062054002728</c:v>
                </c:pt>
                <c:pt idx="104">
                  <c:v>0.47239040124536702</c:v>
                </c:pt>
                <c:pt idx="105">
                  <c:v>0.4433376550903988</c:v>
                </c:pt>
                <c:pt idx="106">
                  <c:v>0.41328552795280826</c:v>
                </c:pt>
                <c:pt idx="107">
                  <c:v>0.3823679117781324</c:v>
                </c:pt>
                <c:pt idx="108">
                  <c:v>0.35071893053925191</c:v>
                </c:pt>
                <c:pt idx="109">
                  <c:v>0.31847243679698617</c:v>
                </c:pt>
                <c:pt idx="110">
                  <c:v>0.28576152049450909</c:v>
                </c:pt>
                <c:pt idx="111">
                  <c:v>0.25271803153661204</c:v>
                </c:pt>
                <c:pt idx="112">
                  <c:v>0.21947211761919075</c:v>
                </c:pt>
                <c:pt idx="113">
                  <c:v>0.18615177868513594</c:v>
                </c:pt>
                <c:pt idx="114">
                  <c:v>0.15288243929047343</c:v>
                </c:pt>
                <c:pt idx="115">
                  <c:v>0.11978654006954378</c:v>
                </c:pt>
                <c:pt idx="116">
                  <c:v>8.6983149390648523E-2</c:v>
                </c:pt>
                <c:pt idx="117">
                  <c:v>5.4587596194334051E-2</c:v>
                </c:pt>
                <c:pt idx="118">
                  <c:v>2.2711124905747448E-2</c:v>
                </c:pt>
                <c:pt idx="119">
                  <c:v>-8.539426789311369E-3</c:v>
                </c:pt>
                <c:pt idx="120">
                  <c:v>-3.9061926617497029E-2</c:v>
                </c:pt>
                <c:pt idx="121">
                  <c:v>-6.8759222255795144E-2</c:v>
                </c:pt>
                <c:pt idx="122">
                  <c:v>-9.7539391252416993E-2</c:v>
                </c:pt>
                <c:pt idx="123">
                  <c:v>-0.12531596595110731</c:v>
                </c:pt>
                <c:pt idx="124">
                  <c:v>-0.15200813314054307</c:v>
                </c:pt>
                <c:pt idx="125">
                  <c:v>-0.17754090825056446</c:v>
                </c:pt>
                <c:pt idx="126">
                  <c:v>-0.20184528401547749</c:v>
                </c:pt>
                <c:pt idx="127">
                  <c:v>-0.22485835362126966</c:v>
                </c:pt>
                <c:pt idx="128">
                  <c:v>-0.24652340844796936</c:v>
                </c:pt>
                <c:pt idx="129">
                  <c:v>-0.26679001061025431</c:v>
                </c:pt>
                <c:pt idx="130">
                  <c:v>-0.28561404058848872</c:v>
                </c:pt>
                <c:pt idx="131">
                  <c:v>-0.30295772032837459</c:v>
                </c:pt>
                <c:pt idx="132">
                  <c:v>-0.3187896122700889</c:v>
                </c:pt>
                <c:pt idx="133">
                  <c:v>-0.33308459484691078</c:v>
                </c:pt>
                <c:pt idx="134">
                  <c:v>-0.34582381506870735</c:v>
                </c:pt>
                <c:pt idx="135">
                  <c:v>-0.35699461887704759</c:v>
                </c:pt>
                <c:pt idx="136">
                  <c:v>-0.36659046002597206</c:v>
                </c:pt>
                <c:pt idx="137">
                  <c:v>-0.37461078830540706</c:v>
                </c:pt>
                <c:pt idx="138">
                  <c:v>-0.38106091798273517</c:v>
                </c:pt>
                <c:pt idx="139">
                  <c:v>-0.38595187739200132</c:v>
                </c:pt>
                <c:pt idx="140">
                  <c:v>-0.38930024064954649</c:v>
                </c:pt>
                <c:pt idx="141">
                  <c:v>-0.39112794251944111</c:v>
                </c:pt>
                <c:pt idx="142">
                  <c:v>-0.39146207749187334</c:v>
                </c:pt>
                <c:pt idx="143">
                  <c:v>-0.39033468417259787</c:v>
                </c:pt>
                <c:pt idx="144">
                  <c:v>-0.38778251611164283</c:v>
                </c:pt>
                <c:pt idx="145">
                  <c:v>-0.38384680022470236</c:v>
                </c:pt>
                <c:pt idx="146">
                  <c:v>-0.37857298398102884</c:v>
                </c:pt>
                <c:pt idx="147">
                  <c:v>-0.37201047254720737</c:v>
                </c:pt>
                <c:pt idx="148">
                  <c:v>-0.36421235708700228</c:v>
                </c:pt>
                <c:pt idx="149">
                  <c:v>-0.3552351354235716</c:v>
                </c:pt>
                <c:pt idx="150">
                  <c:v>-0.34513842627183644</c:v>
                </c:pt>
                <c:pt idx="151">
                  <c:v>-0.33398467824576189</c:v>
                </c:pt>
                <c:pt idx="152">
                  <c:v>-0.32183887483787127</c:v>
                </c:pt>
                <c:pt idx="153">
                  <c:v>-0.30876823655659563</c:v>
                </c:pt>
                <c:pt idx="154">
                  <c:v>-0.2948419213912003</c:v>
                </c:pt>
                <c:pt idx="155">
                  <c:v>-0.2801307247541775</c:v>
                </c:pt>
                <c:pt idx="156">
                  <c:v>-0.26470678002731302</c:v>
                </c:pt>
                <c:pt idx="157">
                  <c:v>-0.24864326081029786</c:v>
                </c:pt>
                <c:pt idx="158">
                  <c:v>-0.23201408593994566</c:v>
                </c:pt>
                <c:pt idx="159">
                  <c:v>-0.21489362831398767</c:v>
                </c:pt>
                <c:pt idx="160">
                  <c:v>-0.19735642851624496</c:v>
                </c:pt>
                <c:pt idx="161">
                  <c:v>-0.17947691419993181</c:v>
                </c:pt>
                <c:pt idx="162">
                  <c:v>-0.1613291261431376</c:v>
                </c:pt>
                <c:pt idx="163">
                  <c:v>-0.14298645184538344</c:v>
                </c:pt>
                <c:pt idx="164">
                  <c:v>-0.12452136748677758</c:v>
                </c:pt>
                <c:pt idx="165">
                  <c:v>-0.10600518902192568</c:v>
                </c:pt>
                <c:pt idx="166">
                  <c:v>-8.7507833129615492E-2</c:v>
                </c:pt>
                <c:pt idx="167">
                  <c:v>-6.9097588686620678E-2</c:v>
                </c:pt>
                <c:pt idx="168">
                  <c:v>-5.0840899379984303E-2</c:v>
                </c:pt>
                <c:pt idx="169">
                  <c:v>-3.2802158017079648E-2</c:v>
                </c:pt>
                <c:pt idx="170">
                  <c:v>-1.5043513036832327E-2</c:v>
                </c:pt>
                <c:pt idx="171">
                  <c:v>2.375312331050039E-3</c:v>
                </c:pt>
                <c:pt idx="172">
                  <c:v>1.9397187868931787E-2</c:v>
                </c:pt>
                <c:pt idx="173">
                  <c:v>3.5967730803395367E-2</c:v>
                </c:pt>
                <c:pt idx="174">
                  <c:v>5.2035446590968898E-2</c:v>
                </c:pt>
                <c:pt idx="175">
                  <c:v>6.7551855838557301E-2</c:v>
                </c:pt>
                <c:pt idx="176">
                  <c:v>8.2471607196078711E-2</c:v>
                </c:pt>
                <c:pt idx="177">
                  <c:v>9.6752576114534958E-2</c:v>
                </c:pt>
                <c:pt idx="178">
                  <c:v>0.11035594941762664</c:v>
                </c:pt>
                <c:pt idx="179">
                  <c:v>0.12324629568887502</c:v>
                </c:pt>
                <c:pt idx="180">
                  <c:v>0.13539162152885753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29-48B6-B4B1-E7897291B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7832"/>
        <c:axId val="1"/>
      </c:scatterChart>
      <c:valAx>
        <c:axId val="42046783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2046783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3545096635647812"/>
          <c:y val="0.95450830678250775"/>
          <c:w val="0.28397995705082318"/>
          <c:h val="4.297780959198283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5</xdr:row>
          <xdr:rowOff>171450</xdr:rowOff>
        </xdr:from>
        <xdr:to>
          <xdr:col>16</xdr:col>
          <xdr:colOff>114300</xdr:colOff>
          <xdr:row>7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FD265BB-57E8-461D-ABC6-48470BFC8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600075</xdr:colOff>
      <xdr:row>2</xdr:row>
      <xdr:rowOff>28575</xdr:rowOff>
    </xdr:from>
    <xdr:to>
      <xdr:col>28</xdr:col>
      <xdr:colOff>238125</xdr:colOff>
      <xdr:row>25</xdr:row>
      <xdr:rowOff>47625</xdr:rowOff>
    </xdr:to>
    <xdr:graphicFrame macro="">
      <xdr:nvGraphicFramePr>
        <xdr:cNvPr id="2055" name="Gráfico 1">
          <a:extLst>
            <a:ext uri="{FF2B5EF4-FFF2-40B4-BE49-F238E27FC236}">
              <a16:creationId xmlns:a16="http://schemas.microsoft.com/office/drawing/2014/main" id="{600A0912-4F3B-4335-95D7-44BD2FD09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2</xdr:row>
      <xdr:rowOff>123825</xdr:rowOff>
    </xdr:from>
    <xdr:to>
      <xdr:col>18</xdr:col>
      <xdr:colOff>495300</xdr:colOff>
      <xdr:row>30</xdr:row>
      <xdr:rowOff>133350</xdr:rowOff>
    </xdr:to>
    <xdr:graphicFrame macro="">
      <xdr:nvGraphicFramePr>
        <xdr:cNvPr id="6148" name="Gráfico 1">
          <a:extLst>
            <a:ext uri="{FF2B5EF4-FFF2-40B4-BE49-F238E27FC236}">
              <a16:creationId xmlns:a16="http://schemas.microsoft.com/office/drawing/2014/main" id="{7485A39D-8614-481D-BAEB-58872AA60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2:L23"/>
  <sheetViews>
    <sheetView workbookViewId="0">
      <selection activeCell="L15" sqref="L15"/>
    </sheetView>
  </sheetViews>
  <sheetFormatPr defaultRowHeight="15" x14ac:dyDescent="0.25"/>
  <sheetData>
    <row r="2" spans="3:12" x14ac:dyDescent="0.25">
      <c r="F2" s="1"/>
      <c r="G2" s="2"/>
    </row>
    <row r="3" spans="3:12" x14ac:dyDescent="0.25">
      <c r="F3" t="s">
        <v>3</v>
      </c>
    </row>
    <row r="4" spans="3:12" x14ac:dyDescent="0.25">
      <c r="F4">
        <v>1</v>
      </c>
      <c r="H4">
        <v>1</v>
      </c>
      <c r="I4">
        <v>-0.1</v>
      </c>
      <c r="J4">
        <v>0.2</v>
      </c>
      <c r="L4">
        <f t="array" ref="L4:L6">MMULT(H4:J6,F4:F6)</f>
        <v>1.4000000000000001</v>
      </c>
    </row>
    <row r="5" spans="3:12" x14ac:dyDescent="0.25">
      <c r="F5">
        <v>2</v>
      </c>
      <c r="H5">
        <v>0.3</v>
      </c>
      <c r="I5">
        <v>0.01</v>
      </c>
      <c r="J5">
        <v>-0.04</v>
      </c>
      <c r="L5">
        <v>0.2</v>
      </c>
    </row>
    <row r="6" spans="3:12" x14ac:dyDescent="0.25">
      <c r="F6">
        <v>3</v>
      </c>
      <c r="H6">
        <v>-0.5</v>
      </c>
      <c r="I6">
        <v>0.7</v>
      </c>
      <c r="J6">
        <v>0.5</v>
      </c>
      <c r="L6">
        <v>2.4</v>
      </c>
    </row>
    <row r="7" spans="3:12" x14ac:dyDescent="0.25">
      <c r="C7" t="s">
        <v>0</v>
      </c>
      <c r="D7" t="s">
        <v>1</v>
      </c>
    </row>
    <row r="9" spans="3:12" x14ac:dyDescent="0.25">
      <c r="D9" s="3">
        <f>IF(D7="n",F4,L4)</f>
        <v>1</v>
      </c>
      <c r="E9" s="3"/>
      <c r="F9" s="3"/>
    </row>
    <row r="10" spans="3:12" x14ac:dyDescent="0.25">
      <c r="C10">
        <f>D9</f>
        <v>1</v>
      </c>
      <c r="D10">
        <f t="dataTable" ref="D10:D23" dt2D="0" dtr="0" r1="F4" ca="1"/>
        <v>1</v>
      </c>
    </row>
    <row r="11" spans="3:12" x14ac:dyDescent="0.25">
      <c r="C11">
        <f t="shared" ref="C11:C23" si="0">D10</f>
        <v>1</v>
      </c>
      <c r="D11">
        <v>1</v>
      </c>
      <c r="L11">
        <v>3.6</v>
      </c>
    </row>
    <row r="12" spans="3:12" x14ac:dyDescent="0.25">
      <c r="C12">
        <f t="shared" si="0"/>
        <v>1</v>
      </c>
      <c r="D12">
        <v>1</v>
      </c>
      <c r="K12">
        <v>0.9</v>
      </c>
      <c r="L12">
        <f>L11*K12*(1-K12)</f>
        <v>0.32399999999999995</v>
      </c>
    </row>
    <row r="13" spans="3:12" x14ac:dyDescent="0.25">
      <c r="C13">
        <f t="shared" si="0"/>
        <v>1</v>
      </c>
      <c r="D13">
        <v>1</v>
      </c>
    </row>
    <row r="14" spans="3:12" x14ac:dyDescent="0.25">
      <c r="C14">
        <f t="shared" si="0"/>
        <v>1</v>
      </c>
      <c r="D14">
        <v>1</v>
      </c>
      <c r="L14" t="s">
        <v>2</v>
      </c>
    </row>
    <row r="15" spans="3:12" x14ac:dyDescent="0.25">
      <c r="C15">
        <f t="shared" si="0"/>
        <v>1</v>
      </c>
      <c r="D15">
        <v>1</v>
      </c>
      <c r="L15">
        <f>IF(L14="n",K12,L12)</f>
        <v>0.32399999999999995</v>
      </c>
    </row>
    <row r="16" spans="3:12" x14ac:dyDescent="0.25">
      <c r="C16">
        <f t="shared" si="0"/>
        <v>1</v>
      </c>
      <c r="D16">
        <v>1</v>
      </c>
      <c r="K16">
        <f>L15</f>
        <v>0.32399999999999995</v>
      </c>
      <c r="L16">
        <f t="dataTable" ref="L16:L23" dt2D="0" dtr="0" r1="K12" ca="1"/>
        <v>0.78848639999999992</v>
      </c>
    </row>
    <row r="17" spans="3:12" x14ac:dyDescent="0.25">
      <c r="C17">
        <f t="shared" si="0"/>
        <v>1</v>
      </c>
      <c r="D17">
        <v>1</v>
      </c>
      <c r="K17">
        <f t="shared" ref="K17:K23" si="1">L16</f>
        <v>0.78848639999999992</v>
      </c>
      <c r="L17">
        <v>0.60039214925414419</v>
      </c>
    </row>
    <row r="18" spans="3:12" x14ac:dyDescent="0.25">
      <c r="C18">
        <f t="shared" si="0"/>
        <v>1</v>
      </c>
      <c r="D18">
        <v>1</v>
      </c>
      <c r="K18">
        <f t="shared" si="1"/>
        <v>0.60039214925414419</v>
      </c>
      <c r="L18">
        <v>0.86371709892528103</v>
      </c>
    </row>
    <row r="19" spans="3:12" x14ac:dyDescent="0.25">
      <c r="C19">
        <f t="shared" si="0"/>
        <v>1</v>
      </c>
      <c r="D19">
        <v>1</v>
      </c>
      <c r="K19">
        <f t="shared" si="1"/>
        <v>0.86371709892528103</v>
      </c>
      <c r="L19">
        <v>0.42375553901775842</v>
      </c>
    </row>
    <row r="20" spans="3:12" x14ac:dyDescent="0.25">
      <c r="C20">
        <f t="shared" si="0"/>
        <v>1</v>
      </c>
      <c r="D20">
        <v>1</v>
      </c>
      <c r="K20">
        <f t="shared" si="1"/>
        <v>0.42375553901775842</v>
      </c>
      <c r="L20">
        <v>0.87907241581029882</v>
      </c>
    </row>
    <row r="21" spans="3:12" x14ac:dyDescent="0.25">
      <c r="C21">
        <f t="shared" si="0"/>
        <v>1</v>
      </c>
      <c r="D21">
        <v>1</v>
      </c>
      <c r="K21">
        <f t="shared" si="1"/>
        <v>0.87907241581029882</v>
      </c>
      <c r="L21">
        <v>0.38269477285827808</v>
      </c>
    </row>
    <row r="22" spans="3:12" x14ac:dyDescent="0.25">
      <c r="C22">
        <f t="shared" si="0"/>
        <v>1</v>
      </c>
      <c r="D22">
        <v>1</v>
      </c>
      <c r="K22">
        <f t="shared" si="1"/>
        <v>0.38269477285827808</v>
      </c>
      <c r="L22">
        <v>0.8504621412668244</v>
      </c>
    </row>
    <row r="23" spans="3:12" x14ac:dyDescent="0.25">
      <c r="C23">
        <f t="shared" si="0"/>
        <v>1</v>
      </c>
      <c r="D23">
        <v>1</v>
      </c>
      <c r="K23">
        <f t="shared" si="1"/>
        <v>0.8504621412668244</v>
      </c>
      <c r="L23">
        <v>0.45783463513922068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21"/>
  <sheetViews>
    <sheetView tabSelected="1" workbookViewId="0">
      <selection activeCell="L12" sqref="L12"/>
    </sheetView>
  </sheetViews>
  <sheetFormatPr defaultRowHeight="15" x14ac:dyDescent="0.25"/>
  <sheetData>
    <row r="1" spans="1:17" x14ac:dyDescent="0.25">
      <c r="O1" s="1" t="s">
        <v>9</v>
      </c>
      <c r="P1" s="2">
        <v>0.1</v>
      </c>
    </row>
    <row r="2" spans="1:17" x14ac:dyDescent="0.25">
      <c r="C2" s="5"/>
      <c r="D2" s="5"/>
      <c r="E2" s="5"/>
    </row>
    <row r="3" spans="1:17" x14ac:dyDescent="0.25">
      <c r="D3" s="4" t="s">
        <v>6</v>
      </c>
      <c r="G3" s="4" t="s">
        <v>5</v>
      </c>
      <c r="H3" s="4"/>
      <c r="I3" s="4"/>
      <c r="J3" s="4" t="s">
        <v>4</v>
      </c>
      <c r="K3" s="4"/>
      <c r="L3" s="4"/>
      <c r="M3" s="4" t="s">
        <v>7</v>
      </c>
      <c r="O3" s="4"/>
      <c r="P3" s="4" t="s">
        <v>8</v>
      </c>
      <c r="Q3" s="4"/>
    </row>
    <row r="4" spans="1:17" x14ac:dyDescent="0.25">
      <c r="C4" s="6">
        <v>7.7478534319384298E-2</v>
      </c>
      <c r="D4" s="6">
        <v>0.11336441334280624</v>
      </c>
      <c r="E4" s="6">
        <v>8.7713228124535442E-2</v>
      </c>
      <c r="G4" s="4">
        <f t="array" ref="G4:G6">TRANSPOSE(C4:E4)</f>
        <v>7.7478534319384298E-2</v>
      </c>
      <c r="H4" s="4"/>
      <c r="I4" s="4">
        <v>-0.1</v>
      </c>
      <c r="J4" s="4">
        <v>-1</v>
      </c>
      <c r="K4" s="4">
        <v>-0.4</v>
      </c>
      <c r="L4" s="4"/>
      <c r="M4" s="4">
        <f t="array" ref="M4:M6">MMULT(I4:K6,G4:G6)</f>
        <v>-0.15619755802455884</v>
      </c>
      <c r="O4" s="7">
        <f t="array" ref="O4:Q4">TRANSPOSE(C4:E4+P1*M4:M6)</f>
        <v>6.1858778516928413E-2</v>
      </c>
      <c r="P4" s="7">
        <v>9.0509846970874955E-2</v>
      </c>
      <c r="Q4" s="7">
        <v>7.003005336663283E-2</v>
      </c>
    </row>
    <row r="5" spans="1:17" x14ac:dyDescent="0.25">
      <c r="G5" s="4">
        <v>0.11336441334280624</v>
      </c>
      <c r="H5" s="4"/>
      <c r="I5" s="4">
        <v>3.0000000000000001E-3</v>
      </c>
      <c r="J5" s="4">
        <v>-0.4</v>
      </c>
      <c r="K5" s="4">
        <v>2</v>
      </c>
      <c r="L5" s="4"/>
      <c r="M5" s="4">
        <v>0.13031312651490654</v>
      </c>
    </row>
    <row r="6" spans="1:17" x14ac:dyDescent="0.25">
      <c r="G6" s="4">
        <v>8.7713228124535442E-2</v>
      </c>
      <c r="H6" s="4"/>
      <c r="I6" s="4">
        <v>0.2</v>
      </c>
      <c r="J6" s="4">
        <v>-0.02</v>
      </c>
      <c r="K6" s="4">
        <v>-1</v>
      </c>
      <c r="L6" s="4"/>
      <c r="M6" s="4">
        <v>-7.4484809527514712E-2</v>
      </c>
    </row>
    <row r="9" spans="1:17" x14ac:dyDescent="0.25">
      <c r="B9" s="4" t="s">
        <v>10</v>
      </c>
      <c r="C9" s="4" t="s">
        <v>11</v>
      </c>
      <c r="D9" s="4" t="s">
        <v>12</v>
      </c>
      <c r="E9" s="4" t="s">
        <v>13</v>
      </c>
    </row>
    <row r="10" spans="1:17" x14ac:dyDescent="0.25">
      <c r="A10">
        <v>0</v>
      </c>
      <c r="B10">
        <v>0</v>
      </c>
      <c r="C10" s="6">
        <v>1</v>
      </c>
      <c r="D10" s="6">
        <v>2</v>
      </c>
      <c r="E10" s="6">
        <v>3</v>
      </c>
    </row>
    <row r="11" spans="1:17" x14ac:dyDescent="0.25">
      <c r="A11">
        <v>1</v>
      </c>
      <c r="B11">
        <f>B10+$P$1</f>
        <v>0.1</v>
      </c>
      <c r="C11" s="6">
        <v>0.66999999999999993</v>
      </c>
      <c r="D11" s="6">
        <v>1.5203000000000002</v>
      </c>
      <c r="E11" s="6">
        <v>0.71599999999999997</v>
      </c>
    </row>
    <row r="12" spans="1:17" x14ac:dyDescent="0.25">
      <c r="A12">
        <v>2</v>
      </c>
      <c r="B12">
        <f t="shared" ref="B12:B21" si="0">B11+$P$1</f>
        <v>0.2</v>
      </c>
      <c r="C12" s="6">
        <v>0.48262999999999989</v>
      </c>
      <c r="D12" s="6">
        <v>0.75258899999999995</v>
      </c>
      <c r="E12" s="6">
        <v>0.60875939999999995</v>
      </c>
    </row>
    <row r="13" spans="1:17" x14ac:dyDescent="0.25">
      <c r="A13">
        <v>3</v>
      </c>
      <c r="B13">
        <f t="shared" si="0"/>
        <v>0.30000000000000004</v>
      </c>
      <c r="C13" s="6">
        <v>0.37819442399999992</v>
      </c>
      <c r="D13" s="6">
        <v>0.57442310899999993</v>
      </c>
      <c r="E13" s="6">
        <v>0.42990148199999989</v>
      </c>
    </row>
    <row r="14" spans="1:17" x14ac:dyDescent="0.25">
      <c r="A14">
        <v>4</v>
      </c>
      <c r="B14">
        <f t="shared" si="0"/>
        <v>0.4</v>
      </c>
      <c r="C14" s="6">
        <v>0.29977410957999995</v>
      </c>
      <c r="D14" s="6">
        <v>0.44131125436719992</v>
      </c>
      <c r="E14" s="6">
        <v>0.34161931806199991</v>
      </c>
    </row>
    <row r="15" spans="1:17" x14ac:dyDescent="0.25">
      <c r="A15">
        <v>5</v>
      </c>
      <c r="B15">
        <f t="shared" si="0"/>
        <v>0.5</v>
      </c>
      <c r="C15" s="6">
        <v>0.23898047032499997</v>
      </c>
      <c r="D15" s="6">
        <v>0.35053545525058594</v>
      </c>
      <c r="E15" s="6">
        <v>0.27072503745666554</v>
      </c>
    </row>
    <row r="16" spans="1:17" x14ac:dyDescent="0.25">
      <c r="A16">
        <v>6</v>
      </c>
      <c r="B16">
        <f t="shared" si="0"/>
        <v>0.6</v>
      </c>
      <c r="C16" s="6">
        <v>0.19070811859842476</v>
      </c>
      <c r="D16" s="6">
        <v>0.27917575374740716</v>
      </c>
      <c r="E16" s="6">
        <v>0.21598650507533224</v>
      </c>
    </row>
    <row r="17" spans="1:5" x14ac:dyDescent="0.25">
      <c r="A17">
        <v>7</v>
      </c>
      <c r="B17">
        <f t="shared" si="0"/>
        <v>0.7</v>
      </c>
      <c r="C17" s="6">
        <v>0.1522440018346865</v>
      </c>
      <c r="D17" s="6">
        <v>0.22279560189917447</v>
      </c>
      <c r="E17" s="6">
        <v>0.17236527895536521</v>
      </c>
    </row>
    <row r="18" spans="1:5" x14ac:dyDescent="0.25">
      <c r="A18">
        <v>8</v>
      </c>
      <c r="B18" s="8">
        <f t="shared" si="0"/>
        <v>0.79999999999999993</v>
      </c>
      <c r="C18" s="6">
        <v>0.12154739046820759</v>
      </c>
      <c r="D18" s="6">
        <v>0.17785090675034299</v>
      </c>
      <c r="E18" s="6">
        <v>0.13760676277204537</v>
      </c>
    </row>
    <row r="19" spans="1:5" x14ac:dyDescent="0.25">
      <c r="A19">
        <v>9</v>
      </c>
      <c r="B19" s="8">
        <f t="shared" si="0"/>
        <v>0.89999999999999991</v>
      </c>
      <c r="C19" s="6">
        <v>9.7042555377609391E-2</v>
      </c>
      <c r="D19" s="6">
        <v>0.1419911709697434</v>
      </c>
      <c r="E19" s="6">
        <v>0.10986196018686652</v>
      </c>
    </row>
    <row r="20" spans="1:5" x14ac:dyDescent="0.25">
      <c r="A20">
        <v>10</v>
      </c>
      <c r="B20" s="8">
        <f t="shared" si="0"/>
        <v>0.99999999999999989</v>
      </c>
      <c r="C20" s="6">
        <v>7.7478534319384298E-2</v>
      </c>
      <c r="D20" s="6">
        <v>0.11336441334280624</v>
      </c>
      <c r="E20" s="6">
        <v>8.7713228124535442E-2</v>
      </c>
    </row>
    <row r="21" spans="1:5" x14ac:dyDescent="0.25">
      <c r="A21">
        <v>11</v>
      </c>
      <c r="B21" s="8">
        <f t="shared" si="0"/>
        <v>1.0999999999999999</v>
      </c>
      <c r="C21" s="6">
        <v>6.1858778516928413E-2</v>
      </c>
      <c r="D21" s="6">
        <v>9.0509846970874955E-2</v>
      </c>
      <c r="E21" s="6">
        <v>7.003005336663283E-2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autoLine="0" r:id="rId4">
            <anchor moveWithCells="1">
              <from>
                <xdr:col>14</xdr:col>
                <xdr:colOff>419100</xdr:colOff>
                <xdr:row>5</xdr:row>
                <xdr:rowOff>171450</xdr:rowOff>
              </from>
              <to>
                <xdr:col>16</xdr:col>
                <xdr:colOff>114300</xdr:colOff>
                <xdr:row>7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300"/>
  <sheetViews>
    <sheetView workbookViewId="0">
      <selection activeCell="N15" sqref="N15"/>
    </sheetView>
  </sheetViews>
  <sheetFormatPr defaultRowHeight="15" x14ac:dyDescent="0.25"/>
  <sheetData>
    <row r="1" spans="1:17" x14ac:dyDescent="0.25">
      <c r="D1" s="4"/>
      <c r="O1" s="1" t="s">
        <v>9</v>
      </c>
      <c r="P1" s="2">
        <v>0.1</v>
      </c>
    </row>
    <row r="2" spans="1:17" x14ac:dyDescent="0.25">
      <c r="C2" s="9"/>
      <c r="D2" s="9"/>
      <c r="E2" s="9"/>
    </row>
    <row r="3" spans="1:17" x14ac:dyDescent="0.25">
      <c r="D3" s="4" t="s">
        <v>14</v>
      </c>
      <c r="G3" s="4" t="s">
        <v>5</v>
      </c>
      <c r="H3" s="4"/>
      <c r="I3" s="4"/>
      <c r="J3" s="4" t="s">
        <v>4</v>
      </c>
      <c r="K3" s="4"/>
      <c r="L3" s="4"/>
      <c r="M3" s="4" t="s">
        <v>7</v>
      </c>
      <c r="O3" s="4"/>
      <c r="P3" s="4" t="s">
        <v>8</v>
      </c>
      <c r="Q3" s="4"/>
    </row>
    <row r="4" spans="1:17" x14ac:dyDescent="0.25">
      <c r="C4" s="6">
        <v>1</v>
      </c>
      <c r="D4" s="6">
        <v>2</v>
      </c>
      <c r="E4" s="6">
        <v>3</v>
      </c>
      <c r="G4" s="4">
        <f t="array" ref="G4:G6">TRANSPOSE(C4:E4)</f>
        <v>1</v>
      </c>
      <c r="H4" s="4"/>
      <c r="I4" s="4">
        <v>-0.1</v>
      </c>
      <c r="J4" s="4">
        <v>-1</v>
      </c>
      <c r="K4" s="4">
        <v>-0.4</v>
      </c>
      <c r="L4" s="4"/>
      <c r="M4" s="4">
        <f t="array" ref="M4:M6">MMULT(I4:K6,G4:G6)</f>
        <v>-3.3000000000000003</v>
      </c>
      <c r="O4" s="7">
        <f t="array" ref="O4:Q4">TRANSPOSE(C4:E4+P1*M4:M6)</f>
        <v>0.66999999999999993</v>
      </c>
      <c r="P4" s="7">
        <v>1.5203000000000002</v>
      </c>
      <c r="Q4" s="7">
        <v>0.71599999999999997</v>
      </c>
    </row>
    <row r="5" spans="1:17" x14ac:dyDescent="0.25">
      <c r="G5" s="4">
        <v>2</v>
      </c>
      <c r="H5" s="4"/>
      <c r="I5" s="4">
        <v>3.0000000000000001E-3</v>
      </c>
      <c r="J5" s="4">
        <v>-0.4</v>
      </c>
      <c r="K5" s="4">
        <v>2</v>
      </c>
      <c r="L5" s="4"/>
      <c r="M5" s="4">
        <v>5.2030000000000003</v>
      </c>
    </row>
    <row r="6" spans="1:17" x14ac:dyDescent="0.25">
      <c r="A6" t="s">
        <v>15</v>
      </c>
      <c r="G6" s="4">
        <v>3</v>
      </c>
      <c r="H6" s="4"/>
      <c r="I6" s="4">
        <v>0.2</v>
      </c>
      <c r="J6" s="4">
        <v>-0.02</v>
      </c>
      <c r="K6" s="4">
        <v>-1</v>
      </c>
      <c r="L6" s="4"/>
      <c r="M6" s="4">
        <v>-2.84</v>
      </c>
    </row>
    <row r="7" spans="1:17" x14ac:dyDescent="0.25">
      <c r="A7" t="s">
        <v>16</v>
      </c>
    </row>
    <row r="8" spans="1:17" x14ac:dyDescent="0.25">
      <c r="A8" t="s">
        <v>17</v>
      </c>
    </row>
    <row r="9" spans="1:17" x14ac:dyDescent="0.25">
      <c r="A9" t="s">
        <v>18</v>
      </c>
      <c r="B9" s="4"/>
      <c r="C9" s="4"/>
      <c r="D9" s="4"/>
      <c r="E9" s="4"/>
    </row>
    <row r="10" spans="1:17" x14ac:dyDescent="0.25">
      <c r="A10" t="s">
        <v>19</v>
      </c>
      <c r="C10" s="6"/>
      <c r="D10" s="6"/>
      <c r="E10" s="6"/>
    </row>
    <row r="11" spans="1:17" x14ac:dyDescent="0.25">
      <c r="A11" s="18"/>
      <c r="B11" s="21"/>
      <c r="C11" s="6"/>
      <c r="D11" s="6"/>
      <c r="E11" s="12"/>
      <c r="F11" s="13"/>
      <c r="G11" s="18"/>
      <c r="H11" s="21"/>
      <c r="I11" s="13"/>
      <c r="J11" s="18"/>
      <c r="M11" s="18"/>
      <c r="P11" s="18"/>
    </row>
    <row r="12" spans="1:17" s="4" customFormat="1" x14ac:dyDescent="0.25">
      <c r="A12" s="23" t="s">
        <v>10</v>
      </c>
      <c r="B12" s="22" t="s">
        <v>11</v>
      </c>
      <c r="C12" s="10" t="s">
        <v>12</v>
      </c>
      <c r="D12" s="7" t="s">
        <v>13</v>
      </c>
      <c r="E12" s="14" t="s">
        <v>20</v>
      </c>
      <c r="F12" s="15" t="s">
        <v>21</v>
      </c>
      <c r="G12" s="19" t="s">
        <v>22</v>
      </c>
      <c r="H12" s="22" t="s">
        <v>23</v>
      </c>
      <c r="I12" s="15" t="s">
        <v>24</v>
      </c>
      <c r="J12" s="19" t="s">
        <v>25</v>
      </c>
      <c r="K12" s="7" t="s">
        <v>26</v>
      </c>
      <c r="L12" s="4" t="s">
        <v>27</v>
      </c>
      <c r="M12" s="23" t="s">
        <v>28</v>
      </c>
      <c r="N12" s="4" t="s">
        <v>29</v>
      </c>
      <c r="O12" s="4" t="s">
        <v>30</v>
      </c>
      <c r="P12" s="23" t="s">
        <v>31</v>
      </c>
    </row>
    <row r="13" spans="1:17" s="11" customFormat="1" x14ac:dyDescent="0.25">
      <c r="A13" s="24">
        <v>0</v>
      </c>
      <c r="B13" s="16">
        <v>1</v>
      </c>
      <c r="C13" s="11">
        <v>2</v>
      </c>
      <c r="D13" s="11">
        <v>3</v>
      </c>
      <c r="E13" s="16">
        <f t="array" ref="E13:G13">TRANSPOSE(MMULT($I$4:$K$6,TRANSPOSE(B13:D13)))</f>
        <v>-3.3000000000000003</v>
      </c>
      <c r="F13" s="17">
        <v>5.2030000000000003</v>
      </c>
      <c r="G13" s="20">
        <v>-2.84</v>
      </c>
      <c r="H13" s="16">
        <f t="array" ref="H13:J13">TRANSPOSE(MMULT($I$4:$K$6,TRANSPOSE(B13:D13+$P$1/2*E13:G13)))</f>
        <v>-3.4868499999999996</v>
      </c>
      <c r="I13" s="17">
        <v>4.8144450000000001</v>
      </c>
      <c r="J13" s="20">
        <v>-2.7362030000000002</v>
      </c>
      <c r="K13" s="16">
        <f t="array" ref="K13:M13">TRANSPOSE(MMULT($I$4:$K$6,TRANSPOSE(B13:D13+$P$1/2*H13:J13)))</f>
        <v>-3.4685639400000001</v>
      </c>
      <c r="L13" s="17">
        <v>4.8325677725</v>
      </c>
      <c r="M13" s="20">
        <v>-2.7428727949999998</v>
      </c>
      <c r="N13" s="16">
        <f t="array" ref="N13:P13">TRANSPOSE(MMULT($I$4:$K$6,TRANSPOSE(B13:D13+$P$1*K13:M13)))</f>
        <v>-3.6388562260500001</v>
      </c>
      <c r="O13" s="17">
        <v>4.4600821609179997</v>
      </c>
      <c r="P13" s="20">
        <v>-2.6447491348449996</v>
      </c>
    </row>
    <row r="14" spans="1:17" x14ac:dyDescent="0.25">
      <c r="A14" s="24">
        <f>A13+$P$1</f>
        <v>0.1</v>
      </c>
      <c r="B14" s="16">
        <f t="array" ref="B14:D14">B13:D13+$P$1/6*(E13:G13+2*H13:J13+2*K13:M13+N13:P13)</f>
        <v>0.65250526489916671</v>
      </c>
      <c r="C14" s="11">
        <v>2.4826184617653002</v>
      </c>
      <c r="D14" s="11">
        <v>2.7259516545859168</v>
      </c>
      <c r="E14" s="16">
        <f t="array" ref="E14:G14">TRANSPOSE(MMULT($I$4:$K$6,TRANSPOSE(B14:D14)))</f>
        <v>-3.638249650089584</v>
      </c>
      <c r="F14" s="17">
        <v>4.4608134402604112</v>
      </c>
      <c r="G14" s="20">
        <v>-2.6451029708413896</v>
      </c>
      <c r="H14" s="16">
        <f t="array" ref="H14:J14">TRANSPOSE(MMULT($I$4:$K$6,TRANSPOSE(B14:D14+$P$1/2*E14:G14)))</f>
        <v>-3.7901970144353285</v>
      </c>
      <c r="I14" s="17">
        <v>4.1065411369235498</v>
      </c>
      <c r="J14" s="20">
        <v>-2.5536911322404761</v>
      </c>
      <c r="K14" s="16">
        <f t="array" ref="K14:M14">TRANSPOSE(MMULT($I$4:$K$6,TRANSPOSE(B14:D14+$P$1/2*H14:J14)))</f>
        <v>-3.7735518992187749</v>
      </c>
      <c r="L14" s="17">
        <v>4.1227449747457268</v>
      </c>
      <c r="M14" s="20">
        <v>-2.5594269255106425</v>
      </c>
      <c r="N14" s="16">
        <f t="array" ref="N14:P14">TRANSPOSE(MMULT($I$4:$K$6,TRANSPOSE(B14:D14+$P$1*K14:M14)))</f>
        <v>-3.910411551551543</v>
      </c>
      <c r="O14" s="17">
        <v>3.7828861905986879</v>
      </c>
      <c r="P14" s="20">
        <v>-2.4728768062241921</v>
      </c>
    </row>
    <row r="15" spans="1:17" x14ac:dyDescent="0.25">
      <c r="A15" s="24">
        <f t="shared" ref="A15:A78" si="0">A14+$P$1</f>
        <v>0.2</v>
      </c>
      <c r="B15" s="16">
        <f t="array" ref="B15:D15">B14:D14+$P$1/6*(E14:G14+2*H14:J14+2*K14:M14+N14:P14)</f>
        <v>0.27456928108334444</v>
      </c>
      <c r="C15" s="11">
        <v>2.8943229926685943</v>
      </c>
      <c r="D15" s="11">
        <v>2.47021472304312</v>
      </c>
      <c r="E15" s="16">
        <f t="array" ref="E15:G15">TRANSPOSE(MMULT($I$4:$K$6,TRANSPOSE(B15:D15)))</f>
        <v>-3.909865809994177</v>
      </c>
      <c r="F15" s="17">
        <v>3.7835239568620525</v>
      </c>
      <c r="G15" s="20">
        <v>-2.473187326679823</v>
      </c>
      <c r="H15" s="16">
        <f t="array" ref="H15:J15">TRANSPOSE(MMULT($I$4:$K$6,TRANSPOSE(B15:D15+$P$1/2*E15:G15)))</f>
        <v>-4.0300289322537122</v>
      </c>
      <c r="I15" s="17">
        <v>3.4599482651853295</v>
      </c>
      <c r="J15" s="20">
        <v>-2.3924101424026358</v>
      </c>
      <c r="K15" s="16">
        <f t="array" ref="K15:M15">TRANSPOSE(MMULT($I$4:$K$6,TRANSPOSE(B15:D15+$P$1/2*H15:J15)))</f>
        <v>-4.0148648757441219</v>
      </c>
      <c r="L15" s="17">
        <v>3.4744794729782438</v>
      </c>
      <c r="M15" s="20">
        <v>-2.3973270571474137</v>
      </c>
      <c r="N15" s="16">
        <f t="array" ref="N15:P15">TRANSPOSE(MMULT($I$4:$K$6,TRANSPOSE(B15:D15+$P$1*K15:M15)))</f>
        <v>-4.1212720262486631</v>
      </c>
      <c r="O15" s="17">
        <v>3.1638749070507162</v>
      </c>
      <c r="P15" s="20">
        <v>-2.3207008774259203</v>
      </c>
    </row>
    <row r="16" spans="1:17" x14ac:dyDescent="0.25">
      <c r="A16" s="24">
        <f t="shared" si="0"/>
        <v>0.30000000000000004</v>
      </c>
      <c r="B16" s="16">
        <f t="array" ref="B16:D16">B15:D15+$P$1/6*(E15:G15+2*H15:J15+2*K15:M15+N15:P15)</f>
        <v>-0.12744614312063068</v>
      </c>
      <c r="C16" s="11">
        <v>3.2412605650059261</v>
      </c>
      <c r="D16" s="11">
        <v>2.2306586796563561</v>
      </c>
      <c r="E16" s="16">
        <f t="array" ref="E16:G16">TRANSPOSE(MMULT($I$4:$K$6,TRANSPOSE(B16:D16)))</f>
        <v>-4.1207794225564056</v>
      </c>
      <c r="F16" s="17">
        <v>3.16443079488098</v>
      </c>
      <c r="G16" s="20">
        <v>-2.3209731195806009</v>
      </c>
      <c r="H16" s="16">
        <f t="array" ref="H16:J16">TRANSPOSE(MMULT($I$4:$K$6,TRANSPOSE(B16:D16+$P$1/2*E16:G16)))</f>
        <v>-4.2119776027960603</v>
      </c>
      <c r="I16" s="17">
        <v>2.8684267501119169</v>
      </c>
      <c r="J16" s="20">
        <v>-2.249296688622016</v>
      </c>
      <c r="K16" s="16">
        <f t="array" ref="K16:M16">TRANSPOSE(MMULT($I$4:$K$6,TRANSPOSE(B16:D16+$P$1/2*H16:J16)))</f>
        <v>-4.1981549382755805</v>
      </c>
      <c r="L16" s="17">
        <v>2.8815007943761204</v>
      </c>
      <c r="M16" s="20">
        <v>-2.2534964879275723</v>
      </c>
      <c r="N16" s="16">
        <f t="array" ref="N16:P16">TRANSPOSE(MMULT($I$4:$K$6,TRANSPOSE(B16:D16+$P$1*K16:M16)))</f>
        <v>-4.276808093094159</v>
      </c>
      <c r="O16" s="17">
        <v>2.5972120190389378</v>
      </c>
      <c r="P16" s="20">
        <v>-2.1853495711421074</v>
      </c>
    </row>
    <row r="17" spans="1:16" x14ac:dyDescent="0.25">
      <c r="A17" s="24">
        <f t="shared" si="0"/>
        <v>0.4</v>
      </c>
      <c r="B17" s="16">
        <f t="array" ref="B17:D17">B16:D16+$P$1/6*(E16:G16+2*H16:J16+2*K16:M16+N16:P16)</f>
        <v>-0.54774368641719473</v>
      </c>
      <c r="C17" s="11">
        <v>3.5289521967208595</v>
      </c>
      <c r="D17" s="11">
        <v>2.0054601955926579</v>
      </c>
      <c r="E17" s="16">
        <f t="array" ref="E17:G17">TRANSPOSE(MMULT($I$4:$K$6,TRANSPOSE(B17:D17)))</f>
        <v>-4.2763619063162031</v>
      </c>
      <c r="F17" s="17">
        <v>2.5976962814377202</v>
      </c>
      <c r="G17" s="20">
        <v>-2.1855879768105142</v>
      </c>
      <c r="H17" s="16">
        <f t="array" ref="H17:J17">TRANSPOSE(MMULT($I$4:$K$6,TRANSPOSE(B17:D17+$P$1/2*E17:G17)))</f>
        <v>-4.3411531513202979</v>
      </c>
      <c r="I17" s="17">
        <v>2.3265421038419669</v>
      </c>
      <c r="J17" s="20">
        <v>-2.1216698933145883</v>
      </c>
      <c r="K17" s="16">
        <f t="array" ref="K17:M17">TRANSPOSE(MMULT($I$4:$K$6,TRANSPOSE(B17:D17+$P$1/2*H17:J17)))</f>
        <v>-4.3285498478854079</v>
      </c>
      <c r="L17" s="17">
        <v>2.338347277056724</v>
      </c>
      <c r="M17" s="20">
        <v>-2.1252425557618295</v>
      </c>
      <c r="N17" s="16">
        <f t="array" ref="N17:P17">TRANSPOSE(MMULT($I$4:$K$6,TRANSPOSE(B17:D17+$P$1*K17:M17)))</f>
        <v>-4.3819014333125486</v>
      </c>
      <c r="O17" s="17">
        <v>2.0778153142487197</v>
      </c>
      <c r="P17" s="20">
        <v>-2.0643114127461528</v>
      </c>
    </row>
    <row r="18" spans="1:16" x14ac:dyDescent="0.25">
      <c r="A18" s="24">
        <f t="shared" si="0"/>
        <v>0.5</v>
      </c>
      <c r="B18" s="16">
        <f t="array" ref="B18:D18">B17:D17+$P$1/6*(E17:G17+2*H17:J17+2*K17:M17+N17:P17)</f>
        <v>-0.98103817538453075</v>
      </c>
      <c r="C18" s="11">
        <v>3.7623737026789232</v>
      </c>
      <c r="D18" s="11">
        <v>1.7930647907974995</v>
      </c>
      <c r="E18" s="16">
        <f t="array" ref="E18:G18">TRANSPOSE(MMULT($I$4:$K$6,TRANSPOSE(B18:D18)))</f>
        <v>-4.3814958014594705</v>
      </c>
      <c r="F18" s="17">
        <v>2.0782369859972762</v>
      </c>
      <c r="G18" s="20">
        <v>-2.0645198999279843</v>
      </c>
      <c r="H18" s="16">
        <f t="array" ref="H18:J18">TRANSPOSE(MMULT($I$4:$K$6,TRANSPOSE(B18:D18+$P$1/2*E18:G18)))</f>
        <v>-4.4222097737534769</v>
      </c>
      <c r="I18" s="17">
        <v>1.829563031914313</v>
      </c>
      <c r="J18" s="20">
        <v>-2.0071870999321768</v>
      </c>
      <c r="K18" s="16">
        <f t="array" ref="K18:M18">TRANSPOSE(MMULT($I$4:$K$6,TRANSPOSE(B18:D18+$P$1/2*H18:J18)))</f>
        <v>-4.4107191621877746</v>
      </c>
      <c r="L18" s="17">
        <v>1.8402636838997088</v>
      </c>
      <c r="M18" s="20">
        <v>-2.0102122057008245</v>
      </c>
      <c r="N18" s="16">
        <f t="array" ref="N18:P18">TRANSPOSE(MMULT($I$4:$K$6,TRANSPOSE(B18:D18+$P$1*K18:M18)))</f>
        <v>-4.4410064899995305</v>
      </c>
      <c r="O18" s="17">
        <v>1.6012607817524664</v>
      </c>
      <c r="P18" s="20">
        <v>-1.9553935899694566</v>
      </c>
    </row>
    <row r="19" spans="1:16" x14ac:dyDescent="0.25">
      <c r="A19" s="24">
        <f t="shared" si="0"/>
        <v>0.6</v>
      </c>
      <c r="B19" s="16">
        <f t="array" ref="B19:D19">B18:D18+$P$1/6*(E18:G18+2*H18:J18+2*K18:M18+N18:P18)</f>
        <v>-1.4225108447735559</v>
      </c>
      <c r="C19" s="11">
        <v>3.9460262226685532</v>
      </c>
      <c r="D19" s="11">
        <v>1.5921529224447755</v>
      </c>
      <c r="E19" s="16">
        <f t="array" ref="E19:G19">TRANSPOSE(MMULT($I$4:$K$6,TRANSPOSE(B19:D19)))</f>
        <v>-4.4406363071691075</v>
      </c>
      <c r="F19" s="17">
        <v>1.6016278232878089</v>
      </c>
      <c r="G19" s="20">
        <v>-1.9555756158528577</v>
      </c>
      <c r="H19" s="16">
        <f t="array" ref="H19:J19">TRANSPOSE(MMULT($I$4:$K$6,TRANSPOSE(B19:D19+$P$1/2*E19:G19)))</f>
        <v>-4.4594030044805955</v>
      </c>
      <c r="I19" s="17">
        <v>1.3733716097906918</v>
      </c>
      <c r="J19" s="20">
        <v>-1.9038048259551936</v>
      </c>
      <c r="K19" s="16">
        <f t="array" ref="K19:M19">TRANSPOSE(MMULT($I$4:$K$6,TRANSPOSE(B19:D19+$P$1/2*H19:J19)))</f>
        <v>-4.4489317761171359</v>
      </c>
      <c r="L19" s="17">
        <v>1.3831109980458036</v>
      </c>
      <c r="M19" s="20">
        <v>-1.9063527762096948</v>
      </c>
      <c r="N19" s="16">
        <f t="array" ref="N19:P19">TRANSPOSE(MMULT($I$4:$K$6,TRANSPOSE(B19:D19+$P$1*K19:M19)))</f>
        <v>-4.4582039781641285</v>
      </c>
      <c r="O19" s="17">
        <v>1.163698148591203</v>
      </c>
      <c r="P19" s="20">
        <v>-1.8566851957503225</v>
      </c>
    </row>
    <row r="20" spans="1:16" x14ac:dyDescent="0.25">
      <c r="A20" s="24">
        <f t="shared" si="0"/>
        <v>0.7</v>
      </c>
      <c r="B20" s="16">
        <f t="array" ref="B20:D20">B19:D19+$P$1/6*(E19:G19+2*H19:J19+2*K19:M19+N19:P19)</f>
        <v>-1.8677693422157009</v>
      </c>
      <c r="C20" s="11">
        <v>4.0839977424610865</v>
      </c>
      <c r="D20" s="11">
        <v>1.4016099888458928</v>
      </c>
      <c r="E20" s="16">
        <f t="array" ref="E20:G20">TRANSPOSE(MMULT($I$4:$K$6,TRANSPOSE(B20:D20)))</f>
        <v>-4.4578648037778734</v>
      </c>
      <c r="F20" s="17">
        <v>1.1640175726807038</v>
      </c>
      <c r="G20" s="20">
        <v>-1.8568438121382549</v>
      </c>
      <c r="H20" s="16">
        <f t="array" ref="H20:J20">TRANSPOSE(MMULT($I$4:$K$6,TRANSPOSE(B20:D20+$P$1/2*E20:G20)))</f>
        <v>-4.456639482150254</v>
      </c>
      <c r="I20" s="17">
        <v>0.95438416029269768</v>
      </c>
      <c r="J20" s="20">
        <v>-1.8097442871418015</v>
      </c>
      <c r="K20" s="16">
        <f t="array" ref="K20:M20">TRANSPOSE(MMULT($I$4:$K$6,TRANSPOSE(B20:D20+$P$1/2*H20:J20)))</f>
        <v>-4.447105928638921</v>
      </c>
      <c r="L20" s="17">
        <v>0.96328696483834753</v>
      </c>
      <c r="M20" s="20">
        <v>-1.8118773767629599</v>
      </c>
      <c r="N20" s="16">
        <f t="array" ref="N20:P20">TRANSPOSE(MMULT($I$4:$K$6,TRANSPOSE(B20:D20+$P$1*K20:M20)))</f>
        <v>-4.437247345904801</v>
      </c>
      <c r="O20" s="17">
        <v>0.76177648695598621</v>
      </c>
      <c r="P20" s="20">
        <v>-1.7665247669644137</v>
      </c>
    </row>
    <row r="21" spans="1:16" x14ac:dyDescent="0.25">
      <c r="A21" s="24">
        <f t="shared" si="0"/>
        <v>0.79999999999999993</v>
      </c>
      <c r="B21" s="16">
        <f t="array" ref="B21:D21">B20:D20+$P$1/6*(E20:G20+2*H20:J20+2*K20:M20+N20:P20)</f>
        <v>-2.3128127250700512</v>
      </c>
      <c r="C21" s="11">
        <v>4.1800166809593993</v>
      </c>
      <c r="D21" s="11">
        <v>1.2204997903973562</v>
      </c>
      <c r="E21" s="16">
        <f t="array" ref="E21:G21">TRANSPOSE(MMULT($I$4:$K$6,TRANSPOSE(B21:D21)))</f>
        <v>-4.436935324611337</v>
      </c>
      <c r="F21" s="17">
        <v>0.76205447023574235</v>
      </c>
      <c r="G21" s="20">
        <v>-1.7666626690305545</v>
      </c>
      <c r="H21" s="16">
        <f t="array" ref="H21:J21">TRANSPOSE(MMULT($I$4:$K$6,TRANSPOSE(B21:D21+$P$1/2*E21:G21)))</f>
        <v>-4.4175201181194552</v>
      </c>
      <c r="I21" s="17">
        <v>0.56948157362928042</v>
      </c>
      <c r="J21" s="20">
        <v>-1.7234609432953758</v>
      </c>
      <c r="K21" s="16">
        <f t="array" ref="K21:M21">TRANSPOSE(MMULT($I$4:$K$6,TRANSPOSE(B21:D21+$P$1/2*H21:J21)))</f>
        <v>-4.4088525838362962</v>
      </c>
      <c r="L21" s="17">
        <v>0.57765611641590131</v>
      </c>
      <c r="M21" s="20">
        <v>-1.7252343046206096</v>
      </c>
      <c r="N21" s="16">
        <f t="array" ref="N21:P21">TRANSPOSE(MMULT($I$4:$K$6,TRANSPOSE(B21:D21+$P$1*K21:M21)))</f>
        <v>-4.3816030382297395</v>
      </c>
      <c r="O21" s="17">
        <v>0.39257870887983315</v>
      </c>
      <c r="P21" s="20">
        <v>-1.6834716024780512</v>
      </c>
    </row>
    <row r="22" spans="1:16" x14ac:dyDescent="0.25">
      <c r="A22" s="24">
        <f t="shared" si="0"/>
        <v>0.89999999999999991</v>
      </c>
      <c r="B22" s="16">
        <f t="array" ref="B22:D22">B21:D21+$P$1/6*(E21:G21+2*H21:J21+2*K21:M21+N21:P21)</f>
        <v>-2.7540007878492609</v>
      </c>
      <c r="C22" s="11">
        <v>4.2374984902794983</v>
      </c>
      <c r="D22" s="11">
        <v>1.0480410442750132</v>
      </c>
      <c r="E22" s="16">
        <f t="array" ref="E22:G22">TRANSPOSE(MMULT($I$4:$K$6,TRANSPOSE(B22:D22)))</f>
        <v>-4.3813148292045776</v>
      </c>
      <c r="F22" s="17">
        <v>0.39282069007467912</v>
      </c>
      <c r="G22" s="20">
        <v>-1.6835911716504555</v>
      </c>
      <c r="H22" s="16">
        <f t="array" ref="H22:J22">TRANSPOSE(MMULT($I$4:$K$6,TRANSPOSE(B22:D22+$P$1/2*E22:G22)))</f>
        <v>-4.3453774661292792</v>
      </c>
      <c r="I22" s="17">
        <v>0.2159479618837592</v>
      </c>
      <c r="J22" s="20">
        <v>-1.6436175820500529</v>
      </c>
      <c r="K22" s="16">
        <f t="array" ref="K22:M22">TRANSPOSE(MMULT($I$4:$K$6,TRANSPOSE(B22:D22+$P$1/2*H22:J22)))</f>
        <v>-4.3375129883271182</v>
      </c>
      <c r="L22" s="17">
        <v>0.2234881660120791</v>
      </c>
      <c r="M22" s="20">
        <v>-1.6450800151711293</v>
      </c>
      <c r="N22" s="16">
        <f t="array" ref="N22:P22">TRANSPOSE(MMULT($I$4:$K$6,TRANSPOSE(B22:D22+$P$1*K22:M22)))</f>
        <v>-4.2944853153156686</v>
      </c>
      <c r="O22" s="17">
        <v>5.3563906503472092E-2</v>
      </c>
      <c r="P22" s="20">
        <v>-1.6062804062319089</v>
      </c>
    </row>
    <row r="23" spans="1:16" x14ac:dyDescent="0.25">
      <c r="A23" s="24">
        <f t="shared" si="0"/>
        <v>0.99999999999999989</v>
      </c>
      <c r="B23" s="16">
        <f t="array" ref="B23:D23">B22:D22+$P$1/6*(E22:G22+2*H22:J22+2*K22:M22+N22:P22)</f>
        <v>-3.1880271387398116</v>
      </c>
      <c r="C23" s="11">
        <v>4.2595861044856624</v>
      </c>
      <c r="D23" s="11">
        <v>0.88358659806960105</v>
      </c>
      <c r="E23" s="16">
        <f t="array" ref="E23:G23">TRANSPOSE(MMULT($I$4:$K$6,TRANSPOSE(B23:D23)))</f>
        <v>-4.2942180298395218</v>
      </c>
      <c r="F23" s="17">
        <v>5.3774672928717626E-2</v>
      </c>
      <c r="G23" s="20">
        <v>-1.6063837479072767</v>
      </c>
      <c r="H23" s="16">
        <f t="array" ref="H23:J23">TRANSPOSE(MMULT($I$4:$K$6,TRANSPOSE(B23:D23+$P$1/2*E23:G23)))</f>
        <v>-4.2433079983786151</v>
      </c>
      <c r="I23" s="17">
        <v>-0.10858332802506032</v>
      </c>
      <c r="J23" s="20">
        <v>-1.5690605154832367</v>
      </c>
      <c r="K23" s="16">
        <f t="array" ref="K23:M23">TRANSPOSE(MMULT($I$4:$K$6,TRANSPOSE(B23:D23+$P$1/2*H23:J23)))</f>
        <v>-4.2361911131367105</v>
      </c>
      <c r="L23" s="17">
        <v>-0.10159620825886151</v>
      </c>
      <c r="M23" s="20">
        <v>-1.5702552187888759</v>
      </c>
      <c r="N23" s="16">
        <f t="array" ref="N23:P23">TRANSPOSE(MMULT($I$4:$K$6,TRANSPOSE(B23:D23+$P$1*K23:M23)))</f>
        <v>-4.1788862891307126</v>
      </c>
      <c r="O23" s="17">
        <v>-0.25748337983264413</v>
      </c>
      <c r="P23" s="20">
        <v>-1.5338788558746055</v>
      </c>
    </row>
    <row r="24" spans="1:16" x14ac:dyDescent="0.25">
      <c r="A24" s="24">
        <f t="shared" si="0"/>
        <v>1.0999999999999999</v>
      </c>
      <c r="B24" s="16">
        <f t="array" ref="B24:D24">B23:D23+$P$1/6*(E23:G23+2*H23:J23+2*K23:M23+N23:P23)</f>
        <v>-3.6118955144398264</v>
      </c>
      <c r="C24" s="11">
        <v>4.2491849748277994</v>
      </c>
      <c r="D24" s="11">
        <v>0.72660503019749922</v>
      </c>
      <c r="E24" s="16">
        <f t="array" ref="E24:G24">TRANSPOSE(MMULT($I$4:$K$6,TRANSPOSE(B24:D24)))</f>
        <v>-4.1786374354628171</v>
      </c>
      <c r="F24" s="17">
        <v>-0.25729961607944096</v>
      </c>
      <c r="G24" s="20">
        <v>-1.5339678325820207</v>
      </c>
      <c r="H24" s="16">
        <f t="array" ref="H24:J24">TRANSPOSE(MMULT($I$4:$K$6,TRANSPOSE(B24:D24+$P$1/2*E24:G24)))</f>
        <v>-4.1141999108298899</v>
      </c>
      <c r="I24" s="17">
        <v>-0.40617720263137369</v>
      </c>
      <c r="J24" s="20">
        <v>-1.4987985156914683</v>
      </c>
      <c r="K24" s="16">
        <f t="array" ref="K24:M24">TRANSPOSE(MMULT($I$4:$K$6,TRANSPOSE(B24:D24+$P$1/2*H24:J24)))</f>
        <v>-4.107781605463269</v>
      </c>
      <c r="L24" s="17">
        <v>-0.39967305358258476</v>
      </c>
      <c r="M24" s="20">
        <v>-1.4997637287031147</v>
      </c>
      <c r="N24" s="16">
        <f t="array" ref="N24:P24">TRANSPOSE(MMULT($I$4:$K$6,TRANSPOSE(B24:D24+$P$1*K24:M24)))</f>
        <v>-4.037601764901801</v>
      </c>
      <c r="O24" s="17">
        <v>-0.54249777415839939</v>
      </c>
      <c r="P24" s="20">
        <v>-1.4653477457138093</v>
      </c>
    </row>
    <row r="25" spans="1:16" x14ac:dyDescent="0.25">
      <c r="A25" s="24">
        <f t="shared" si="0"/>
        <v>1.2</v>
      </c>
      <c r="B25" s="16">
        <f t="array" ref="B25:D25">B24:D24+$P$1/6*(E24:G24+2*H24:J24+2*K24:M24+N24:P24)</f>
        <v>-4.0228988849890088</v>
      </c>
      <c r="C25" s="11">
        <v>4.2089933431167035</v>
      </c>
      <c r="D25" s="11">
        <v>0.57666436241274921</v>
      </c>
      <c r="E25" s="16">
        <f t="array" ref="E25:G25">TRANSPOSE(MMULT($I$4:$K$6,TRANSPOSE(B25:D25)))</f>
        <v>-4.0373691995829022</v>
      </c>
      <c r="F25" s="17">
        <v>-0.54233730907615008</v>
      </c>
      <c r="G25" s="20">
        <v>-1.4654240062728849</v>
      </c>
      <c r="H25" s="16">
        <f t="array" ref="H25:J25">TRANSPOSE(MMULT($I$4:$K$6,TRANSPOSE(B25:D25+$P$1/2*E25:G25)))</f>
        <v>-3.9607570080057224</v>
      </c>
      <c r="I25" s="17">
        <v>-0.67863856890185281</v>
      </c>
      <c r="J25" s="20">
        <v>-1.4319841606459938</v>
      </c>
      <c r="K25" s="16">
        <f t="array" ref="K25:M25">TRANSPOSE(MMULT($I$4:$K$6,TRANSPOSE(B25:D25+$P$1/2*H25:J25)))</f>
        <v>-3.9549938028848612</v>
      </c>
      <c r="L25" s="17">
        <v>-0.6725570673139134</v>
      </c>
      <c r="M25" s="20">
        <v>-1.4327537297517408</v>
      </c>
      <c r="N25" s="16">
        <f t="array" ref="N25:P25">TRANSPOSE(MMULT($I$4:$K$6,TRANSPOSE(B25:D25+$P$1*K25:M25)))</f>
        <v>-3.8732534056325929</v>
      </c>
      <c r="O25" s="17">
        <v>-0.80317227047480744</v>
      </c>
      <c r="P25" s="20">
        <v>-1.3999033952207802</v>
      </c>
    </row>
    <row r="26" spans="1:16" x14ac:dyDescent="0.25">
      <c r="A26" s="24">
        <f t="shared" si="0"/>
        <v>1.3</v>
      </c>
      <c r="B26" s="16">
        <f t="array" ref="B26:D26">B25:D25+$P$1/6*(E25:G25+2*H25:J25+2*K25:M25+N25:P25)</f>
        <v>-4.4186009554389534</v>
      </c>
      <c r="C26" s="11">
        <v>4.1415283289169951</v>
      </c>
      <c r="D26" s="11">
        <v>0.43341764270793032</v>
      </c>
      <c r="E26" s="16">
        <f t="array" ref="E26:G26">TRANSPOSE(MMULT($I$4:$K$6,TRANSPOSE(B26:D26)))</f>
        <v>-3.8730352904562717</v>
      </c>
      <c r="F26" s="17">
        <v>-0.80303184901725422</v>
      </c>
      <c r="G26" s="20">
        <v>-1.3999684003740609</v>
      </c>
      <c r="H26" s="16">
        <f t="array" ref="H26:J26">TRANSPOSE(MMULT($I$4:$K$6,TRANSPOSE(B26:D26+$P$1/2*E26:G26)))</f>
        <v>-3.7855191535456467</v>
      </c>
      <c r="I26" s="17">
        <v>-0.92754900736788393</v>
      </c>
      <c r="J26" s="20">
        <v>-1.3678973014109033</v>
      </c>
      <c r="K26" s="16">
        <f t="array" ref="K26:M26">TRANSPOSE(MMULT($I$4:$K$6,TRANSPOSE(B26:D26+$P$1/2*H26:J26)))</f>
        <v>-3.7803722982919314</v>
      </c>
      <c r="L26" s="17">
        <v>-0.92183842688401885</v>
      </c>
      <c r="M26" s="20">
        <v>-1.3685011778316043</v>
      </c>
      <c r="N26" s="16">
        <f t="array" ref="N26:P26">TRANSPOSE(MMULT($I$4:$K$6,TRANSPOSE(B26:D26+$P$1*K26:M26)))</f>
        <v>-3.6883076776716863</v>
      </c>
      <c r="O26" s="17">
        <v>-1.0409926591977019</v>
      </c>
      <c r="P26" s="20">
        <v>-1.3368820517029711</v>
      </c>
    </row>
    <row r="27" spans="1:16" x14ac:dyDescent="0.25">
      <c r="A27" s="24">
        <f t="shared" si="0"/>
        <v>1.4000000000000001</v>
      </c>
      <c r="B27" s="16">
        <f t="array" ref="B27:D27">B26:D26+$P$1/6*(E26:G26+2*H26:J26+2*K26:M26+N26:P26)</f>
        <v>-4.7968197199690055</v>
      </c>
      <c r="C27" s="11">
        <v>4.0491483393050158</v>
      </c>
      <c r="D27" s="11">
        <v>0.29659018586522956</v>
      </c>
      <c r="E27" s="16">
        <f t="array" ref="E27:G27">TRANSPOSE(MMULT($I$4:$K$6,TRANSPOSE(B27:D27)))</f>
        <v>-3.6881024416542072</v>
      </c>
      <c r="F27" s="17">
        <v>-1.0408694231514544</v>
      </c>
      <c r="G27" s="20">
        <v>-1.3369370966451311</v>
      </c>
      <c r="H27" s="16">
        <f t="array" ref="H27:J27">TRANSPOSE(MMULT($I$4:$K$6,TRANSPOSE(B27:D27+$P$1/2*E27:G27)))</f>
        <v>-3.5908797163554609</v>
      </c>
      <c r="I27" s="17">
        <v>-1.1542989597191862</v>
      </c>
      <c r="J27" s="20">
        <v>-1.305930396806265</v>
      </c>
      <c r="K27" s="16">
        <f t="array" ref="K27:M27">TRANSPOSE(MMULT($I$4:$K$6,TRANSPOSE(B27:D27+$P$1/2*H27:J27)))</f>
        <v>-3.5863144871503452</v>
      </c>
      <c r="L27" s="17">
        <v>-1.1489151155951505</v>
      </c>
      <c r="M27" s="20">
        <v>-1.3063950750086533</v>
      </c>
      <c r="N27" s="16">
        <f t="array" ref="N27:P27">TRANSPOSE(MMULT($I$4:$K$6,TRANSPOSE(B27:D27+$P$1*K27:M27)))</f>
        <v>-3.4850919822228423</v>
      </c>
      <c r="O27" s="17">
        <v>-1.2572677278755244</v>
      </c>
      <c r="P27" s="20">
        <v>-1.2757260486560824</v>
      </c>
    </row>
    <row r="28" spans="1:16" x14ac:dyDescent="0.25">
      <c r="A28" s="24">
        <f t="shared" si="0"/>
        <v>1.5000000000000002</v>
      </c>
      <c r="B28" s="16">
        <f t="array" ref="B28:D28">B27:D27+$P$1/6*(E27:G27+2*H27:J27+2*K27:M27+N27:P27)</f>
        <v>-5.1556127671504832</v>
      </c>
      <c r="C28" s="11">
        <v>3.9340722509440882</v>
      </c>
      <c r="D28" s="11">
        <v>0.16596828438304539</v>
      </c>
      <c r="E28" s="16">
        <f t="array" ref="E28:G28">TRANSPOSE(MMULT($I$4:$K$6,TRANSPOSE(B28:D28)))</f>
        <v>-3.4848982879822583</v>
      </c>
      <c r="F28" s="17">
        <v>-1.2571591699129958</v>
      </c>
      <c r="G28" s="20">
        <v>-1.2757722828320239</v>
      </c>
      <c r="H28" s="16">
        <f t="array" ref="H28:J28">TRANSPOSE(MMULT($I$4:$K$6,TRANSPOSE(B28:D28+$P$1/2*E28:G28)))</f>
        <v>-3.3791003923900567</v>
      </c>
      <c r="I28" s="17">
        <v>-1.3601159495411359</v>
      </c>
      <c r="J28" s="20">
        <v>-1.2455754924003322</v>
      </c>
      <c r="K28" s="16">
        <f t="array" ref="K28:M28">TRANSPOSE(MMULT($I$4:$K$6,TRANSPOSE(B28:D28+$P$1/2*H28:J28)))</f>
        <v>-3.3750854786952442</v>
      </c>
      <c r="L28" s="17">
        <v>-1.3550212652210651</v>
      </c>
      <c r="M28" s="20">
        <v>-1.2459243961863666</v>
      </c>
      <c r="N28" s="16">
        <f t="array" ref="N28:P28">TRANSPOSE(MMULT($I$4:$K$6,TRANSPOSE(B28:D28+$P$1*K28:M28)))</f>
        <v>-3.2658083308257444</v>
      </c>
      <c r="O28" s="17">
        <v>-1.4531557241850355</v>
      </c>
      <c r="P28" s="20">
        <v>-1.21597151025685</v>
      </c>
    </row>
    <row r="29" spans="1:16" x14ac:dyDescent="0.25">
      <c r="A29" s="24">
        <f t="shared" si="0"/>
        <v>1.6000000000000003</v>
      </c>
      <c r="B29" s="16">
        <f t="array" ref="B29:D29">B28:D28+$P$1/6*(E28:G28+2*H28:J28+2*K28:M28+N28:P28)</f>
        <v>-5.4932640731667934</v>
      </c>
      <c r="C29" s="11">
        <v>3.7983957622170474</v>
      </c>
      <c r="D29" s="11">
        <v>4.1389224878674205E-2</v>
      </c>
      <c r="E29" s="16">
        <f t="array" ref="E29:G29">TRANSPOSE(MMULT($I$4:$K$6,TRANSPOSE(B29:D29)))</f>
        <v>-3.2656250448518378</v>
      </c>
      <c r="F29" s="17">
        <v>-1.453059647348971</v>
      </c>
      <c r="G29" s="20">
        <v>-1.2160099547563739</v>
      </c>
      <c r="H29" s="16">
        <f t="array" ref="H29:J29">TRANSPOSE(MMULT($I$4:$K$6,TRANSPOSE(B29:D29+$P$1/2*E29:G29)))</f>
        <v>-3.1523237381650029</v>
      </c>
      <c r="I29" s="17">
        <v>-1.5460892936343567</v>
      </c>
      <c r="J29" s="20">
        <v>-1.1864126478197246</v>
      </c>
      <c r="K29" s="16">
        <f t="array" ref="K29:M29">TRANSPOSE(MMULT($I$4:$K$6,TRANSPOSE(B29:D29+$P$1/2*H29:J29)))</f>
        <v>-3.1488307085229006</v>
      </c>
      <c r="L29" s="17">
        <v>-1.5412519748189812</v>
      </c>
      <c r="M29" s="20">
        <v>-1.1866664704534031</v>
      </c>
      <c r="N29" s="16">
        <f t="array" ref="N29:P29">TRANSPOSE(MMULT($I$4:$K$6,TRANSPOSE(B29:D29+$P$1*K29:M29)))</f>
        <v>-3.0325448814665745</v>
      </c>
      <c r="O29" s="17">
        <v>-1.6296875116594494</v>
      </c>
      <c r="P29" s="20">
        <v>-1.1572374179318536</v>
      </c>
    </row>
    <row r="30" spans="1:16" x14ac:dyDescent="0.25">
      <c r="A30" s="24">
        <f t="shared" si="0"/>
        <v>1.7000000000000004</v>
      </c>
      <c r="B30" s="16">
        <f t="array" ref="B30:D30">B29:D29+$P$1/6*(E29:G29+2*H29:J29+2*K29:M29+N29:P29)</f>
        <v>-5.8082720534950303</v>
      </c>
      <c r="C30" s="11">
        <v>3.6441052672851293</v>
      </c>
      <c r="D30" s="11">
        <v>-7.7267535275233834E-2</v>
      </c>
      <c r="E30" s="16">
        <f t="array" ref="E30:G30">TRANSPOSE(MMULT($I$4:$K$6,TRANSPOSE(B30:D30)))</f>
        <v>-3.0323710478255328</v>
      </c>
      <c r="F30" s="17">
        <v>-1.6296019936250046</v>
      </c>
      <c r="G30" s="20">
        <v>-1.1572689807694747</v>
      </c>
      <c r="H30" s="16">
        <f t="array" ref="H30:J30">TRANSPOSE(MMULT($I$4:$K$6,TRANSPOSE(B30:D30+$P$1/2*E30:G30)))</f>
        <v>-2.9125837132897652</v>
      </c>
      <c r="I30" s="17">
        <v>-1.7131917074866254</v>
      </c>
      <c r="J30" s="20">
        <v>-1.1280996402156316</v>
      </c>
      <c r="K30" s="16">
        <f t="array" ref="K30:M30">TRANSPOSE(MMULT($I$4:$K$6,TRANSPOSE(B30:D30+$P$1/2*H30:J30)))</f>
        <v>-2.90958655108044</v>
      </c>
      <c r="L30" s="17">
        <v>-1.7085850110538288</v>
      </c>
      <c r="M30" s="20">
        <v>-1.1282766441841043</v>
      </c>
      <c r="N30" s="16">
        <f t="array" ref="N30:P30">TRANSPOSE(MMULT($I$4:$K$6,TRANSPOSE(B30:D30+$P$1*K30:M30)))</f>
        <v>-2.7872856154419812</v>
      </c>
      <c r="O30" s="17">
        <v>-1.7877867979849964</v>
      </c>
      <c r="P30" s="20">
        <v>-1.0992158773505658</v>
      </c>
    </row>
    <row r="31" spans="1:16" x14ac:dyDescent="0.25">
      <c r="A31" s="24">
        <f t="shared" si="0"/>
        <v>1.8000000000000005</v>
      </c>
      <c r="B31" s="16">
        <f t="array" ref="B31:D31">B30:D30+$P$1/6*(E30:G30+2*H30:J30+2*K30:M30+N30:P30)</f>
        <v>-6.0993386733618289</v>
      </c>
      <c r="C31" s="11">
        <v>3.4730895634736143</v>
      </c>
      <c r="D31" s="11">
        <v>-0.1900881590572257</v>
      </c>
      <c r="E31" s="16">
        <f t="array" ref="E31:G31">TRANSPOSE(MMULT($I$4:$K$6,TRANSPOSE(B31:D31)))</f>
        <v>-2.7871204325145409</v>
      </c>
      <c r="F31" s="17">
        <v>-1.7877101595239826</v>
      </c>
      <c r="G31" s="20">
        <v>-1.0992413668846126</v>
      </c>
      <c r="H31" s="16">
        <f t="array" ref="H31:J31">TRANSPOSE(MMULT($I$4:$K$6,TRANSPOSE(B31:D31+$P$1/2*E31:G31)))</f>
        <v>-2.6618144950380773</v>
      </c>
      <c r="I31" s="17">
        <v>-1.8622981610868417</v>
      </c>
      <c r="J31" s="20">
        <v>-1.0703627927060033</v>
      </c>
      <c r="K31" s="16">
        <f t="array" ref="K31:M31">TRANSPOSE(MMULT($I$4:$K$6,TRANSPOSE(B31:D31+$P$1/2*H31:J31)))</f>
        <v>-2.6592891961308887</v>
      </c>
      <c r="L31" s="17">
        <v>-1.8578997477471022</v>
      </c>
      <c r="M31" s="20">
        <v>-1.0704790740386063</v>
      </c>
      <c r="N31" s="16">
        <f t="array" ref="N31:P31">TRANSPOSE(MMULT($I$4:$K$6,TRANSPOSE(B31:D31+$P$1*K31:M31)))</f>
        <v>-2.5319184028169777</v>
      </c>
      <c r="O31" s="17">
        <v>-1.9282877711806592</v>
      </c>
      <c r="P31" s="20">
        <v>-1.0416634439078751</v>
      </c>
    </row>
    <row r="32" spans="1:16" x14ac:dyDescent="0.25">
      <c r="A32" s="24">
        <f t="shared" si="0"/>
        <v>1.9000000000000006</v>
      </c>
      <c r="B32" s="16">
        <f t="array" ref="B32:D32">B31:D31+$P$1/6*(E31:G31+2*H31:J31+2*K31:M31+N31:P31)</f>
        <v>-6.3653594436563194</v>
      </c>
      <c r="C32" s="11">
        <v>3.2871496676674057</v>
      </c>
      <c r="D32" s="11">
        <v>-0.29713130146192079</v>
      </c>
      <c r="E32" s="16">
        <f t="array" ref="E32:G32">TRANSPOSE(MMULT($I$4:$K$6,TRANSPOSE(B32:D32)))</f>
        <v>-2.5317612027170058</v>
      </c>
      <c r="F32" s="17">
        <v>-1.9282185483217731</v>
      </c>
      <c r="G32" s="20">
        <v>-1.0416835806226914</v>
      </c>
      <c r="H32" s="16">
        <f t="array" ref="H32:J32">TRANSPOSE(MMULT($I$4:$K$6,TRANSPOSE(B32:D32+$P$1/2*E32:G32)))</f>
        <v>-2.4018577976748778</v>
      </c>
      <c r="I32" s="17">
        <v>-1.9942022995980144</v>
      </c>
      <c r="J32" s="20">
        <v>-1.0129887950704051</v>
      </c>
      <c r="K32" s="16">
        <f t="array" ref="K32:M32">TRANSPOSE(MMULT($I$4:$K$6,TRANSPOSE(B32:D32+$P$1/2*H32:J32)))</f>
        <v>-2.3997820228473223</v>
      </c>
      <c r="L32" s="17">
        <v>-1.9899936605065043</v>
      </c>
      <c r="M32" s="20">
        <v>-1.013058516546322</v>
      </c>
      <c r="N32" s="16">
        <f t="array" ref="N32:P32">TRANSPOSE(MMULT($I$4:$K$6,TRANSPOSE(B32:D32+$P$1*K32:M32)))</f>
        <v>-2.2682416757760286</v>
      </c>
      <c r="O32" s="17">
        <v>-2.0519504398176314</v>
      </c>
      <c r="P32" s="20">
        <v>-0.98439338210399252</v>
      </c>
    </row>
    <row r="33" spans="1:16" x14ac:dyDescent="0.25">
      <c r="A33" s="24">
        <f t="shared" si="0"/>
        <v>2.0000000000000004</v>
      </c>
      <c r="B33" s="16">
        <f t="array" ref="B33:D33">B32:D32+$P$1/6*(E32:G32+2*H32:J32+2*K32:M32+N32:P32)</f>
        <v>-6.6054141523152765</v>
      </c>
      <c r="C33" s="11">
        <v>3.0880069858615982</v>
      </c>
      <c r="D33" s="11">
        <v>-0.39843416122792308</v>
      </c>
      <c r="E33" s="16">
        <f t="array" ref="E33:G33">TRANSPOSE(MMULT($I$4:$K$6,TRANSPOSE(B33:D33)))</f>
        <v>-2.2680919061389013</v>
      </c>
      <c r="F33" s="17">
        <v>-2.0518873592574316</v>
      </c>
      <c r="G33" s="20">
        <v>-0.98440880895236427</v>
      </c>
      <c r="H33" s="16">
        <f t="array" ref="H33:J33">TRANSPOSE(MMULT($I$4:$K$6,TRANSPOSE(B33:D33+$P$1/2*E33:G33)))</f>
        <v>-2.134468902466288</v>
      </c>
      <c r="I33" s="17">
        <v>-2.1096307067534399</v>
      </c>
      <c r="J33" s="20">
        <v>-0.95581740020687767</v>
      </c>
      <c r="K33" s="16">
        <f t="array" ref="K33:M33">TRANSPOSE(MMULT($I$4:$K$6,TRANSPOSE(B33:D33+$P$1/2*H33:J33)))</f>
        <v>-2.1328216782847602</v>
      </c>
      <c r="L33" s="17">
        <v>-2.1055966554784202</v>
      </c>
      <c r="M33" s="20">
        <v>-0.95585299725993011</v>
      </c>
      <c r="N33" s="16">
        <f t="array" ref="N33:P33">TRANSPOSE(MMULT($I$4:$K$6,TRANSPOSE(B33:D33+$P$1*K33:M33)))</f>
        <v>-1.9979699039178143</v>
      </c>
      <c r="O33" s="17">
        <v>-2.1594739389937661</v>
      </c>
      <c r="P33" s="20">
        <v>-0.9272687494811096</v>
      </c>
    </row>
    <row r="34" spans="1:16" x14ac:dyDescent="0.25">
      <c r="A34" s="24">
        <f t="shared" si="0"/>
        <v>2.1000000000000005</v>
      </c>
      <c r="B34" s="16">
        <f t="array" ref="B34:D34">B33:D33+$P$1/6*(E33:G33+2*H33:J33+2*K33:M33+N33:P33)</f>
        <v>-6.8187582018412565</v>
      </c>
      <c r="C34" s="11">
        <v>2.8773100521496828</v>
      </c>
      <c r="D34" s="11">
        <v>-0.49401780045070792</v>
      </c>
      <c r="E34" s="16">
        <f t="array" ref="E34:G34">TRANSPOSE(MMULT($I$4:$K$6,TRANSPOSE(B34:D34)))</f>
        <v>-1.9978271117852739</v>
      </c>
      <c r="F34" s="17">
        <v>-2.1594158963668129</v>
      </c>
      <c r="G34" s="20">
        <v>-0.92728004096053729</v>
      </c>
      <c r="H34" s="16">
        <f t="array" ref="H34:J34">TRANSPOSE(MMULT($I$4:$K$6,TRANSPOSE(B34:D34+$P$1/2*E34:G34)))</f>
        <v>-1.8613215805887959</v>
      </c>
      <c r="I34" s="17">
        <v>-2.2092552566022978</v>
      </c>
      <c r="J34" s="20">
        <v>-0.8987348941339961</v>
      </c>
      <c r="K34" s="16">
        <f t="array" ref="K34:M34">TRANSPOSE(MMULT($I$4:$K$6,TRANSPOSE(B34:D34+$P$1/2*H34:J34)))</f>
        <v>-1.8600830431695352</v>
      </c>
      <c r="L34" s="17">
        <v>-2.2053834788852549</v>
      </c>
      <c r="M34" s="20">
        <v>-0.89874725680312328</v>
      </c>
      <c r="N34" s="16">
        <f t="array" ref="N34:P34">TRANSPOSE(MMULT($I$4:$K$6,TRANSPOSE(B34:D34+$P$1*K34:M34)))</f>
        <v>-1.7227380431929284</v>
      </c>
      <c r="O34" s="17">
        <v>-2.2515080334849782</v>
      </c>
      <c r="P34" s="20">
        <v>-0.87019620918584495</v>
      </c>
    </row>
    <row r="35" spans="1:16" x14ac:dyDescent="0.25">
      <c r="A35" s="24">
        <f t="shared" si="0"/>
        <v>2.2000000000000006</v>
      </c>
      <c r="B35" s="16">
        <f t="array" ref="B35:D35">B34:D34+$P$1/6*(E34:G34+2*H34:J34+2*K34:M34+N34:P34)</f>
        <v>-7.0048144418828375</v>
      </c>
      <c r="C35" s="11">
        <v>2.6566400288025678</v>
      </c>
      <c r="D35" s="11">
        <v>-0.58389180965105159</v>
      </c>
      <c r="E35" s="16">
        <f t="array" ref="E35:G35">TRANSPOSE(MMULT($I$4:$K$6,TRANSPOSE(B35:D35)))</f>
        <v>-1.7226018607538633</v>
      </c>
      <c r="F35" s="17">
        <v>-2.2514540741487785</v>
      </c>
      <c r="G35" s="20">
        <v>-0.87020387930156751</v>
      </c>
      <c r="H35" s="16">
        <f t="array" ref="H35:J35">TRANSPOSE(MMULT($I$4:$K$6,TRANSPOSE(B35:D35+$P$1/2*E35:G35)))</f>
        <v>-1.5840120701566236</v>
      </c>
      <c r="I35" s="17">
        <v>-2.2937037708750729</v>
      </c>
      <c r="J35" s="20">
        <v>-0.84166824986987898</v>
      </c>
      <c r="K35" s="16">
        <f t="array" ref="K35:M35">TRANSPOSE(MMULT($I$4:$K$6,TRANSPOSE(B35:D35+$P$1/2*H35:J35)))</f>
        <v>-1.583163246861929</v>
      </c>
      <c r="L35" s="17">
        <v>-2.2899844255287887</v>
      </c>
      <c r="M35" s="20">
        <v>-0.84166688373876464</v>
      </c>
      <c r="N35" s="16">
        <f t="array" ref="N35:P35">TRANSPOSE(MMULT($I$4:$K$6,TRANSPOSE(B35:D35+$P$1*K35:M35)))</f>
        <v>-1.4441051103828144</v>
      </c>
      <c r="O35" s="17">
        <v>-2.3286630228494385</v>
      </c>
      <c r="P35" s="20">
        <v>-0.81312048701387174</v>
      </c>
    </row>
    <row r="36" spans="1:16" x14ac:dyDescent="0.25">
      <c r="A36" s="24">
        <f t="shared" si="0"/>
        <v>2.3000000000000007</v>
      </c>
      <c r="B36" s="16">
        <f t="array" ref="B36:D36">B35:D35+$P$1/6*(E35:G35+2*H35:J35+2*K35:M35+N35:P35)</f>
        <v>-7.1631654019690671</v>
      </c>
      <c r="C36" s="11">
        <v>2.4275151373058019</v>
      </c>
      <c r="D36" s="11">
        <v>-0.66805838687659702</v>
      </c>
      <c r="E36" s="16">
        <f t="array" ref="E36:G36">TRANSPOSE(MMULT($I$4:$K$6,TRANSPOSE(B36:D36)))</f>
        <v>-1.4439752423582564</v>
      </c>
      <c r="F36" s="17">
        <v>-2.3286123248814219</v>
      </c>
      <c r="G36" s="20">
        <v>-0.81312499626333246</v>
      </c>
      <c r="H36" s="16">
        <f t="array" ref="H36:J36">TRANSPOSE(MMULT($I$4:$K$6,TRANSPOSE(B36:D36+$P$1/2*E36:G36)))</f>
        <v>-1.3040622499771275</v>
      </c>
      <c r="I36" s="17">
        <v>-2.3635691742964804</v>
      </c>
      <c r="J36" s="20">
        <v>-0.78457988654886712</v>
      </c>
      <c r="K36" s="16">
        <f t="array" ref="K36:M36">TRANSPOSE(MMULT($I$4:$K$6,TRANSPOSE(B36:D36+$P$1/2*H36:J36)))</f>
        <v>-1.3035848746625696</v>
      </c>
      <c r="L36" s="17">
        <v>-2.3599945393878756</v>
      </c>
      <c r="M36" s="20">
        <v>-0.78457305526136412</v>
      </c>
      <c r="N36" s="16">
        <f t="array" ref="N36:P36">TRANSPOSE(MMULT($I$4:$K$6,TRANSPOSE(B36:D36+$P$1*K36:M36)))</f>
        <v>-1.1635570174623886</v>
      </c>
      <c r="O36" s="17">
        <v>-2.3915182298205786</v>
      </c>
      <c r="P36" s="20">
        <v>-0.75601939915167193</v>
      </c>
    </row>
    <row r="37" spans="1:16" x14ac:dyDescent="0.25">
      <c r="A37" s="24">
        <f t="shared" si="0"/>
        <v>2.4000000000000008</v>
      </c>
      <c r="B37" s="16">
        <f t="array" ref="B37:D37">B36:D36+$P$1/6*(E36:G36+2*H36:J36+2*K36:M36+N36:P36)</f>
        <v>-7.2935458437874008</v>
      </c>
      <c r="C37" s="11">
        <v>2.191394170937957</v>
      </c>
      <c r="D37" s="11">
        <v>-0.74651589152718811</v>
      </c>
      <c r="E37" s="16">
        <f t="array" ref="E37:G37">TRANSPOSE(MMULT($I$4:$K$6,TRANSPOSE(B37:D37)))</f>
        <v>-1.1634332299483416</v>
      </c>
      <c r="F37" s="17">
        <v>-2.3914700889609213</v>
      </c>
      <c r="G37" s="20">
        <v>-0.75602116064905123</v>
      </c>
      <c r="H37" s="16">
        <f t="array" ref="H37:J37">TRANSPOSE(MMULT($I$4:$K$6,TRANSPOSE(B37:D37+$P$1/2*E37:G37)))</f>
        <v>-1.0229221361375729</v>
      </c>
      <c r="I37" s="17">
        <v>-2.4194173182311003</v>
      </c>
      <c r="J37" s="20">
        <v>-0.72746296482712114</v>
      </c>
      <c r="K37" s="16">
        <f t="array" ref="K37:M37">TRANSPOSE(MMULT($I$4:$K$6,TRANSPOSE(B37:D37+$P$1/2*H37:J37)))</f>
        <v>-1.0227984940595563</v>
      </c>
      <c r="L37" s="17">
        <v>-2.4159814773994319</v>
      </c>
      <c r="M37" s="20">
        <v>-0.72745781645083984</v>
      </c>
      <c r="N37" s="16">
        <f t="array" ref="N37:P37">TRANSPOSE(MMULT($I$4:$K$6,TRANSPOSE(B37:D37+$P$1*K37:M37)))</f>
        <v>-0.88250878460976934</v>
      </c>
      <c r="O37" s="17">
        <v>-2.4406292327033299</v>
      </c>
      <c r="P37" s="20">
        <v>-0.6988993859303595</v>
      </c>
    </row>
    <row r="38" spans="1:16" x14ac:dyDescent="0.25">
      <c r="A38" s="24">
        <f t="shared" si="0"/>
        <v>2.5000000000000009</v>
      </c>
      <c r="B38" s="16">
        <f t="array" ref="B38:D38">B37:D37+$P$1/6*(E37:G37+2*H37:J37+2*K37:M37+N37:P37)</f>
        <v>-7.3958355650366068</v>
      </c>
      <c r="C38" s="11">
        <v>1.9496792223892017</v>
      </c>
      <c r="D38" s="11">
        <v>-0.81926192667944364</v>
      </c>
      <c r="E38" s="16">
        <f t="array" ref="E38:G38">TRANSPOSE(MMULT($I$4:$K$6,TRANSPOSE(B38:D38)))</f>
        <v>-0.88239089521376335</v>
      </c>
      <c r="F38" s="17">
        <v>-2.4405830490096778</v>
      </c>
      <c r="G38" s="20">
        <v>-0.69889877077566176</v>
      </c>
      <c r="H38" s="16">
        <f t="array" ref="H38:J38">TRANSPOSE(MMULT($I$4:$K$6,TRANSPOSE(B38:D38+$P$1/2*E38:G38)))</f>
        <v>-0.74197181287169744</v>
      </c>
      <c r="I38" s="17">
        <v>-2.4617936237413325</v>
      </c>
      <c r="J38" s="20">
        <v>-0.67033715814000672</v>
      </c>
      <c r="K38" s="16">
        <f t="array" ref="K38:M38">TRANSPOSE(MMULT($I$4:$K$6,TRANSPOSE(B38:D38+$P$1/2*H38:J38)))</f>
        <v>-0.74218461179953821</v>
      </c>
      <c r="L38" s="17">
        <v>-2.4584921881207826</v>
      </c>
      <c r="M38" s="20">
        <v>-0.67033983737363723</v>
      </c>
      <c r="N38" s="16">
        <f t="array" ref="N38:P38">TRANSPOSE(MMULT($I$4:$K$6,TRANSPOSE(B38:D38+$P$1*K38:M38)))</f>
        <v>-0.6023062367887444</v>
      </c>
      <c r="O38" s="17">
        <v>-2.4765339843431136</v>
      </c>
      <c r="P38" s="20">
        <v>-0.64179149489804743</v>
      </c>
    </row>
    <row r="39" spans="1:16" x14ac:dyDescent="0.25">
      <c r="A39" s="24">
        <f t="shared" si="0"/>
        <v>2.600000000000001</v>
      </c>
      <c r="B39" s="16">
        <f t="array" ref="B39:D39">B38:D38+$P$1/6*(E38:G38+2*H38:J38+2*K38:M38+N38:P38)</f>
        <v>-7.470052398059023</v>
      </c>
      <c r="C39" s="11">
        <v>1.7037177447712513</v>
      </c>
      <c r="D39" s="11">
        <v>-0.88629599762446021</v>
      </c>
      <c r="E39" s="16">
        <f t="array" ref="E39:G39">TRANSPOSE(MMULT($I$4:$K$6,TRANSPOSE(B39:D39)))</f>
        <v>-0.60219410591556477</v>
      </c>
      <c r="F39" s="17">
        <v>-2.4764892503515981</v>
      </c>
      <c r="G39" s="20">
        <v>-0.64178883688276955</v>
      </c>
      <c r="H39" s="16">
        <f t="array" ref="H39:J39">TRANSPOSE(MMULT($I$4:$K$6,TRANSPOSE(B39:D39+$P$1/2*E39:G39)))</f>
        <v>-0.4625228961307517</v>
      </c>
      <c r="I39" s="17">
        <v>-2.4912286781487305</v>
      </c>
      <c r="J39" s="20">
        <v>-0.61324484684743519</v>
      </c>
      <c r="K39" s="16">
        <f t="array" ref="K39:M39">TRANSPOSE(MMULT($I$4:$K$6,TRANSPOSE(B39:D39+$P$1/2*H39:J39)))</f>
        <v>-0.46305516059052571</v>
      </c>
      <c r="L39" s="17">
        <v>-2.4880585399077866</v>
      </c>
      <c r="M39" s="20">
        <v>-0.61326059482355666</v>
      </c>
      <c r="N39" s="16">
        <f t="array" ref="N39:P39">TRANSPOSE(MMULT($I$4:$K$6,TRANSPOSE(B39:D39+$P$1*K39:M39)))</f>
        <v>-0.32422727652593858</v>
      </c>
      <c r="O39" s="17">
        <v>-2.499757944268175</v>
      </c>
      <c r="P39" s="20">
        <v>-0.58474776353240876</v>
      </c>
    </row>
    <row r="40" spans="1:16" x14ac:dyDescent="0.25">
      <c r="A40" s="24">
        <f t="shared" si="0"/>
        <v>2.7000000000000011</v>
      </c>
      <c r="B40" s="16">
        <f t="array" ref="B40:D40">B39:D39+$P$1/6*(E39:G39+2*H39:J39+2*K39:M39+N39:P39)</f>
        <v>-7.5163453563237574</v>
      </c>
      <c r="C40" s="11">
        <v>1.4548040509257045</v>
      </c>
      <c r="D40" s="11">
        <v>-0.94762178902041294</v>
      </c>
      <c r="E40" s="16">
        <f t="array" ref="E40:G40">TRANSPOSE(MMULT($I$4:$K$6,TRANSPOSE(B40:D40)))</f>
        <v>-0.3241207996851635</v>
      </c>
      <c r="F40" s="17">
        <v>-2.4997142344800789</v>
      </c>
      <c r="G40" s="20">
        <v>-0.58474336326285281</v>
      </c>
      <c r="H40" s="16">
        <f t="array" ref="H40:J40">TRANSPOSE(MMULT($I$4:$K$6,TRANSPOSE(B40:D40+$P$1/2*E40:G40)))</f>
        <v>-0.18581961669747682</v>
      </c>
      <c r="I40" s="17">
        <v>-2.5082429042367154</v>
      </c>
      <c r="J40" s="20">
        <v>-0.55624768886208176</v>
      </c>
      <c r="K40" s="16">
        <f t="array" ref="K40:M40">TRANSPOSE(MMULT($I$4:$K$6,TRANSPOSE(B40:D40+$P$1/2*H40:J40)))</f>
        <v>-0.18665460261259875</v>
      </c>
      <c r="L40" s="17">
        <v>-2.5052020182240575</v>
      </c>
      <c r="M40" s="20">
        <v>-0.55628093208248686</v>
      </c>
      <c r="N40" s="16">
        <f t="array" ref="N40:P40">TRANSPOSE(MMULT($I$4:$K$6,TRANSPOSE(B40:D40+$P$1*K40:M40)))</f>
        <v>-4.9482814553332422E-2</v>
      </c>
      <c r="O40" s="17">
        <v>-2.5108183365483976</v>
      </c>
      <c r="P40" s="20">
        <v>-0.52783795807040779</v>
      </c>
    </row>
    <row r="41" spans="1:16" x14ac:dyDescent="0.25">
      <c r="A41" s="24">
        <f t="shared" si="0"/>
        <v>2.8000000000000012</v>
      </c>
      <c r="B41" s="16">
        <f t="array" ref="B41:D41">B40:D40+$P$1/6*(E40:G40+2*H40:J40+2*K40:M40+N40:P40)</f>
        <v>-7.5349878905380683</v>
      </c>
      <c r="C41" s="11">
        <v>1.2041803439932042</v>
      </c>
      <c r="D41" s="11">
        <v>-1.0032490984074529</v>
      </c>
      <c r="E41" s="16">
        <f t="array" ref="E41:G41">TRANSPOSE(MMULT($I$4:$K$6,TRANSPOSE(B41:D41)))</f>
        <v>-4.9381915576416135E-2</v>
      </c>
      <c r="F41" s="17">
        <v>-2.5107752980838018</v>
      </c>
      <c r="G41" s="20">
        <v>-0.52783208658002478</v>
      </c>
      <c r="H41" s="16">
        <f t="array" ref="H41:J41">TRANSPOSE(MMULT($I$4:$K$6,TRANSPOSE(B41:D41+$P$1/2*E41:G41)))</f>
        <v>8.696040063725663E-2</v>
      </c>
      <c r="I41" s="17">
        <v>-2.5133504080674647</v>
      </c>
      <c r="J41" s="20">
        <v>-0.49942352610870389</v>
      </c>
      <c r="K41" s="16">
        <f t="array" ref="K41:M41">TRANSPOSE(MMULT($I$4:$K$6,TRANSPOSE(B41:D41+$P$1/2*H41:J41)))</f>
        <v>8.5839273345944989E-2</v>
      </c>
      <c r="L41" s="17">
        <v>-2.5104375984732274</v>
      </c>
      <c r="M41" s="20">
        <v>-0.49947795586014965</v>
      </c>
      <c r="N41" s="16">
        <f t="array" ref="N41:P41">TRANSPOSE(MMULT($I$4:$K$6,TRANSPOSE(B41:D41+$P$1*K41:M41)))</f>
        <v>0.22078256977185318</v>
      </c>
      <c r="O41" s="17">
        <v>-2.5102276335348988</v>
      </c>
      <c r="P41" s="20">
        <v>-0.47114663033014459</v>
      </c>
    </row>
    <row r="42" spans="1:16" x14ac:dyDescent="0.25">
      <c r="A42" s="24">
        <f t="shared" si="0"/>
        <v>2.9000000000000012</v>
      </c>
      <c r="B42" s="16">
        <f t="array" ref="B42:D42">B41:D41+$P$1/6*(E41:G41+2*H41:J41+2*K41:M41+N41:P41)</f>
        <v>-7.5263712238353708</v>
      </c>
      <c r="C42" s="11">
        <v>0.95303736158153607</v>
      </c>
      <c r="D42" s="11">
        <v>-1.0531954597549176</v>
      </c>
      <c r="E42" s="16">
        <f t="array" ref="E42:G42">TRANSPOSE(MMULT($I$4:$K$6,TRANSPOSE(B42:D42)))</f>
        <v>0.22087794470396804</v>
      </c>
      <c r="F42" s="17">
        <v>-2.5101849778139558</v>
      </c>
      <c r="G42" s="20">
        <v>-0.47113953224378724</v>
      </c>
      <c r="H42" s="16">
        <f t="array" ref="H42:J42">TRANSPOSE(MMULT($I$4:$K$6,TRANSPOSE(B42:D42+$P$1/2*E42:G42)))</f>
        <v>0.35470559451602179</v>
      </c>
      <c r="I42" s="17">
        <v>-2.5070620997903497</v>
      </c>
      <c r="J42" s="20">
        <v>-0.44286359120674446</v>
      </c>
      <c r="K42" s="16">
        <f t="array" ref="K42:M42">TRANSPOSE(MMULT($I$4:$K$6,TRANSPOSE(B42:D42+$P$1/2*H42:J42)))</f>
        <v>0.35331479354504042</v>
      </c>
      <c r="L42" s="17">
        <v>-2.5042768890996459</v>
      </c>
      <c r="M42" s="20">
        <v>-0.44294223463849969</v>
      </c>
      <c r="N42" s="16">
        <f t="array" ref="N42:P42">TRANSPOSE(MMULT($I$4:$K$6,TRANSPOSE(B42:D42+$P$1*K42:M42)))</f>
        <v>0.48549017506402226</v>
      </c>
      <c r="O42" s="17">
        <v>-2.498496354739606</v>
      </c>
      <c r="P42" s="20">
        <v>-0.41477045913083743</v>
      </c>
    </row>
    <row r="43" spans="1:16" x14ac:dyDescent="0.25">
      <c r="A43" s="24">
        <f t="shared" si="0"/>
        <v>3.0000000000000013</v>
      </c>
      <c r="B43" s="16">
        <f t="array" ref="B43:D43">B42:D42+$P$1/6*(E42:G42+2*H42:J42+2*K42:M42+N42:P42)</f>
        <v>-7.4909977422372025</v>
      </c>
      <c r="C43" s="11">
        <v>0.70251470640931024</v>
      </c>
      <c r="D43" s="11">
        <v>-1.0974874871393361</v>
      </c>
      <c r="E43" s="16">
        <f t="array" ref="E43:G43">TRANSPOSE(MMULT($I$4:$K$6,TRANSPOSE(B43:D43)))</f>
        <v>0.48558006267014453</v>
      </c>
      <c r="F43" s="17">
        <v>-2.498453850069108</v>
      </c>
      <c r="G43" s="20">
        <v>-0.4147623554362907</v>
      </c>
      <c r="H43" s="16">
        <f t="array" ref="H43:J43">TRANSPOSE(MMULT($I$4:$K$6,TRANSPOSE(B43:D43+$P$1/2*E43:G43)))</f>
        <v>0.6163701019689749</v>
      </c>
      <c r="I43" s="17">
        <v>-2.4898881716019541</v>
      </c>
      <c r="J43" s="20">
        <v>-0.38666998318770562</v>
      </c>
      <c r="K43" s="16">
        <f t="array" ref="K43:M43">TRANSPOSE(MMULT($I$4:$K$6,TRANSPOSE(B43:D43+$P$1/2*H43:J43)))</f>
        <v>0.61472602040415147</v>
      </c>
      <c r="L43" s="17">
        <v>-2.487230629440544</v>
      </c>
      <c r="M43" s="20">
        <v>-0.38677526708561372</v>
      </c>
      <c r="N43" s="16">
        <f t="array" ref="N43:P43">TRANSPOSE(MMULT($I$4:$K$6,TRANSPOSE(B43:D43+$P$1*K43:M43)))</f>
        <v>0.74362687609358191</v>
      </c>
      <c r="O43" s="17">
        <v>-2.4761352605024873</v>
      </c>
      <c r="P43" s="20">
        <v>-0.35881584706076519</v>
      </c>
    </row>
    <row r="44" spans="1:16" x14ac:dyDescent="0.25">
      <c r="A44" s="24">
        <f t="shared" si="0"/>
        <v>3.1000000000000014</v>
      </c>
      <c r="B44" s="16">
        <f t="array" ref="B44:D44">B43:D43+$P$1/6*(E43:G43+2*H43:J43+2*K43:M43+N43:P43)</f>
        <v>-7.4294744225120359</v>
      </c>
      <c r="C44" s="11">
        <v>0.45370092786503374</v>
      </c>
      <c r="D44" s="11">
        <v>-1.1361619655233977</v>
      </c>
      <c r="E44" s="16">
        <f t="array" ref="E44:G44">TRANSPOSE(MMULT($I$4:$K$6,TRANSPOSE(B44:D44)))</f>
        <v>0.74371130059552903</v>
      </c>
      <c r="F44" s="17">
        <v>-2.4760927254603451</v>
      </c>
      <c r="G44" s="20">
        <v>-0.35880693753631032</v>
      </c>
      <c r="H44" s="16">
        <f t="array" ref="H44:J44">TRANSPOSE(MMULT($I$4:$K$6,TRANSPOSE(B44:D44+$P$1/2*E44:G44)))</f>
        <v>0.87097351911629484</v>
      </c>
      <c r="I44" s="17">
        <v>-2.4623400080096798</v>
      </c>
      <c r="J44" s="20">
        <v>-0.33095338492807902</v>
      </c>
      <c r="K44" s="16">
        <f t="array" ref="K44:M44">TRANSPOSE(MMULT($I$4:$K$6,TRANSPOSE(B44:D44+$P$1/2*H44:J44)))</f>
        <v>0.86909250109899316</v>
      </c>
      <c r="L44" s="17">
        <v>-2.4598106177650916</v>
      </c>
      <c r="M44" s="20">
        <v>-0.33108719309073376</v>
      </c>
      <c r="N44" s="16">
        <f t="array" ref="N44:P44">TRANSPOSE(MMULT($I$4:$K$6,TRANSPOSE(B44:D44+$P$1*K44:M44)))</f>
        <v>0.99424492508467754</v>
      </c>
      <c r="O44" s="17">
        <v>-2.4436570116175584</v>
      </c>
      <c r="P44" s="20">
        <v>-0.30339674696972696</v>
      </c>
    </row>
    <row r="45" spans="1:16" x14ac:dyDescent="0.25">
      <c r="A45" s="24">
        <f t="shared" si="0"/>
        <v>3.2000000000000015</v>
      </c>
      <c r="B45" s="16">
        <f t="array" ref="B45:D45">B44:D44+$P$1/6*(E44:G44+2*H44:J44+2*K44:M44+N44:P44)</f>
        <v>-7.3425062847435232</v>
      </c>
      <c r="C45" s="11">
        <v>0.20763341138790964</v>
      </c>
      <c r="D45" s="11">
        <v>-1.1692667128657921</v>
      </c>
      <c r="E45" s="16">
        <f t="array" ref="E45:G45">TRANSPOSE(MMULT($I$4:$K$6,TRANSPOSE(B45:D45)))</f>
        <v>0.99432390223275957</v>
      </c>
      <c r="F45" s="17">
        <v>-2.4436143091409788</v>
      </c>
      <c r="G45" s="20">
        <v>-0.3033872123106709</v>
      </c>
      <c r="H45" s="16">
        <f t="array" ref="H45:J45">TRANSPOSE(MMULT($I$4:$K$6,TRANSPOSE(B45:D45+$P$1/2*E45:G45)))</f>
        <v>1.1176007424248582</v>
      </c>
      <c r="I45" s="17">
        <v>-2.4249315956038915</v>
      </c>
      <c r="J45" s="20">
        <v>-0.27583099836366864</v>
      </c>
      <c r="K45" s="16">
        <f t="array" ref="K45:M45">TRANSPOSE(MMULT($I$4:$K$6,TRANSPOSE(B45:D45+$P$1/2*H45:J45)))</f>
        <v>1.1154990982681032</v>
      </c>
      <c r="L45" s="17">
        <v>-2.4225311369539035</v>
      </c>
      <c r="M45" s="20">
        <v>-0.27599472337263498</v>
      </c>
      <c r="N45" s="16">
        <f t="array" ref="N45:P45">TRANSPOSE(MMULT($I$4:$K$6,TRANSPOSE(B45:D45+$P$1*K45:M45)))</f>
        <v>1.2364618138803742</v>
      </c>
      <c r="O45" s="17">
        <v>-2.4015773586078688</v>
      </c>
      <c r="P45" s="20">
        <v>-0.24863269573413738</v>
      </c>
    </row>
    <row r="46" spans="1:16" x14ac:dyDescent="0.25">
      <c r="A46" s="24">
        <f t="shared" si="0"/>
        <v>3.3000000000000016</v>
      </c>
      <c r="B46" s="16">
        <f t="array" ref="B46:D46">B45:D45+$P$1/6*(E45:G45+2*H45:J45+2*K45:M45+N45:P45)</f>
        <v>-7.230889861451872</v>
      </c>
      <c r="C46" s="11">
        <v>-3.4701874159830975E-2</v>
      </c>
      <c r="D46" s="11">
        <v>-1.1968612353910824</v>
      </c>
      <c r="E46" s="16">
        <f t="array" ref="E46:G46">TRANSPOSE(MMULT($I$4:$K$6,TRANSPOSE(B46:D46)))</f>
        <v>1.2365353544614512</v>
      </c>
      <c r="F46" s="17">
        <v>-2.4015343907025879</v>
      </c>
      <c r="G46" s="20">
        <v>-0.2486226994160956</v>
      </c>
      <c r="H46" s="16">
        <f t="array" ref="H46:J46">TRANSPOSE(MMULT($I$4:$K$6,TRANSPOSE(B46:D46+$P$1/2*E46:G46)))</f>
        <v>1.3554018512125954</v>
      </c>
      <c r="I46" s="17">
        <v>-2.3781804925269765</v>
      </c>
      <c r="J46" s="20">
        <v>-0.22142467650997366</v>
      </c>
      <c r="K46" s="16">
        <f t="array" ref="K46:M46">TRANSPOSE(MMULT($I$4:$K$6,TRANSPOSE(B46:D46+$P$1/2*H46:J46)))</f>
        <v>1.3530958633619365</v>
      </c>
      <c r="L46" s="17">
        <v>-2.3759099382253641</v>
      </c>
      <c r="M46" s="20">
        <v>-0.22161926658594377</v>
      </c>
      <c r="N46" s="16">
        <f t="array" ref="N46:P46">TRANSPOSE(MMULT($I$4:$K$6,TRANSPOSE(B46:D46+$P$1*K46:M46)))</f>
        <v>1.469460160313806</v>
      </c>
      <c r="O46" s="17">
        <v>-2.3504159177317536</v>
      </c>
      <c r="P46" s="20">
        <v>-0.19464703561381169</v>
      </c>
    </row>
    <row r="47" spans="1:16" x14ac:dyDescent="0.25">
      <c r="A47" s="24">
        <f t="shared" si="0"/>
        <v>3.4000000000000017</v>
      </c>
      <c r="B47" s="16">
        <f t="array" ref="B47:D47">B46:D46+$P$1/6*(E46:G46+2*H46:J46+2*K46:M46+N46:P46)</f>
        <v>-7.0955066790531331</v>
      </c>
      <c r="C47" s="11">
        <v>-0.27237072699214804</v>
      </c>
      <c r="D47" s="11">
        <v>-1.219017195744778</v>
      </c>
      <c r="E47" s="16">
        <f t="array" ref="E47:G47">TRANSPOSE(MMULT($I$4:$K$6,TRANSPOSE(B47:D47)))</f>
        <v>1.4695282731953727</v>
      </c>
      <c r="F47" s="17">
        <v>-2.3503726207298561</v>
      </c>
      <c r="G47" s="20">
        <v>-0.19463672552600597</v>
      </c>
      <c r="H47" s="16">
        <f t="array" ref="H47:J47">TRANSPOSE(MMULT($I$4:$K$6,TRANSPOSE(B47:D47+$P$1/2*E47:G47)))</f>
        <v>1.5835919973764088</v>
      </c>
      <c r="I47" s="17">
        <v>-2.3226084116268804</v>
      </c>
      <c r="J47" s="20">
        <v>-0.16785923389702173</v>
      </c>
      <c r="K47" s="16">
        <f t="array" ref="K47:M47">TRANSPOSE(MMULT($I$4:$K$6,TRANSPOSE(B47:D47+$P$1/2*H47:J47)))</f>
        <v>1.5810979184677749</v>
      </c>
      <c r="L47" s="17">
        <v>-2.320468837087414</v>
      </c>
      <c r="M47" s="20">
        <v>-0.16808523544576381</v>
      </c>
      <c r="N47" s="16">
        <f t="array" ref="N47:P47">TRANSPOSE(MMULT($I$4:$K$6,TRANSPOSE(B47:D47+$P$1*K47:M47)))</f>
        <v>1.6924875871372667</v>
      </c>
      <c r="O47" s="17">
        <v>-2.2906965849599716</v>
      </c>
      <c r="P47" s="20">
        <v>-0.14156530593789918</v>
      </c>
    </row>
    <row r="48" spans="1:16" x14ac:dyDescent="0.25">
      <c r="A48" s="24">
        <f t="shared" si="0"/>
        <v>3.5000000000000018</v>
      </c>
      <c r="B48" s="16">
        <f t="array" ref="B48:D48">B47:D47+$P$1/6*(E47:G47+2*H47:J47+2*K47:M47+N47:P47)</f>
        <v>-6.9373167508527827</v>
      </c>
      <c r="C48" s="11">
        <v>-0.50449112204412161</v>
      </c>
      <c r="D48" s="11">
        <v>-1.2358187119139359</v>
      </c>
      <c r="E48" s="16">
        <f t="array" ref="E48:G48">TRANSPOSE(MMULT($I$4:$K$6,TRANSPOSE(B48:D48)))</f>
        <v>1.6925502818949743</v>
      </c>
      <c r="F48" s="17">
        <v>-2.2906529252627816</v>
      </c>
      <c r="G48" s="20">
        <v>-0.14155481581573826</v>
      </c>
      <c r="H48" s="16">
        <f t="array" ref="H48:J48">TRANSPOSE(MMULT($I$4:$K$6,TRANSPOSE(B48:D48+$P$1/2*E48:G48)))</f>
        <v>1.8014512730649535</v>
      </c>
      <c r="I48" s="17">
        <v>-2.2587414657968155</v>
      </c>
      <c r="J48" s="20">
        <v>-0.115260919280739</v>
      </c>
      <c r="K48" s="16">
        <f t="array" ref="K48:M48">TRANSPOSE(MMULT($I$4:$K$6,TRANSPOSE(B48:D48+$P$1/2*H48:J48)))</f>
        <v>1.7987853172051051</v>
      </c>
      <c r="L48" s="17">
        <v>-2.2567339701839595</v>
      </c>
      <c r="M48" s="20">
        <v>-0.11551851565525495</v>
      </c>
      <c r="N48" s="16">
        <f t="array" ref="N48:P48">TRANSPOSE(MMULT($I$4:$K$6,TRANSPOSE(B48:D48+$P$1*K48:M48)))</f>
        <v>1.9048565663675292</v>
      </c>
      <c r="O48" s="17">
        <v>-2.2229476339913123</v>
      </c>
      <c r="P48" s="20">
        <v>-8.9513789965742774E-2</v>
      </c>
    </row>
    <row r="49" spans="1:16" x14ac:dyDescent="0.25">
      <c r="A49" s="24">
        <f t="shared" si="0"/>
        <v>3.6000000000000019</v>
      </c>
      <c r="B49" s="16">
        <f t="array" ref="B49:D49">B48:D48+$P$1/6*(E48:G48+2*H48:J48+2*K48:M48+N48:P48)</f>
        <v>-6.7573520837060723</v>
      </c>
      <c r="C49" s="11">
        <v>-0.73023364589771567</v>
      </c>
      <c r="D49" s="11">
        <v>-1.247362503174827</v>
      </c>
      <c r="E49" s="16">
        <f t="array" ref="E49:G49">TRANSPOSE(MMULT($I$4:$K$6,TRANSPOSE(B49:D49)))</f>
        <v>1.9049138555382537</v>
      </c>
      <c r="F49" s="17">
        <v>-2.2229036042416861</v>
      </c>
      <c r="G49" s="20">
        <v>-8.9503240648433291E-2</v>
      </c>
      <c r="H49" s="16">
        <f t="array" ref="H49:J49">TRANSPOSE(MMULT($I$4:$K$6,TRANSPOSE(B49:D49+$P$1/2*E49:G49)))</f>
        <v>2.0083245312856155</v>
      </c>
      <c r="I49" s="17">
        <v>-2.1871101191433651</v>
      </c>
      <c r="J49" s="20">
        <v>-6.3756036456387388E-2</v>
      </c>
      <c r="K49" s="16">
        <f t="array" ref="K49:M49">TRANSPOSE(MMULT($I$4:$K$6,TRANSPOSE(B49:D49+$P$1/2*H49:J49)))</f>
        <v>2.0055028595681215</v>
      </c>
      <c r="L49" s="17">
        <v>-2.1852357568247642</v>
      </c>
      <c r="M49" s="20">
        <v>-6.4045083393614366E-2</v>
      </c>
      <c r="N49" s="16">
        <f t="array" ref="N49:P49">TRANSPOSE(MMULT($I$4:$K$6,TRANSPOSE(B49:D49+$P$1*K49:M49)))</f>
        <v>2.1059442059607933</v>
      </c>
      <c r="O49" s="17">
        <v>-2.1477015397895478</v>
      </c>
      <c r="P49" s="20">
        <v>-3.8618203604060097E-2</v>
      </c>
    </row>
    <row r="50" spans="1:16" x14ac:dyDescent="0.25">
      <c r="A50" s="24">
        <f t="shared" si="0"/>
        <v>3.700000000000002</v>
      </c>
      <c r="B50" s="16">
        <f t="array" ref="B50:D50">B49:D49+$P$1/6*(E49:G49+2*H49:J49+2*K49:M49+N49:P49)</f>
        <v>-6.5567102029859639</v>
      </c>
      <c r="C50" s="11">
        <v>-0.94882192749717387</v>
      </c>
      <c r="D50" s="11">
        <v>-1.2537578979073687</v>
      </c>
      <c r="E50" s="16">
        <f t="array" ref="E50:G50">TRANSPOSE(MMULT($I$4:$K$6,TRANSPOSE(B50:D50)))</f>
        <v>2.1059961069587176</v>
      </c>
      <c r="F50" s="17">
        <v>-2.1476571554248256</v>
      </c>
      <c r="G50" s="20">
        <v>-3.8607704139880683E-2</v>
      </c>
      <c r="H50" s="16">
        <f t="array" ref="H50:J50">TRANSPOSE(MMULT($I$4:$K$6,TRANSPOSE(B50:D50+$P$1/2*E50:G50)))</f>
        <v>2.2036211382779634</v>
      </c>
      <c r="I50" s="17">
        <v>-2.1082488833142734</v>
      </c>
      <c r="J50" s="20">
        <v>-1.3469700707874788E-2</v>
      </c>
      <c r="K50" s="16">
        <f t="array" ref="K50:M50">TRANSPOSE(MMULT($I$4:$K$6,TRANSPOSE(B50:D50+$P$1/2*H50:J50)))</f>
        <v>2.2006598394471992</v>
      </c>
      <c r="L50" s="17">
        <v>-2.1065086046585861</v>
      </c>
      <c r="M50" s="20">
        <v>-1.3789758838393062E-2</v>
      </c>
      <c r="N50" s="16">
        <f t="array" ref="N50:P50">TRANSPOSE(MMULT($I$4:$K$6,TRANSPOSE(B50:D50+$P$1*K50:M50)))</f>
        <v>2.2951919593836401</v>
      </c>
      <c r="O50" s="17">
        <v>-2.065494565054327</v>
      </c>
      <c r="P50" s="20">
        <v>1.0997485742219926E-2</v>
      </c>
    </row>
    <row r="51" spans="1:16" x14ac:dyDescent="0.25">
      <c r="A51" s="24">
        <f t="shared" si="0"/>
        <v>3.800000000000002</v>
      </c>
      <c r="B51" s="16">
        <f t="array" ref="B51:D51">B50:D50+$P$1/6*(E50:G50+2*H50:J50+2*K50:M50+N50:P50)</f>
        <v>-6.3365477026227524</v>
      </c>
      <c r="C51" s="11">
        <v>-1.1595330391042551</v>
      </c>
      <c r="D51" s="11">
        <v>-1.2551267168655387</v>
      </c>
      <c r="E51" s="16">
        <f t="array" ref="E51:G51">TRANSPOSE(MMULT($I$4:$K$6,TRANSPOSE(B51:D51)))</f>
        <v>2.2952384961127459</v>
      </c>
      <c r="F51" s="17">
        <v>-2.0654498611972434</v>
      </c>
      <c r="G51" s="20">
        <v>1.1007837123073294E-2</v>
      </c>
      <c r="H51" s="16">
        <f t="array" ref="H51:J51">TRANSPOSE(MMULT($I$4:$K$6,TRANSPOSE(B51:D51+$P$1/2*E51:G51)))</f>
        <v>2.3868146399495829</v>
      </c>
      <c r="I51" s="17">
        <v>-2.0226957944865749</v>
      </c>
      <c r="J51" s="20">
        <v>3.5475280089244166E-2</v>
      </c>
      <c r="K51" s="16">
        <f t="array" ref="K51:M51">TRANSPOSE(MMULT($I$4:$K$6,TRANSPOSE(B51:D51+$P$1/2*H51:J51)))</f>
        <v>2.3837297070355419</v>
      </c>
      <c r="L51" s="17">
        <v>-2.0210903951025951</v>
      </c>
      <c r="M51" s="20">
        <v>3.512491531259343E-2</v>
      </c>
      <c r="N51" s="16">
        <f t="array" ref="N51:P51">TRANSPOSE(MMULT($I$4:$K$6,TRANSPOSE(B51:D51+$P$1*K51:M51)))</f>
        <v>2.4721052419401461</v>
      </c>
      <c r="O51" s="17">
        <v>-1.9768661434185102</v>
      </c>
      <c r="P51" s="20">
        <v>5.9212120522729617E-2</v>
      </c>
    </row>
    <row r="52" spans="1:16" x14ac:dyDescent="0.25">
      <c r="A52" s="24">
        <f t="shared" si="0"/>
        <v>3.9000000000000021</v>
      </c>
      <c r="B52" s="16">
        <f t="array" ref="B52:D52">B51:D51+$P$1/6*(E51:G51+2*H51:J51+2*K51:M51+N51:P51)</f>
        <v>-6.0980738287556999</v>
      </c>
      <c r="C52" s="11">
        <v>-1.3616978455008233</v>
      </c>
      <c r="D52" s="11">
        <v>-1.2516030443913806</v>
      </c>
      <c r="E52" s="16">
        <f t="array" ref="E52:G52">TRANSPOSE(MMULT($I$4:$K$6,TRANSPOSE(B52:D52)))</f>
        <v>2.4721464461329457</v>
      </c>
      <c r="F52" s="17">
        <v>-1.976821172068699</v>
      </c>
      <c r="G52" s="20">
        <v>5.9222235550256963E-2</v>
      </c>
      <c r="H52" s="16">
        <f t="array" ref="H52:J52">TRANSPOSE(MMULT($I$4:$K$6,TRANSPOSE(B52:D52+$P$1/2*E52:G52)))</f>
        <v>2.5574423277947105</v>
      </c>
      <c r="I52" s="17">
        <v>-1.9309917031053794</v>
      </c>
      <c r="J52" s="20">
        <v>8.2959409406142326E-2</v>
      </c>
      <c r="K52" s="16">
        <f t="array" ref="K52:M52">TRANSPOSE(MMULT($I$4:$K$6,TRANSPOSE(B52:D52+$P$1/2*H52:J52)))</f>
        <v>2.5542496314611181</v>
      </c>
      <c r="L52" s="17">
        <v>-1.9295217807168079</v>
      </c>
      <c r="M52" s="20">
        <v>8.2579680061002358E-2</v>
      </c>
      <c r="N52" s="16">
        <f t="array" ref="N52:P52">TRANSPOSE(MMULT($I$4:$K$6,TRANSPOSE(B52:D52+$P$1*K52:M52)))</f>
        <v>2.6362529406875752</v>
      </c>
      <c r="O52" s="17">
        <v>-1.882358089938388</v>
      </c>
      <c r="P52" s="20">
        <v>0.10590830373481275</v>
      </c>
    </row>
    <row r="53" spans="1:16" x14ac:dyDescent="0.25">
      <c r="A53" s="24">
        <f t="shared" si="0"/>
        <v>4.0000000000000018</v>
      </c>
      <c r="B53" s="16">
        <f t="array" ref="B53:D53">B52:D52+$P$1/6*(E52:G52+2*H52:J52+2*K52:M52+N52:P52)</f>
        <v>-5.8425441070001636</v>
      </c>
      <c r="C53" s="11">
        <v>-1.5547012826616811</v>
      </c>
      <c r="D53" s="11">
        <v>-1.2433328990877246</v>
      </c>
      <c r="E53" s="16">
        <f t="array" ref="E53:G53">TRANSPOSE(MMULT($I$4:$K$6,TRANSPOSE(B53:D53)))</f>
        <v>2.6362888529967874</v>
      </c>
      <c r="F53" s="17">
        <v>-1.8823129174317772</v>
      </c>
      <c r="G53" s="20">
        <v>0.10591810334092555</v>
      </c>
      <c r="H53" s="16">
        <f t="array" ref="H53:J53">TRANSPOSE(MMULT($I$4:$K$6,TRANSPOSE(B53:D53+$P$1/2*E53:G53)))</f>
        <v>2.7151046925365736</v>
      </c>
      <c r="I53" s="17">
        <v>-1.8336794054210999</v>
      </c>
      <c r="J53" s="20">
        <v>0.12886739962127902</v>
      </c>
      <c r="K53" s="16">
        <f t="array" ref="K53:M53">TRANSPOSE(MMULT($I$4:$K$6,TRANSPOSE(B53:D53+$P$1/2*H53:J53)))</f>
        <v>2.7118199518127337</v>
      </c>
      <c r="L53" s="17">
        <v>-1.8323453236573468</v>
      </c>
      <c r="M53" s="20">
        <v>0.12845945969064831</v>
      </c>
      <c r="N53" s="16">
        <f t="array" ref="N53:P53">TRANSPOSE(MMULT($I$4:$K$6,TRANSPOSE(B53:D53+$P$1*K53:M53)))</f>
        <v>2.7872668074567688</v>
      </c>
      <c r="O53" s="17">
        <v>-1.7825136665618098</v>
      </c>
      <c r="P53" s="20">
        <v>0.15097324705542992</v>
      </c>
    </row>
    <row r="54" spans="1:16" x14ac:dyDescent="0.25">
      <c r="A54" s="24">
        <f t="shared" si="0"/>
        <v>4.1000000000000014</v>
      </c>
      <c r="B54" s="16">
        <f t="array" ref="B54:D54">B53:D53+$P$1/6*(E53:G53+2*H53:J53+2*K53:M53+N53:P53)</f>
        <v>-5.5712540245142943</v>
      </c>
      <c r="C54" s="11">
        <v>-1.7379825500308557</v>
      </c>
      <c r="D54" s="11">
        <v>-1.2304738146040544</v>
      </c>
      <c r="E54" s="16">
        <f t="array" ref="E54:G54">TRANSPOSE(MMULT($I$4:$K$6,TRANSPOSE(B54:D54)))</f>
        <v>2.7872974783239073</v>
      </c>
      <c r="F54" s="17">
        <v>-1.7824683712693092</v>
      </c>
      <c r="G54" s="20">
        <v>0.15098266070181254</v>
      </c>
      <c r="H54" s="16">
        <f t="array" ref="H54:J54">TRANSPOSE(MMULT($I$4:$K$6,TRANSPOSE(B54:D54+$P$1/2*E54:G54)))</f>
        <v>2.8594647562817168</v>
      </c>
      <c r="I54" s="17">
        <v>-1.7313026431519933</v>
      </c>
      <c r="J54" s="20">
        <v>0.17308897082123043</v>
      </c>
      <c r="K54" s="16">
        <f t="array" ref="K54:M54">TRANSPOSE(MMULT($I$4:$K$6,TRANSPOSE(B54:D54+$P$1/2*H54:J54)))</f>
        <v>2.8561035072836733</v>
      </c>
      <c r="L54" s="17">
        <v>-1.7301045016107039</v>
      </c>
      <c r="M54" s="20">
        <v>0.17265416236672038</v>
      </c>
      <c r="N54" s="16">
        <f t="array" ref="N54:P54">TRANSPOSE(MMULT($I$4:$K$6,TRANSPOSE(B54:D54+$P$1*K54:M54)))</f>
        <v>2.9248407269174717</v>
      </c>
      <c r="O54" s="17">
        <v>-1.6778765276793517</v>
      </c>
      <c r="P54" s="20">
        <v>0.19429952361403546</v>
      </c>
    </row>
    <row r="55" spans="1:16" x14ac:dyDescent="0.25">
      <c r="A55" s="24">
        <f t="shared" si="0"/>
        <v>4.2000000000000011</v>
      </c>
      <c r="B55" s="16">
        <f t="array" ref="B55:D55">B54:D54+$P$1/6*(E54:G54+2*H54:J54+2*K54:M54+N54:P54)</f>
        <v>-5.2855327789747584</v>
      </c>
      <c r="C55" s="11">
        <v>-1.9110352031720899</v>
      </c>
      <c r="D55" s="11">
        <v>-1.2131943404258585</v>
      </c>
      <c r="E55" s="16">
        <f t="array" ref="E55:G55">TRANSPOSE(MMULT($I$4:$K$6,TRANSPOSE(B55:D55)))</f>
        <v>2.9248662172399089</v>
      </c>
      <c r="F55" s="17">
        <v>-1.6778311979198053</v>
      </c>
      <c r="G55" s="20">
        <v>0.19430848869434847</v>
      </c>
      <c r="H55" s="16">
        <f t="array" ref="H55:J55">TRANSPOSE(MMULT($I$4:$K$6,TRANSPOSE(B55:D55+$P$1/2*E55:G55)))</f>
        <v>2.9902472762758125</v>
      </c>
      <c r="I55" s="17">
        <v>-1.6244049951593884</v>
      </c>
      <c r="J55" s="20">
        <v>0.2155195576299499</v>
      </c>
      <c r="K55" s="16">
        <f t="array" ref="K55:M55">TRANSPOSE(MMULT($I$4:$K$6,TRANSPOSE(B55:D55+$P$1/2*H55:J55)))</f>
        <v>2.9868248394639005</v>
      </c>
      <c r="L55" s="17">
        <v>-1.6233426051621809</v>
      </c>
      <c r="M55" s="20">
        <v>0.21505938857076856</v>
      </c>
      <c r="N55" s="16">
        <f t="array" ref="N55:P55">TRANSPOSE(MMULT($I$4:$K$6,TRANSPOSE(B55:D55+$P$1*K55:M55)))</f>
        <v>3.0487298538186574</v>
      </c>
      <c r="O55" s="17">
        <v>-1.5689895685473252</v>
      </c>
      <c r="P55" s="20">
        <v>0.23578573183687401</v>
      </c>
    </row>
    <row r="56" spans="1:16" x14ac:dyDescent="0.25">
      <c r="A56" s="24">
        <f t="shared" si="0"/>
        <v>4.3000000000000007</v>
      </c>
      <c r="B56" s="16">
        <f t="array" ref="B56:D56">B55:D55+$P$1/6*(E55:G55+2*H55:J55+2*K55:M55+N55:P55)</f>
        <v>-4.9867371072657916</v>
      </c>
      <c r="C56" s="11">
        <v>-2.073407135957261</v>
      </c>
      <c r="D56" s="11">
        <v>-1.1916734718769808</v>
      </c>
      <c r="E56" s="16">
        <f t="array" ref="E56:G56">TRANSPOSE(MMULT($I$4:$K$6,TRANSPOSE(B56:D56)))</f>
        <v>3.0487502354346323</v>
      </c>
      <c r="F56" s="17">
        <v>-1.5689443006928545</v>
      </c>
      <c r="G56" s="20">
        <v>0.23579419314296768</v>
      </c>
      <c r="H56" s="16">
        <f t="array" ref="H56:J56">TRANSPOSE(MMULT($I$4:$K$6,TRANSPOSE(B56:D56+$P$1/2*E56:G56)))</f>
        <v>3.1072378154292424</v>
      </c>
      <c r="I56" s="17">
        <v>-1.5135286828293855</v>
      </c>
      <c r="J56" s="20">
        <v>0.2560609301408584</v>
      </c>
      <c r="K56" s="16">
        <f t="array" ref="K56:M56">TRANSPOSE(MMULT($I$4:$K$6,TRANSPOSE(B56:D56+$P$1/2*H56:J56)))</f>
        <v>3.1037692618961383</v>
      </c>
      <c r="L56" s="17">
        <v>-1.5126015483498665</v>
      </c>
      <c r="M56" s="20">
        <v>0.25557705347304649</v>
      </c>
      <c r="N56" s="16">
        <f t="array" ref="N56:P56">TRANSPOSE(MMULT($I$4:$K$6,TRANSPOSE(B56:D56+$P$1*K56:M56)))</f>
        <v>3.1587496155117361</v>
      </c>
      <c r="O56" s="17">
        <v>-1.4563936972856817</v>
      </c>
      <c r="P56" s="20">
        <v>0.27533707613028557</v>
      </c>
    </row>
    <row r="57" spans="1:16" x14ac:dyDescent="0.25">
      <c r="A57" s="24">
        <f t="shared" si="0"/>
        <v>4.4000000000000004</v>
      </c>
      <c r="B57" s="16">
        <f t="array" ref="B57:D57">B56:D56+$P$1/6*(E56:G56+2*H56:J56+2*K56:M56+N56:P56)</f>
        <v>-4.6762452071725065</v>
      </c>
      <c r="C57" s="11">
        <v>-2.224700443629545</v>
      </c>
      <c r="D57" s="11">
        <v>-1.1661000179352965</v>
      </c>
      <c r="E57" s="16">
        <f t="array" ref="E57:G57">TRANSPOSE(MMULT($I$4:$K$6,TRANSPOSE(B57:D57)))</f>
        <v>3.1587649715209141</v>
      </c>
      <c r="F57" s="17">
        <v>-1.4563485940402925</v>
      </c>
      <c r="G57" s="20">
        <v>0.27534498537338603</v>
      </c>
      <c r="H57" s="16">
        <f t="array" ref="H57:J57">TRANSPOSE(MMULT($I$4:$K$6,TRANSPOSE(B57:D57+$P$1/2*E57:G57)))</f>
        <v>3.2102816766578566</v>
      </c>
      <c r="I57" s="17">
        <v>-1.3992133088764198</v>
      </c>
      <c r="J57" s="20">
        <v>0.29462173441396622</v>
      </c>
      <c r="K57" s="16">
        <f t="array" ref="K57:M57">TRANSPOSE(MMULT($I$4:$K$6,TRANSPOSE(B57:D57+$P$1/2*H57:J57)))</f>
        <v>3.2067817938931666</v>
      </c>
      <c r="L57" s="17">
        <v>-1.398420612169869</v>
      </c>
      <c r="M57" s="20">
        <v>0.29411592872814274</v>
      </c>
      <c r="N57" s="16">
        <f t="array" ref="N57:P57">TRANSPOSE(MMULT($I$4:$K$6,TRANSPOSE(B57:D57+$P$1*K57:M57)))</f>
        <v>3.2547745776498438</v>
      </c>
      <c r="O57" s="17">
        <v>-1.3406265492697014</v>
      </c>
      <c r="P57" s="20">
        <v>0.31286586960277496</v>
      </c>
    </row>
    <row r="58" spans="1:16" x14ac:dyDescent="0.25">
      <c r="A58" s="24">
        <f t="shared" si="0"/>
        <v>4.5</v>
      </c>
      <c r="B58" s="16">
        <f t="array" ref="B58:D58">B57:D57+$P$1/6*(E57:G57+2*H57:J57+2*K57:M57+N57:P57)</f>
        <v>-4.3554507656679595</v>
      </c>
      <c r="C58" s="11">
        <v>-2.3645711600529213</v>
      </c>
      <c r="D58" s="11">
        <v>-1.1366719149142901</v>
      </c>
      <c r="E58" s="16">
        <f t="array" ref="E58:G58">TRANSPOSE(MMULT($I$4:$K$6,TRANSPOSE(B58:D58)))</f>
        <v>3.2547850025854332</v>
      </c>
      <c r="F58" s="17">
        <v>-1.3405817181044155</v>
      </c>
      <c r="G58" s="20">
        <v>0.31287318498175654</v>
      </c>
      <c r="H58" s="16">
        <f t="array" ref="H58:J58">TRANSPOSE(MMULT($I$4:$K$6,TRANSPOSE(B58:D58+$P$1/2*E58:G58)))</f>
        <v>3.2992826997780922</v>
      </c>
      <c r="I58" s="17">
        <v>-1.2819945474937637</v>
      </c>
      <c r="J58" s="20">
        <v>0.33111795747662742</v>
      </c>
      <c r="K58" s="16">
        <f t="array" ref="K58:M58">TRANSPOSE(MMULT($I$4:$K$6,TRANSPOSE(B58:D58+$P$1/2*H58:J58)))</f>
        <v>3.2957659573116986</v>
      </c>
      <c r="L58" s="17">
        <v>-1.2813351390019108</v>
      </c>
      <c r="M58" s="20">
        <v>0.33059210865319988</v>
      </c>
      <c r="N58" s="16">
        <f t="array" ref="N58:P58">TRANSPOSE(MMULT($I$4:$K$6,TRANSPOSE(B58:D58+$P$1*K58:M58)))</f>
        <v>3.3367371725663793</v>
      </c>
      <c r="O58" s="17">
        <v>-1.2222211610265057</v>
      </c>
      <c r="P58" s="20">
        <v>0.34829196354067427</v>
      </c>
    </row>
    <row r="59" spans="1:16" x14ac:dyDescent="0.25">
      <c r="A59" s="24">
        <f t="shared" si="0"/>
        <v>4.5999999999999996</v>
      </c>
      <c r="B59" s="16">
        <f t="array" ref="B59:D59">B58:D58+$P$1/6*(E58:G58+2*H58:J58+2*K58:M58+N58:P58)</f>
        <v>-4.0257571075124359</v>
      </c>
      <c r="C59" s="11">
        <v>-2.4927288642549592</v>
      </c>
      <c r="D59" s="11">
        <v>-1.103595493567922</v>
      </c>
      <c r="E59" s="16">
        <f t="array" ref="E59:G59">TRANSPOSE(MMULT($I$4:$K$6,TRANSPOSE(B59:D59)))</f>
        <v>3.3367427724333716</v>
      </c>
      <c r="F59" s="17">
        <v>-1.2221767127563976</v>
      </c>
      <c r="G59" s="20">
        <v>0.34829864935053401</v>
      </c>
      <c r="H59" s="16">
        <f t="array" ref="H59:J59">TRANSPOSE(MMULT($I$4:$K$6,TRANSPOSE(B59:D59+$P$1/2*E59:G59)))</f>
        <v>3.3742019212220136</v>
      </c>
      <c r="I59" s="17">
        <v>-1.162402802150351</v>
      </c>
      <c r="J59" s="20">
        <v>0.36547332132009724</v>
      </c>
      <c r="K59" s="16">
        <f t="array" ref="K59:M59">TRANSPOSE(MMULT($I$4:$K$6,TRANSPOSE(B59:D59+$P$1/2*H59:J59)))</f>
        <v>3.3706824365083774</v>
      </c>
      <c r="L59" s="17">
        <v>-1.1618751942931975</v>
      </c>
      <c r="M59" s="20">
        <v>0.36492940529889961</v>
      </c>
      <c r="N59" s="16">
        <f t="array" ref="N59:P59">TRANSPOSE(MMULT($I$4:$K$6,TRANSPOSE(B59:D59+$P$1*K59:M59)))</f>
        <v>3.4046262912856515</v>
      </c>
      <c r="O59" s="17">
        <v>-1.1017046191939373</v>
      </c>
      <c r="P59" s="20">
        <v>0.38154310793939794</v>
      </c>
    </row>
    <row r="60" spans="1:16" x14ac:dyDescent="0.25">
      <c r="A60" s="24">
        <f t="shared" si="0"/>
        <v>4.6999999999999993</v>
      </c>
      <c r="B60" s="16">
        <f t="array" ref="B60:D60">B59:D59+$P$1/6*(E59:G59+2*H59:J59+2*K59:M59+N59:P59)</f>
        <v>-3.6885714778594392</v>
      </c>
      <c r="C60" s="11">
        <v>-2.6089361530022499</v>
      </c>
      <c r="D60" s="11">
        <v>-1.0670847067257898</v>
      </c>
      <c r="E60" s="16">
        <f t="array" ref="E60:G60">TRANSPOSE(MMULT($I$4:$K$6,TRANSPOSE(B60:D60)))</f>
        <v>3.4046271834785093</v>
      </c>
      <c r="F60" s="17">
        <v>-1.1016606666842581</v>
      </c>
      <c r="G60" s="20">
        <v>0.38154913421394698</v>
      </c>
      <c r="H60" s="16">
        <f t="array" ref="H60:J60">TRANSPOSE(MMULT($I$4:$K$6,TRANSPOSE(B60:D60+$P$1/2*E60:G60)))</f>
        <v>3.4350560982110512</v>
      </c>
      <c r="I60" s="17">
        <v>-1.0409618458516563</v>
      </c>
      <c r="J60" s="20">
        <v>0.39761961000471902</v>
      </c>
      <c r="K60" s="16">
        <f t="array" ref="K60:M60">TRANSPOSE(MMULT($I$4:$K$6,TRANSPOSE(B60:D60+$P$1/2*H60:J60)))</f>
        <v>3.4315476030799434</v>
      </c>
      <c r="L60" s="17">
        <v>-1.0405642103520212</v>
      </c>
      <c r="M60" s="20">
        <v>0.39705967654167307</v>
      </c>
      <c r="N60" s="16">
        <f t="array" ref="N60:P60">TRANSPOSE(MMULT($I$4:$K$6,TRANSPOSE(B60:D60+$P$1*K60:M60)))</f>
        <v>3.4584857414212458</v>
      </c>
      <c r="O60" s="17">
        <v>-0.97959669868091837</v>
      </c>
      <c r="P60" s="20">
        <v>0.41255524704208257</v>
      </c>
    </row>
    <row r="61" spans="1:16" x14ac:dyDescent="0.25">
      <c r="A61" s="24">
        <f t="shared" si="0"/>
        <v>4.7999999999999989</v>
      </c>
      <c r="B61" s="16">
        <f t="array" ref="B61:D61">B60:D60+$P$1/6*(E60:G60+2*H60:J60+2*K60:M60+N60:P60)</f>
        <v>-3.3452994724014102</v>
      </c>
      <c r="C61" s="11">
        <v>-2.7130079776317921</v>
      </c>
      <c r="D61" s="11">
        <v>-1.0273603241533096</v>
      </c>
      <c r="E61" s="16">
        <f t="array" ref="E61:G61">TRANSPOSE(MMULT($I$4:$K$6,TRANSPOSE(B61:D61)))</f>
        <v>3.4584820545332571</v>
      </c>
      <c r="F61" s="17">
        <v>-0.97955335567110646</v>
      </c>
      <c r="G61" s="20">
        <v>0.4125605892256633</v>
      </c>
      <c r="H61" s="16">
        <f t="array" ref="H61:J61">TRANSPOSE(MMULT($I$4:$K$6,TRANSPOSE(B61:D61+$P$1/2*E61:G61)))</f>
        <v>3.4819161002596331</v>
      </c>
      <c r="I61" s="17">
        <v>-0.91818745732693841</v>
      </c>
      <c r="J61" s="20">
        <v>0.42749693366538399</v>
      </c>
      <c r="K61" s="16">
        <f t="array" ref="K61:M61">TRANSPOSE(MMULT($I$4:$K$6,TRANSPOSE(B61:D61+$P$1/2*H61:J61)))</f>
        <v>3.4784319082249984</v>
      </c>
      <c r="L61" s="17">
        <v>-0.91791762574298996</v>
      </c>
      <c r="M61" s="20">
        <v>0.42692309100231729</v>
      </c>
      <c r="N61" s="16">
        <f t="array" ref="N61:P61">TRANSPOSE(MMULT($I$4:$K$6,TRANSPOSE(B61:D61+$P$1*K61:M61)))</f>
        <v>3.4984125743852132</v>
      </c>
      <c r="O61" s="17">
        <v>-0.85640850286845582</v>
      </c>
      <c r="P61" s="20">
        <v>0.4412727535414176</v>
      </c>
    </row>
    <row r="62" spans="1:16" x14ac:dyDescent="0.25">
      <c r="A62" s="24">
        <f t="shared" si="0"/>
        <v>4.8999999999999986</v>
      </c>
      <c r="B62" s="16">
        <f t="array" ref="B62:D62">B61:D61+$P$1/6*(E61:G61+2*H61:J61+2*K61:M61+N61:P61)</f>
        <v>-2.9973396283032816</v>
      </c>
      <c r="C62" s="11">
        <v>-2.8048108447097824</v>
      </c>
      <c r="D62" s="11">
        <v>-0.98464910095160152</v>
      </c>
      <c r="E62" s="16">
        <f t="array" ref="E62:G62">TRANSPOSE(MMULT($I$4:$K$6,TRANSPOSE(B62:D62)))</f>
        <v>3.498404447920751</v>
      </c>
      <c r="F62" s="17">
        <v>-0.85636588290419979</v>
      </c>
      <c r="G62" s="20">
        <v>0.44127739218514084</v>
      </c>
      <c r="H62" s="16">
        <f t="array" ref="H62:J62">TRANSPOSE(MMULT($I$4:$K$6,TRANSPOSE(B62:D62+$P$1/2*E62:G62)))</f>
        <v>3.5149051719826545</v>
      </c>
      <c r="I62" s="17">
        <v>-0.79458606536041376</v>
      </c>
      <c r="J62" s="20">
        <v>0.45505393293799556</v>
      </c>
      <c r="K62" s="16">
        <f t="array" ref="K62:M62">TRANSPOSE(MMULT($I$4:$K$6,TRANSPOSE(B62:D62+$P$1/2*H62:J62)))</f>
        <v>3.5114581466700989</v>
      </c>
      <c r="L62" s="17">
        <v>-0.79444153252739458</v>
      </c>
      <c r="M62" s="20">
        <v>0.45446833332342795</v>
      </c>
      <c r="N62" s="16">
        <f t="array" ref="N62:P62">TRANSPOSE(MMULT($I$4:$K$6,TRANSPOSE(B62:D62+$P$1*K62:M62)))</f>
        <v>3.5245552863738525</v>
      </c>
      <c r="O62" s="17">
        <v>-0.7326411174944174</v>
      </c>
      <c r="P62" s="20">
        <v>0.46764860485125481</v>
      </c>
    </row>
    <row r="63" spans="1:16" x14ac:dyDescent="0.25">
      <c r="A63" s="24">
        <f t="shared" si="0"/>
        <v>4.9999999999999982</v>
      </c>
      <c r="B63" s="16">
        <f t="array" ref="B63:D63">B62:D62+$P$1/6*(E62:G62+2*H62:J62+2*K62:M62+N62:P62)</f>
        <v>-2.6460781887766132</v>
      </c>
      <c r="C63" s="11">
        <v>-2.8842618813126863</v>
      </c>
      <c r="D63" s="11">
        <v>-0.93918292545894744</v>
      </c>
      <c r="E63" s="16">
        <f t="array" ref="E63:G63">TRANSPOSE(MMULT($I$4:$K$6,TRANSPOSE(B63:D63)))</f>
        <v>3.524542870373927</v>
      </c>
      <c r="F63" s="17">
        <v>-0.73259933295915025</v>
      </c>
      <c r="G63" s="20">
        <v>0.4676525253298785</v>
      </c>
      <c r="H63" s="16">
        <f t="array" ref="H63:J63">TRANSPOSE(MMULT($I$4:$K$6,TRANSPOSE(B63:D63+$P$1/2*E63:G63)))</f>
        <v>3.5341970721634173</v>
      </c>
      <c r="I63" s="17">
        <v>-0.67065341233642317</v>
      </c>
      <c r="J63" s="20">
        <v>0.48024792710008302</v>
      </c>
      <c r="K63" s="16">
        <f t="array" ref="K63:M63">TRANSPOSE(MMULT($I$4:$K$6,TRANSPOSE(B63:D63+$P$1/2*H63:J63)))</f>
        <v>3.5307995970879293</v>
      </c>
      <c r="L63" s="17">
        <v>-0.67063134244158862</v>
      </c>
      <c r="M63" s="20">
        <v>0.47965275310884492</v>
      </c>
      <c r="N63" s="16">
        <f t="array" ref="N63:P63">TRANSPOSE(MMULT($I$4:$K$6,TRANSPOSE(B63:D63+$P$1*K63:M63)))</f>
        <v>3.5371118985228525</v>
      </c>
      <c r="O63" s="17">
        <v>-0.60878428876059121</v>
      </c>
      <c r="P63" s="20">
        <v>0.49164450464563586</v>
      </c>
    </row>
    <row r="64" spans="1:16" x14ac:dyDescent="0.25">
      <c r="A64" s="24">
        <f t="shared" si="0"/>
        <v>5.0999999999999979</v>
      </c>
      <c r="B64" s="16">
        <f t="array" ref="B64:D64">B63:D63+$P$1/6*(E63:G63+2*H63:J63+2*K63:M63+N63:P63)</f>
        <v>-2.2928840536532888</v>
      </c>
      <c r="C64" s="11">
        <v>-2.9513277668339493</v>
      </c>
      <c r="D64" s="11">
        <v>-0.89119795228572463</v>
      </c>
      <c r="E64" s="16">
        <f t="array" ref="E64:G64">TRANSPOSE(MMULT($I$4:$K$6,TRANSPOSE(B64:D64)))</f>
        <v>3.537095353113568</v>
      </c>
      <c r="F64" s="17">
        <v>-0.60874344999882934</v>
      </c>
      <c r="G64" s="20">
        <v>0.49164769689174581</v>
      </c>
      <c r="H64" s="16">
        <f t="array" ref="H64:J64">TRANSPOSE(MMULT($I$4:$K$6,TRANSPOSE(B64:D64+$P$1/2*E64:G64)))</f>
        <v>3.5400140949101067</v>
      </c>
      <c r="I64" s="17">
        <v>-0.54687324700671125</v>
      </c>
      <c r="J64" s="20">
        <v>0.50304500902829297</v>
      </c>
      <c r="K64" s="16">
        <f t="array" ref="K64:M64">TRANSPOSE(MMULT($I$4:$K$6,TRANSPOSE(B64:D64+$P$1/2*H64:J64)))</f>
        <v>3.5366780448087876</v>
      </c>
      <c r="L64" s="17">
        <v>-0.54697048204162946</v>
      </c>
      <c r="M64" s="20">
        <v>0.50244246063643883</v>
      </c>
      <c r="N64" s="16">
        <f t="array" ref="N64:P64">TRANSPOSE(MMULT($I$4:$K$6,TRANSPOSE(B64:D64+$P$1*K64:M64)))</f>
        <v>3.5363279224441855</v>
      </c>
      <c r="O64" s="17">
        <v>-0.48531513517643377</v>
      </c>
      <c r="P64" s="20">
        <v>0.51323095268836094</v>
      </c>
    </row>
    <row r="65" spans="1:16" x14ac:dyDescent="0.25">
      <c r="A65" s="24">
        <f t="shared" si="0"/>
        <v>5.1999999999999975</v>
      </c>
      <c r="B65" s="16">
        <f t="array" ref="B65:D65">B64:D64+$P$1/6*(E64:G64+2*H64:J64+2*K64:M64+N64:P64)</f>
        <v>-1.9391039277366966</v>
      </c>
      <c r="C65" s="11">
        <v>-3.0060235342218151</v>
      </c>
      <c r="D65" s="11">
        <v>-0.84093372580389847</v>
      </c>
      <c r="E65" s="16">
        <f t="array" ref="E65:G65">TRANSPOSE(MMULT($I$4:$K$6,TRANSPOSE(B65:D65)))</f>
        <v>3.5363074173170443</v>
      </c>
      <c r="F65" s="17">
        <v>-0.48527534970228081</v>
      </c>
      <c r="G65" s="20">
        <v>0.5132334109409955</v>
      </c>
      <c r="H65" s="16">
        <f t="array" ref="H65:J65">TRANSPOSE(MMULT($I$4:$K$6,TRANSPOSE(B65:D65+$P$1/2*E65:G65)))</f>
        <v>3.5326249794967532</v>
      </c>
      <c r="I65" s="17">
        <v>-0.42371605550153801</v>
      </c>
      <c r="J65" s="20">
        <v>0.52342008991681832</v>
      </c>
      <c r="K65" s="16">
        <f t="array" ref="K65:M65">TRANSPOSE(MMULT($I$4:$K$6,TRANSPOSE(B65:D65+$P$1/2*H65:J65)))</f>
        <v>3.529361693396301</v>
      </c>
      <c r="L65" s="17">
        <v>-0.42392912585364395</v>
      </c>
      <c r="M65" s="20">
        <v>0.52281237229562361</v>
      </c>
      <c r="N65" s="16">
        <f t="array" ref="N65:P65">TRANSPOSE(MMULT($I$4:$K$6,TRANSPOSE(B65:D65+$P$1*K65:M65)))</f>
        <v>3.5224942180766208</v>
      </c>
      <c r="O65" s="17">
        <v>-0.36269690170099134</v>
      </c>
      <c r="P65" s="20">
        <v>0.53238726583106633</v>
      </c>
    </row>
    <row r="66" spans="1:16" x14ac:dyDescent="0.25">
      <c r="A66" s="24">
        <f t="shared" si="0"/>
        <v>5.2999999999999972</v>
      </c>
      <c r="B66" s="16">
        <f t="array" ref="B66:D66">B65:D65+$P$1/6*(E65:G65+2*H65:J65+2*K65:M65+N65:P65)</f>
        <v>-1.586057678050367</v>
      </c>
      <c r="C66" s="11">
        <v>-3.0484112444570424</v>
      </c>
      <c r="D66" s="11">
        <v>-0.78863229911728272</v>
      </c>
      <c r="E66" s="16">
        <f t="array" ref="E66:G66">TRANSPOSE(MMULT($I$4:$K$6,TRANSPOSE(B66:D66)))</f>
        <v>3.5224699319089918</v>
      </c>
      <c r="F66" s="17">
        <v>-0.36265827348589941</v>
      </c>
      <c r="G66" s="20">
        <v>0.53238898839635018</v>
      </c>
      <c r="H66" s="16">
        <f t="array" ref="H66:J66">TRANSPOSE(MMULT($I$4:$K$6,TRANSPOSE(B66:D66+$P$1/2*E66:G66)))</f>
        <v>3.5123427161558154</v>
      </c>
      <c r="I66" s="17">
        <v>-0.3016378386867602</v>
      </c>
      <c r="J66" s="20">
        <v>0.54135689656910846</v>
      </c>
      <c r="K66" s="16">
        <f t="array" ref="K66:M66">TRANSPOSE(MMULT($I$4:$K$6,TRANSPOSE(B66:D66+$P$1/2*H66:J66)))</f>
        <v>3.5091629723311688</v>
      </c>
      <c r="L66" s="17">
        <v>-0.30196297564783037</v>
      </c>
      <c r="M66" s="20">
        <v>0.54074620856813971</v>
      </c>
      <c r="N66" s="16">
        <f t="array" ref="N66:P66">TRANSPOSE(MMULT($I$4:$K$6,TRANSPOSE(B66:D66+$P$1*K66:M66)))</f>
        <v>3.495944751407738</v>
      </c>
      <c r="O66" s="17">
        <v>-0.24137776385465903</v>
      </c>
      <c r="P66" s="20">
        <v>0.54910155293745522</v>
      </c>
    </row>
    <row r="67" spans="1:16" x14ac:dyDescent="0.25">
      <c r="A67" s="24">
        <f t="shared" si="0"/>
        <v>5.3999999999999968</v>
      </c>
      <c r="B67" s="16">
        <f t="array" ref="B67:D67">B66:D66+$P$1/6*(E66:G66+2*H66:J66+2*K66:M66+N66:P66)</f>
        <v>-1.2350339103788555</v>
      </c>
      <c r="C67" s="11">
        <v>-3.0785985388905379</v>
      </c>
      <c r="D67" s="11">
        <v>-0.73453735325714442</v>
      </c>
      <c r="E67" s="16">
        <f t="array" ref="E67:G67">TRANSPOSE(MMULT($I$4:$K$6,TRANSPOSE(B67:D67)))</f>
        <v>3.4959168712312811</v>
      </c>
      <c r="F67" s="17">
        <v>-0.24134039268921015</v>
      </c>
      <c r="G67" s="20">
        <v>0.54910254195918407</v>
      </c>
      <c r="H67" s="16">
        <f t="array" ref="H67:J67">TRANSPOSE(MMULT($I$4:$K$6,TRANSPOSE(B67:D67+$P$1/2*E67:G67)))</f>
        <v>3.4795222556704015</v>
      </c>
      <c r="I67" s="17">
        <v>-0.18107894310882289</v>
      </c>
      <c r="J67" s="20">
        <v>0.55684792396622695</v>
      </c>
      <c r="K67" s="16">
        <f t="array" ref="K67:M67">TRANSPOSE(MMULT($I$4:$K$6,TRANSPOSE(B67:D67+$P$1/2*H67:J67)))</f>
        <v>3.4764362486290459</v>
      </c>
      <c r="L67" s="17">
        <v>-0.18151209309206062</v>
      </c>
      <c r="M67" s="20">
        <v>0.55623644726068555</v>
      </c>
      <c r="N67" s="16">
        <f t="array" ref="N67:P67">TRANSPOSE(MMULT($I$4:$K$6,TRANSPOSE(B67:D67+$P$1*K67:M67)))</f>
        <v>3.4570542601637695</v>
      </c>
      <c r="O67" s="17">
        <v>-0.12178968863880213</v>
      </c>
      <c r="P67" s="20">
        <v>0.56337064639188061</v>
      </c>
    </row>
    <row r="68" spans="1:16" x14ac:dyDescent="0.25">
      <c r="A68" s="24">
        <f t="shared" si="0"/>
        <v>5.4999999999999964</v>
      </c>
      <c r="B68" s="16">
        <f t="array" ref="B68:D68">B67:D67+$P$1/6*(E67:G67+2*H67:J67+2*K67:M67+N67:P67)</f>
        <v>-0.88728577471228975</v>
      </c>
      <c r="C68" s="11">
        <v>-3.0967370747860343</v>
      </c>
      <c r="D68" s="11">
        <v>-0.67889332107706291</v>
      </c>
      <c r="E68" s="16">
        <f t="array" ref="E68:G68">TRANSPOSE(MMULT($I$4:$K$6,TRANSPOSE(B68:D68)))</f>
        <v>3.4570229806880883</v>
      </c>
      <c r="F68" s="17">
        <v>-0.12175366956384881</v>
      </c>
      <c r="G68" s="20">
        <v>0.5633709076303256</v>
      </c>
      <c r="H68" s="16">
        <f t="array" ref="H68:J68">TRANSPOSE(MMULT($I$4:$K$6,TRANSPOSE(B68:D68+$P$1/2*E68:G68)))</f>
        <v>3.4345581311102338</v>
      </c>
      <c r="I68" s="17">
        <v>-6.2462951962436453E-2</v>
      </c>
      <c r="J68" s="20">
        <v>0.5698943457252541</v>
      </c>
      <c r="K68" s="16">
        <f t="array" ref="K68:M68">TRANSPOSE(MMULT($I$4:$K$6,TRANSPOSE(B68:D68+$P$1/2*H68:J68)))</f>
        <v>3.4315754507161542</v>
      </c>
      <c r="L68" s="17">
        <v>-6.2999792232408147E-2</v>
      </c>
      <c r="M68" s="20">
        <v>0.56928423460712763</v>
      </c>
      <c r="N68" s="16">
        <f t="array" ref="N68:P68">TRANSPOSE(MMULT($I$4:$K$6,TRANSPOSE(B68:D68+$P$1*K68:M68)))</f>
        <v>3.4062358360198828</v>
      </c>
      <c r="O68" s="17">
        <v>-4.3473583179121089E-3</v>
      </c>
      <c r="P68" s="20">
        <v>0.57519999276840073</v>
      </c>
    </row>
    <row r="69" spans="1:16" x14ac:dyDescent="0.25">
      <c r="A69" s="24">
        <f t="shared" si="0"/>
        <v>5.5999999999999961</v>
      </c>
      <c r="B69" s="16">
        <f t="array" ref="B69:D69">B68:D68+$P$1/6*(E68:G68+2*H68:J68+2*K68:M68+N68:P68)</f>
        <v>-0.54402700837294393</v>
      </c>
      <c r="C69" s="11">
        <v>-3.1030208500572249</v>
      </c>
      <c r="D69" s="11">
        <v>-0.62194452005933809</v>
      </c>
      <c r="E69" s="16">
        <f t="array" ref="E69:G69">TRANSPOSE(MMULT($I$4:$K$6,TRANSPOSE(B69:D69)))</f>
        <v>3.4062013589182545</v>
      </c>
      <c r="F69" s="17">
        <v>-4.3127811209049405E-3</v>
      </c>
      <c r="G69" s="20">
        <v>0.57519953538589375</v>
      </c>
      <c r="H69" s="16">
        <f t="array" ref="H69:J69">TRANSPOSE(MMULT($I$4:$K$6,TRANSPOSE(B69:D69+$P$1/2*E69:G69)))</f>
        <v>3.3778820004719909</v>
      </c>
      <c r="I69" s="17">
        <v>5.3804358243940031E-2</v>
      </c>
      <c r="J69" s="20">
        <v>0.58050588498690259</v>
      </c>
      <c r="K69" s="16">
        <f t="array" ref="K69:M69">TRANSPOSE(MMULT($I$4:$K$6,TRANSPOSE(B69:D69+$P$1/2*H69:J69)))</f>
        <v>3.3750116133039594</v>
      </c>
      <c r="L69" s="17">
        <v>5.3168402512977053E-2</v>
      </c>
      <c r="M69" s="20">
        <v>0.57989925678302467</v>
      </c>
      <c r="N69" s="16">
        <f t="array" ref="N69:P69">TRANSPOSE(MMULT($I$4:$K$6,TRANSPOSE(B69:D69+$P$1*K69:M69)))</f>
        <v>3.3439384322625965</v>
      </c>
      <c r="O69" s="17">
        <v>0.11055283761917223</v>
      </c>
      <c r="P69" s="20">
        <v>0.58460350516864457</v>
      </c>
    </row>
    <row r="70" spans="1:16" x14ac:dyDescent="0.25">
      <c r="A70" s="24">
        <f t="shared" si="0"/>
        <v>5.6999999999999957</v>
      </c>
      <c r="B70" s="16">
        <f t="array" ref="B70:D70">B69:D69+$P$1/6*(E69:G69+2*H69:J69+2*K69:M69+N69:P69)</f>
        <v>-0.20642822472739808</v>
      </c>
      <c r="C70" s="11">
        <v>-3.0976844237570234</v>
      </c>
      <c r="D70" s="11">
        <v>-0.56393429799109818</v>
      </c>
      <c r="E70" s="16">
        <f t="array" ref="E70:G70">TRANSPOSE(MMULT($I$4:$K$6,TRANSPOSE(B70:D70)))</f>
        <v>3.3439009654262022</v>
      </c>
      <c r="F70" s="17">
        <v>0.11058588884643084</v>
      </c>
      <c r="G70" s="20">
        <v>0.58460234152075907</v>
      </c>
      <c r="H70" s="16">
        <f t="array" ref="H70:J70">TRANSPOSE(MMULT($I$4:$K$6,TRANSPOSE(B70:D70+$P$1/2*E70:G70)))</f>
        <v>3.3099601193263344</v>
      </c>
      <c r="I70" s="17">
        <v>0.16733599036639202</v>
      </c>
      <c r="J70" s="20">
        <v>0.58870064821013668</v>
      </c>
      <c r="K70" s="16">
        <f t="array" ref="K70:M70">TRANSPOSE(MMULT($I$4:$K$6,TRANSPOSE(B70:D70+$P$1/2*H70:J70)))</f>
        <v>3.3072103523470484</v>
      </c>
      <c r="L70" s="17">
        <v>0.16660572787801553</v>
      </c>
      <c r="M70" s="20">
        <v>0.58809957431314919</v>
      </c>
      <c r="N70" s="16">
        <f t="array" ref="N70:P70">TRANSPOSE(MMULT($I$4:$K$6,TRANSPOSE(B70:D70+$P$1*K70:M70)))</f>
        <v>3.2706443061424046</v>
      </c>
      <c r="O70" s="17">
        <v>0.22253373769964435</v>
      </c>
      <c r="P70" s="20">
        <v>0.59160337968062904</v>
      </c>
    </row>
    <row r="71" spans="1:16" x14ac:dyDescent="0.25">
      <c r="A71" s="24">
        <f t="shared" si="0"/>
        <v>5.7999999999999954</v>
      </c>
      <c r="B71" s="16">
        <f t="array" ref="B71:D71">B70:D70+$P$1/6*(E70:G70+2*H70:J70+2*K70:M70+N70:P70)</f>
        <v>0.12438654552119144</v>
      </c>
      <c r="C71" s="11">
        <v>-3.0810010393731084</v>
      </c>
      <c r="D71" s="11">
        <v>-0.50510419522029881</v>
      </c>
      <c r="E71" s="16">
        <f t="array" ref="E71:G71">TRANSPOSE(MMULT($I$4:$K$6,TRANSPOSE(B71:D71)))</f>
        <v>3.2706040629091087</v>
      </c>
      <c r="F71" s="17">
        <v>0.22256518494520927</v>
      </c>
      <c r="G71" s="20">
        <v>0.59160152511199926</v>
      </c>
      <c r="H71" s="16">
        <f t="array" ref="H71:J71">TRANSPOSE(MMULT($I$4:$K$6,TRANSPOSE(B71:D71+$P$1/2*E71:G71)))</f>
        <v>3.2312907528450627</v>
      </c>
      <c r="I71" s="17">
        <v>0.27776462436694171</v>
      </c>
      <c r="J71" s="20">
        <v>0.59450492430054525</v>
      </c>
      <c r="K71" s="16">
        <f t="array" ref="K71:M71">TRANSPOSE(MMULT($I$4:$K$6,TRANSPOSE(B71:D71+$P$1/2*H71:J71)))</f>
        <v>3.2286692794405254</v>
      </c>
      <c r="L71" s="17">
        <v>0.27694507850085182</v>
      </c>
      <c r="M71" s="20">
        <v>0.59391142180105572</v>
      </c>
      <c r="N71" s="16">
        <f t="array" ref="N71:P71">TRANSPOSE(MMULT($I$4:$K$6,TRANSPOSE(B71:D71+$P$1*K71:M71)))</f>
        <v>3.1868664053925762</v>
      </c>
      <c r="O71" s="17">
        <v>0.33123826694921865</v>
      </c>
      <c r="P71" s="20">
        <v>0.59622987836370256</v>
      </c>
    </row>
    <row r="72" spans="1:16" x14ac:dyDescent="0.25">
      <c r="A72" s="24">
        <f t="shared" si="0"/>
        <v>5.899999999999995</v>
      </c>
      <c r="B72" s="16">
        <f t="array" ref="B72:D72">B71:D71+$P$1/6*(E71:G71+2*H71:J71+2*K71:M71+N71:P71)</f>
        <v>0.44734305440240574</v>
      </c>
      <c r="C72" s="11">
        <v>-3.053280658412608</v>
      </c>
      <c r="D72" s="11">
        <v>-0.44569312695898378</v>
      </c>
      <c r="E72" s="16">
        <f t="array" ref="E72:G72">TRANSPOSE(MMULT($I$4:$K$6,TRANSPOSE(B72:D72)))</f>
        <v>3.1868236037559607</v>
      </c>
      <c r="F72" s="17">
        <v>0.33126803861028287</v>
      </c>
      <c r="G72" s="20">
        <v>0.59622735100771707</v>
      </c>
      <c r="H72" s="16">
        <f t="array" ref="H72:J72">TRANSPOSE(MMULT($I$4:$K$6,TRANSPOSE(B72:D72+$P$1/2*E72:G72)))</f>
        <v>3.1424015367865126</v>
      </c>
      <c r="I72" s="17">
        <v>0.38474343647941223</v>
      </c>
      <c r="J72" s="20">
        <v>0.59795295145628058</v>
      </c>
      <c r="K72" s="16">
        <f t="array" ref="K72:M72">TRANSPOSE(MMULT($I$4:$K$6,TRANSPOSE(B72:D72+$P$1/2*H72:J72)))</f>
        <v>3.1399153652189322</v>
      </c>
      <c r="L72" s="17">
        <v>0.38383982525684079</v>
      </c>
      <c r="M72" s="20">
        <v>0.59736897536628875</v>
      </c>
      <c r="N72" s="16">
        <f t="array" ref="N72:P72">TRANSPOSE(MMULT($I$4:$K$6,TRANSPOSE(B72:D72+$P$1*K72:M72)))</f>
        <v>3.0931457085634362</v>
      </c>
      <c r="O72" s="17">
        <v>0.43633021528283289</v>
      </c>
      <c r="P72" s="20">
        <v>0.59852108112495328</v>
      </c>
    </row>
    <row r="73" spans="1:16" x14ac:dyDescent="0.25">
      <c r="A73" s="24">
        <f t="shared" si="0"/>
        <v>5.9999999999999947</v>
      </c>
      <c r="B73" s="16">
        <f t="array" ref="B73:D73">B72:D72+$P$1/6*(E72:G72+2*H72:J72+2*K72:M72+N72:P72)</f>
        <v>0.76141977300791053</v>
      </c>
      <c r="C73" s="11">
        <v>-3.0148679121231812</v>
      </c>
      <c r="D73" s="11">
        <v>-0.38593658886268695</v>
      </c>
      <c r="E73" s="16">
        <f t="array" ref="E73:G73">TRANSPOSE(MMULT($I$4:$K$6,TRANSPOSE(B73:D73)))</f>
        <v>3.093100570367465</v>
      </c>
      <c r="F73" s="17">
        <v>0.43635824644292243</v>
      </c>
      <c r="G73" s="20">
        <v>0.59851790170673269</v>
      </c>
      <c r="H73" s="16">
        <f t="array" ref="H73:J73">TRANSPOSE(MMULT($I$4:$K$6,TRANSPOSE(B73:D73+$P$1/2*E73:G73)))</f>
        <v>3.0438467971593464</v>
      </c>
      <c r="I73" s="17">
        <v>0.48794683677029238</v>
      </c>
      <c r="J73" s="20">
        <v>0.59908665407862771</v>
      </c>
      <c r="K73" s="16">
        <f t="array" ref="K73:M73">TRANSPOSE(MMULT($I$4:$K$6,TRANSPOSE(B73:D73+$P$1/2*H73:J73)))</f>
        <v>3.0415022614615808</v>
      </c>
      <c r="L73" s="17">
        <v>0.48696455213495304</v>
      </c>
      <c r="M73" s="20">
        <v>0.59851409013762447</v>
      </c>
      <c r="N73" s="16">
        <f t="array" ref="N73:P73">TRANSPOSE(MMULT($I$4:$K$6,TRANSPOSE(B73:D73+$P$1*K73:M73)))</f>
        <v>2.9900485289338485</v>
      </c>
      <c r="O73" s="17">
        <v>0.5374949330634875</v>
      </c>
      <c r="P73" s="20">
        <v>0.59852260881793196</v>
      </c>
    </row>
    <row r="74" spans="1:16" x14ac:dyDescent="0.25">
      <c r="A74" s="24">
        <f t="shared" si="0"/>
        <v>6.0999999999999943</v>
      </c>
      <c r="B74" s="16">
        <f t="array" ref="B74:D74">B73:D73+$P$1/6*(E73:G73+2*H73:J73+2*K73:M73+N73:P73)</f>
        <v>1.0656505599502966</v>
      </c>
      <c r="C74" s="11">
        <v>-2.9661399795012326</v>
      </c>
      <c r="D74" s="11">
        <v>-0.32606588888006749</v>
      </c>
      <c r="E74" s="16">
        <f t="array" ref="E74:G74">TRANSPOSE(MMULT($I$4:$K$6,TRANSPOSE(B74:D74)))</f>
        <v>2.9900012790582298</v>
      </c>
      <c r="F74" s="17">
        <v>0.53752116572020903</v>
      </c>
      <c r="G74" s="20">
        <v>0.59851880046015149</v>
      </c>
      <c r="H74" s="16">
        <f t="array" ref="H74:J74">TRANSPOSE(MMULT($I$4:$K$6,TRANSPOSE(B74:D74+$P$1/2*E74:G74)))</f>
        <v>2.9362048383677255</v>
      </c>
      <c r="I74" s="17">
        <v>0.58707112264367878</v>
      </c>
      <c r="J74" s="20">
        <v>0.59795535206200601</v>
      </c>
      <c r="K74" s="16">
        <f t="array" ref="K74:M74">TRANSPOSE(MMULT($I$4:$K$6,TRANSPOSE(B74:D74+$P$1/2*H74:J74)))</f>
        <v>2.9340075916929673</v>
      </c>
      <c r="L74" s="17">
        <v>0.58601570919929113</v>
      </c>
      <c r="M74" s="20">
        <v>0.59739601011808474</v>
      </c>
      <c r="N74" s="16">
        <f t="array" ref="N74:P74">TRANSPOSE(MMULT($I$4:$K$6,TRANSPOSE(B74:D74+$P$1*K74:M74)))</f>
        <v>2.8781637918166481</v>
      </c>
      <c r="O74" s="17">
        <v>0.63443994165336226</v>
      </c>
      <c r="P74" s="20">
        <v>0.59628731986380379</v>
      </c>
    </row>
    <row r="75" spans="1:16" x14ac:dyDescent="0.25">
      <c r="A75" s="24">
        <f t="shared" si="0"/>
        <v>6.199999999999994</v>
      </c>
      <c r="B75" s="16">
        <f t="array" ref="B75:D75">B74:D74+$P$1/6*(E74:G74+2*H74:J74+2*K74:M74+N74:P74)</f>
        <v>1.3591270588002342</v>
      </c>
      <c r="C75" s="11">
        <v>-2.9075043999835741</v>
      </c>
      <c r="D75" s="11">
        <v>-0.26630740813533188</v>
      </c>
      <c r="E75" s="16">
        <f t="array" ref="E75:G75">TRANSPOSE(MMULT($I$4:$K$6,TRANSPOSE(B75:D75)))</f>
        <v>2.8781146573576835</v>
      </c>
      <c r="F75" s="17">
        <v>0.63446432489916671</v>
      </c>
      <c r="G75" s="20">
        <v>0.59628290789505023</v>
      </c>
      <c r="H75" s="16">
        <f t="array" ref="H75:J75">TRANSPOSE(MMULT($I$4:$K$6,TRANSPOSE(B75:D75+$P$1/2*E75:G75)))</f>
        <v>2.8200752096680355</v>
      </c>
      <c r="I75" s="17">
        <v>0.68183504638929215</v>
      </c>
      <c r="J75" s="20">
        <v>0.59461544474897532</v>
      </c>
      <c r="K75" s="16">
        <f t="array" ref="K75:M75">TRANSPOSE(MMULT($I$4:$K$6,TRANSPOSE(B75:D75+$P$1/2*H75:J75)))</f>
        <v>2.818030220094899</v>
      </c>
      <c r="L75" s="17">
        <v>0.68071217972772846</v>
      </c>
      <c r="M75" s="20">
        <v>0.59407105270789251</v>
      </c>
      <c r="N75" s="16">
        <f t="array" ref="N75:P75">TRANSPOSE(MMULT($I$4:$K$6,TRANSPOSE(B75:D75+$P$1*K75:M75)))</f>
        <v>2.7581002950756455</v>
      </c>
      <c r="O75" s="17">
        <v>0.72689545731766447</v>
      </c>
      <c r="P75" s="20">
        <v>0.59187498266670358</v>
      </c>
    </row>
    <row r="76" spans="1:16" x14ac:dyDescent="0.25">
      <c r="A76" s="24">
        <f t="shared" si="0"/>
        <v>6.2999999999999936</v>
      </c>
      <c r="B76" s="16">
        <f t="array" ref="B76:D76">B75:D75+$P$1/6*(E75:G75+2*H75:J75+2*K75:M75+N75:P75)</f>
        <v>1.6410008223328876</v>
      </c>
      <c r="C76" s="11">
        <v>-2.839396829409393</v>
      </c>
      <c r="D76" s="11">
        <v>-0.20688189337740706</v>
      </c>
      <c r="E76" s="16">
        <f t="array" ref="E76:G76">TRANSPOSE(MMULT($I$4:$K$6,TRANSPOSE(B76:D76)))</f>
        <v>2.7580495045270674</v>
      </c>
      <c r="F76" s="17">
        <v>0.72691794747594174</v>
      </c>
      <c r="G76" s="20">
        <v>0.59186999443217247</v>
      </c>
      <c r="H76" s="16">
        <f t="array" ref="H76:J76">TRANSPOSE(MMULT($I$4:$K$6,TRANSPOSE(B76:D76+$P$1/2*E76:G76)))</f>
        <v>2.6960759597419917</v>
      </c>
      <c r="I76" s="17">
        <v>0.77198029539531943</v>
      </c>
      <c r="J76" s="20">
        <v>0.58913007180835864</v>
      </c>
      <c r="K76" s="16">
        <f t="array" ref="K76:M76">TRANSPOSE(MMULT($I$4:$K$6,TRANSPOSE(B76:D76+$P$1/2*H76:J76)))</f>
        <v>2.6941875085224241</v>
      </c>
      <c r="L76" s="17">
        <v>0.77079576014283269</v>
      </c>
      <c r="M76" s="20">
        <v>0.58860227014377919</v>
      </c>
      <c r="N76" s="16">
        <f t="array" ref="N76:P76">TRANSPOSE(MMULT($I$4:$K$6,TRANSPOSE(B76:D76+$P$1*K76:M76)))</f>
        <v>2.6304839626218084</v>
      </c>
      <c r="O76" s="17">
        <v>0.814614827351541</v>
      </c>
      <c r="P76" s="20">
        <v>0.58535192606795738</v>
      </c>
    </row>
    <row r="77" spans="1:16" x14ac:dyDescent="0.25">
      <c r="A77" s="24">
        <f t="shared" si="0"/>
        <v>6.3999999999999932</v>
      </c>
      <c r="B77" s="16">
        <f t="array" ref="B77:D77">B76:D76+$P$1/6*(E76:G76+2*H76:J76+2*K76:M76+N76:P76)</f>
        <v>1.9104851623941828</v>
      </c>
      <c r="C77" s="11">
        <v>-2.7622787479776632</v>
      </c>
      <c r="D77" s="11">
        <v>-0.1480037833040003</v>
      </c>
      <c r="E77" s="16">
        <f t="array" ref="E77:G77">TRANSPOSE(MMULT($I$4:$K$6,TRANSPOSE(B77:D77)))</f>
        <v>2.6304317450598451</v>
      </c>
      <c r="F77" s="17">
        <v>0.81463538807024727</v>
      </c>
      <c r="G77" s="20">
        <v>0.58534639074239014</v>
      </c>
      <c r="H77" s="16">
        <f t="array" ref="H77:J77">TRANSPOSE(MMULT($I$4:$K$6,TRANSPOSE(B77:D77+$P$1/2*E77:G77)))</f>
        <v>2.5648408891161854</v>
      </c>
      <c r="I77" s="17">
        <v>0.85727188414484023</v>
      </c>
      <c r="J77" s="20">
        <v>0.58156875326779889</v>
      </c>
      <c r="K77" s="16">
        <f t="array" ref="K77:M77">TRANSPOSE(MMULT($I$4:$K$6,TRANSPOSE(B77:D77+$P$1/2*H77:J77)))</f>
        <v>2.5631125713416658</v>
      </c>
      <c r="L77" s="17">
        <v>0.85603155184749757</v>
      </c>
      <c r="M77" s="20">
        <v>0.58105909008601719</v>
      </c>
      <c r="N77" s="16">
        <f t="array" ref="N77:P77">TRANSPOSE(MMULT($I$4:$K$6,TRANSPOSE(B77:D77+$P$1*K77:M77)))</f>
        <v>2.4959551005582377</v>
      </c>
      <c r="O77" s="17">
        <v>0.8973748777849534</v>
      </c>
      <c r="P77" s="20">
        <v>0.57679067005692675</v>
      </c>
    </row>
    <row r="78" spans="1:16" x14ac:dyDescent="0.25">
      <c r="A78" s="24">
        <f t="shared" si="0"/>
        <v>6.4999999999999929</v>
      </c>
      <c r="B78" s="16">
        <f t="array" ref="B78:D78">B77:D77+$P$1/6*(E77:G77+2*H77:J77+2*K77:M77+N77:P77)</f>
        <v>2.1668567251697457</v>
      </c>
      <c r="C78" s="11">
        <v>-2.6766351290136652</v>
      </c>
      <c r="D78" s="11">
        <v>-8.988057084555115E-2</v>
      </c>
      <c r="E78" s="16">
        <f t="array" ref="E78:G78">TRANSPOSE(MMULT($I$4:$K$6,TRANSPOSE(B78:D78)))</f>
        <v>2.4959016848349109</v>
      </c>
      <c r="F78" s="17">
        <v>0.89739348008987307</v>
      </c>
      <c r="G78" s="20">
        <v>0.57678461845977358</v>
      </c>
      <c r="H78" s="16">
        <f t="array" ref="H78:J78">TRANSPOSE(MMULT($I$4:$K$6,TRANSPOSE(B78:D78+$P$1/2*E78:G78)))</f>
        <v>2.4270168100370473</v>
      </c>
      <c r="I78" s="17">
        <v>0.93749845758677819</v>
      </c>
      <c r="J78" s="20">
        <v>0.57200701090504413</v>
      </c>
      <c r="K78" s="16">
        <f t="array" ref="K78:M78">TRANSPOSE(MMULT($I$4:$K$6,TRANSPOSE(B78:D78+$P$1/2*H78:J78)))</f>
        <v>2.4254515376872861</v>
      </c>
      <c r="L78" s="17">
        <v>0.93620826455014738</v>
      </c>
      <c r="M78" s="20">
        <v>0.57151693755730504</v>
      </c>
      <c r="N78" s="16">
        <f t="array" ref="N78:P78">TRANSPOSE(MMULT($I$4:$K$6,TRANSPOSE(B78:D78+$P$1*K78:M78)))</f>
        <v>2.3551656655007314</v>
      </c>
      <c r="O78" s="17">
        <v>0.97497617248063428</v>
      </c>
      <c r="P78" s="20">
        <v>0.56626953892868848</v>
      </c>
    </row>
    <row r="79" spans="1:16" x14ac:dyDescent="0.25">
      <c r="A79" s="24">
        <f t="shared" ref="A79:A142" si="1">A78+$P$1</f>
        <v>6.5999999999999925</v>
      </c>
      <c r="B79" s="16">
        <f t="array" ref="B79:D79">B78:D78+$P$1/6*(E78:G78+2*H78:J78+2*K78:M78+N78:P78)</f>
        <v>2.4094567925994843</v>
      </c>
      <c r="C79" s="11">
        <v>-2.5829720773995923</v>
      </c>
      <c r="D79" s="11">
        <v>-3.2712203273665141E-2</v>
      </c>
      <c r="E79" s="16">
        <f t="array" ref="E79:G79">TRANSPOSE(MMULT($I$4:$K$6,TRANSPOSE(B79:D79)))</f>
        <v>2.35511127944911</v>
      </c>
      <c r="F79" s="17">
        <v>0.9749927947903051</v>
      </c>
      <c r="G79" s="20">
        <v>0.56626300334155388</v>
      </c>
      <c r="H79" s="16">
        <f t="array" ref="H79:J79">TRANSPOSE(MMULT($I$4:$K$6,TRANSPOSE(B79:D79+$P$1/2*E79:G79)))</f>
        <v>2.2832608232455183</v>
      </c>
      <c r="I79" s="17">
        <v>1.0124725059205719</v>
      </c>
      <c r="J79" s="20">
        <v>0.56052597317417696</v>
      </c>
      <c r="K79" s="16">
        <f t="array" ref="K79:M79">TRANSPOSE(MMULT($I$4:$K$6,TRANSPOSE(B79:D79+$P$1/2*H79:J79)))</f>
        <v>2.2818608305733701</v>
      </c>
      <c r="L79" s="17">
        <v>1.0111384311127982</v>
      </c>
      <c r="M79" s="20">
        <v>0.56005684040937975</v>
      </c>
      <c r="N79" s="16">
        <f t="array" ref="N79:P79">TRANSPOSE(MMULT($I$4:$K$6,TRANSPOSE(B79:D79+$P$1*K79:M79)))</f>
        <v>2.2087765544157216</v>
      </c>
      <c r="O79" s="17">
        <v>1.0472431838768412</v>
      </c>
      <c r="P79" s="20">
        <v>0.55387225904985771</v>
      </c>
    </row>
    <row r="80" spans="1:16" x14ac:dyDescent="0.25">
      <c r="A80" s="24">
        <f t="shared" si="1"/>
        <v>6.6999999999999922</v>
      </c>
      <c r="B80" s="16">
        <f t="array" ref="B80:D80">B79:D79+$P$1/6*(E79:G79+2*H79:J79+2*K79:M79+N79:P79)</f>
        <v>2.6376923116245279</v>
      </c>
      <c r="C80" s="11">
        <v>-2.4818144465206942</v>
      </c>
      <c r="D80" s="11">
        <v>2.3309478218976942E-2</v>
      </c>
      <c r="E80" s="16">
        <f t="array" ref="E80:G80">TRANSPOSE(MMULT($I$4:$K$6,TRANSPOSE(B80:D80)))</f>
        <v>2.2087214240706508</v>
      </c>
      <c r="F80" s="17">
        <v>1.0472578119811051</v>
      </c>
      <c r="G80" s="20">
        <v>0.5538652730363427</v>
      </c>
      <c r="H80" s="16">
        <f t="array" ref="H80:J80">TRANSPOSE(MMULT($I$4:$K$6,TRANSPOSE(B80:D80+$P$1/2*E80:G80)))</f>
        <v>2.1342376208905152</v>
      </c>
      <c r="I80" s="17">
        <v>1.082030491258728</v>
      </c>
      <c r="J80" s="20">
        <v>0.54721196581325082</v>
      </c>
      <c r="K80" s="16">
        <f t="array" ref="K80:M80">TRANSPOSE(MMULT($I$4:$K$6,TRANSPOSE(B80:D80+$P$1/2*H80:J80)))</f>
        <v>2.1330044720869967</v>
      </c>
      <c r="L80" s="17">
        <v>1.0806585343803892</v>
      </c>
      <c r="M80" s="20">
        <v>0.54676502046332642</v>
      </c>
      <c r="N80" s="16">
        <f t="array" ref="N80:P80">TRANSPOSE(MMULT($I$4:$K$6,TRANSPOSE(B80:D80+$P$1*K80:M80)))</f>
        <v>2.057454925093209</v>
      </c>
      <c r="O80" s="17">
        <v>1.1140243760401811</v>
      </c>
      <c r="P80" s="20">
        <v>0.53968754336298908</v>
      </c>
    </row>
    <row r="81" spans="1:16" x14ac:dyDescent="0.25">
      <c r="A81" s="24">
        <f t="shared" si="1"/>
        <v>6.7999999999999918</v>
      </c>
      <c r="B81" s="16">
        <f t="array" ref="B81:D81">B80:D80+$P$1/6*(E80:G80+2*H80:J80+2*K80:M80+N80:P80)</f>
        <v>2.8510366538765091</v>
      </c>
      <c r="C81" s="11">
        <v>-2.3737034425323689</v>
      </c>
      <c r="D81" s="11">
        <v>7.8001258034851723E-2</v>
      </c>
      <c r="E81" s="16">
        <f t="array" ref="E81:G81">TRANSPOSE(MMULT($I$4:$K$6,TRANSPOSE(B81:D81)))</f>
        <v>2.0573992739307769</v>
      </c>
      <c r="F81" s="17">
        <v>1.1140370030442805</v>
      </c>
      <c r="G81" s="20">
        <v>0.53968014159109756</v>
      </c>
      <c r="H81" s="16">
        <f t="array" ref="H81:J81">TRANSPOSE(MMULT($I$4:$K$6,TRANSPOSE(B81:D81+$P$1/2*E81:G81)))</f>
        <v>1.9806168245770874</v>
      </c>
      <c r="I81" s="17">
        <v>1.1460328870335943</v>
      </c>
      <c r="J81" s="20">
        <v>0.53215609024780597</v>
      </c>
      <c r="K81" s="16">
        <f t="array" ref="K81:M81">TRANSPOSE(MMULT($I$4:$K$6,TRANSPOSE(B81:D81+$P$1/2*H81:J81)))</f>
        <v>1.9795514236512561</v>
      </c>
      <c r="L81" s="17">
        <v>1.1446290468520759</v>
      </c>
      <c r="M81" s="20">
        <v>0.53173247243744448</v>
      </c>
      <c r="N81" s="16">
        <f t="array" ref="N81:P81">TRANSPOSE(MMULT($I$4:$K$6,TRANSPOSE(B81:D81+$P$1*K81:M81)))</f>
        <v>1.9018715561115591</v>
      </c>
      <c r="O81" s="17">
        <v>1.1751922010847817</v>
      </c>
      <c r="P81" s="20">
        <v>0.52380866472667409</v>
      </c>
    </row>
    <row r="82" spans="1:16" x14ac:dyDescent="0.25">
      <c r="A82" s="24">
        <f t="shared" si="1"/>
        <v>6.8999999999999915</v>
      </c>
      <c r="B82" s="16">
        <f t="array" ref="B82:D82">B81:D81+$P$1/6*(E81:G81+2*H81:J81+2*K81:M81+N81:P81)</f>
        <v>3.0490301093181595</v>
      </c>
      <c r="C82" s="11">
        <v>-2.259194224667362</v>
      </c>
      <c r="D82" s="11">
        <v>0.13118902356298959</v>
      </c>
      <c r="E82" s="16">
        <f t="array" ref="E82:G82">TRANSPOSE(MMULT($I$4:$K$6,TRANSPOSE(B82:D82)))</f>
        <v>1.90181560431035</v>
      </c>
      <c r="F82" s="17">
        <v>1.1752028273208786</v>
      </c>
      <c r="G82" s="20">
        <v>0.52380088279398962</v>
      </c>
      <c r="H82" s="16">
        <f t="array" ref="H82:J82">TRANSPOSE(MMULT($I$4:$K$6,TRANSPOSE(B82:D82+$P$1/2*E82:G82)))</f>
        <v>1.8230703672668744</v>
      </c>
      <c r="I82" s="17">
        <v>1.2043641313945064</v>
      </c>
      <c r="J82" s="20">
        <v>0.51545379187007268</v>
      </c>
      <c r="K82" s="16">
        <f t="array" ref="K82:M82">TRANSPOSE(MMULT($I$4:$K$6,TRANSPOSE(B82:D82+$P$1/2*H82:J82)))</f>
        <v>1.8221729700668892</v>
      </c>
      <c r="L82" s="17">
        <v>1.2029343844350857</v>
      </c>
      <c r="M82" s="20">
        <v>0.51505453274176016</v>
      </c>
      <c r="N82" s="16">
        <f t="array" ref="N82:P82">TRANSPOSE(MMULT($I$4:$K$6,TRANSPOSE(B82:D82+$P$1*K82:M82)))</f>
        <v>1.7426982548565024</v>
      </c>
      <c r="O82" s="17">
        <v>1.2306430103828472</v>
      </c>
      <c r="P82" s="20">
        <v>0.5063330201522811</v>
      </c>
    </row>
    <row r="83" spans="1:16" x14ac:dyDescent="0.25">
      <c r="A83" s="24">
        <f t="shared" si="1"/>
        <v>6.9999999999999911</v>
      </c>
      <c r="B83" s="16">
        <f t="array" ref="B83:D83">B82:D82+$P$1/6*(E82:G82+2*H82:J82+2*K82:M82+N82:P82)</f>
        <v>3.2312801182153992</v>
      </c>
      <c r="C83" s="11">
        <v>-2.13885351017798</v>
      </c>
      <c r="D83" s="11">
        <v>0.18270819943248853</v>
      </c>
      <c r="E83" s="16">
        <f t="array" ref="E83:G83">TRANSPOSE(MMULT($I$4:$K$6,TRANSPOSE(B83:D83)))</f>
        <v>1.7426422185834447</v>
      </c>
      <c r="F83" s="17">
        <v>1.2306516432908152</v>
      </c>
      <c r="G83" s="20">
        <v>0.50632489441415096</v>
      </c>
      <c r="H83" s="16">
        <f t="array" ref="H83:J83">TRANSPOSE(MMULT($I$4:$K$6,TRANSPOSE(B83:D83+$P$1/2*E83:G83)))</f>
        <v>1.6622699274377037</v>
      </c>
      <c r="I83" s="17">
        <v>1.2569324961992017</v>
      </c>
      <c r="J83" s="20">
        <v>0.49720442023598699</v>
      </c>
      <c r="K83" s="16">
        <f t="array" ref="K83:M83">TRANSPOSE(MMULT($I$4:$K$6,TRANSPOSE(B83:D83+$P$1/2*H83:J83)))</f>
        <v>1.6615401557315761</v>
      </c>
      <c r="L83" s="17">
        <v>1.2554827758795457</v>
      </c>
      <c r="M83" s="20">
        <v>0.49683044018052946</v>
      </c>
      <c r="N83" s="16">
        <f t="array" ref="N83:P83">TRANSPOSE(MMULT($I$4:$K$6,TRANSPOSE(B83:D83+$P$1*K83:M83)))</f>
        <v>1.580605321830953</v>
      </c>
      <c r="O83" s="17">
        <v>1.2802968823384588</v>
      </c>
      <c r="P83" s="20">
        <v>0.48736168795897039</v>
      </c>
    </row>
    <row r="84" spans="1:16" x14ac:dyDescent="0.25">
      <c r="A84" s="24">
        <f t="shared" si="1"/>
        <v>7.0999999999999908</v>
      </c>
      <c r="B84" s="16">
        <f t="array" ref="B84:D84">B83:D83+$P$1/6*(E83:G83+2*H83:J83+2*K83:M83+N83:P83)</f>
        <v>3.3974612466612819</v>
      </c>
      <c r="C84" s="11">
        <v>-2.0132571923482003</v>
      </c>
      <c r="D84" s="11">
        <v>0.23240413781925778</v>
      </c>
      <c r="E84" s="16">
        <f t="array" ref="E84:G84">TRANSPOSE(MMULT($I$4:$K$6,TRANSPOSE(B84:D84)))</f>
        <v>1.5805494125543691</v>
      </c>
      <c r="F84" s="17">
        <v>1.2803035363177795</v>
      </c>
      <c r="G84" s="20">
        <v>0.4873532553599626</v>
      </c>
      <c r="H84" s="16">
        <f t="array" ref="H84:J84">TRANSPOSE(MMULT($I$4:$K$6,TRANSPOSE(B84:D84+$P$1/2*E84:G84)))</f>
        <v>1.4988844235685088</v>
      </c>
      <c r="I84" s="17">
        <v>1.3036698735393033</v>
      </c>
      <c r="J84" s="20">
        <v>0.47751078318119045</v>
      </c>
      <c r="K84" s="16">
        <f t="array" ref="K84:M84">TRANSPOSE(MMULT($I$4:$K$6,TRANSPOSE(B84:D84+$P$1/2*H84:J84)))</f>
        <v>1.4983212810959377</v>
      </c>
      <c r="L84" s="17">
        <v>1.3022060498286478</v>
      </c>
      <c r="M84" s="20">
        <v>0.47716289056304895</v>
      </c>
      <c r="N84" s="16">
        <f t="array" ref="N84:P84">TRANSPOSE(MMULT($I$4:$K$6,TRANSPOSE(B84:D84+$P$1*K84:M84)))</f>
        <v>1.4162590791380232</v>
      </c>
      <c r="O84" s="17">
        <v>1.3240973688215725</v>
      </c>
      <c r="P84" s="20">
        <v>0.46699897982591909</v>
      </c>
    </row>
    <row r="85" spans="1:16" x14ac:dyDescent="0.25">
      <c r="A85" s="24">
        <f t="shared" si="1"/>
        <v>7.1999999999999904</v>
      </c>
      <c r="B85" s="16">
        <f t="array" ref="B85:D85">B84:D84+$P$1/6*(E84:G84+2*H84:J84+2*K84:M84+N84:P84)</f>
        <v>3.5473149116783032</v>
      </c>
      <c r="C85" s="11">
        <v>-1.8829879798169462</v>
      </c>
      <c r="D85" s="11">
        <v>0.28013246419716381</v>
      </c>
      <c r="E85" s="16">
        <f t="array" ref="E85:G85">TRANSPOSE(MMULT($I$4:$K$6,TRANSPOSE(B85:D85)))</f>
        <v>1.4162035029702504</v>
      </c>
      <c r="F85" s="17">
        <v>1.324102065056141</v>
      </c>
      <c r="G85" s="20">
        <v>0.46699027773483576</v>
      </c>
      <c r="H85" s="16">
        <f t="array" ref="H85:J85">TRANSPOSE(MMULT($I$4:$K$6,TRANSPOSE(B85:D85+$P$1/2*E85:G85)))</f>
        <v>1.3335775766478954</v>
      </c>
      <c r="I85" s="17">
        <v>1.3445314820539473</v>
      </c>
      <c r="J85" s="20">
        <v>0.45647869681274028</v>
      </c>
      <c r="K85" s="16">
        <f t="array" ref="K85:M85">TRANSPOSE(MMULT($I$4:$K$6,TRANSPOSE(B85:D85+$P$1/2*H85:J85)))</f>
        <v>1.3331794670480586</v>
      </c>
      <c r="L85" s="17">
        <v>1.3430593417328334</v>
      </c>
      <c r="M85" s="20">
        <v>0.45615758717862387</v>
      </c>
      <c r="N85" s="16">
        <f t="array" ref="N85:P85">TRANSPOSE(MMULT($I$4:$K$6,TRANSPOSE(B85:D85+$P$1*K85:M85)))</f>
        <v>1.2503194706393417</v>
      </c>
      <c r="O85" s="17">
        <v>1.362011162662667</v>
      </c>
      <c r="P85" s="20">
        <v>0.44535198967446893</v>
      </c>
    </row>
    <row r="86" spans="1:16" x14ac:dyDescent="0.25">
      <c r="A86" s="24">
        <f t="shared" si="1"/>
        <v>7.2999999999999901</v>
      </c>
      <c r="B86" s="16">
        <f t="array" ref="B86:D86">B85:D85+$P$1/6*(E85:G85+2*H85:J85+2*K85:M85+N85:P85)</f>
        <v>3.6806488626949947</v>
      </c>
      <c r="C86" s="11">
        <v>-1.7486330652287401</v>
      </c>
      <c r="D86" s="11">
        <v>0.32575937812036437</v>
      </c>
      <c r="E86" s="16">
        <f t="array" ref="E86:G86">TRANSPOSE(MMULT($I$4:$K$6,TRANSPOSE(B86:D86)))</f>
        <v>1.2502644277110948</v>
      </c>
      <c r="F86" s="17">
        <v>1.3620139289203097</v>
      </c>
      <c r="G86" s="20">
        <v>0.44534305572320942</v>
      </c>
      <c r="H86" s="16">
        <f t="array" ref="H86:J86">TRANSPOSE(MMULT($I$4:$K$6,TRANSPOSE(B86:D86+$P$1/2*E86:G86)))</f>
        <v>1.1670055480120596</v>
      </c>
      <c r="I86" s="17">
        <v>1.3794954955783811</v>
      </c>
      <c r="J86" s="20">
        <v>0.43421653328523951</v>
      </c>
      <c r="K86" s="16">
        <f t="array" ref="K86:M86">TRANSPOSE(MMULT($I$4:$K$6,TRANSPOSE(B86:D86+$P$1/2*H86:J86)))</f>
        <v>1.1667702945264107</v>
      </c>
      <c r="L86" s="17">
        <v>1.3780207231694681</v>
      </c>
      <c r="M86" s="20">
        <v>0.43392278904348963</v>
      </c>
      <c r="N86" s="16">
        <f t="array" ref="N86:P86">TRANSPOSE(MMULT($I$4:$K$6,TRANSPOSE(B86:D86+$P$1*K86:M86)))</f>
        <v>1.0834377408871443</v>
      </c>
      <c r="O86" s="17">
        <v>1.3940276888905869</v>
      </c>
      <c r="P86" s="20">
        <v>0.42253014126304977</v>
      </c>
    </row>
    <row r="87" spans="1:16" x14ac:dyDescent="0.25">
      <c r="A87" s="24">
        <f t="shared" si="1"/>
        <v>7.3999999999999897</v>
      </c>
      <c r="B87" s="16">
        <f t="array" ref="B87:D87">B86:D86+$P$1/6*(E86:G86+2*H86:J86+2*K86:M86+N86:P86)</f>
        <v>3.7973364269229144</v>
      </c>
      <c r="C87" s="11">
        <v>-1.6107818309736301</v>
      </c>
      <c r="D87" s="11">
        <v>0.36916190881442634</v>
      </c>
      <c r="E87" s="16">
        <f t="array" ref="E87:G87">TRANSPOSE(MMULT($I$4:$K$6,TRANSPOSE(B87:D87)))</f>
        <v>1.083383424755568</v>
      </c>
      <c r="F87" s="17">
        <v>1.3940285592990735</v>
      </c>
      <c r="G87" s="20">
        <v>0.4225210131896292</v>
      </c>
      <c r="H87" s="16">
        <f t="array" ref="H87:J87">TRANSPOSE(MMULT($I$4:$K$6,TRANSPOSE(B87:D87+$P$1/2*E87:G87)))</f>
        <v>0.99981465940304393</v>
      </c>
      <c r="I87" s="17">
        <v>1.4085625969457682</v>
      </c>
      <c r="J87" s="20">
        <v>0.41083476821840437</v>
      </c>
      <c r="K87" s="16">
        <f t="array" ref="K87:M87">TRANSPOSE(MMULT($I$4:$K$6,TRANSPOSE(B87:D87+$P$1/2*H87:J87)))</f>
        <v>0.99973952624689633</v>
      </c>
      <c r="L87" s="17">
        <v>1.4070907563809092</v>
      </c>
      <c r="M87" s="20">
        <v>0.41056885877579363</v>
      </c>
      <c r="N87" s="16">
        <f t="array" ref="N87:P87">TRANSPOSE(MMULT($I$4:$K$6,TRANSPOSE(B87:D87+$P$1*K87:M87)))</f>
        <v>0.91625419950397646</v>
      </c>
      <c r="O87" s="17">
        <v>1.4201586226568701</v>
      </c>
      <c r="P87" s="20">
        <v>0.39864473632422592</v>
      </c>
    </row>
    <row r="88" spans="1:16" x14ac:dyDescent="0.25">
      <c r="A88" s="24">
        <f t="shared" si="1"/>
        <v>7.4999999999999893</v>
      </c>
      <c r="B88" s="16">
        <f t="array" ref="B88:D88">B87:D87+$P$1/6*(E87:G87+2*H87:J87+2*K87:M87+N87:P87)</f>
        <v>3.8973155268489048</v>
      </c>
      <c r="C88" s="11">
        <v>-1.4700235994968085</v>
      </c>
      <c r="D88" s="11">
        <v>0.41022812553946386</v>
      </c>
      <c r="E88" s="16">
        <f t="array" ref="E88:G88">TRANSPOSE(MMULT($I$4:$K$6,TRANSPOSE(B88:D88)))</f>
        <v>0.91620079659613241</v>
      </c>
      <c r="F88" s="17">
        <v>1.4201576374581979</v>
      </c>
      <c r="G88" s="20">
        <v>0.39863545182025339</v>
      </c>
      <c r="H88" s="16">
        <f t="array" ref="H88:J88">TRANSPOSE(MMULT($I$4:$K$6,TRANSPOSE(B88:D88+$P$1/2*E88:G88)))</f>
        <v>0.83263920170383687</v>
      </c>
      <c r="I88" s="17">
        <v>1.4317554600105487</v>
      </c>
      <c r="J88" s="20">
        <v>0.38644552955774369</v>
      </c>
      <c r="K88" s="16">
        <f t="array" ref="K88:M88">TRANSPOSE(MMULT($I$4:$K$6,TRANSPOSE(B88:D88+$P$1/2*H88:J88)))</f>
        <v>0.83272091699593098</v>
      </c>
      <c r="L88" s="17">
        <v>1.4302919770940168</v>
      </c>
      <c r="M88" s="20">
        <v>0.3862078118993939</v>
      </c>
      <c r="N88" s="16">
        <f t="array" ref="N88:P88">TRANSPOSE(MMULT($I$4:$K$6,TRANSPOSE(B88:D88+$P$1*K88:M88)))</f>
        <v>0.74939607724079571</v>
      </c>
      <c r="O88" s="17">
        <v>1.4404373370294148</v>
      </c>
      <c r="P88" s="20">
        <v>0.37380850501604457</v>
      </c>
    </row>
    <row r="89" spans="1:16" x14ac:dyDescent="0.25">
      <c r="A89" s="24">
        <f t="shared" si="1"/>
        <v>7.599999999999989</v>
      </c>
      <c r="B89" s="16">
        <f t="array" ref="B89:D89">B88:D88+$P$1/6*(E88:G88+2*H88:J88+2*K88:M88+N88:P88)</f>
        <v>3.9805874787028457</v>
      </c>
      <c r="C89" s="11">
        <v>-1.3269454353518628</v>
      </c>
      <c r="D89" s="11">
        <v>0.44885730286864006</v>
      </c>
      <c r="E89" s="16">
        <f t="array" ref="E89:G89">TRANSPOSE(MMULT($I$4:$K$6,TRANSPOSE(B89:D89)))</f>
        <v>0.74934376633412214</v>
      </c>
      <c r="F89" s="17">
        <v>1.4404345423141338</v>
      </c>
      <c r="G89" s="20">
        <v>0.3737991015789664</v>
      </c>
      <c r="H89" s="16">
        <f t="array" ref="H89:J89">TRANSPOSE(MMULT($I$4:$K$6,TRANSPOSE(B89:D89+$P$1/2*E89:G89)))</f>
        <v>0.66609933835516555</v>
      </c>
      <c r="I89" s="17">
        <v>1.4491181631906978</v>
      </c>
      <c r="J89" s="20">
        <v>0.36116214962104515</v>
      </c>
      <c r="K89" s="16">
        <f t="array" ref="K89:M89">TRANSPOSE(MMULT($I$4:$K$6,TRANSPOSE(B89:D89+$P$1/2*H89:J89)))</f>
        <v>0.6663341184903907</v>
      </c>
      <c r="L89" s="17">
        <v>1.4476683089131777</v>
      </c>
      <c r="M89" s="20">
        <v>0.36095286931827497</v>
      </c>
      <c r="N89" s="16">
        <f t="array" ref="N89:P89">TRANSPOSE(MMULT($I$4:$K$6,TRANSPOSE(B89:D89+$P$1*K89:M89)))</f>
        <v>0.58347547948516953</v>
      </c>
      <c r="O89" s="17">
        <v>1.4549182840568089</v>
      </c>
      <c r="P89" s="20">
        <v>0.34813516039912035</v>
      </c>
    </row>
    <row r="90" spans="1:16" x14ac:dyDescent="0.25">
      <c r="A90" s="24">
        <f t="shared" si="1"/>
        <v>7.6999999999999886</v>
      </c>
      <c r="B90" s="16">
        <f t="array" ref="B90:D90">B89:D89+$P$1/6*(E89:G89+2*H89:J89+2*K89:M89+N89:P89)</f>
        <v>4.0472155813613524</v>
      </c>
      <c r="C90" s="11">
        <v>-1.1821300058422179</v>
      </c>
      <c r="D90" s="11">
        <v>0.48496004119958552</v>
      </c>
      <c r="E90" s="16">
        <f t="array" ref="E90:G90">TRANSPOSE(MMULT($I$4:$K$6,TRANSPOSE(B90:D90)))</f>
        <v>0.58342443122624854</v>
      </c>
      <c r="F90" s="17">
        <v>1.4549137314801424</v>
      </c>
      <c r="G90" s="20">
        <v>0.34812567518952936</v>
      </c>
      <c r="H90" s="16">
        <f t="array" ref="H90:J90">TRANSPOSE(MMULT($I$4:$K$6,TRANSPOSE(B90:D90+$P$1/2*E90:G90)))</f>
        <v>0.50079910899231961</v>
      </c>
      <c r="I90" s="17">
        <v>1.4607155380341763</v>
      </c>
      <c r="J90" s="20">
        <v>0.33509872201083513</v>
      </c>
      <c r="K90" s="16">
        <f t="array" ref="K90:M90">TRANSPOSE(MMULT($I$4:$K$6,TRANSPOSE(B90:D90+$P$1/2*H90:J90)))</f>
        <v>0.5011826843393612</v>
      </c>
      <c r="L90" s="17">
        <v>1.4592844127868911</v>
      </c>
      <c r="M90" s="20">
        <v>0.33491801464087667</v>
      </c>
      <c r="N90" s="16">
        <f t="array" ref="N90:P90">TRANSPOSE(MMULT($I$4:$K$6,TRANSPOSE(B90:D90+$P$1*K90:M90)))</f>
        <v>0.41908744251853064</v>
      </c>
      <c r="O90" s="17">
        <v>1.4636763127021437</v>
      </c>
      <c r="P90" s="20">
        <v>0.32173895858665502</v>
      </c>
    </row>
    <row r="91" spans="1:16" x14ac:dyDescent="0.25">
      <c r="A91" s="24">
        <f t="shared" si="1"/>
        <v>7.7999999999999883</v>
      </c>
      <c r="B91" s="16">
        <f t="array" ref="B91:D91">B90:D90+$P$1/6*(E90:G90+2*H90:J90+2*K90:M90+N90:P90)</f>
        <v>4.0973235057014881</v>
      </c>
      <c r="C91" s="11">
        <v>-1.0361535067451442</v>
      </c>
      <c r="D91" s="11">
        <v>0.51845834298424565</v>
      </c>
      <c r="E91" s="16">
        <f t="array" ref="E91:G91">TRANSPOSE(MMULT($I$4:$K$6,TRANSPOSE(B91:D91)))</f>
        <v>0.41903781898129699</v>
      </c>
      <c r="F91" s="17">
        <v>1.4636700591836536</v>
      </c>
      <c r="G91" s="20">
        <v>0.32172942829095497</v>
      </c>
      <c r="H91" s="16">
        <f t="array" ref="H91:J91">TRANSPOSE(MMULT($I$4:$K$6,TRANSPOSE(B91:D91+$P$1/2*E91:G91)))</f>
        <v>0.33732453836138876</v>
      </c>
      <c r="I91" s="17">
        <v>1.4666324565019231</v>
      </c>
      <c r="J91" s="20">
        <v>0.30836966500703644</v>
      </c>
      <c r="K91" s="16">
        <f t="array" ref="K91:M91">TRANSPOSE(MMULT($I$4:$K$6,TRANSPOSE(B91:D91+$P$1/2*H91:J91)))</f>
        <v>0.33785218016425322</v>
      </c>
      <c r="L91" s="17">
        <v>1.4652249752350728</v>
      </c>
      <c r="M91" s="20">
        <v>0.30821755796771499</v>
      </c>
      <c r="N91" s="16">
        <f t="array" ref="N91:P91">TRANSPOSE(MMULT($I$4:$K$6,TRANSPOSE(B91:D91+$P$1*K91:M91)))</f>
        <v>0.25680809733743865</v>
      </c>
      <c r="O91" s="17">
        <v>1.4668059274218428</v>
      </c>
      <c r="P91" s="20">
        <v>0.29473426614699827</v>
      </c>
    </row>
    <row r="92" spans="1:16" x14ac:dyDescent="0.25">
      <c r="A92" s="24">
        <f t="shared" si="1"/>
        <v>7.8999999999999879</v>
      </c>
      <c r="B92" s="16">
        <f t="array" ref="B92:D92">B91:D91+$P$1/6*(E91:G91+2*H91:J91+2*K91:M91+N91:P91)</f>
        <v>4.1310934949243219</v>
      </c>
      <c r="C92" s="11">
        <v>-0.88958365924381932</v>
      </c>
      <c r="D92" s="11">
        <v>0.54928564532403656</v>
      </c>
      <c r="E92" s="16">
        <f t="array" ref="E92:G92">TRANSPOSE(MMULT($I$4:$K$6,TRANSPOSE(B92:D92)))</f>
        <v>0.25676005162177246</v>
      </c>
      <c r="F92" s="17">
        <v>1.466798034830374</v>
      </c>
      <c r="G92" s="20">
        <v>0.29472472684570428</v>
      </c>
      <c r="H92" s="16">
        <f t="array" ref="H92:J92">TRANSPOSE(MMULT($I$4:$K$6,TRANSPOSE(B92:D92+$P$1/2*E92:G92)))</f>
        <v>0.17624185508523077</v>
      </c>
      <c r="I92" s="17">
        <v>1.4669730608260803</v>
      </c>
      <c r="J92" s="20">
        <v>0.28108929298480634</v>
      </c>
      <c r="K92" s="16">
        <f t="array" ref="K92:M92">TRANSPOSE(MMULT($I$4:$K$6,TRANSPOSE(B92:D92+$P$1/2*H92:J92)))</f>
        <v>0.17690840344534617</v>
      </c>
      <c r="L92" s="17">
        <v>1.4655939391905957</v>
      </c>
      <c r="M92" s="20">
        <v>0.28096570768649021</v>
      </c>
      <c r="N92" s="16">
        <f t="array" ref="N92:P92">TRANSPOSE(MMULT($I$4:$K$6,TRANSPOSE(B92:D92+$P$1*K92:M92)))</f>
        <v>9.7192945360799865E-2</v>
      </c>
      <c r="O92" s="17">
        <v>1.4644204913210817</v>
      </c>
      <c r="P92" s="20">
        <v>0.26723513626758089</v>
      </c>
    </row>
    <row r="93" spans="1:16" x14ac:dyDescent="0.25">
      <c r="A93" s="24">
        <f t="shared" si="1"/>
        <v>7.9999999999999876</v>
      </c>
      <c r="B93" s="16">
        <f t="array" ref="B93:D93">B92:D92+$P$1/6*(E92:G92+2*H92:J92+2*K92:M92+N92:P92)</f>
        <v>4.148764386825051</v>
      </c>
      <c r="C93" s="11">
        <v>-0.74297778380740587</v>
      </c>
      <c r="D93" s="11">
        <v>0.57738680973163459</v>
      </c>
      <c r="E93" s="16">
        <f t="array" ref="E93:G93">TRANSPOSE(MMULT($I$4:$K$6,TRANSPOSE(B93:D93)))</f>
        <v>9.7146621232246905E-2</v>
      </c>
      <c r="F93" s="17">
        <v>1.4644110261467067</v>
      </c>
      <c r="G93" s="20">
        <v>0.26722562330952382</v>
      </c>
      <c r="H93" s="16">
        <f t="array" ref="H93:J93">TRANSPOSE(MMULT($I$4:$K$6,TRANSPOSE(B93:D93+$P$1/2*E93:G93)))</f>
        <v>1.8095824352559908E-2</v>
      </c>
      <c r="I93" s="17">
        <v>1.4618599399479097</v>
      </c>
      <c r="J93" s="20">
        <v>0.2533713973302234</v>
      </c>
      <c r="K93" s="16">
        <f t="array" ref="K93:M93">TRANSPOSE(MMULT($I$4:$K$6,TRANSPOSE(B93:D93+$P$1/2*H93:J93)))</f>
        <v>1.8895717166484194E-2</v>
      </c>
      <c r="L93" s="17">
        <v>1.4605136814544237</v>
      </c>
      <c r="M93" s="20">
        <v>0.25327615174659013</v>
      </c>
      <c r="N93" s="16">
        <f t="array" ref="N93:P93">TRANSPOSE(MMULT($I$4:$K$6,TRANSPOSE(B93:D93+$P$1*K93:M93)))</f>
        <v>-5.9224750154723921E-2</v>
      </c>
      <c r="O93" s="17">
        <v>1.4566513779529977</v>
      </c>
      <c r="P93" s="20">
        <v>0.23935489511528563</v>
      </c>
    </row>
    <row r="94" spans="1:16" x14ac:dyDescent="0.25">
      <c r="A94" s="24">
        <f t="shared" si="1"/>
        <v>8.0999999999999872</v>
      </c>
      <c r="B94" s="16">
        <f t="array" ref="B94:D94">B93:D93+$P$1/6*(E93:G93+2*H93:J93+2*K93:M93+N93:P93)</f>
        <v>4.1506294693936443</v>
      </c>
      <c r="C94" s="11">
        <v>-0.59688095635899963</v>
      </c>
      <c r="D94" s="11">
        <v>0.60271807000794186</v>
      </c>
      <c r="E94" s="16">
        <f t="array" ref="E94:G94">TRANSPOSE(MMULT($I$4:$K$6,TRANSPOSE(B94:D94)))</f>
        <v>-5.9269218583541589E-2</v>
      </c>
      <c r="F94" s="17">
        <v>1.4566404109676645</v>
      </c>
      <c r="G94" s="20">
        <v>0.23934544299796701</v>
      </c>
      <c r="H94" s="16">
        <f t="array" ref="H94:J94">TRANSPOSE(MMULT($I$4:$K$6,TRANSPOSE(B94:D94+$P$1/2*E94:G94)))</f>
        <v>-0.13659180189896647</v>
      </c>
      <c r="I94" s="17">
        <v>1.4514332566653203</v>
      </c>
      <c r="J94" s="20">
        <v>0.22532883825126571</v>
      </c>
      <c r="K94" s="16">
        <f t="array" ref="K94:M94">TRANSPOSE(MMULT($I$4:$K$6,TRANSPOSE(B94:D94+$P$1/2*H94:J94)))</f>
        <v>-0.13566449917233803</v>
      </c>
      <c r="L94" s="17">
        <v>1.4501241408891998</v>
      </c>
      <c r="M94" s="20">
        <v>0.22526164980974861</v>
      </c>
      <c r="N94" s="16">
        <f t="array" ref="N94:P94">TRANSPOSE(MMULT($I$4:$K$6,TRANSPOSE(B94:D94+$P$1*K94:M94)))</f>
        <v>-0.21193545367312805</v>
      </c>
      <c r="O94" s="17">
        <v>1.4436470759442945</v>
      </c>
      <c r="P94" s="20">
        <v>0.21120573975176693</v>
      </c>
    </row>
    <row r="95" spans="1:16" x14ac:dyDescent="0.25">
      <c r="A95" s="24">
        <f t="shared" si="1"/>
        <v>8.1999999999999869</v>
      </c>
      <c r="B95" s="16">
        <f t="array" ref="B95:D95">B94:D94+$P$1/6*(E94:G94+2*H94:J94+2*K94:M94+N94:P94)</f>
        <v>4.1370341814869898</v>
      </c>
      <c r="C95" s="11">
        <v>-0.45182425165864964</v>
      </c>
      <c r="D95" s="11">
        <v>0.62524693932247122</v>
      </c>
      <c r="E95" s="16">
        <f t="array" ref="E95:G95">TRANSPOSE(MMULT($I$4:$K$6,TRANSPOSE(B95:D95)))</f>
        <v>-0.21197794221903782</v>
      </c>
      <c r="F95" s="17">
        <v>1.4436346818528634</v>
      </c>
      <c r="G95" s="20">
        <v>0.21119638200809976</v>
      </c>
      <c r="H95" s="16">
        <f t="array" ref="H95:J95">TRANSPOSE(MMULT($I$4:$K$6,TRANSPOSE(B95:D95+$P$1/2*E95:G95)))</f>
        <v>-0.28732371424074782</v>
      </c>
      <c r="I95" s="17">
        <v>1.4358498297252831</v>
      </c>
      <c r="J95" s="20">
        <v>0.19707314880365168</v>
      </c>
      <c r="K95" s="16">
        <f t="array" ref="K95:M95">TRANSPOSE(MMULT($I$4:$K$6,TRANSPOSE(B95:D95+$P$1/2*H95:J95)))</f>
        <v>-0.28627527811017128</v>
      </c>
      <c r="L95" s="17">
        <v>1.4345819015815868</v>
      </c>
      <c r="M95" s="20">
        <v>0.19703363759578429</v>
      </c>
      <c r="N95" s="16">
        <f t="array" ref="N95:P95">TRANSPOSE(MMULT($I$4:$K$6,TRANSPOSE(B95:D95+$P$1*K95:M95)))</f>
        <v>-0.36045472509992615</v>
      </c>
      <c r="O95" s="17">
        <v>1.4255722507253235</v>
      </c>
      <c r="P95" s="20">
        <v>0.18289834888315482</v>
      </c>
    </row>
    <row r="96" spans="1:16" x14ac:dyDescent="0.25">
      <c r="A96" s="24">
        <f t="shared" si="1"/>
        <v>8.2999999999999865</v>
      </c>
      <c r="B96" s="16">
        <f t="array" ref="B96:D96">B95:D95+$P$1/6*(E95:G95+2*H95:J95+2*K95:M95+N95:P95)</f>
        <v>4.1083736706199767</v>
      </c>
      <c r="C96" s="11">
        <v>-0.30832307840545087</v>
      </c>
      <c r="D96" s="11">
        <v>0.64495207771730667</v>
      </c>
      <c r="E96" s="16">
        <f t="array" ref="E96:G96">TRANSPOSE(MMULT($I$4:$K$6,TRANSPOSE(B96:D96)))</f>
        <v>-0.36049511974346948</v>
      </c>
      <c r="F96" s="17">
        <v>1.4255585078086537</v>
      </c>
      <c r="G96" s="20">
        <v>0.18288911797479779</v>
      </c>
      <c r="H96" s="16">
        <f t="array" ref="H96:J96">TRANSPOSE(MMULT($I$4:$K$6,TRANSPOSE(B96:D96+$P$1/2*E96:G96)))</f>
        <v>-0.4336283518946808</v>
      </c>
      <c r="I96" s="17">
        <v>1.4152821751819988</v>
      </c>
      <c r="J96" s="20">
        <v>0.16871415237081444</v>
      </c>
      <c r="K96" s="16">
        <f t="array" ref="K96:M96">TRANSPOSE(MMULT($I$4:$K$6,TRANSPOSE(B96:D96+$P$1/2*H96:J96)))</f>
        <v>-0.43246536979051237</v>
      </c>
      <c r="L96" s="17">
        <v>1.4140592352893109</v>
      </c>
      <c r="M96" s="20">
        <v>0.16870184466212823</v>
      </c>
      <c r="N96" s="16">
        <f t="array" ref="N96:P96">TRANSPOSE(MMULT($I$4:$K$6,TRANSPOSE(B96:D96+$P$1*K96:M96)))</f>
        <v>-0.50432446336098058</v>
      </c>
      <c r="O96" s="17">
        <v>1.4026067677185696</v>
      </c>
      <c r="P96" s="20">
        <v>0.1545415076421961</v>
      </c>
    </row>
    <row r="97" spans="1:16" x14ac:dyDescent="0.25">
      <c r="A97" s="24">
        <f t="shared" si="1"/>
        <v>8.3999999999999861</v>
      </c>
      <c r="B97" s="16">
        <f t="array" ref="B97:D97">B96:D96+$P$1/6*(E96:G96+2*H96:J96+2*K96:M96+N96:P96)</f>
        <v>4.0650902201787291</v>
      </c>
      <c r="C97" s="11">
        <v>-0.16687561013095348</v>
      </c>
      <c r="D97" s="11">
        <v>0.66182312137868804</v>
      </c>
      <c r="E97" s="16">
        <f t="array" ref="E97:G97">TRANSPOSE(MMULT($I$4:$K$6,TRANSPOSE(B97:D97)))</f>
        <v>-0.50436266043839462</v>
      </c>
      <c r="F97" s="17">
        <v>1.4025917574702937</v>
      </c>
      <c r="G97" s="20">
        <v>0.15453243485967683</v>
      </c>
      <c r="H97" s="16">
        <f t="array" ref="H97:J97">TRANSPOSE(MMULT($I$4:$K$6,TRANSPOSE(B97:D97+$P$1/2*E97:G97)))</f>
        <v>-0.575061083706911</v>
      </c>
      <c r="I97" s="17">
        <v>1.3899175114077897</v>
      </c>
      <c r="J97" s="20">
        <v>0.14035959475483883</v>
      </c>
      <c r="K97" s="16">
        <f t="array" ref="K97:M97">TRANSPOSE(MMULT($I$4:$K$6,TRANSPOSE(B97:D97+$P$1/2*H97:J97)))</f>
        <v>-0.57379042248534651</v>
      </c>
      <c r="L97" s="17">
        <v>1.3887431075550658</v>
      </c>
      <c r="M97" s="20">
        <v>0.14037392677345817</v>
      </c>
      <c r="N97" s="16">
        <f t="array" ref="N97:P97">TRANSPOSE(MMULT($I$4:$K$6,TRANSPOSE(B97:D97+$P$1*K97:M97)))</f>
        <v>-0.64311402403998619</v>
      </c>
      <c r="O97" s="17">
        <v>1.3749446813960371</v>
      </c>
      <c r="P97" s="20">
        <v>0.12624174751751405</v>
      </c>
    </row>
    <row r="98" spans="1:16" x14ac:dyDescent="0.25">
      <c r="A98" s="24">
        <f t="shared" si="1"/>
        <v>8.4999999999999858</v>
      </c>
      <c r="B98" s="16">
        <f t="array" ref="B98:D98">B97:D97+$P$1/6*(E97:G97+2*H97:J97+2*K97:M97+N97:P97)</f>
        <v>4.0076705585643477</v>
      </c>
      <c r="C98" s="11">
        <v>-2.7961315517752772E-2</v>
      </c>
      <c r="D98" s="11">
        <v>0.67586047513591774</v>
      </c>
      <c r="E98" s="16">
        <f t="array" ref="E98:G98">TRANSPOSE(MMULT($I$4:$K$6,TRANSPOSE(B98:D98)))</f>
        <v>-0.64314993039304913</v>
      </c>
      <c r="F98" s="17">
        <v>1.3749284881546295</v>
      </c>
      <c r="G98" s="20">
        <v>0.12623286288730695</v>
      </c>
      <c r="H98" s="16">
        <f t="array" ref="H98:J98">TRANSPOSE(MMULT($I$4:$K$6,TRANSPOSE(B98:D98+$P$1/2*E98:G98)))</f>
        <v>-0.71120526240656146</v>
      </c>
      <c r="I98" s="17">
        <v>1.3599567321907089</v>
      </c>
      <c r="J98" s="20">
        <v>0.11211479195085639</v>
      </c>
      <c r="K98" s="16">
        <f t="array" ref="K98:M98">TRANSPOSE(MMULT($I$4:$K$6,TRANSPOSE(B98:D98+$P$1/2*H98:J98)))</f>
        <v>-0.709834036529569</v>
      </c>
      <c r="L98" s="17">
        <v>1.3588341519165401</v>
      </c>
      <c r="M98" s="20">
        <v>0.11215511393350774</v>
      </c>
      <c r="N98" s="16">
        <f t="array" ref="N98:P98">TRANSPOSE(MMULT($I$4:$K$6,TRANSPOSE(B98:D98+$P$1*K98:M98)))</f>
        <v>-0.77642120977674778</v>
      </c>
      <c r="O98" s="17">
        <v>1.3427931946537106</v>
      </c>
      <c r="P98" s="20">
        <v>9.8103002459531741E-2</v>
      </c>
    </row>
    <row r="99" spans="1:16" x14ac:dyDescent="0.25">
      <c r="A99" s="24">
        <f t="shared" si="1"/>
        <v>8.5999999999999854</v>
      </c>
      <c r="B99" s="16">
        <f t="array" ref="B99:D99">B98:D98+$P$1/6*(E98:G98+2*H98:J98+2*K98:M98+N98:P98)</f>
        <v>3.9366430629303135</v>
      </c>
      <c r="C99" s="11">
        <v>0.10796040866596121</v>
      </c>
      <c r="D99" s="11">
        <v>0.68707506975451049</v>
      </c>
      <c r="E99" s="16">
        <f t="array" ref="E99:G99">TRANSPOSE(MMULT($I$4:$K$6,TRANSPOSE(B99:D99)))</f>
        <v>-0.77645474286079685</v>
      </c>
      <c r="F99" s="17">
        <v>1.3427759052314274</v>
      </c>
      <c r="G99" s="20">
        <v>9.8094334658233029E-2</v>
      </c>
      <c r="H99" s="16">
        <f t="array" ref="H99:J99">TRANSPOSE(MMULT($I$4:$K$6,TRANSPOSE(B99:D99+$P$1/2*E99:G99)))</f>
        <v>-0.84167315110122887</v>
      </c>
      <c r="I99" s="17">
        <v>1.3256133523811933</v>
      </c>
      <c r="J99" s="20">
        <v>8.4082294591481976E-2</v>
      </c>
      <c r="K99" s="16">
        <f t="array" ref="K99:M99">TRANSPOSE(MMULT($I$4:$K$6,TRANSPOSE(B99:D99+$P$1/2*H99:J99)))</f>
        <v>-0.84020869061617998</v>
      </c>
      <c r="L99" s="17">
        <v>1.3245456166702865</v>
      </c>
      <c r="M99" s="20">
        <v>8.4147875065265554E-2</v>
      </c>
      <c r="N99" s="16">
        <f t="array" ref="N99:P99">TRANSPOSE(MMULT($I$4:$K$6,TRANSPOSE(B99:D99+$P$1*K99:M99)))</f>
        <v>-0.90387313262427427</v>
      </c>
      <c r="O99" s="17">
        <v>1.3063715929704842</v>
      </c>
      <c r="P99" s="20">
        <v>7.0226282106042204E-2</v>
      </c>
    </row>
    <row r="100" spans="1:16" x14ac:dyDescent="0.25">
      <c r="A100" s="24">
        <f t="shared" si="1"/>
        <v>8.6999999999999851</v>
      </c>
      <c r="B100" s="16">
        <f t="array" ref="B100:D100">B99:D99+$P$1/6*(E99:G99+2*H99:J99+2*K99:M99+N99:P99)</f>
        <v>3.8525748702816487</v>
      </c>
      <c r="C100" s="11">
        <v>0.2404514992710424</v>
      </c>
      <c r="D100" s="11">
        <v>0.69548808568914</v>
      </c>
      <c r="E100" s="16">
        <f t="array" ref="E100:G100">TRANSPOSE(MMULT($I$4:$K$6,TRANSPOSE(B100:D100)))</f>
        <v>-0.9039042205748633</v>
      </c>
      <c r="F100" s="17">
        <v>1.3063532962807081</v>
      </c>
      <c r="G100" s="20">
        <v>7.0217858381768861E-2</v>
      </c>
      <c r="H100" s="16">
        <f t="array" ref="H100:J100">TRANSPOSE(MMULT($I$4:$K$6,TRANSPOSE(B100:D100+$P$1/2*E100:G100)))</f>
        <v>-0.96610672145365983</v>
      </c>
      <c r="I100" s="17">
        <v>1.2871124305601844</v>
      </c>
      <c r="J100" s="20">
        <v>5.6361569960651114E-2</v>
      </c>
      <c r="K100" s="16">
        <f t="array" ref="K100:M100">TRANSPOSE(MMULT($I$4:$K$6,TRANSPOSE(B100:D100+$P$1/2*H100:J100)))</f>
        <v>-0.96455653989481727</v>
      </c>
      <c r="L100" s="17">
        <v>1.2861022886573512</v>
      </c>
      <c r="M100" s="20">
        <v>5.645160023863971E-2</v>
      </c>
      <c r="N100" s="16">
        <f t="array" ref="N100:P100">TRANSPOSE(MMULT($I$4:$K$6,TRANSPOSE(B100:D100+$P$1*K100:M100)))</f>
        <v>-1.025126948051196</v>
      </c>
      <c r="O100" s="17">
        <v>1.2659101578201735</v>
      </c>
      <c r="P100" s="20">
        <v>4.2709362982693899E-2</v>
      </c>
    </row>
    <row r="101" spans="1:16" x14ac:dyDescent="0.25">
      <c r="A101" s="24">
        <f t="shared" si="1"/>
        <v>8.7999999999999847</v>
      </c>
      <c r="B101" s="16">
        <f t="array" ref="B101:D101">B100:D100+$P$1/6*(E100:G100+2*H100:J100+2*K100:M100+N100:P100)</f>
        <v>3.7560689087595986</v>
      </c>
      <c r="C101" s="11">
        <v>0.36909638081330831</v>
      </c>
      <c r="D101" s="11">
        <v>0.7011306450518574</v>
      </c>
      <c r="E101" s="16">
        <f t="array" ref="E101:G101">TRANSPOSE(MMULT($I$4:$K$6,TRANSPOSE(B101:D101)))</f>
        <v>-1.0251555297100112</v>
      </c>
      <c r="F101" s="17">
        <v>1.2658909445046702</v>
      </c>
      <c r="G101" s="20">
        <v>4.2701209083796154E-2</v>
      </c>
      <c r="H101" s="16">
        <f t="array" ref="H101:J101">TRANSPOSE(MMULT($I$4:$K$6,TRANSPOSE(B101:D101+$P$1/2*E101:G101)))</f>
        <v>-1.0841783234683706</v>
      </c>
      <c r="I101" s="17">
        <v>1.2446894731934999</v>
      </c>
      <c r="J101" s="20">
        <v>2.9048702388001724E-2</v>
      </c>
      <c r="K101" s="16">
        <f t="array" ref="K101:M101">TRANSPOSE(MMULT($I$4:$K$6,TRANSPOSE(B101:D101+$P$1/2*H101:J101)))</f>
        <v>-1.0825500858001043</v>
      </c>
      <c r="L101" s="17">
        <v>1.2437393985310803</v>
      </c>
      <c r="M101" s="20">
        <v>2.9162301256518974E-2</v>
      </c>
      <c r="N101" s="16">
        <f t="array" ref="N101:P101">TRANSPOSE(MMULT($I$4:$K$6,TRANSPOSE(B101:D101+$P$1*K101:M101)))</f>
        <v>-1.1398704607553789</v>
      </c>
      <c r="O101" s="17">
        <v>1.2216490637889907</v>
      </c>
      <c r="P101" s="20">
        <v>1.5646498445080037E-2</v>
      </c>
    </row>
    <row r="102" spans="1:16" x14ac:dyDescent="0.25">
      <c r="A102" s="24">
        <f t="shared" si="1"/>
        <v>8.8999999999999844</v>
      </c>
      <c r="B102" s="16">
        <f t="array" ref="B102:D102">B101:D101+$P$1/6*(E101:G101+2*H101:J101+2*K101:M101+N101:P101)</f>
        <v>3.647760861942893</v>
      </c>
      <c r="C102" s="11">
        <v>0.49350301000902197</v>
      </c>
      <c r="D102" s="11">
        <v>0.70404347363215602</v>
      </c>
      <c r="E102" s="16">
        <f t="array" ref="E102:G102">TRANSPOSE(MMULT($I$4:$K$6,TRANSPOSE(B102:D102)))</f>
        <v>-1.1398964856561737</v>
      </c>
      <c r="F102" s="17">
        <v>1.2216290258465319</v>
      </c>
      <c r="G102" s="20">
        <v>1.5638638556242146E-2</v>
      </c>
      <c r="H102" s="16">
        <f t="array" ref="H102:J102">TRANSPOSE(MMULT($I$4:$K$6,TRANSPOSE(B102:D102+$P$1/2*E102:G102)))</f>
        <v>-1.1955912272913443</v>
      </c>
      <c r="I102" s="17">
        <v>1.1985893247123771</v>
      </c>
      <c r="J102" s="20">
        <v>2.2361127460218677E-3</v>
      </c>
      <c r="K102" s="16">
        <f t="array" ref="K102:M102">TRANSPOSE(MMULT($I$4:$K$6,TRANSPOSE(B102:D102+$P$1/2*H102:J102)))</f>
        <v>-1.1938927180102563</v>
      </c>
      <c r="L102" s="17">
        <v>1.1977015119427927</v>
      </c>
      <c r="M102" s="20">
        <v>2.372331321315313E-3</v>
      </c>
      <c r="N102" s="16">
        <f t="array" ref="N102:P102">TRANSPOSE(MMULT($I$4:$K$6,TRANSPOSE(B102:D102+$P$1*K102:M102)))</f>
        <v>-1.2478226029232031</v>
      </c>
      <c r="O102" s="17">
        <v>1.1738372638176802</v>
      </c>
      <c r="P102" s="20">
        <v>-1.0871851959980083E-2</v>
      </c>
    </row>
    <row r="103" spans="1:16" x14ac:dyDescent="0.25">
      <c r="A103" s="24">
        <f t="shared" si="1"/>
        <v>8.999999999999984</v>
      </c>
      <c r="B103" s="16">
        <f t="array" ref="B103:D103">B102:D102+$P$1/6*(E102:G102+2*H102:J102+2*K102:M102+N102:P102)</f>
        <v>3.5283160789565167</v>
      </c>
      <c r="C103" s="11">
        <v>0.61330380939193119</v>
      </c>
      <c r="D103" s="11">
        <v>0.70427653487767161</v>
      </c>
      <c r="E103" s="16">
        <f t="array" ref="E103:G103">TRANSPOSE(MMULT($I$4:$K$6,TRANSPOSE(B103:D103)))</f>
        <v>-1.2478460312386517</v>
      </c>
      <c r="F103" s="17">
        <v>1.1738164942354403</v>
      </c>
      <c r="G103" s="20">
        <v>-1.0879395274206782E-2</v>
      </c>
      <c r="H103" s="16">
        <f t="array" ref="H103:J103">TRANSPOSE(MMULT($I$4:$K$6,TRANSPOSE(B103:D103+$P$1/2*E103:G103)))</f>
        <v>-1.3000800378887463</v>
      </c>
      <c r="I103" s="17">
        <v>1.1490650479186251</v>
      </c>
      <c r="J103" s="20">
        <v>-2.3987702317118553E-2</v>
      </c>
      <c r="K103" s="16">
        <f t="array" ref="K103:M103">TRANSPOSE(MMULT($I$4:$K$6,TRANSPOSE(B103:D103+$P$1/2*H103:J103)))</f>
        <v>-1.2983191293987968</v>
      </c>
      <c r="L103" s="17">
        <v>1.1482414110396726</v>
      </c>
      <c r="M103" s="20">
        <v>-2.3829875585157034E-2</v>
      </c>
      <c r="N103" s="16">
        <f t="array" ref="N103:P103">TRANSPOSE(MMULT($I$4:$K$6,TRANSPOSE(B103:D103+$P$1*K103:M103)))</f>
        <v>-1.3487337860252246</v>
      </c>
      <c r="O103" s="17">
        <v>1.1227313669380024</v>
      </c>
      <c r="P103" s="20">
        <v>-3.6759273125746339E-2</v>
      </c>
    </row>
    <row r="104" spans="1:16" x14ac:dyDescent="0.25">
      <c r="A104" s="24">
        <f t="shared" si="1"/>
        <v>9.0999999999999837</v>
      </c>
      <c r="B104" s="16">
        <f t="array" ref="B104:D104">B103:D103+$P$1/6*(E103:G103+2*H103:J103+2*K103:M103+N103:P103)</f>
        <v>3.3984264430925339</v>
      </c>
      <c r="C104" s="11">
        <v>0.72815648904343178</v>
      </c>
      <c r="D104" s="11">
        <v>0.70188863780759658</v>
      </c>
      <c r="E104" s="16">
        <f t="array" ref="E104:G104">TRANSPOSE(MMULT($I$4:$K$6,TRANSPOSE(B104:D104)))</f>
        <v>-1.3487545884757239</v>
      </c>
      <c r="F104" s="17">
        <v>1.1227099593270982</v>
      </c>
      <c r="G104" s="20">
        <v>-3.6766478969958327E-2</v>
      </c>
      <c r="H104" s="16">
        <f t="array" ref="H104:J104">TRANSPOSE(MMULT($I$4:$K$6,TRANSPOSE(B104:D104+$P$1/2*E104:G104)))</f>
        <v>-1.3974109839203008</v>
      </c>
      <c r="I104" s="17">
        <v>1.0963767990552888</v>
      </c>
      <c r="J104" s="20">
        <v>-4.9538410865544891E-2</v>
      </c>
      <c r="K104" s="16">
        <f t="array" ref="K104:M104">TRANSPOSE(MMULT($I$4:$K$6,TRANSPOSE(B104:D104+$P$1/2*H104:J104)))</f>
        <v>-1.3955956052915759</v>
      </c>
      <c r="L104" s="17">
        <v>1.0956189706118498</v>
      </c>
      <c r="M104" s="20">
        <v>-4.9360045064939517E-2</v>
      </c>
      <c r="N104" s="16">
        <f t="array" ref="N104:P104">TRANSPOSE(MMULT($I$4:$K$6,TRANSPOSE(B104:D104+$P$1*K104:M104)))</f>
        <v>-1.4423861276813956</v>
      </c>
      <c r="O104" s="17">
        <v>1.0685945128080487</v>
      </c>
      <c r="P104" s="20">
        <v>-6.1933624510519758E-2</v>
      </c>
    </row>
    <row r="105" spans="1:16" x14ac:dyDescent="0.25">
      <c r="A105" s="24">
        <f t="shared" si="1"/>
        <v>9.1999999999999833</v>
      </c>
      <c r="B105" s="16">
        <f t="array" ref="B105:D105">B104:D104+$P$1/6*(E104:G104+2*H104:J104+2*K104:M104+N104:P104)</f>
        <v>3.2588072115161859</v>
      </c>
      <c r="C105" s="11">
        <v>0.83774475590125552</v>
      </c>
      <c r="D105" s="11">
        <v>0.69694702088523919</v>
      </c>
      <c r="E105" s="16">
        <f t="array" ref="E105:G105">TRANSPOSE(MMULT($I$4:$K$6,TRANSPOSE(B105:D105)))</f>
        <v>-1.4424042854069699</v>
      </c>
      <c r="F105" s="17">
        <v>1.0685725610445247</v>
      </c>
      <c r="G105" s="20">
        <v>-6.1940473700027088E-2</v>
      </c>
      <c r="H105" s="16">
        <f t="array" ref="H105:J105">TRANSPOSE(MMULT($I$4:$K$6,TRANSPOSE(B105:D105+$P$1/2*E105:G105)))</f>
        <v>-1.4873820825581605</v>
      </c>
      <c r="I105" s="17">
        <v>1.0407907018108205</v>
      </c>
      <c r="J105" s="20">
        <v>-7.433606543013993E-2</v>
      </c>
      <c r="K105" s="16">
        <f t="array" ref="K105:M105">TRANSPOSE(MMULT($I$4:$K$6,TRANSPOSE(B105:D105+$P$1/2*H105:J105)))</f>
        <v>-1.4855201887761174</v>
      </c>
      <c r="L105" s="17">
        <v>1.0401000331529104</v>
      </c>
      <c r="M105" s="20">
        <v>-7.4138281955912433E-2</v>
      </c>
      <c r="N105" s="16">
        <f t="array" ref="N105:P105">TRANSPOSE(MMULT($I$4:$K$6,TRANSPOSE(B105:D105+$P$1*K105:M105)))</f>
        <v>-1.5285935555562633</v>
      </c>
      <c r="O105" s="17">
        <v>1.0116952472705929</v>
      </c>
      <c r="P105" s="20">
        <v>-8.6317249346264058E-2</v>
      </c>
    </row>
    <row r="106" spans="1:16" x14ac:dyDescent="0.25">
      <c r="A106" s="24">
        <f t="shared" si="1"/>
        <v>9.2999999999999829</v>
      </c>
      <c r="B106" s="16">
        <f t="array" ref="B106:D106">B105:D105+$P$1/6*(E105:G105+2*H105:J105+2*K105:M105+N105:P105)</f>
        <v>3.1101938384556562</v>
      </c>
      <c r="C106" s="11">
        <v>0.94177891053863183</v>
      </c>
      <c r="D106" s="11">
        <v>0.68952691392159926</v>
      </c>
      <c r="E106" s="16">
        <f t="array" ref="E106:G106">TRANSPOSE(MMULT($I$4:$K$6,TRANSPOSE(B106:D106)))</f>
        <v>-1.5286090599528372</v>
      </c>
      <c r="F106" s="17">
        <v>1.0116728451431127</v>
      </c>
      <c r="G106" s="20">
        <v>-8.632372444124059E-2</v>
      </c>
      <c r="H106" s="16">
        <f t="array" ref="H106:J106">TRANSPOSE(MMULT($I$4:$K$6,TRANSPOSE(B106:D106+$P$1/2*E106:G106)))</f>
        <v>-1.569823182421404</v>
      </c>
      <c r="I106" s="17">
        <v>0.98257772443713365</v>
      </c>
      <c r="J106" s="20">
        <v>-9.8305301663850098E-2</v>
      </c>
      <c r="K106" s="16">
        <f t="array" ref="K106:M106">TRANSPOSE(MMULT($I$4:$K$6,TRANSPOSE(B106:D106+$P$1/2*H106:J106)))</f>
        <v>-1.5679227242293099</v>
      </c>
      <c r="L106" s="17">
        <v>0.98195528701062185</v>
      </c>
      <c r="M106" s="20">
        <v>-9.8089268906699223E-2</v>
      </c>
      <c r="N106" s="16">
        <f t="array" ref="N106:P106">TRANSPOSE(MMULT($I$4:$K$6,TRANSPOSE(B106:D106+$P$1*K106:M106)))</f>
        <v>-1.6072017906553382</v>
      </c>
      <c r="O106" s="17">
        <v>0.95230640306407932</v>
      </c>
      <c r="P106" s="20">
        <v>-0.1098371626091782</v>
      </c>
    </row>
    <row r="107" spans="1:16" x14ac:dyDescent="0.25">
      <c r="A107" s="24">
        <f t="shared" si="1"/>
        <v>9.3999999999999826</v>
      </c>
      <c r="B107" s="16">
        <f t="array" ref="B107:D107">B106:D106+$P$1/6*(E106:G106+2*H106:J106+2*K106:M106+N106:P106)</f>
        <v>2.9533387940571627</v>
      </c>
      <c r="C107" s="11">
        <v>1.0399963317236769</v>
      </c>
      <c r="D107" s="11">
        <v>0.67971108011840731</v>
      </c>
      <c r="E107" s="16">
        <f t="array" ref="E107:G107">TRANSPOSE(MMULT($I$4:$K$6,TRANSPOSE(B107:D107)))</f>
        <v>-1.6072146431767562</v>
      </c>
      <c r="F107" s="17">
        <v>0.95228364392951526</v>
      </c>
      <c r="G107" s="20">
        <v>-0.10984324794144829</v>
      </c>
      <c r="H107" s="16">
        <f t="array" ref="H107:J107">TRANSPOSE(MMULT($I$4:$K$6,TRANSPOSE(B107:D107+$P$1/2*E107:G107)))</f>
        <v>-1.6445958871985191</v>
      </c>
      <c r="I107" s="17">
        <v>0.92201256406030374</v>
      </c>
      <c r="J107" s="20">
        <v>-0.12137551562007287</v>
      </c>
      <c r="K107" s="16">
        <f t="array" ref="K107:M107">TRANSPOSE(MMULT($I$4:$K$6,TRANSPOSE(B107:D107+$P$1/2*H107:J107)))</f>
        <v>-1.6426647816313773</v>
      </c>
      <c r="L107" s="17">
        <v>0.92145915170322223</v>
      </c>
      <c r="M107" s="20">
        <v>-0.12114244359649018</v>
      </c>
      <c r="N107" s="16">
        <f t="array" ref="N107:P107">TRANSPOSE(MMULT($I$4:$K$6,TRANSPOSE(B107:D107+$P$1*K107:M107)))</f>
        <v>-1.6780882127869048</v>
      </c>
      <c r="O107" s="17">
        <v>0.89070398970759901</v>
      </c>
      <c r="P107" s="20">
        <v>-0.1324252175178332</v>
      </c>
    </row>
    <row r="108" spans="1:16" x14ac:dyDescent="0.25">
      <c r="A108" s="24">
        <f t="shared" si="1"/>
        <v>9.4999999999999822</v>
      </c>
      <c r="B108" s="16">
        <f t="array" ref="B108:D108">B107:D107+$P$1/6*(E107:G107+2*H107:J107+2*K107:M107+N107:P107)</f>
        <v>2.7890083908301051</v>
      </c>
      <c r="C108" s="11">
        <v>1.132161849476413</v>
      </c>
      <c r="D108" s="11">
        <v>0.66758934038686712</v>
      </c>
      <c r="E108" s="16">
        <f t="array" ref="E108:G108">TRANSPOSE(MMULT($I$4:$K$6,TRANSPOSE(B108:D108)))</f>
        <v>-1.6780984247141704</v>
      </c>
      <c r="F108" s="17">
        <v>0.89068096615565939</v>
      </c>
      <c r="G108" s="20">
        <v>-0.13243089921037443</v>
      </c>
      <c r="H108" s="16">
        <f t="array" ref="H108:J108">TRANSPOSE(MMULT($I$4:$K$6,TRANSPOSE(B108:D108+$P$1/2*E108:G108)))</f>
        <v>-1.7115933629141749</v>
      </c>
      <c r="I108" s="17">
        <v>0.85937254214780168</v>
      </c>
      <c r="J108" s="20">
        <v>-0.14348101946315306</v>
      </c>
      <c r="K108" s="16">
        <f t="array" ref="K108:M108">TRANSPOSE(MMULT($I$4:$K$6,TRANSPOSE(B108:D108+$P$1/2*H108:J108)))</f>
        <v>-1.7096394646177266</v>
      </c>
      <c r="L108" s="17">
        <v>0.85888867436195082</v>
      </c>
      <c r="M108" s="20">
        <v>-0.14323215440850612</v>
      </c>
      <c r="N108" s="16">
        <f t="array" ref="N108:P108">TRANSPOSE(MMULT($I$4:$K$6,TRANSPOSE(B108:D108+$P$1*K108:M108)))</f>
        <v>-1.7411616113278479</v>
      </c>
      <c r="O108" s="17">
        <v>0.82716609646009487</v>
      </c>
      <c r="P108" s="20">
        <v>-0.15401825041060219</v>
      </c>
    </row>
    <row r="109" spans="1:16" x14ac:dyDescent="0.25">
      <c r="A109" s="24">
        <f t="shared" si="1"/>
        <v>9.5999999999999819</v>
      </c>
      <c r="B109" s="16">
        <f t="array" ref="B109:D109">B108:D108+$P$1/6*(E108:G108+2*H108:J108+2*K108:M108+N108:P108)</f>
        <v>2.6179796293116748</v>
      </c>
      <c r="C109" s="11">
        <v>1.2180680077370005</v>
      </c>
      <c r="D109" s="11">
        <v>0.65325808209746217</v>
      </c>
      <c r="E109" s="16">
        <f t="array" ref="E109:G109">TRANSPOSE(MMULT($I$4:$K$6,TRANSPOSE(B109:D109)))</f>
        <v>-1.7411692035071529</v>
      </c>
      <c r="F109" s="17">
        <v>0.82714289998805912</v>
      </c>
      <c r="G109" s="20">
        <v>-0.15402351638986722</v>
      </c>
      <c r="H109" s="16">
        <f t="array" ref="H109:J109">TRANSPOSE(MMULT($I$4:$K$6,TRANSPOSE(B109:D109+$P$1/2*E109:G109)))</f>
        <v>-1.7707400321612228</v>
      </c>
      <c r="I109" s="17">
        <v>0.79493651496878504</v>
      </c>
      <c r="J109" s="20">
        <v>-0.16456117550543348</v>
      </c>
      <c r="K109" s="16">
        <f t="array" ref="K109:M109">TRANSPOSE(MMULT($I$4:$K$6,TRANSPOSE(B109:D109+$P$1/2*H109:J109)))</f>
        <v>-1.7687711055846773</v>
      </c>
      <c r="L109" s="17">
        <v>0.79452244113331594</v>
      </c>
      <c r="M109" s="20">
        <v>-0.16429779445117659</v>
      </c>
      <c r="N109" s="16">
        <f t="array" ref="N109:P109">TRANSPOSE(MMULT($I$4:$K$6,TRANSPOSE(B109:D109+$P$1*K109:M109)))</f>
        <v>-1.7963618247865907</v>
      </c>
      <c r="O109" s="17">
        <v>0.76197181212081566</v>
      </c>
      <c r="P109" s="20">
        <v>-0.17455820393870969</v>
      </c>
    </row>
    <row r="110" spans="1:16" x14ac:dyDescent="0.25">
      <c r="A110" s="24">
        <f t="shared" si="1"/>
        <v>9.6999999999999815</v>
      </c>
      <c r="B110" s="16">
        <f t="array" ref="B110:D110">B109:D109+$P$1/6*(E109:G109+2*H109:J109+2*K109:M109+N109:P109)</f>
        <v>2.4410370742485825</v>
      </c>
      <c r="C110" s="11">
        <v>1.2975352181422184</v>
      </c>
      <c r="D110" s="11">
        <v>0.63681975442676553</v>
      </c>
      <c r="E110" s="16">
        <f t="array" ref="E110:G110">TRANSPOSE(MMULT($I$4:$K$6,TRANSPOSE(B110:D110)))</f>
        <v>-1.7963668273377829</v>
      </c>
      <c r="F110" s="17">
        <v>0.76194853281938946</v>
      </c>
      <c r="G110" s="20">
        <v>-0.17456304393989336</v>
      </c>
      <c r="H110" s="16">
        <f t="array" ref="H110:J110">TRANSPOSE(MMULT($I$4:$K$6,TRANSPOSE(B110:D110+$P$1/2*E110:G110)))</f>
        <v>-1.8219911589632658</v>
      </c>
      <c r="I110" s="17">
        <v>0.7289838027449117</v>
      </c>
      <c r="J110" s="20">
        <v>-0.18456050854909595</v>
      </c>
      <c r="K110" s="16">
        <f t="array" ref="K110:M110">TRANSPOSE(MMULT($I$4:$K$6,TRANSPOSE(B110:D110+$P$1/2*H110:J110)))</f>
        <v>-1.8200148515092303</v>
      </c>
      <c r="L110" s="17">
        <v>0.72863950723573701</v>
      </c>
      <c r="M110" s="20">
        <v>-0.18428391390481619</v>
      </c>
      <c r="N110" s="16">
        <f t="array" ref="N110:P110">TRANSPOSE(MMULT($I$4:$K$6,TRANSPOSE(B110:D110+$P$1*K110:M110)))</f>
        <v>-1.8436592729900718</v>
      </c>
      <c r="O110" s="17">
        <v>0.69540016529354398</v>
      </c>
      <c r="P110" s="20">
        <v>-0.19399222859406784</v>
      </c>
    </row>
    <row r="111" spans="1:16" x14ac:dyDescent="0.25">
      <c r="A111" s="24">
        <f t="shared" si="1"/>
        <v>9.7999999999999812</v>
      </c>
      <c r="B111" s="16">
        <f t="array" ref="B111:D111">B110:D110+$P$1/6*(E110:G110+2*H110:J110+2*K110:M110+N110:P110)</f>
        <v>2.2589697722273683</v>
      </c>
      <c r="C111" s="11">
        <v>1.370411806776789</v>
      </c>
      <c r="D111" s="11">
        <v>0.61838235246940243</v>
      </c>
      <c r="E111" s="16">
        <f t="array" ref="E111:G111">TRANSPOSE(MMULT($I$4:$K$6,TRANSPOSE(B111:D111)))</f>
        <v>-1.8436617249872869</v>
      </c>
      <c r="F111" s="17">
        <v>0.69537689154477134</v>
      </c>
      <c r="G111" s="20">
        <v>-0.19399663415946455</v>
      </c>
      <c r="H111" s="16">
        <f t="array" ref="H111:J111">TRANSPOSE(MMULT($I$4:$K$6,TRANSPOSE(B111:D111+$P$1/2*E111:G111)))</f>
        <v>-1.8653323282563996</v>
      </c>
      <c r="I111" s="17">
        <v>0.66179314103918152</v>
      </c>
      <c r="J111" s="20">
        <v>-0.20342879659290902</v>
      </c>
      <c r="K111" s="16">
        <f t="array" ref="K111:M111">TRANSPOSE(MMULT($I$4:$K$6,TRANSPOSE(B111:D111+$P$1/2*H111:J111)))</f>
        <v>-1.8633561444661058</v>
      </c>
      <c r="L111" s="17">
        <v>0.66151834921545849</v>
      </c>
      <c r="M111" s="20">
        <v>-0.20314031075342237</v>
      </c>
      <c r="N111" s="16">
        <f t="array" ref="N111:P111">TRANSPOSE(MMULT($I$4:$K$6,TRANSPOSE(B111:D111+$P$1*K111:M111)))</f>
        <v>-1.8830543860340345</v>
      </c>
      <c r="O111" s="17">
        <v>0.62772908858212872</v>
      </c>
      <c r="P111" s="20">
        <v>-0.21227276267187534</v>
      </c>
    </row>
    <row r="112" spans="1:16" x14ac:dyDescent="0.25">
      <c r="A112" s="24">
        <f t="shared" si="1"/>
        <v>9.8999999999999808</v>
      </c>
      <c r="B112" s="16">
        <f t="array" ref="B112:D112">B111:D111+$P$1/6*(E111:G111+2*H111:J111+2*K111:M111+N111:P111)</f>
        <v>2.0725682212862626</v>
      </c>
      <c r="C112" s="11">
        <v>1.4365739561207254</v>
      </c>
      <c r="D112" s="11">
        <v>0.59805889227733566</v>
      </c>
      <c r="E112" s="16">
        <f t="array" ref="E112:G112">TRANSPOSE(MMULT($I$4:$K$6,TRANSPOSE(B112:D112)))</f>
        <v>-1.8830543351602858</v>
      </c>
      <c r="F112" s="17">
        <v>0.62770590677023985</v>
      </c>
      <c r="G112" s="20">
        <v>-0.21227672714249762</v>
      </c>
      <c r="H112" s="16">
        <f t="array" ref="H112:J112">TRANSPOSE(MMULT($I$4:$K$6,TRANSPOSE(B112:D112+$P$1/2*E112:G112)))</f>
        <v>-1.9007788242801467</v>
      </c>
      <c r="I112" s="17">
        <v>0.59364165777031142</v>
      </c>
      <c r="J112" s="20">
        <v>-0.22112114004374583</v>
      </c>
      <c r="K112" s="16">
        <f t="array" ref="K112:M112">TRANSPOSE(MMULT($I$4:$K$6,TRANSPOSE(B112:D112+$P$1/2*H112:J112)))</f>
        <v>-1.8988101011265257</v>
      </c>
      <c r="L112" s="17">
        <v>0.59343584278681716</v>
      </c>
      <c r="M112" s="20">
        <v>-0.22082210004088215</v>
      </c>
      <c r="N112" s="16">
        <f t="array" ref="N112:P112">TRANSPOSE(MMULT($I$4:$K$6,TRANSPOSE(B112:D112+$P$1*K112:M112)))</f>
        <v>-1.9145769344260672</v>
      </c>
      <c r="O112" s="17">
        <v>0.55923441002025298</v>
      </c>
      <c r="P112" s="20">
        <v>-0.22935759084651364</v>
      </c>
    </row>
    <row r="113" spans="1:16" x14ac:dyDescent="0.25">
      <c r="A113" s="24">
        <f t="shared" si="1"/>
        <v>9.9999999999999805</v>
      </c>
      <c r="B113" s="16">
        <f t="array" ref="B113:D113">B112:D112+$P$1/6*(E112:G112+2*H112:J112+2*K112:M112+N112:P112)</f>
        <v>1.8826214026129344</v>
      </c>
      <c r="C113" s="11">
        <v>1.4959255447524713</v>
      </c>
      <c r="D113" s="11">
        <v>0.57596687897469789</v>
      </c>
      <c r="E113" s="16">
        <f t="array" ref="E113:G113">TRANSPOSE(MMULT($I$4:$K$6,TRANSPOSE(B113:D113)))</f>
        <v>-1.9145744366036439</v>
      </c>
      <c r="F113" s="17">
        <v>0.55921140425624605</v>
      </c>
      <c r="G113" s="20">
        <v>-0.22936110934716042</v>
      </c>
      <c r="H113" s="16">
        <f t="array" ref="H113:J113">TRANSPOSE(MMULT($I$4:$K$6,TRANSPOSE(B113:D113+$P$1/2*E113:G113)))</f>
        <v>-1.9283749124464948</v>
      </c>
      <c r="I113" s="17">
        <v>0.52480387907091441</v>
      </c>
      <c r="J113" s="20">
        <v>-0.23759800965009503</v>
      </c>
      <c r="K113" s="16">
        <f t="array" ref="K113:M113">TRANSPOSE(MMULT($I$4:$K$6,TRANSPOSE(B113:D113+$P$1/2*H113:J113)))</f>
        <v>-1.9264207958019552</v>
      </c>
      <c r="L113" s="17">
        <v>0.52466626947295125</v>
      </c>
      <c r="M113" s="20">
        <v>-0.23728976186819151</v>
      </c>
      <c r="N113" s="16">
        <f t="array" ref="N113:P113">TRANSPOSE(MMULT($I$4:$K$6,TRANSPOSE(B113:D113+$P$1*K113:M113)))</f>
        <v>-1.9382852651181919</v>
      </c>
      <c r="O113" s="17">
        <v>0.49018887486494922</v>
      </c>
      <c r="P113" s="20">
        <v>-0.24520988161532631</v>
      </c>
    </row>
    <row r="114" spans="1:16" x14ac:dyDescent="0.25">
      <c r="A114" s="24">
        <f t="shared" si="1"/>
        <v>10.09999999999998</v>
      </c>
      <c r="B114" s="16">
        <f t="array" ref="B114:D114">B113:D113+$P$1/6*(E113:G113+2*H113:J113+2*K113:M113+N113:P113)</f>
        <v>1.6899138839759555</v>
      </c>
      <c r="C114" s="11">
        <v>1.5483978876892868</v>
      </c>
      <c r="D114" s="11">
        <v>0.55222777007471358</v>
      </c>
      <c r="E114" s="16">
        <f t="array" ref="E114:G114">TRANSPOSE(MMULT($I$4:$K$6,TRANSPOSE(B114:D114)))</f>
        <v>-1.9382803841167677</v>
      </c>
      <c r="F114" s="17">
        <v>0.49016612672564031</v>
      </c>
      <c r="G114" s="20">
        <v>-0.2452129510333082</v>
      </c>
      <c r="H114" s="16">
        <f t="array" ref="H114:J114">TRANSPOSE(MMULT($I$4:$K$6,TRANSPOSE(B114:D114+$P$1/2*E114:G114)))</f>
        <v>-1.9481930295118</v>
      </c>
      <c r="I114" s="17">
        <v>0.45555076703017905</v>
      </c>
      <c r="J114" s="20">
        <v>-0.25282527344953609</v>
      </c>
      <c r="K114" s="16">
        <f t="array" ref="K114:M114">TRANSPOSE(MMULT($I$4:$K$6,TRANSPOSE(B114:D114+$P$1/2*H114:J114)))</f>
        <v>-1.946260451851727</v>
      </c>
      <c r="L114" s="17">
        <v>0.45548035508565643</v>
      </c>
      <c r="M114" s="20">
        <v>-0.2525091684229796</v>
      </c>
      <c r="N114" s="16">
        <f t="array" ref="N114:P114">TRANSPOSE(MMULT($I$4:$K$6,TRANSPOSE(B114:D114+$P$1*K114:M114)))</f>
        <v>-1.9542654483698967</v>
      </c>
      <c r="O114" s="17">
        <v>0.42086120070206257</v>
      </c>
      <c r="P114" s="20">
        <v>-0.25979820393821607</v>
      </c>
    </row>
    <row r="115" spans="1:16" x14ac:dyDescent="0.25">
      <c r="A115" s="24">
        <f t="shared" si="1"/>
        <v>10.19999999999998</v>
      </c>
      <c r="B115" s="16">
        <f t="array" ref="B115:D115">B114:D114+$P$1/6*(E114:G114+2*H114:J114+2*K114:M114+N114:P114)</f>
        <v>1.4952230040557268</v>
      </c>
      <c r="C115" s="11">
        <v>1.5939493805502762</v>
      </c>
      <c r="D115" s="11">
        <v>0.52696643609610427</v>
      </c>
      <c r="E115" s="16">
        <f t="array" ref="E115:G115">TRANSPOSE(MMULT($I$4:$K$6,TRANSPOSE(B115:D115)))</f>
        <v>-1.9542582553942909</v>
      </c>
      <c r="F115" s="17">
        <v>0.42083878898426519</v>
      </c>
      <c r="G115" s="20">
        <v>-0.25980082289596446</v>
      </c>
      <c r="H115" s="16">
        <f t="array" ref="H115:J115">TRANSPOSE(MMULT($I$4:$K$6,TRANSPOSE(B115:D115+$P$1/2*E115:G115)))</f>
        <v>-1.960332887108613</v>
      </c>
      <c r="I115" s="17">
        <v>0.38614879217667442</v>
      </c>
      <c r="J115" s="20">
        <v>-0.26677420309409339</v>
      </c>
      <c r="K115" s="16">
        <f t="array" ref="K115:M115">TRANSPOSE(MMULT($I$4:$K$6,TRANSPOSE(B115:D115+$P$1/2*H115:J115)))</f>
        <v>-1.9584285465056994</v>
      </c>
      <c r="L115" s="17">
        <v>0.38614434289825605</v>
      </c>
      <c r="M115" s="20">
        <v>-0.2664515904045226</v>
      </c>
      <c r="N115" s="16">
        <f t="array" ref="N115:P115">TRANSPOSE(MMULT($I$4:$K$6,TRANSPOSE(B115:D115+$P$1*K115:M115)))</f>
        <v>-1.9626303406028782</v>
      </c>
      <c r="O115" s="17">
        <v>0.35151516862347865</v>
      </c>
      <c r="P115" s="20">
        <v>-0.27309652347142266</v>
      </c>
    </row>
    <row r="116" spans="1:16" x14ac:dyDescent="0.25">
      <c r="A116" s="24">
        <f t="shared" si="1"/>
        <v>10.299999999999979</v>
      </c>
      <c r="B116" s="16">
        <f t="array" ref="B116:D116">B115:D115+$P$1/6*(E115:G115+2*H115:J115+2*K115:M115+N115:P115)</f>
        <v>1.2993161463352969</v>
      </c>
      <c r="C116" s="11">
        <v>1.6325650510129031</v>
      </c>
      <c r="D116" s="11">
        <v>0.50031062054002728</v>
      </c>
      <c r="E116" s="16">
        <f t="array" ref="E116:G116">TRANSPOSE(MMULT($I$4:$K$6,TRANSPOSE(B116:D116)))</f>
        <v>-1.9626209138624438</v>
      </c>
      <c r="F116" s="17">
        <v>0.35149316911389927</v>
      </c>
      <c r="G116" s="20">
        <v>-0.27309869229322592</v>
      </c>
      <c r="H116" s="16">
        <f t="array" ref="H116:J116">TRANSPOSE(MMULT($I$4:$K$6,TRANSPOSE(B116:D116+$P$1/2*E116:G116)))</f>
        <v>-1.9649204939029621</v>
      </c>
      <c r="I116" s="17">
        <v>0.31685904336521931</v>
      </c>
      <c r="J116" s="20">
        <v>-0.27942145998630302</v>
      </c>
      <c r="K116" s="16">
        <f t="array" ref="K116:M116">TRANSPOSE(MMULT($I$4:$K$6,TRANSPOSE(B116:D116+$P$1/2*H116:J116)))</f>
        <v>-1.9630508343614639</v>
      </c>
      <c r="L116" s="17">
        <v>0.31691910417387892</v>
      </c>
      <c r="M116" s="20">
        <v>-0.27909368327630568</v>
      </c>
      <c r="N116" s="16">
        <f t="array" ref="N116:P116">TRANSPOSE(MMULT($I$4:$K$6,TRANSPOSE(B116:D116+$P$1*K116:M116)))</f>
        <v>-1.9635185686051646</v>
      </c>
      <c r="O116" s="17">
        <v>0.28240875304137447</v>
      </c>
      <c r="P116" s="20">
        <v>-0.28508417886117243</v>
      </c>
    </row>
    <row r="117" spans="1:16" x14ac:dyDescent="0.25">
      <c r="A117" s="24">
        <f t="shared" si="1"/>
        <v>10.399999999999979</v>
      </c>
      <c r="B117" s="16">
        <f t="array" ref="B117:D117">B116:D116+$P$1/6*(E116:G116+2*H116:J116+2*K116:M116+N116:P116)</f>
        <v>1.102948110685356</v>
      </c>
      <c r="C117" s="11">
        <v>1.6642560213001276</v>
      </c>
      <c r="D117" s="11">
        <v>0.47239040124536702</v>
      </c>
      <c r="E117" s="16">
        <f t="array" ref="E117:G117">TRANSPOSE(MMULT($I$4:$K$6,TRANSPOSE(B117:D117)))</f>
        <v>-1.9635069928668101</v>
      </c>
      <c r="F117" s="17">
        <v>0.28238723830273893</v>
      </c>
      <c r="G117" s="20">
        <v>-0.28508589953429836</v>
      </c>
      <c r="H117" s="16">
        <f t="array" ref="H117:J117">TRANSPOSE(MMULT($I$4:$K$6,TRANSPOSE(B117:D117+$P$1/2*E117:G117)))</f>
        <v>-1.9621071018269272</v>
      </c>
      <c r="I117" s="17">
        <v>0.24793637753432429</v>
      </c>
      <c r="J117" s="20">
        <v>-0.29074906172455428</v>
      </c>
      <c r="K117" s="16">
        <f t="array" ref="K117:M117">TRANSPOSE(MMULT($I$4:$K$6,TRANSPOSE(B117:D117+$P$1/2*H117:J117)))</f>
        <v>-1.9602782949999005</v>
      </c>
      <c r="L117" s="17">
        <v>0.24805928851432302</v>
      </c>
      <c r="M117" s="20">
        <v>-0.29041745384387424</v>
      </c>
      <c r="N117" s="16">
        <f t="array" ref="N117:P117">TRANSPOSE(MMULT($I$4:$K$6,TRANSPOSE(B117:D117+$P$1*K117:M117)))</f>
        <v>-1.9570934406144884</v>
      </c>
      <c r="O117" s="17">
        <v>0.21379329250489121</v>
      </c>
      <c r="P117" s="20">
        <v>-0.2957458386269376</v>
      </c>
    </row>
    <row r="118" spans="1:16" x14ac:dyDescent="0.25">
      <c r="A118" s="24">
        <f t="shared" si="1"/>
        <v>10.499999999999979</v>
      </c>
      <c r="B118" s="16">
        <f t="array" ref="B118:D118">B117:D117+$P$1/6*(E117:G117+2*H117:J117+2*K117:M117+N117:P117)</f>
        <v>0.90685859023310678</v>
      </c>
      <c r="C118" s="11">
        <v>1.6890588856818765</v>
      </c>
      <c r="D118" s="11">
        <v>0.4433376550903988</v>
      </c>
      <c r="E118" s="16">
        <f t="array" ref="E118:G118">TRANSPOSE(MMULT($I$4:$K$6,TRANSPOSE(B118:D118)))</f>
        <v>-1.9570798067413466</v>
      </c>
      <c r="F118" s="17">
        <v>0.21377233167874621</v>
      </c>
      <c r="G118" s="20">
        <v>-0.295747114757415</v>
      </c>
      <c r="H118" s="16">
        <f t="array" ref="H118:J118">TRANSPOSE(MMULT($I$4:$K$6,TRANSPOSE(B118:D118+$P$1/2*E118:G118)))</f>
        <v>-1.9520680819964289</v>
      </c>
      <c r="I118" s="17">
        <v>0.1796286115984187</v>
      </c>
      <c r="J118" s="20">
        <v>-0.30074432941863638</v>
      </c>
      <c r="K118" s="16">
        <f t="array" ref="K118:M118">TRANSPOSE(MMULT($I$4:$K$6,TRANSPOSE(B118:D118+$P$1/2*H118:J118)))</f>
        <v>-1.9502860103229127</v>
      </c>
      <c r="L118" s="17">
        <v>0.17981251629261485</v>
      </c>
      <c r="M118" s="20">
        <v>-0.30041020771804589</v>
      </c>
      <c r="N118" s="16">
        <f t="array" ref="N118:P118">TRANSPOSE(MMULT($I$4:$K$6,TRANSPOSE(B118:D118+$P$1*K118:M118)))</f>
        <v>-1.9435417899586573</v>
      </c>
      <c r="O118" s="17">
        <v>0.14591270368033571</v>
      </c>
      <c r="P118" s="20">
        <v>-0.30507143922465385</v>
      </c>
    </row>
    <row r="119" spans="1:16" x14ac:dyDescent="0.25">
      <c r="A119" s="24">
        <f t="shared" si="1"/>
        <v>10.599999999999978</v>
      </c>
      <c r="B119" s="16">
        <f t="array" ref="B119:D119">B118:D118+$P$1/6*(E118:G118+2*H118:J118+2*K118:M118+N118:P118)</f>
        <v>0.71176976054412866</v>
      </c>
      <c r="C119" s="11">
        <v>1.7070350072008955</v>
      </c>
      <c r="D119" s="11">
        <v>0.41328552795280826</v>
      </c>
      <c r="E119" s="16">
        <f t="array" ref="E119:G119">TRANSPOSE(MMULT($I$4:$K$6,TRANSPOSE(B119:D119)))</f>
        <v>-1.9435261944364317</v>
      </c>
      <c r="F119" s="17">
        <v>0.14589236230689073</v>
      </c>
      <c r="G119" s="20">
        <v>-0.30507227598800046</v>
      </c>
      <c r="H119" s="16">
        <f t="array" ref="H119:J119">TRANSPOSE(MMULT($I$4:$K$6,TRANSPOSE(B119:D119+$P$1/2*E119:G119)))</f>
        <v>-1.9350017360598342</v>
      </c>
      <c r="I119" s="17">
        <v>0.11217575853278727</v>
      </c>
      <c r="J119" s="20">
        <v>-0.3093998164952716</v>
      </c>
      <c r="K119" s="16">
        <f t="array" ref="K119:M119">TRANSPOSE(MMULT($I$4:$K$6,TRANSPOSE(B119:D119+$P$1/2*H119:J119)))</f>
        <v>-1.9332719773528664</v>
      </c>
      <c r="L119" s="17">
        <v>0.11241861522629881</v>
      </c>
      <c r="M119" s="20">
        <v>-0.30906447828236794</v>
      </c>
      <c r="N119" s="16">
        <f t="array" ref="N119:P119">TRANSPOSE(MMULT($I$4:$K$6,TRANSPOSE(B119:D119+$P$1*K119:M119)))</f>
        <v>-1.9230727570542383</v>
      </c>
      <c r="O119" s="17">
        <v>7.9002740448159137E-2</v>
      </c>
      <c r="P119" s="20">
        <v>-0.31305610493727354</v>
      </c>
    </row>
    <row r="120" spans="1:16" x14ac:dyDescent="0.25">
      <c r="A120" s="24">
        <f t="shared" si="1"/>
        <v>10.699999999999978</v>
      </c>
      <c r="B120" s="16">
        <f t="array" ref="B120:D120">B119:D119+$P$1/6*(E119:G119+2*H119:J119+2*K119:M119+N119:P119)</f>
        <v>0.51838398757219406</v>
      </c>
      <c r="C120" s="11">
        <v>1.7182697380387826</v>
      </c>
      <c r="D120" s="11">
        <v>0.3823679117781324</v>
      </c>
      <c r="E120" s="16">
        <f t="array" ref="E120:G120">TRANSPOSE(MMULT($I$4:$K$6,TRANSPOSE(B120:D120)))</f>
        <v>-1.9230553015072551</v>
      </c>
      <c r="F120" s="17">
        <v>7.8983080303468345E-2</v>
      </c>
      <c r="G120" s="20">
        <v>-0.31305650902446924</v>
      </c>
      <c r="H120" s="16">
        <f t="array" ref="H120:J120">TRANSPOSE(MMULT($I$4:$K$6,TRANSPOSE(B120:D120+$P$1/2*E120:G120)))</f>
        <v>-1.9111280488344029</v>
      </c>
      <c r="I120" s="17">
        <v>4.5809309499725948E-2</v>
      </c>
      <c r="J120" s="20">
        <v>-0.31671321966862176</v>
      </c>
      <c r="K120" s="16">
        <f t="array" ref="K120:M120">TRANSPOSE(MMULT($I$4:$K$6,TRANSPOSE(B120:D120+$P$1/2*H120:J120)))</f>
        <v>-1.9094558623446967</v>
      </c>
      <c r="L120" s="17">
        <v>4.6108902939286378E-2</v>
      </c>
      <c r="M120" s="20">
        <v>-0.31637793783888191</v>
      </c>
      <c r="N120" s="16">
        <f t="array" ref="N120:P120">TRANSPOSE(MMULT($I$4:$K$6,TRANSPOSE(B120:D120+$P$1*K120:M120)))</f>
        <v>-1.8959165156641813</v>
      </c>
      <c r="O120" s="17">
        <v>1.3290299859416987E-2</v>
      </c>
      <c r="P120" s="20">
        <v>-0.31970005029335352</v>
      </c>
    </row>
    <row r="121" spans="1:16" x14ac:dyDescent="0.25">
      <c r="A121" s="24">
        <f t="shared" si="1"/>
        <v>10.799999999999978</v>
      </c>
      <c r="B121" s="16">
        <f t="array" ref="B121:D121">B120:D120+$P$1/6*(E120:G120+2*H120:J120+2*K120:M120+N120:P120)</f>
        <v>0.32738166024670012</v>
      </c>
      <c r="C121" s="11">
        <v>1.7228715681227977</v>
      </c>
      <c r="D121" s="11">
        <v>0.35071893053925191</v>
      </c>
      <c r="E121" s="16">
        <f t="array" ref="E121:G121">TRANSPOSE(MMULT($I$4:$K$6,TRANSPOSE(B121:D121)))</f>
        <v>-1.8958973063631683</v>
      </c>
      <c r="F121" s="17">
        <v>1.3271378810124745E-2</v>
      </c>
      <c r="G121" s="20">
        <v>-0.31970002985236784</v>
      </c>
      <c r="H121" s="16">
        <f t="array" ref="H121:J121">TRANSPOSE(MMULT($I$4:$K$6,TRANSPOSE(B121:D121+$P$1/2*E121:G121)))</f>
        <v>-1.8806873881748116</v>
      </c>
      <c r="I121" s="17">
        <v>-1.9248436347269027E-2</v>
      </c>
      <c r="J121" s="20">
        <v>-0.32268727280219123</v>
      </c>
      <c r="K121" s="16">
        <f t="array" ref="K121:M121">TRANSPOSE(MMULT($I$4:$K$6,TRANSPOSE(B121:D121+$P$1/2*H121:J121)))</f>
        <v>-1.8790777021488871</v>
      </c>
      <c r="L121" s="17">
        <v>-1.8894482851375294E-2</v>
      </c>
      <c r="M121" s="20">
        <v>-0.32235329165765914</v>
      </c>
      <c r="N121" s="16">
        <f t="array" ref="N121:P121">TRANSPOSE(MMULT($I$4:$K$6,TRANSPOSE(B121:D121+$P$1*K121:M121)))</f>
        <v>-1.8623229493902358</v>
      </c>
      <c r="O121" s="17">
        <v>-5.1007223517996803E-2</v>
      </c>
      <c r="P121" s="20">
        <v>-0.32500846576387687</v>
      </c>
    </row>
    <row r="122" spans="1:16" x14ac:dyDescent="0.25">
      <c r="A122" s="24">
        <f t="shared" si="1"/>
        <v>10.899999999999977</v>
      </c>
      <c r="B122" s="16">
        <f t="array" ref="B122:D122">B121:D121+$P$1/6*(E121:G121+2*H121:J121+2*K121:M121+N121:P121)</f>
        <v>0.13941915297335342</v>
      </c>
      <c r="C122" s="11">
        <v>1.7209712067377116</v>
      </c>
      <c r="D122" s="11">
        <v>0.31847243679698617</v>
      </c>
      <c r="E122" s="16">
        <f t="array" ref="E122:G122">TRANSPOSE(MMULT($I$4:$K$6,TRANSPOSE(B122:D122)))</f>
        <v>-1.8623020967538413</v>
      </c>
      <c r="F122" s="17">
        <v>-5.102535164219224E-2</v>
      </c>
      <c r="G122" s="20">
        <v>-0.32500803033706971</v>
      </c>
      <c r="H122" s="16">
        <f t="array" ref="H122:J122">TRANSPOSE(MMULT($I$4:$K$6,TRANSPOSE(B122:D122+$P$1/2*E122:G122)))</f>
        <v>-1.8439391580812212</v>
      </c>
      <c r="I122" s="17">
        <v>-8.2784992957568471E-2</v>
      </c>
      <c r="J122" s="20">
        <v>-0.32732962443611247</v>
      </c>
      <c r="K122" s="16">
        <f t="array" ref="K122:M122">TRANSPOSE(MMULT($I$4:$K$6,TRANSPOSE(B122:D122+$P$1/2*H122:J122)))</f>
        <v>-1.8423965588268345</v>
      </c>
      <c r="L122" s="17">
        <v>-8.2379205100364339E-2</v>
      </c>
      <c r="M122" s="20">
        <v>-0.32699815570311874</v>
      </c>
      <c r="N122" s="16">
        <f t="array" ref="N122:P122">TRANSPOSE(MMULT($I$4:$K$6,TRANSPOSE(B122:D122+$P$1*K122:M122)))</f>
        <v>-1.8225602844274118</v>
      </c>
      <c r="O122" s="17">
        <v>-0.11368253354644953</v>
      </c>
      <c r="P122" s="20">
        <v>-0.32899138753309382</v>
      </c>
    </row>
    <row r="123" spans="1:16" x14ac:dyDescent="0.25">
      <c r="A123" s="24">
        <f t="shared" si="1"/>
        <v>10.999999999999977</v>
      </c>
      <c r="B123" s="16">
        <f t="array" ref="B123:D123">B122:D122+$P$1/6*(E122:G122+2*H122:J122+2*K122:M122+N122:P122)</f>
        <v>-4.4873077276602669E-2</v>
      </c>
      <c r="C123" s="11">
        <v>1.7127206020493031</v>
      </c>
      <c r="D123" s="11">
        <v>0.28576152049450909</v>
      </c>
      <c r="E123" s="16">
        <f t="array" ref="E123:G123">TRANSPOSE(MMULT($I$4:$K$6,TRANSPOSE(B123:D123)))</f>
        <v>-1.8225379025194464</v>
      </c>
      <c r="F123" s="17">
        <v>-0.1136998190625329</v>
      </c>
      <c r="G123" s="20">
        <v>-0.32899054799081567</v>
      </c>
      <c r="H123" s="16">
        <f t="array" ref="H123:J123">TRANSPOSE(MMULT($I$4:$K$6,TRANSPOSE(B123:D123+$P$1/2*E123:G123)))</f>
        <v>-1.8011604110939063</v>
      </c>
      <c r="I123" s="17">
        <v>-0.14459825816574179</v>
      </c>
      <c r="J123" s="20">
        <v>-0.3306526997974068</v>
      </c>
      <c r="K123" s="16">
        <f t="array" ref="K123:M123">TRANSPOSE(MMULT($I$4:$K$6,TRANSPOSE(B123:D123+$P$1/2*H123:J123)))</f>
        <v>-1.7996891335597416</v>
      </c>
      <c r="L123" s="17">
        <v>-0.14414329794062275</v>
      </c>
      <c r="M123" s="20">
        <v>-0.33032491885371867</v>
      </c>
      <c r="N123" s="16">
        <f t="array" ref="N123:P123">TRANSPOSE(MMULT($I$4:$K$6,TRANSPOSE(B123:D123+$P$1*K123:M123)))</f>
        <v>-1.7769136846356381</v>
      </c>
      <c r="O123" s="17">
        <v>-0.1745389776557198</v>
      </c>
      <c r="P123" s="20">
        <v>-0.33166355218075738</v>
      </c>
    </row>
    <row r="124" spans="1:16" x14ac:dyDescent="0.25">
      <c r="A124" s="24">
        <f t="shared" si="1"/>
        <v>11.099999999999977</v>
      </c>
      <c r="B124" s="16">
        <f t="array" ref="B124:D124">B123:D123+$P$1/6*(E123:G123+2*H123:J123+2*K123:M123+N123:P123)</f>
        <v>-0.22489225521764233</v>
      </c>
      <c r="C124" s="11">
        <v>1.69829190356712</v>
      </c>
      <c r="D124" s="11">
        <v>0.25271803153661204</v>
      </c>
      <c r="E124" s="16">
        <f t="array" ref="E124:G124">TRANSPOSE(MMULT($I$4:$K$6,TRANSPOSE(B124:D124)))</f>
        <v>-1.7768898906600006</v>
      </c>
      <c r="F124" s="17">
        <v>-0.17455537511927688</v>
      </c>
      <c r="G124" s="20">
        <v>-0.33166232065148293</v>
      </c>
      <c r="H124" s="16">
        <f t="array" ref="H124:J124">TRANSPOSE(MMULT($I$4:$K$6,TRANSPOSE(B124:D124+$P$1/2*E124:G124)))</f>
        <v>-1.752644426037707</v>
      </c>
      <c r="I124" s="17">
        <v>-0.20449703316563866</v>
      </c>
      <c r="J124" s="20">
        <v>-0.33267354815038952</v>
      </c>
      <c r="K124" s="16">
        <f t="array" ref="K124:M124">TRANSPOSE(MMULT($I$4:$K$6,TRANSPOSE(B124:D124+$P$1/2*H124:J124)))</f>
        <v>-1.7512483459085224</v>
      </c>
      <c r="L124" s="17">
        <v>-0.20399568593490869</v>
      </c>
      <c r="M124" s="20">
        <v>-0.33235059047117488</v>
      </c>
      <c r="N124" s="16">
        <f t="array" ref="N124:P124">TRANSPOSE(MMULT($I$4:$K$6,TRANSPOSE(B124:D124+$P$1*K124:M124)))</f>
        <v>-1.7256838149885776</v>
      </c>
      <c r="O124" s="17">
        <v>-0.23339104027988811</v>
      </c>
      <c r="P124" s="20">
        <v>-0.33304423715066606</v>
      </c>
    </row>
    <row r="125" spans="1:16" x14ac:dyDescent="0.25">
      <c r="A125" s="24">
        <f t="shared" si="1"/>
        <v>11.199999999999976</v>
      </c>
      <c r="B125" s="16">
        <f t="array" ref="B125:D125">B124:D124+$P$1/6*(E124:G124+2*H124:J124+2*K124:M124+N124:P124)</f>
        <v>-0.40006490937665962</v>
      </c>
      <c r="C125" s="11">
        <v>1.6778763726737824</v>
      </c>
      <c r="D125" s="11">
        <v>0.21947211761919075</v>
      </c>
      <c r="E125" s="16">
        <f t="array" ref="E125:G125">TRANSPOSE(MMULT($I$4:$K$6,TRANSPOSE(B125:D125)))</f>
        <v>-1.7256587287837926</v>
      </c>
      <c r="F125" s="17">
        <v>-0.23340650855926143</v>
      </c>
      <c r="G125" s="20">
        <v>-0.33304262694799835</v>
      </c>
      <c r="H125" s="16">
        <f t="array" ref="H125:J125">TRANSPOSE(MMULT($I$4:$K$6,TRANSPOSE(B125:D125+$P$1/2*E125:G125)))</f>
        <v>-1.6986992571729509</v>
      </c>
      <c r="I125" s="17">
        <v>-0.26230148989219371</v>
      </c>
      <c r="J125" s="20">
        <v>-0.33341367637987707</v>
      </c>
      <c r="K125" s="16">
        <f t="array" ref="K125:M125">TRANSPOSE(MMULT($I$4:$K$6,TRANSPOSE(B125:D125+$P$1/2*H125:J125)))</f>
        <v>-1.6973818844757209</v>
      </c>
      <c r="L125" s="17">
        <v>-0.26175665128798131</v>
      </c>
      <c r="M125" s="20">
        <v>-0.33309663421084179</v>
      </c>
      <c r="N125" s="16">
        <f t="array" ref="N125:P125">TRANSPOSE(MMULT($I$4:$K$6,TRANSPOSE(B125:D125+$P$1*K125:M125)))</f>
        <v>-1.6691853794418039</v>
      </c>
      <c r="O125" s="17">
        <v>-0.29006478391525337</v>
      </c>
      <c r="P125" s="20">
        <v>-0.33315708791385257</v>
      </c>
    </row>
    <row r="126" spans="1:16" x14ac:dyDescent="0.25">
      <c r="A126" s="24">
        <f t="shared" si="1"/>
        <v>11.299999999999976</v>
      </c>
      <c r="B126" s="16">
        <f t="array" ref="B126:D126">B125:D125+$P$1/6*(E125:G125+2*H125:J125+2*K125:M125+N125:P125)</f>
        <v>-0.5698483492353752</v>
      </c>
      <c r="C126" s="11">
        <v>1.6516832464265347</v>
      </c>
      <c r="D126" s="11">
        <v>0.18615177868513594</v>
      </c>
      <c r="E126" s="16">
        <f t="array" ref="E126:G126">TRANSPOSE(MMULT($I$4:$K$6,TRANSPOSE(B126:D126)))</f>
        <v>-1.6691591229770515</v>
      </c>
      <c r="F126" s="17">
        <v>-0.29007928624804824</v>
      </c>
      <c r="G126" s="20">
        <v>-0.33315511346074167</v>
      </c>
      <c r="H126" s="16">
        <f t="array" ref="H126:J126">TRANSPOSE(MMULT($I$4:$K$6,TRANSPOSE(B126:D126+$P$1/2*E126:G126)))</f>
        <v>-1.6396462607805493</v>
      </c>
      <c r="I126" s="17">
        <v>-0.31784358573760801</v>
      </c>
      <c r="J126" s="20">
        <v>-0.33289886973122707</v>
      </c>
      <c r="K126" s="16">
        <f t="array" ref="K126:M126">TRANSPOSE(MMULT($I$4:$K$6,TRANSPOSE(B126:D126+$P$1/2*H126:J126)))</f>
        <v>-1.6384107349916439</v>
      </c>
      <c r="L126" s="17">
        <v>-0.3172582484455358</v>
      </c>
      <c r="M126" s="20">
        <v>-0.33258878899624822</v>
      </c>
      <c r="N126" s="16">
        <f t="array" ref="N126:P126">TRANSPOSE(MMULT($I$4:$K$6,TRANSPOSE(B126:D126+$P$1*K126:M126)))</f>
        <v>-1.6077456392227316</v>
      </c>
      <c r="O126" s="17">
        <v>-0.34439823732997388</v>
      </c>
      <c r="P126" s="20">
        <v>-0.33202993276405868</v>
      </c>
    </row>
    <row r="127" spans="1:16" x14ac:dyDescent="0.25">
      <c r="A127" s="24">
        <f t="shared" si="1"/>
        <v>11.399999999999975</v>
      </c>
      <c r="B127" s="16">
        <f t="array" ref="B127:D127">B126:D126+$P$1/6*(E126:G126+2*H126:J126+2*K126:M126+N126:P126)</f>
        <v>-0.73373199513111143</v>
      </c>
      <c r="C127" s="11">
        <v>1.6199385598941296</v>
      </c>
      <c r="D127" s="11">
        <v>0.15288243929047343</v>
      </c>
      <c r="E127" s="16">
        <f t="array" ref="E127:G127">TRANSPOSE(MMULT($I$4:$K$6,TRANSPOSE(B127:D127)))</f>
        <v>-1.6077183360972078</v>
      </c>
      <c r="F127" s="17">
        <v>-0.34441174136209834</v>
      </c>
      <c r="G127" s="20">
        <v>-0.33202760951457833</v>
      </c>
      <c r="H127" s="16">
        <f t="array" ref="H127:J127">TRANSPOSE(MMULT($I$4:$K$6,TRANSPOSE(B127:D127+$P$1/2*E127:G127)))</f>
        <v>-1.5758186051583254</v>
      </c>
      <c r="I127" s="17">
        <v>-0.37096742523672888</v>
      </c>
      <c r="J127" s="20">
        <v>-0.33115900065845938</v>
      </c>
      <c r="K127" s="16">
        <f t="array" ref="K127:M127">TRANSPOSE(MMULT($I$4:$K$6,TRANSPOSE(B127:D127+$P$1/2*H127:J127)))</f>
        <v>-1.5746676917964106</v>
      </c>
      <c r="L127" s="17">
        <v>-0.3703446657139835</v>
      </c>
      <c r="M127" s="20">
        <v>-0.33085687810800191</v>
      </c>
      <c r="N127" s="16">
        <f t="array" ref="N127:P127">TRANSPOSE(MMULT($I$4:$K$6,TRANSPOSE(B127:D127+$P$1*K127:M127)))</f>
        <v>-1.5417029174835253</v>
      </c>
      <c r="O127" s="17">
        <v>-0.39624173066267832</v>
      </c>
      <c r="P127" s="20">
        <v>-0.32969458620827835</v>
      </c>
    </row>
    <row r="128" spans="1:16" x14ac:dyDescent="0.25">
      <c r="A128" s="24">
        <f t="shared" si="1"/>
        <v>11.499999999999975</v>
      </c>
      <c r="B128" s="16">
        <f t="array" ref="B128:D128">B127:D127+$P$1/6*(E127:G127+2*H127:J127+2*K127:M127+N127:P127)</f>
        <v>-0.89123855925594819</v>
      </c>
      <c r="C128" s="11">
        <v>1.582883932328693</v>
      </c>
      <c r="D128" s="11">
        <v>0.11978654006954378</v>
      </c>
      <c r="E128" s="16">
        <f t="array" ref="E128:G128">TRANSPOSE(MMULT($I$4:$K$6,TRANSPOSE(B128:D128)))</f>
        <v>-1.5416746924309155</v>
      </c>
      <c r="F128" s="17">
        <v>-0.39625420847015752</v>
      </c>
      <c r="G128" s="20">
        <v>-0.32969193056730728</v>
      </c>
      <c r="H128" s="16">
        <f t="array" ref="H128:J128">TRANSPOSE(MMULT($I$4:$K$6,TRANSPOSE(B128:D128+$P$1/2*E128:G128)))</f>
        <v>-1.5075597699339069</v>
      </c>
      <c r="I128" s="17">
        <v>-0.42152956856134965</v>
      </c>
      <c r="J128" s="20">
        <v>-0.3282278267547809</v>
      </c>
      <c r="K128" s="16">
        <f t="array" ref="K128:M128">TRANSPOSE(MMULT($I$4:$K$6,TRANSPOSE(B128:D128+$P$1/2*H128:J128)))</f>
        <v>-1.506495858618083</v>
      </c>
      <c r="L128" s="17">
        <v>-0.42087253373989864</v>
      </c>
      <c r="M128" s="20">
        <v>-0.32793460736034596</v>
      </c>
      <c r="N128" s="16">
        <f t="array" ref="N128:P128">TRANSPOSE(MMULT($I$4:$K$6,TRANSPOSE(B128:D128+$P$1*K128:M128)))</f>
        <v>-1.4714050961763312</v>
      </c>
      <c r="O128" s="17">
        <v>-0.4454581773502162</v>
      </c>
      <c r="P128" s="20">
        <v>-0.3261866419361546</v>
      </c>
    </row>
    <row r="129" spans="1:16" x14ac:dyDescent="0.25">
      <c r="A129" s="24">
        <f t="shared" si="1"/>
        <v>11.599999999999975</v>
      </c>
      <c r="B129" s="16">
        <f t="array" ref="B129:D129">B128:D128+$P$1/6*(E128:G128+2*H128:J128+2*K128:M128+N128:P128)</f>
        <v>-1.0419250766844685</v>
      </c>
      <c r="C129" s="11">
        <v>1.5407753224883118</v>
      </c>
      <c r="D129" s="11">
        <v>8.6983149390648523E-2</v>
      </c>
      <c r="E129" s="16">
        <f t="array" ref="E129:G129">TRANSPOSE(MMULT($I$4:$K$6,TRANSPOSE(B129:D129)))</f>
        <v>-1.4713760745761244</v>
      </c>
      <c r="F129" s="17">
        <v>-0.44546960544408115</v>
      </c>
      <c r="G129" s="20">
        <v>-0.32618367117730851</v>
      </c>
      <c r="H129" s="16">
        <f t="array" ref="H129:J129">TRANSPOSE(MMULT($I$4:$K$6,TRANSPOSE(B129:D129+$P$1/2*E129:G129)))</f>
        <v>-1.4352220405074936</v>
      </c>
      <c r="I129" s="17">
        <v>-0.4693992868641168</v>
      </c>
      <c r="J129" s="20">
        <v>-0.32414277875876019</v>
      </c>
      <c r="K129" s="16">
        <f t="array" ref="K129:M129">TRANSPOSE(MMULT($I$4:$K$6,TRANSPOSE(B129:D129+$P$1/2*H129:J129)))</f>
        <v>-1.4342471444552058</v>
      </c>
      <c r="L129" s="17">
        <v>-0.46871118088875091</v>
      </c>
      <c r="M129" s="20">
        <v>-0.32385935335758131</v>
      </c>
      <c r="N129" s="16">
        <f t="array" ref="N129:P129">TRANSPOSE(MMULT($I$4:$K$6,TRANSPOSE(B129:D129+$P$1*K129:M129)))</f>
        <v>-1.3972081109083943</v>
      </c>
      <c r="O129" s="17">
        <v>-0.49192330302338394</v>
      </c>
      <c r="P129" s="20">
        <v>-0.32154525636887693</v>
      </c>
    </row>
    <row r="130" spans="1:16" x14ac:dyDescent="0.25">
      <c r="A130" s="24">
        <f t="shared" si="1"/>
        <v>11.699999999999974</v>
      </c>
      <c r="B130" s="16">
        <f t="array" ref="B130:D130">B129:D129+$P$1/6*(E129:G129+2*H129:J129+2*K129:M129+N129:P129)</f>
        <v>-1.1853837859413006</v>
      </c>
      <c r="C130" s="11">
        <v>1.4938817584220918</v>
      </c>
      <c r="D130" s="11">
        <v>5.4587596194334051E-2</v>
      </c>
      <c r="E130" s="16">
        <f t="array" ref="E130:G130">TRANSPOSE(MMULT($I$4:$K$6,TRANSPOSE(B130:D130)))</f>
        <v>-1.3971784183056954</v>
      </c>
      <c r="F130" s="17">
        <v>-0.49193366233799252</v>
      </c>
      <c r="G130" s="20">
        <v>-0.32154198855103605</v>
      </c>
      <c r="H130" s="16">
        <f t="array" ref="H130:J130">TRANSPOSE(MMULT($I$4:$K$6,TRANSPOSE(B130:D130+$P$1/2*E130:G130)))</f>
        <v>-1.3591650033262466</v>
      </c>
      <c r="I130" s="17">
        <v>-0.51445876470908214</v>
      </c>
      <c r="J130" s="20">
        <v>-0.31894473964420317</v>
      </c>
      <c r="K130" s="16">
        <f t="array" ref="K130:M130">TRANSPOSE(MMULT($I$4:$K$6,TRANSPOSE(B130:D130+$P$1/2*H130:J130)))</f>
        <v>-1.3582807602607261</v>
      </c>
      <c r="L130" s="17">
        <v>-0.51374283575873014</v>
      </c>
      <c r="M130" s="20">
        <v>-0.31867194283737921</v>
      </c>
      <c r="N130" s="16">
        <f t="array" ref="N130:P130">TRANSPOSE(MMULT($I$4:$K$6,TRANSPOSE(B130:D130+$P$1*K130:M130)))</f>
        <v>-1.3194744494137198</v>
      </c>
      <c r="O130" s="17">
        <v>-0.53552582170319729</v>
      </c>
      <c r="P130" s="20">
        <v>-0.31581292380099513</v>
      </c>
    </row>
    <row r="131" spans="1:16" x14ac:dyDescent="0.25">
      <c r="A131" s="24">
        <f t="shared" si="1"/>
        <v>11.799999999999974</v>
      </c>
      <c r="B131" s="16">
        <f t="array" ref="B131:D131">B130:D130+$P$1/6*(E130:G130+2*H130:J130+2*K130:M130+N130:P130)</f>
        <v>-1.3212428591895233</v>
      </c>
      <c r="C131" s="11">
        <v>1.4424840470058116</v>
      </c>
      <c r="D131" s="11">
        <v>2.2711124905747448E-2</v>
      </c>
      <c r="E131" s="16">
        <f t="array" ref="E131:G131">TRANSPOSE(MMULT($I$4:$K$6,TRANSPOSE(B131:D131)))</f>
        <v>-1.3194442110491582</v>
      </c>
      <c r="F131" s="17">
        <v>-0.53553509756839834</v>
      </c>
      <c r="G131" s="20">
        <v>-0.31580937768376838</v>
      </c>
      <c r="H131" s="16">
        <f t="array" ref="H131:J131">TRANSPOSE(MMULT($I$4:$K$6,TRANSPOSE(B131:D131+$P$1/2*E131:G131)))</f>
        <v>-1.2797540475618172</v>
      </c>
      <c r="I131" s="17">
        <v>-0.55660325001706457</v>
      </c>
      <c r="J131" s="20">
        <v>-0.31267781581250309</v>
      </c>
      <c r="K131" s="16">
        <f t="array" ref="K131:M131">TRANSPOSE(MMULT($I$4:$K$6,TRANSPOSE(B131:D131+$P$1/2*H131:J131)))</f>
        <v>-1.2789617219942457</v>
      </c>
      <c r="L131" s="17">
        <v>-0.55586277725644162</v>
      </c>
      <c r="M131" s="20">
        <v>-0.31241642411874426</v>
      </c>
      <c r="N131" s="16">
        <f t="array" ref="N131:P131">TRANSPOSE(MMULT($I$4:$K$6,TRANSPOSE(B131:D131+$P$1*K131:M131)))</f>
        <v>-1.2385716591388218</v>
      </c>
      <c r="O131" s="17">
        <v>-0.57616755981848777</v>
      </c>
      <c r="P131" s="20">
        <v>-0.30903524415726596</v>
      </c>
    </row>
    <row r="132" spans="1:16" x14ac:dyDescent="0.25">
      <c r="A132" s="24">
        <f t="shared" si="1"/>
        <v>11.899999999999974</v>
      </c>
      <c r="B132" s="16">
        <f t="array" ref="B132:D132">B131:D131+$P$1/6*(E131:G131+2*H131:J131+2*K131:M131+N131:P131)</f>
        <v>-1.4491669826778584</v>
      </c>
      <c r="C132" s="11">
        <v>1.38687346847358</v>
      </c>
      <c r="D132" s="11">
        <v>-8.539426789311369E-3</v>
      </c>
      <c r="E132" s="16">
        <f t="array" ref="E132:G132">TRANSPOSE(MMULT($I$4:$K$6,TRANSPOSE(B132:D132)))</f>
        <v>-1.2385409994900696</v>
      </c>
      <c r="F132" s="17">
        <v>-0.57617574191608834</v>
      </c>
      <c r="G132" s="20">
        <v>-0.30903143911573189</v>
      </c>
      <c r="H132" s="16">
        <f t="array" ref="H132:J132">TRANSPOSE(MMULT($I$4:$K$6,TRANSPOSE(B132:D132+$P$1/2*E132:G132)))</f>
        <v>-1.1973588786145</v>
      </c>
      <c r="I132" s="17">
        <v>-0.59574115213926326</v>
      </c>
      <c r="J132" s="20">
        <v>-0.30538910141292991</v>
      </c>
      <c r="K132" s="16">
        <f t="array" ref="K132:M132">TRANSPOSE(MMULT($I$4:$K$6,TRANSPOSE(B132:D132+$P$1/2*H132:J132)))</f>
        <v>-1.1966593654617752</v>
      </c>
      <c r="L132" s="17">
        <v>-0.59497943284638821</v>
      </c>
      <c r="M132" s="20">
        <v>-0.30513983167909114</v>
      </c>
      <c r="N132" s="16">
        <f t="array" ref="N132:P132">TRANSPOSE(MMULT($I$4:$K$6,TRANSPOSE(B132:D132+$P$1*K132:M132)))</f>
        <v>-1.1548708692836493</v>
      </c>
      <c r="O132" s="17">
        <v>-0.61376352874768969</v>
      </c>
      <c r="P132" s="20">
        <v>-0.30126068439136555</v>
      </c>
    </row>
    <row r="133" spans="1:16" x14ac:dyDescent="0.25">
      <c r="A133" s="24">
        <f t="shared" si="1"/>
        <v>11.999999999999973</v>
      </c>
      <c r="B133" s="16">
        <f t="array" ref="B133:D133">B132:D132+$P$1/6*(E132:G132+2*H132:J132+2*K132:M132+N132:P132)</f>
        <v>-1.5688577886266295</v>
      </c>
      <c r="C133" s="11">
        <v>1.327350461129662</v>
      </c>
      <c r="D133" s="11">
        <v>-3.9061926617497029E-2</v>
      </c>
      <c r="E133" s="16">
        <f t="array" ref="E133:G133">TRANSPOSE(MMULT($I$4:$K$6,TRANSPOSE(B133:D133)))</f>
        <v>-1.1548399116200003</v>
      </c>
      <c r="F133" s="17">
        <v>-0.61377061105273878</v>
      </c>
      <c r="G133" s="20">
        <v>-0.30125664033042215</v>
      </c>
      <c r="H133" s="16">
        <f t="array" ref="H133:J133">TRANSPOSE(MMULT($I$4:$K$6,TRANSPOSE(B133:D133+$P$1/2*E133:G133)))</f>
        <v>-1.1123520487026548</v>
      </c>
      <c r="I133" s="17">
        <v>-0.63179408885146926</v>
      </c>
      <c r="J133" s="20">
        <v>-0.29712843681904832</v>
      </c>
      <c r="K133" s="16">
        <f t="array" ref="K133:M133">TRANSPOSE(MMULT($I$4:$K$6,TRANSPOSE(B133:D133+$P$1/2*H133:J133)))</f>
        <v>-1.1117458781975327</v>
      </c>
      <c r="L133" s="17">
        <v>-0.63101442576491962</v>
      </c>
      <c r="M133" s="20">
        <v>-0.29689194488764481</v>
      </c>
      <c r="N133" s="16">
        <f t="array" ref="N133:P133">TRANSPOSE(MMULT($I$4:$K$6,TRANSPOSE(B133:D133+$P$1*K133:M133)))</f>
        <v>-1.0687453324660272</v>
      </c>
      <c r="O133" s="17">
        <v>-0.64824194676313029</v>
      </c>
      <c r="P133" s="20">
        <v>-0.29254033455407846</v>
      </c>
    </row>
    <row r="134" spans="1:16" x14ac:dyDescent="0.25">
      <c r="A134" s="24">
        <f t="shared" si="1"/>
        <v>12.099999999999973</v>
      </c>
      <c r="B134" s="16">
        <f t="array" ref="B134:D134">B133:D133+$P$1/6*(E133:G133+2*H133:J133+2*K133:M133+N133:P133)</f>
        <v>-1.6800541402580695</v>
      </c>
      <c r="C134" s="11">
        <v>1.264223301345518</v>
      </c>
      <c r="D134" s="11">
        <v>-6.8759222255795144E-2</v>
      </c>
      <c r="E134" s="16">
        <f t="array" ref="E134:G134">TRANSPOSE(MMULT($I$4:$K$6,TRANSPOSE(B134:D134)))</f>
        <v>-1.0687141984173929</v>
      </c>
      <c r="F134" s="17">
        <v>-0.64824792747057169</v>
      </c>
      <c r="G134" s="20">
        <v>-0.29253607182272912</v>
      </c>
      <c r="H134" s="16">
        <f t="array" ref="H134:J134">TRANSPOSE(MMULT($I$4:$K$6,TRANSPOSE(B134:D134+$P$1/2*E134:G134)))</f>
        <v>-1.0251075096153228</v>
      </c>
      <c r="I134" s="17">
        <v>-0.66469688323319576</v>
      </c>
      <c r="J134" s="20">
        <v>-0.28794816228829601</v>
      </c>
      <c r="K134" s="16">
        <f t="array" ref="K134:M134">TRANSPOSE(MMULT($I$4:$K$6,TRANSPOSE(B134:D134+$P$1/2*H134:J134)))</f>
        <v>-1.0245948534618907</v>
      </c>
      <c r="L134" s="17">
        <v>-0.66390257216117965</v>
      </c>
      <c r="M134" s="20">
        <v>-0.28772504192123438</v>
      </c>
      <c r="N134" s="16">
        <f t="array" ref="N134:P134">TRANSPOSE(MMULT($I$4:$K$6,TRANSPOSE(B134:D134+$P$1*K134:M134)))</f>
        <v>-0.98056899098980677</v>
      </c>
      <c r="O134" s="17">
        <v>-0.67954421142440991</v>
      </c>
      <c r="P134" s="20">
        <v>-0.28292765955552118</v>
      </c>
    </row>
    <row r="135" spans="1:16" x14ac:dyDescent="0.25">
      <c r="A135" s="24">
        <f t="shared" si="1"/>
        <v>12.199999999999973</v>
      </c>
      <c r="B135" s="16">
        <f t="array" ref="B135:D135">B134:D134+$P$1/6*(E134:G134+2*H134:J134+2*K134:M134+N134:P134)</f>
        <v>-1.7825322721840966</v>
      </c>
      <c r="C135" s="11">
        <v>1.1978067838507891</v>
      </c>
      <c r="D135" s="11">
        <v>-9.7539391252416993E-2</v>
      </c>
      <c r="E135" s="16">
        <f t="array" ref="E135:G135">TRANSPOSE(MMULT($I$4:$K$6,TRANSPOSE(B135:D135)))</f>
        <v>-0.98053780013141267</v>
      </c>
      <c r="F135" s="17">
        <v>-0.67954909286170195</v>
      </c>
      <c r="G135" s="20">
        <v>-0.28292319886141809</v>
      </c>
      <c r="H135" s="16">
        <f t="array" ref="H135:J135">TRANSPOSE(MMULT($I$4:$K$6,TRANSPOSE(B135:D135+$P$1/2*E135:G135)))</f>
        <v>-0.93599919251044206</v>
      </c>
      <c r="I135" s="17">
        <v>-0.69439751156062934</v>
      </c>
      <c r="J135" s="20">
        <v>-0.27790286782679968</v>
      </c>
      <c r="K135" s="16">
        <f t="array" ref="K135:M135">TRANSPOSE(MMULT($I$4:$K$6,TRANSPOSE(B135:D135+$P$1/2*H135:J135)))</f>
        <v>-0.93557987123429298</v>
      </c>
      <c r="L135" s="17">
        <v>-0.69359182929204599</v>
      </c>
      <c r="M135" s="20">
        <v>-0.277693649883622</v>
      </c>
      <c r="N135" s="16">
        <f t="array" ref="N135:P135">TRANSPOSE(MMULT($I$4:$K$6,TRANSPOSE(B135:D135+$P$1*K135:M135)))</f>
        <v>-0.8907150724945202</v>
      </c>
      <c r="O135" s="17">
        <v>-0.70762482362811474</v>
      </c>
      <c r="P135" s="20">
        <v>-0.27247824763915768</v>
      </c>
    </row>
    <row r="136" spans="1:16" x14ac:dyDescent="0.25">
      <c r="A136" s="24">
        <f t="shared" si="1"/>
        <v>12.299999999999972</v>
      </c>
      <c r="B136" s="16">
        <f t="array" ref="B136:D136">B135:D135+$P$1/6*(E135:G135+2*H135:J135+2*K135:M135+N135:P135)</f>
        <v>-1.8761057888526866</v>
      </c>
      <c r="C136" s="11">
        <v>1.1284209072142031</v>
      </c>
      <c r="D136" s="11">
        <v>-0.12531596595110731</v>
      </c>
      <c r="E136" s="16">
        <f t="array" ref="E136:G136">TRANSPOSE(MMULT($I$4:$K$6,TRANSPOSE(B136:D136)))</f>
        <v>-0.89068394194849154</v>
      </c>
      <c r="F136" s="17">
        <v>-0.70762861215445394</v>
      </c>
      <c r="G136" s="20">
        <v>-0.27247360996371406</v>
      </c>
      <c r="H136" s="16">
        <f t="array" ref="H136:J136">TRANSPOSE(MMULT($I$4:$K$6,TRANSPOSE(B136:D136+$P$1/2*E136:G136)))</f>
        <v>-0.84539961943175201</v>
      </c>
      <c r="I136" s="17">
        <v>-0.72085700349902859</v>
      </c>
      <c r="J136" s="20">
        <v>-0.26704914027285886</v>
      </c>
      <c r="K136" s="16">
        <f t="array" ref="K136:M136">TRANSPOSE(MMULT($I$4:$K$6,TRANSPOSE(B136:D136+$P$1/2*H136:J136)))</f>
        <v>-0.84507311087092407</v>
      </c>
      <c r="L136" s="17">
        <v>-0.72004319605467393</v>
      </c>
      <c r="M136" s="20">
        <v>-0.26685429214088963</v>
      </c>
      <c r="N136" s="16">
        <f t="array" ref="N136:P136">TRANSPOSE(MMULT($I$4:$K$6,TRANSPOSE(B136:D136+$P$1*K136:M136)))</f>
        <v>-0.79955471954867929</v>
      </c>
      <c r="O136" s="17">
        <v>-0.73245126467370625</v>
      </c>
      <c r="P136" s="20">
        <v>-0.26124955657493426</v>
      </c>
    </row>
    <row r="137" spans="1:16" x14ac:dyDescent="0.25">
      <c r="A137" s="24">
        <f t="shared" si="1"/>
        <v>12.399999999999972</v>
      </c>
      <c r="B137" s="16">
        <f t="array" ref="B137:D137">B136:D136+$P$1/6*(E136:G136+2*H136:J136+2*K136:M136+N136:P136)</f>
        <v>-1.960625524221062</v>
      </c>
      <c r="C137" s="11">
        <v>1.0563895692819436</v>
      </c>
      <c r="D137" s="11">
        <v>-0.15200813314054307</v>
      </c>
      <c r="E137" s="16">
        <f t="array" ref="E137:G137">TRANSPOSE(MMULT($I$4:$K$6,TRANSPOSE(B137:D137)))</f>
        <v>-0.7995237636036201</v>
      </c>
      <c r="F137" s="17">
        <v>-0.73245397056652672</v>
      </c>
      <c r="G137" s="20">
        <v>-0.26124476308930822</v>
      </c>
      <c r="H137" s="16">
        <f t="array" ref="H137:J137">TRANSPOSE(MMULT($I$4:$K$6,TRANSPOSE(B137:D137+$P$1/2*E137:G137)))</f>
        <v>-0.75367855099548964</v>
      </c>
      <c r="I137" s="17">
        <v>-0.74404929602866765</v>
      </c>
      <c r="J137" s="20">
        <v>-0.25544530860031245</v>
      </c>
      <c r="K137" s="16">
        <f t="array" ref="K137:M137">TRANSPOSE(MMULT($I$4:$K$6,TRANSPOSE(B137:D137+$P$1/2*H137:J137)))</f>
        <v>-0.75344399987520316</v>
      </c>
      <c r="L137" s="17">
        <v>-0.74323056728863401</v>
      </c>
      <c r="M137" s="20">
        <v>-0.25526523387321887</v>
      </c>
      <c r="N137" s="16">
        <f t="array" ref="N137:P137">TRANSPOSE(MMULT($I$4:$K$6,TRANSPOSE(B137:D137+$P$1*K137:M137)))</f>
        <v>-0.70745565752107598</v>
      </c>
      <c r="O137" s="17">
        <v>-0.75400382784958775</v>
      </c>
      <c r="P137" s="20">
        <v>-0.24930065856491315</v>
      </c>
    </row>
    <row r="138" spans="1:16" x14ac:dyDescent="0.25">
      <c r="A138" s="24">
        <f t="shared" si="1"/>
        <v>12.499999999999972</v>
      </c>
      <c r="B138" s="16">
        <f t="array" ref="B138:D138">B137:D137+$P$1/6*(E137:G137+2*H137:J137+2*K137:M137+N137:P137)</f>
        <v>-2.0359792662688299</v>
      </c>
      <c r="C138" s="11">
        <v>0.98203927719776496</v>
      </c>
      <c r="D138" s="11">
        <v>-0.17754090825056446</v>
      </c>
      <c r="E138" s="16">
        <f t="array" ref="E138:G138">TRANSPOSE(MMULT($I$4:$K$6,TRANSPOSE(B138:D138)))</f>
        <v>-0.70742498727065617</v>
      </c>
      <c r="F138" s="17">
        <v>-0.75400546517904132</v>
      </c>
      <c r="G138" s="20">
        <v>-0.24929573054715687</v>
      </c>
      <c r="H138" s="16">
        <f t="array" ref="H138:J138">TRANSPOSE(MMULT($I$4:$K$6,TRANSPOSE(B138:D138+$P$1/2*E138:G138)))</f>
        <v>-0.66120167446440758</v>
      </c>
      <c r="I138" s="17">
        <v>-0.76396104267826681</v>
      </c>
      <c r="J138" s="20">
        <v>-0.24315118842732658</v>
      </c>
      <c r="K138" s="16">
        <f t="array" ref="K138:M138">TRANSPOSE(MMULT($I$4:$K$6,TRANSPOSE(B138:D138+$P$1/2*H138:J138)))</f>
        <v>-0.6610579029958743</v>
      </c>
      <c r="L138" s="17">
        <v>-0.76314054341937831</v>
      </c>
      <c r="M138" s="20">
        <v>-0.24298622682775628</v>
      </c>
      <c r="N138" s="16">
        <f t="array" ref="N138:P138">TRANSPOSE(MMULT($I$4:$K$6,TRANSPOSE(B138:D138+$P$1*K138:M138)))</f>
        <v>-0.61478090482564929</v>
      </c>
      <c r="O138" s="17">
        <v>-0.77227540617871626</v>
      </c>
      <c r="P138" s="20">
        <v>-0.23669198483745993</v>
      </c>
    </row>
    <row r="139" spans="1:16" x14ac:dyDescent="0.25">
      <c r="A139" s="24">
        <f t="shared" si="1"/>
        <v>12.599999999999971</v>
      </c>
      <c r="B139" s="16">
        <f t="array" ref="B139:D139">B138:D138+$P$1/6*(E138:G138+2*H138:J138+2*K138:M138+N138:P138)</f>
        <v>-2.1020913503857779</v>
      </c>
      <c r="C139" s="11">
        <v>0.90569787647188083</v>
      </c>
      <c r="D139" s="11">
        <v>-0.20184528401547749</v>
      </c>
      <c r="E139" s="16">
        <f t="array" ref="E139:G139">TRANSPOSE(MMULT($I$4:$K$6,TRANSPOSE(B139:D139)))</f>
        <v>-0.61475062782711209</v>
      </c>
      <c r="F139" s="17">
        <v>-0.77227599267086466</v>
      </c>
      <c r="G139" s="20">
        <v>-0.23668694359111572</v>
      </c>
      <c r="H139" s="16">
        <f t="array" ref="H139:J139">TRANSPOSE(MMULT($I$4:$K$6,TRANSPOSE(B139:D139+$P$1/2*E139:G139)))</f>
        <v>-0.56832933618261094</v>
      </c>
      <c r="I139" s="17">
        <v>-0.7805913797707329</v>
      </c>
      <c r="J139" s="20">
        <v>-0.23022782669716016</v>
      </c>
      <c r="K139" s="16">
        <f t="array" ref="K139:M139">TRANSPOSE(MMULT($I$4:$K$6,TRANSPOSE(B139:D139+$P$1/2*H139:J139)))</f>
        <v>-0.56827485562371916</v>
      </c>
      <c r="L139" s="17">
        <v>-0.77977219714559343</v>
      </c>
      <c r="M139" s="20">
        <v>-0.2300782542383131</v>
      </c>
      <c r="N139" s="16">
        <f t="array" ref="N139:P139">TRANSPOSE(MMULT($I$4:$K$6,TRANSPOSE(B139:D139+$P$1*K139:M139)))</f>
        <v>-0.52188752938678296</v>
      </c>
      <c r="O139" s="17">
        <v>-0.7872712380893907</v>
      </c>
      <c r="P139" s="20">
        <v>-0.2234850708854676</v>
      </c>
    </row>
    <row r="140" spans="1:16" x14ac:dyDescent="0.25">
      <c r="A140" s="24">
        <f t="shared" si="1"/>
        <v>12.699999999999971</v>
      </c>
      <c r="B140" s="16">
        <f t="array" ref="B140:D140">B139:D139+$P$1/6*(E139:G139+2*H139:J139+2*K139:M139+N139:P139)</f>
        <v>-2.1589221260662206</v>
      </c>
      <c r="C140" s="11">
        <v>0.82769330339533242</v>
      </c>
      <c r="D140" s="11">
        <v>-0.22485835362126966</v>
      </c>
      <c r="E140" s="16">
        <f t="array" ref="E140:G140">TRANSPOSE(MMULT($I$4:$K$6,TRANSPOSE(B140:D140)))</f>
        <v>-0.52185774934020246</v>
      </c>
      <c r="F140" s="17">
        <v>-0.78727079497887098</v>
      </c>
      <c r="G140" s="20">
        <v>-0.22347993765988111</v>
      </c>
      <c r="H140" s="16">
        <f t="array" ref="H140:J140">TRANSPOSE(MMULT($I$4:$K$6,TRANSPOSE(B140:D140+$P$1/2*E140:G140)))</f>
        <v>-0.47541532209136023</v>
      </c>
      <c r="I140" s="17">
        <v>-0.79395165150768265</v>
      </c>
      <c r="J140" s="20">
        <v>-0.21673724747531029</v>
      </c>
      <c r="K140" s="16">
        <f t="array" ref="K140:M140">TRANSPOSE(MMULT($I$4:$K$6,TRANSPOSE(B140:D140+$P$1/2*H140:J140)))</f>
        <v>-0.47544834520485535</v>
      </c>
      <c r="L140" s="17">
        <v>-0.79313679899456213</v>
      </c>
      <c r="M140" s="20">
        <v>-0.21660327685552155</v>
      </c>
      <c r="N140" s="16">
        <f t="array" ref="N140:P140">TRANSPOSE(MMULT($I$4:$K$6,TRANSPOSE(B140:D140+$P$1*K140:M140)))</f>
        <v>-0.42912545491447684</v>
      </c>
      <c r="O140" s="17">
        <v>-0.79900861289375413</v>
      </c>
      <c r="P140" s="20">
        <v>-0.20974230328043691</v>
      </c>
    </row>
    <row r="141" spans="1:16" x14ac:dyDescent="0.25">
      <c r="A141" s="24">
        <f t="shared" si="1"/>
        <v>12.799999999999971</v>
      </c>
      <c r="B141" s="16">
        <f t="array" ref="B141:D141">B140:D140+$P$1/6*(E140:G140+2*H140:J140+2*K140:M140+N140:P140)</f>
        <v>-2.2064673017136722</v>
      </c>
      <c r="C141" s="11">
        <v>0.74835236491404722</v>
      </c>
      <c r="D141" s="11">
        <v>-0.24652340844796936</v>
      </c>
      <c r="E141" s="16">
        <f t="array" ref="E141:G141">TRANSPOSE(MMULT($I$4:$K$6,TRANSPOSE(B141:D141)))</f>
        <v>-0.42909627136349221</v>
      </c>
      <c r="F141" s="17">
        <v>-0.79900716476669864</v>
      </c>
      <c r="G141" s="20">
        <v>-0.20973709919304609</v>
      </c>
      <c r="H141" s="16">
        <f t="array" ref="H141:J141">TRANSPOSE(MMULT($I$4:$K$6,TRANSPOSE(B141:D141+$P$1/2*E141:G141)))</f>
        <v>-0.38280568978447893</v>
      </c>
      <c r="I141" s="17">
        <v>-0.80406509583137376</v>
      </c>
      <c r="J141" s="20">
        <v>-0.20274219978226193</v>
      </c>
      <c r="K141" s="16">
        <f t="array" ref="K141:M141">TRANSPOSE(MMULT($I$4:$K$6,TRANSPOSE(B141:D141+$P$1/2*H141:J141)))</f>
        <v>-0.38292414412735587</v>
      </c>
      <c r="L141" s="17">
        <v>-0.80325750368176496</v>
      </c>
      <c r="M141" s="20">
        <v>-0.20262398100594636</v>
      </c>
      <c r="N141" s="16">
        <f t="array" ref="N141:P141">TRANSPOSE(MMULT($I$4:$K$6,TRANSPOSE(B141:D141+$P$1*K141:M141)))</f>
        <v>-0.33683632031380439</v>
      </c>
      <c r="O141" s="17">
        <v>-0.80751653806385548</v>
      </c>
      <c r="P141" s="20">
        <v>-0.19552666896763499</v>
      </c>
    </row>
    <row r="142" spans="1:16" x14ac:dyDescent="0.25">
      <c r="A142" s="24">
        <f t="shared" si="1"/>
        <v>12.89999999999997</v>
      </c>
      <c r="B142" s="16">
        <f t="array" ref="B142:D142">B141:D141+$P$1/6*(E141:G141+2*H141:J141+2*K141:M141+N141:P141)</f>
        <v>-2.2447571727053548</v>
      </c>
      <c r="C142" s="11">
        <v>0.66799954988310006</v>
      </c>
      <c r="D142" s="11">
        <v>-0.26679001061025431</v>
      </c>
      <c r="E142" s="16">
        <f t="array" ref="E142:G142">TRANSPOSE(MMULT($I$4:$K$6,TRANSPOSE(B142:D142)))</f>
        <v>-0.33680782836846285</v>
      </c>
      <c r="F142" s="17">
        <v>-0.80751411269186479</v>
      </c>
      <c r="G142" s="20">
        <v>-0.19552141492847869</v>
      </c>
      <c r="H142" s="16">
        <f t="array" ref="H142:J142">TRANSPOSE(MMULT($I$4:$K$6,TRANSPOSE(B142:D142+$P$1/2*E142:G142)))</f>
        <v>-0.29083765529345768</v>
      </c>
      <c r="I142" s="17">
        <v>-0.81096649310513058</v>
      </c>
      <c r="J142" s="20">
        <v>-0.1883059083530475</v>
      </c>
      <c r="K142" s="16">
        <f t="array" ref="K142:M142">TRANSPOSE(MMULT($I$4:$K$6,TRANSPOSE(B142:D142+$P$1/2*H142:J142)))</f>
        <v>-0.29103919726967814</v>
      </c>
      <c r="L142" s="17">
        <v>-0.81016899931336095</v>
      </c>
      <c r="M142" s="20">
        <v>-0.18820352957065567</v>
      </c>
      <c r="N142" s="16">
        <f t="array" ref="N142:P142">TRANSPOSE(MMULT($I$4:$K$6,TRANSPOSE(B142:D142+$P$1*K142:M142)))</f>
        <v>-0.24535239528160369</v>
      </c>
      <c r="O142" s="17">
        <v>-0.81283537039264231</v>
      </c>
      <c r="P142" s="20">
        <v>-0.18090150791817999</v>
      </c>
    </row>
    <row r="143" spans="1:16" x14ac:dyDescent="0.25">
      <c r="A143" s="24">
        <f t="shared" ref="A143:A206" si="2">A142+$P$1</f>
        <v>12.99999999999997</v>
      </c>
      <c r="B143" s="16">
        <f t="array" ref="B143:D143">B142:D142+$P$1/6*(E142:G142+2*H142:J142+2*K142:M142+N142:P142)</f>
        <v>-2.2738557381849605</v>
      </c>
      <c r="C143" s="11">
        <v>0.58695587541774186</v>
      </c>
      <c r="D143" s="11">
        <v>-0.28561404058848872</v>
      </c>
      <c r="E143" s="16">
        <f t="array" ref="E143:G143">TRANSPOSE(MMULT($I$4:$K$6,TRANSPOSE(B143:D143)))</f>
        <v>-0.24532468536385033</v>
      </c>
      <c r="F143" s="17">
        <v>-0.81283199855862909</v>
      </c>
      <c r="G143" s="20">
        <v>-0.18089622455685822</v>
      </c>
      <c r="H143" s="16">
        <f t="array" ref="H143:J143">TRANSPOSE(MMULT($I$4:$K$6,TRANSPOSE(B143:D143+$P$1/2*E143:G143)))</f>
        <v>-0.19983853751796238</v>
      </c>
      <c r="I143" s="17">
        <v>-0.81470177974594682</v>
      </c>
      <c r="J143" s="20">
        <v>-0.17349182818409525</v>
      </c>
      <c r="K143" s="16">
        <f t="array" ref="K143:M143">TRANSPOSE(MMULT($I$4:$K$6,TRANSPOSE(B143:D143+$P$1/2*H143:J143)))</f>
        <v>-0.2001205671252812</v>
      </c>
      <c r="L143" s="17">
        <v>-0.81391712156274743</v>
      </c>
      <c r="M143" s="20">
        <v>-0.17340531674308712</v>
      </c>
      <c r="N143" s="16">
        <f t="array" ref="N143:P143">TRANSPOSE(MMULT($I$4:$K$6,TRANSPOSE(B143:D143+$P$1*K143:M143)))</f>
        <v>-0.15499555486659933</v>
      </c>
      <c r="O143" s="17">
        <v>-0.81501641321487417</v>
      </c>
      <c r="P143" s="20">
        <v>-0.16593026998192961</v>
      </c>
    </row>
    <row r="144" spans="1:16" x14ac:dyDescent="0.25">
      <c r="A144" s="24">
        <f t="shared" si="2"/>
        <v>13.099999999999969</v>
      </c>
      <c r="B144" s="16">
        <f t="array" ref="B144:D144">B143:D143+$P$1/6*(E143:G143+2*H143:J143+2*K143:M143+N143:P143)</f>
        <v>-2.293859712343576</v>
      </c>
      <c r="C144" s="11">
        <v>0.50553777184456028</v>
      </c>
      <c r="D144" s="11">
        <v>-0.30295772032837459</v>
      </c>
      <c r="E144" s="16">
        <f t="array" ref="E144:G144">TRANSPOSE(MMULT($I$4:$K$6,TRANSPOSE(B144:D144)))</f>
        <v>-0.15496871247885283</v>
      </c>
      <c r="F144" s="17">
        <v>-0.81501212853160399</v>
      </c>
      <c r="G144" s="20">
        <v>-0.16592497757723185</v>
      </c>
      <c r="H144" s="16">
        <f t="array" ref="H144:J144">TRANSPOSE(MMULT($I$4:$K$6,TRANSPOSE(B144:D144+$P$1/2*E144:G144)))</f>
        <v>-0.11012476293833373</v>
      </c>
      <c r="I144" s="17">
        <v>-0.81532762902556699</v>
      </c>
      <c r="J144" s="20">
        <v>-0.15836340369462715</v>
      </c>
      <c r="K144" s="16">
        <f t="array" ref="K144:M144">TRANSPOSE(MMULT($I$4:$K$6,TRANSPOSE(B144:D144+$P$1/2*H144:J144)))</f>
        <v>-0.11048443913899025</v>
      </c>
      <c r="L144" s="17">
        <v>-0.81455843503499614</v>
      </c>
      <c r="M144" s="20">
        <v>-0.15829272739285827</v>
      </c>
      <c r="N144" s="16">
        <f t="array" ref="N144:P144">TRANSPOSE(MMULT($I$4:$K$6,TRANSPOSE(B144:D144+$P$1*K144:M144)))</f>
        <v>-6.6076315488248993E-2</v>
      </c>
      <c r="O144" s="17">
        <v>-0.81412148194051748</v>
      </c>
      <c r="P144" s="20">
        <v>-0.15067627675065587</v>
      </c>
    </row>
    <row r="145" spans="1:16" x14ac:dyDescent="0.25">
      <c r="A145" s="24">
        <f t="shared" si="2"/>
        <v>13.199999999999969</v>
      </c>
      <c r="B145" s="16">
        <f t="array" ref="B145:D145">B144:D144+$P$1/6*(E144:G144+2*H144:J144+2*K144:M144+N144:P144)</f>
        <v>-2.3048974362122716</v>
      </c>
      <c r="C145" s="11">
        <v>0.42405600953467282</v>
      </c>
      <c r="D145" s="11">
        <v>-0.3187896122700889</v>
      </c>
      <c r="E145" s="16">
        <f t="array" ref="E145:G145">TRANSPOSE(MMULT($I$4:$K$6,TRANSPOSE(B145:D145)))</f>
        <v>-6.6050421005410087E-2</v>
      </c>
      <c r="F145" s="17">
        <v>-0.8141163206626838</v>
      </c>
      <c r="G145" s="20">
        <v>-0.15067099516305893</v>
      </c>
      <c r="H145" s="16">
        <f t="array" ref="H145:J145">TRANSPOSE(MMULT($I$4:$K$6,TRANSPOSE(B145:D145+$P$1/2*E145:G145)))</f>
        <v>-2.2000932963987668E-2</v>
      </c>
      <c r="I145" s="17">
        <v>-0.81291100132888683</v>
      </c>
      <c r="J145" s="20">
        <v>-0.14298383329429737</v>
      </c>
      <c r="K145" s="16">
        <f t="array" ref="K145:M145">TRANSPOSE(MMULT($I$4:$K$6,TRANSPOSE(B145:D145+$P$1/2*H145:J145)))</f>
        <v>-2.2435189608259881E-2</v>
      </c>
      <c r="L145" s="17">
        <v>-0.8121597841054804</v>
      </c>
      <c r="M145" s="20">
        <v>-0.14292890182665496</v>
      </c>
      <c r="N145" s="16">
        <f t="array" ref="N145:P145">TRANSPOSE(MMULT($I$4:$K$6,TRANSPOSE(B145:D145+$P$1*K145:M145)))</f>
        <v>2.1107065374286776E-2</v>
      </c>
      <c r="O145" s="17">
        <v>-0.81022244022067802</v>
      </c>
      <c r="P145" s="20">
        <v>-0.13520248920434763</v>
      </c>
    </row>
    <row r="146" spans="1:16" x14ac:dyDescent="0.25">
      <c r="A146" s="24">
        <f t="shared" si="2"/>
        <v>13.299999999999969</v>
      </c>
      <c r="B146" s="16">
        <f t="array" ref="B146:D146">B145:D145+$P$1/6*(E145:G145+2*H145:J145+2*K145:M145+N145:P145)</f>
        <v>-2.3071276962251988</v>
      </c>
      <c r="C146" s="11">
        <v>0.34281467067213789</v>
      </c>
      <c r="D146" s="11">
        <v>-0.33308459484691078</v>
      </c>
      <c r="E146" s="16">
        <f t="array" ref="E146:G146">TRANSPOSE(MMULT($I$4:$K$6,TRANSPOSE(B146:D146)))</f>
        <v>2.1131936889146302E-2</v>
      </c>
      <c r="F146" s="17">
        <v>-0.81021644105135238</v>
      </c>
      <c r="G146" s="20">
        <v>-0.13519723781157172</v>
      </c>
      <c r="H146" s="16">
        <f t="array" ref="H146:J146">TRANSPOSE(MMULT($I$4:$K$6,TRANSPOSE(B146:D146+$P$1/2*E146:G146)))</f>
        <v>6.4241044013499671E-2</v>
      </c>
      <c r="I146" s="17">
        <v>-0.8075286662209491</v>
      </c>
      <c r="J146" s="20">
        <v>-0.12741584011105039</v>
      </c>
      <c r="K146" s="16">
        <f t="array" ref="K146:M146">TRANSPOSE(MMULT($I$4:$K$6,TRANSPOSE(B146:D146+$P$1/2*H146:J146)))</f>
        <v>6.3735481782347281E-2</v>
      </c>
      <c r="L146" s="17">
        <v>-0.80679781558143637</v>
      </c>
      <c r="M146" s="20">
        <v>-0.12737650669966333</v>
      </c>
      <c r="N146" s="16">
        <f t="array" ref="N146:P146">TRANSPOSE(MMULT($I$4:$K$6,TRANSPOSE(B146:D146+$P$1*K146:M146)))</f>
        <v>0.106269423897453</v>
      </c>
      <c r="O146" s="17">
        <v>-0.80340070912349282</v>
      </c>
      <c r="P146" s="20">
        <v>-0.11957128187479554</v>
      </c>
    </row>
    <row r="147" spans="1:16" x14ac:dyDescent="0.25">
      <c r="A147" s="24">
        <f t="shared" si="2"/>
        <v>13.399999999999968</v>
      </c>
      <c r="B147" s="16">
        <f t="array" ref="B147:D147">B146:D146+$P$1/6*(E146:G146+2*H146:J146+2*K146:M146+N146:P146)</f>
        <v>-2.3007384560188937</v>
      </c>
      <c r="C147" s="11">
        <v>0.26211016877581095</v>
      </c>
      <c r="D147" s="11">
        <v>-0.34582381506870735</v>
      </c>
      <c r="E147" s="16">
        <f t="array" ref="E147:G147">TRANSPOSE(MMULT($I$4:$K$6,TRANSPOSE(B147:D147)))</f>
        <v>0.10629320285356136</v>
      </c>
      <c r="F147" s="17">
        <v>-0.80339391301579577</v>
      </c>
      <c r="G147" s="20">
        <v>-0.11956607951058762</v>
      </c>
      <c r="H147" s="16">
        <f t="array" ref="H147:J147">TRANSPOSE(MMULT($I$4:$K$6,TRANSPOSE(B147:D147+$P$1/2*E147:G147)))</f>
        <v>0.14832275408029513</v>
      </c>
      <c r="I147" s="17">
        <v>-0.79926669872611056</v>
      </c>
      <c r="J147" s="20">
        <v>-0.11172144959350683</v>
      </c>
      <c r="K147" s="16">
        <f t="array" ref="K147:M147">TRANSPOSE(MMULT($I$4:$K$6,TRANSPOSE(B147:D147+$P$1/2*H147:J147)))</f>
        <v>0.14774935301133554</v>
      </c>
      <c r="L147" s="17">
        <v>-0.79855847558751225</v>
      </c>
      <c r="M147" s="20">
        <v>-0.11169751279138318</v>
      </c>
      <c r="N147" s="16">
        <f t="array" ref="N147:P147">TRANSPOSE(MMULT($I$4:$K$6,TRANSPOSE(B147:D147+$P$1*K147:M147)))</f>
        <v>0.1891394573938546</v>
      </c>
      <c r="O147" s="17">
        <v>-0.79374675174466858</v>
      </c>
      <c r="P147" s="20">
        <v>-0.10384422422004758</v>
      </c>
    </row>
    <row r="148" spans="1:16" x14ac:dyDescent="0.25">
      <c r="A148" s="24">
        <f t="shared" si="2"/>
        <v>13.499999999999968</v>
      </c>
      <c r="B148" s="16">
        <f t="array" ref="B148:D148">B147:D147+$P$1/6*(E147:G147+2*H147:J147+2*K147:M147+N147:P147)</f>
        <v>-2.2859455081117157</v>
      </c>
      <c r="C148" s="11">
        <v>0.18223031855268246</v>
      </c>
      <c r="D148" s="11">
        <v>-0.35699461887704759</v>
      </c>
      <c r="E148" s="16">
        <f t="array" ref="E148:G148">TRANSPOSE(MMULT($I$4:$K$6,TRANSPOSE(B148:D148)))</f>
        <v>0.18916207980930816</v>
      </c>
      <c r="F148" s="17">
        <v>-0.79373920169950329</v>
      </c>
      <c r="G148" s="20">
        <v>-0.1038390891163492</v>
      </c>
      <c r="H148" s="16">
        <f t="array" ref="H148:J148">TRANSPOSE(MMULT($I$4:$K$6,TRANSPOSE(B148:D148+$P$1/2*E148:G148)))</f>
        <v>0.22998001127756373</v>
      </c>
      <c r="I148" s="17">
        <v>-0.78821995226517672</v>
      </c>
      <c r="J148" s="20">
        <v>-9.596177466073913E-2</v>
      </c>
      <c r="K148" s="16">
        <f t="array" ref="K148:M148">TRANSPOSE(MMULT($I$4:$K$6,TRANSPOSE(B148:D148+$P$1/2*H148:J148)))</f>
        <v>0.229342412859394</v>
      </c>
      <c r="L148" s="17">
        <v>-0.78753648311858204</v>
      </c>
      <c r="M148" s="20">
        <v>-9.5952980318271541E-2</v>
      </c>
      <c r="N148" s="16">
        <f t="array" ref="N148:P148">TRANSPOSE(MMULT($I$4:$K$6,TRANSPOSE(B148:D148+$P$1*K148:M148)))</f>
        <v>0.26946042320530328</v>
      </c>
      <c r="O148" s="17">
        <v>-0.78135953571455652</v>
      </c>
      <c r="P148" s="20">
        <v>-8.8081869861096951E-2</v>
      </c>
    </row>
    <row r="149" spans="1:16" x14ac:dyDescent="0.25">
      <c r="A149" s="24">
        <f t="shared" si="2"/>
        <v>13.599999999999968</v>
      </c>
      <c r="B149" s="16">
        <f t="array" ref="B149:D149">B148:D148+$P$1/6*(E148:G148+2*H148:J148+2*K148:M148+N148:P148)</f>
        <v>-2.2629910522569068</v>
      </c>
      <c r="C149" s="11">
        <v>0.10345345841632284</v>
      </c>
      <c r="D149" s="11">
        <v>-0.36659046002597206</v>
      </c>
      <c r="E149" s="16">
        <f t="array" ref="E149:G149">TRANSPOSE(MMULT($I$4:$K$6,TRANSPOSE(B149:D149)))</f>
        <v>0.26948183081975668</v>
      </c>
      <c r="F149" s="17">
        <v>-0.78135127657524395</v>
      </c>
      <c r="G149" s="20">
        <v>-8.8076819593735756E-2</v>
      </c>
      <c r="H149" s="16">
        <f t="array" ref="H149:J149">TRANSPOSE(MMULT($I$4:$K$6,TRANSPOSE(B149:D149+$P$1/2*E149:G149)))</f>
        <v>0.30896352188629483</v>
      </c>
      <c r="I149" s="17">
        <v>-0.77449151072848965</v>
      </c>
      <c r="J149" s="20">
        <v>-8.0196809029276228E-2</v>
      </c>
      <c r="K149" s="16">
        <f t="array" ref="K149:M149">TRANSPOSE(MMULT($I$4:$K$6,TRANSPOSE(B149:D149+$P$1/2*H149:J149)))</f>
        <v>0.30826552492733517</v>
      </c>
      <c r="L149" s="17">
        <v>-0.7738347827353188</v>
      </c>
      <c r="M149" s="20">
        <v>-8.0202852412680492E-2</v>
      </c>
      <c r="N149" s="16">
        <f t="array" ref="N149:P149">TRANSPOSE(MMULT($I$4:$K$6,TRANSPOSE(B149:D149+$P$1*K149:M149)))</f>
        <v>0.34699076794052242</v>
      </c>
      <c r="O149" s="17">
        <v>-0.76634597609088917</v>
      </c>
      <c r="P149" s="20">
        <v>-7.2343554288450296E-2</v>
      </c>
    </row>
    <row r="150" spans="1:16" x14ac:dyDescent="0.25">
      <c r="A150" s="24">
        <f t="shared" si="2"/>
        <v>13.699999999999967</v>
      </c>
      <c r="B150" s="16">
        <f t="array" ref="B150:D150">B149:D149+$P$1/6*(E149:G149+2*H149:J149+2*K149:M149+N149:P149)</f>
        <v>-2.2321422073837813</v>
      </c>
      <c r="C150" s="11">
        <v>2.6047627756426994E-2</v>
      </c>
      <c r="D150" s="11">
        <v>-0.37461078830540706</v>
      </c>
      <c r="E150" s="16">
        <f t="array" ref="E150:G150">TRANSPOSE(MMULT($I$4:$K$6,TRANSPOSE(B150:D150)))</f>
        <v>0.34701090830411396</v>
      </c>
      <c r="F150" s="17">
        <v>-0.76633705433553623</v>
      </c>
      <c r="G150" s="20">
        <v>-7.2338605726477767E-2</v>
      </c>
      <c r="H150" s="16">
        <f t="array" ref="H150:J150">TRANSPOSE(MMULT($I$4:$K$6,TRANSPOSE(B150:D150+$P$1/2*E150:G150)))</f>
        <v>0.38503947859389975</v>
      </c>
      <c r="I150" s="17">
        <v>-0.75819212218522769</v>
      </c>
      <c r="J150" s="20">
        <v>-6.4485229302777169E-2</v>
      </c>
      <c r="K150" s="16">
        <f t="array" ref="K150:M150">TRANSPOSE(MMULT($I$4:$K$6,TRANSPOSE(B150:D150+$P$1/2*H150:J150)))</f>
        <v>0.3842850216064615</v>
      </c>
      <c r="L150" s="17">
        <v>-0.75756397890032035</v>
      </c>
      <c r="M150" s="20">
        <v>-6.4505757353214732E-2</v>
      </c>
      <c r="N150" s="16">
        <f t="array" ref="N150:P150">TRANSPOSE(MMULT($I$4:$K$6,TRANSPOSE(B150:D150+$P$1*K150:M150)))</f>
        <v>0.42150468627220999</v>
      </c>
      <c r="O150" s="17">
        <v>-0.74882036114368444</v>
      </c>
      <c r="P150" s="20">
        <v>-5.6687201601226422E-2</v>
      </c>
    </row>
    <row r="151" spans="1:16" x14ac:dyDescent="0.25">
      <c r="A151" s="24">
        <f t="shared" si="2"/>
        <v>13.799999999999967</v>
      </c>
      <c r="B151" s="16">
        <f t="array" ref="B151:D151">B150:D150+$P$1/6*(E150:G150+2*H150:J150+2*K150:M150+N150:P150)</f>
        <v>-2.193689464134164</v>
      </c>
      <c r="C151" s="11">
        <v>-4.9730199204411615E-2</v>
      </c>
      <c r="D151" s="11">
        <v>-0.38106091798273517</v>
      </c>
      <c r="E151" s="16">
        <f t="array" ref="E151:G151">TRANSPOSE(MMULT($I$4:$K$6,TRANSPOSE(B151:D151)))</f>
        <v>0.42152351281092215</v>
      </c>
      <c r="F151" s="17">
        <v>-0.74881082467610816</v>
      </c>
      <c r="G151" s="20">
        <v>-5.6682370860009434E-2</v>
      </c>
      <c r="H151" s="16">
        <f t="array" ref="H151:J151">TRANSPOSE(MMULT($I$4:$K$6,TRANSPOSE(B151:D151+$P$1/2*E151:G151)))</f>
        <v>0.4579900838978731</v>
      </c>
      <c r="I151" s="17">
        <v>-0.73943961674166536</v>
      </c>
      <c r="J151" s="20">
        <v>-4.8884206364223637E-2</v>
      </c>
      <c r="K151" s="16">
        <f t="array" ref="K151:M151">TRANSPOSE(MMULT($I$4:$K$6,TRANSPOSE(B151:D151+$P$1/2*H151:J151)))</f>
        <v>0.45718322735580047</v>
      </c>
      <c r="L151" s="17">
        <v>-0.73884175446511258</v>
      </c>
      <c r="M151" s="20">
        <v>-4.8918820086077841E-2</v>
      </c>
      <c r="N151" s="16">
        <f t="array" ref="N151:P151">TRANSPOSE(MMULT($I$4:$K$6,TRANSPOSE(B151:D151+$P$1*K151:M151)))</f>
        <v>0.49279260878731851</v>
      </c>
      <c r="O151" s="17">
        <v>-0.72890376354651254</v>
      </c>
      <c r="P151" s="20">
        <v>-4.1169140795355386E-2</v>
      </c>
    </row>
    <row r="152" spans="1:16" x14ac:dyDescent="0.25">
      <c r="A152" s="24">
        <f t="shared" si="2"/>
        <v>13.899999999999967</v>
      </c>
      <c r="B152" s="16">
        <f t="array" ref="B152:D152">B151:D151+$P$1/6*(E151:G151+2*H151:J151+2*K151:M151+N151:P151)</f>
        <v>-2.1479450850657376</v>
      </c>
      <c r="C152" s="11">
        <v>-0.12363482138168122</v>
      </c>
      <c r="D152" s="11">
        <v>-0.38595187739200132</v>
      </c>
      <c r="E152" s="16">
        <f t="array" ref="E152:G152">TRANSPOSE(MMULT($I$4:$K$6,TRANSPOSE(B152:D152)))</f>
        <v>0.49281008084505556</v>
      </c>
      <c r="F152" s="17">
        <v>-0.72889366148652734</v>
      </c>
      <c r="G152" s="20">
        <v>-4.116444319351259E-2</v>
      </c>
      <c r="H152" s="16">
        <f t="array" ref="H152:J152">TRANSPOSE(MMULT($I$4:$K$6,TRANSPOSE(B152:D152+$P$1/2*E152:G152)))</f>
        <v>0.52761400237902689</v>
      </c>
      <c r="I152" s="17">
        <v>-0.71835831106402126</v>
      </c>
      <c r="J152" s="20">
        <v>-3.3449226563899981E-2</v>
      </c>
      <c r="K152" s="16">
        <f t="array" ref="K152:M152">TRANSPOSE(MMULT($I$4:$K$6,TRANSPOSE(B152:D152+$P$1/2*H152:J152)))</f>
        <v>0.52675891091763949</v>
      </c>
      <c r="L152" s="17">
        <v>-0.71779227582128002</v>
      </c>
      <c r="M152" s="20">
        <v>-3.3497483530463334E-2</v>
      </c>
      <c r="N152" s="16">
        <f t="array" ref="N152:P152">TRANSPOSE(MMULT($I$4:$K$6,TRANSPOSE(B152:D152+$P$1*K152:M152)))</f>
        <v>0.5606616186592257</v>
      </c>
      <c r="O152" s="17">
        <v>-0.70672343948649363</v>
      </c>
      <c r="P152" s="20">
        <v>-2.5843932070470921E-2</v>
      </c>
    </row>
    <row r="153" spans="1:16" x14ac:dyDescent="0.25">
      <c r="A153" s="24">
        <f t="shared" si="2"/>
        <v>13.999999999999966</v>
      </c>
      <c r="B153" s="16">
        <f t="array" ref="B153:D153">B152:D152+$P$1/6*(E152:G152+2*H152:J152+2*K152:M152+N152:P152)</f>
        <v>-2.0952414596307771</v>
      </c>
      <c r="C153" s="11">
        <v>-0.19543345929407496</v>
      </c>
      <c r="D153" s="11">
        <v>-0.38930024064954649</v>
      </c>
      <c r="E153" s="16">
        <f t="array" ref="E153:G153">TRANSPOSE(MMULT($I$4:$K$6,TRANSPOSE(B153:D153)))</f>
        <v>0.56067770151697127</v>
      </c>
      <c r="F153" s="17">
        <v>-0.70671282196035534</v>
      </c>
      <c r="G153" s="20">
        <v>-2.5839382090727447E-2</v>
      </c>
      <c r="H153" s="16">
        <f t="array" ref="H153:J153">TRANSPOSE(MMULT($I$4:$K$6,TRANSPOSE(B153:D153+$P$1/2*E153:G153)))</f>
        <v>0.5937267417492188</v>
      </c>
      <c r="I153" s="17">
        <v>-0.69507840207499338</v>
      </c>
      <c r="J153" s="20">
        <v>-1.8233923149061082E-2</v>
      </c>
      <c r="K153" s="16">
        <f t="array" ref="K153:M153">TRANSPOSE(MMULT($I$4:$K$6,TRANSPOSE(B153:D153+$P$1/2*H153:J153)))</f>
        <v>0.5928276663749561</v>
      </c>
      <c r="L153" s="17">
        <v>-0.69454558722249926</v>
      </c>
      <c r="M153" s="20">
        <v>-1.8295340113707204E-2</v>
      </c>
      <c r="N153" s="16">
        <f t="array" ref="N153:P153">TRANSPOSE(MMULT($I$4:$K$6,TRANSPOSE(B153:D153+$P$1*K153:M153)))</f>
        <v>0.6249357971800199</v>
      </c>
      <c r="O153" s="17">
        <v>-0.68241221819428433</v>
      </c>
      <c r="P153" s="20">
        <v>-1.0764203577412645E-2</v>
      </c>
    </row>
    <row r="154" spans="1:16" x14ac:dyDescent="0.25">
      <c r="A154" s="24">
        <f t="shared" si="2"/>
        <v>14.099999999999966</v>
      </c>
      <c r="B154" s="16">
        <f t="array" ref="B154:D154">B153:D153+$P$1/6*(E153:G153+2*H153:J153+2*K153:M153+N153:P153)</f>
        <v>-2.0359294210483547</v>
      </c>
      <c r="C154" s="11">
        <v>-0.26490634293990206</v>
      </c>
      <c r="D154" s="11">
        <v>-0.39112794251944111</v>
      </c>
      <c r="E154" s="16">
        <f t="array" ref="E154:G154">TRANSPOSE(MMULT($I$4:$K$6,TRANSPOSE(B154:D154)))</f>
        <v>0.62495046205251392</v>
      </c>
      <c r="F154" s="17">
        <v>-0.68240113612606645</v>
      </c>
      <c r="G154" s="20">
        <v>-1.0759814831431791E-2</v>
      </c>
      <c r="H154" s="16">
        <f t="array" ref="H154:J154">TRANSPOSE(MMULT($I$4:$K$6,TRANSPOSE(B154:D154+$P$1/2*E154:G154)))</f>
        <v>0.65616096284518344</v>
      </c>
      <c r="I154" s="17">
        <v>-0.66973535231738035</v>
      </c>
      <c r="J154" s="20">
        <v>-3.2899183332090742E-3</v>
      </c>
      <c r="K154" s="16">
        <f t="array" ref="K154:M154">TRANSPOSE(MMULT($I$4:$K$6,TRANSPOSE(B154:D154+$P$1/2*H154:J154)))</f>
        <v>0.65522222322082124</v>
      </c>
      <c r="L154" s="17">
        <v>-0.66923699676861303</v>
      </c>
      <c r="M154" s="20">
        <v>-3.3639739340021735E-3</v>
      </c>
      <c r="N154" s="16">
        <f t="array" ref="N154:P154">TRANSPOSE(MMULT($I$4:$K$6,TRANSPOSE(B154:D154+$P$1*K154:M154)))</f>
        <v>0.68545649845452727</v>
      </c>
      <c r="O154" s="17">
        <v>-0.65610788437515621</v>
      </c>
      <c r="P154" s="20">
        <v>4.0195010199220449E-3</v>
      </c>
    </row>
    <row r="155" spans="1:16" x14ac:dyDescent="0.25">
      <c r="A155" s="24">
        <f t="shared" si="2"/>
        <v>14.199999999999966</v>
      </c>
      <c r="B155" s="16">
        <f t="array" ref="B155:D155">B154:D154+$P$1/6*(E154:G154+2*H154:J154+2*K154:M154+N154:P154)</f>
        <v>-1.9703765321710371</v>
      </c>
      <c r="C155" s="11">
        <v>-0.33184723825112222</v>
      </c>
      <c r="D155" s="11">
        <v>-0.39146207749187334</v>
      </c>
      <c r="E155" s="16">
        <f t="array" ref="E155:G155">TRANSPOSE(MMULT($I$4:$K$6,TRANSPOSE(B155:D155)))</f>
        <v>0.68546972246497528</v>
      </c>
      <c r="F155" s="17">
        <v>-0.65609638927981084</v>
      </c>
      <c r="G155" s="20">
        <v>4.0237158226883452E-3</v>
      </c>
      <c r="H155" s="16">
        <f t="array" ref="H155:J155">TRANSPOSE(MMULT($I$4:$K$6,TRANSPOSE(B155:D155+$P$1/2*E155:G155)))</f>
        <v>0.71476671900018729</v>
      </c>
      <c r="I155" s="17">
        <v>-0.64246926945357608</v>
      </c>
      <c r="J155" s="20">
        <v>1.1333323645483451E-2</v>
      </c>
      <c r="K155" s="16">
        <f t="array" ref="K155:M155">TRANSPOSE(MMULT($I$4:$K$6,TRANSPOSE(B155:D155+$P$1/2*H155:J155)))</f>
        <v>0.71379268586974343</v>
      </c>
      <c r="L155" s="17">
        <v>-0.64200645651834098</v>
      </c>
      <c r="M155" s="20">
        <v>1.1247186099869577E-2</v>
      </c>
      <c r="N155" s="16">
        <f t="array" ref="N155:P155">TRANSPOSE(MMULT($I$4:$K$6,TRANSPOSE(B155:D155+$P$1*K155:M155)))</f>
        <v>0.74208255381411714</v>
      </c>
      <c r="O155" s="17">
        <v>-0.62795255599334243</v>
      </c>
      <c r="P155" s="20">
        <v>1.8458863843132889E-2</v>
      </c>
    </row>
    <row r="156" spans="1:16" x14ac:dyDescent="0.25">
      <c r="A156" s="24">
        <f t="shared" si="2"/>
        <v>14.299999999999965</v>
      </c>
      <c r="B156" s="16">
        <f t="array" ref="B156:D156">B155:D155+$P$1/6*(E155:G155+2*H155:J155+2*K155:M155+N155:P155)</f>
        <v>-1.8989653474040546</v>
      </c>
      <c r="C156" s="11">
        <v>-0.39606391153807202</v>
      </c>
      <c r="D156" s="11">
        <v>-0.39033468417259787</v>
      </c>
      <c r="E156" s="16">
        <f t="array" ref="E156:G156">TRANSPOSE(MMULT($I$4:$K$6,TRANSPOSE(B156:D156)))</f>
        <v>0.74209431994751673</v>
      </c>
      <c r="F156" s="17">
        <v>-0.62794069977217903</v>
      </c>
      <c r="G156" s="20">
        <v>1.846289292254838E-2</v>
      </c>
      <c r="H156" s="16">
        <f t="array" ref="H156:J156">TRANSPOSE(MMULT($I$4:$K$6,TRANSPOSE(B156:D156+$P$1/2*E156:G156)))</f>
        <v>0.76941162547793707</v>
      </c>
      <c r="I156" s="17">
        <v>-0.6134242823364886</v>
      </c>
      <c r="J156" s="20">
        <v>2.5588632175668313E-2</v>
      </c>
      <c r="K156" s="16">
        <f t="array" ref="K156:M156">TRANSPOSE(MMULT($I$4:$K$6,TRANSPOSE(B156:D156+$P$1/2*H156:J156)))</f>
        <v>0.76840670329343796</v>
      </c>
      <c r="L156" s="17">
        <v>-0.61299793916406076</v>
      </c>
      <c r="M156" s="20">
        <v>2.5491001850880768E-2</v>
      </c>
      <c r="N156" s="16">
        <f t="array" ref="N156:P156">TRANSPOSE(MMULT($I$4:$K$6,TRANSPOSE(B156:D156+$P$1*K156:M156)))</f>
        <v>0.79469040675695313</v>
      </c>
      <c r="O156" s="17">
        <v>-0.59809205982445246</v>
      </c>
      <c r="P156" s="20">
        <v>3.2507922681657142E-2</v>
      </c>
    </row>
    <row r="157" spans="1:16" x14ac:dyDescent="0.25">
      <c r="A157" s="24">
        <f t="shared" si="2"/>
        <v>14.399999999999965</v>
      </c>
      <c r="B157" s="16">
        <f t="array" ref="B157:D157">B156:D156+$P$1/6*(E156:G156+2*H156:J156+2*K156:M156+N156:P156)</f>
        <v>-1.8220916576666011</v>
      </c>
      <c r="C157" s="11">
        <v>-0.45737853158136754</v>
      </c>
      <c r="D157" s="11">
        <v>-0.38778251611164283</v>
      </c>
      <c r="E157" s="16">
        <f t="array" ref="E157:G157">TRANSPOSE(MMULT($I$4:$K$6,TRANSPOSE(B157:D157)))</f>
        <v>0.79470070379268476</v>
      </c>
      <c r="F157" s="17">
        <v>-0.59807989456373845</v>
      </c>
      <c r="G157" s="20">
        <v>3.2511755209949922E-2</v>
      </c>
      <c r="H157" s="16">
        <f t="array" ref="H157:J157">TRANSPOSE(MMULT($I$4:$K$6,TRANSPOSE(B157:D157+$P$1/2*E157:G157)))</f>
        <v>0.81998095989770936</v>
      </c>
      <c r="I157" s="17">
        <v>-0.58274791604589971</v>
      </c>
      <c r="J157" s="20">
        <v>3.9431254381943004E-2</v>
      </c>
      <c r="K157" s="16">
        <f t="array" ref="K157:M157">TRANSPOSE(MMULT($I$4:$K$6,TRANSPOSE(B157:D157+$P$1/2*H157:J157)))</f>
        <v>0.81894956970785238</v>
      </c>
      <c r="L157" s="17">
        <v>-0.58235881366064146</v>
      </c>
      <c r="M157" s="20">
        <v>3.9322750005875762E-2</v>
      </c>
      <c r="N157" s="16">
        <f t="array" ref="N157:P157">TRANSPOSE(MMULT($I$4:$K$6,TRANSPOSE(B157:D157+$P$1*K157:M157)))</f>
        <v>0.84317417946143547</v>
      </c>
      <c r="O157" s="17">
        <v>-0.56667530714522529</v>
      </c>
      <c r="P157" s="20">
        <v>4.6123189230840689E-2</v>
      </c>
    </row>
    <row r="158" spans="1:16" x14ac:dyDescent="0.25">
      <c r="A158" s="24">
        <f t="shared" si="2"/>
        <v>14.499999999999964</v>
      </c>
      <c r="B158" s="16">
        <f t="array" ref="B158:D158">B157:D157+$P$1/6*(E157:G157+2*H157:J157+2*K157:M157+N157:P157)</f>
        <v>-1.7401627252921803</v>
      </c>
      <c r="C158" s="11">
        <v>-0.51562800926673502</v>
      </c>
      <c r="D158" s="11">
        <v>-0.38384680022470236</v>
      </c>
      <c r="E158" s="16">
        <f t="array" ref="E158:G158">TRANSPOSE(MMULT($I$4:$K$6,TRANSPOSE(B158:D158)))</f>
        <v>0.84318300188583395</v>
      </c>
      <c r="F158" s="17">
        <v>-0.56666288491858718</v>
      </c>
      <c r="G158" s="20">
        <v>4.6126815351601014E-2</v>
      </c>
      <c r="H158" s="16">
        <f t="array" ref="H158:J158">TRANSPOSE(MMULT($I$4:$K$6,TRANSPOSE(B158:D158+$P$1/2*E158:G158)))</f>
        <v>0.86637769481530214</v>
      </c>
      <c r="I158" s="17">
        <v>-0.55059046823477242</v>
      </c>
      <c r="J158" s="20">
        <v>5.2818967487797852E-2</v>
      </c>
      <c r="K158" s="16">
        <f t="array" ref="K158:M158">TRANSPOSE(MMULT($I$4:$K$6,TRANSPOSE(B158:D158+$P$1/2*H158:J158)))</f>
        <v>0.8653242574737402</v>
      </c>
      <c r="L158" s="17">
        <v>-0.55023922215088972</v>
      </c>
      <c r="M158" s="20">
        <v>5.2700234393598888E-2</v>
      </c>
      <c r="N158" s="16">
        <f t="array" ref="N158:P158">TRANSPOSE(MMULT($I$4:$K$6,TRANSPOSE(B158:D158+$P$1*K158:M158)))</f>
        <v>0.88744567215044157</v>
      </c>
      <c r="O158" s="17">
        <v>-0.53385367187658972</v>
      </c>
      <c r="P158" s="20">
        <v>5.9263755506017701E-2</v>
      </c>
    </row>
    <row r="159" spans="1:16" x14ac:dyDescent="0.25">
      <c r="A159" s="24">
        <f t="shared" si="2"/>
        <v>14.599999999999964</v>
      </c>
      <c r="B159" s="16">
        <f t="array" ref="B159:D159">B158:D158+$P$1/6*(E158:G158+2*H158:J158+2*K158:M158+N158:P158)</f>
        <v>-1.6535955156486077</v>
      </c>
      <c r="C159" s="11">
        <v>-0.57066427489284333</v>
      </c>
      <c r="D159" s="11">
        <v>-0.37857298398102884</v>
      </c>
      <c r="E159" s="16">
        <f t="array" ref="E159:G159">TRANSPOSE(MMULT($I$4:$K$6,TRANSPOSE(B159:D159)))</f>
        <v>0.88745302005011573</v>
      </c>
      <c r="F159" s="17">
        <v>-0.53384104455186621</v>
      </c>
      <c r="G159" s="20">
        <v>5.9267166349164124E-2</v>
      </c>
      <c r="H159" s="16">
        <f t="array" ref="H159:J159">TRANSPOSE(MMULT($I$4:$K$6,TRANSPOSE(B159:D159+$P$1/2*E159:G159)))</f>
        <v>0.90852246385047508</v>
      </c>
      <c r="I159" s="17">
        <v>-0.5171043890729049</v>
      </c>
      <c r="J159" s="20">
        <v>6.5712179276758986E-2</v>
      </c>
      <c r="K159" s="16">
        <f t="array" ref="K159:M159">TRANSPOSE(MMULT($I$4:$K$6,TRANSPOSE(B159:D159+$P$1/2*H159:J159)))</f>
        <v>0.90745138359897326</v>
      </c>
      <c r="L159" s="17">
        <v>-0.51679146047315461</v>
      </c>
      <c r="M159" s="20">
        <v>6.5583886412903858E-2</v>
      </c>
      <c r="N159" s="16">
        <f t="array" ref="N159:P159">TRANSPOSE(MMULT($I$4:$K$6,TRANSPOSE(B159:D159+$P$1*K159:M159)))</f>
        <v>0.92743429680492528</v>
      </c>
      <c r="O159" s="17">
        <v>-0.49978037343527953</v>
      </c>
      <c r="P159" s="20">
        <v>7.1891388300799552E-2</v>
      </c>
    </row>
    <row r="160" spans="1:16" x14ac:dyDescent="0.25">
      <c r="A160" s="24">
        <f t="shared" si="2"/>
        <v>14.699999999999964</v>
      </c>
      <c r="B160" s="16">
        <f t="array" ref="B160:D160">B159:D159+$P$1/6*(E159:G159+2*H159:J159+2*K159:M159+N159:P159)</f>
        <v>-1.5628149321193754</v>
      </c>
      <c r="C160" s="11">
        <v>-0.62235449351083105</v>
      </c>
      <c r="D160" s="11">
        <v>-0.37201047254720737</v>
      </c>
      <c r="E160" s="16">
        <f t="array" ref="E160:G160">TRANSPOSE(MMULT($I$4:$K$6,TRANSPOSE(B160:D160)))</f>
        <v>0.9274401757416515</v>
      </c>
      <c r="F160" s="17">
        <v>-0.49976759248644043</v>
      </c>
      <c r="G160" s="20">
        <v>7.1894575993548926E-2</v>
      </c>
      <c r="H160" s="16">
        <f t="array" ref="H160:J160">TRANSPOSE(MMULT($I$4:$K$6,TRANSPOSE(B160:D160+$P$1/2*E160:G160)))</f>
        <v>0.94635346296739431</v>
      </c>
      <c r="I160" s="17">
        <v>-0.4824436670109955</v>
      </c>
      <c r="J160" s="20">
        <v>7.8074016543774438E-2</v>
      </c>
      <c r="K160" s="16">
        <f t="array" ref="K160:M160">TRANSPOSE(MMULT($I$4:$K$6,TRANSPOSE(B160:D160+$P$1/2*H160:J160)))</f>
        <v>0.94526911144648884</v>
      </c>
      <c r="L160" s="17">
        <v>-0.482169364472398</v>
      </c>
      <c r="M160" s="20">
        <v>7.7936853463045075E-2</v>
      </c>
      <c r="N160" s="16">
        <f t="array" ref="N160:P160">TRANSPOSE(MMULT($I$4:$K$6,TRANSPOSE(B160:D160+$P$1*K160:M160)))</f>
        <v>0.96308694693590469</v>
      </c>
      <c r="O160" s="17">
        <v>-0.4646098664815016</v>
      </c>
      <c r="P160" s="20">
        <v>8.3970611605118983E-2</v>
      </c>
    </row>
    <row r="161" spans="1:16" x14ac:dyDescent="0.25">
      <c r="A161" s="24">
        <f t="shared" si="2"/>
        <v>14.799999999999963</v>
      </c>
      <c r="B161" s="16">
        <f t="array" ref="B161:D161">B160:D160+$P$1/6*(E160:G160+2*H160:J160+2*K160:M160+N160:P160)</f>
        <v>-1.46825206092762</v>
      </c>
      <c r="C161" s="11">
        <v>-0.67058121887640987</v>
      </c>
      <c r="D161" s="11">
        <v>-0.36421235708700228</v>
      </c>
      <c r="E161" s="16">
        <f t="array" ref="E161:G161">TRANSPOSE(MMULT($I$4:$K$6,TRANSPOSE(B161:D161)))</f>
        <v>0.96309136780397286</v>
      </c>
      <c r="F161" s="17">
        <v>-0.46459698280622347</v>
      </c>
      <c r="G161" s="20">
        <v>8.3973569279006455E-2</v>
      </c>
      <c r="H161" s="16">
        <f t="array" ref="H161:J161">TRANSPOSE(MMULT($I$4:$K$6,TRANSPOSE(B161:D161+$P$1/2*E161:G161)))</f>
        <v>0.97982628871968402</v>
      </c>
      <c r="I161" s="17">
        <v>-0.44676322251702771</v>
      </c>
      <c r="J161" s="20">
        <v>8.987040147590214E-2</v>
      </c>
      <c r="K161" s="16">
        <f t="array" ref="K161:M161">TRANSPOSE(MMULT($I$4:$K$6,TRANSPOSE(B161:D161+$P$1/2*H161:J161)))</f>
        <v>0.97873298945670784</v>
      </c>
      <c r="L161" s="17">
        <v>-0.44652770426498473</v>
      </c>
      <c r="M161" s="20">
        <v>8.9725075314925185E-2</v>
      </c>
      <c r="N161" s="16">
        <f t="array" ref="N161:P161">TRANSPOSE(MMULT($I$4:$K$6,TRANSPOSE(B161:D161+$P$1*K161:M161)))</f>
        <v>0.99436780532330726</v>
      </c>
      <c r="O161" s="17">
        <v>-0.42849723967580194</v>
      </c>
      <c r="P161" s="20">
        <v>9.5468776945178024E-2</v>
      </c>
    </row>
    <row r="162" spans="1:16" x14ac:dyDescent="0.25">
      <c r="A162" s="24">
        <f t="shared" si="2"/>
        <v>14.899999999999963</v>
      </c>
      <c r="B162" s="16">
        <f t="array" ref="B162:D162">B161:D161+$P$1/6*(E161:G161+2*H161:J161+2*K161:M161+N161:P161)</f>
        <v>-1.3703424321029523</v>
      </c>
      <c r="C162" s="11">
        <v>-0.71524248681051072</v>
      </c>
      <c r="D162" s="11">
        <v>-0.3552351354235716</v>
      </c>
      <c r="E162" s="16">
        <f t="array" ref="E162:G162">TRANSPOSE(MMULT($I$4:$K$6,TRANSPOSE(B162:D162)))</f>
        <v>0.99437078419023461</v>
      </c>
      <c r="F162" s="17">
        <v>-0.42848430341924776</v>
      </c>
      <c r="G162" s="20">
        <v>9.5471498739191363E-2</v>
      </c>
      <c r="H162" s="16">
        <f t="array" ref="H162:J162">TRANSPOSE(MMULT($I$4:$K$6,TRANSPOSE(B162:D162+$P$1/2*E162:G162)))</f>
        <v>1.0089137154654619</v>
      </c>
      <c r="I162" s="17">
        <v>-0.41021831185931518</v>
      </c>
      <c r="J162" s="20">
        <v>0.10107011594755333</v>
      </c>
      <c r="K162" s="16">
        <f t="array" ref="K162:M162">TRANSPOSE(MMULT($I$4:$K$6,TRANSPOSE(B162:D162+$P$1/2*H162:J162)))</f>
        <v>1.0078157288869221</v>
      </c>
      <c r="L162" s="17">
        <v>-0.41002158852998621</v>
      </c>
      <c r="M162" s="20">
        <v>0.10091734840832758</v>
      </c>
      <c r="N162" s="16">
        <f t="array" ref="N162:P162">TRANSPOSE(MMULT($I$4:$K$6,TRANSPOSE(B162:D162+$P$1*K162:M162)))</f>
        <v>1.021258091818031</v>
      </c>
      <c r="O162" s="17">
        <v>-0.3915976254777167</v>
      </c>
      <c r="P162" s="20">
        <v>0.106356121653157</v>
      </c>
    </row>
    <row r="163" spans="1:16" x14ac:dyDescent="0.25">
      <c r="A163" s="24">
        <f t="shared" si="2"/>
        <v>14.999999999999963</v>
      </c>
      <c r="B163" s="16">
        <f t="array" ref="B163:D163">B162:D162+$P$1/6*(E162:G162+2*H162:J162+2*K162:M162+N162:P162)</f>
        <v>-1.2695243026910683</v>
      </c>
      <c r="C163" s="11">
        <v>-0.75625184897177022</v>
      </c>
      <c r="D163" s="11">
        <v>-0.34513842627183644</v>
      </c>
      <c r="E163" s="16">
        <f t="array" ref="E163:G163">TRANSPOSE(MMULT($I$4:$K$6,TRANSPOSE(B163:D163)))</f>
        <v>1.0212596497496116</v>
      </c>
      <c r="F163" s="17">
        <v>-0.39158468586303796</v>
      </c>
      <c r="G163" s="20">
        <v>0.10635860271305819</v>
      </c>
      <c r="H163" s="16">
        <f t="array" ref="H163:J163">TRANSPOSE(MMULT($I$4:$K$6,TRANSPOSE(B163:D163+$P$1/2*E163:G163)))</f>
        <v>1.0336054137397543</v>
      </c>
      <c r="I163" s="17">
        <v>-0.37296394292700896</v>
      </c>
      <c r="J163" s="20">
        <v>0.11164485376076444</v>
      </c>
      <c r="K163" s="16">
        <f t="array" ref="K163:M163">TRANSPOSE(MMULT($I$4:$K$6,TRANSPOSE(B163:D163+$P$1/2*H163:J163)))</f>
        <v>1.032506922752048</v>
      </c>
      <c r="L163" s="17">
        <v>-0.37280588081636046</v>
      </c>
      <c r="M163" s="20">
        <v>0.11148537810534453</v>
      </c>
      <c r="N163" s="16">
        <f t="array" ref="N163:P163">TRANSPOSE(MMULT($I$4:$K$6,TRANSPOSE(B163:D163+$P$1*K163:M163)))</f>
        <v>1.0437557534795134</v>
      </c>
      <c r="O163" s="17">
        <v>-0.35406562293248905</v>
      </c>
      <c r="P163" s="20">
        <v>0.11660581511919743</v>
      </c>
    </row>
    <row r="164" spans="1:16" x14ac:dyDescent="0.25">
      <c r="A164" s="24">
        <f t="shared" si="2"/>
        <v>15.099999999999962</v>
      </c>
      <c r="B164" s="16">
        <f t="array" ref="B164:D164">B163:D163+$P$1/6*(E163:G163+2*H163:J163+2*K163:M163+N163:P163)</f>
        <v>-1.1662369680875229</v>
      </c>
      <c r="C164" s="11">
        <v>-0.79353834824314129</v>
      </c>
      <c r="D164" s="11">
        <v>-0.33398467824576189</v>
      </c>
      <c r="E164" s="16">
        <f t="array" ref="E164:G164">TRANSPOSE(MMULT($I$4:$K$6,TRANSPOSE(B164:D164)))</f>
        <v>1.0437559163501984</v>
      </c>
      <c r="F164" s="17">
        <v>-0.35405272809852983</v>
      </c>
      <c r="G164" s="20">
        <v>0.11660805159312015</v>
      </c>
      <c r="H164" s="16">
        <f t="array" ref="H164:J164">TRANSPOSE(MMULT($I$4:$K$6,TRANSPOSE(B164:D164+$P$1/2*E164:G164)))</f>
        <v>1.0539076121415114</v>
      </c>
      <c r="I164" s="17">
        <v>-0.3351543049897947</v>
      </c>
      <c r="J164" s="20">
        <v>0.12156926090506465</v>
      </c>
      <c r="K164" s="16">
        <f t="array" ref="K164:M164">TRANSPOSE(MMULT($I$4:$K$6,TRANSPOSE(B164:D164+$P$1/2*H164:J164)))</f>
        <v>1.0528127083208794</v>
      </c>
      <c r="L164" s="17">
        <v>-0.33503462976640624</v>
      </c>
      <c r="M164" s="20">
        <v>0.12140381897427183</v>
      </c>
      <c r="N164" s="16">
        <f t="array" ref="N164:P164">TRANSPOSE(MMULT($I$4:$K$6,TRANSPOSE(B164:D164+$P$1*K164:M164)))</f>
        <v>1.0618750994846593</v>
      </c>
      <c r="O164" s="17">
        <v>-0.31605473530052297</v>
      </c>
      <c r="P164" s="20">
        <v>0.12619399312164334</v>
      </c>
    </row>
    <row r="165" spans="1:16" x14ac:dyDescent="0.25">
      <c r="A165" s="24">
        <f t="shared" si="2"/>
        <v>15.199999999999962</v>
      </c>
      <c r="B165" s="16">
        <f t="array" ref="B165:D165">B164:D164+$P$1/6*(E164:G164+2*H164:J164+2*K164:M164+N164:P164)</f>
        <v>-1.0609191071415289</v>
      </c>
      <c r="C165" s="11">
        <v>-0.82704643712499881</v>
      </c>
      <c r="D165" s="11">
        <v>-0.32183887483787127</v>
      </c>
      <c r="E165" s="16">
        <f t="array" ref="E165:G165">TRANSPOSE(MMULT($I$4:$K$6,TRANSPOSE(B165:D165)))</f>
        <v>1.0618738977743003</v>
      </c>
      <c r="F165" s="17">
        <v>-0.31604193214716758</v>
      </c>
      <c r="G165" s="20">
        <v>0.12619598215206546</v>
      </c>
      <c r="H165" s="16">
        <f t="array" ref="H165:J165">TRANSPOSE(MMULT($I$4:$K$6,TRANSPOSE(B165:D165+$P$1/2*E165:G165)))</f>
        <v>1.0698427052497459</v>
      </c>
      <c r="I165" s="17">
        <v>-0.29694221420435152</v>
      </c>
      <c r="J165" s="20">
        <v>0.13082096395435236</v>
      </c>
      <c r="K165" s="16">
        <f t="array" ref="K165:M165">TRANSPOSE(MMULT($I$4:$K$6,TRANSPOSE(B165:D165+$P$1/2*H165:J165)))</f>
        <v>1.0687553756791821</v>
      </c>
      <c r="L165" s="17">
        <v>-0.29686051506185784</v>
      </c>
      <c r="M165" s="20">
        <v>0.13065030322104965</v>
      </c>
      <c r="N165" s="16">
        <f t="array" ref="N165:P165">TRANSPOSE(MMULT($I$4:$K$6,TRANSPOSE(B165:D165+$P$1*K165:M165)))</f>
        <v>1.0756463833948522</v>
      </c>
      <c r="O165" s="17">
        <v>-0.27771682428777955</v>
      </c>
      <c r="P165" s="20">
        <v>0.13509978037366782</v>
      </c>
    </row>
    <row r="166" spans="1:16" x14ac:dyDescent="0.25">
      <c r="A166" s="24">
        <f t="shared" si="2"/>
        <v>15.299999999999962</v>
      </c>
      <c r="B166" s="16">
        <f t="array" ref="B166:D166">B165:D165+$P$1/6*(E165:G165+2*H165:J165+2*K165:M165+N165:P165)</f>
        <v>-0.95400716642441208</v>
      </c>
      <c r="C166" s="11">
        <v>-0.8567358407077883</v>
      </c>
      <c r="D166" s="11">
        <v>-0.30876823655659563</v>
      </c>
      <c r="E166" s="16">
        <f t="array" ref="E166:G166">TRANSPOSE(MMULT($I$4:$K$6,TRANSPOSE(B166:D166)))</f>
        <v>1.0756438519728677</v>
      </c>
      <c r="F166" s="17">
        <v>-0.27770415832934914</v>
      </c>
      <c r="G166" s="20">
        <v>0.13510152008586898</v>
      </c>
      <c r="H166" s="16">
        <f t="array" ref="H166:J166">TRANSPOSE(MMULT($I$4:$K$6,TRANSPOSE(B166:D166+$P$1/2*E166:G166)))</f>
        <v>1.0814488102277535</v>
      </c>
      <c r="I166" s="17">
        <v>-0.2584785765763794</v>
      </c>
      <c r="J166" s="20">
        <v>0.13938058675963355</v>
      </c>
      <c r="K166" s="16">
        <f t="array" ref="K166:M166">TRANSPOSE(MMULT($I$4:$K$6,TRANSPOSE(B166:D166+$P$1/2*H166:J166)))</f>
        <v>1.0803729250153553</v>
      </c>
      <c r="L166" s="17">
        <v>-0.25843431080032409</v>
      </c>
      <c r="M166" s="20">
        <v>0.13920545742674123</v>
      </c>
      <c r="N166" s="16">
        <f t="array" ref="N166:P166">TRANSPOSE(MMULT($I$4:$K$6,TRANSPOSE(B166:D166+$P$1*K166:M166)))</f>
        <v>1.0851153355056768</v>
      </c>
      <c r="O166" s="17">
        <v>-0.23920158253448331</v>
      </c>
      <c r="P166" s="20">
        <v>0.14330530146510256</v>
      </c>
    </row>
    <row r="167" spans="1:16" x14ac:dyDescent="0.25">
      <c r="A167" s="24">
        <f t="shared" si="2"/>
        <v>15.399999999999961</v>
      </c>
      <c r="B167" s="16">
        <f t="array" ref="B167:D167">B166:D166+$P$1/6*(E166:G166+2*H166:J166+2*K166:M166+N166:P166)</f>
        <v>-0.84593378879166603</v>
      </c>
      <c r="C167" s="11">
        <v>-0.88258136596807557</v>
      </c>
      <c r="D167" s="11">
        <v>-0.2948419213912003</v>
      </c>
      <c r="E167" s="16">
        <f t="array" ref="E167:G167">TRANSPOSE(MMULT($I$4:$K$6,TRANSPOSE(B167:D167)))</f>
        <v>1.0851115134037224</v>
      </c>
      <c r="F167" s="17">
        <v>-0.23918909776154534</v>
      </c>
      <c r="G167" s="20">
        <v>0.14330679095222859</v>
      </c>
      <c r="H167" s="16">
        <f t="array" ref="H167:J167">TRANSPOSE(MMULT($I$4:$K$6,TRANSPOSE(B167:D167+$P$1/2*E167:G167)))</f>
        <v>1.0887792749057363</v>
      </c>
      <c r="I167" s="17">
        <v>-0.21991186998408102</v>
      </c>
      <c r="J167" s="20">
        <v>0.14723175563641591</v>
      </c>
      <c r="K167" s="16">
        <f t="array" ref="K167:M167">TRANSPOSE(MMULT($I$4:$K$6,TRANSPOSE(B167:D167+$P$1/2*H167:J167)))</f>
        <v>1.0877185754156695</v>
      </c>
      <c r="L167" s="17">
        <v>-0.21990436790698631</v>
      </c>
      <c r="M167" s="20">
        <v>0.14705290778944924</v>
      </c>
      <c r="N167" s="16">
        <f t="array" ref="N167:P167">TRANSPOSE(MMULT($I$4:$K$6,TRANSPOSE(B167:D167+$P$1*K167:M167)))</f>
        <v>1.0903426481286862</v>
      </c>
      <c r="O167" s="17">
        <v>-0.20065602591475129</v>
      </c>
      <c r="P167" s="20">
        <v>0.15079568041741101</v>
      </c>
    </row>
    <row r="168" spans="1:16" x14ac:dyDescent="0.25">
      <c r="A168" s="24">
        <f t="shared" si="2"/>
        <v>15.499999999999961</v>
      </c>
      <c r="B168" s="16">
        <f t="array" ref="B168:D168">B167:D167+$P$1/6*(E167:G167+2*H167:J167+2*K167:M167+N167:P167)</f>
        <v>-0.73712629108874572</v>
      </c>
      <c r="C168" s="11">
        <v>-0.90457265929238273</v>
      </c>
      <c r="D168" s="11">
        <v>-0.2801307247541775</v>
      </c>
      <c r="E168" s="16">
        <f t="array" ref="E168:G168">TRANSPOSE(MMULT($I$4:$K$6,TRANSPOSE(B168:D168)))</f>
        <v>1.0903375783029283</v>
      </c>
      <c r="F168" s="17">
        <v>-0.2006437646646681</v>
      </c>
      <c r="G168" s="20">
        <v>0.15079691972227599</v>
      </c>
      <c r="H168" s="16">
        <f t="array" ref="H168:J168">TRANSPOSE(MMULT($I$4:$K$6,TRANSPOSE(B168:D168+$P$1/2*E168:G168)))</f>
        <v>1.0919021402502016</v>
      </c>
      <c r="I168" s="17">
        <v>-0.18138764676240171</v>
      </c>
      <c r="J168" s="20">
        <v>0.15436109328385617</v>
      </c>
      <c r="K168" s="16">
        <f t="array" ref="K168:M168">TRANSPOSE(MMULT($I$4:$K$6,TRANSPOSE(B168:D168+$P$1/2*H168:J168)))</f>
        <v>1.0908602280741202</v>
      </c>
      <c r="L168" s="17">
        <v>-0.181416117079997</v>
      </c>
      <c r="M168" s="20">
        <v>0.15417927410734764</v>
      </c>
      <c r="N168" s="16">
        <f t="array" ref="N168:P168">TRANSPOSE(MMULT($I$4:$K$6,TRANSPOSE(B168:D168+$P$1*K168:M168)))</f>
        <v>1.0914034167658928</v>
      </c>
      <c r="O168" s="17">
        <v>-0.16222400709157647</v>
      </c>
      <c r="P168" s="20">
        <v>0.15755902910718361</v>
      </c>
    </row>
    <row r="169" spans="1:16" x14ac:dyDescent="0.25">
      <c r="A169" s="24">
        <f t="shared" si="2"/>
        <v>15.599999999999961</v>
      </c>
      <c r="B169" s="16">
        <f t="array" ref="B169:D169">B168:D168+$P$1/6*(E168:G168+2*H168:J168+2*K168:M168+N168:P168)</f>
        <v>-0.62800519556012135</v>
      </c>
      <c r="C169" s="11">
        <v>-0.92271391428306682</v>
      </c>
      <c r="D169" s="11">
        <v>-0.26470678002731302</v>
      </c>
      <c r="E169" s="16">
        <f t="array" ref="E169:G169">TRANSPOSE(MMULT($I$4:$K$6,TRANSPOSE(B169:D169)))</f>
        <v>1.0913971458500042</v>
      </c>
      <c r="F169" s="17">
        <v>-0.16221200992807966</v>
      </c>
      <c r="G169" s="20">
        <v>0.15756001920095009</v>
      </c>
      <c r="H169" s="16">
        <f t="array" ref="H169:J169">TRANSPOSE(MMULT($I$4:$K$6,TRANSPOSE(B169:D169+$P$1/2*E169:G169)))</f>
        <v>1.0908995602331393</v>
      </c>
      <c r="I169" s="17">
        <v>-0.14304805823754563</v>
      </c>
      <c r="J169" s="20">
        <v>0.16075820170933069</v>
      </c>
      <c r="K169" s="16">
        <f t="array" ref="K169:M169">TRANSPOSE(MMULT($I$4:$K$6,TRANSPOSE(B169:D169+$P$1/2*H169:J169)))</f>
        <v>1.0898798869265292</v>
      </c>
      <c r="L169" s="17">
        <v>-0.14311159365836068</v>
      </c>
      <c r="M169" s="20">
        <v>0.16057415277605244</v>
      </c>
      <c r="N169" s="16">
        <f t="array" ref="N169:P169">TRANSPOSE(MMULT($I$4:$K$6,TRANSPOSE(B169:D169+$P$1*K169:M169)))</f>
        <v>1.0883865402355328</v>
      </c>
      <c r="O169" s="17">
        <v>-0.12404575166045678</v>
      </c>
      <c r="P169" s="20">
        <v>0.16358642484919214</v>
      </c>
    </row>
    <row r="170" spans="1:16" x14ac:dyDescent="0.25">
      <c r="A170" s="24">
        <f t="shared" si="2"/>
        <v>15.69999999999996</v>
      </c>
      <c r="B170" s="16">
        <f t="array" ref="B170:D170">B169:D169+$P$1/6*(E169:G169+2*H169:J169+2*K169:M169+N169:P169)</f>
        <v>-0.51898281922004008</v>
      </c>
      <c r="C170" s="11">
        <v>-0.93702353203940592</v>
      </c>
      <c r="D170" s="11">
        <v>-0.24864326081029786</v>
      </c>
      <c r="E170" s="16">
        <f t="array" ref="E170:G170">TRANSPOSE(MMULT($I$4:$K$6,TRANSPOSE(B170:D170)))</f>
        <v>1.0883791182855291</v>
      </c>
      <c r="F170" s="17">
        <v>-0.12403405726249345</v>
      </c>
      <c r="G170" s="20">
        <v>0.16358716760707795</v>
      </c>
      <c r="H170" s="16">
        <f t="array" ref="H170:J170">TRANSPOSE(MMULT($I$4:$K$6,TRANSPOSE(B170:D170+$P$1/2*E170:G170)))</f>
        <v>1.0858671822050845</v>
      </c>
      <c r="I170" s="17">
        <v>-0.105031402488793</v>
      </c>
      <c r="J170" s="20">
        <v>0.16641563446684188</v>
      </c>
      <c r="K170" s="16">
        <f t="array" ref="K170:M170">TRANSPOSE(MMULT($I$4:$K$6,TRANSPOSE(B170:D170+$P$1/2*H170:J170)))</f>
        <v>1.0848730398096065</v>
      </c>
      <c r="L170" s="17">
        <v>-0.1051289856887026</v>
      </c>
      <c r="M170" s="20">
        <v>0.16623008910827547</v>
      </c>
      <c r="N170" s="16">
        <f t="array" ref="N170:P170">TRANSPOSE(MMULT($I$4:$K$6,TRANSPOSE(B170:D170+$P$1*K170:M170)))</f>
        <v>1.0813940828919724</v>
      </c>
      <c r="O170" s="17">
        <v>-8.6257418101347405E-2</v>
      </c>
      <c r="P170" s="20">
        <v>0.16887187746381993</v>
      </c>
    </row>
    <row r="171" spans="1:16" x14ac:dyDescent="0.25">
      <c r="A171" s="24">
        <f t="shared" si="2"/>
        <v>15.79999999999996</v>
      </c>
      <c r="B171" s="16">
        <f t="array" ref="B171:D171">B170:D170+$P$1/6*(E170:G170+2*H170:J170+2*K170:M170+N170:P170)</f>
        <v>-0.41046192513325869</v>
      </c>
      <c r="C171" s="11">
        <v>-0.94753373623471981</v>
      </c>
      <c r="D171" s="11">
        <v>-0.23201408593994566</v>
      </c>
      <c r="E171" s="16">
        <f t="array" ref="E171:G171">TRANSPOSE(MMULT($I$4:$K$6,TRANSPOSE(B171:D171)))</f>
        <v>1.0813855631240239</v>
      </c>
      <c r="F171" s="17">
        <v>-8.6246063161403153E-2</v>
      </c>
      <c r="G171" s="20">
        <v>0.16887237563798832</v>
      </c>
      <c r="H171" s="16">
        <f t="array" ref="H171:J171">TRANSPOSE(MMULT($I$4:$K$6,TRANSPOSE(B171:D171+$P$1/2*E171:G171)))</f>
        <v>1.0769134909537141</v>
      </c>
      <c r="I171" s="17">
        <v>-6.7471696499907641E-2</v>
      </c>
      <c r="J171" s="20">
        <v>0.17132885855049054</v>
      </c>
      <c r="K171" s="16">
        <f t="array" ref="K171:M171">TRANSPOSE(MMULT($I$4:$K$6,TRANSPOSE(B171:D171+$P$1/2*H171:J171)))</f>
        <v>1.0759480033232409</v>
      </c>
      <c r="L171" s="17">
        <v>-6.7602206352712857E-2</v>
      </c>
      <c r="M171" s="20">
        <v>0.17114253931650081</v>
      </c>
      <c r="N171" s="16">
        <f t="array" ref="N171:P171">TRANSPOSE(MMULT($I$4:$K$6,TRANSPOSE(B171:D171+$P$1*K171:M171)))</f>
        <v>1.0705406021534027</v>
      </c>
      <c r="O171" s="17">
        <v>-4.8990682642997496E-2</v>
      </c>
      <c r="P171" s="20">
        <v>0.17341228618550847</v>
      </c>
    </row>
    <row r="172" spans="1:16" x14ac:dyDescent="0.25">
      <c r="A172" s="24">
        <f t="shared" si="2"/>
        <v>15.899999999999959</v>
      </c>
      <c r="B172" s="16">
        <f t="array" ref="B172:D172">B171:D171+$P$1/6*(E171:G171+2*H171:J171+2*K171:M171+N171:P171)</f>
        <v>-0.30283443923606973</v>
      </c>
      <c r="C172" s="11">
        <v>-0.95429014542654722</v>
      </c>
      <c r="D172" s="11">
        <v>-0.21489362831398767</v>
      </c>
      <c r="E172" s="16">
        <f t="array" ref="E172:G172">TRANSPOSE(MMULT($I$4:$K$6,TRANSPOSE(B172:D172)))</f>
        <v>1.0705310406757493</v>
      </c>
      <c r="F172" s="17">
        <v>-4.897970177506461E-2</v>
      </c>
      <c r="G172" s="20">
        <v>0.17341254337530465</v>
      </c>
      <c r="H172" s="16">
        <f t="array" ref="H172:J172">TRANSPOSE(MMULT($I$4:$K$6,TRANSPOSE(B172:D172+$P$1/2*E172:G172)))</f>
        <v>1.0641591196936178</v>
      </c>
      <c r="I172" s="17">
        <v>-3.0498273745931503E-2</v>
      </c>
      <c r="J172" s="20">
        <v>0.17549620631507198</v>
      </c>
      <c r="K172" s="16">
        <f t="array" ref="K172:M172">TRANSPOSE(MMULT($I$4:$K$6,TRANSPOSE(B172:D172+$P$1/2*H172:J172)))</f>
        <v>1.0632252346382762</v>
      </c>
      <c r="L172" s="17">
        <v>-3.0660491800684753E-2</v>
      </c>
      <c r="M172" s="20">
        <v>0.17530982253023317</v>
      </c>
      <c r="N172" s="16">
        <f t="array" ref="N172:P172">TRANSPOSE(MMULT($I$4:$K$6,TRANSPOSE(B172:D172+$P$1*K172:M172)))</f>
        <v>1.0559524446082256</v>
      </c>
      <c r="O172" s="17">
        <v>-1.2372350026599144E-2</v>
      </c>
      <c r="P172" s="20">
        <v>0.17720738679864823</v>
      </c>
    </row>
    <row r="173" spans="1:16" x14ac:dyDescent="0.25">
      <c r="A173" s="24">
        <f t="shared" si="2"/>
        <v>15.999999999999959</v>
      </c>
      <c r="B173" s="16">
        <f t="array" ref="B173:D173">B172:D172+$P$1/6*(E172:G172+2*H172:J172+2*K172:M172+N172:P172)</f>
        <v>-0.19648023600360703</v>
      </c>
      <c r="C173" s="11">
        <v>-0.95735130514146216</v>
      </c>
      <c r="D173" s="11">
        <v>-0.19735642851624496</v>
      </c>
      <c r="E173" s="16">
        <f t="array" ref="E173:G173">TRANSPOSE(MMULT($I$4:$K$6,TRANSPOSE(B173:D173)))</f>
        <v>1.0559419001483208</v>
      </c>
      <c r="F173" s="17">
        <v>-1.2361775683915832E-2</v>
      </c>
      <c r="G173" s="20">
        <v>0.17720740741835278</v>
      </c>
      <c r="H173" s="16">
        <f t="array" ref="H173:J173">TRANSPOSE(MMULT($I$4:$K$6,TRANSPOSE(B173:D173+$P$1/2*E173:G173)))</f>
        <v>1.0477361312834079</v>
      </c>
      <c r="I173" s="17">
        <v>5.7645918566199827E-3</v>
      </c>
      <c r="J173" s="20">
        <v>0.17891881782460228</v>
      </c>
      <c r="K173" s="16">
        <f t="array" ref="K173:M173">TRANSPOSE(MMULT($I$4:$K$6,TRANSPOSE(B173:D173+$P$1/2*H173:J173)))</f>
        <v>1.0468366135425808</v>
      </c>
      <c r="L173" s="17">
        <v>5.5719746811044302E-3</v>
      </c>
      <c r="M173" s="20">
        <v>0.17873306324810015</v>
      </c>
      <c r="N173" s="16">
        <f t="array" ref="N173:P173">TRANSPOSE(MMULT($I$4:$K$6,TRANSPOSE(B173:D173+$P$1*K173:M173)))</f>
        <v>1.0377670140148605</v>
      </c>
      <c r="O173" s="17">
        <v>2.3476008962522776E-2</v>
      </c>
      <c r="P173" s="20">
        <v>0.18025968941503218</v>
      </c>
    </row>
    <row r="174" spans="1:16" x14ac:dyDescent="0.25">
      <c r="A174" s="24">
        <f t="shared" si="2"/>
        <v>16.099999999999959</v>
      </c>
      <c r="B174" s="16">
        <f t="array" ref="B174:D174">B173:D173+$P$1/6*(E173:G173+2*H173:J173+2*K173:M173+N173:P173)</f>
        <v>-9.176599594002105E-2</v>
      </c>
      <c r="C174" s="11">
        <v>-0.95678818236889451</v>
      </c>
      <c r="D174" s="11">
        <v>-0.17947691419993181</v>
      </c>
      <c r="E174" s="16">
        <f t="array" ref="E174:G174">TRANSPOSE(MMULT($I$4:$K$6,TRANSPOSE(B174:D174)))</f>
        <v>1.0377555476428693</v>
      </c>
      <c r="F174" s="17">
        <v>2.3486146559874133E-2</v>
      </c>
      <c r="G174" s="20">
        <v>0.1802594786593055</v>
      </c>
      <c r="H174" s="16">
        <f t="array" ref="H174:J174">TRANSPOSE(MMULT($I$4:$K$6,TRANSPOSE(B174:D174+$P$1/2*E174:G174)))</f>
        <v>1.0277872730034752</v>
      </c>
      <c r="I174" s="17">
        <v>4.119803482675366E-2</v>
      </c>
      <c r="J174" s="20">
        <v>0.18160057405620905</v>
      </c>
      <c r="K174" s="16">
        <f t="array" ref="K174:M174">TRANSPOSE(MMULT($I$4:$K$6,TRANSPOSE(B174:D174+$P$1/2*H174:J174)))</f>
        <v>1.0269246980553901</v>
      </c>
      <c r="L174" s="17">
        <v>4.0976411359910592E-2</v>
      </c>
      <c r="M174" s="20">
        <v>0.18141612465170304</v>
      </c>
      <c r="N174" s="16">
        <f t="array" ref="N174:P174">TRANSPOSE(MMULT($I$4:$K$6,TRANSPOSE(B174:D174+$P$1*K174:M174)))</f>
        <v>1.0161320145402561</v>
      </c>
      <c r="O174" s="17">
        <v>5.843839244523491E-2</v>
      </c>
      <c r="P174" s="20">
        <v>0.18257440733252317</v>
      </c>
    </row>
    <row r="175" spans="1:16" x14ac:dyDescent="0.25">
      <c r="A175" s="24">
        <f t="shared" si="2"/>
        <v>16.19999999999996</v>
      </c>
      <c r="B175" s="16">
        <f t="array" ref="B175:D175">B174:D174+$P$1/6*(E174:G174+2*H174:J174+2*K174:M174+N174:P174)</f>
        <v>1.0955862464993207E-2</v>
      </c>
      <c r="C175" s="11">
        <v>-0.95268362517925387</v>
      </c>
      <c r="D175" s="11">
        <v>-0.1613291261431376</v>
      </c>
      <c r="E175" s="16">
        <f t="array" ref="E175:G175">TRANSPOSE(MMULT($I$4:$K$6,TRANSPOSE(B175:D175)))</f>
        <v>1.0161196893900095</v>
      </c>
      <c r="F175" s="17">
        <v>5.8448065372821323E-2</v>
      </c>
      <c r="G175" s="20">
        <v>0.18257397113972132</v>
      </c>
      <c r="H175" s="16">
        <f t="array" ref="H175:J175">TRANSPOSE(MMULT($I$4:$K$6,TRANSPOSE(B175:D175+$P$1/2*E175:G175)))</f>
        <v>1.0044652082516241</v>
      </c>
      <c r="I175" s="17">
        <v>7.5688919132745558E-2</v>
      </c>
      <c r="J175" s="20">
        <v>0.18354802141126253</v>
      </c>
      <c r="K175" s="16">
        <f t="array" ref="K175:M175">TRANSPOSE(MMULT($I$4:$K$6,TRANSPOSE(B175:D175+$P$1/2*H175:J175)))</f>
        <v>1.0036419569638888</v>
      </c>
      <c r="L175" s="17">
        <v>7.5439758912530464E-2</v>
      </c>
      <c r="M175" s="20">
        <v>0.18336553323254168</v>
      </c>
      <c r="N175" s="16">
        <f t="array" ref="N175:P175">TRANSPOSE(MMULT($I$4:$K$6,TRANSPOSE(B175:D175+$P$1*K175:M175)))</f>
        <v>0.99120467259981604</v>
      </c>
      <c r="O175" s="17">
        <v>9.2404674249917718E-2</v>
      </c>
      <c r="P175" s="20">
        <v>0.18415937743791985</v>
      </c>
    </row>
    <row r="176" spans="1:16" x14ac:dyDescent="0.25">
      <c r="A176" s="24">
        <f t="shared" si="2"/>
        <v>16.299999999999962</v>
      </c>
      <c r="B176" s="16">
        <f t="array" ref="B176:D176">B175:D175+$P$1/6*(E175:G175+2*H175:J175+2*K175:M175+N175:P175)</f>
        <v>0.11134817400534074</v>
      </c>
      <c r="C176" s="11">
        <v>-0.94513179025069904</v>
      </c>
      <c r="D176" s="11">
        <v>-0.14298645184538344</v>
      </c>
      <c r="E176" s="16">
        <f t="array" ref="E176:G176">TRANSPOSE(MMULT($I$4:$K$6,TRANSPOSE(B176:D176)))</f>
        <v>0.99119155358831834</v>
      </c>
      <c r="F176" s="17">
        <v>9.2413856931528759E-2</v>
      </c>
      <c r="G176" s="20">
        <v>0.18415872245146558</v>
      </c>
      <c r="H176" s="16">
        <f t="array" ref="H176:J176">TRANSPOSE(MMULT($I$4:$K$6,TRANSPOSE(B176:D176+$P$1/2*E176:G176)))</f>
        <v>0.97793172852477106</v>
      </c>
      <c r="I176" s="17">
        <v>0.10913013077108302</v>
      </c>
      <c r="J176" s="20">
        <v>0.18477028800784395</v>
      </c>
      <c r="K176" s="16">
        <f t="array" ref="K176:M176">TRANSPOSE(MMULT($I$4:$K$6,TRANSPOSE(B176:D176+$P$1/2*H176:J176)))</f>
        <v>0.97714998264698349</v>
      </c>
      <c r="L176" s="17">
        <v>0.10885497287617024</v>
      </c>
      <c r="M176" s="20">
        <v>0.18459039520555001</v>
      </c>
      <c r="N176" s="16">
        <f t="array" ref="N176:P176">TRANSPOSE(MMULT($I$4:$K$6,TRANSPOSE(B176:D176+$P$1*K176:M176)))</f>
        <v>0.96315094066600959</v>
      </c>
      <c r="O176" s="17">
        <v>0.12527088205238607</v>
      </c>
      <c r="P176" s="20">
        <v>0.18502497263809792</v>
      </c>
    </row>
    <row r="177" spans="1:16" x14ac:dyDescent="0.25">
      <c r="A177" s="24">
        <f t="shared" si="2"/>
        <v>16.399999999999963</v>
      </c>
      <c r="B177" s="16">
        <f t="array" ref="B177:D177">B176:D176+$P$1/6*(E176:G176+2*H176:J176+2*K176:M176+N176:P176)</f>
        <v>0.20908993928197134</v>
      </c>
      <c r="C177" s="11">
        <v>-0.93423754114605873</v>
      </c>
      <c r="D177" s="11">
        <v>-0.12452136748677758</v>
      </c>
      <c r="E177" s="16">
        <f t="array" ref="E177:G177">TRANSPOSE(MMULT($I$4:$K$6,TRANSPOSE(B177:D177)))</f>
        <v>0.96313709421257265</v>
      </c>
      <c r="F177" s="17">
        <v>0.12527955130271423</v>
      </c>
      <c r="G177" s="20">
        <v>0.18502410616609302</v>
      </c>
      <c r="H177" s="16">
        <f t="array" ref="H177:J177">TRANSPOSE(MMULT($I$4:$K$6,TRANSPOSE(B177:D177+$P$1/2*E177:G177)))</f>
        <v>0.94835694905305212</v>
      </c>
      <c r="I177" s="17">
        <v>0.14142084145740114</v>
      </c>
      <c r="J177" s="20">
        <v>0.18527899224861138</v>
      </c>
      <c r="K177" s="16">
        <f t="array" ref="K177:M177">TRANSPOSE(MMULT($I$4:$K$6,TRANSPOSE(B177:D177+$P$1/2*H177:J177)))</f>
        <v>0.9476186875494651</v>
      </c>
      <c r="L177" s="17">
        <v>0.14112128724078532</v>
      </c>
      <c r="M177" s="20">
        <v>0.18510230520273557</v>
      </c>
      <c r="N177" s="16">
        <f t="array" ref="N177:P177">TRANSPOSE(MMULT($I$4:$K$6,TRANSPOSE(B177:D177+$P$1*K177:M177)))</f>
        <v>0.93214468640489001</v>
      </c>
      <c r="O177" s="17">
        <v>0.15693944645989483</v>
      </c>
      <c r="P177" s="20">
        <v>0.18518400682232722</v>
      </c>
    </row>
    <row r="178" spans="1:16" x14ac:dyDescent="0.25">
      <c r="A178" s="24">
        <f t="shared" si="2"/>
        <v>16.499999999999964</v>
      </c>
      <c r="B178" s="16">
        <f t="array" ref="B178:D178">B177:D177+$P$1/6*(E177:G177+2*H177:J177+2*K177:M177+N177:P177)</f>
        <v>0.30387715684567962</v>
      </c>
      <c r="C178" s="11">
        <v>-0.92011582022674232</v>
      </c>
      <c r="D178" s="11">
        <v>-0.10600518902192568</v>
      </c>
      <c r="E178" s="16">
        <f t="array" ref="E178:G178">TRANSPOSE(MMULT($I$4:$K$6,TRANSPOSE(B178:D178)))</f>
        <v>0.93213018015094462</v>
      </c>
      <c r="F178" s="17">
        <v>0.15694758151738258</v>
      </c>
      <c r="G178" s="20">
        <v>0.18518293679559644</v>
      </c>
      <c r="H178" s="16">
        <f t="array" ref="H178:J178">TRANSPOSE(MMULT($I$4:$K$6,TRANSPOSE(B178:D178+$P$1/2*E178:G178)))</f>
        <v>0.91591849143840887</v>
      </c>
      <c r="I178" s="17">
        <v>0.17246674309361726</v>
      </c>
      <c r="J178" s="20">
        <v>0.18508814417580871</v>
      </c>
      <c r="K178" s="16">
        <f t="array" ref="K178:M178">TRANSPOSE(MMULT($I$4:$K$6,TRANSPOSE(B178:D178+$P$1/2*H178:J178)))</f>
        <v>0.91522548765555556</v>
      </c>
      <c r="L178" s="17">
        <v>0.17214444884680694</v>
      </c>
      <c r="M178" s="20">
        <v>0.18491524775809648</v>
      </c>
      <c r="N178" s="16">
        <f t="array" ref="N178:P178">TRANSPOSE(MMULT($I$4:$K$6,TRANSPOSE(B178:D178+$P$1*K178:M178)))</f>
        <v>0.89836687047938457</v>
      </c>
      <c r="O178" s="17">
        <v>0.18731942076142633</v>
      </c>
      <c r="P178" s="20">
        <v>0.18465163287520431</v>
      </c>
    </row>
    <row r="179" spans="1:16" x14ac:dyDescent="0.25">
      <c r="A179" s="24">
        <f t="shared" si="2"/>
        <v>16.599999999999966</v>
      </c>
      <c r="B179" s="16">
        <f t="array" ref="B179:D179">B178:D178+$P$1/6*(E178:G178+2*H178:J178+2*K178:M178+N178:P178)</f>
        <v>0.39542357365931724</v>
      </c>
      <c r="C179" s="11">
        <v>-0.90289099712408138</v>
      </c>
      <c r="D179" s="11">
        <v>-8.7507833129615492E-2</v>
      </c>
      <c r="E179" s="16">
        <f t="array" ref="E179:G179">TRANSPOSE(MMULT($I$4:$K$6,TRANSPOSE(B179:D179)))</f>
        <v>0.89835177300999591</v>
      </c>
      <c r="F179" s="17">
        <v>0.18732700331137953</v>
      </c>
      <c r="G179" s="20">
        <v>0.18465036780396057</v>
      </c>
      <c r="H179" s="16">
        <f t="array" ref="H179:J179">TRANSPOSE(MMULT($I$4:$K$6,TRANSPOSE(B179:D179+$P$1/2*E179:G179)))</f>
        <v>0.88080065662329765</v>
      </c>
      <c r="I179" s="17">
        <v>0.20218025279149954</v>
      </c>
      <c r="J179" s="20">
        <v>0.18421404014055112</v>
      </c>
      <c r="K179" s="16">
        <f t="array" ref="K179:M179">TRANSPOSE(MMULT($I$4:$K$6,TRANSPOSE(B179:D179+$P$1/2*H179:J179)))</f>
        <v>0.88015447628449339</v>
      </c>
      <c r="L179" s="17">
        <v>0.20183692236809814</v>
      </c>
      <c r="M179" s="20">
        <v>0.18404549211037449</v>
      </c>
      <c r="N179" s="16">
        <f t="array" ref="N179:P179">TRANSPOSE(MMULT($I$4:$K$6,TRANSPOSE(B179:D179+$P$1*K179:M179)))</f>
        <v>0.86200471632592612</v>
      </c>
      <c r="O179" s="17">
        <v>0.21632667118161586</v>
      </c>
      <c r="P179" s="20">
        <v>0.18344523427387679</v>
      </c>
    </row>
    <row r="180" spans="1:16" x14ac:dyDescent="0.25">
      <c r="A180" s="24">
        <f t="shared" si="2"/>
        <v>16.699999999999967</v>
      </c>
      <c r="B180" s="16">
        <f t="array" ref="B180:D180">B179:D179+$P$1/6*(E179:G179+2*H179:J179+2*K179:M179+N179:P179)</f>
        <v>0.48346135291184233</v>
      </c>
      <c r="C180" s="11">
        <v>-0.88269619671054489</v>
      </c>
      <c r="D180" s="11">
        <v>-6.9097588686620678E-2</v>
      </c>
      <c r="E180" s="16">
        <f t="array" ref="E180:G180">TRANSPOSE(MMULT($I$4:$K$6,TRANSPOSE(B180:D180)))</f>
        <v>0.86198909689400893</v>
      </c>
      <c r="F180" s="17">
        <v>0.21633368536971218</v>
      </c>
      <c r="G180" s="20">
        <v>0.18344378320320004</v>
      </c>
      <c r="H180" s="16">
        <f t="array" ref="H180:J180">TRANSPOSE(MMULT($I$4:$K$6,TRANSPOSE(B180:D180+$P$1/2*E180:G180)))</f>
        <v>0.84319359147698925</v>
      </c>
      <c r="I180" s="17">
        <v>0.230480688347172</v>
      </c>
      <c r="J180" s="20">
        <v>0.18267515132661044</v>
      </c>
      <c r="K180" s="16">
        <f t="array" ref="K180:M180">TRANSPOSE(MMULT($I$4:$K$6,TRANSPOSE(B180:D180+$P$1/2*H180:J180)))</f>
        <v>0.84259559149273322</v>
      </c>
      <c r="L180" s="17">
        <v>0.23011806577415128</v>
      </c>
      <c r="M180" s="20">
        <v>0.18251148086329225</v>
      </c>
      <c r="N180" s="16">
        <f t="array" ref="N180:P180">TRANSPOSE(MMULT($I$4:$K$6,TRANSPOSE(B180:D180+$P$1*K180:M180)))</f>
        <v>0.8232508751671348</v>
      </c>
      <c r="O180" s="17">
        <v>0.24388403758885241</v>
      </c>
      <c r="P180" s="20">
        <v>0.18158431081517717</v>
      </c>
    </row>
    <row r="181" spans="1:16" x14ac:dyDescent="0.25">
      <c r="A181" s="24">
        <f t="shared" si="2"/>
        <v>16.799999999999969</v>
      </c>
      <c r="B181" s="16">
        <f t="array" ref="B181:D181">B180:D180+$P$1/6*(E180:G180+2*H180:J180+2*K180:M180+N180:P180)</f>
        <v>0.56774165854518555</v>
      </c>
      <c r="C181" s="11">
        <v>-0.85967260952385804</v>
      </c>
      <c r="D181" s="11">
        <v>-5.0840899379984303E-2</v>
      </c>
      <c r="E181" s="16">
        <f t="array" ref="E181:G181">TRANSPOSE(MMULT($I$4:$K$6,TRANSPOSE(B181:D181)))</f>
        <v>0.82323480342133326</v>
      </c>
      <c r="F181" s="17">
        <v>0.24389047002521022</v>
      </c>
      <c r="G181" s="20">
        <v>0.18158268327949856</v>
      </c>
      <c r="H181" s="16">
        <f t="array" ref="H181:J181">TRANSPOSE(MMULT($I$4:$K$6,TRANSPOSE(B181:D181+$P$1/2*E181:G181)))</f>
        <v>0.80329245223737611</v>
      </c>
      <c r="I181" s="17">
        <v>0.25729441417316906</v>
      </c>
      <c r="J181" s="20">
        <v>0.18049200667971177</v>
      </c>
      <c r="K181" s="16">
        <f t="array" ref="K181:M181">TRANSPOSE(MMULT($I$4:$K$6,TRANSPOSE(B181:D181+$P$1/2*H181:J181)))</f>
        <v>0.80274378031789362</v>
      </c>
      <c r="L181" s="17">
        <v>0.25691427627755364</v>
      </c>
      <c r="M181" s="20">
        <v>0.18033371305371357</v>
      </c>
      <c r="N181" s="16">
        <f t="array" ref="N181:P181">TRANSPOSE(MMULT($I$4:$K$6,TRANSPOSE(B181:D181+$P$1*K181:M181)))</f>
        <v>0.78230258946825038</v>
      </c>
      <c r="O181" s="17">
        <v>0.26992146471894618</v>
      </c>
      <c r="P181" s="20">
        <v>0.17909035902792997</v>
      </c>
    </row>
    <row r="182" spans="1:16" x14ac:dyDescent="0.25">
      <c r="A182" s="24">
        <f t="shared" si="2"/>
        <v>16.89999999999997</v>
      </c>
      <c r="B182" s="16">
        <f t="array" ref="B182:D182">B181:D181+$P$1/6*(E181:G181+2*H181:J181+2*K181:M181+N181:P181)</f>
        <v>0.64803515617852092</v>
      </c>
      <c r="C182" s="11">
        <v>-0.83396878759643134</v>
      </c>
      <c r="D182" s="11">
        <v>-3.2802158017079648E-2</v>
      </c>
      <c r="E182" s="16">
        <f t="array" ref="E182:G182">TRANSPOSE(MMULT($I$4:$K$6,TRANSPOSE(B182:D182)))</f>
        <v>0.78228613518541101</v>
      </c>
      <c r="F182" s="17">
        <v>0.26992730447294883</v>
      </c>
      <c r="G182" s="20">
        <v>0.17908856500471246</v>
      </c>
      <c r="H182" s="16">
        <f t="array" ref="H182:J182">TRANSPOSE(MMULT($I$4:$K$6,TRANSPOSE(B182:D182+$P$1/2*E182:G182)))</f>
        <v>0.76129656798574241</v>
      </c>
      <c r="I182" s="17">
        <v>0.28255495780423895</v>
      </c>
      <c r="J182" s="20">
        <v>0.177687070801858</v>
      </c>
      <c r="K182" s="16">
        <f t="array" ref="K182:M182">TRANSPOSE(MMULT($I$4:$K$6,TRANSPOSE(B182:D182+$P$1/2*H182:J182)))</f>
        <v>0.7607981630392332</v>
      </c>
      <c r="L182" s="17">
        <v>0.28215910688224771</v>
      </c>
      <c r="M182" s="20">
        <v>0.17753462218667274</v>
      </c>
      <c r="N182" s="16">
        <f t="array" ref="N182:P182">TRANSPOSE(MMULT($I$4:$K$6,TRANSPOSE(B182:D182+$P$1*K182:M182)))</f>
        <v>0.73936085797932705</v>
      </c>
      <c r="O182" s="17">
        <v>0.29437610408390524</v>
      </c>
      <c r="P182" s="20">
        <v>0.17598674783306537</v>
      </c>
    </row>
    <row r="183" spans="1:16" x14ac:dyDescent="0.25">
      <c r="A183" s="24">
        <f t="shared" si="2"/>
        <v>16.999999999999972</v>
      </c>
      <c r="B183" s="16">
        <f t="array" ref="B183:D183">B182:D182+$P$1/6*(E182:G182+2*H182:J182+2*K182:M182+N182:P182)</f>
        <v>0.72413243043209907</v>
      </c>
      <c r="C183" s="11">
        <v>-0.80573992863093424</v>
      </c>
      <c r="D183" s="11">
        <v>-1.5043513036832327E-2</v>
      </c>
      <c r="E183" s="16">
        <f t="array" ref="E183:G183">TRANSPOSE(MMULT($I$4:$K$6,TRANSPOSE(B183:D183)))</f>
        <v>0.73934409080245722</v>
      </c>
      <c r="F183" s="17">
        <v>0.29438134267000537</v>
      </c>
      <c r="G183" s="20">
        <v>0.17598479769587083</v>
      </c>
      <c r="H183" s="16">
        <f t="array" ref="H183:J183">TRANSPOSE(MMULT($I$4:$K$6,TRANSPOSE(B183:D183+$P$1/2*E183:G183)))</f>
        <v>0.71740860726102729</v>
      </c>
      <c r="I183" s="17">
        <v>0.3062030971998127</v>
      </c>
      <c r="J183" s="20">
        <v>0.17428461737643186</v>
      </c>
      <c r="K183" s="16">
        <f t="array" ref="K183:M183">TRANSPOSE(MMULT($I$4:$K$6,TRANSPOSE(B183:D183+$P$1/2*H183:J183)))</f>
        <v>0.71696120055863288</v>
      </c>
      <c r="L183" s="17">
        <v>0.30579335375474148</v>
      </c>
      <c r="M183" s="20">
        <v>0.17413844980245971</v>
      </c>
      <c r="N183" s="16">
        <f t="array" ref="N183:P183">TRANSPOSE(MMULT($I$4:$K$6,TRANSPOSE(B183:D183+$P$1*K183:M183)))</f>
        <v>0.6946296054292983</v>
      </c>
      <c r="O183" s="17">
        <v>0.31719238684047524</v>
      </c>
      <c r="P183" s="20">
        <v>0.17229859001928802</v>
      </c>
    </row>
    <row r="184" spans="1:16" x14ac:dyDescent="0.25">
      <c r="A184" s="24">
        <f t="shared" si="2"/>
        <v>17.099999999999973</v>
      </c>
      <c r="B184" s="16">
        <f t="array" ref="B184:D184">B183:D183+$P$1/6*(E183:G183+2*H183:J183+2*K183:M183+N183:P183)</f>
        <v>0.79584431896328367</v>
      </c>
      <c r="C184" s="11">
        <v>-0.77514715144060775</v>
      </c>
      <c r="D184" s="11">
        <v>2.375312331050039E-3</v>
      </c>
      <c r="E184" s="16">
        <f t="array" ref="E184:G184">TRANSPOSE(MMULT($I$4:$K$6,TRANSPOSE(B184:D184)))</f>
        <v>0.69461259461185942</v>
      </c>
      <c r="F184" s="17">
        <v>0.31719701819523305</v>
      </c>
      <c r="G184" s="20">
        <v>0.17229649449041887</v>
      </c>
      <c r="H184" s="16">
        <f t="array" ref="H184:J184">TRANSPOSE(MMULT($I$4:$K$6,TRANSPOSE(B184:D184+$P$1/2*E184:G184)))</f>
        <v>0.67183375083923014</v>
      </c>
      <c r="I184" s="17">
        <v>0.32818691916956205</v>
      </c>
      <c r="J184" s="20">
        <v>0.17031059869382129</v>
      </c>
      <c r="K184" s="16">
        <f t="array" ref="K184:M184">TRANSPOSE(MMULT($I$4:$K$6,TRANSPOSE(B184:D184+$P$1/2*H184:J184)))</f>
        <v>0.67143786792530868</v>
      </c>
      <c r="L184" s="17">
        <v>0.32776511474384984</v>
      </c>
      <c r="M184" s="20">
        <v>0.17017111514495054</v>
      </c>
      <c r="N184" s="16">
        <f t="array" ref="N184:P184">TRANSPOSE(MMULT($I$4:$K$6,TRANSPOSE(B184:D184+$P$1*K184:M184)))</f>
        <v>0.64831485985242332</v>
      </c>
      <c r="O184" s="17">
        <v>0.33832206799484676</v>
      </c>
      <c r="P184" s="20">
        <v>0.16805261010494227</v>
      </c>
    </row>
    <row r="185" spans="1:16" x14ac:dyDescent="0.25">
      <c r="A185" s="24">
        <f t="shared" si="2"/>
        <v>17.199999999999974</v>
      </c>
      <c r="B185" s="16">
        <f t="array" ref="B185:D185">B184:D184+$P$1/6*(E184:G184+2*H184:J184+2*K184:M184+N184:P184)</f>
        <v>0.86300216382983963</v>
      </c>
      <c r="C185" s="11">
        <v>-0.74235676554032604</v>
      </c>
      <c r="D185" s="11">
        <v>1.9397187868931787E-2</v>
      </c>
      <c r="E185" s="16">
        <f t="array" ref="E185:G185">TRANSPOSE(MMULT($I$4:$K$6,TRANSPOSE(B185:D185)))</f>
        <v>0.64829767400976934</v>
      </c>
      <c r="F185" s="17">
        <v>0.33832608844548356</v>
      </c>
      <c r="G185" s="20">
        <v>0.16805038020784266</v>
      </c>
      <c r="H185" s="16">
        <f t="array" ref="H185:J185">TRANSPOSE(MMULT($I$4:$K$6,TRANSPOSE(B185:D185+$P$1/2*E185:G185)))</f>
        <v>0.62477887361328943</v>
      </c>
      <c r="I185" s="17">
        <v>0.34846184934845958</v>
      </c>
      <c r="J185" s="20">
        <v>0.16579251184910274</v>
      </c>
      <c r="K185" s="16">
        <f t="array" ref="K185:M185">TRANSPOSE(MMULT($I$4:$K$6,TRANSPOSE(B185:D185+$P$1/2*H185:J185)))</f>
        <v>0.62443483693729784</v>
      </c>
      <c r="L185" s="17">
        <v>0.3480298194744666</v>
      </c>
      <c r="M185" s="20">
        <v>0.16566008150217196</v>
      </c>
      <c r="N185" s="16">
        <f t="array" ref="N185:P185">TRANSPOSE(MMULT($I$4:$K$6,TRANSPOSE(B185:D185+$P$1*K185:M185)))</f>
        <v>0.60062394043286282</v>
      </c>
      <c r="O185" s="17">
        <v>0.35772424241802048</v>
      </c>
      <c r="P185" s="20">
        <v>0.16327700915742249</v>
      </c>
    </row>
    <row r="186" spans="1:16" x14ac:dyDescent="0.25">
      <c r="A186" s="24">
        <f t="shared" si="2"/>
        <v>17.299999999999976</v>
      </c>
      <c r="B186" s="16">
        <f t="array" ref="B186:D186">B185:D185+$P$1/6*(E185:G185+2*H185:J185+2*K185:M185+N185:P185)</f>
        <v>0.92545798108890309</v>
      </c>
      <c r="C186" s="11">
        <v>-0.70753953773183675</v>
      </c>
      <c r="D186" s="11">
        <v>3.5967730803395367E-2</v>
      </c>
      <c r="E186" s="16">
        <f t="array" ref="E186:G186">TRANSPOSE(MMULT($I$4:$K$6,TRANSPOSE(B186:D186)))</f>
        <v>0.6006066473015883</v>
      </c>
      <c r="F186" s="17">
        <v>0.35772765064279211</v>
      </c>
      <c r="G186" s="20">
        <v>0.16327465616902198</v>
      </c>
      <c r="H186" s="16">
        <f t="array" ref="H186:J186">TRANSPOSE(MMULT($I$4:$K$6,TRANSPOSE(B186:D186+$P$1/2*E186:G186)))</f>
        <v>0.57645173840956032</v>
      </c>
      <c r="I186" s="17">
        <v>0.36699065424393379</v>
      </c>
      <c r="J186" s="20">
        <v>0.16075926218294401</v>
      </c>
      <c r="K186" s="16">
        <f t="array" ref="K186:M186">TRANSPOSE(MMULT($I$4:$K$6,TRANSPOSE(B186:D186+$P$1/2*H186:J186)))</f>
        <v>0.57615967065368501</v>
      </c>
      <c r="L186" s="17">
        <v>0.36655023153696931</v>
      </c>
      <c r="M186" s="20">
        <v>0.16063421978972647</v>
      </c>
      <c r="N186" s="16">
        <f t="array" ref="N186:P186">TRANSPOSE(MMULT($I$4:$K$6,TRANSPOSE(B186:D186+$P$1*K186:M186)))</f>
        <v>0.55176465864976543</v>
      </c>
      <c r="O186" s="17">
        <v>0.37536533324045485</v>
      </c>
      <c r="P186" s="20">
        <v>0.15800132714004911</v>
      </c>
    </row>
    <row r="187" spans="1:16" x14ac:dyDescent="0.25">
      <c r="A187" s="24">
        <f t="shared" si="2"/>
        <v>17.399999999999977</v>
      </c>
      <c r="B187" s="16">
        <f t="array" ref="B187:D187">B186:D186+$P$1/6*(E186:G186+2*H186:J186+2*K186:M186+N186:P186)</f>
        <v>0.98308454982353388</v>
      </c>
      <c r="C187" s="11">
        <v>-0.67086995847441921</v>
      </c>
      <c r="D187" s="11">
        <v>5.2035446590968898E-2</v>
      </c>
      <c r="E187" s="16">
        <f t="array" ref="E187:G187">TRANSPOSE(MMULT($I$4:$K$6,TRANSPOSE(B187:D187)))</f>
        <v>0.55174732485567823</v>
      </c>
      <c r="F187" s="17">
        <v>0.3753681302211761</v>
      </c>
      <c r="G187" s="20">
        <v>0.15799886254322629</v>
      </c>
      <c r="H187" s="16">
        <f t="array" ref="H187:J187">TRANSPOSE(MMULT($I$4:$K$6,TRANSPOSE(B187:D187+$P$1/2*E187:G187)))</f>
        <v>0.52706020446947655</v>
      </c>
      <c r="I187" s="17">
        <v>0.38374341596980355</v>
      </c>
      <c r="J187" s="20">
        <v>0.15524102453440058</v>
      </c>
      <c r="K187" s="16">
        <f t="array" ref="K187:M187">TRANSPOSE(MMULT($I$4:$K$6,TRANSPOSE(B187:D187+$P$1/2*H187:J187)))</f>
        <v>0.52682003254415255</v>
      </c>
      <c r="L187" s="17">
        <v>0.38329642338589048</v>
      </c>
      <c r="M187" s="20">
        <v>0.15512366994523125</v>
      </c>
      <c r="N187" s="16">
        <f t="array" ref="N187:P187">TRANSPOSE(MMULT($I$4:$K$6,TRANSPOSE(B187:D187+$P$1*K187:M187)))</f>
        <v>0.50194453539383843</v>
      </c>
      <c r="O187" s="17">
        <v>0.39121905328454998</v>
      </c>
      <c r="P187" s="20">
        <v>0.1522563033528144</v>
      </c>
    </row>
    <row r="188" spans="1:16" x14ac:dyDescent="0.25">
      <c r="A188" s="24">
        <f t="shared" si="2"/>
        <v>17.499999999999979</v>
      </c>
      <c r="B188" s="16">
        <f t="array" ref="B188:D188">B187:D187+$P$1/6*(E187:G187+2*H187:J187+2*K187:M187+N187:P187)</f>
        <v>1.0357754220614801</v>
      </c>
      <c r="C188" s="11">
        <v>-0.63252551077080066</v>
      </c>
      <c r="D188" s="11">
        <v>6.7551855838557301E-2</v>
      </c>
      <c r="E188" s="16">
        <f t="array" ref="E188:G188">TRANSPOSE(MMULT($I$4:$K$6,TRANSPOSE(B188:D188)))</f>
        <v>0.50192722622922969</v>
      </c>
      <c r="F188" s="17">
        <v>0.39122124225161931</v>
      </c>
      <c r="G188" s="20">
        <v>0.15225373878915474</v>
      </c>
      <c r="H188" s="16">
        <f t="array" ref="H188:J188">TRANSPOSE(MMULT($I$4:$K$6,TRANSPOSE(B188:D188+$P$1/2*E188:G188)))</f>
        <v>0.4768114532097194</v>
      </c>
      <c r="I188" s="17">
        <v>0.39869748036943675</v>
      </c>
      <c r="J188" s="20">
        <v>0.14926910286973766</v>
      </c>
      <c r="K188" s="16">
        <f t="array" ref="K188:M188">TRANSPOSE(MMULT($I$4:$K$6,TRANSPOSE(B188:D188+$P$1/2*H188:J188)))</f>
        <v>0.47662291288731451</v>
      </c>
      <c r="L188" s="17">
        <v>0.39824572464918584</v>
      </c>
      <c r="M188" s="20">
        <v>0.14915970069739565</v>
      </c>
      <c r="N188" s="16">
        <f t="array" ref="N188:P188">TRANSPOSE(MMULT($I$4:$K$6,TRANSPOSE(B188:D188+$P$1*K188:M188)))</f>
        <v>0.45137003660754221</v>
      </c>
      <c r="O188" s="17">
        <v>0.40526634027899722</v>
      </c>
      <c r="P188" s="20">
        <v>0.14607373552786307</v>
      </c>
    </row>
    <row r="189" spans="1:16" x14ac:dyDescent="0.25">
      <c r="A189" s="24">
        <f t="shared" si="2"/>
        <v>17.59999999999998</v>
      </c>
      <c r="B189" s="16">
        <f t="array" ref="B189:D189">B188:D188+$P$1/6*(E188:G188+2*H188:J188+2*K188:M188+N188:P188)</f>
        <v>1.0834448553119942</v>
      </c>
      <c r="C189" s="11">
        <v>-0.59268594422800303</v>
      </c>
      <c r="D189" s="11">
        <v>8.2471607196078711E-2</v>
      </c>
      <c r="E189" s="16">
        <f t="array" ref="E189:G189">TRANSPOSE(MMULT($I$4:$K$6,TRANSPOSE(B189:D189)))</f>
        <v>0.45135281581837211</v>
      </c>
      <c r="F189" s="17">
        <v>0.40526792664929462</v>
      </c>
      <c r="G189" s="20">
        <v>0.14607108275088018</v>
      </c>
      <c r="H189" s="16">
        <f t="array" ref="H189:J189">TRANSPOSE(MMULT($I$4:$K$6,TRANSPOSE(B189:D189+$P$1/2*E189:G189)))</f>
        <v>0.4259112337517979</v>
      </c>
      <c r="I189" s="17">
        <v>0.41183737931376951</v>
      </c>
      <c r="J189" s="20">
        <v>0.14287578884487062</v>
      </c>
      <c r="K189" s="16">
        <f t="array" ref="K189:M189">TRANSPOSE(MMULT($I$4:$K$6,TRANSPOSE(B189:D189+$P$1/2*H189:J189)))</f>
        <v>0.42577387490702728</v>
      </c>
      <c r="L189" s="17">
        <v>0.41138264463256913</v>
      </c>
      <c r="M189" s="20">
        <v>0.14277456826684087</v>
      </c>
      <c r="N189" s="16">
        <f t="array" ref="N189:P189">TRANSPOSE(MMULT($I$4:$K$6,TRANSPOSE(B189:D189+$P$1*K189:M189)))</f>
        <v>0.40024582987537127</v>
      </c>
      <c r="O189" s="17">
        <v>0.41749526667983217</v>
      </c>
      <c r="P189" s="20">
        <v>0.13948633813307154</v>
      </c>
    </row>
    <row r="190" spans="1:16" x14ac:dyDescent="0.25">
      <c r="A190" s="24">
        <f t="shared" si="2"/>
        <v>17.699999999999982</v>
      </c>
      <c r="B190" s="16">
        <f t="array" ref="B190:D190">B189:D189+$P$1/6*(E189:G189+2*H189:J189+2*K189:M189+N189:P189)</f>
        <v>1.1260276696955174</v>
      </c>
      <c r="C190" s="11">
        <v>-0.55153255687430625</v>
      </c>
      <c r="D190" s="11">
        <v>9.6752576114534958E-2</v>
      </c>
      <c r="E190" s="16">
        <f t="array" ref="E190:G190">TRANSPOSE(MMULT($I$4:$K$6,TRANSPOSE(B190:D190)))</f>
        <v>0.40022875945894054</v>
      </c>
      <c r="F190" s="17">
        <v>0.41749625798787893</v>
      </c>
      <c r="G190" s="20">
        <v>0.13948360896205464</v>
      </c>
      <c r="H190" s="16">
        <f t="array" ref="H190:J190">TRANSPOSE(MMULT($I$4:$K$6,TRANSPOSE(B190:D190+$P$1/2*E190:G190)))</f>
        <v>0.37456313058301072</v>
      </c>
      <c r="I190" s="17">
        <v>0.42315472803824572</v>
      </c>
      <c r="J190" s="20">
        <v>0.13609421985055345</v>
      </c>
      <c r="K190" s="16">
        <f t="array" ref="K190:M190">TRANSPOSE(MMULT($I$4:$K$6,TRANSPOSE(B190:D190+$P$1/2*H190:J190)))</f>
        <v>0.37447632300710204</v>
      </c>
      <c r="L190" s="17">
        <v>0.42269876988175686</v>
      </c>
      <c r="M190" s="20">
        <v>0.13600137454731887</v>
      </c>
      <c r="N190" s="16">
        <f t="array" ref="N190:P190">TRANSPOSE(MMULT($I$4:$K$6,TRANSPOSE(B190:D190+$P$1*K190:M190)))</f>
        <v>0.34877406425880114</v>
      </c>
      <c r="O190" s="17">
        <v>0.42790092499897464</v>
      </c>
      <c r="P190" s="20">
        <v>0.13252760042770129</v>
      </c>
    </row>
    <row r="191" spans="1:16" x14ac:dyDescent="0.25">
      <c r="A191" s="24">
        <f t="shared" si="2"/>
        <v>17.799999999999983</v>
      </c>
      <c r="B191" s="16">
        <f t="array" ref="B191:D191">B190:D190+$P$1/6*(E190:G190+2*H190:J190+2*K190:M190+N190:P190)</f>
        <v>1.1634790318771502</v>
      </c>
      <c r="C191" s="11">
        <v>-0.50924748722719193</v>
      </c>
      <c r="D191" s="11">
        <v>0.11035594941762664</v>
      </c>
      <c r="E191" s="16">
        <f t="array" ref="E191:G191">TRANSPOSE(MMULT($I$4:$K$6,TRANSPOSE(B191:D191)))</f>
        <v>0.34875720427242624</v>
      </c>
      <c r="F191" s="17">
        <v>0.42790133082176152</v>
      </c>
      <c r="G191" s="20">
        <v>0.13252480670234726</v>
      </c>
      <c r="H191" s="16">
        <f t="array" ref="H191:J191">TRANSPOSE(MMULT($I$4:$K$6,TRANSPOSE(B191:D191+$P$1/2*E191:G191)))</f>
        <v>0.32296785557592911</v>
      </c>
      <c r="I191" s="17">
        <v>0.43264809845620189</v>
      </c>
      <c r="J191" s="20">
        <v>0.1289582370791324</v>
      </c>
      <c r="K191" s="16">
        <f t="array" ref="K191:M191">TRANSPOSE(MMULT($I$4:$K$6,TRANSPOSE(B191:D191+$P$1/2*H191:J191)))</f>
        <v>0.32293079533015384</v>
      </c>
      <c r="L191" s="17">
        <v>0.43219263773888705</v>
      </c>
      <c r="M191" s="20">
        <v>0.12887392530569375</v>
      </c>
      <c r="N191" s="16">
        <f t="array" ref="N191:P191">TRANSPOSE(MMULT($I$4:$K$6,TRANSPOSE(B191:D191+$P$1*K191:M191)))</f>
        <v>0.29715367553300825</v>
      </c>
      <c r="O191" s="17">
        <v>0.43648528961194377</v>
      </c>
      <c r="P191" s="20">
        <v>0.12523164480290316</v>
      </c>
    </row>
    <row r="192" spans="1:16" x14ac:dyDescent="0.25">
      <c r="A192" s="24">
        <f t="shared" si="2"/>
        <v>17.899999999999984</v>
      </c>
      <c r="B192" s="16">
        <f t="array" ref="B192:D192">B191:D191+$P$1/6*(E191:G191+2*H191:J191+2*K191:M191+N191:P191)</f>
        <v>1.1957741682374434</v>
      </c>
      <c r="C192" s="11">
        <v>-0.46601301901346054</v>
      </c>
      <c r="D192" s="11">
        <v>0.12324629568887502</v>
      </c>
      <c r="E192" s="16">
        <f t="array" ref="E192:G192">TRANSPOSE(MMULT($I$4:$K$6,TRANSPOSE(B192:D192)))</f>
        <v>0.29713708391416616</v>
      </c>
      <c r="F192" s="17">
        <v>0.43648512148784657</v>
      </c>
      <c r="G192" s="20">
        <v>0.12522879833888287</v>
      </c>
      <c r="H192" s="16">
        <f t="array" ref="H192:J192">TRANSPOSE(MMULT($I$4:$K$6,TRANSPOSE(B192:D192+$P$1/2*E192:G192)))</f>
        <v>0.2713225664534254</v>
      </c>
      <c r="I192" s="17">
        <v>0.44032286945456511</v>
      </c>
      <c r="J192" s="20">
        <v>0.12150224413959257</v>
      </c>
      <c r="K192" s="16">
        <f t="array" ref="K192:M192">TRANSPOSE(MMULT($I$4:$K$6,TRANSPOSE(B192:D192+$P$1/2*H192:J192)))</f>
        <v>0.27133428272637899</v>
      </c>
      <c r="L192" s="17">
        <v>0.43986958689768252</v>
      </c>
      <c r="M192" s="20">
        <v>0.12142658892698296</v>
      </c>
      <c r="N192" s="16">
        <f t="array" ref="N192:P192">TRANSPOSE(MMULT($I$4:$K$6,TRANSPOSE(B192:D192+$P$1*K192:M192)))</f>
        <v>0.24557971884005483</v>
      </c>
      <c r="O192" s="17">
        <v>0.44325705608215382</v>
      </c>
      <c r="P192" s="20">
        <v>0.11763308592691682</v>
      </c>
    </row>
    <row r="193" spans="1:16" x14ac:dyDescent="0.25">
      <c r="A193" s="24">
        <f t="shared" si="2"/>
        <v>17.999999999999986</v>
      </c>
      <c r="B193" s="16">
        <f t="array" ref="B193:D193">B192:D192+$P$1/6*(E192:G192+2*H192:J192+2*K192:M192+N192:P192)</f>
        <v>1.2229080099226739</v>
      </c>
      <c r="C193" s="11">
        <v>-0.42201090084221893</v>
      </c>
      <c r="D193" s="11">
        <v>0.13539162152885753</v>
      </c>
      <c r="E193" s="16">
        <f t="array" ref="E193:G193">TRANSPOSE(MMULT($I$4:$K$6,TRANSPOSE(B193:D193)))</f>
        <v>0.2455634512384085</v>
      </c>
      <c r="F193" s="17">
        <v>0.44325632742437071</v>
      </c>
      <c r="G193" s="20">
        <v>0.11763019847252165</v>
      </c>
      <c r="H193" s="16">
        <f t="array" ref="H193:J193">TRANSPOSE(MMULT($I$4:$K$6,TRANSPOSE(B193:D193+$P$1/2*E193:G193)))</f>
        <v>0.21982021364154752</v>
      </c>
      <c r="I193" s="17">
        <v>0.44619105524082114</v>
      </c>
      <c r="J193" s="20">
        <v>0.11376106673385528</v>
      </c>
      <c r="K193" s="16">
        <f t="array" ref="K193:M193">TRANSPOSE(MMULT($I$4:$K$6,TRANSPOSE(B193:D193+$P$1/2*H193:J193)))</f>
        <v>0.21987957607348263</v>
      </c>
      <c r="L193" s="17">
        <v>0.44574158602498598</v>
      </c>
      <c r="M193" s="20">
        <v>0.11369415621700352</v>
      </c>
      <c r="N193" s="16">
        <f t="array" ref="N193:P193">TRANSPOSE(MMULT($I$4:$K$6,TRANSPOSE(B193:D193+$P$1*K193:M193)))</f>
        <v>0.194242730626495</v>
      </c>
      <c r="O193" s="17">
        <v>0.448231459099594</v>
      </c>
      <c r="P193" s="20">
        <v>0.10976689120024097</v>
      </c>
    </row>
    <row r="194" spans="1:16" x14ac:dyDescent="0.25">
      <c r="A194" s="24">
        <f t="shared" si="2"/>
        <v>18.099999999999987</v>
      </c>
      <c r="B194" s="16">
        <f t="array" ref="B194:D194">B193:D193+$P$1/6*(E193:G193+2*H193:J193+2*K193:M193+N193:P193)</f>
        <v>1.2448947726109232</v>
      </c>
      <c r="C194" s="11">
        <v>-0.37742168302462592</v>
      </c>
      <c r="D194" s="11">
        <v>0.14676341378843219</v>
      </c>
      <c r="E194" s="16">
        <f t="array" ref="E194:G194">TRANSPOSE(MMULT($I$4:$K$6,TRANSPOSE(B194:D194)))</f>
        <v>0.19422684024816073</v>
      </c>
      <c r="F194" s="17">
        <v>0.44823018510454754</v>
      </c>
      <c r="G194" s="20">
        <v>0.10976397439424498</v>
      </c>
      <c r="H194" s="16">
        <f t="array" ref="H194:J194">TRANSPOSE(MMULT($I$4:$K$6,TRANSPOSE(B194:D194+$P$1/2*E194:G194)))</f>
        <v>0.16864891730380763</v>
      </c>
      <c r="I194" s="17">
        <v>0.45027111286791832</v>
      </c>
      <c r="J194" s="20">
        <v>0.10576981389190976</v>
      </c>
      <c r="K194" s="16">
        <f t="array" ref="K194:M194">TRANSPOSE(MMULT($I$4:$K$6,TRANSPOSE(B194:D194+$P$1/2*H194:J194)))</f>
        <v>0.16875464374040758</v>
      </c>
      <c r="L194" s="17">
        <v>0.44982704157397574</v>
      </c>
      <c r="M194" s="20">
        <v>0.10571170175981959</v>
      </c>
      <c r="N194" s="16">
        <f t="array" ref="N194:P194">TRANSPOSE(MMULT($I$4:$K$6,TRANSPOSE(B194:D194+$P$1*K194:M194)))</f>
        <v>0.14332812158296626</v>
      </c>
      <c r="O194" s="17">
        <v>0.45143007018667458</v>
      </c>
      <c r="P194" s="20">
        <v>0.10166824300992319</v>
      </c>
    </row>
    <row r="195" spans="1:16" x14ac:dyDescent="0.25">
      <c r="A195" s="24">
        <f t="shared" si="2"/>
        <v>18.199999999999989</v>
      </c>
      <c r="B195" s="16">
        <f t="array" ref="B195:D195">B194:D194+$P$1/6*(E194:G194+2*H194:J194+2*K194:M194+N194:P194)</f>
        <v>1.2617674740095826</v>
      </c>
      <c r="C195" s="11">
        <v>-0.33242407362170906</v>
      </c>
      <c r="D195" s="11">
        <v>0.1573366679335593</v>
      </c>
      <c r="E195" s="16">
        <f t="array" ref="E195:G195">TRANSPOSE(MMULT($I$4:$K$6,TRANSPOSE(B195:D195)))</f>
        <v>0.14331265904732707</v>
      </c>
      <c r="F195" s="17">
        <v>0.45142826773783096</v>
      </c>
      <c r="G195" s="20">
        <v>0.10166530834079143</v>
      </c>
      <c r="H195" s="16">
        <f t="array" ref="H195:J195">TRANSPOSE(MMULT($I$4:$K$6,TRANSPOSE(B195:D195+$P$1/2*E195:G195)))</f>
        <v>0.11799137619838306</v>
      </c>
      <c r="I195" s="17">
        <v>0.45258773011601061</v>
      </c>
      <c r="J195" s="20">
        <v>9.7563741246487229E-2</v>
      </c>
      <c r="K195" s="16">
        <f t="array" ref="K195:M195">TRANSPOSE(MMULT($I$4:$K$6,TRANSPOSE(B195:D195+$P$1/2*H195:J195)))</f>
        <v>0.11814204083560488</v>
      </c>
      <c r="L195" s="17">
        <v>0.45215058596658925</v>
      </c>
      <c r="M195" s="20">
        <v>9.7514447310334817E-2</v>
      </c>
      <c r="N195" s="16">
        <f t="array" ref="N195:P195">TRANSPOSE(MMULT($I$4:$K$6,TRANSPOSE(B195:D195+$P$1*K195:M195)))</f>
        <v>9.3015602149898721E-2</v>
      </c>
      <c r="O195" s="17">
        <v>0.45288057637348506</v>
      </c>
      <c r="P195" s="20">
        <v>9.3372403254536829E-2</v>
      </c>
    </row>
    <row r="196" spans="1:16" x14ac:dyDescent="0.25">
      <c r="A196" s="24">
        <f t="shared" si="2"/>
        <v>18.29999999999999</v>
      </c>
      <c r="B196" s="16">
        <f t="array" ref="B196:D196">B195:D195+$P$1/6*(E195:G195+2*H195:J195+2*K195:M195+N195:P195)</f>
        <v>1.2735773922640026</v>
      </c>
      <c r="C196" s="11">
        <v>-0.28719431568376713</v>
      </c>
      <c r="D196" s="11">
        <v>0.1670899027453755</v>
      </c>
      <c r="E196" s="16">
        <f t="array" ref="E196:G196">TRANSPOSE(MMULT($I$4:$K$6,TRANSPOSE(B196:D196)))</f>
        <v>9.3000615359216679E-2</v>
      </c>
      <c r="F196" s="17">
        <v>0.45287826394104985</v>
      </c>
      <c r="G196" s="20">
        <v>9.3369462021100358E-2</v>
      </c>
      <c r="H196" s="16">
        <f t="array" ref="H196:J196">TRANSPOSE(MMULT($I$4:$K$6,TRANSPOSE(B196:D196+$P$1/2*E196:G196)))</f>
        <v>6.8024309844946076E-2</v>
      </c>
      <c r="I196" s="17">
        <v>0.45317159495664272</v>
      </c>
      <c r="J196" s="20">
        <v>8.9178116809696506E-2</v>
      </c>
      <c r="K196" s="16">
        <f t="array" ref="K196:M196">TRANSPOSE(MMULT($I$4:$K$6,TRANSPOSE(B196:D196+$P$1/2*H196:J196)))</f>
        <v>6.8218351725965853E-2</v>
      </c>
      <c r="L196" s="17">
        <v>0.45274284736936343</v>
      </c>
      <c r="M196" s="20">
        <v>8.9137627684108406E-2</v>
      </c>
      <c r="N196" s="16">
        <f t="array" ref="N196:P196">TRANSPOSE(MMULT($I$4:$K$6,TRANSPOSE(B196:D196+$P$1*K196:M196)))</f>
        <v>4.3478641997656345E-2</v>
      </c>
      <c r="O196" s="17">
        <v>0.45261654108861477</v>
      </c>
      <c r="P196" s="20">
        <v>8.491458059247009E-2</v>
      </c>
    </row>
    <row r="197" spans="1:16" x14ac:dyDescent="0.25">
      <c r="A197" s="24">
        <f t="shared" si="2"/>
        <v>18.399999999999991</v>
      </c>
      <c r="B197" s="16">
        <f t="array" ref="B197:D197">B196:D196+$P$1/6*(E196:G196+2*H196:J196+2*K196:M196+N196:P196)</f>
        <v>1.2803934686056475</v>
      </c>
      <c r="C197" s="11">
        <v>-0.24190558752240585</v>
      </c>
      <c r="D197" s="11">
        <v>0.17600516160539517</v>
      </c>
      <c r="E197" s="16">
        <f t="array" ref="E197:G197">TRANSPOSE(MMULT($I$4:$K$6,TRANSPOSE(B197:D197)))</f>
        <v>4.3464176019683012E-2</v>
      </c>
      <c r="F197" s="17">
        <v>0.45261373862556964</v>
      </c>
      <c r="G197" s="20">
        <v>8.4911643866182468E-2</v>
      </c>
      <c r="H197" s="16">
        <f t="array" ref="H197:J197">TRANSPOSE(MMULT($I$4:$K$6,TRANSPOSE(B197:D197+$P$1/2*E197:G197)))</f>
        <v>1.891793533098246E-2</v>
      </c>
      <c r="I197" s="17">
        <v>0.45205914786607942</v>
      </c>
      <c r="J197" s="20">
        <v>8.0648089694444619E-2</v>
      </c>
      <c r="K197" s="16">
        <f t="array" ref="K197:M197">TRANSPOSE(MMULT($I$4:$K$6,TRANSPOSE(B197:D197+$P$1/2*H197:J197)))</f>
        <v>1.9153667155835219E-2</v>
      </c>
      <c r="L197" s="17">
        <v>0.45164020232799212</v>
      </c>
      <c r="M197" s="20">
        <v>8.0616359586903996E-2</v>
      </c>
      <c r="N197" s="16">
        <f t="array" ref="N197:P197">TRANSPOSE(MMULT($I$4:$K$6,TRANSPOSE(B197:D197+$P$1*K197:M197)))</f>
        <v>-5.1160352681507149E-3</v>
      </c>
      <c r="O197" s="17">
        <v>0.45067714854997748</v>
      </c>
      <c r="P197" s="20">
        <v>7.6329800845952811E-2</v>
      </c>
    </row>
    <row r="198" spans="1:16" x14ac:dyDescent="0.25">
      <c r="A198" s="24">
        <f t="shared" si="2"/>
        <v>18.499999999999993</v>
      </c>
      <c r="B198" s="16">
        <f t="array" ref="B198:D198">B197:D197+$P$1/6*(E197:G197+2*H197:J197+2*K197:M197+N197:P197)</f>
        <v>1.2823016577010671</v>
      </c>
      <c r="C198" s="11">
        <v>-0.19672742772967766</v>
      </c>
      <c r="D198" s="11">
        <v>0.18406800065997572</v>
      </c>
      <c r="E198" s="16">
        <f t="array" ref="E198:G198">TRANSPOSE(MMULT($I$4:$K$6,TRANSPOSE(B198:D198)))</f>
        <v>-5.1299383044193375E-3</v>
      </c>
      <c r="F198" s="17">
        <v>0.4506738773849257</v>
      </c>
      <c r="G198" s="20">
        <v>7.6326879434831268E-2</v>
      </c>
      <c r="H198" s="16">
        <f t="array" ref="H198:J198">TRANSPOSE(MMULT($I$4:$K$6,TRANSPOSE(B198:D198+$P$1/2*E198:G198)))</f>
        <v>-2.9164520070840139E-2</v>
      </c>
      <c r="I198" s="17">
        <v>0.44929231828996469</v>
      </c>
      <c r="J198" s="20">
        <v>7.2008562202660525E-2</v>
      </c>
      <c r="K198" s="16">
        <f t="array" ref="K198:M198">TRANSPOSE(MMULT($I$4:$K$6,TRANSPOSE(B198:D198+$P$1/2*H198:J198)))</f>
        <v>-2.8888902862616569E-2</v>
      </c>
      <c r="L198" s="17">
        <v>0.44888451256138184</v>
      </c>
      <c r="M198" s="20">
        <v>7.1985513805699841E-2</v>
      </c>
      <c r="N198" s="16">
        <f t="array" ref="N198:P198">TRANSPOSE(MMULT($I$4:$K$6,TRANSPOSE(B198:D198+$P$1*K198:M198)))</f>
        <v>-5.2608921084159377E-2</v>
      </c>
      <c r="O198" s="17">
        <v>0.44710693297275161</v>
      </c>
      <c r="P198" s="20">
        <v>6.7652780971886206E-2</v>
      </c>
    </row>
    <row r="199" spans="1:16" x14ac:dyDescent="0.25">
      <c r="A199" s="24">
        <f t="shared" si="2"/>
        <v>18.599999999999994</v>
      </c>
      <c r="B199" s="16">
        <f t="array" ref="B199:D199">B198:D198+$P$1/6*(E198:G198+2*H198:J198+2*K198:M198+N198:P198)</f>
        <v>1.2794042292801422</v>
      </c>
      <c r="C199" s="11">
        <v>-0.1518251865286715</v>
      </c>
      <c r="D199" s="11">
        <v>0.19126746420036636</v>
      </c>
      <c r="E199" s="16">
        <f t="array" ref="E199:G199">TRANSPOSE(MMULT($I$4:$K$6,TRANSPOSE(B199:D199)))</f>
        <v>-5.2622222079489273E-2</v>
      </c>
      <c r="F199" s="17">
        <v>0.44710321570004175</v>
      </c>
      <c r="G199" s="20">
        <v>6.7649885386235481E-2</v>
      </c>
      <c r="H199" s="16">
        <f t="array" ref="H199:J199">TRANSPOSE(MMULT($I$4:$K$6,TRANSPOSE(B199:D199+$P$1/2*E199:G199)))</f>
        <v>-7.6067269461818632E-2</v>
      </c>
      <c r="I199" s="17">
        <v>0.44491824659135254</v>
      </c>
      <c r="J199" s="20">
        <v>6.3294065680428779E-2</v>
      </c>
      <c r="K199" s="16">
        <f t="array" ref="K199:M199">TRANSPOSE(MMULT($I$4:$K$6,TRANSPOSE(B199:D199+$P$1/2*H199:J199)))</f>
        <v>-7.5753679375356403E-2</v>
      </c>
      <c r="L199" s="17">
        <v>0.44452284724583829</v>
      </c>
      <c r="M199" s="20">
        <v>6.3279591161004567E-2</v>
      </c>
      <c r="N199" s="16">
        <f t="array" ref="N199:P199">TRANSPOSE(MMULT($I$4:$K$6,TRANSPOSE(B199:D199+$P$1*K199:M199)))</f>
        <v>-9.8848153656759724E-2</v>
      </c>
      <c r="O199" s="17">
        <v>0.44195549393859651</v>
      </c>
      <c r="P199" s="20">
        <v>5.8917806988136229E-2</v>
      </c>
    </row>
    <row r="200" spans="1:16" x14ac:dyDescent="0.25">
      <c r="A200" s="24">
        <f t="shared" si="2"/>
        <v>18.699999999999996</v>
      </c>
      <c r="B200" s="16">
        <f t="array" ref="B200:D200">B199:D199+$P$1/6*(E199:G199+2*H199:J199+2*K199:M199+N199:P199)</f>
        <v>1.2718190247232988</v>
      </c>
      <c r="C200" s="11">
        <v>-0.10735950490678783</v>
      </c>
      <c r="D200" s="11">
        <v>0.19759604763465366</v>
      </c>
      <c r="E200" s="16">
        <f t="array" ref="E200:G200">TRANSPOSE(MMULT($I$4:$K$6,TRANSPOSE(B200:D200)))</f>
        <v>-9.8860816619403519E-2</v>
      </c>
      <c r="F200" s="17">
        <v>0.44195135430619237</v>
      </c>
      <c r="G200" s="20">
        <v>5.8914947408141849E-2</v>
      </c>
      <c r="H200" s="16">
        <f t="array" ref="H200:J200">TRANSPOSE(MMULT($I$4:$K$6,TRANSPOSE(B200:D200+$P$1/2*E200:G200)))</f>
        <v>-0.12164237919977897</v>
      </c>
      <c r="I200" s="17">
        <v>0.43898899283838977</v>
      </c>
      <c r="J200" s="20">
        <v>5.453864051723456E-2</v>
      </c>
      <c r="K200" s="16">
        <f t="array" ref="K200:M200">TRANSPOSE(MMULT($I$4:$K$6,TRANSPOSE(B200:D200+$P$1/2*H200:J200)))</f>
        <v>-0.1212928271756688</v>
      </c>
      <c r="L200" s="17">
        <v>0.43860719214426802</v>
      </c>
      <c r="M200" s="20">
        <v>5.4532602597443969E-2</v>
      </c>
      <c r="N200" s="16">
        <f t="array" ref="N200:P200">TRANSPOSE(MMULT($I$4:$K$6,TRANSPOSE(B200:D200+$P$1*K200:M200)))</f>
        <v>-0.14368991166597139</v>
      </c>
      <c r="O200" s="17">
        <v>0.43527719929175773</v>
      </c>
      <c r="P200" s="20">
        <v>5.0158616220595531E-2</v>
      </c>
    </row>
    <row r="201" spans="1:16" x14ac:dyDescent="0.25">
      <c r="A201" s="24">
        <f t="shared" si="2"/>
        <v>18.799999999999997</v>
      </c>
      <c r="B201" s="16">
        <f t="array" ref="B201:D201">B200:D200+$P$1/6*(E200:G200+2*H200:J200+2*K200:M200+N200:P200)</f>
        <v>1.2596786723726943</v>
      </c>
      <c r="C201" s="11">
        <v>-6.3485822847400064E-2</v>
      </c>
      <c r="D201" s="11">
        <v>0.2030496484656219</v>
      </c>
      <c r="E201" s="16">
        <f t="array" ref="E201:G201">TRANSPOSE(MMULT($I$4:$K$6,TRANSPOSE(B201:D201)))</f>
        <v>-0.14370190377611813</v>
      </c>
      <c r="F201" s="17">
        <v>0.4352726620873219</v>
      </c>
      <c r="G201" s="20">
        <v>5.0155802465864985E-2</v>
      </c>
      <c r="H201" s="16">
        <f t="array" ref="H201:J201">TRANSPOSE(MMULT($I$4:$K$6,TRANSPOSE(B201:D201+$P$1/2*E201:G201)))</f>
        <v>-0.16575014341092092</v>
      </c>
      <c r="I201" s="17">
        <v>0.43156123380659556</v>
      </c>
      <c r="J201" s="20">
        <v>4.57757206427232E-2</v>
      </c>
      <c r="K201" s="16">
        <f t="array" ref="K201:M201">TRANSPOSE(MMULT($I$4:$K$6,TRANSPOSE(B201:D201+$P$1/2*H201:J201)))</f>
        <v>-0.16536672916224779</v>
      </c>
      <c r="L201" s="17">
        <v>0.4311941469539507</v>
      </c>
      <c r="M201" s="20">
        <v>4.5777953765813006E-2</v>
      </c>
      <c r="N201" s="16">
        <f t="array" ref="N201:P201">TRANSPOSE(MMULT($I$4:$K$6,TRANSPOSE(B201:D201+$P$1*K201:M201)))</f>
        <v>-0.18699876933052323</v>
      </c>
      <c r="O201" s="17">
        <v>0.42713087694357776</v>
      </c>
      <c r="P201" s="20">
        <v>4.1408284212130803E-2</v>
      </c>
    </row>
    <row r="202" spans="1:16" x14ac:dyDescent="0.25">
      <c r="A202" s="24">
        <f t="shared" si="2"/>
        <v>18.899999999999999</v>
      </c>
      <c r="B202" s="16">
        <f t="array" ref="B202:D202">B201:D201+$P$1/6*(E201:G201+2*H201:J201+2*K201:M201+N201:P201)</f>
        <v>1.2431297654018112</v>
      </c>
      <c r="C202" s="11">
        <v>-2.0353917838200196E-2</v>
      </c>
      <c r="D202" s="11">
        <v>0.20762750572387303</v>
      </c>
      <c r="E202" s="16">
        <f t="array" ref="E202:G202">TRANSPOSE(MMULT($I$4:$K$6,TRANSPOSE(B202:D202)))</f>
        <v>-0.18701006099153017</v>
      </c>
      <c r="F202" s="17">
        <v>0.42712596787923157</v>
      </c>
      <c r="G202" s="20">
        <v>4.1405525713253233E-2</v>
      </c>
      <c r="H202" s="16">
        <f t="array" ref="H202:J202">TRANSPOSE(MMULT($I$4:$K$6,TRANSPOSE(B202:D202+$P$1/2*E202:G202)))</f>
        <v>-0.20825941959479916</v>
      </c>
      <c r="I202" s="17">
        <v>0.42269594958382356</v>
      </c>
      <c r="J202" s="20">
        <v>3.7038022849796015E-2</v>
      </c>
      <c r="K202" s="16">
        <f t="array" ref="K202:M202">TRANSPOSE(MMULT($I$4:$K$6,TRANSPOSE(B202:D202+$P$1/2*H202:J202)))</f>
        <v>-0.20784432182974327</v>
      </c>
      <c r="L202" s="17">
        <v>0.42234461225959552</v>
      </c>
      <c r="M202" s="20">
        <v>3.7048334425231588E-2</v>
      </c>
      <c r="N202" s="16">
        <f t="array" ref="N202:P202">TRANSPOSE(MMULT($I$4:$K$6,TRANSPOSE(B202:D202+$P$1*K202:M202)))</f>
        <v>-0.22864801237620153</v>
      </c>
      <c r="O202" s="17">
        <v>0.41757949697734514</v>
      </c>
      <c r="P202" s="20">
        <v>3.2699116609615997E-2</v>
      </c>
    </row>
    <row r="203" spans="1:16" x14ac:dyDescent="0.25">
      <c r="A203" s="24">
        <f t="shared" si="2"/>
        <v>19</v>
      </c>
      <c r="B203" s="16">
        <f t="array" ref="B203:D203">B202:D202+$P$1/6*(E202:G202+2*H202:J202+2*K202:M202+N202:P202)</f>
        <v>1.2223320061315308</v>
      </c>
      <c r="C203" s="11">
        <v>2.1892525304190051E-2</v>
      </c>
      <c r="D203" s="11">
        <v>0.21133212833842177</v>
      </c>
      <c r="E203" s="16">
        <f t="array" ref="E203:G203">TRANSPOSE(MMULT($I$4:$K$6,TRANSPOSE(B203:D203)))</f>
        <v>-0.22865857725271183</v>
      </c>
      <c r="F203" s="17">
        <v>0.41757424257356213</v>
      </c>
      <c r="G203" s="20">
        <v>3.2696422381800594E-2</v>
      </c>
      <c r="H203" s="16">
        <f t="array" ref="H203:J203">TRANSPOSE(MMULT($I$4:$K$6,TRANSPOSE(B203:D203+$P$1/2*E203:G203)))</f>
        <v>-0.2490479249427624</v>
      </c>
      <c r="I203" s="17">
        <v>0.41245810117368303</v>
      </c>
      <c r="J203" s="20">
        <v>2.8357441247609916E-2</v>
      </c>
      <c r="K203" s="16">
        <f t="array" ref="K203:M203">TRANSPOSE(MMULT($I$4:$K$6,TRANSPOSE(B203:D203+$P$1/2*H203:J203)))</f>
        <v>-0.24860339151163441</v>
      </c>
      <c r="L203" s="17">
        <v>0.41212346748610806</v>
      </c>
      <c r="M203" s="20">
        <v>2.8375612968818797E-2</v>
      </c>
      <c r="N203" s="16">
        <f t="array" ref="N203:P203">TRANSPOSE(MMULT($I$4:$K$6,TRANSPOSE(B203:D203+$P$1*K203:M203)))</f>
        <v>-0.26851991460495905</v>
      </c>
      <c r="O203" s="17">
        <v>0.40668984545042802</v>
      </c>
      <c r="P203" s="20">
        <v>2.4062546319713829E-2</v>
      </c>
    </row>
    <row r="204" spans="1:16" x14ac:dyDescent="0.25">
      <c r="A204" s="24">
        <f t="shared" si="2"/>
        <v>19.100000000000001</v>
      </c>
      <c r="B204" s="16">
        <f t="array" ref="B204:D204">B203:D203+$P$1/6*(E203:G203+2*H203:J203+2*K203:M203+N203:P203)</f>
        <v>1.1974573207187564</v>
      </c>
      <c r="C204" s="11">
        <v>6.311631239324958E-2</v>
      </c>
      <c r="D204" s="11">
        <v>0.21416921295732796</v>
      </c>
      <c r="E204" s="16">
        <f t="array" ref="E204:G204">TRANSPOSE(MMULT($I$4:$K$6,TRANSPOSE(B204:D204)))</f>
        <v>-0.26852972964805644</v>
      </c>
      <c r="F204" s="17">
        <v>0.40668427291951237</v>
      </c>
      <c r="G204" s="20">
        <v>2.4059924938558352E-2</v>
      </c>
      <c r="H204" s="16">
        <f t="array" ref="H204:J204">TRANSPOSE(MMULT($I$4:$K$6,TRANSPOSE(B204:D204+$P$1/2*E204:G204)))</f>
        <v>-0.28800249314456294</v>
      </c>
      <c r="I204" s="17">
        <v>0.40091630049553073</v>
      </c>
      <c r="J204" s="20">
        <v>1.976494712223037E-2</v>
      </c>
      <c r="K204" s="16">
        <f t="array" ref="K204:M204">TRANSPOSE(MMULT($I$4:$K$6,TRANSPOSE(B204:D204+$P$1/2*H204:J204)))</f>
        <v>-0.2875308311495548</v>
      </c>
      <c r="L204" s="17">
        <v>0.40059924124785312</v>
      </c>
      <c r="M204" s="20">
        <v>1.9790736350505655E-2</v>
      </c>
      <c r="N204" s="16">
        <f t="array" ref="N204:P204">TRANSPOSE(MMULT($I$4:$K$6,TRANSPOSE(B204:D204+$P$1*K204:M204)))</f>
        <v>-0.30650597491536646</v>
      </c>
      <c r="O204" s="17">
        <v>0.39453219129035449</v>
      </c>
      <c r="P204" s="20">
        <v>1.5529036198020985E-2</v>
      </c>
    </row>
    <row r="205" spans="1:16" x14ac:dyDescent="0.25">
      <c r="A205" s="24">
        <f t="shared" si="2"/>
        <v>19.200000000000003</v>
      </c>
      <c r="B205" s="16">
        <f t="array" ref="B205:D205">B204:D204+$P$1/6*(E204:G204+2*H204:J204+2*K204:M204+N204:P204)</f>
        <v>1.1686889481662288</v>
      </c>
      <c r="C205" s="11">
        <v>0.10318710485486016</v>
      </c>
      <c r="D205" s="11">
        <v>0.21614755175869549</v>
      </c>
      <c r="E205" s="16">
        <f t="array" ref="E205:G205">TRANSPOSE(MMULT($I$4:$K$6,TRANSPOSE(B205:D205)))</f>
        <v>-0.30651502037496126</v>
      </c>
      <c r="F205" s="17">
        <v>0.39452632841994562</v>
      </c>
      <c r="G205" s="20">
        <v>1.5526495777453075E-2</v>
      </c>
      <c r="H205" s="16">
        <f t="array" ref="H205:J205">TRANSPOSE(MMULT($I$4:$K$6,TRANSPOSE(B205:D205+$P$1/2*E205:G205)))</f>
        <v>-0.32501929160963278</v>
      </c>
      <c r="I205" s="17">
        <v>0.38814247417623576</v>
      </c>
      <c r="J205" s="20">
        <v>1.1290494456410866E-2</v>
      </c>
      <c r="K205" s="16">
        <f t="array" ref="K205:M205">TRANSPOSE(MMULT($I$4:$K$6,TRANSPOSE(B205:D205+$P$1/2*H205:J205)))</f>
        <v>-0.3245228575148531</v>
      </c>
      <c r="L205" s="17">
        <v>0.3878437754883205</v>
      </c>
      <c r="M205" s="20">
        <v>1.132363566436001E-2</v>
      </c>
      <c r="N205" s="16">
        <f t="array" ref="N205:P205">TRANSPOSE(MMULT($I$4:$K$6,TRANSPOSE(B205:D205+$P$1*K205:M205)))</f>
        <v>-0.34250711477521911</v>
      </c>
      <c r="O205" s="17">
        <v>0.38117994767603036</v>
      </c>
      <c r="P205" s="20">
        <v>7.1279875097433609E-3</v>
      </c>
    </row>
    <row r="206" spans="1:16" x14ac:dyDescent="0.25">
      <c r="A206" s="24">
        <f t="shared" si="2"/>
        <v>19.300000000000004</v>
      </c>
      <c r="B206" s="16">
        <f t="array" ref="B206:D206">B205:D205+$P$1/6*(E205:G205+2*H205:J205+2*K205:M205+N205:P205)</f>
        <v>1.1362205076095764</v>
      </c>
      <c r="C206" s="11">
        <v>0.14198175111194497</v>
      </c>
      <c r="D206" s="11">
        <v>0.21727893081750779</v>
      </c>
      <c r="E206" s="16">
        <f t="array" ref="E206:G206">TRANSPOSE(MMULT($I$4:$K$6,TRANSPOSE(B206:D206)))</f>
        <v>-0.34251537419990574</v>
      </c>
      <c r="F206" s="17">
        <v>0.38117382271306632</v>
      </c>
      <c r="G206" s="20">
        <v>7.1255356821685878E-3</v>
      </c>
      <c r="H206" s="16">
        <f t="array" ref="H206:J206">TRANSPOSE(MMULT($I$4:$K$6,TRANSPOSE(B206:D206+$P$1/2*E206:G206)))</f>
        <v>-0.36000399917820286</v>
      </c>
      <c r="I206" s="17">
        <v>0.37421152252089185</v>
      </c>
      <c r="J206" s="20">
        <v>2.9629313333480456E-3</v>
      </c>
      <c r="K206" s="16">
        <f t="array" ref="K206:M206">TRANSPOSE(MMULT($I$4:$K$6,TRANSPOSE(B206:D206+$P$1/2*H206:J206)))</f>
        <v>-0.35948518895672632</v>
      </c>
      <c r="L206" s="17">
        <v>0.37393188479610656</v>
      </c>
      <c r="M206" s="20">
        <v>3.0031376011983024E-3</v>
      </c>
      <c r="N206" s="16">
        <f t="array" ref="N206:P206">TRANSPOSE(MMULT($I$4:$K$6,TRANSPOSE(B206:D206+$P$1*K206:M206)))</f>
        <v>-0.37643383629399707</v>
      </c>
      <c r="O206" s="17">
        <v>0.36670932928477468</v>
      </c>
      <c r="P206" s="20">
        <v>-1.1123456266779463E-3</v>
      </c>
    </row>
    <row r="207" spans="1:16" x14ac:dyDescent="0.25">
      <c r="A207" s="24">
        <f t="shared" ref="A207:A270" si="3">A206+$P$1</f>
        <v>19.400000000000006</v>
      </c>
      <c r="B207" s="16">
        <f t="array" ref="B207:D207">B206:D206+$P$1/6*(E206:G206+2*H206:J206+2*K206:M206+N206:P206)</f>
        <v>1.1002550478301805</v>
      </c>
      <c r="C207" s="11">
        <v>0.17938458388914227</v>
      </c>
      <c r="D207" s="11">
        <v>0.21757801961625084</v>
      </c>
      <c r="E207" s="16">
        <f t="array" ref="E207:G207">TRANSPOSE(MMULT($I$4:$K$6,TRANSPOSE(B207:D207)))</f>
        <v>-0.37644129651866065</v>
      </c>
      <c r="F207" s="17">
        <v>0.36670297082033532</v>
      </c>
      <c r="G207" s="20">
        <v>-1.1147017279975746E-3</v>
      </c>
      <c r="H207" s="16">
        <f t="array" ref="H207:J207">TRANSPOSE(MMULT($I$4:$K$6,TRANSPOSE(B207:D207+$P$1/2*E207:G207)))</f>
        <v>-0.39287194454252417</v>
      </c>
      <c r="I207" s="17">
        <v>0.35920097503665105</v>
      </c>
      <c r="J207" s="20">
        <v>-5.1900825776046156E-3</v>
      </c>
      <c r="K207" s="16">
        <f t="array" ref="K207:M207">TRANSPOSE(MMULT($I$4:$K$6,TRANSPOSE(B207:D207+$P$1/2*H207:J207)))</f>
        <v>-0.39233318389622851</v>
      </c>
      <c r="L207" s="17">
        <v>0.35894101227016045</v>
      </c>
      <c r="M207" s="20">
        <v>-5.143118019579257E-3</v>
      </c>
      <c r="N207" s="16">
        <f t="array" ref="N207:P207">TRANSPOSE(MMULT($I$4:$K$6,TRANSPOSE(B207:D207+$P$1*K207:M207)))</f>
        <v>-0.40820634118593124</v>
      </c>
      <c r="O207" s="17">
        <v>0.35119900677044413</v>
      </c>
      <c r="P207" s="20">
        <v>-9.1649356285045669E-3</v>
      </c>
    </row>
    <row r="208" spans="1:16" x14ac:dyDescent="0.25">
      <c r="A208" s="24">
        <f t="shared" si="3"/>
        <v>19.500000000000007</v>
      </c>
      <c r="B208" s="16">
        <f t="array" ref="B208:D208">B207:D207+$P$1/6*(E207:G207+2*H207:J207+2*K207:M207+N207:P207)</f>
        <v>1.0610040829204788</v>
      </c>
      <c r="C208" s="11">
        <v>0.21528768309254898</v>
      </c>
      <c r="D208" s="11">
        <v>0.21706225230706969</v>
      </c>
      <c r="E208" s="16">
        <f t="array" ref="E208:G208">TRANSPOSE(MMULT($I$4:$K$6,TRANSPOSE(B208:D208)))</f>
        <v>-0.40821299230742469</v>
      </c>
      <c r="F208" s="17">
        <v>0.3511924436258812</v>
      </c>
      <c r="G208" s="20">
        <v>-9.1671893848249142E-3</v>
      </c>
      <c r="H208" s="16">
        <f t="array" ref="H208:J208">TRANSPOSE(MMULT($I$4:$K$6,TRANSPOSE(B208:D208+$P$1/2*E208:G208)))</f>
        <v>-0.42354820573948521</v>
      </c>
      <c r="I208" s="17">
        <v>0.34319064386603498</v>
      </c>
      <c r="J208" s="20">
        <v>-1.3142152282283798E-2</v>
      </c>
      <c r="K208" s="16">
        <f t="array" ref="K208:M208">TRANSPOSE(MMULT($I$4:$K$6,TRANSPOSE(B208:D208+$P$1/2*H208:J208)))</f>
        <v>-0.42299194042638338</v>
      </c>
      <c r="L208" s="17">
        <v>0.34295088328947121</v>
      </c>
      <c r="M208" s="20">
        <v>-1.3088754471971581E-2</v>
      </c>
      <c r="N208" s="16">
        <f t="array" ref="N208:P208">TRANSPOSE(MMULT($I$4:$K$6,TRANSPOSE(B208:D208+$P$1*K208:M208)))</f>
        <v>-0.43775461105322916</v>
      </c>
      <c r="O208" s="17">
        <v>0.33472975981778014</v>
      </c>
      <c r="P208" s="20">
        <v>-1.7004054512734346E-2</v>
      </c>
    </row>
    <row r="209" spans="1:16" x14ac:dyDescent="0.25">
      <c r="A209" s="24">
        <f t="shared" si="3"/>
        <v>19.600000000000009</v>
      </c>
      <c r="B209" s="16">
        <f t="array" ref="B209:D209">B208:D208+$P$1/6*(E208:G208+2*H208:J208+2*K208:M208+N208:P208)</f>
        <v>1.0186866179922722</v>
      </c>
      <c r="C209" s="11">
        <v>0.24959110405512686</v>
      </c>
      <c r="D209" s="11">
        <v>0.21575170135030186</v>
      </c>
      <c r="E209" s="16">
        <f t="array" ref="E209:G209">TRANSPOSE(MMULT($I$4:$K$6,TRANSPOSE(B209:D209)))</f>
        <v>-0.43776044639447481</v>
      </c>
      <c r="F209" s="17">
        <v>0.33472302093252981</v>
      </c>
      <c r="G209" s="20">
        <v>-1.7006199832949959E-2</v>
      </c>
      <c r="H209" s="16">
        <f t="array" ref="H209:J209">TRANSPOSE(MMULT($I$4:$K$6,TRANSPOSE(B209:D209+$P$1/2*E209:G209)))</f>
        <v>-0.45196767121246995</v>
      </c>
      <c r="I209" s="17">
        <v>0.32626227646362499</v>
      </c>
      <c r="J209" s="20">
        <v>-2.0868217326179717E-2</v>
      </c>
      <c r="K209" s="16">
        <f t="array" ref="K209:M209">TRANSPOSE(MMULT($I$4:$K$6,TRANSPOSE(B209:D209+$P$1/2*H209:J209)))</f>
        <v>-0.45139635751507012</v>
      </c>
      <c r="L209" s="17">
        <v>0.32604315851995747</v>
      </c>
      <c r="M209" s="20">
        <v>-2.0808727955229284E-2</v>
      </c>
      <c r="N209" s="16">
        <f t="array" ref="N209:P209">TRANSPOSE(MMULT($I$4:$K$6,TRANSPOSE(B209:D209+$P$1*K209:M209)))</f>
        <v>-0.46501844955311067</v>
      </c>
      <c r="O209" s="17">
        <v>0.31738413009343108</v>
      </c>
      <c r="P209" s="20">
        <v>-2.4605340504768314E-2</v>
      </c>
    </row>
    <row r="210" spans="1:16" x14ac:dyDescent="0.25">
      <c r="A210" s="24">
        <f t="shared" si="3"/>
        <v>19.70000000000001</v>
      </c>
      <c r="B210" s="16">
        <f t="array" ref="B210:D210">B209:D209+$P$1/6*(E209:G209+2*H209:J209+2*K209:M209+N209:P209)</f>
        <v>0.97352816876889448</v>
      </c>
      <c r="C210" s="11">
        <v>0.28220307107167897</v>
      </c>
      <c r="D210" s="11">
        <v>0.21366894416862625</v>
      </c>
      <c r="E210" s="16">
        <f t="array" ref="E210:G210">TRANSPOSE(MMULT($I$4:$K$6,TRANSPOSE(B210:D210)))</f>
        <v>-0.46502346561601893</v>
      </c>
      <c r="F210" s="17">
        <v>0.31737724441488757</v>
      </c>
      <c r="G210" s="20">
        <v>-2.4607371836280922E-2</v>
      </c>
      <c r="H210" s="16">
        <f t="array" ref="H210:J210">TRANSPOSE(MMULT($I$4:$K$6,TRANSPOSE(B210:D210+$P$1/2*E210:G210)))</f>
        <v>-0.47807506307195757</v>
      </c>
      <c r="I210" s="17">
        <v>0.30849920882311932</v>
      </c>
      <c r="J210" s="20">
        <v>-2.8344615145041968E-2</v>
      </c>
      <c r="K210" s="16">
        <f t="array" ref="K210:M210">TRANSPOSE(MMULT($I$4:$K$6,TRANSPOSE(B210:D210+$P$1/2*H210:J210)))</f>
        <v>-0.47749115843891432</v>
      </c>
      <c r="L210" s="17">
        <v>0.30830108746446022</v>
      </c>
      <c r="M210" s="20">
        <v>-2.827939091857154E-2</v>
      </c>
      <c r="N210" s="16">
        <f t="array" ref="N210:P210">TRANSPOSE(MMULT($I$4:$K$6,TRANSPOSE(B210:D210+$P$1*K210:M210)))</f>
        <v>-0.48994748714133296</v>
      </c>
      <c r="O210" s="17">
        <v>0.2992460753850632</v>
      </c>
      <c r="P210" s="20">
        <v>-3.1945858088130968E-2</v>
      </c>
    </row>
    <row r="211" spans="1:16" x14ac:dyDescent="0.25">
      <c r="A211" s="24">
        <f t="shared" si="3"/>
        <v>19.800000000000011</v>
      </c>
      <c r="B211" s="16">
        <f t="array" ref="B211:D211">B210:D210+$P$1/6*(E210:G210+2*H210:J210+2*K210:M210+N210:P210)</f>
        <v>0.92575977883924288</v>
      </c>
      <c r="C211" s="11">
        <v>0.31304013627793081</v>
      </c>
      <c r="D211" s="11">
        <v>0.21083892346776562</v>
      </c>
      <c r="E211" s="16">
        <f t="array" ref="E211:G211">TRANSPOSE(MMULT($I$4:$K$6,TRANSPOSE(B211:D211)))</f>
        <v>-0.48995168354896135</v>
      </c>
      <c r="F211" s="17">
        <v>0.29923907176087661</v>
      </c>
      <c r="G211" s="20">
        <v>-3.1947770425475641E-2</v>
      </c>
      <c r="H211" s="16">
        <f t="array" ref="H211:J211">TRANSPOSE(MMULT($I$4:$K$6,TRANSPOSE(B211:D211+$P$1/2*E211:G211)))</f>
        <v>-0.50182492331075079</v>
      </c>
      <c r="I211" s="17">
        <v>0.2899860205305792</v>
      </c>
      <c r="J211" s="20">
        <v>-3.5549137811452358E-2</v>
      </c>
      <c r="K211" s="16">
        <f t="array" ref="K211:M211">TRANSPOSE(MMULT($I$4:$K$6,TRANSPOSE(B211:D211+$P$1/2*H211:J211)))</f>
        <v>-0.50123087720270754</v>
      </c>
      <c r="L211" s="17">
        <v>0.28980916383062316</v>
      </c>
      <c r="M211" s="20">
        <v>-3.5478548788541092E-2</v>
      </c>
      <c r="N211" s="16">
        <f t="array" ref="N211:P211">TRANSPOSE(MMULT($I$4:$K$6,TRANSPOSE(B211:D211+$P$1*K211:M211)))</f>
        <v>-0.51250114920845502</v>
      </c>
      <c r="O211" s="17">
        <v>0.28040062618678263</v>
      </c>
      <c r="P211" s="20">
        <v>-3.9004151418336908E-2</v>
      </c>
    </row>
    <row r="212" spans="1:16" x14ac:dyDescent="0.25">
      <c r="A212" s="24">
        <f t="shared" si="3"/>
        <v>19.900000000000013</v>
      </c>
      <c r="B212" s="16">
        <f t="array" ref="B212:D212">B211:D211+$P$1/6*(E211:G211+2*H211:J211+2*K211:M211+N211:P211)</f>
        <v>0.87561703827617066</v>
      </c>
      <c r="C212" s="11">
        <v>0.3420273040557652</v>
      </c>
      <c r="D212" s="11">
        <v>0.2072888018837023</v>
      </c>
      <c r="E212" s="16">
        <f t="array" ref="E212:G212">TRANSPOSE(MMULT($I$4:$K$6,TRANSPOSE(B212:D212)))</f>
        <v>-0.51250452863686324</v>
      </c>
      <c r="F212" s="17">
        <v>0.280393533259927</v>
      </c>
      <c r="G212" s="20">
        <v>-3.9005940309583459E-2</v>
      </c>
      <c r="H212" s="16">
        <f t="array" ref="H212:J212">TRANSPOSE(MMULT($I$4:$K$6,TRANSPOSE(B212:D212+$P$1/2*E212:G212)))</f>
        <v>-0.52318156385048364</v>
      </c>
      <c r="I212" s="17">
        <v>0.27080819288447466</v>
      </c>
      <c r="J212" s="20">
        <v>-4.2461082113732868E-2</v>
      </c>
      <c r="K212" s="16">
        <f t="array" ref="K212:M212">TRANSPOSE(MMULT($I$4:$K$6,TRANSPOSE(B212:D212+$P$1/2*H212:J212)))</f>
        <v>-0.5225798088195599</v>
      </c>
      <c r="L212" s="17">
        <v>0.27065278395628667</v>
      </c>
      <c r="M212" s="20">
        <v>-4.2385510035286122E-2</v>
      </c>
      <c r="N212" s="16">
        <f t="array" ref="N212:P212">TRANSPOSE(MMULT($I$4:$K$6,TRANSPOSE(B212:D212+$P$1*K212:M212)))</f>
        <v>-0.53264858854288477</v>
      </c>
      <c r="O212" s="17">
        <v>0.26093354595197249</v>
      </c>
      <c r="P212" s="20">
        <v>-4.5760291050358642E-2</v>
      </c>
    </row>
    <row r="213" spans="1:16" x14ac:dyDescent="0.25">
      <c r="A213" s="24">
        <f t="shared" si="3"/>
        <v>20.000000000000014</v>
      </c>
      <c r="B213" s="16">
        <f t="array" ref="B213:D213">B212:D212+$P$1/6*(E212:G212+2*H212:J212+2*K212:M212+N212:P212)</f>
        <v>0.82333910723417336</v>
      </c>
      <c r="C213" s="11">
        <v>0.36909812127065555</v>
      </c>
      <c r="D213" s="11">
        <v>0.20304781162273597</v>
      </c>
      <c r="E213" s="16">
        <f t="array" ref="E213:G213">TRANSPOSE(MMULT($I$4:$K$6,TRANSPOSE(B213:D213)))</f>
        <v>-0.53265115664316731</v>
      </c>
      <c r="F213" s="17">
        <v>0.26092639205891222</v>
      </c>
      <c r="G213" s="20">
        <v>-4.576195260131441E-2</v>
      </c>
      <c r="H213" s="16">
        <f t="array" ref="H213:J213">TRANSPOSE(MMULT($I$4:$K$6,TRANSPOSE(B213:D213+$P$1/2*E213:G213)))</f>
        <v>-0.54211898141087078</v>
      </c>
      <c r="I213" s="17">
        <v>0.25105177128410605</v>
      </c>
      <c r="J213" s="20">
        <v>-4.9061292929739264E-2</v>
      </c>
      <c r="K213" s="16">
        <f t="array" ref="K213:M213">TRANSPOSE(MMULT($I$4:$K$6,TRANSPOSE(B213:D213+$P$1/2*H213:J213)))</f>
        <v>-0.54151192444172347</v>
      </c>
      <c r="L213" s="17">
        <v>0.25091790949304454</v>
      </c>
      <c r="M213" s="20">
        <v>-4.8981129540220242E-2</v>
      </c>
      <c r="N213" s="16">
        <f t="array" ref="N213:P213">TRANSPOSE(MMULT($I$4:$K$6,TRANSPOSE(B213:D213+$P$1*K213:M213)))</f>
        <v>-0.55036858316644577</v>
      </c>
      <c r="O213" s="17">
        <v>0.24093099619381389</v>
      </c>
      <c r="P213" s="20">
        <v>-5.2195913955112944E-2</v>
      </c>
    </row>
    <row r="214" spans="1:16" x14ac:dyDescent="0.25">
      <c r="A214" s="24">
        <f t="shared" si="3"/>
        <v>20.100000000000016</v>
      </c>
      <c r="B214" s="16">
        <f t="array" ref="B214:D214">B213:D213+$P$1/6*(E213:G213+2*H213:J213+2*K213:M213+N213:P213)</f>
        <v>0.76916774804226007</v>
      </c>
      <c r="C214" s="11">
        <v>0.39419473376743935</v>
      </c>
      <c r="D214" s="11">
        <v>0.19814709976446354</v>
      </c>
      <c r="E214" s="16">
        <f t="array" ref="E214:G214">TRANSPOSE(MMULT($I$4:$K$6,TRANSPOSE(B214:D214)))</f>
        <v>-0.55037034847745081</v>
      </c>
      <c r="F214" s="17">
        <v>0.24092380926607812</v>
      </c>
      <c r="G214" s="20">
        <v>-5.2197444831360296E-2</v>
      </c>
      <c r="H214" s="16">
        <f t="array" ref="H214:J214">TRANSPOSE(MMULT($I$4:$K$6,TRANSPOSE(B214:D214+$P$1/2*E214:G214)))</f>
        <v>-0.55862073830174019</v>
      </c>
      <c r="I214" s="17">
        <v>0.23080303304534894</v>
      </c>
      <c r="J214" s="20">
        <v>-5.5332199883832894E-2</v>
      </c>
      <c r="K214" s="16">
        <f t="array" ref="K214:M214">TRANSPOSE(MMULT($I$4:$K$6,TRANSPOSE(B214:D214+$P$1/2*H214:J214)))</f>
        <v>-0.55801075244053289</v>
      </c>
      <c r="L214" s="17">
        <v>0.23069073550604258</v>
      </c>
      <c r="M214" s="20">
        <v>-5.5247845253231398E-2</v>
      </c>
      <c r="N214" s="16">
        <f t="array" ref="N214:P214">TRANSPOSE(MMULT($I$4:$K$6,TRANSPOSE(B214:D214+$P$1*K214:M214)))</f>
        <v>-0.56564940069352043</v>
      </c>
      <c r="O214" s="17">
        <v>0.22047920756945794</v>
      </c>
      <c r="P214" s="20">
        <v>-5.8294256825859925E-2</v>
      </c>
    </row>
    <row r="215" spans="1:16" x14ac:dyDescent="0.25">
      <c r="A215" s="24">
        <f t="shared" si="3"/>
        <v>20.200000000000017</v>
      </c>
      <c r="B215" s="16">
        <f t="array" ref="B215:D215">B214:D214+$P$1/6*(E214:G214+2*H214:J214+2*K214:M214+N214:P214)</f>
        <v>0.71334636919800143</v>
      </c>
      <c r="C215" s="11">
        <v>0.41726790966641136</v>
      </c>
      <c r="D215" s="11">
        <v>0.19261956989894105</v>
      </c>
      <c r="E215" s="16">
        <f t="array" ref="E215:G215">TRANSPOSE(MMULT($I$4:$K$6,TRANSPOSE(B215:D215)))</f>
        <v>-0.56565037454578793</v>
      </c>
      <c r="F215" s="17">
        <v>0.22047201503891153</v>
      </c>
      <c r="G215" s="20">
        <v>-5.8295654252668999E-2</v>
      </c>
      <c r="H215" s="16">
        <f t="array" ref="H215:J215">TRANSPOSE(MMULT($I$4:$K$6,TRANSPOSE(B215:D215+$P$1/2*E215:G215)))</f>
        <v>-0.57267981033995119</v>
      </c>
      <c r="I215" s="17">
        <v>0.21014816175668455</v>
      </c>
      <c r="J215" s="20">
        <v>-6.1257847300532325E-2</v>
      </c>
      <c r="K215" s="16">
        <f t="array" ref="K215:M215">TRANSPOSE(MMULT($I$4:$K$6,TRANSPOSE(B215:D215+$P$1/2*H215:J215)))</f>
        <v>-0.57206922663591175</v>
      </c>
      <c r="L215" s="17">
        <v>0.21005736510217365</v>
      </c>
      <c r="M215" s="20">
        <v>-6.1169708152798596E-2</v>
      </c>
      <c r="N215" s="16">
        <f t="array" ref="N215:P215">TRANSPOSE(MMULT($I$4:$K$6,TRANSPOSE(B215:D215+$P$1*K215:M215)))</f>
        <v>-0.57848863046353416</v>
      </c>
      <c r="O215" s="17">
        <v>0.1996641580362741</v>
      </c>
      <c r="P215" s="20">
        <v>-6.4040182700311699E-2</v>
      </c>
    </row>
    <row r="216" spans="1:16" x14ac:dyDescent="0.25">
      <c r="A216" s="24">
        <f t="shared" si="3"/>
        <v>20.300000000000018</v>
      </c>
      <c r="B216" s="16">
        <f t="array" ref="B216:D216">B215:D215+$P$1/6*(E215:G215+2*H215:J215+2*K215:M215+N215:P215)</f>
        <v>0.65611908454865064</v>
      </c>
      <c r="C216" s="11">
        <v>0.43827703011295971</v>
      </c>
      <c r="D216" s="11">
        <v>0.18649972076794702</v>
      </c>
      <c r="E216" s="16">
        <f t="array" ref="E216:G216">TRANSPOSE(MMULT($I$4:$K$6,TRANSPOSE(B216:D216)))</f>
        <v>-0.57848882687500358</v>
      </c>
      <c r="F216" s="17">
        <v>0.19965698674435609</v>
      </c>
      <c r="G216" s="20">
        <v>-6.4041444460476063E-2</v>
      </c>
      <c r="H216" s="16">
        <f t="array" ref="H216:J216">TRANSPOSE(MMULT($I$4:$K$6,TRANSPOSE(B216:D216+$P$1/2*E216:G216)))</f>
        <v>-0.58429840318863691</v>
      </c>
      <c r="I216" s="17">
        <v>0.18917292923939014</v>
      </c>
      <c r="J216" s="20">
        <v>-6.6823917492946666E-2</v>
      </c>
      <c r="K216" s="16">
        <f t="array" ref="K216:M216">TRANSPOSE(MMULT($I$4:$K$6,TRANSPOSE(B216:D216+$P$1/2*H216:J216)))</f>
        <v>-0.58368950297117095</v>
      </c>
      <c r="L216" s="17">
        <v>0.18910349164979529</v>
      </c>
      <c r="M216" s="20">
        <v>-6.673240554695449E-2</v>
      </c>
      <c r="N216" s="16">
        <f t="array" ref="N216:P216">TRANSPOSE(MMULT($I$4:$K$6,TRANSPOSE(B216:D216+$P$1*K216:M216)))</f>
        <v>-0.58889298478839325</v>
      </c>
      <c r="O216" s="17">
        <v>0.17857125911808203</v>
      </c>
      <c r="P216" s="20">
        <v>-6.9420200948503638E-2</v>
      </c>
    </row>
    <row r="217" spans="1:16" x14ac:dyDescent="0.25">
      <c r="A217" s="24">
        <f t="shared" si="3"/>
        <v>20.40000000000002</v>
      </c>
      <c r="B217" s="16">
        <f t="array" ref="B217:D217">B216:D216+$P$1/6*(E216:G216+2*H216:J216+2*K216:M216+N216:P216)</f>
        <v>0.5977297908156004</v>
      </c>
      <c r="C217" s="11">
        <v>0.45719004824030651</v>
      </c>
      <c r="D217" s="11">
        <v>0.17982348257646733</v>
      </c>
      <c r="E217" s="16">
        <f t="array" ref="E217:G217">TRANSPOSE(MMULT($I$4:$K$6,TRANSPOSE(B217:D217)))</f>
        <v>-0.58889242035245348</v>
      </c>
      <c r="F217" s="17">
        <v>0.17856413522925882</v>
      </c>
      <c r="G217" s="20">
        <v>-6.9421325378153376E-2</v>
      </c>
      <c r="H217" s="16">
        <f t="array" ref="H217:J217">TRANSPOSE(MMULT($I$4:$K$6,TRANSPOSE(B217:D217+$P$1/2*E217:G217)))</f>
        <v>-0.59348773850459113</v>
      </c>
      <c r="I217" s="17">
        <v>0.16796238612380543</v>
      </c>
      <c r="J217" s="20">
        <v>-7.2017747447999492E-2</v>
      </c>
      <c r="K217" s="16">
        <f t="array" ref="K217:M217">TRANSPOSE(MMULT($I$4:$K$6,TRANSPOSE(B217:D217+$P$1/2*H217:J217)))</f>
        <v>-0.59288274601716084</v>
      </c>
      <c r="L217" s="17">
        <v>0.1679140896012071</v>
      </c>
      <c r="M217" s="20">
        <v>-7.1923277776923103E-2</v>
      </c>
      <c r="N217" s="16">
        <f t="array" ref="N217:P217">TRANSPOSE(MMULT($I$4:$K$6,TRANSPOSE(B217:D217+$P$1*K217:M217)))</f>
        <v>-0.59687807074132559</v>
      </c>
      <c r="O217" s="17">
        <v>0.15728505126602083</v>
      </c>
      <c r="P217" s="20">
        <v>-7.4422480700006691E-2</v>
      </c>
    </row>
    <row r="218" spans="1:16" x14ac:dyDescent="0.25">
      <c r="A218" s="24">
        <f t="shared" si="3"/>
        <v>20.500000000000021</v>
      </c>
      <c r="B218" s="16">
        <f t="array" ref="B218:D218">B217:D217+$P$1/6*(E217:G217+2*H217:J217+2*K217:M217+N217:P217)</f>
        <v>0.53842126647997901</v>
      </c>
      <c r="C218" s="11">
        <v>0.47398341720606157</v>
      </c>
      <c r="D218" s="11">
        <v>0.1726280516343339</v>
      </c>
      <c r="E218" s="16">
        <f t="array" ref="E218:G218">TRANSPOSE(MMULT($I$4:$K$6,TRANSPOSE(B218:D218)))</f>
        <v>-0.59687676450779303</v>
      </c>
      <c r="F218" s="17">
        <v>0.15727800018568308</v>
      </c>
      <c r="G218" s="20">
        <v>-7.4423466682459319E-2</v>
      </c>
      <c r="H218" s="16">
        <f t="array" ref="H218:J218">TRANSPOSE(MMULT($I$4:$K$6,TRANSPOSE(B218:D218+$P$1/2*E218:G218)))</f>
        <v>-0.60026781136088903</v>
      </c>
      <c r="I218" s="17">
        <v>0.14660056199904731</v>
      </c>
      <c r="J218" s="20">
        <v>-7.6828338993599948E-2</v>
      </c>
      <c r="K218" s="16">
        <f t="array" ref="K218:M218">TRANSPOSE(MMULT($I$4:$K$6,TRANSPOSE(B218:D218+$P$1/2*H218:J218)))</f>
        <v>-0.599668886771069</v>
      </c>
      <c r="L218" s="17">
        <v>0.14657311487463803</v>
      </c>
      <c r="M218" s="20">
        <v>-7.673132840838727E-2</v>
      </c>
      <c r="N218" s="16">
        <f t="array" ref="N218:P218">TRANSPOSE(MMULT($I$4:$K$6,TRANSPOSE(B218:D218+$P$1*K218:M218)))</f>
        <v>-0.60246813399121057</v>
      </c>
      <c r="O218" s="17">
        <v>0.13588890924298877</v>
      </c>
      <c r="P218" s="20">
        <v>-7.9036857806791247E-2</v>
      </c>
    </row>
    <row r="219" spans="1:16" x14ac:dyDescent="0.25">
      <c r="A219" s="24">
        <f t="shared" si="3"/>
        <v>20.600000000000023</v>
      </c>
      <c r="B219" s="16">
        <f t="array" ref="B219:D219">B218:D218+$P$1/6*(E218:G218+2*H218:J218+2*K218:M218+N218:P218)</f>
        <v>0.47843429490059702</v>
      </c>
      <c r="C219" s="11">
        <v>0.48864198825899563</v>
      </c>
      <c r="D219" s="11">
        <v>0.16495172397944682</v>
      </c>
      <c r="E219" s="16">
        <f t="array" ref="E219:G219">TRANSPOSE(MMULT($I$4:$K$6,TRANSPOSE(B219:D219)))</f>
        <v>-0.60246610734083406</v>
      </c>
      <c r="F219" s="17">
        <v>0.13588195553999716</v>
      </c>
      <c r="G219" s="20">
        <v>-7.9037704764507319E-2</v>
      </c>
      <c r="H219" s="16">
        <f t="array" ref="H219:J219">TRANSPOSE(MMULT($I$4:$K$6,TRANSPOSE(B219:D219+$P$1/2*E219:G219)))</f>
        <v>-0.60466712048583959</v>
      </c>
      <c r="I219" s="17">
        <v>0.12517017603664538</v>
      </c>
      <c r="J219" s="20">
        <v>-8.1246362555230295E-2</v>
      </c>
      <c r="K219" s="16">
        <f t="array" ref="K219:M219">TRANSPOSE(MMULT($I$4:$K$6,TRANSPOSE(B219:D219+$P$1/2*H219:J219)))</f>
        <v>-0.60407635328913245</v>
      </c>
      <c r="L219" s="17">
        <v>0.12516321569566838</v>
      </c>
      <c r="M219" s="20">
        <v>-8.1147228017640877E-2</v>
      </c>
      <c r="N219" s="16">
        <f t="array" ref="N219:P219">TRANSPOSE(MMULT($I$4:$K$6,TRANSPOSE(B219:D219+$P$1*K219:M219)))</f>
        <v>-0.60569577625680393</v>
      </c>
      <c r="O219" s="17">
        <v>0.11446475840265552</v>
      </c>
      <c r="P219" s="20">
        <v>-8.3254835459917215E-2</v>
      </c>
    </row>
    <row r="220" spans="1:16" x14ac:dyDescent="0.25">
      <c r="A220" s="24">
        <f t="shared" si="3"/>
        <v>20.700000000000024</v>
      </c>
      <c r="B220" s="16">
        <f t="array" ref="B220:D220">B219:D219+$P$1/6*(E219:G219+2*H219:J219+2*K219:M219+N219:P219)</f>
        <v>0.41800681438147064</v>
      </c>
      <c r="C220" s="11">
        <v>0.50115887988245034</v>
      </c>
      <c r="D220" s="11">
        <v>0.15683372862327738</v>
      </c>
      <c r="E220" s="16">
        <f t="array" ref="E220:G220">TRANSPOSE(MMULT($I$4:$K$6,TRANSPOSE(B220:D220)))</f>
        <v>-0.60569305276990837</v>
      </c>
      <c r="F220" s="17">
        <v>0.11445792573671901</v>
      </c>
      <c r="G220" s="20">
        <v>-8.3255543344632255E-2</v>
      </c>
      <c r="H220" s="16">
        <f t="array" ref="H220:J220">TRANSPOSE(MMULT($I$4:$K$6,TRANSPOSE(B220:D220+$P$1/2*E220:G220)))</f>
        <v>-0.60672237292600206</v>
      </c>
      <c r="I220" s="17">
        <v>0.10375235892960591</v>
      </c>
      <c r="J220" s="20">
        <v>-8.5264154630836433E-2</v>
      </c>
      <c r="K220" s="16">
        <f t="array" ref="K220:M220">TRANSPOSE(MMULT($I$4:$K$6,TRANSPOSE(B220:D220+$P$1/2*H220:J220)))</f>
        <v>-0.60614177575914185</v>
      </c>
      <c r="L220" s="17">
        <v>0.1037654547391044</v>
      </c>
      <c r="M220" s="20">
        <v>-8.5163311701280067E-2</v>
      </c>
      <c r="N220" s="16">
        <f t="array" ref="N220:P220">TRANSPOSE(MMULT($I$4:$K$6,TRANSPOSE(B220:D220+$P$1*K220:M220)))</f>
        <v>-0.60660164801817618</v>
      </c>
      <c r="O220" s="17">
        <v>9.3092802674171082E-2</v>
      </c>
      <c r="P220" s="20">
        <v>-8.7069578599165282E-2</v>
      </c>
    </row>
    <row r="221" spans="1:16" x14ac:dyDescent="0.25">
      <c r="A221" s="24">
        <f t="shared" si="3"/>
        <v>20.800000000000026</v>
      </c>
      <c r="B221" s="16">
        <f t="array" ref="B221:D221">B220:D220+$P$1/6*(E220:G220+2*H220:J220+2*K220:M220+N220:P220)</f>
        <v>0.35737309774549775</v>
      </c>
      <c r="C221" s="11">
        <v>0.51153531914492223</v>
      </c>
      <c r="D221" s="11">
        <v>0.14831406104647687</v>
      </c>
      <c r="E221" s="16">
        <f t="array" ref="E221:G221">TRANSPOSE(MMULT($I$4:$K$6,TRANSPOSE(B221:D221)))</f>
        <v>-0.60659825333806283</v>
      </c>
      <c r="F221" s="17">
        <v>9.3086113728221342E-2</v>
      </c>
      <c r="G221" s="20">
        <v>-8.7070147880275769E-2</v>
      </c>
      <c r="H221" s="16">
        <f t="array" ref="H221:J221">TRANSPOSE(MMULT($I$4:$K$6,TRANSPOSE(B221:D221+$P$1/2*E221:G221)))</f>
        <v>-0.60647816480017802</v>
      </c>
      <c r="I221" s="17">
        <v>8.2426386927628575E-2</v>
      </c>
      <c r="J221" s="20">
        <v>-8.8875709133370825E-2</v>
      </c>
      <c r="K221" s="16">
        <f t="array" ref="K221:M221">TRANSPOSE(MMULT($I$4:$K$6,TRANSPOSE(B221:D221+$P$1/2*H221:J221)))</f>
        <v>-0.60590966767777577</v>
      </c>
      <c r="L221" s="17">
        <v>8.2459043351611694E-2</v>
      </c>
      <c r="M221" s="20">
        <v>-8.8773570458536649E-2</v>
      </c>
      <c r="N221" s="16">
        <f t="array" ref="N221:P221">TRANSPOSE(MMULT($I$4:$K$6,TRANSPOSE(B221:D221+$P$1*K221:M221)))</f>
        <v>-0.60523411817810469</v>
      </c>
      <c r="O221" s="17">
        <v>7.1851265002146253E-2</v>
      </c>
      <c r="P221" s="20">
        <v>-9.0475902274680858E-2</v>
      </c>
    </row>
    <row r="222" spans="1:16" x14ac:dyDescent="0.25">
      <c r="A222" s="24">
        <f t="shared" si="3"/>
        <v>20.900000000000027</v>
      </c>
      <c r="B222" s="16">
        <f t="array" ref="B222:D222">B221:D221+$P$1/6*(E221:G221+2*H221:J221+2*K221:M221+N221:P221)</f>
        <v>0.29676296380429651</v>
      </c>
      <c r="C222" s="11">
        <v>0.51978045646640303</v>
      </c>
      <c r="D222" s="11">
        <v>0.13943331755749735</v>
      </c>
      <c r="E222" s="16">
        <f t="array" ref="E222:G222">TRANSPOSE(MMULT($I$4:$K$6,TRANSPOSE(B222:D222)))</f>
        <v>-0.60523007986983168</v>
      </c>
      <c r="F222" s="17">
        <v>7.184474141984637E-2</v>
      </c>
      <c r="G222" s="20">
        <v>-9.0476333925966115E-2</v>
      </c>
      <c r="H222" s="16">
        <f t="array" ref="H222:J222">TRANSPOSE(MMULT($I$4:$K$6,TRANSPOSE(B222:D222+$P$1/2*E222:G222)))</f>
        <v>-0.60398663986295542</v>
      </c>
      <c r="I222" s="17">
        <v>6.1269428686872351E-2</v>
      </c>
      <c r="J222" s="20">
        <v>-9.2076662769785961E-2</v>
      </c>
      <c r="K222" s="16">
        <f t="array" ref="K222:M222">TRANSPOSE(MMULT($I$4:$K$6,TRANSPOSE(B222:D222+$P$1/2*H222:J222)))</f>
        <v>-0.60343208484946476</v>
      </c>
      <c r="L222" s="17">
        <v>6.1321088573150884E-2</v>
      </c>
      <c r="M222" s="20">
        <v>-9.1973636614793228E-2</v>
      </c>
      <c r="N222" s="16">
        <f t="array" ref="N222:P222">TRANSPOSE(MMULT($I$4:$K$6,TRANSPOSE(B222:D222+$P$1*K222:M222)))</f>
        <v>-0.60164892241406032</v>
      </c>
      <c r="O222" s="17">
        <v>5.0816140928506837E-2</v>
      </c>
      <c r="P222" s="20">
        <v>-9.347025413862238E-2</v>
      </c>
    </row>
    <row r="223" spans="1:16" x14ac:dyDescent="0.25">
      <c r="A223" s="24">
        <f t="shared" si="3"/>
        <v>21.000000000000028</v>
      </c>
      <c r="B223" s="16">
        <f t="array" ref="B223:D223">B222:D222+$P$1/6*(E222:G222+2*H222:J222+2*K222:M222+N222:P222)</f>
        <v>0.2364010229424843</v>
      </c>
      <c r="C223" s="11">
        <v>0.52591115508087638</v>
      </c>
      <c r="D223" s="11">
        <v>0.13023253111026825</v>
      </c>
      <c r="E223" s="16">
        <f t="array" ref="E223:G223">TRANSPOSE(MMULT($I$4:$K$6,TRANSPOSE(B223:D223)))</f>
        <v>-0.60164426981923214</v>
      </c>
      <c r="F223" s="17">
        <v>5.0809803257013397E-2</v>
      </c>
      <c r="G223" s="20">
        <v>-9.347054962338891E-2</v>
      </c>
      <c r="H223" s="16">
        <f t="array" ref="H223:J223">TRANSPOSE(MMULT($I$4:$K$6,TRANSPOSE(B223:D223+$P$1/2*E223:G223)))</f>
        <v>-0.59930712764051874</v>
      </c>
      <c r="I223" s="17">
        <v>4.0356305589061364E-2</v>
      </c>
      <c r="J223" s="20">
        <v>-9.4864274643668811E-2</v>
      </c>
      <c r="K223" s="16">
        <f t="array" ref="K223:M223">TRANSPOSE(MMULT($I$4:$K$6,TRANSPOSE(B223:D223+$P$1/2*H223:J223)))</f>
        <v>-0.59876826396760929</v>
      </c>
      <c r="L223" s="17">
        <v>4.0426353611719174E-2</v>
      </c>
      <c r="M223" s="20">
        <v>-9.4760763473199713E-2</v>
      </c>
      <c r="N223" s="16">
        <f t="array" ref="N223:P223">TRANSPOSE(MMULT($I$4:$K$6,TRANSPOSE(B223:D223+$P$1*K223:M223)))</f>
        <v>-0.59590879200179991</v>
      </c>
      <c r="O223" s="17">
        <v>3.0060965938714407E-2</v>
      </c>
      <c r="P223" s="20">
        <v>-9.6050691262644566E-2</v>
      </c>
    </row>
    <row r="224" spans="1:16" x14ac:dyDescent="0.25">
      <c r="A224" s="24">
        <f t="shared" si="3"/>
        <v>21.10000000000003</v>
      </c>
      <c r="B224" s="16">
        <f t="array" ref="B224:D224">B223:D223+$P$1/6*(E223:G223+2*H223:J223+2*K223:M223+N223:P223)</f>
        <v>0.17650595885852952</v>
      </c>
      <c r="C224" s="11">
        <v>0.52995175654083115</v>
      </c>
      <c r="D224" s="11">
        <v>0.12075300915827208</v>
      </c>
      <c r="E224" s="16">
        <f t="array" ref="E224:G224">TRANSPOSE(MMULT($I$4:$K$6,TRANSPOSE(B224:D224)))</f>
        <v>-0.5959035560899929</v>
      </c>
      <c r="F224" s="17">
        <v>3.0054833576787288E-2</v>
      </c>
      <c r="G224" s="20">
        <v>-9.6050852517382795E-2</v>
      </c>
      <c r="H224" s="16">
        <f t="array" ref="H224:J224">TRANSPOSE(MMULT($I$4:$K$6,TRANSPOSE(B224:D224+$P$1/2*E224:G224)))</f>
        <v>-0.5925057629380347</v>
      </c>
      <c r="I224" s="17">
        <v>1.9759266120099761E-2</v>
      </c>
      <c r="J224" s="20">
        <v>-9.7237400285990372E-2</v>
      </c>
      <c r="K224" s="16">
        <f t="array" ref="K224:M224">TRANSPOSE(MMULT($I$4:$K$6,TRANSPOSE(B224:D224+$P$1/2*H224:J224)))</f>
        <v>-0.59198424257558802</v>
      </c>
      <c r="L224" s="17">
        <v>1.9847032361345524E-2</v>
      </c>
      <c r="M224" s="20">
        <v>-9.7133799398583728E-2</v>
      </c>
      <c r="N224" s="16">
        <f t="array" ref="N224:P224">TRANSPOSE(MMULT($I$4:$K$6,TRANSPOSE(B224:D224+$P$1*K224:M224)))</f>
        <v>-0.5880830649244283</v>
      </c>
      <c r="O224" s="17">
        <v>9.6565971298440134E-3</v>
      </c>
      <c r="P224" s="20">
        <v>-9.8216851493758875E-2</v>
      </c>
    </row>
    <row r="225" spans="1:16" x14ac:dyDescent="0.25">
      <c r="A225" s="24">
        <f t="shared" si="3"/>
        <v>21.200000000000031</v>
      </c>
      <c r="B225" s="16">
        <f t="array" ref="B225:D225">B224:D224+$P$1/6*(E224:G224+2*H224:J224+2*K224:M224+N224:P224)</f>
        <v>0.11728984832450175</v>
      </c>
      <c r="C225" s="11">
        <v>0.53193382366865649</v>
      </c>
      <c r="D225" s="11">
        <v>0.11103617410193392</v>
      </c>
      <c r="E225" s="16">
        <f t="array" ref="E225:G225">TRANSPOSE(MMULT($I$4:$K$6,TRANSPOSE(B225:D225)))</f>
        <v>-0.58807727814188027</v>
      </c>
      <c r="F225" s="17">
        <v>9.6506882813787442E-3</v>
      </c>
      <c r="G225" s="20">
        <v>-9.8216880910406701E-2</v>
      </c>
      <c r="H225" s="16">
        <f t="array" ref="H225:J225">TRANSPOSE(MMULT($I$4:$K$6,TRANSPOSE(B225:D225+$P$1/2*E225:G225)))</f>
        <v>-0.58365508854703163</v>
      </c>
      <c r="I225" s="17">
        <v>-4.5222516701079463E-4</v>
      </c>
      <c r="J225" s="20">
        <v>-9.9196460334586553E-2</v>
      </c>
      <c r="K225" s="16">
        <f t="array" ref="K225:M225">TRANSPOSE(MMULT($I$4:$K$6,TRANSPOSE(B225:D225+$P$1/2*H225:J225)))</f>
        <v>-0.58315246223410289</v>
      </c>
      <c r="L225" s="17">
        <v>-3.4746151202172393E-4</v>
      </c>
      <c r="M225" s="20">
        <v>-9.9093156553980682E-2</v>
      </c>
      <c r="N225" s="16">
        <f t="array" ref="N225:P225">TRANSPOSE(MMULT($I$4:$K$6,TRANSPOSE(B225:D225+$P$1*K225:M225)))</f>
        <v>-0.57824728110617785</v>
      </c>
      <c r="O225" s="17">
        <v>-1.0328990307606783E-2</v>
      </c>
      <c r="P225" s="20">
        <v>-9.9969919576666649E-2</v>
      </c>
    </row>
    <row r="226" spans="1:16" x14ac:dyDescent="0.25">
      <c r="A226" s="24">
        <f t="shared" si="3"/>
        <v>21.300000000000033</v>
      </c>
      <c r="B226" s="16">
        <f t="array" ref="B226:D226">B225:D225+$P$1/6*(E225:G225+2*H225:J225+2*K225:M225+N225:P225)</f>
        <v>5.8957520644329638E-2</v>
      </c>
      <c r="C226" s="11">
        <v>0.53189586241225162</v>
      </c>
      <c r="D226" s="11">
        <v>0.10112340686419713</v>
      </c>
      <c r="E226" s="16">
        <f t="array" ref="E226:G226">TRANSPOSE(MMULT($I$4:$K$6,TRANSPOSE(B226:D226)))</f>
        <v>-0.57824097722236345</v>
      </c>
      <c r="F226" s="17">
        <v>-1.0334658674573394E-2</v>
      </c>
      <c r="G226" s="20">
        <v>-9.9969819983576236E-2</v>
      </c>
      <c r="H226" s="16">
        <f t="array" ref="H226:J226">TRANSPOSE(MMULT($I$4:$K$6,TRANSPOSE(B226:D226+$P$1/2*E226:G226)))</f>
        <v>-0.57283364300285133</v>
      </c>
      <c r="I226" s="17">
        <v>-2.0211683646022938E-2</v>
      </c>
      <c r="J226" s="20">
        <v>-0.10074340409794648</v>
      </c>
      <c r="K226" s="16">
        <f t="array" ref="K226:M226">TRANSPOSE(MMULT($I$4:$K$6,TRANSPOSE(B226:D226+$P$1/2*H226:J226)))</f>
        <v>-0.57235135674308912</v>
      </c>
      <c r="L226" s="17">
        <v>-2.0090690457898047E-2</v>
      </c>
      <c r="M226" s="20">
        <v>-0.1006407745250614</v>
      </c>
      <c r="N226" s="16">
        <f t="array" ref="N226:P226">TRANSPOSE(MMULT($I$4:$K$6,TRANSPOSE(B226:D226+$P$1*K226:M226)))</f>
        <v>-0.56648276362814032</v>
      </c>
      <c r="O226" s="17">
        <v>-2.9830891368292728E-2</v>
      </c>
      <c r="P226" s="20">
        <v>-0.10131258828501608</v>
      </c>
    </row>
    <row r="227" spans="1:16" x14ac:dyDescent="0.25">
      <c r="A227" s="24">
        <f t="shared" si="3"/>
        <v>21.400000000000034</v>
      </c>
      <c r="B227" s="16">
        <f t="array" ref="B227:D227">B226:D226+$P$1/6*(E226:G226+2*H226:J226+2*K226:M226+N226:P226)</f>
        <v>1.7059583052898911E-3</v>
      </c>
      <c r="C227" s="11">
        <v>0.5298830241080732</v>
      </c>
      <c r="D227" s="11">
        <v>9.105589410562033E-2</v>
      </c>
      <c r="E227" s="16">
        <f t="array" ref="E227:G227">TRANSPOSE(MMULT($I$4:$K$6,TRANSPOSE(B227:D227)))</f>
        <v>-0.56647597758085033</v>
      </c>
      <c r="F227" s="17">
        <v>-2.9836303557072757E-2</v>
      </c>
      <c r="G227" s="20">
        <v>-0.10131236292672381</v>
      </c>
      <c r="H227" s="16">
        <f t="array" ref="H227:J227">TRANSPOSE(MMULT($I$4:$K$6,TRANSPOSE(B227:D227+$P$1/2*E227:G227)))</f>
        <v>-0.56012553525655795</v>
      </c>
      <c r="I227" s="17">
        <v>-3.9455785175240787E-2</v>
      </c>
      <c r="J227" s="20">
        <v>-0.10188166825263906</v>
      </c>
      <c r="K227" s="16">
        <f t="array" ref="K227:M227">TRANSPOSE(MMULT($I$4:$K$6,TRANSPOSE(B227:D227+$P$1/2*H227:J227)))</f>
        <v>-0.55966492728075268</v>
      </c>
      <c r="L227" s="17">
        <v>-3.9319373509120348E-2</v>
      </c>
      <c r="M227" s="20">
        <v>-0.10178007908148221</v>
      </c>
      <c r="N227" s="16">
        <f t="array" ref="N227:P227">TRANSPOSE(MMULT($I$4:$K$6,TRANSPOSE(B227:D227+$P$1*K227:M227)))</f>
        <v>-0.55287618779387149</v>
      </c>
      <c r="O227" s="17">
        <v>-4.8787443911188638E-2</v>
      </c>
      <c r="P227" s="20">
        <v>-0.10224901481717241</v>
      </c>
    </row>
    <row r="228" spans="1:16" x14ac:dyDescent="0.25">
      <c r="A228" s="24">
        <f t="shared" si="3"/>
        <v>21.500000000000036</v>
      </c>
      <c r="B228" s="16">
        <f t="array" ref="B228:D228">B227:D227+$P$1/6*(E227:G227+2*H227:J227+2*K227:M227+N227:P227)</f>
        <v>-5.4276259868865827E-2</v>
      </c>
      <c r="C228" s="11">
        <v>0.52594678969412345</v>
      </c>
      <c r="D228" s="11">
        <v>8.0874479565418017E-2</v>
      </c>
      <c r="E228" s="16">
        <f t="array" ref="E228:G228">TRANSPOSE(MMULT($I$4:$K$6,TRANSPOSE(B228:D228)))</f>
        <v>-0.55286895553340409</v>
      </c>
      <c r="F228" s="17">
        <v>-4.8792585526419963E-2</v>
      </c>
      <c r="G228" s="20">
        <v>-0.10224866733307365</v>
      </c>
      <c r="H228" s="16">
        <f t="array" ref="H228:J228">TRANSPOSE(MMULT($I$4:$K$6,TRANSPOSE(B228:D228+$P$1/2*E228:G228)))</f>
        <v>-0.54562000813275457</v>
      </c>
      <c r="I228" s="17">
        <v>-5.8124530892528919E-2</v>
      </c>
      <c r="J228" s="20">
        <v>-0.1026161309362276</v>
      </c>
      <c r="K228" s="16">
        <f t="array" ref="K228:M228">TRANSPOSE(MMULT($I$4:$K$6,TRANSPOSE(B228:D228+$P$1/2*H228:J228)))</f>
        <v>-0.54518230632938935</v>
      </c>
      <c r="L228" s="17">
        <v>-5.7973551003412033E-2</v>
      </c>
      <c r="M228" s="20">
        <v>-0.1025159363366973</v>
      </c>
      <c r="N228" s="16">
        <f t="array" ref="N228:P228">TRANSPOSE(MMULT($I$4:$K$6,TRANSPOSE(B228:D228+$P$1*K228:M228)))</f>
        <v>-0.53751913991630107</v>
      </c>
      <c r="O228" s="17">
        <v>-6.7140385445521755E-2</v>
      </c>
      <c r="P228" s="20">
        <v>-0.10278477272398488</v>
      </c>
    </row>
    <row r="229" spans="1:16" x14ac:dyDescent="0.25">
      <c r="A229" s="24">
        <f t="shared" si="3"/>
        <v>21.600000000000037</v>
      </c>
      <c r="B229" s="16">
        <f t="array" ref="B229:D229">B228:D228+$P$1/6*(E228:G228+2*H228:J228+2*K228:M228+N228:P228)</f>
        <v>-0.10880947194176571</v>
      </c>
      <c r="C229" s="11">
        <v>0.52014463744805972</v>
      </c>
      <c r="D229" s="11">
        <v>7.0619519988702875E-2</v>
      </c>
      <c r="E229" s="16">
        <f t="array" ref="E229:G229">TRANSPOSE(MMULT($I$4:$K$6,TRANSPOSE(B229:D229)))</f>
        <v>-0.53751149824936428</v>
      </c>
      <c r="F229" s="17">
        <v>-6.7145243417643469E-2</v>
      </c>
      <c r="G229" s="20">
        <v>-0.10278430712601722</v>
      </c>
      <c r="H229" s="16">
        <f t="array" ref="H229:J229">TRANSPOSE(MMULT($I$4:$K$6,TRANSPOSE(B229:D229+$P$1/2*E229:G229)))</f>
        <v>-0.52941099244471501</v>
      </c>
      <c r="I229" s="17">
        <v>-7.6161395986629715E-2</v>
      </c>
      <c r="J229" s="20">
        <v>-0.10295306150879235</v>
      </c>
      <c r="K229" s="16">
        <f t="array" ref="K229:M229">TRANSPOSE(MMULT($I$4:$K$6,TRANSPOSE(B229:D229+$P$1/2*H229:J229)))</f>
        <v>-0.52899731225763347</v>
      </c>
      <c r="L229" s="17">
        <v>-7.5996733297656799E-2</v>
      </c>
      <c r="M229" s="20">
        <v>-0.10285460257903811</v>
      </c>
      <c r="N229" s="16">
        <f t="array" ref="N229:P229">TRANSPOSE(MMULT($I$4:$K$6,TRANSPOSE(B229:D229+$P$1*K229:M229)))</f>
        <v>-0.52050766769386081</v>
      </c>
      <c r="O229" s="17">
        <v>-8.4834993795222122E-2</v>
      </c>
      <c r="P229" s="20">
        <v>-0.10292679964667076</v>
      </c>
    </row>
    <row r="230" spans="1:16" x14ac:dyDescent="0.25">
      <c r="A230" s="24">
        <f t="shared" si="3"/>
        <v>21.700000000000038</v>
      </c>
      <c r="B230" s="16">
        <f t="array" ref="B230:D230">B229:D229+$P$1/6*(E229:G229+2*H229:J229+2*K229:M229+N229:P229)</f>
        <v>-0.16172340153089776</v>
      </c>
      <c r="C230" s="11">
        <v>0.51253969585170245</v>
      </c>
      <c r="D230" s="11">
        <v>6.0330746072897061E-2</v>
      </c>
      <c r="E230" s="16">
        <f t="array" ref="E230:G230">TRANSPOSE(MMULT($I$4:$K$6,TRANSPOSE(B230:D230)))</f>
        <v>-0.52049965412777155</v>
      </c>
      <c r="F230" s="17">
        <v>-8.4839556399479557E-2</v>
      </c>
      <c r="G230" s="20">
        <v>-0.10292622029611066</v>
      </c>
      <c r="H230" s="16">
        <f t="array" ref="H230:J230">TRANSPOSE(MMULT($I$4:$K$6,TRANSPOSE(B230:D230+$P$1/2*E230:G230)))</f>
        <v>-0.51159665363123652</v>
      </c>
      <c r="I230" s="17">
        <v>-9.3513462249220233E-2</v>
      </c>
      <c r="J230" s="20">
        <v>-0.10290006626618337</v>
      </c>
      <c r="K230" s="16">
        <f t="array" ref="K230:M230">TRANSPOSE(MMULT($I$4:$K$6,TRANSPOSE(B230:D230+$P$1/2*H230:J230)))</f>
        <v>-0.51120799642183068</v>
      </c>
      <c r="L230" s="17">
        <v>-9.3336033279158209E-2</v>
      </c>
      <c r="M230" s="20">
        <v>-0.10280367005686464</v>
      </c>
      <c r="N230" s="16">
        <f t="array" ref="N230:P230">TRANSPOSE(MMULT($I$4:$K$6,TRANSPOSE(B230:D230+$P$1*K230:M230)))</f>
        <v>-0.50194182403336285</v>
      </c>
      <c r="O230" s="17">
        <v>-0.10182021147861271</v>
      </c>
      <c r="P230" s="20">
        <v>-0.1026833411523025</v>
      </c>
    </row>
    <row r="231" spans="1:16" x14ac:dyDescent="0.25">
      <c r="A231" s="24">
        <f t="shared" si="3"/>
        <v>21.80000000000004</v>
      </c>
      <c r="B231" s="16">
        <f t="array" ref="B231:D231">B230:D230+$P$1/6*(E230:G230+2*H230:J230+2*K230:M230+N230:P230)</f>
        <v>-0.21285758116868558</v>
      </c>
      <c r="C231" s="11">
        <v>0.50320038320278826</v>
      </c>
      <c r="D231" s="11">
        <v>5.0047128837988578E-2</v>
      </c>
      <c r="E231" s="16">
        <f t="array" ref="E231:G231">TRANSPOSE(MMULT($I$4:$K$6,TRANSPOSE(B231:D231)))</f>
        <v>-0.50193347662111509</v>
      </c>
      <c r="F231" s="17">
        <v>-0.10182446834864423</v>
      </c>
      <c r="G231" s="20">
        <v>-0.10268265273578146</v>
      </c>
      <c r="H231" s="16">
        <f t="array" ref="H231:J231">TRANSPOSE(MMULT($I$4:$K$6,TRANSPOSE(B231:D231+$P$1/2*E231:G231)))</f>
        <v>-0.49227893276586165</v>
      </c>
      <c r="I231" s="17">
        <v>-0.11013153427674262</v>
      </c>
      <c r="J231" s="20">
        <v>-0.1024660303968549</v>
      </c>
      <c r="K231" s="16">
        <f t="array" ref="K231:M231">TRANSPOSE(MMULT($I$4:$K$6,TRANSPOSE(B231:D231+$P$1/2*H231:J231)))</f>
        <v>-0.49191618463551157</v>
      </c>
      <c r="L231" s="17">
        <v>-0.10994228254270974</v>
      </c>
      <c r="M231" s="20">
        <v>-0.10237200900932059</v>
      </c>
      <c r="N231" s="16">
        <f t="array" ref="N231:P231">TRANSPOSE(MMULT($I$4:$K$6,TRANSPOSE(B231:D231+$P$1*K231:M231)))</f>
        <v>-0.48192520616011619</v>
      </c>
      <c r="O231" s="17">
        <v>-0.11804875370419059</v>
      </c>
      <c r="P231" s="20">
        <v>-0.1020638909624742</v>
      </c>
    </row>
    <row r="232" spans="1:16" x14ac:dyDescent="0.25">
      <c r="A232" s="24">
        <f t="shared" si="3"/>
        <v>21.900000000000041</v>
      </c>
      <c r="B232" s="16">
        <f t="array" ref="B232:D232">B231:D231+$P$1/6*(E231:G231+2*H231:J231+2*K231:M231+N231:P231)</f>
        <v>-0.26206172979508524</v>
      </c>
      <c r="C232" s="11">
        <v>0.49220003560792591</v>
      </c>
      <c r="D232" s="11">
        <v>3.9806751796145137E-2</v>
      </c>
      <c r="E232" s="16">
        <f t="array" ref="E232:G232">TRANSPOSE(MMULT($I$4:$K$6,TRANSPOSE(B232:D232)))</f>
        <v>-0.48191656334687549</v>
      </c>
      <c r="F232" s="17">
        <v>-0.11805269584026534</v>
      </c>
      <c r="G232" s="20">
        <v>-0.1020630984673207</v>
      </c>
      <c r="H232" s="16">
        <f t="array" ref="H232:J232">TRANSPOSE(MMULT($I$4:$K$6,TRANSPOSE(B232:D232+$P$1/2*E232:G232)))</f>
        <v>-0.47156308376878137</v>
      </c>
      <c r="I232" s="17">
        <v>-0.12597023925469414</v>
      </c>
      <c r="J232" s="20">
        <v>-0.10166105648158316</v>
      </c>
      <c r="K232" s="16">
        <f t="array" ref="K232:M232">TRANSPOSE(MMULT($I$4:$K$6,TRANSPOSE(B232:D232+$P$1/2*H232:J232)))</f>
        <v>-0.47122701483566515</v>
      </c>
      <c r="L232" s="17">
        <v>-0.12577013116589508</v>
      </c>
      <c r="M232" s="20">
        <v>-0.10156970624167468</v>
      </c>
      <c r="N232" s="16">
        <f t="array" ref="N232:P232">TRANSPOSE(MMULT($I$4:$K$6,TRANSPOSE(B232:D232+$P$1*K232:M232)))</f>
        <v>-0.46056449183226233</v>
      </c>
      <c r="O232" s="17">
        <v>-0.13347719994641519</v>
      </c>
      <c r="P232" s="20">
        <v>-0.10107912787753476</v>
      </c>
    </row>
    <row r="233" spans="1:16" x14ac:dyDescent="0.25">
      <c r="A233" s="24">
        <f t="shared" si="3"/>
        <v>22.000000000000043</v>
      </c>
      <c r="B233" s="16">
        <f t="array" ref="B233:D233">B232:D232+$P$1/6*(E232:G232+2*H232:J232+2*K232:M232+N232:P232)</f>
        <v>-0.30919608400155241</v>
      </c>
      <c r="C233" s="11">
        <v>0.4796165249974616</v>
      </c>
      <c r="D233" s="11">
        <v>2.9646689266288953E-2</v>
      </c>
      <c r="E233" s="16">
        <f t="array" ref="E233:G233">TRANSPOSE(MMULT($I$4:$K$6,TRANSPOSE(B233:D233)))</f>
        <v>-0.46055559230382193</v>
      </c>
      <c r="F233" s="17">
        <v>-0.13348081971841139</v>
      </c>
      <c r="G233" s="20">
        <v>-0.10107823656654867</v>
      </c>
      <c r="H233" s="16">
        <f t="array" ref="H233:J233">TRANSPOSE(MMULT($I$4:$K$6,TRANSPOSE(B233:D233+$P$1/2*E233:G233)))</f>
        <v>-0.44955720862505127</v>
      </c>
      <c r="I233" s="17">
        <v>-0.14098811031954361</v>
      </c>
      <c r="J233" s="20">
        <v>-0.10049639984154105</v>
      </c>
      <c r="K233" s="16">
        <f t="array" ref="K233:M233">TRANSPOSE(MMULT($I$4:$K$6,TRANSPOSE(B233:D233+$P$1/2*H233:J233)))</f>
        <v>-0.44924847274788871</v>
      </c>
      <c r="L233" s="17">
        <v>-0.14077813107746839</v>
      </c>
      <c r="M233" s="20">
        <v>-0.10040800055040258</v>
      </c>
      <c r="N233" s="16">
        <f t="array" ref="N233:P233">TRANSPOSE(MMULT($I$4:$K$6,TRANSPOSE(B233:D233+$P$1*K233:M233)))</f>
        <v>-0.43796897444658012</v>
      </c>
      <c r="O233" s="17">
        <v>-0.14806606912721754</v>
      </c>
      <c r="P233" s="20">
        <v>-9.9740849704311241E-2</v>
      </c>
    </row>
    <row r="234" spans="1:16" x14ac:dyDescent="0.25">
      <c r="A234" s="24">
        <f t="shared" si="3"/>
        <v>22.100000000000044</v>
      </c>
      <c r="B234" s="16">
        <f t="array" ref="B234:D234">B233:D233+$P$1/6*(E233:G233+2*H233:J233+2*K233:M233+N233:P233)</f>
        <v>-0.35413168282649043</v>
      </c>
      <c r="C234" s="11">
        <v>0.46553186880346736</v>
      </c>
      <c r="D234" s="11">
        <v>1.9602891148709833E-2</v>
      </c>
      <c r="E234" s="16">
        <f t="array" ref="E234:G234">TRANSPOSE(MMULT($I$4:$K$6,TRANSPOSE(B234:D234)))</f>
        <v>-0.43795985698030221</v>
      </c>
      <c r="F234" s="17">
        <v>-0.14806936027244674</v>
      </c>
      <c r="G234" s="20">
        <v>-9.9739865090077276E-2</v>
      </c>
      <c r="H234" s="16">
        <f t="array" ref="H234:J234">TRANSPOSE(MMULT($I$4:$K$6,TRANSPOSE(B234:D234+$P$1/2*E234:G234)))</f>
        <v>-0.42637179237997685</v>
      </c>
      <c r="I234" s="17">
        <v>-0.15514765355455262</v>
      </c>
      <c r="J234" s="20">
        <v>-9.8984401045103976E-2</v>
      </c>
      <c r="K234" s="16">
        <f t="array" ref="K234:M234">TRANSPOSE(MMULT($I$4:$K$6,TRANSPOSE(B234:D234+$P$1/2*H234:J234)))</f>
        <v>-0.42609092731977266</v>
      </c>
      <c r="L234" s="17">
        <v>-0.15492880307472312</v>
      </c>
      <c r="M234" s="20">
        <v>-9.8899215308067293E-2</v>
      </c>
      <c r="N234" s="16">
        <f t="array" ref="N234:P234">TRANSPOSE(MMULT($I$4:$K$6,TRANSPOSE(B234:D234+$P$1*K234:M234)))</f>
        <v>-0.41425009878730951</v>
      </c>
      <c r="O234" s="17">
        <v>-0.16177987848926723</v>
      </c>
      <c r="P234" s="20">
        <v>-9.8061904499516558E-2</v>
      </c>
    </row>
    <row r="235" spans="1:16" x14ac:dyDescent="0.25">
      <c r="A235" s="24">
        <f t="shared" si="3"/>
        <v>22.200000000000045</v>
      </c>
      <c r="B235" s="16">
        <f t="array" ref="B235:D235">B234:D234+$P$1/6*(E234:G234+2*H234:J234+2*K234:M234+N234:P234)</f>
        <v>-0.39675060607927559</v>
      </c>
      <c r="C235" s="11">
        <v>0.45003183293646293</v>
      </c>
      <c r="D235" s="11">
        <v>9.7100744437775607E-3</v>
      </c>
      <c r="E235" s="16">
        <f t="array" ref="E235:G235">TRANSPOSE(MMULT($I$4:$K$6,TRANSPOSE(B235:D235)))</f>
        <v>-0.41424080210604636</v>
      </c>
      <c r="F235" s="17">
        <v>-0.16178283610526789</v>
      </c>
      <c r="G235" s="20">
        <v>-9.8060832318361935E-2</v>
      </c>
      <c r="H235" s="16">
        <f t="array" ref="H235:J235">TRANSPOSE(MMULT($I$4:$K$6,TRANSPOSE(B235:D235+$P$1/2*E235:G235)))</f>
        <v>-0.40211923964388557</v>
      </c>
      <c r="I235" s="17">
        <v>-0.16841539873531464</v>
      </c>
      <c r="J235" s="20">
        <v>-9.7138415887399035E-2</v>
      </c>
      <c r="K235" s="16">
        <f t="array" ref="K235:M235">TRANSPOSE(MMULT($I$4:$K$6,TRANSPOSE(B235:D235+$P$1/2*H235:J235)))</f>
        <v>-0.40186666765331325</v>
      </c>
      <c r="L235" s="17">
        <v>-0.16818868760524808</v>
      </c>
      <c r="M235" s="20">
        <v>-9.7056688521695536E-2</v>
      </c>
      <c r="N235" s="16">
        <f t="array" ref="N235:P235">TRANSPOSE(MMULT($I$4:$K$6,TRANSPOSE(B235:D235+$P$1*K235:M235)))</f>
        <v>-0.38952099912812066</v>
      </c>
      <c r="O235" s="17">
        <v>-0.17458718630569306</v>
      </c>
      <c r="P235" s="20">
        <v>-9.6056119444048155E-2</v>
      </c>
    </row>
    <row r="236" spans="1:16" x14ac:dyDescent="0.25">
      <c r="A236" s="24">
        <f t="shared" si="3"/>
        <v>22.300000000000047</v>
      </c>
      <c r="B236" s="16">
        <f t="array" ref="B236:D236">B235:D235+$P$1/6*(E235:G235+2*H235:J235+2*K235:M235+N235:P235)</f>
        <v>-0.43694616634308503</v>
      </c>
      <c r="C236" s="11">
        <v>0.43320552968492815</v>
      </c>
      <c r="D236" s="11">
        <v>1.6217674342414168E-6</v>
      </c>
      <c r="E236" s="16">
        <f t="array" ref="E236:G236">TRANSPOSE(MMULT($I$4:$K$6,TRANSPOSE(B236:D236)))</f>
        <v>-0.38951156175759333</v>
      </c>
      <c r="F236" s="17">
        <v>-0.17458980683813202</v>
      </c>
      <c r="G236" s="20">
        <v>-9.6054965629749828E-2</v>
      </c>
      <c r="H236" s="16">
        <f t="array" ref="H236:J236">TRANSPOSE(MMULT($I$4:$K$6,TRANSPOSE(B236:D236+$P$1/2*E236:G236)))</f>
        <v>-0.37691341429430375</v>
      </c>
      <c r="I236" s="17">
        <v>-0.18076193399860802</v>
      </c>
      <c r="J236" s="20">
        <v>-9.4972743159000131E-2</v>
      </c>
      <c r="K236" s="16">
        <f t="array" ref="K236:M236">TRANSPOSE(MMULT($I$4:$K$6,TRANSPOSE(B236:D236+$P$1/2*H236:J236)))</f>
        <v>-0.37668944312301145</v>
      </c>
      <c r="L236" s="17">
        <v>-0.18052837948620407</v>
      </c>
      <c r="M236" s="20">
        <v>-9.4894700680744251E-2</v>
      </c>
      <c r="N236" s="16">
        <f t="array" ref="N236:P236">TRANSPOSE(MMULT($I$4:$K$6,TRANSPOSE(B236:D236+$P$1*K236:M236)))</f>
        <v>-0.36389604135051307</v>
      </c>
      <c r="O236" s="17">
        <v>-0.18646061862776964</v>
      </c>
      <c r="P236" s="20">
        <v>-9.373822766516321E-2</v>
      </c>
    </row>
    <row r="237" spans="1:16" x14ac:dyDescent="0.25">
      <c r="A237" s="24">
        <f t="shared" si="3"/>
        <v>22.400000000000048</v>
      </c>
      <c r="B237" s="16">
        <f t="array" ref="B237:D237">B236:D236+$P$1/6*(E236:G236+2*H236:J236+2*K236:M236+N236:P236)</f>
        <v>-0.47462305497546398</v>
      </c>
      <c r="C237" s="11">
        <v>0.41514501214433608</v>
      </c>
      <c r="D237" s="11">
        <v>-9.4905129154724561E-3</v>
      </c>
      <c r="E237" s="16">
        <f t="array" ref="E237:G237">TRANSPOSE(MMULT($I$4:$K$6,TRANSPOSE(B237:D237)))</f>
        <v>-0.3638865014806007</v>
      </c>
      <c r="F237" s="17">
        <v>-0.18646289985360576</v>
      </c>
      <c r="G237" s="20">
        <v>-9.3736998322507079E-2</v>
      </c>
      <c r="H237" s="16">
        <f t="array" ref="H237:J237">TRANSPOSE(MMULT($I$4:$K$6,TRANSPOSE(B237:D237+$P$1/2*E237:G237)))</f>
        <v>-0.3508691840140673</v>
      </c>
      <c r="I237" s="17">
        <v>-0.19216192466400644</v>
      </c>
      <c r="J237" s="20">
        <v>-9.2502550521334104E-2</v>
      </c>
      <c r="K237" s="16">
        <f t="array" ref="K237:M237">TRANSPOSE(MMULT($I$4:$K$6,TRANSPOSE(B237:D237+$P$1/2*H237:J237)))</f>
        <v>-0.35067400831690337</v>
      </c>
      <c r="L237" s="17">
        <v>-0.19192254679006115</v>
      </c>
      <c r="M237" s="20">
        <v>-9.2428400711917033E-2</v>
      </c>
      <c r="N237" s="16">
        <f t="array" ref="N237:P237">TRANSPOSE(MMULT($I$4:$K$6,TRANSPOSE(B237:D237+$P$1*K237:M237)))</f>
        <v>-0.33749037068994886</v>
      </c>
      <c r="O237" s="17">
        <v>-0.1973768803268818</v>
      </c>
      <c r="P237" s="20">
        <v>-9.1123793324073318E-2</v>
      </c>
    </row>
    <row r="238" spans="1:16" x14ac:dyDescent="0.25">
      <c r="A238" s="24">
        <f t="shared" si="3"/>
        <v>22.50000000000005</v>
      </c>
      <c r="B238" s="16">
        <f t="array" ref="B238:D238">B237:D237+$P$1/6*(E237:G237+2*H237:J237+2*K237:M237+N237:P237)</f>
        <v>-0.5096974425893388</v>
      </c>
      <c r="C238" s="11">
        <v>0.39594486675952573</v>
      </c>
      <c r="D238" s="11">
        <v>-1.8735891150690499E-2</v>
      </c>
      <c r="E238" s="16">
        <f t="array" ref="E238:G238">TRANSPOSE(MMULT($I$4:$K$6,TRANSPOSE(B238:D238)))</f>
        <v>-0.33748076604031563</v>
      </c>
      <c r="F238" s="17">
        <v>-0.19737882133295931</v>
      </c>
      <c r="G238" s="20">
        <v>-9.1122494702367801E-2</v>
      </c>
      <c r="H238" s="16">
        <f t="array" ref="H238:J238">TRANSPOSE(MMULT($I$4:$K$6,TRANSPOSE(B238:D238+$P$1/2*E238:G238)))</f>
        <v>-0.3241019712494187</v>
      </c>
      <c r="I238" s="17">
        <v>-0.20259411649144299</v>
      </c>
      <c r="J238" s="20">
        <v>-8.974379880631958E-2</v>
      </c>
      <c r="K238" s="16">
        <f t="array" ref="K238:M238">TRANSPOSE(MMULT($I$4:$K$6,TRANSPOSE(B238:D238+$P$1/2*H238:J238)))</f>
        <v>-0.32393567438337001</v>
      </c>
      <c r="L238" s="17">
        <v>-0.20234993417944985</v>
      </c>
      <c r="M238" s="20">
        <v>-8.9673730358054538E-2</v>
      </c>
      <c r="N238" s="16">
        <f t="array" ref="N238:P238">TRANSPOSE(MMULT($I$4:$K$6,TRANSPOSE(B238:D238+$P$1*K238:M238)))</f>
        <v>-0.31041946666421477</v>
      </c>
      <c r="O238" s="17">
        <v>-0.20731675073970723</v>
      </c>
      <c r="P238" s="20">
        <v>-8.8229135285870813E-2</v>
      </c>
    </row>
    <row r="239" spans="1:16" x14ac:dyDescent="0.25">
      <c r="A239" s="24">
        <f t="shared" si="3"/>
        <v>22.600000000000051</v>
      </c>
      <c r="B239" s="16">
        <f t="array" ref="B239:D239">B238:D238+$P$1/6*(E238:G238+2*H238:J238+2*K238:M238+N238:P238)</f>
        <v>-0.54209703465550729</v>
      </c>
      <c r="C239" s="11">
        <v>0.37570180553595151</v>
      </c>
      <c r="D239" s="11">
        <v>-2.7705669289306949E-2</v>
      </c>
      <c r="E239" s="16">
        <f t="array" ref="E239:G239">TRANSPOSE(MMULT($I$4:$K$6,TRANSPOSE(B239:D239)))</f>
        <v>-0.310409834354678</v>
      </c>
      <c r="F239" s="17">
        <v>-0.20731835189696102</v>
      </c>
      <c r="G239" s="20">
        <v>-8.8227773752513561E-2</v>
      </c>
      <c r="H239" s="16">
        <f t="array" ref="H239:J239">TRANSPOSE(MMULT($I$4:$K$6,TRANSPOSE(B239:D239+$P$1/2*E239:G239)))</f>
        <v>-0.29672731211300624</v>
      </c>
      <c r="I239" s="17">
        <v>-0.21204132370942635</v>
      </c>
      <c r="J239" s="20">
        <v>-8.67131650565377E-2</v>
      </c>
      <c r="K239" s="16">
        <f t="array" ref="K239:M239">TRANSPOSE(MMULT($I$4:$K$6,TRANSPOSE(B239:D239+$P$1/2*H239:J239)))</f>
        <v>-0.29658986830751088</v>
      </c>
      <c r="L239" s="17">
        <v>-0.21179335102524321</v>
      </c>
      <c r="M239" s="20">
        <v>-8.6647347297107283E-2</v>
      </c>
      <c r="N239" s="16">
        <f t="array" ref="N239:P239">TRANSPOSE(MMULT($I$4:$K$6,TRANSPOSE(B239:D239+$P$1*K239:M239)))</f>
        <v>-0.28279870667719426</v>
      </c>
      <c r="O239" s="17">
        <v>-0.216265064275865</v>
      </c>
      <c r="P239" s="20">
        <v>-8.507124968690255E-2</v>
      </c>
    </row>
    <row r="240" spans="1:16" x14ac:dyDescent="0.25">
      <c r="A240" s="24">
        <f t="shared" si="3"/>
        <v>22.700000000000053</v>
      </c>
      <c r="B240" s="16">
        <f t="array" ref="B240:D240">B239:D239+$P$1/6*(E239:G239+2*H239:J239+2*K239:M239+N239:P239)</f>
        <v>-0.57176108302005568</v>
      </c>
      <c r="C240" s="11">
        <v>0.35451425944191539</v>
      </c>
      <c r="D240" s="11">
        <v>-3.6372670091752046E-2</v>
      </c>
      <c r="E240" s="16">
        <f t="array" ref="E240:G240">TRANSPOSE(MMULT($I$4:$K$6,TRANSPOSE(B240:D240)))</f>
        <v>-0.28278908310320899</v>
      </c>
      <c r="F240" s="17">
        <v>-0.21626632720933042</v>
      </c>
      <c r="G240" s="20">
        <v>-8.5069831701097401E-2</v>
      </c>
      <c r="H240" s="16">
        <f t="array" ref="H240:J240">TRANSPOSE(MMULT($I$4:$K$6,TRANSPOSE(B240:D240+$P$1/2*E240:G240)))</f>
        <v>-0.26886042469320448</v>
      </c>
      <c r="I240" s="17">
        <v>-0.22049040219771904</v>
      </c>
      <c r="J240" s="20">
        <v>-8.3427964619865291E-2</v>
      </c>
      <c r="K240" s="16">
        <f t="array" ref="K240:M240">TRANSPOSE(MMULT($I$4:$K$6,TRANSPOSE(B240:D240+$P$1/2*H240:J240)))</f>
        <v>-0.26875170157745965</v>
      </c>
      <c r="L240" s="17">
        <v>-0.22023964469106655</v>
      </c>
      <c r="M240" s="20">
        <v>-8.3366547314838474E-2</v>
      </c>
      <c r="N240" s="16">
        <f t="array" ref="N240:P240">TRANSPOSE(MMULT($I$4:$K$6,TRANSPOSE(B240:D240+$P$1*K240:M240)))</f>
        <v>-0.2547429397257342</v>
      </c>
      <c r="O240" s="17">
        <v>-0.22421067639512868</v>
      </c>
      <c r="P240" s="20">
        <v>-8.1667731711780628E-2</v>
      </c>
    </row>
    <row r="241" spans="1:16" x14ac:dyDescent="0.25">
      <c r="A241" s="24">
        <f t="shared" si="3"/>
        <v>22.800000000000054</v>
      </c>
      <c r="B241" s="16">
        <f t="array" ref="B241:D241">B240:D240+$P$1/6*(E240:G240+2*H240:J240+2*K240:M240+N240:P240)</f>
        <v>-0.59864035427622686</v>
      </c>
      <c r="C241" s="11">
        <v>0.33248197448554823</v>
      </c>
      <c r="D241" s="11">
        <v>-4.4711446546456805E-2</v>
      </c>
      <c r="E241" s="16">
        <f t="array" ref="E241:G241">TRANSPOSE(MMULT($I$4:$K$6,TRANSPOSE(B241:D241)))</f>
        <v>-0.2547333604393428</v>
      </c>
      <c r="F241" s="17">
        <v>-0.22421160394996159</v>
      </c>
      <c r="G241" s="20">
        <v>-8.1666263798499533E-2</v>
      </c>
      <c r="H241" s="16">
        <f t="array" ref="H241:J241">TRANSPOSE(MMULT($I$4:$K$6,TRANSPOSE(B241:D241+$P$1/2*E241:G241)))</f>
        <v>-0.24061578816367801</v>
      </c>
      <c r="I241" s="17">
        <v>-0.2279322082548782</v>
      </c>
      <c r="J241" s="20">
        <v>-7.9906072609018025E-2</v>
      </c>
      <c r="K241" s="16">
        <f t="array" ref="K241:M241">TRANSPOSE(MMULT($I$4:$K$6,TRANSPOSE(B241:D241+$P$1/2*H241:J241)))</f>
        <v>-0.24053554963360013</v>
      </c>
      <c r="L241" s="17">
        <v>-0.22767965941399038</v>
      </c>
      <c r="M241" s="20">
        <v>-7.9849185841430553E-2</v>
      </c>
      <c r="N241" s="16">
        <f t="array" ref="N241:P241">TRANSPOSE(MMULT($I$4:$K$6,TRANSPOSE(B241:D241+$P$1*K241:M241)))</f>
        <v>-0.22636607156795058</v>
      </c>
      <c r="O241" s="17">
        <v>-0.23114641540657818</v>
      </c>
      <c r="P241" s="20">
        <v>-7.8036696888200502E-2</v>
      </c>
    </row>
    <row r="242" spans="1:16" x14ac:dyDescent="0.25">
      <c r="A242" s="24">
        <f t="shared" si="3"/>
        <v>22.900000000000055</v>
      </c>
      <c r="B242" s="16">
        <f t="array" ref="B242:D242">B241:D241+$P$1/6*(E241:G241+2*H241:J241+2*K241:M241+N241:P241)</f>
        <v>-0.62269705606959103</v>
      </c>
      <c r="C242" s="11">
        <v>0.30970561190731027</v>
      </c>
      <c r="D242" s="11">
        <v>-5.2698337839583428E-2</v>
      </c>
      <c r="E242" s="16">
        <f t="array" ref="E242:G242">TRANSPOSE(MMULT($I$4:$K$6,TRANSPOSE(B242:D242)))</f>
        <v>-0.22635657116451779</v>
      </c>
      <c r="F242" s="17">
        <v>-0.23114701161029974</v>
      </c>
      <c r="G242" s="20">
        <v>-7.8035185612480976E-2</v>
      </c>
      <c r="H242" s="16">
        <f t="array" ref="H242:J242">TRANSPOSE(MMULT($I$4:$K$6,TRANSPOSE(B242:D242+$P$1/2*E242:G242)))</f>
        <v>-0.21210673401593058</v>
      </c>
      <c r="I242" s="17">
        <v>-0.23436154342501653</v>
      </c>
      <c r="J242" s="20">
        <v>-7.6165845031891832E-2</v>
      </c>
      <c r="K242" s="16">
        <f t="array" ref="K242:M242">TRANSPOSE(MMULT($I$4:$K$6,TRANSPOSE(B242:D242+$P$1/2*H242:J242)))</f>
        <v>-0.21205464342254945</v>
      </c>
      <c r="L242" s="17">
        <v>-0.23410818125509097</v>
      </c>
      <c r="M242" s="20">
        <v>-7.6113599157620698E-2</v>
      </c>
      <c r="N242" s="16">
        <f t="array" ref="N242:P242">TRANSPOSE(MMULT($I$4:$K$6,TRANSPOSE(B242:D242+$P$1*K242:M242)))</f>
        <v>-0.19778066263847838</v>
      </c>
      <c r="O242" s="17">
        <v>-0.23706902058464702</v>
      </c>
      <c r="P242" s="20">
        <v>-7.4196702202659698E-2</v>
      </c>
    </row>
    <row r="243" spans="1:16" x14ac:dyDescent="0.25">
      <c r="A243" s="24">
        <f t="shared" si="3"/>
        <v>23.000000000000057</v>
      </c>
      <c r="B243" s="16">
        <f t="array" ref="B243:D243">B242:D242+$P$1/6*(E242:G242+2*H242:J242+2*K242:M242+N242:P242)</f>
        <v>-0.64390472254759035</v>
      </c>
      <c r="C243" s="11">
        <v>0.2862863538813909</v>
      </c>
      <c r="D243" s="11">
        <v>-6.0311517442819526E-2</v>
      </c>
      <c r="E243" s="16">
        <f t="array" ref="E243:G243">TRANSPOSE(MMULT($I$4:$K$6,TRANSPOSE(B243:D243)))</f>
        <v>-0.19777127464950406</v>
      </c>
      <c r="F243" s="17">
        <v>-0.2370692906058382</v>
      </c>
      <c r="G243" s="20">
        <v>-7.4195154144326356E-2</v>
      </c>
      <c r="H243" s="16">
        <f t="array" ref="H243:J243">TRANSPOSE(MMULT($I$4:$K$6,TRANSPOSE(B243:D243+$P$1/2*E243:G243)))</f>
        <v>-0.18344505066307809</v>
      </c>
      <c r="I243" s="17">
        <v>-0.23977708589935148</v>
      </c>
      <c r="J243" s="20">
        <v>-7.2226039892999236E-2</v>
      </c>
      <c r="K243" s="16">
        <f t="array" ref="K243:M243">TRANSPOSE(MMULT($I$4:$K$6,TRANSPOSE(B243:D243+$P$1/2*H243:J243)))</f>
        <v>-0.18342067430336109</v>
      </c>
      <c r="L243" s="17">
        <v>-0.23952386963475053</v>
      </c>
      <c r="M243" s="20">
        <v>-7.2178525570407839E-2</v>
      </c>
      <c r="N243" s="16">
        <f t="array" ref="N243:P243">TRANSPOSE(MMULT($I$4:$K$6,TRANSPOSE(B243:D243+$P$1*K243:M243)))</f>
        <v>-0.16909753992017904</v>
      </c>
      <c r="O243" s="17">
        <v>-0.24197906713682074</v>
      </c>
      <c r="P243" s="20">
        <v>-7.0166667334083305E-2</v>
      </c>
    </row>
    <row r="244" spans="1:16" x14ac:dyDescent="0.25">
      <c r="A244" s="24">
        <f t="shared" si="3"/>
        <v>23.100000000000058</v>
      </c>
      <c r="B244" s="16">
        <f t="array" ref="B244:D244">B243:D243+$P$1/6*(E243:G243+2*H243:J243+2*K243:M243+N243:P243)</f>
        <v>-0.66224806028929972</v>
      </c>
      <c r="C244" s="11">
        <v>0.26232551606787652</v>
      </c>
      <c r="D244" s="11">
        <v>-6.7531033316239927E-2</v>
      </c>
      <c r="E244" s="16">
        <f t="array" ref="E244:G244">TRANSPOSE(MMULT($I$4:$K$6,TRANSPOSE(B244:D244)))</f>
        <v>-0.16908829671245054</v>
      </c>
      <c r="F244" s="17">
        <v>-0.24197901724049836</v>
      </c>
      <c r="G244" s="20">
        <v>-7.0165089062977568E-2</v>
      </c>
      <c r="H244" s="16">
        <f t="array" ref="H244:J244">TRANSPOSE(MMULT($I$4:$K$6,TRANSPOSE(B244:D244+$P$1/2*E244:G244)))</f>
        <v>-0.15474060258560385</v>
      </c>
      <c r="I244" s="17">
        <v>-0.24418130904649304</v>
      </c>
      <c r="J244" s="20">
        <v>-6.8105738559712692E-2</v>
      </c>
      <c r="K244" s="16">
        <f t="array" ref="K244:M244">TRANSPOSE(MMULT($I$4:$K$6,TRANSPOSE(B244:D244+$P$1/2*H244:J244)))</f>
        <v>-0.15474341347600365</v>
      </c>
      <c r="L244" s="17">
        <v>-0.24392917600592762</v>
      </c>
      <c r="M244" s="20">
        <v>-6.8063026851801448E-2</v>
      </c>
      <c r="N244" s="16">
        <f t="array" ref="N244:P244">TRANSPOSE(MMULT($I$4:$K$6,TRANSPOSE(B244:D244+$P$1*K244:M244)))</f>
        <v>-0.1404254239030257</v>
      </c>
      <c r="O244" s="17">
        <v>-0.24588087859466437</v>
      </c>
      <c r="P244" s="20">
        <v>-6.596579629530562E-2</v>
      </c>
    </row>
    <row r="245" spans="1:16" x14ac:dyDescent="0.25">
      <c r="A245" s="24">
        <f t="shared" si="3"/>
        <v>23.20000000000006</v>
      </c>
      <c r="B245" s="16">
        <f t="array" ref="B245:D245">B244:D244+$P$1/6*(E244:G244+2*H244:J244+2*K244:M244+N244:P244)</f>
        <v>-0.67772275616827793</v>
      </c>
      <c r="C245" s="11">
        <v>0.23792416830220978</v>
      </c>
      <c r="D245" s="11">
        <v>-7.4338840252595115E-2</v>
      </c>
      <c r="E245" s="16">
        <f t="array" ref="E245:G245">TRANSPOSE(MMULT($I$4:$K$6,TRANSPOSE(B245:D245)))</f>
        <v>-0.14041635658434395</v>
      </c>
      <c r="F245" s="17">
        <v>-0.24588051609457898</v>
      </c>
      <c r="G245" s="20">
        <v>-6.5964194347104668E-2</v>
      </c>
      <c r="H245" s="16">
        <f t="array" ref="H245:J245">TRANSPOSE(MMULT($I$4:$K$6,TRANSPOSE(B245:D245+$P$1/2*E245:G245)))</f>
        <v>-0.12610096510975116</v>
      </c>
      <c r="I245" s="17">
        <v>-0.2475803876608855</v>
      </c>
      <c r="J245" s="20">
        <v>-6.3824267679498295E-2</v>
      </c>
      <c r="K245" s="16">
        <f t="array" ref="K245:M245">TRANSPOSE(MMULT($I$4:$K$6,TRANSPOSE(B245:D245+$P$1/2*H245:J245)))</f>
        <v>-0.12613034702216092</v>
      </c>
      <c r="L245" s="17">
        <v>-0.24733025025407757</v>
      </c>
      <c r="M245" s="20">
        <v>-6.3786410226566392E-2</v>
      </c>
      <c r="N245" s="16">
        <f t="array" ref="N245:P245">TRANSPOSE(MMULT($I$4:$K$6,TRANSPOSE(B245:D245+$P$1*K245:M245)))</f>
        <v>-0.11187057167965192</v>
      </c>
      <c r="O245" s="17">
        <v>-0.24878242723383581</v>
      </c>
      <c r="P245" s="20">
        <v>-6.1613499764383087E-2</v>
      </c>
    </row>
    <row r="246" spans="1:16" x14ac:dyDescent="0.25">
      <c r="A246" s="24">
        <f t="shared" si="3"/>
        <v>23.300000000000061</v>
      </c>
      <c r="B246" s="16">
        <f t="array" ref="B246:D246">B245:D245+$P$1/6*(E245:G245+2*H245:J245+2*K245:M245+N245:P245)</f>
        <v>-0.6903352487104083</v>
      </c>
      <c r="C246" s="11">
        <v>0.21318276464957076</v>
      </c>
      <c r="D246" s="11">
        <v>-8.0718824417988735E-2</v>
      </c>
      <c r="E246" s="16">
        <f t="array" ref="E246:G246">TRANSPOSE(MMULT($I$4:$K$6,TRANSPOSE(B246:D246)))</f>
        <v>-0.11186171001133442</v>
      </c>
      <c r="F246" s="17">
        <v>-0.24878176044193701</v>
      </c>
      <c r="G246" s="20">
        <v>-6.161188061708435E-2</v>
      </c>
      <c r="H246" s="16">
        <f t="array" ref="H246:J246">TRANSPOSE(MMULT($I$4:$K$6,TRANSPOSE(B246:D246+$P$1/2*E246:G246)))</f>
        <v>-9.7631075826839248E-2</v>
      </c>
      <c r="I246" s="17">
        <v>-0.24998409255130841</v>
      </c>
      <c r="J246" s="20">
        <v>-5.9401121925901523E-2</v>
      </c>
      <c r="K246" s="16">
        <f t="array" ref="K246:M246">TRANSPOSE(MMULT($I$4:$K$6,TRANSPOSE(B246:D246+$P$1/2*H246:J246)))</f>
        <v>-9.7686327566116782E-2</v>
      </c>
      <c r="L246" s="17">
        <v>-0.24973683544487502</v>
      </c>
      <c r="M246" s="20">
        <v>-5.9368151186506332E-2</v>
      </c>
      <c r="N246" s="16">
        <f t="array" ref="N246:P246">TRANSPOSE(MMULT($I$4:$K$6,TRANSPOSE(B246:D246+$P$1*K246:M246)))</f>
        <v>-8.3536437143725495E-2</v>
      </c>
      <c r="O246" s="17">
        <v>-0.2506952231597131</v>
      </c>
      <c r="P246" s="20">
        <v>-5.7129318378866298E-2</v>
      </c>
    </row>
    <row r="247" spans="1:16" x14ac:dyDescent="0.25">
      <c r="A247" s="24">
        <f t="shared" si="3"/>
        <v>23.400000000000063</v>
      </c>
      <c r="B247" s="16">
        <f t="array" ref="B247:D247">B246:D246+$P$1/6*(E246:G246+2*H246:J246+2*K246:M246+N246:P246)</f>
        <v>-0.70010246460942449</v>
      </c>
      <c r="C247" s="11">
        <v>0.18820078398967047</v>
      </c>
      <c r="D247" s="11">
        <v>-8.6656820171668175E-2</v>
      </c>
      <c r="E247" s="16">
        <f t="array" ref="E247:G247">TRANSPOSE(MMULT($I$4:$K$6,TRANSPOSE(B247:D247)))</f>
        <v>-8.3527809460060748E-2</v>
      </c>
      <c r="F247" s="17">
        <v>-0.2506942613330328</v>
      </c>
      <c r="G247" s="20">
        <v>-5.7127688430010121E-2</v>
      </c>
      <c r="H247" s="16">
        <f t="array" ref="H247:J247">TRANSPOSE(MMULT($I$4:$K$6,TRANSPOSE(B247:D247+$P$1/2*E247:G247)))</f>
        <v>-6.9432903577508615E-2</v>
      </c>
      <c r="I247" s="17">
        <v>-0.25140567412079218</v>
      </c>
      <c r="J247" s="20">
        <v>-5.4855887841777182E-2</v>
      </c>
      <c r="K247" s="16">
        <f t="array" ref="K247:M247">TRANSPOSE(MMULT($I$4:$K$6,TRANSPOSE(B247:D247+$P$1/2*H247:J247)))</f>
        <v>-6.9513243479298048E-2</v>
      </c>
      <c r="L247" s="17">
        <v>-0.25116215157033128</v>
      </c>
      <c r="M247" s="20">
        <v>-5.4827817399575596E-2</v>
      </c>
      <c r="N247" s="16">
        <f t="array" ref="N247:P247">TRANSPOSE(MMULT($I$4:$K$6,TRANSPOSE(B247:D247+$P$1*K247:M247)))</f>
        <v>-5.5523349172251608E-2</v>
      </c>
      <c r="O247" s="17">
        <v>-0.25163419272317844</v>
      </c>
      <c r="P247" s="20">
        <v>-5.2532847256497872E-2</v>
      </c>
    </row>
    <row r="248" spans="1:16" x14ac:dyDescent="0.25">
      <c r="A248" s="24">
        <f t="shared" si="3"/>
        <v>23.500000000000064</v>
      </c>
      <c r="B248" s="16">
        <f t="array" ref="B248:D248">B247:D247+$P$1/6*(E247:G247+2*H247:J247+2*K247:M247+N247:P247)</f>
        <v>-0.70705152215518996</v>
      </c>
      <c r="C248" s="11">
        <v>0.16307638223236284</v>
      </c>
      <c r="D248" s="11">
        <v>-9.2140619274488397E-2</v>
      </c>
      <c r="E248" s="16">
        <f t="array" ref="E248:G248">TRANSPOSE(MMULT($I$4:$K$6,TRANSPOSE(B248:D248)))</f>
        <v>-5.5514982307048481E-2</v>
      </c>
      <c r="F248" s="17">
        <v>-0.25163294600838748</v>
      </c>
      <c r="G248" s="20">
        <v>-5.2531212801196867E-2</v>
      </c>
      <c r="H248" s="16">
        <f t="array" ref="H248:J248">TRANSPOSE(MMULT($I$4:$K$6,TRANSPOSE(B248:D248+$P$1/2*E248:G248)))</f>
        <v>-4.1605135839069926E-2</v>
      </c>
      <c r="I248" s="17">
        <v>-0.25186173561568548</v>
      </c>
      <c r="J248" s="20">
        <v>-5.0208169038199121E-2</v>
      </c>
      <c r="K248" s="16">
        <f t="array" ref="K248:M248">TRANSPOSE(MMULT($I$4:$K$6,TRANSPOSE(B248:D248+$P$1/2*H248:J248)))</f>
        <v>-4.1709706466304883E-2</v>
      </c>
      <c r="L248" s="17">
        <v>-0.25162276897026958</v>
      </c>
      <c r="M248" s="20">
        <v>-5.0184993972061887E-2</v>
      </c>
      <c r="N248" s="16">
        <f t="array" ref="N248:P248">TRANSPOSE(MMULT($I$4:$K$6,TRANSPOSE(B248:D248+$P$1*K248:M248)))</f>
        <v>-2.7928208586475982E-2</v>
      </c>
      <c r="O248" s="17">
        <v>-0.25161754695592897</v>
      </c>
      <c r="P248" s="20">
        <v>-4.7843661995376249E-2</v>
      </c>
    </row>
    <row r="249" spans="1:16" x14ac:dyDescent="0.25">
      <c r="A249" s="24">
        <f t="shared" si="3"/>
        <v>23.600000000000065</v>
      </c>
      <c r="B249" s="16">
        <f t="array" ref="B249:D249">B248:D248+$P$1/6*(E248:G248+2*H248:J248+2*K248:M248+N248:P248)</f>
        <v>-0.71121940341359458</v>
      </c>
      <c r="C249" s="11">
        <v>0.13790605719675908</v>
      </c>
      <c r="D249" s="11">
        <v>-9.715997262143998E-2</v>
      </c>
      <c r="E249" s="16">
        <f t="array" ref="E249:G249">TRANSPOSE(MMULT($I$4:$K$6,TRANSPOSE(B249:D249)))</f>
        <v>-2.7920127806823625E-2</v>
      </c>
      <c r="F249" s="17">
        <v>-0.25161602633182439</v>
      </c>
      <c r="G249" s="20">
        <v>-4.7842029205214118E-2</v>
      </c>
      <c r="H249" s="16">
        <f t="array" ref="H249:J249">TRANSPOSE(MMULT($I$4:$K$6,TRANSPOSE(B249:D249+$P$1/2*E249:G249)))</f>
        <v>-1.424288526709399E-2</v>
      </c>
      <c r="I249" s="17">
        <v>-0.25137209674488031</v>
      </c>
      <c r="J249" s="20">
        <v>-4.5477512996689839E-2</v>
      </c>
      <c r="K249" s="16">
        <f t="array" ref="K249:M249">TRANSPOSE(MMULT($I$4:$K$6,TRANSPOSE(B249:D249+$P$1/2*H249:J249)))</f>
        <v>-1.4370758283310352E-2</v>
      </c>
      <c r="L249" s="17">
        <v>-0.25113847212938578</v>
      </c>
      <c r="M249" s="20">
        <v>-4.5459210311305703E-2</v>
      </c>
      <c r="N249" s="16">
        <f t="array" ref="N249:P249">TRANSPOSE(MMULT($I$4:$K$6,TRANSPOSE(B249:D249+$P$1*K249:M249)))</f>
        <v>-8.4420459859971264E-4</v>
      </c>
      <c r="O249" s="17">
        <v>-0.25066664073639505</v>
      </c>
      <c r="P249" s="20">
        <v>-4.3081246395491019E-2</v>
      </c>
    </row>
    <row r="250" spans="1:16" x14ac:dyDescent="0.25">
      <c r="A250" s="24">
        <f t="shared" si="3"/>
        <v>23.700000000000067</v>
      </c>
      <c r="B250" s="16">
        <f t="array" ref="B250:D250">B249:D249+$P$1/6*(E249:G249+2*H249:J249+2*K249:M249+N249:P249)</f>
        <v>-0.71265259707203177</v>
      </c>
      <c r="C250" s="11">
        <v>0.11278432711647988</v>
      </c>
      <c r="D250" s="11">
        <v>-0.10170658465838492</v>
      </c>
      <c r="E250" s="16">
        <f t="array" ref="E250:G250">TRANSPOSE(MMULT($I$4:$K$6,TRANSPOSE(B250:D250)))</f>
        <v>-8.3643354592273511E-4</v>
      </c>
      <c r="F250" s="17">
        <v>-0.25066485795457788</v>
      </c>
      <c r="G250" s="20">
        <v>-4.3079621298351051E-2</v>
      </c>
      <c r="H250" s="16">
        <f t="array" ref="H250:J250">TRANSPOSE(MMULT($I$4:$K$6,TRANSPOSE(B250:D250+$P$1/2*E250:G250)))</f>
        <v>1.2562583945502796E-2</v>
      </c>
      <c r="I250" s="17">
        <v>-0.24995964839035334</v>
      </c>
      <c r="J250" s="20">
        <v>-4.0683339710938141E-2</v>
      </c>
      <c r="K250" s="16">
        <f t="array" ref="K250:M250">TRANSPOSE(MMULT($I$4:$K$6,TRANSPOSE(B250:D250+$P$1/2*H250:J250)))</f>
        <v>1.2412402748086179E-2</v>
      </c>
      <c r="L250" s="17">
        <v>-0.24973211457027281</v>
      </c>
      <c r="M250" s="20">
        <v>-4.0669868824958724E-2</v>
      </c>
      <c r="N250" s="16">
        <f t="array" ref="N250:P250">TRANSPOSE(MMULT($I$4:$K$6,TRANSPOSE(B250:D250+$P$1*K250:M250)))</f>
        <v>2.5639448636622035E-2</v>
      </c>
      <c r="O250" s="17">
        <v>-0.2488058234159343</v>
      </c>
      <c r="P250" s="20">
        <v>-3.8264922131752893E-2</v>
      </c>
    </row>
    <row r="251" spans="1:16" x14ac:dyDescent="0.25">
      <c r="A251" s="24">
        <f t="shared" si="3"/>
        <v>23.800000000000068</v>
      </c>
      <c r="B251" s="16">
        <f t="array" ref="B251:D251">B250:D250+$P$1/6*(E250:G250+2*H250:J250+2*K250:M250+N250:P250)</f>
        <v>-0.71140671393073385</v>
      </c>
      <c r="C251" s="11">
        <v>8.7803423661617142E-2</v>
      </c>
      <c r="D251" s="11">
        <v>-0.10577410066674987</v>
      </c>
      <c r="E251" s="16">
        <f t="array" ref="E251:G251">TRANSPOSE(MMULT($I$4:$K$6,TRANSPOSE(B251:D251)))</f>
        <v>2.564688799815619E-2</v>
      </c>
      <c r="F251" s="17">
        <v>-0.24880379093993882</v>
      </c>
      <c r="G251" s="20">
        <v>-3.8263310592629232E-2</v>
      </c>
      <c r="H251" s="16">
        <f t="array" ref="H251:J251">TRANSPOSE(MMULT($I$4:$K$6,TRANSPOSE(B251:D251+$P$1/2*E251:G251)))</f>
        <v>3.8724109317014942E-2</v>
      </c>
      <c r="I251" s="17">
        <v>-0.24765019914720321</v>
      </c>
      <c r="J251" s="20">
        <v>-3.5844872392076288E-2</v>
      </c>
      <c r="K251" s="16">
        <f t="array" ref="K251:M251">TRANSPOSE(MMULT($I$4:$K$6,TRANSPOSE(B251:D251+$P$1/2*H251:J251)))</f>
        <v>3.8552674856772821E-2</v>
      </c>
      <c r="L251" s="17">
        <v>-0.2474294655798048</v>
      </c>
      <c r="M251" s="20">
        <v>-3.5836175680708085E-2</v>
      </c>
      <c r="N251" s="16">
        <f t="array" ref="N251:P251">TRANSPOSE(MMULT($I$4:$K$6,TRANSPOSE(B251:D251+$P$1*K251:M251)))</f>
        <v>5.1437754834797268E-2</v>
      </c>
      <c r="O251" s="17">
        <v>-0.2460622816504312</v>
      </c>
      <c r="P251" s="20">
        <v>-3.3413780596263348E-2</v>
      </c>
    </row>
    <row r="252" spans="1:16" x14ac:dyDescent="0.25">
      <c r="A252" s="24">
        <f t="shared" si="3"/>
        <v>23.90000000000007</v>
      </c>
      <c r="B252" s="16">
        <f t="array" ref="B252:D252">B251:D251+$P$1/6*(E251:G251+2*H251:J251+2*K251:M251+N251:P251)</f>
        <v>-0.70754607707772499</v>
      </c>
      <c r="C252" s="11">
        <v>6.3053000294210709E-2</v>
      </c>
      <c r="D252" s="11">
        <v>-0.10935808712232423</v>
      </c>
      <c r="E252" s="16">
        <f t="array" ref="E252:G252">TRANSPOSE(MMULT($I$4:$K$6,TRANSPOSE(B252:D252)))</f>
        <v>5.1444842262491491E-2</v>
      </c>
      <c r="F252" s="17">
        <v>-0.24606001259356591</v>
      </c>
      <c r="G252" s="20">
        <v>-3.3412188299105E-2</v>
      </c>
      <c r="H252" s="16">
        <f t="array" ref="H252:J252">TRANSPOSE(MMULT($I$4:$K$6,TRANSPOSE(B252:D252+$P$1/2*E252:G252)))</f>
        <v>6.4158862446839438E-2</v>
      </c>
      <c r="I252" s="17">
        <v>-0.24447231444526574</v>
      </c>
      <c r="J252" s="20">
        <v>-3.098107044893128E-2</v>
      </c>
      <c r="K252" s="16">
        <f t="array" ref="K252:M252">TRANSPOSE(MMULT($I$4:$K$6,TRANSPOSE(B252:D252+$P$1/2*H252:J252)))</f>
        <v>6.3967285081499209E-2</v>
      </c>
      <c r="L252" s="17">
        <v>-0.24425904952018671</v>
      </c>
      <c r="M252" s="20">
        <v>-3.097707383774477E-2</v>
      </c>
      <c r="N252" s="16">
        <f t="array" ref="N252:P252">TRANSPOSE(MMULT($I$4:$K$6,TRANSPOSE(B252:D252+$P$1*K252:M252)))</f>
        <v>7.6470157317204954E-2</v>
      </c>
      <c r="O252" s="17">
        <v>-0.24246587519478294</v>
      </c>
      <c r="P252" s="20">
        <v>-2.8546617114660153E-2</v>
      </c>
    </row>
    <row r="253" spans="1:16" x14ac:dyDescent="0.25">
      <c r="A253" s="24">
        <f t="shared" si="3"/>
        <v>24.000000000000071</v>
      </c>
      <c r="B253" s="16">
        <f t="array" ref="B253:D253">B252:D252+$P$1/6*(E252:G252+2*H252:J252+2*K252:M252+N252:P252)</f>
        <v>-0.70114328883378541</v>
      </c>
      <c r="C253" s="11">
        <v>3.8619856698889815E-2</v>
      </c>
      <c r="D253" s="11">
        <v>-0.11245600535544285</v>
      </c>
      <c r="E253" s="16">
        <f t="array" ref="E253:G253">TRANSPOSE(MMULT($I$4:$K$6,TRANSPOSE(B253:D253)))</f>
        <v>7.6476874326665861E-2</v>
      </c>
      <c r="F253" s="17">
        <v>-0.242463383256943</v>
      </c>
      <c r="G253" s="20">
        <v>-2.8545049545292037E-2</v>
      </c>
      <c r="H253" s="16">
        <f t="array" ref="H253:J253">TRANSPOSE(MMULT($I$4:$K$6,TRANSPOSE(B253:D253+$P$1/2*E253:G253)))</f>
        <v>8.8788560108785539E-2</v>
      </c>
      <c r="I253" s="17">
        <v>-0.24045714901518433</v>
      </c>
      <c r="J253" s="20">
        <v>-2.6110564941503836E-2</v>
      </c>
      <c r="K253" s="16">
        <f t="array" ref="K253:M253">TRANSPOSE(MMULT($I$4:$K$6,TRANSPOSE(B253:D253+$P$1/2*H253:J253)))</f>
        <v>8.8578000275711249E-2</v>
      </c>
      <c r="L253" s="17">
        <v>-0.24025197848677338</v>
      </c>
      <c r="M253" s="20">
        <v>-2.6111178548113803E-2</v>
      </c>
      <c r="N253" s="16">
        <f t="array" ref="N253:P253">TRANSPOSE(MMULT($I$4:$K$6,TRANSPOSE(B253:D253+$P$1*K253:M253)))</f>
        <v>0.10066073931451065</v>
      </c>
      <c r="O253" s="17">
        <v>-0.23804896642701212</v>
      </c>
      <c r="P253" s="20">
        <v>-2.3681867727992897E-2</v>
      </c>
    </row>
    <row r="254" spans="1:16" x14ac:dyDescent="0.25">
      <c r="A254" s="24">
        <f t="shared" si="3"/>
        <v>24.100000000000072</v>
      </c>
      <c r="B254" s="16">
        <f t="array" ref="B254:D254">B253:D253+$P$1/6*(E253:G253+2*H253:J253+2*K253:M253+N253:P253)</f>
        <v>-0.69227877659361592</v>
      </c>
      <c r="C254" s="11">
        <v>1.4587679954091971E-2</v>
      </c>
      <c r="D254" s="11">
        <v>-0.11506717875965153</v>
      </c>
      <c r="E254" s="16">
        <f t="array" ref="E254:G254">TRANSPOSE(MMULT($I$4:$K$6,TRANSPOSE(B254:D254)))</f>
        <v>0.10066706920913024</v>
      </c>
      <c r="F254" s="17">
        <v>-0.23804626583072069</v>
      </c>
      <c r="G254" s="20">
        <v>-2.3680330158153517E-2</v>
      </c>
      <c r="H254" s="16">
        <f t="array" ref="H254:J254">TRANSPOSE(MMULT($I$4:$K$6,TRANSPOSE(B254:D254+$P$1/2*E254:G254)))</f>
        <v>0.11253965375778369</v>
      </c>
      <c r="I254" s="17">
        <v>-0.23563827346954025</v>
      </c>
      <c r="J254" s="20">
        <v>-2.1251596692323793E-2</v>
      </c>
      <c r="K254" s="16">
        <f t="array" ref="K254:M254">TRANSPOSE(MMULT($I$4:$K$6,TRANSPOSE(B254:D254+$P$1/2*H254:J254)))</f>
        <v>0.1123113165476648</v>
      </c>
      <c r="L254" s="17">
        <v>-0.23544177908249861</v>
      </c>
      <c r="M254" s="20">
        <v>-2.1256715512489949E-2</v>
      </c>
      <c r="N254" s="16">
        <f t="array" ref="N254:P254">TRANSPOSE(MMULT($I$4:$K$6,TRANSPOSE(B254:D254+$P$1*K254:M254)))</f>
        <v>0.12393840257240306</v>
      </c>
      <c r="O254" s="17">
        <v>-0.23284624437495444</v>
      </c>
      <c r="P254" s="20">
        <v>-1.8837548717786215E-2</v>
      </c>
    </row>
    <row r="255" spans="1:16" x14ac:dyDescent="0.25">
      <c r="A255" s="24">
        <f t="shared" si="3"/>
        <v>24.200000000000074</v>
      </c>
      <c r="B255" s="16">
        <f t="array" ref="B255:D255">B254:D254+$P$1/6*(E254:G254+2*H254:J254+2*K254:M254+N254:P254)</f>
        <v>-0.68104031972040879</v>
      </c>
      <c r="C255" s="11">
        <v>-8.9631969677372442E-3</v>
      </c>
      <c r="D255" s="11">
        <v>-0.11719275381441098</v>
      </c>
      <c r="E255" s="16">
        <f t="array" ref="E255:G255">TRANSPOSE(MMULT($I$4:$K$6,TRANSPOSE(B255:D255)))</f>
        <v>0.12394433046554253</v>
      </c>
      <c r="F255" s="17">
        <v>-0.23284334980088828</v>
      </c>
      <c r="G255" s="20">
        <v>-1.883604619031605E-2</v>
      </c>
      <c r="H255" s="16">
        <f t="array" ref="H255:J255">TRANSPOSE(MMULT($I$4:$K$6,TRANSPOSE(B255:D255+$P$1/2*E255:G255)))</f>
        <v>0.13534349722706557</v>
      </c>
      <c r="I255" s="17">
        <v>-0.23005149577433232</v>
      </c>
      <c r="J255" s="20">
        <v>-1.6421957226343931E-2</v>
      </c>
      <c r="K255" s="16">
        <f t="array" ref="K255:M255">TRANSPOSE(MMULT($I$4:$K$6,TRANSPOSE(B255:D255+$P$1/2*H255:J255)))</f>
        <v>0.13509862691265068</v>
      </c>
      <c r="L255" s="17">
        <v>-0.22986421408345198</v>
      </c>
      <c r="M255" s="20">
        <v>-1.6431461860953872E-2</v>
      </c>
      <c r="N255" s="16">
        <f t="array" ref="N255:P255">TRANSPOSE(MMULT($I$4:$K$6,TRANSPOSE(B255:D255+$P$1*K255:M255)))</f>
        <v>0.14623702407919936</v>
      </c>
      <c r="O255" s="17">
        <v>-0.2268945440216672</v>
      </c>
      <c r="P255" s="20">
        <v>-1.4031199037800729E-2</v>
      </c>
    </row>
    <row r="256" spans="1:16" x14ac:dyDescent="0.25">
      <c r="A256" s="24">
        <f t="shared" si="3"/>
        <v>24.300000000000075</v>
      </c>
      <c r="B256" s="16">
        <f t="array" ref="B256:D256">B255:D255+$P$1/6*(E255:G255+2*H255:J255+2*K255:M255+N255:P255)</f>
        <v>-0.66752255967333918</v>
      </c>
      <c r="C256" s="11">
        <v>-3.1956018860039313E-2</v>
      </c>
      <c r="D256" s="11">
        <v>-0.11883565520445619</v>
      </c>
      <c r="E256" s="16">
        <f t="array" ref="E256:G256">TRANSPOSE(MMULT($I$4:$K$6,TRANSPOSE(B256:D256)))</f>
        <v>0.14624253690915573</v>
      </c>
      <c r="F256" s="17">
        <v>-0.22689147054391667</v>
      </c>
      <c r="G256" s="20">
        <v>-1.4029736353010858E-2</v>
      </c>
      <c r="H256" s="16">
        <f t="array" ref="H256:J256">TRANSPOSE(MMULT($I$4:$K$6,TRANSPOSE(B256:D256+$P$1/2*E256:G256)))</f>
        <v>0.15713649247886599</v>
      </c>
      <c r="I256" s="17">
        <v>-0.22373467838780306</v>
      </c>
      <c r="J256" s="20">
        <v>-1.1638932695724843E-2</v>
      </c>
      <c r="K256" s="16">
        <f t="array" ref="K256:M256">TRANSPOSE(MMULT($I$4:$K$6,TRANSPOSE(B256:D256+$P$1/2*H256:J256)))</f>
        <v>0.15687636702006602</v>
      </c>
      <c r="L256" s="17">
        <v>-0.22355709977186125</v>
      </c>
      <c r="M256" s="20">
        <v>-1.1652690115048173E-2</v>
      </c>
      <c r="N256" s="16">
        <f t="array" ref="N256:P256">TRANSPOSE(MMULT($I$4:$K$6,TRANSPOSE(B256:D256+$P$1*K256:M256)))</f>
        <v>0.16749559082074311</v>
      </c>
      <c r="O256" s="17">
        <v>-0.22023266166594585</v>
      </c>
      <c r="P256" s="20">
        <v>-9.2798258015610036E-3</v>
      </c>
    </row>
    <row r="257" spans="1:16" x14ac:dyDescent="0.25">
      <c r="A257" s="24">
        <f t="shared" si="3"/>
        <v>24.400000000000077</v>
      </c>
      <c r="B257" s="16">
        <f t="array" ref="B257:D257">B256:D256+$P$1/6*(E256:G256+2*H256:J256+2*K256:M256+N256:P256)</f>
        <v>-0.65182649556120975</v>
      </c>
      <c r="C257" s="11">
        <v>-5.4317813668859162E-2</v>
      </c>
      <c r="D257" s="11">
        <v>-0.12000053533405815</v>
      </c>
      <c r="E257" s="16">
        <f t="array" ref="E257:G257">TRANSPOSE(MMULT($I$4:$K$6,TRANSPOSE(B257:D257)))</f>
        <v>0.16750067735860341</v>
      </c>
      <c r="F257" s="17">
        <v>-0.22022942468725626</v>
      </c>
      <c r="G257" s="20">
        <v>-9.2784075048066156E-3</v>
      </c>
      <c r="H257" s="16">
        <f t="array" ref="H257:J257">TRANSPOSE(MMULT($I$4:$K$6,TRANSPOSE(B257:D257+$P$1/2*E257:G257)))</f>
        <v>0.17786021335626934</v>
      </c>
      <c r="I257" s="17">
        <v>-0.21672755184238801</v>
      </c>
      <c r="J257" s="20">
        <v>-6.9192509312930028E-3</v>
      </c>
      <c r="K257" s="16">
        <f t="array" ref="K257:M257">TRANSPOSE(MMULT($I$4:$K$6,TRANSPOSE(B257:D257+$P$1/2*H257:J257)))</f>
        <v>0.1775861389025673</v>
      </c>
      <c r="L257" s="17">
        <v>-0.21656011971153435</v>
      </c>
      <c r="M257" s="20">
        <v>-6.9371152728369134E-3</v>
      </c>
      <c r="N257" s="16">
        <f t="array" ref="N257:P257">TRANSPOSE(MMULT($I$4:$K$6,TRANSPOSE(B257:D257+$P$1*K257:M257)))</f>
        <v>0.18765831255164467</v>
      </c>
      <c r="O257" s="17">
        <v>-0.21290116711169149</v>
      </c>
      <c r="P257" s="20">
        <v>-4.599852960048556E-3</v>
      </c>
    </row>
    <row r="258" spans="1:16" x14ac:dyDescent="0.25">
      <c r="A258" s="24">
        <f t="shared" si="3"/>
        <v>24.500000000000078</v>
      </c>
      <c r="B258" s="16">
        <f t="array" ref="B258:D258">B257:D257+$P$1/6*(E257:G257+2*H257:J257+2*K257:M257+N257:P257)</f>
        <v>-0.6340589673207444</v>
      </c>
      <c r="C258" s="11">
        <v>-7.5979579250639029E-2</v>
      </c>
      <c r="D258" s="11">
        <v>-0.12069371854861007</v>
      </c>
      <c r="E258" s="16">
        <f t="array" ref="E258:G258">TRANSPOSE(MMULT($I$4:$K$6,TRANSPOSE(B258:D258)))</f>
        <v>0.18766296340215749</v>
      </c>
      <c r="F258" s="17">
        <v>-0.21289778229892675</v>
      </c>
      <c r="G258" s="20">
        <v>-4.5984833305260514E-3</v>
      </c>
      <c r="H258" s="16">
        <f t="array" ref="H258:J258">TRANSPOSE(MMULT($I$4:$K$6,TRANSPOSE(B258:D258+$P$1/2*E258:G258)))</f>
        <v>0.19746150736670359</v>
      </c>
      <c r="I258" s="17">
        <v>-0.2090715255414905</v>
      </c>
      <c r="J258" s="20">
        <v>-2.2790317476792388E-3</v>
      </c>
      <c r="K258" s="16">
        <f t="array" ref="K258:M258">TRANSPOSE(MMULT($I$4:$K$6,TRANSPOSE(B258:D258+$P$1/2*H258:J258)))</f>
        <v>0.1971748127773521</v>
      </c>
      <c r="L258" s="17">
        <v>-0.20891463573675986</v>
      </c>
      <c r="M258" s="20">
        <v>-2.3008451439335692E-3</v>
      </c>
      <c r="N258" s="16">
        <f t="array" ref="N258:P258">TRANSPOSE(MMULT($I$4:$K$6,TRANSPOSE(B258:D258+$P$1*K258:M258)))</f>
        <v>0.20667471265381732</v>
      </c>
      <c r="O258" s="17">
        <v>-0.20494221345440986</v>
      </c>
      <c r="P258" s="20">
        <v>-7.0732891121333408E-6</v>
      </c>
    </row>
    <row r="259" spans="1:16" x14ac:dyDescent="0.25">
      <c r="A259" s="24">
        <f t="shared" si="3"/>
        <v>24.60000000000008</v>
      </c>
      <c r="B259" s="16">
        <f t="array" ref="B259:D259">B258:D258+$P$1/6*(E258:G258+2*H258:J258+2*K258:M258+N258:P258)</f>
        <v>-0.61433212871500964</v>
      </c>
      <c r="C259" s="11">
        <v>-9.6876451222469656E-2</v>
      </c>
      <c r="D259" s="11">
        <v>-0.1209231403886578</v>
      </c>
      <c r="E259" s="16">
        <f t="array" ref="E259:G259">TRANSPOSE(MMULT($I$4:$K$6,TRANSPOSE(B259:D259)))</f>
        <v>0.20667892024943374</v>
      </c>
      <c r="F259" s="17">
        <v>-0.20493869667447276</v>
      </c>
      <c r="G259" s="20">
        <v>-5.7563298947460595E-6</v>
      </c>
      <c r="H259" s="16">
        <f t="array" ref="H259:J259">TRANSPOSE(MMULT($I$4:$K$6,TRANSPOSE(B259:D259+$P$1/2*E259:G259)))</f>
        <v>0.21589257560850808</v>
      </c>
      <c r="I259" s="17">
        <v>-0.20080949653593536</v>
      </c>
      <c r="J259" s="20">
        <v>2.2662593857688124E-3</v>
      </c>
      <c r="K259" s="16">
        <f t="array" ref="K259:M259">TRANSPOSE(MMULT($I$4:$K$6,TRANSPOSE(B259:D259+$P$1/2*H259:J259)))</f>
        <v>0.21559460701047262</v>
      </c>
      <c r="L259" s="17">
        <v>-0.20066349691883589</v>
      </c>
      <c r="M259" s="20">
        <v>2.2406659534378176E-3</v>
      </c>
      <c r="N259" s="16">
        <f t="array" ref="N259:P259">TRANSPOSE(MMULT($I$4:$K$6,TRANSPOSE(B259:D259+$P$1*K259:M259)))</f>
        <v>0.22449969723307511</v>
      </c>
      <c r="O259" s="17">
        <v>-0.19639934522492861</v>
      </c>
      <c r="P259" s="20">
        <v>4.4833962088086099E-3</v>
      </c>
    </row>
    <row r="260" spans="1:16" x14ac:dyDescent="0.25">
      <c r="A260" s="24">
        <f t="shared" si="3"/>
        <v>24.700000000000081</v>
      </c>
      <c r="B260" s="16">
        <f t="array" ref="B260:D260">B259:D259+$P$1/6*(E259:G259+2*H259:J259+2*K259:M259+N259:P259)</f>
        <v>-0.59276291233633516</v>
      </c>
      <c r="C260" s="11">
        <v>-0.11694785170261872</v>
      </c>
      <c r="D260" s="11">
        <v>-0.12069828221270235</v>
      </c>
      <c r="E260" s="16">
        <f t="array" ref="E260:G260">TRANSPOSE(MMULT($I$4:$K$6,TRANSPOSE(B260:D260)))</f>
        <v>0.22450345582133319</v>
      </c>
      <c r="F260" s="17">
        <v>-0.1963957124813662</v>
      </c>
      <c r="G260" s="20">
        <v>4.4846567794876863E-3</v>
      </c>
      <c r="H260" s="16">
        <f t="array" ref="H260:J260">TRANSPOSE(MMULT($I$4:$K$6,TRANSPOSE(B260:D260+$P$1/2*E260:G260)))</f>
        <v>0.23311103103070507</v>
      </c>
      <c r="I260" s="17">
        <v>-0.19198565703541692</v>
      </c>
      <c r="J260" s="20">
        <v>6.7018542112079887E-3</v>
      </c>
      <c r="K260" s="16">
        <f t="array" ref="K260:M260">TRANSPOSE(MMULT($I$4:$K$6,TRANSPOSE(B260:D260+$P$1/2*H260:J260)))</f>
        <v>0.23280314643372635</v>
      </c>
      <c r="L260" s="17">
        <v>-0.19185084726488247</v>
      </c>
      <c r="M260" s="20">
        <v>6.6726600362697619E-3</v>
      </c>
      <c r="N260" s="16">
        <f t="array" ref="N260:P260">TRANSPOSE(MMULT($I$4:$K$6,TRANSPOSE(B260:D260+$P$1*K260:M260)))</f>
        <v>0.24109360268203334</v>
      </c>
      <c r="O260" s="17">
        <v>-0.18731730563958685</v>
      </c>
      <c r="P260" s="20">
        <v>8.8571553990650087E-3</v>
      </c>
    </row>
    <row r="261" spans="1:16" x14ac:dyDescent="0.25">
      <c r="A261" s="24">
        <f t="shared" si="3"/>
        <v>24.800000000000082</v>
      </c>
      <c r="B261" s="16">
        <f t="array" ref="B261:D261">B260:D260+$P$1/6*(E260:G260+2*H260:J260+2*K260:M260+N260:P260)</f>
        <v>-0.56947248877913137</v>
      </c>
      <c r="C261" s="11">
        <v>-0.13613761881464459</v>
      </c>
      <c r="D261" s="11">
        <v>-0.12003010153481054</v>
      </c>
      <c r="E261" s="16">
        <f t="array" ref="E261:G261">TRANSPOSE(MMULT($I$4:$K$6,TRANSPOSE(B261:D261)))</f>
        <v>0.24109690830648195</v>
      </c>
      <c r="F261" s="17">
        <v>-0.18731357301010065</v>
      </c>
      <c r="G261" s="20">
        <v>8.8583561552771639E-3</v>
      </c>
      <c r="H261" s="16">
        <f t="array" ref="H261:J261">TRANSPOSE(MMULT($I$4:$K$6,TRANSPOSE(B261:D261+$P$1/2*E261:G261)))</f>
        <v>0.24907993529234901</v>
      </c>
      <c r="I261" s="17">
        <v>-0.18264530139812496</v>
      </c>
      <c r="J261" s="20">
        <v>1.1013721003588217E-2</v>
      </c>
      <c r="K261" s="16">
        <f t="array" ref="K261:M261">TRANSPOSE(MMULT($I$4:$K$6,TRANSPOSE(B261:D261+$P$1/2*H261:J261)))</f>
        <v>0.24876349927985469</v>
      </c>
      <c r="L261" s="17">
        <v>-0.18252193289148547</v>
      </c>
      <c r="M261" s="20">
        <v>1.0981114759419361E-2</v>
      </c>
      <c r="N261" s="16">
        <f t="array" ref="N261:P261">TRANSPOSE(MMULT($I$4:$K$6,TRANSPOSE(B261:D261+$P$1*K261:M261)))</f>
        <v>0.25642222201245513</v>
      </c>
      <c r="O261" s="17">
        <v>-0.1777418436927734</v>
      </c>
      <c r="P261" s="20">
        <v>1.3100558530715289E-2</v>
      </c>
    </row>
    <row r="262" spans="1:16" x14ac:dyDescent="0.25">
      <c r="A262" s="24">
        <f t="shared" si="3"/>
        <v>24.900000000000084</v>
      </c>
      <c r="B262" s="16">
        <f t="array" ref="B262:D262">B261:D261+$P$1/6*(E261:G261+2*H261:J261+2*K261:M261+N261:P261)</f>
        <v>-0.54458572212140899</v>
      </c>
      <c r="C262" s="11">
        <v>-0.15439411690267951</v>
      </c>
      <c r="D262" s="11">
        <v>-0.11893095843127709</v>
      </c>
      <c r="E262" s="16">
        <f t="array" ref="E262:G262">TRANSPOSE(MMULT($I$4:$K$6,TRANSPOSE(B262:D262)))</f>
        <v>0.25642507248733126</v>
      </c>
      <c r="F262" s="17">
        <v>-0.1777380272678466</v>
      </c>
      <c r="G262" s="20">
        <v>1.3101696345048874E-2</v>
      </c>
      <c r="H262" s="16">
        <f t="array" ref="H262:J262">TRANSPOSE(MMULT($I$4:$K$6,TRANSPOSE(B262:D262+$P$1/2*E262:G262)))</f>
        <v>0.26376781456138593</v>
      </c>
      <c r="I262" s="17">
        <v>-0.17283463332711169</v>
      </c>
      <c r="J262" s="20">
        <v>1.5188600279937597E-2</v>
      </c>
      <c r="K262" s="16">
        <f t="array" ref="K262:M262">TRANSPOSE(MMULT($I$4:$K$6,TRANSPOSE(B262:D262+$P$1/2*H262:J262)))</f>
        <v>0.26344419307528116</v>
      </c>
      <c r="L262" s="17">
        <v>-0.17272290940112639</v>
      </c>
      <c r="M262" s="20">
        <v>1.5152779109992978E-2</v>
      </c>
      <c r="N262" s="16">
        <f t="array" ref="N262:P262">TRANSPOSE(MMULT($I$4:$K$6,TRANSPOSE(B262:D262+$P$1*K262:M262)))</f>
        <v>0.27045681033229141</v>
      </c>
      <c r="O262" s="17">
        <v>-0.16771952181188035</v>
      </c>
      <c r="P262" s="20">
        <v>1.7200748114357442E-2</v>
      </c>
    </row>
    <row r="263" spans="1:16" x14ac:dyDescent="0.25">
      <c r="A263" s="24">
        <f t="shared" si="3"/>
        <v>25.000000000000085</v>
      </c>
      <c r="B263" s="16">
        <f t="array" ref="B263:D263">B262:D262+$P$1/6*(E262:G262+2*H262:J262+2*K262:M262+N262:P262)</f>
        <v>-0.51823062381985974</v>
      </c>
      <c r="C263" s="11">
        <v>-0.1716703274782829</v>
      </c>
      <c r="D263" s="11">
        <v>-0.1174145383772893</v>
      </c>
      <c r="E263" s="16">
        <f t="array" ref="E263:G263">TRANSPOSE(MMULT($I$4:$K$6,TRANSPOSE(B263:D263)))</f>
        <v>0.27045920521118461</v>
      </c>
      <c r="F263" s="17">
        <v>-0.16771563763472502</v>
      </c>
      <c r="G263" s="20">
        <v>1.7201820162883005E-2</v>
      </c>
      <c r="H263" s="16">
        <f t="array" ref="H263:J263">TRANSPOSE(MMULT($I$4:$K$6,TRANSPOSE(B263:D263+$P$1/2*E263:G263)))</f>
        <v>0.27714865466360727</v>
      </c>
      <c r="I263" s="17">
        <v>-0.16260057398496053</v>
      </c>
      <c r="J263" s="20">
        <v>1.9214036844485416E-2</v>
      </c>
      <c r="K263" s="16">
        <f t="array" ref="K263:M263">TRANSPOSE(MMULT($I$4:$K$6,TRANSPOSE(B263:D263+$P$1/2*H263:J263)))</f>
        <v>0.27681920990022491</v>
      </c>
      <c r="L263" s="17">
        <v>-0.16250065017237772</v>
      </c>
      <c r="M263" s="20">
        <v>1.9175205441279763E-2</v>
      </c>
      <c r="N263" s="16">
        <f t="array" ref="N263:P263">TRANSPOSE(MMULT($I$4:$K$6,TRANSPOSE(B263:D263+$P$1*K263:M263)))</f>
        <v>0.28317406991176891</v>
      </c>
      <c r="O263" s="17">
        <v>-0.15729752477660389</v>
      </c>
      <c r="P263" s="20">
        <v>2.1145685117104282E-2</v>
      </c>
    </row>
    <row r="264" spans="1:16" x14ac:dyDescent="0.25">
      <c r="A264" s="24">
        <f t="shared" si="3"/>
        <v>25.100000000000087</v>
      </c>
      <c r="B264" s="16">
        <f t="array" ref="B264:D264">B263:D263+$P$1/6*(E263:G263+2*H263:J263+2*K263:M263+N263:P263)</f>
        <v>-0.49053780708234945</v>
      </c>
      <c r="C264" s="11">
        <v>-0.18792392099038299</v>
      </c>
      <c r="D264" s="11">
        <v>-0.11549577187976401</v>
      </c>
      <c r="E264" s="16">
        <f t="array" ref="E264:G264">TRANSPOSE(MMULT($I$4:$K$6,TRANSPOSE(B264:D264)))</f>
        <v>0.28317601045052354</v>
      </c>
      <c r="F264" s="17">
        <v>-0.15729358878462185</v>
      </c>
      <c r="G264" s="20">
        <v>2.1146688883101769E-2</v>
      </c>
      <c r="H264" s="16">
        <f t="array" ref="H264:J264">TRANSPOSE(MMULT($I$4:$K$6,TRANSPOSE(B264:D264+$P$1/2*E264:G264)))</f>
        <v>0.28920187605983999</v>
      </c>
      <c r="I264" s="17">
        <v>-0.15199057171905167</v>
      </c>
      <c r="J264" s="20">
        <v>2.3078408132236522E-2</v>
      </c>
      <c r="K264" s="16">
        <f t="array" ref="K264:M264">TRANSPOSE(MMULT($I$4:$K$6,TRANSPOSE(B264:D264+$P$1/2*H264:J264)))</f>
        <v>0.28886796149353222</v>
      </c>
      <c r="L264" s="17">
        <v>-0.1519025562556082</v>
      </c>
      <c r="M264" s="20">
        <v>2.303677780880739E-2</v>
      </c>
      <c r="N264" s="16">
        <f t="array" ref="N264:P264">TRANSPOSE(MMULT($I$4:$K$6,TRANSPOSE(B264:D264+$P$1*K264:M264)))</f>
        <v>0.29455611534879678</v>
      </c>
      <c r="O264" s="17">
        <v>-0.14652347058418802</v>
      </c>
      <c r="P264" s="20">
        <v>2.4924175444602889E-2</v>
      </c>
    </row>
    <row r="265" spans="1:16" x14ac:dyDescent="0.25">
      <c r="A265" s="24">
        <f t="shared" si="3"/>
        <v>25.200000000000088</v>
      </c>
      <c r="B265" s="16">
        <f t="array" ref="B265:D265">B264:D264+$P$1/6*(E264:G264+2*H264:J264+2*K264:M264+N264:P264)</f>
        <v>-0.46163994373391504</v>
      </c>
      <c r="C265" s="11">
        <v>-0.2031173095790185</v>
      </c>
      <c r="D265" s="11">
        <v>-0.11319075127626747</v>
      </c>
      <c r="E265" s="16">
        <f t="array" ref="E265:G265">TRANSPOSE(MMULT($I$4:$K$6,TRANSPOSE(B265:D265)))</f>
        <v>0.29455760446291701</v>
      </c>
      <c r="F265" s="17">
        <v>-0.14651949855212928</v>
      </c>
      <c r="G265" s="20">
        <v>2.4925108721064834E-2</v>
      </c>
      <c r="H265" s="16">
        <f t="array" ref="H265:J265">TRANSPOSE(MMULT($I$4:$K$6,TRANSPOSE(B265:D265+$P$1/2*E265:G265)))</f>
        <v>0.2999122891937876</v>
      </c>
      <c r="I265" s="17">
        <v>-0.14105241406831079</v>
      </c>
      <c r="J265" s="20">
        <v>2.6770948828192892E-2</v>
      </c>
      <c r="K265" s="16">
        <f t="array" ref="K265:M265">TRANSPOSE(MMULT($I$4:$K$6,TRANSPOSE(B265:D265+$P$1/2*H265:J265)))</f>
        <v>0.29957524474379971</v>
      </c>
      <c r="L265" s="17">
        <v>-0.14097636854456472</v>
      </c>
      <c r="M265" s="20">
        <v>2.6726736585661381E-2</v>
      </c>
      <c r="N265" s="16">
        <f t="array" ref="N265:P265">TRANSPOSE(MMULT($I$4:$K$6,TRANSPOSE(B265:D265+$P$1*K265:M265)))</f>
        <v>0.30459041940650899</v>
      </c>
      <c r="O265" s="17">
        <v>-0.1354452239197913</v>
      </c>
      <c r="P265" s="20">
        <v>2.8525892694463831E-2</v>
      </c>
    </row>
    <row r="266" spans="1:16" x14ac:dyDescent="0.25">
      <c r="A266" s="24">
        <f t="shared" si="3"/>
        <v>25.30000000000009</v>
      </c>
      <c r="B266" s="16">
        <f t="array" ref="B266:D266">B265:D265+$P$1/6*(E265:G265+2*H265:J265+2*K265:M265+N265:P265)</f>
        <v>-0.43167122553817172</v>
      </c>
      <c r="C266" s="11">
        <v>-0.21721768104064634</v>
      </c>
      <c r="D266" s="11">
        <v>-0.11051664507221352</v>
      </c>
      <c r="E266" s="16">
        <f t="array" ref="E266:G266">TRANSPOSE(MMULT($I$4:$K$6,TRANSPOSE(B266:D266)))</f>
        <v>0.30459146162334894</v>
      </c>
      <c r="F266" s="17">
        <v>-0.13544123140478304</v>
      </c>
      <c r="G266" s="20">
        <v>2.8526753585392098E-2</v>
      </c>
      <c r="H266" s="16">
        <f t="array" ref="H266:J266">TRANSPOSE(MMULT($I$4:$K$6,TRANSPOSE(B266:D266+$P$1/2*E266:G266)))</f>
        <v>0.30927003081376347</v>
      </c>
      <c r="I266" s="17">
        <v>-0.12983404269890464</v>
      </c>
      <c r="J266" s="20">
        <v>3.0281771753760775E-2</v>
      </c>
      <c r="K266" s="16">
        <f t="array" ref="K266:M266">TRANSPOSE(MMULT($I$4:$K$6,TRANSPOSE(B266:D266+$P$1/2*H266:J266)))</f>
        <v>0.30893117816915017</v>
      </c>
      <c r="L266" s="17">
        <v>-0.12976998287080679</v>
      </c>
      <c r="M266" s="20">
        <v>3.0235199348540603E-2</v>
      </c>
      <c r="N266" s="16">
        <f t="array" ref="N266:P266">TRANSPOSE(MMULT($I$4:$K$6,TRANSPOSE(B266:D266+$P$1*K266:M266)))</f>
        <v>0.31326974015479647</v>
      </c>
      <c r="O266" s="17">
        <v>-0.12411071286679189</v>
      </c>
      <c r="P266" s="20">
        <v>3.1941397179662656E-2</v>
      </c>
    </row>
    <row r="267" spans="1:16" x14ac:dyDescent="0.25">
      <c r="A267" s="24">
        <f t="shared" si="3"/>
        <v>25.400000000000091</v>
      </c>
      <c r="B267" s="16">
        <f t="array" ref="B267:D267">B266:D266+$P$1/6*(E266:G266+2*H266:J266+2*K266:M266+N266:P266)</f>
        <v>-0.40076683187577217</v>
      </c>
      <c r="C267" s="11">
        <v>-0.23019701429749631</v>
      </c>
      <c r="D267" s="11">
        <v>-0.1074916101893859</v>
      </c>
      <c r="E267" s="16">
        <f t="array" ref="E267:G267">TRANSPOSE(MMULT($I$4:$K$6,TRANSPOSE(B267:D267)))</f>
        <v>0.31327034156082789</v>
      </c>
      <c r="F267" s="17">
        <v>-0.12410671515540059</v>
      </c>
      <c r="G267" s="20">
        <v>3.1942184100181389E-2</v>
      </c>
      <c r="H267" s="16">
        <f t="array" ref="H267:J267">TRANSPOSE(MMULT($I$4:$K$6,TRANSPOSE(B267:D267+$P$1/2*E267:G267)))</f>
        <v>0.31727048192879015</v>
      </c>
      <c r="I267" s="17">
        <v>-0.11838337189104033</v>
      </c>
      <c r="J267" s="20">
        <v>3.3601885025936001E-2</v>
      </c>
      <c r="K267" s="16">
        <f t="array" ref="K267:M267">TRANSPOSE(MMULT($I$4:$K$6,TRANSPOSE(B267:D267+$P$1/2*H267:J267)))</f>
        <v>0.31693112004521728</v>
      </c>
      <c r="L267" s="17">
        <v>-0.11833126864269686</v>
      </c>
      <c r="M267" s="20">
        <v>3.3553178040063525E-2</v>
      </c>
      <c r="N267" s="16">
        <f t="array" ref="N267:P267">TRANSPOSE(MMULT($I$4:$K$6,TRANSPOSE(B267:D267+$P$1*K267:M267)))</f>
        <v>0.32059203010304282</v>
      </c>
      <c r="O267" s="17">
        <v>-0.11256774946566642</v>
      </c>
      <c r="P267" s="20">
        <v>3.5162151234364766E-2</v>
      </c>
    </row>
    <row r="268" spans="1:16" x14ac:dyDescent="0.25">
      <c r="A268" s="24">
        <f t="shared" si="3"/>
        <v>25.500000000000092</v>
      </c>
      <c r="B268" s="16">
        <f t="array" ref="B268:D268">B267:D267+$P$1/6*(E267:G267+2*H267:J267+2*K267:M267+N267:P267)</f>
        <v>-0.36906240561557407</v>
      </c>
      <c r="C268" s="11">
        <v>-0.24203207672563867</v>
      </c>
      <c r="D268" s="11">
        <v>-0.1041347024982768</v>
      </c>
      <c r="E268" s="16">
        <f t="array" ref="E268:G268">TRANSPOSE(MMULT($I$4:$K$6,TRANSPOSE(B268:D268)))</f>
        <v>0.32059219828650681</v>
      </c>
      <c r="F268" s="17">
        <v>-0.11256376152314485</v>
      </c>
      <c r="G268" s="20">
        <v>3.5162862909674755E-2</v>
      </c>
      <c r="H268" s="16">
        <f t="array" ref="H268:J268">TRANSPOSE(MMULT($I$4:$K$6,TRANSPOSE(B268:D268+$P$1/2*E268:G268)))</f>
        <v>0.32391416811303803</v>
      </c>
      <c r="I268" s="17">
        <v>-0.1067481111719715</v>
      </c>
      <c r="J268" s="20">
        <v>3.6723205508579229E-2</v>
      </c>
      <c r="K268" s="16">
        <f t="array" ref="K268:M268">TRANSPOSE(MMULT($I$4:$K$6,TRANSPOSE(B268:D268+$P$1/2*H268:J268)))</f>
        <v>0.32357556889436861</v>
      </c>
      <c r="L268" s="17">
        <v>-0.10670789162363055</v>
      </c>
      <c r="M268" s="20">
        <v>3.6672592426548134E-2</v>
      </c>
      <c r="N268" s="16">
        <f t="array" ref="N268:P268">TRANSPOSE(MMULT($I$4:$K$6,TRANSPOSE(B268:D268+$P$1*K268:M268)))</f>
        <v>0.32656032806286422</v>
      </c>
      <c r="O268" s="17">
        <v>-0.10086385470222169</v>
      </c>
      <c r="P268" s="20">
        <v>3.818053082815457E-2</v>
      </c>
    </row>
    <row r="269" spans="1:16" x14ac:dyDescent="0.25">
      <c r="A269" s="24">
        <f t="shared" si="3"/>
        <v>25.600000000000094</v>
      </c>
      <c r="B269" s="16">
        <f t="array" ref="B269:D269">B268:D268+$P$1/6*(E268:G268+2*H268:J268+2*K268:M268+N268:P268)</f>
        <v>-0.33669353894283766</v>
      </c>
      <c r="C269" s="11">
        <v>-0.25270440375591485</v>
      </c>
      <c r="D269" s="11">
        <v>-0.10046578600480874</v>
      </c>
      <c r="E269" s="16">
        <f t="array" ref="E269:G269">TRANSPOSE(MMULT($I$4:$K$6,TRANSPOSE(B269:D269)))</f>
        <v>0.32656007205212212</v>
      </c>
      <c r="F269" s="17">
        <v>-0.10085989112408004</v>
      </c>
      <c r="G269" s="20">
        <v>3.8181166291359508E-2</v>
      </c>
      <c r="H269" s="16">
        <f t="array" ref="H269:J269">TRANSPOSE(MMULT($I$4:$K$6,TRANSPOSE(B269:D269+$P$1/2*E269:G269)))</f>
        <v>0.32920664292223834</v>
      </c>
      <c r="I269" s="17">
        <v>-9.4975592661654687E-2</v>
      </c>
      <c r="J269" s="20">
        <v>3.9638568588436833E-2</v>
      </c>
      <c r="K269" s="16">
        <f t="array" ref="K269:M269">TRANSPOSE(MMULT($I$4:$K$6,TRANSPOSE(B269:D269+$P$1/2*H269:J269)))</f>
        <v>0.32887004709882489</v>
      </c>
      <c r="L269" s="17">
        <v>-9.4947141415564942E-2</v>
      </c>
      <c r="M269" s="20">
        <v>3.9586279883821698E-2</v>
      </c>
      <c r="N269" s="16">
        <f t="array" ref="N269:P269">TRANSPOSE(MMULT($I$4:$K$6,TRANSPOSE(B269:D269+$P$1*K269:M269)))</f>
        <v>0.33118263452733748</v>
      </c>
      <c r="O269" s="17">
        <v>-8.9046088476563437E-2</v>
      </c>
      <c r="P269" s="20">
        <v>4.0989833527784958E-2</v>
      </c>
    </row>
    <row r="270" spans="1:16" x14ac:dyDescent="0.25">
      <c r="A270" s="24">
        <f t="shared" si="3"/>
        <v>25.700000000000095</v>
      </c>
      <c r="B270" s="16">
        <f t="array" ref="B270:D270">B269:D269+$P$1/6*(E269:G269+2*H269:J269+2*K269:M269+N269:P269)</f>
        <v>-0.30379527083247787</v>
      </c>
      <c r="C270" s="11">
        <v>-0.26220026121849954</v>
      </c>
      <c r="D270" s="11">
        <v>-9.6505441058747712E-2</v>
      </c>
      <c r="E270" s="16">
        <f t="array" ref="E270:G270">TRANSPOSE(MMULT($I$4:$K$6,TRANSPOSE(B270:D270)))</f>
        <v>0.33118196472524641</v>
      </c>
      <c r="F270" s="17">
        <v>-8.9042163442593039E-2</v>
      </c>
      <c r="G270" s="20">
        <v>4.0990392116622129E-2</v>
      </c>
      <c r="H270" s="16">
        <f t="array" ref="H270:J270">TRANSPOSE(MMULT($I$4:$K$6,TRANSPOSE(B270:D270+$P$1/2*E270:G270)))</f>
        <v>0.3331583552314174</v>
      </c>
      <c r="I270" s="17">
        <v>-8.311260366737018E-2</v>
      </c>
      <c r="J270" s="20">
        <v>4.234173432148608E-2</v>
      </c>
      <c r="K270" s="16">
        <f t="array" ref="K270:M270">TRANSPOSE(MMULT($I$4:$K$6,TRANSPOSE(B270:D270+$P$1/2*H270:J270)))</f>
        <v>0.3328249684460281</v>
      </c>
      <c r="L270" s="17">
        <v>-8.3095764183812315E-2</v>
      </c>
      <c r="M270" s="20">
        <v>4.228800155652937E-2</v>
      </c>
      <c r="N270" s="16">
        <f t="array" ref="N270:P270">TRANSPOSE(MMULT($I$4:$K$6,TRANSPOSE(B270:D270+$P$1*K270:M270)))</f>
        <v>0.33447177139690615</v>
      </c>
      <c r="O270" s="17">
        <v>-7.7160885073400867E-2</v>
      </c>
      <c r="P270" s="20">
        <v>4.3584282858257377E-2</v>
      </c>
    </row>
    <row r="271" spans="1:16" x14ac:dyDescent="0.25">
      <c r="A271" s="24">
        <f t="shared" ref="A271:A300" si="4">A270+$P$1</f>
        <v>25.800000000000097</v>
      </c>
      <c r="B271" s="16">
        <f t="array" ref="B271:D271">B270:D270+$P$1/6*(E270:G270+2*H270:J270+2*K270:M270+N270:P270)</f>
        <v>-0.27050159777452715</v>
      </c>
      <c r="C271" s="11">
        <v>-0.2705105909554722</v>
      </c>
      <c r="D271" s="11">
        <v>-9.2274871946565876E-2</v>
      </c>
      <c r="E271" s="16">
        <f t="array" ref="E271:G271">TRANSPOSE(MMULT($I$4:$K$6,TRANSPOSE(B271:D271)))</f>
        <v>0.33447069951155128</v>
      </c>
      <c r="F271" s="17">
        <v>-7.7157012304266442E-2</v>
      </c>
      <c r="G271" s="20">
        <v>4.3584764210769886E-2</v>
      </c>
      <c r="H271" s="16">
        <f t="array" ref="H271:J271">TRANSPOSE(MMULT($I$4:$K$6,TRANSPOSE(B271:D271+$P$1/2*E271:G271)))</f>
        <v>0.33578450134499144</v>
      </c>
      <c r="I271" s="17">
        <v>-7.1205225032177397E-2</v>
      </c>
      <c r="J271" s="20">
        <v>4.4827390007651173E-2</v>
      </c>
      <c r="K271" s="16">
        <f t="array" ref="K271:M271">TRANSPOSE(MMULT($I$4:$K$6,TRANSPOSE(B271:D271+$P$1/2*H271:J271)))</f>
        <v>0.33545549045628215</v>
      </c>
      <c r="L271" s="17">
        <v>-7.1199801127656032E-2</v>
      </c>
      <c r="M271" s="20">
        <v>4.4772444948869415E-2</v>
      </c>
      <c r="N271" s="16">
        <f t="array" ref="N271:P271">TRANSPOSE(MMULT($I$4:$K$6,TRANSPOSE(B271:D271+$P$1*K271:M271)))</f>
        <v>0.33644522692179929</v>
      </c>
      <c r="O271" s="17">
        <v>-6.5253894622249439E-2</v>
      </c>
      <c r="P271" s="20">
        <v>4.5959029127263899E-2</v>
      </c>
    </row>
    <row r="272" spans="1:16" x14ac:dyDescent="0.25">
      <c r="A272" s="24">
        <f t="shared" si="4"/>
        <v>25.900000000000098</v>
      </c>
      <c r="B272" s="16">
        <f t="array" ref="B272:D272">B271:D271+$P$1/6*(E271:G271+2*H271:J271+2*K271:M271+N271:P271)</f>
        <v>-0.23694499927392884</v>
      </c>
      <c r="C272" s="11">
        <v>-0.27763094027624191</v>
      </c>
      <c r="D272" s="11">
        <v>-8.7795814225714627E-2</v>
      </c>
      <c r="E272" s="16">
        <f t="array" ref="E272:G272">TRANSPOSE(MMULT($I$4:$K$6,TRANSPOSE(B272:D272)))</f>
        <v>0.33644376589392061</v>
      </c>
      <c r="F272" s="17">
        <v>-6.5250087338754273E-2</v>
      </c>
      <c r="G272" s="20">
        <v>4.5959433176453693E-2</v>
      </c>
      <c r="H272" s="16">
        <f t="array" ref="H272:J272">TRANSPOSE(MMULT($I$4:$K$6,TRANSPOSE(B272:D272+$P$1/2*E272:G272)))</f>
        <v>0.33710486276785967</v>
      </c>
      <c r="I272" s="17">
        <v>-5.929867570944973E-2</v>
      </c>
      <c r="J272" s="20">
        <v>4.709114926390897E-2</v>
      </c>
      <c r="K272" s="16">
        <f t="array" ref="K272:M272">TRANSPOSE(MMULT($I$4:$K$6,TRANSPOSE(B272:D272+$P$1/2*H272:J272)))</f>
        <v>0.33678135238027562</v>
      </c>
      <c r="L272" s="17">
        <v>-5.9304433168759205E-2</v>
      </c>
      <c r="M272" s="20">
        <v>4.7035223016646296E-2</v>
      </c>
      <c r="N272" s="16">
        <f t="array" ref="N272:P272">TRANSPOSE(MMULT($I$4:$K$6,TRANSPOSE(B272:D272+$P$1*K272:M272)))</f>
        <v>0.33712498676632796</v>
      </c>
      <c r="O272" s="17">
        <v>-5.3369831002960569E-2</v>
      </c>
      <c r="P272" s="20">
        <v>4.81101467887321E-2</v>
      </c>
    </row>
    <row r="273" spans="1:16" x14ac:dyDescent="0.25">
      <c r="A273" s="24">
        <f t="shared" si="4"/>
        <v>26.000000000000099</v>
      </c>
      <c r="B273" s="16">
        <f t="array" ref="B273:D273">B272:D272+$P$1/6*(E272:G272+2*H272:J272+2*K272:M272+N272:P272)</f>
        <v>-0.20325597955798685</v>
      </c>
      <c r="C273" s="11">
        <v>-0.28356137587787744</v>
      </c>
      <c r="D273" s="11">
        <v>-8.3090442150276361E-2</v>
      </c>
      <c r="E273" s="16">
        <f t="array" ref="E273:G273">TRANSPOSE(MMULT($I$4:$K$6,TRANSPOSE(B273:D273)))</f>
        <v>0.33712315069378668</v>
      </c>
      <c r="F273" s="17">
        <v>-5.3366101888075695E-2</v>
      </c>
      <c r="G273" s="20">
        <v>4.8110473756236533E-2</v>
      </c>
      <c r="H273" s="16">
        <f t="array" ref="H273:J273">TRANSPOSE(MMULT($I$4:$K$6,TRANSPOSE(B273:D273+$P$1/2*E273:G273)))</f>
        <v>0.33714363055959684</v>
      </c>
      <c r="I273" s="17">
        <v>-4.7437164002086446E-2</v>
      </c>
      <c r="J273" s="20">
        <v>4.9129547677250654E-2</v>
      </c>
      <c r="K273" s="16">
        <f t="array" ref="K273:M273">TRANSPOSE(MMULT($I$4:$K$6,TRANSPOSE(B273:D273+$P$1/2*H273:J273)))</f>
        <v>0.33682669978754798</v>
      </c>
      <c r="L273" s="17">
        <v>-4.745383229572496E-2</v>
      </c>
      <c r="M273" s="20">
        <v>4.9072869841972053E-2</v>
      </c>
      <c r="N273" s="16">
        <f t="array" ref="N273:P273">TRANSPOSE(MMULT($I$4:$K$6,TRANSPOSE(B273:D273+$P$1*K273:M273)))</f>
        <v>0.3365373521318048</v>
      </c>
      <c r="O273" s="17">
        <v>-4.1552326617916024E-2</v>
      </c>
      <c r="P273" s="20">
        <v>5.0034628432381739E-2</v>
      </c>
    </row>
    <row r="274" spans="1:16" x14ac:dyDescent="0.25">
      <c r="A274" s="24">
        <f t="shared" si="4"/>
        <v>26.100000000000101</v>
      </c>
      <c r="B274" s="16">
        <f t="array" ref="B274:D274">B273:D273+$P$1/6*(E273:G273+2*H273:J273+2*K273:M273+N273:P273)</f>
        <v>-0.16956262683265549</v>
      </c>
      <c r="C274" s="11">
        <v>-0.28830638289623767</v>
      </c>
      <c r="D274" s="11">
        <v>-7.8181276529825303E-2</v>
      </c>
      <c r="E274" s="16">
        <f t="array" ref="E274:G274">TRANSPOSE(MMULT($I$4:$K$6,TRANSPOSE(B274:D274)))</f>
        <v>0.33653515619143337</v>
      </c>
      <c r="F274" s="17">
        <v>-4.1548687781653493E-2</v>
      </c>
      <c r="G274" s="20">
        <v>5.0034878821218952E-2</v>
      </c>
      <c r="H274" s="16">
        <f t="array" ref="H274:J274">TRANSPOSE(MMULT($I$4:$K$6,TRANSPOSE(B274:D274+$P$1/2*E274:G274)))</f>
        <v>0.33592921722313451</v>
      </c>
      <c r="I274" s="17">
        <v>-3.5663745870469804E-2</v>
      </c>
      <c r="J274" s="20">
        <v>5.094003512985399E-2</v>
      </c>
      <c r="K274" s="16">
        <f t="array" ref="K274:M274">TRANSPOSE(MMULT($I$4:$K$6,TRANSPOSE(B274:D274+$P$1/2*H274:J274)))</f>
        <v>0.33561989669624415</v>
      </c>
      <c r="L274" s="17">
        <v>-3.5691019968675242E-2</v>
      </c>
      <c r="M274" s="20">
        <v>5.0882832982828072E-2</v>
      </c>
      <c r="N274" s="16">
        <f t="array" ref="N274:P274">TRANSPOSE(MMULT($I$4:$K$6,TRANSPOSE(B274:D274+$P$1*K274:M274)))</f>
        <v>0.33471274590202532</v>
      </c>
      <c r="O274" s="17">
        <v>-2.9843794417332009E-2</v>
      </c>
      <c r="P274" s="20">
        <v>5.1730375496798389E-2</v>
      </c>
    </row>
    <row r="275" spans="1:16" x14ac:dyDescent="0.25">
      <c r="A275" s="24">
        <f t="shared" si="4"/>
        <v>26.200000000000102</v>
      </c>
      <c r="B275" s="16">
        <f t="array" ref="B275:D275">B274:D274+$P$1/6*(E274:G274+2*H274:J274+2*K274:M274+N274:P274)</f>
        <v>-0.13599019133378523</v>
      </c>
      <c r="C275" s="11">
        <v>-0.29187474979419226</v>
      </c>
      <c r="D275" s="11">
        <v>-7.3091093354102285E-2</v>
      </c>
      <c r="E275" s="16">
        <f t="array" ref="E275:G275">TRANSPOSE(MMULT($I$4:$K$6,TRANSPOSE(B275:D275)))</f>
        <v>0.33471020626921166</v>
      </c>
      <c r="F275" s="17">
        <v>-2.9840257364529013E-2</v>
      </c>
      <c r="G275" s="20">
        <v>5.1730550083229083E-2</v>
      </c>
      <c r="H275" s="16">
        <f t="array" ref="H275:J275">TRANSPOSE(MMULT($I$4:$K$6,TRANSPOSE(B275:D275+$P$1/2*E275:G275)))</f>
        <v>0.33349405710442753</v>
      </c>
      <c r="I275" s="17">
        <v>-2.4020190677975131E-2</v>
      </c>
      <c r="J275" s="20">
        <v>5.2520964899124278E-2</v>
      </c>
      <c r="K275" s="16">
        <f t="array" ref="K275:M275">TRANSPOSE(MMULT($I$4:$K$6,TRANSPOSE(B275:D275+$P$1/2*H275:J275)))</f>
        <v>0.33319332621960585</v>
      </c>
      <c r="L275" s="17">
        <v>-2.4057732952491431E-2</v>
      </c>
      <c r="M275" s="20">
        <v>5.2463462599995118E-2</v>
      </c>
      <c r="N275" s="16">
        <f t="array" ref="N275:P275">TRANSPOSE(MMULT($I$4:$K$6,TRANSPOSE(B275:D275+$P$1*K275:M275)))</f>
        <v>0.331685507798265</v>
      </c>
      <c r="O275" s="17">
        <v>-1.8285297528564448E-2</v>
      </c>
      <c r="P275" s="20">
        <v>5.3196185813526677E-2</v>
      </c>
    </row>
    <row r="276" spans="1:16" x14ac:dyDescent="0.25">
      <c r="A276" s="24">
        <f t="shared" si="4"/>
        <v>26.300000000000104</v>
      </c>
      <c r="B276" s="16">
        <f t="array" ref="B276:D276">B275:D275+$P$1/6*(E275:G275+2*H275:J275+2*K275:M275+N275:P275)</f>
        <v>-0.10266068332185951</v>
      </c>
      <c r="C276" s="11">
        <v>-0.29427943983009269</v>
      </c>
      <c r="D276" s="11">
        <v>-6.7842833505852379E-2</v>
      </c>
      <c r="E276" s="16">
        <f t="array" ref="E276:G276">TRANSPOSE(MMULT($I$4:$K$6,TRANSPOSE(B276:D276)))</f>
        <v>0.33168264156461963</v>
      </c>
      <c r="F276" s="17">
        <v>-1.8281873129633253E-2</v>
      </c>
      <c r="G276" s="20">
        <v>5.3196285638082333E-2</v>
      </c>
      <c r="H276" s="16">
        <f t="array" ref="H276:J276">TRANSPOSE(MMULT($I$4:$K$6,TRANSPOSE(B276:D276+$P$1/2*E276:G276)))</f>
        <v>0.32987439630051651</v>
      </c>
      <c r="I276" s="17">
        <v>-1.2546854706997665E-2</v>
      </c>
      <c r="J276" s="20">
        <v>5.3871579644954037E-2</v>
      </c>
      <c r="K276" s="16">
        <f t="array" ref="K276:M276">TRANSPOSE(MMULT($I$4:$K$6,TRANSPOSE(B276:D276+$P$1/2*H276:J276)))</f>
        <v>0.3295831807255678</v>
      </c>
      <c r="L276" s="17">
        <v>-1.2594296911552824E-2</v>
      </c>
      <c r="M276" s="20">
        <v>5.3813997473546787E-2</v>
      </c>
      <c r="N276" s="16">
        <f t="array" ref="N276:P276">TRANSPOSE(MMULT($I$4:$K$6,TRANSPOSE(B276:D276+$P$1*K276:M276)))</f>
        <v>0.32749367954957731</v>
      </c>
      <c r="O276" s="17">
        <v>-6.916426804244119E-3</v>
      </c>
      <c r="P276" s="20">
        <v>5.4431738099062113E-2</v>
      </c>
    </row>
    <row r="277" spans="1:16" x14ac:dyDescent="0.25">
      <c r="A277" s="24">
        <f t="shared" si="4"/>
        <v>26.400000000000105</v>
      </c>
      <c r="B277" s="16">
        <f t="array" ref="B277:D277">B276:D276+$P$1/6*(E276:G276+2*H276:J276+2*K276:M276+N276:P276)</f>
        <v>-6.9692492069086759E-2</v>
      </c>
      <c r="C277" s="11">
        <v>-0.29553744988294234</v>
      </c>
      <c r="D277" s="11">
        <v>-6.2459513872949943E-2</v>
      </c>
      <c r="E277" s="16">
        <f t="array" ref="E277:G277">TRANSPOSE(MMULT($I$4:$K$6,TRANSPOSE(B277:D277)))</f>
        <v>0.32749050463903095</v>
      </c>
      <c r="F277" s="17">
        <v>-6.9131252689302036E-3</v>
      </c>
      <c r="G277" s="20">
        <v>5.4431764456791439E-2</v>
      </c>
      <c r="H277" s="16">
        <f t="array" ref="H277:J277">TRANSPOSE(MMULT($I$4:$K$6,TRANSPOSE(B277:D277+$P$1/2*E277:G277)))</f>
        <v>0.32511007309014656</v>
      </c>
      <c r="I277" s="17">
        <v>-1.2825627421765989E-3</v>
      </c>
      <c r="J277" s="20">
        <v>5.499199440561111E-2</v>
      </c>
      <c r="K277" s="16">
        <f t="array" ref="K277:M277">TRANSPOSE(MMULT($I$4:$K$6,TRANSPOSE(B277:D277+$P$1/2*H277:J277)))</f>
        <v>0.32482924252257689</v>
      </c>
      <c r="L277" s="17">
        <v>-1.339508062562042E-3</v>
      </c>
      <c r="M277" s="20">
        <v>5.4934548030154524E-2</v>
      </c>
      <c r="N277" s="16">
        <f t="array" ref="N277:P277">TRANSPOSE(MMULT($I$4:$K$6,TRANSPOSE(B277:D277+$P$1*K277:M277)))</f>
        <v>0.32217878109885523</v>
      </c>
      <c r="O277" s="17">
        <v>4.2248134323599751E-3</v>
      </c>
      <c r="P277" s="20">
        <v>5.5437573520352647E-2</v>
      </c>
    </row>
    <row r="278" spans="1:16" x14ac:dyDescent="0.25">
      <c r="A278" s="24">
        <f t="shared" si="4"/>
        <v>26.500000000000107</v>
      </c>
      <c r="B278" s="16">
        <f t="array" ref="B278:D278">B277:D277+$P$1/6*(E277:G277+2*H277:J277+2*K277:M277+N277:P277)</f>
        <v>-3.720002678636454E-2</v>
      </c>
      <c r="C278" s="11">
        <v>-0.29566965744037649</v>
      </c>
      <c r="D278" s="11">
        <v>-5.6964140158805354E-2</v>
      </c>
      <c r="E278" s="16">
        <f t="array" ref="E278:G278">TRANSPOSE(MMULT($I$4:$K$6,TRANSPOSE(B278:D278)))</f>
        <v>0.32217531618253509</v>
      </c>
      <c r="F278" s="17">
        <v>4.2279825781808E-3</v>
      </c>
      <c r="G278" s="20">
        <v>5.5437527950339974E-2</v>
      </c>
      <c r="H278" s="16">
        <f t="array" ref="H278:J278">TRANSPOSE(MMULT($I$4:$K$6,TRANSPOSE(B278:D278+$P$1/2*E278:G278)))</f>
        <v>0.31924428991370657</v>
      </c>
      <c r="I278" s="17">
        <v>9.7355020190785652E-3</v>
      </c>
      <c r="J278" s="20">
        <v>5.5883176732070147E-2</v>
      </c>
      <c r="K278" s="16">
        <f t="array" ref="K278:M278">TRANSPOSE(MMULT($I$4:$K$6,TRANSPOSE(B278:D278+$P$1/2*H278:J278)))</f>
        <v>0.31897465609737125</v>
      </c>
      <c r="L278" s="17">
        <v>9.6694768544933057E-3</v>
      </c>
      <c r="M278" s="20">
        <v>5.5826076510854458E-2</v>
      </c>
      <c r="N278" s="16">
        <f t="array" ref="N278:P278">TRANSPOSE(MMULT($I$4:$K$6,TRANSPOSE(B278:D278+$P$1*K278:M278)))</f>
        <v>0.31578557887567787</v>
      </c>
      <c r="O278" s="17">
        <v>1.5102111203001187E-2</v>
      </c>
      <c r="P278" s="20">
        <v>5.6215074467492972E-2</v>
      </c>
    </row>
    <row r="279" spans="1:16" x14ac:dyDescent="0.25">
      <c r="A279" s="24">
        <f t="shared" si="4"/>
        <v>26.600000000000108</v>
      </c>
      <c r="B279" s="16">
        <f t="array" ref="B279:D279">B278:D278+$P$1/6*(E278:G278+2*H278:J278+2*K278:M278+N278:P278)</f>
        <v>-5.2933803350250636E-3</v>
      </c>
      <c r="C279" s="11">
        <v>-0.29470065658157107</v>
      </c>
      <c r="D279" s="11">
        <v>-5.1379621677077318E-2</v>
      </c>
      <c r="E279" s="16">
        <f t="array" ref="E279:G279">TRANSPOSE(MMULT($I$4:$K$6,TRANSPOSE(B279:D279)))</f>
        <v>0.31578184328590453</v>
      </c>
      <c r="F279" s="17">
        <v>1.5105139137468721E-2</v>
      </c>
      <c r="G279" s="20">
        <v>5.6214958741703729E-2</v>
      </c>
      <c r="H279" s="16">
        <f t="array" ref="H279:J279">TRANSPOSE(MMULT($I$4:$K$6,TRANSPOSE(B279:D279+$P$1/2*E279:G279)))</f>
        <v>0.31232337793776743</v>
      </c>
      <c r="I279" s="17">
        <v>2.0471899505382612E-2</v>
      </c>
      <c r="J279" s="20">
        <v>5.6546924098340112E-2</v>
      </c>
      <c r="K279" s="16">
        <f t="array" ref="K279:M279">TRANSPOSE(MMULT($I$4:$K$6,TRANSPOSE(B279:D279+$P$1/2*H279:J279)))</f>
        <v>0.31206569293897973</v>
      </c>
      <c r="L279" s="17">
        <v>2.0397242063885754E-2</v>
      </c>
      <c r="M279" s="20">
        <v>5.6490374416659009E-2</v>
      </c>
      <c r="N279" s="16">
        <f t="array" ref="N279:P279">TRANSPOSE(MMULT($I$4:$K$6,TRANSPOSE(B279:D279+$P$1*K279:M279)))</f>
        <v>0.30836184717345971</v>
      </c>
      <c r="O279" s="17">
        <v>2.568094404612678E-2</v>
      </c>
      <c r="P279" s="20">
        <v>5.6766440674689653E-2</v>
      </c>
    </row>
    <row r="280" spans="1:16" x14ac:dyDescent="0.25">
      <c r="A280" s="24">
        <f t="shared" si="4"/>
        <v>26.700000000000109</v>
      </c>
      <c r="B280" s="16">
        <f t="array" ref="B280:D280">B279:D279+$P$1/6*(E279:G279+2*H279:J279+2*K279:M279+N279:P279)</f>
        <v>2.5921983535189246E-2</v>
      </c>
      <c r="C280" s="11">
        <v>-0.29265858380953552</v>
      </c>
      <c r="D280" s="11">
        <v>-4.5728688402970792E-2</v>
      </c>
      <c r="E280" s="16">
        <f t="array" ref="E280:G280">TRANSPOSE(MMULT($I$4:$K$6,TRANSPOSE(B280:D280)))</f>
        <v>0.3083578608172049</v>
      </c>
      <c r="F280" s="17">
        <v>2.5683822668478198E-2</v>
      </c>
      <c r="G280" s="20">
        <v>5.6766256786199357E-2</v>
      </c>
      <c r="H280" s="16">
        <f t="array" ref="H280:J280">TRANSPOSE(MMULT($I$4:$K$6,TRANSPOSE(B280:D280+$P$1/2*E280:G280)))</f>
        <v>0.30439655524397097</v>
      </c>
      <c r="I280" s="17">
        <v>3.0893025572851146E-2</v>
      </c>
      <c r="J280" s="20">
        <v>5.6985838732392949E-2</v>
      </c>
      <c r="K280" s="16">
        <f t="array" ref="K280:M280">TRANSPOSE(MMULT($I$4:$K$6,TRANSPOSE(B280:D280+$P$1/2*H280:J280)))</f>
        <v>0.30415150998769463</v>
      </c>
      <c r="L280" s="17">
        <v>3.0810205513547073E-2</v>
      </c>
      <c r="M280" s="20">
        <v>5.6930037376446564E-2</v>
      </c>
      <c r="N280" s="16">
        <f t="array" ref="N280:P280">TRANSPOSE(MMULT($I$4:$K$6,TRANSPOSE(B280:D280+$P$1*K280:M280)))</f>
        <v>0.2999581236709154</v>
      </c>
      <c r="O280" s="17">
        <v>3.5928667376221926E-2</v>
      </c>
      <c r="P280" s="20">
        <v>5.7094662837281498E-2</v>
      </c>
    </row>
    <row r="281" spans="1:16" x14ac:dyDescent="0.25">
      <c r="A281" s="24">
        <f t="shared" si="4"/>
        <v>26.800000000000111</v>
      </c>
      <c r="B281" s="16">
        <f t="array" ref="B281:D281">B280:D280+$P$1/6*(E280:G280+2*H280:J280+2*K280:M280+N280:P280)</f>
        <v>5.63455187843801E-2</v>
      </c>
      <c r="C281" s="11">
        <v>-0.28957493460591061</v>
      </c>
      <c r="D281" s="11">
        <v>-4.0033810538951463E-2</v>
      </c>
      <c r="E281" s="16">
        <f t="array" ref="E281:G281">TRANSPOSE(MMULT($I$4:$K$6,TRANSPOSE(B281:D281)))</f>
        <v>0.29995390694305318</v>
      </c>
      <c r="F281" s="17">
        <v>3.5931389320814466E-2</v>
      </c>
      <c r="G281" s="20">
        <v>5.7094412987945695E-2</v>
      </c>
      <c r="H281" s="16">
        <f t="array" ref="H281:J281">TRANSPOSE(MMULT($I$4:$K$6,TRANSPOSE(B281:D281+$P$1/2*E281:G281)))</f>
        <v>0.29551567968253828</v>
      </c>
      <c r="I281" s="17">
        <v>4.0967195919234201E-2</v>
      </c>
      <c r="J281" s="20">
        <v>5.7203300018658129E-2</v>
      </c>
      <c r="K281" s="16">
        <f t="array" ref="K281:M281">TRANSPOSE(MMULT($I$4:$K$6,TRANSPOSE(B281:D281+$P$1/2*H281:J281)))</f>
        <v>0.29528390274830563</v>
      </c>
      <c r="L281" s="17">
        <v>4.0876702756247982E-2</v>
      </c>
      <c r="M281" s="20">
        <v>5.7148437587918946E-2</v>
      </c>
      <c r="N281" s="16">
        <f t="array" ref="N281:P281">TRANSPOSE(MMULT($I$4:$K$6,TRANSPOSE(B281:D281+$P$1*K281:M281)))</f>
        <v>0.29062746013642854</v>
      </c>
      <c r="O281" s="17">
        <v>4.5814593898972827E-2</v>
      </c>
      <c r="P281" s="20">
        <v>5.7203493878607417E-2</v>
      </c>
    </row>
    <row r="282" spans="1:16" x14ac:dyDescent="0.25">
      <c r="A282" s="24">
        <f t="shared" si="4"/>
        <v>26.900000000000112</v>
      </c>
      <c r="B282" s="16">
        <f t="array" ref="B282:D282">B281:D281+$P$1/6*(E281:G281+2*H281:J281+2*K281:M281+N281:P281)</f>
        <v>8.5881860983399588E-2</v>
      </c>
      <c r="C282" s="11">
        <v>-0.28548437159639806</v>
      </c>
      <c r="D282" s="11">
        <v>-3.4317120837623005E-2</v>
      </c>
      <c r="E282" s="16">
        <f t="array" ref="E282:G282">TRANSPOSE(MMULT($I$4:$K$6,TRANSPOSE(B282:D282)))</f>
        <v>0.29062303383310734</v>
      </c>
      <c r="F282" s="17">
        <v>4.5817152546263423E-2</v>
      </c>
      <c r="G282" s="20">
        <v>5.720318046623088E-2</v>
      </c>
      <c r="H282" s="16">
        <f t="array" ref="H282:J282">TRANSPOSE(MMULT($I$4:$K$6,TRANSPOSE(B282:D282+$P$1/2*E282:G282)))</f>
        <v>0.28573499742730396</v>
      </c>
      <c r="I282" s="17">
        <v>5.0664720997036186E-2</v>
      </c>
      <c r="J282" s="20">
        <v>5.7203434628704156E-2</v>
      </c>
      <c r="K282" s="16">
        <f t="array" ref="K282:M282">TRANSPOSE(MMULT($I$4:$K$6,TRANSPOSE(B282:D282+$P$1/2*H282:J282)))</f>
        <v>0.28551705410354489</v>
      </c>
      <c r="L282" s="17">
        <v>5.0567061838807201E-2</v>
      </c>
      <c r="M282" s="20">
        <v>5.7149693988071681E-2</v>
      </c>
      <c r="N282" s="16">
        <f t="array" ref="N282:P282">TRANSPOSE(MMULT($I$4:$K$6,TRANSPOSE(B282:D282+$P$1*K282:M282)))</f>
        <v>0.28042516934866829</v>
      </c>
      <c r="O282" s="17">
        <v>5.5310063986556524E-2</v>
      </c>
      <c r="P282" s="20">
        <v>5.7097418025816998E-2</v>
      </c>
    </row>
    <row r="283" spans="1:16" x14ac:dyDescent="0.25">
      <c r="A283" s="24">
        <f t="shared" si="4"/>
        <v>27.000000000000114</v>
      </c>
      <c r="B283" s="16">
        <f t="array" ref="B283:D283">B282:D282+$P$1/6*(E282:G282+2*H282:J282+2*K282:M282+N282:P282)</f>
        <v>0.11444106608745748</v>
      </c>
      <c r="C283" s="11">
        <v>-0.28042452522632294</v>
      </c>
      <c r="D283" s="11">
        <v>-2.8600339908863015E-2</v>
      </c>
      <c r="E283" s="16">
        <f t="array" ref="E283:G283">TRANSPOSE(MMULT($I$4:$K$6,TRANSPOSE(B283:D283)))</f>
        <v>0.28042055458112242</v>
      </c>
      <c r="F283" s="17">
        <v>5.5312453471065517E-2</v>
      </c>
      <c r="G283" s="20">
        <v>5.7097043630880973E-2</v>
      </c>
      <c r="H283" s="16">
        <f t="array" ref="H283:J283">TRANSPOSE(MMULT($I$4:$K$6,TRANSPOSE(B283:D283+$P$1/2*E283:G283)))</f>
        <v>0.27511088826204588</v>
      </c>
      <c r="I283" s="17">
        <v>5.9957971847919483E-2</v>
      </c>
      <c r="J283" s="20">
        <v>5.6991084541677083E-2</v>
      </c>
      <c r="K283" s="16">
        <f t="array" ref="K283:M283">TRANSPOSE(MMULT($I$4:$K$6,TRANSPOSE(B283:D283+$P$1/2*H283:J283)))</f>
        <v>0.27490727985658264</v>
      </c>
      <c r="L283" s="17">
        <v>5.9853669121514158E-2</v>
      </c>
      <c r="M283" s="20">
        <v>5.6938640314569654E-2</v>
      </c>
      <c r="N283" s="16">
        <f t="array" ref="N283:P283">TRANSPOSE(MMULT($I$4:$K$6,TRANSPOSE(B283:D283+$P$1*K283:M283)))</f>
        <v>0.26940856925782236</v>
      </c>
      <c r="O283" s="17">
        <v>6.438850695307588E-2</v>
      </c>
      <c r="P283" s="20">
        <v>5.6781617858312622E-2</v>
      </c>
    </row>
    <row r="284" spans="1:16" x14ac:dyDescent="0.25">
      <c r="A284" s="24">
        <f t="shared" si="4"/>
        <v>27.100000000000115</v>
      </c>
      <c r="B284" s="16">
        <f t="array" ref="B284:D284">B283:D283+$P$1/6*(E283:G283+2*H283:J283+2*K283:M283+N283:P283)</f>
        <v>0.14193882375539418</v>
      </c>
      <c r="C284" s="11">
        <v>-0.27443578785360612</v>
      </c>
      <c r="D284" s="11">
        <v>-2.2904704722168229E-2</v>
      </c>
      <c r="E284" s="16">
        <f t="array" ref="E284:G284">TRANSPOSE(MMULT($I$4:$K$6,TRANSPOSE(B284:D284)))</f>
        <v>0.26940378736693399</v>
      </c>
      <c r="F284" s="17">
        <v>6.4390722168372189E-2</v>
      </c>
      <c r="G284" s="20">
        <v>5.6781185230319192E-2</v>
      </c>
      <c r="H284" s="16">
        <f t="array" ref="H284:J284">TRANSPOSE(MMULT($I$4:$K$6,TRANSPOSE(B284:D284+$P$1/2*E284:G284)))</f>
        <v>0.26370160861707431</v>
      </c>
      <c r="I284" s="17">
        <v>6.8821436816141696E-2</v>
      </c>
      <c r="J284" s="20">
        <v>5.6571773120304203E-2</v>
      </c>
      <c r="K284" s="16">
        <f t="array" ref="K284:M284">TRANSPOSE(MMULT($I$4:$K$6,TRANSPOSE(B284:D284+$P$1/2*H284:J284)))</f>
        <v>0.26351277202063544</v>
      </c>
      <c r="L284" s="17">
        <v>6.8711025985372307E-2</v>
      </c>
      <c r="M284" s="20">
        <v>5.6520791223658579E-2</v>
      </c>
      <c r="N284" s="16">
        <f t="array" ref="N284:P284">TRANSPOSE(MMULT($I$4:$K$6,TRANSPOSE(B284:D284+$P$1*K284:M284)))</f>
        <v>0.25763672539924404</v>
      </c>
      <c r="O284" s="17">
        <v>7.3025493205295194E-2</v>
      </c>
      <c r="P284" s="20">
        <v>5.6261939496395297E-2</v>
      </c>
    </row>
    <row r="285" spans="1:16" x14ac:dyDescent="0.25">
      <c r="A285" s="24">
        <f t="shared" si="4"/>
        <v>27.200000000000117</v>
      </c>
      <c r="B285" s="16">
        <f t="array" ref="B285:D285">B284:D284+$P$1/6*(E284:G284+2*H284:J284+2*K284:M284+N284:P284)</f>
        <v>0.16829664498942082</v>
      </c>
      <c r="C285" s="11">
        <v>-0.2675611021706612</v>
      </c>
      <c r="D285" s="11">
        <v>-1.7250900498590894E-2</v>
      </c>
      <c r="E285" s="16">
        <f t="array" ref="E285:G285">TRANSPOSE(MMULT($I$4:$K$6,TRANSPOSE(B285:D285)))</f>
        <v>0.25763179787115548</v>
      </c>
      <c r="F285" s="17">
        <v>7.3027529806050956E-2</v>
      </c>
      <c r="G285" s="20">
        <v>5.6261451539888291E-2</v>
      </c>
      <c r="H285" s="16">
        <f t="array" ref="H285:J285">TRANSPOSE(MMULT($I$4:$K$6,TRANSPOSE(B285:D285+$P$1/2*E285:G285)))</f>
        <v>0.25156703336069941</v>
      </c>
      <c r="I285" s="17">
        <v>7.7231769133599443E-2</v>
      </c>
      <c r="J285" s="20">
        <v>5.5951669411799375E-2</v>
      </c>
      <c r="K285" s="16">
        <f t="array" ref="K285:M285">TRANSPOSE(MMULT($I$4:$K$6,TRANSPOSE(B285:D285+$P$1/2*H285:J285)))</f>
        <v>0.25139334085943599</v>
      </c>
      <c r="L285" s="17">
        <v>7.711579641956301E-2</v>
      </c>
      <c r="M285" s="20">
        <v>5.5902306633771714E-2</v>
      </c>
      <c r="N285" s="16">
        <f t="array" ref="N285:P285">TRANSPOSE(MMULT($I$4:$K$6,TRANSPOSE(B285:D285+$P$1*K285:M285)))</f>
        <v>0.24517019255525396</v>
      </c>
      <c r="O285" s="17">
        <v>8.1198777278280621E-2</v>
      </c>
      <c r="P285" s="20">
        <v>5.5544856100860705E-2</v>
      </c>
    </row>
    <row r="286" spans="1:16" x14ac:dyDescent="0.25">
      <c r="A286" s="24">
        <f t="shared" si="4"/>
        <v>27.300000000000118</v>
      </c>
      <c r="B286" s="16">
        <f t="array" ref="B286:D286">B285:D285+$P$1/6*(E285:G285+2*H285:J285+2*K285:M285+N285:P285)</f>
        <v>0.19344202397053217</v>
      </c>
      <c r="C286" s="11">
        <v>-0.25984574486748357</v>
      </c>
      <c r="D286" s="11">
        <v>-1.1658996169726042E-2</v>
      </c>
      <c r="E286" s="16">
        <f t="array" ref="E286:G286">TRANSPOSE(MMULT($I$4:$K$6,TRANSPOSE(B286:D286)))</f>
        <v>0.24516514093832076</v>
      </c>
      <c r="F286" s="17">
        <v>8.1200631679452948E-2</v>
      </c>
      <c r="G286" s="20">
        <v>5.554431586118215E-2</v>
      </c>
      <c r="H286" s="16">
        <f t="array" ref="H286:J286">TRANSPOSE(MMULT($I$4:$K$6,TRANSPOSE(B286:D286+$P$1/2*E286:G286)))</f>
        <v>0.23876839733243285</v>
      </c>
      <c r="I286" s="17">
        <v>8.5167825403122843E-2</v>
      </c>
      <c r="J286" s="20">
        <v>5.5137550845826798E-2</v>
      </c>
      <c r="K286" s="16">
        <f t="array" ref="K286:M286">TRANSPOSE(MMULT($I$4:$K$6,TRANSPOSE(B286:D286+$P$1/2*H286:J286)))</f>
        <v>0.23861015666458593</v>
      </c>
      <c r="L286" s="17">
        <v>8.5046845515573025E-2</v>
      </c>
      <c r="M286" s="20">
        <v>5.5089954466812016E-2</v>
      </c>
      <c r="N286" s="16">
        <f t="array" ref="N286:P286">TRANSPOSE(MMULT($I$4:$K$6,TRANSPOSE(B286:D286+$P$1*K286:M286)))</f>
        <v>0.23207075664144516</v>
      </c>
      <c r="O286" s="17">
        <v>8.8888331799191811E-2</v>
      </c>
      <c r="P286" s="20">
        <v>5.4637429856761524E-2</v>
      </c>
    </row>
    <row r="287" spans="1:16" x14ac:dyDescent="0.25">
      <c r="A287" s="24">
        <f t="shared" si="4"/>
        <v>27.400000000000119</v>
      </c>
      <c r="B287" s="16">
        <f t="array" ref="B287:D287">B286:D286+$P$1/6*(E286:G286+2*H286:J286+2*K286:M286+N286:P286)</f>
        <v>0.21730857406342891</v>
      </c>
      <c r="C287" s="11">
        <v>-0.25133710644554963</v>
      </c>
      <c r="D287" s="11">
        <v>-6.148383564005688E-3</v>
      </c>
      <c r="E287" s="16">
        <f t="array" ref="E287:G287">TRANSPOSE(MMULT($I$4:$K$6,TRANSPOSE(B287:D287)))</f>
        <v>0.23206560246480901</v>
      </c>
      <c r="F287" s="17">
        <v>8.8890001172398772E-2</v>
      </c>
      <c r="G287" s="20">
        <v>5.4636840505602469E-2</v>
      </c>
      <c r="H287" s="16">
        <f t="array" ref="H287:J287">TRANSPOSE(MMULT($I$4:$K$6,TRANSPOSE(B287:D287+$P$1/2*E287:G287)))</f>
        <v>0.22536803758375298</v>
      </c>
      <c r="I287" s="17">
        <v>9.2610695039880758E-2</v>
      </c>
      <c r="J287" s="20">
        <v>5.4136764503798035E-2</v>
      </c>
      <c r="K287" s="16">
        <f t="array" ref="K287:M287">TRANSPOSE(MMULT($I$4:$K$6,TRANSPOSE(B287:D287+$P$1/2*H287:J287)))</f>
        <v>0.22522549223482025</v>
      </c>
      <c r="L287" s="17">
        <v>9.2485268927618519E-2</v>
      </c>
      <c r="M287" s="20">
        <v>5.4091071961210213E-2</v>
      </c>
      <c r="N287" s="16">
        <f t="array" ref="N287:P287">TRANSPOSE(MMULT($I$4:$K$6,TRANSPOSE(B287:D287+$P$1*K287:M287)))</f>
        <v>0.21840117777125054</v>
      </c>
      <c r="O287" s="17">
        <v>9.6076372455206518E-2</v>
      </c>
      <c r="P287" s="20">
        <v>5.3547272616322604E-2</v>
      </c>
    </row>
    <row r="288" spans="1:16" x14ac:dyDescent="0.25">
      <c r="A288" s="24">
        <f t="shared" si="4"/>
        <v>27.500000000000121</v>
      </c>
      <c r="B288" s="16">
        <f t="array" ref="B288:D288">B287:D287+$P$1/6*(E287:G287+2*H287:J287+2*K287:M287+N287:P287)</f>
        <v>0.23983613806131568</v>
      </c>
      <c r="C288" s="11">
        <v>-0.2420844680861729</v>
      </c>
      <c r="D288" s="11">
        <v>-7.3772046313999584E-4</v>
      </c>
      <c r="E288" s="16">
        <f t="array" ref="E288:G288">TRANSPOSE(MMULT($I$4:$K$6,TRANSPOSE(B288:D288)))</f>
        <v>0.21839594246529734</v>
      </c>
      <c r="F288" s="17">
        <v>9.6077854722373124E-2</v>
      </c>
      <c r="G288" s="20">
        <v>5.3546637437126593E-2</v>
      </c>
      <c r="H288" s="16">
        <f t="array" ref="H288:J288">TRANSPOSE(MMULT($I$4:$K$6,TRANSPOSE(B288:D288+$P$1/2*E288:G288)))</f>
        <v>0.21142913726810966</v>
      </c>
      <c r="I288" s="17">
        <v>9.9543720763008103E-2</v>
      </c>
      <c r="J288" s="20">
        <v>5.2957187135200867E-2</v>
      </c>
      <c r="K288" s="16">
        <f t="array" ref="K288:M288">TRANSPOSE(MMULT($I$4:$K$6,TRANSPOSE(B288:D288+$P$1/2*H288:J288)))</f>
        <v>0.21130246699810237</v>
      </c>
      <c r="L288" s="17">
        <v>9.9414413391223255E-2</v>
      </c>
      <c r="M288" s="20">
        <v>5.2913525732284632E-2</v>
      </c>
      <c r="N288" s="16">
        <f t="array" ref="N288:P288">TRANSPOSE(MMULT($I$4:$K$6,TRANSPOSE(B288:D288+$P$1*K288:M288)))</f>
        <v>0.20422493542690257</v>
      </c>
      <c r="O288" s="17">
        <v>0.10274737407328055</v>
      </c>
      <c r="P288" s="20">
        <v>5.2282505377077737E-2</v>
      </c>
    </row>
    <row r="289" spans="1:16" x14ac:dyDescent="0.25">
      <c r="A289" s="24">
        <f t="shared" si="4"/>
        <v>27.600000000000122</v>
      </c>
      <c r="B289" s="16">
        <f t="array" ref="B289:D289">B288:D288+$P$1/6*(E288:G288+2*H288:J288+2*K288:M288+N288:P288)</f>
        <v>0.26097087283505943</v>
      </c>
      <c r="C289" s="11">
        <v>-0.23213877646777095</v>
      </c>
      <c r="D289" s="11">
        <v>4.5551223460129258E-3</v>
      </c>
      <c r="E289" s="16">
        <f t="array" ref="E289:G289">TRANSPOSE(MMULT($I$4:$K$6,TRANSPOSE(B289:D289)))</f>
        <v>0.20421964024585984</v>
      </c>
      <c r="F289" s="17">
        <v>0.10274866789763942</v>
      </c>
      <c r="G289" s="20">
        <v>5.2281827750354386E-2</v>
      </c>
      <c r="H289" s="16">
        <f t="array" ref="H289:J289">TRANSPOSE(MMULT($I$4:$K$6,TRANSPOSE(B289:D289+$P$1/2*E289:G289)))</f>
        <v>0.19701547209474149</v>
      </c>
      <c r="I289" s="17">
        <v>0.10595251026075894</v>
      </c>
      <c r="J289" s="20">
        <v>5.1607184097397618E-2</v>
      </c>
      <c r="K289" s="16">
        <f t="array" ref="K289:M289">TRANSPOSE(MMULT($I$4:$K$6,TRANSPOSE(B289:D289+$P$1/2*H289:J289)))</f>
        <v>0.1969047936904002</v>
      </c>
      <c r="L289" s="17">
        <v>0.10581988842297821</v>
      </c>
      <c r="M289" s="20">
        <v>5.1565670756171161E-2</v>
      </c>
      <c r="N289" s="16">
        <f t="array" ref="N289:P289">TRANSPOSE(MMULT($I$4:$K$6,TRANSPOSE(B289:D289+$P$1*K289:M289)))</f>
        <v>0.18960597663641118</v>
      </c>
      <c r="O289" s="17">
        <v>0.10888807795006164</v>
      </c>
      <c r="P289" s="20">
        <v>5.0851716771699307E-2</v>
      </c>
    </row>
    <row r="290" spans="1:16" x14ac:dyDescent="0.25">
      <c r="A290" s="24">
        <f t="shared" si="4"/>
        <v>27.700000000000124</v>
      </c>
      <c r="B290" s="16">
        <f t="array" ref="B290:D290">B289:D289+$P$1/6*(E289:G289+2*H289:J289+2*K289:M289+N289:P289)</f>
        <v>0.28066530864260197</v>
      </c>
      <c r="C290" s="11">
        <v>-0.22155241741418469</v>
      </c>
      <c r="D290" s="11">
        <v>9.7131099164994468E-3</v>
      </c>
      <c r="E290" s="16">
        <f t="array" ref="E290:G290">TRANSPOSE(MMULT($I$4:$K$6,TRANSPOSE(B290:D290)))</f>
        <v>0.18960064258332471</v>
      </c>
      <c r="F290" s="17">
        <v>0.10888918272460058</v>
      </c>
      <c r="G290" s="20">
        <v>5.0851000160304638E-2</v>
      </c>
      <c r="H290" s="16">
        <f t="array" ref="H290:J290">TRANSPOSE(MMULT($I$4:$K$6,TRANSPOSE(B290:D290+$P$1/2*E290:G290)))</f>
        <v>0.18219116023097195</v>
      </c>
      <c r="I290" s="17">
        <v>0.11182493918252653</v>
      </c>
      <c r="J290" s="20">
        <v>5.0095567395398069E-2</v>
      </c>
      <c r="K290" s="16">
        <f t="array" ref="K290:M290">TRANSPOSE(MMULT($I$4:$K$6,TRANSPOSE(B290:D290+$P$1/2*H290:J290)))</f>
        <v>0.18209652847513558</v>
      </c>
      <c r="L290" s="17">
        <v>0.1116895693545245</v>
      </c>
      <c r="M290" s="20">
        <v>5.0056308453661935E-2</v>
      </c>
      <c r="N290" s="16">
        <f t="array" ref="N290:P290">TRANSPOSE(MMULT($I$4:$K$6,TRANSPOSE(B290:D290+$P$1*K290:M290)))</f>
        <v>0.17460846802497443</v>
      </c>
      <c r="O290" s="17">
        <v>0.11448749059969453</v>
      </c>
      <c r="P290" s="20">
        <v>4.9263920745732111E-2</v>
      </c>
    </row>
    <row r="291" spans="1:16" x14ac:dyDescent="0.25">
      <c r="A291" s="24">
        <f t="shared" si="4"/>
        <v>27.800000000000125</v>
      </c>
      <c r="B291" s="16">
        <f t="array" ref="B291:D291">B290:D290+$P$1/6*(E290:G290+2*H290:J290+2*K290:M290+N290:P290)</f>
        <v>0.29887838344294387</v>
      </c>
      <c r="C291" s="11">
        <v>-0.21037898924087806</v>
      </c>
      <c r="D291" s="11">
        <v>1.4720087793235392E-2</v>
      </c>
      <c r="E291" s="16">
        <f t="array" ref="E291:G291">TRANSPOSE(MMULT($I$4:$K$6,TRANSPOSE(B291:D291)))</f>
        <v>0.1746031157792895</v>
      </c>
      <c r="F291" s="17">
        <v>0.11448840643315084</v>
      </c>
      <c r="G291" s="20">
        <v>4.9263168680170936E-2</v>
      </c>
      <c r="H291" s="16">
        <f t="array" ref="H291:J291">TRANSPOSE(MMULT($I$4:$K$6,TRANSPOSE(B291:D291+$P$1/2*E291:G291)))</f>
        <v>0.16702041650513211</v>
      </c>
      <c r="I291" s="17">
        <v>0.11715114563987182</v>
      </c>
      <c r="J291" s="20">
        <v>4.8431552997522144E-2</v>
      </c>
      <c r="K291" s="16">
        <f t="array" ref="K291:M291">TRANSPOSE(MMULT($I$4:$K$6,TRANSPOSE(B291:D291+$P$1/2*H291:J291)))</f>
        <v>0.16694182535481983</v>
      </c>
      <c r="L291" s="17">
        <v>0.1170135918825814</v>
      </c>
      <c r="M291" s="20">
        <v>4.8394644049706288E-2</v>
      </c>
      <c r="N291" s="16">
        <f t="array" ref="N291:P291">TRANSPOSE(MMULT($I$4:$K$6,TRANSPOSE(B291:D291+$P$1*K291:M291)))</f>
        <v>0.15929655257549491</v>
      </c>
      <c r="O291" s="17">
        <v>0.11953687411539529</v>
      </c>
      <c r="P291" s="20">
        <v>4.7528513598531545E-2</v>
      </c>
    </row>
    <row r="292" spans="1:16" x14ac:dyDescent="0.25">
      <c r="A292" s="24">
        <f t="shared" si="4"/>
        <v>27.900000000000126</v>
      </c>
      <c r="B292" s="16">
        <f t="array" ref="B292:D292">B291:D291+$P$1/6*(E291:G291+2*H291:J291+2*K291:M291+N291:P291)</f>
        <v>0.31557545264418868</v>
      </c>
      <c r="C292" s="11">
        <v>-0.19867307664765385</v>
      </c>
      <c r="D292" s="11">
        <v>1.9560822399454714E-2</v>
      </c>
      <c r="E292" s="16">
        <f t="array" ref="E292:G292">TRANSPOSE(MMULT($I$4:$K$6,TRANSPOSE(B292:D292)))</f>
        <v>0.1592912024234531</v>
      </c>
      <c r="F292" s="17">
        <v>0.11953760181590353</v>
      </c>
      <c r="G292" s="20">
        <v>4.7527729662336107E-2</v>
      </c>
      <c r="H292" s="16">
        <f t="array" ref="H292:J292">TRANSPOSE(MMULT($I$4:$K$6,TRANSPOSE(B292:D292+$P$1/2*E292:G292)))</f>
        <v>0.15156731172729396</v>
      </c>
      <c r="I292" s="17">
        <v>0.1219235164261826</v>
      </c>
      <c r="J292" s="20">
        <v>4.662471760163793E-2</v>
      </c>
      <c r="K292" s="16">
        <f t="array" ref="K292:M292">TRANSPOSE(MMULT($I$4:$K$6,TRANSPOSE(B292:D292+$P$1/2*H292:J292)))</f>
        <v>0.15150469569147471</v>
      </c>
      <c r="L292" s="17">
        <v>0.12178433834430277</v>
      </c>
      <c r="M292" s="20">
        <v>4.6590243383100971E-2</v>
      </c>
      <c r="N292" s="16">
        <f t="array" ref="N292:P292">TRANSPOSE(MMULT($I$4:$K$6,TRANSPOSE(B292:D292+$P$1*K292:M292)))</f>
        <v>0.14373411189678403</v>
      </c>
      <c r="O292" s="17">
        <v>0.12402972836745907</v>
      </c>
      <c r="P292" s="20">
        <v>4.5655230561166896E-2</v>
      </c>
    </row>
    <row r="293" spans="1:16" x14ac:dyDescent="0.25">
      <c r="A293" s="24">
        <f t="shared" si="4"/>
        <v>28.000000000000128</v>
      </c>
      <c r="B293" s="16">
        <f t="array" ref="B293:D293">B292:D292+$P$1/6*(E292:G292+2*H292:J292+2*K292:M292+N292:P292)</f>
        <v>0.33072827479681827</v>
      </c>
      <c r="C293" s="11">
        <v>-0.18649002598558162</v>
      </c>
      <c r="D293" s="11">
        <v>2.422103710267106E-2</v>
      </c>
      <c r="E293" s="16">
        <f t="array" ref="E293:G293">TRANSPOSE(MMULT($I$4:$K$6,TRANSPOSE(B293:D293)))</f>
        <v>0.14372878366483138</v>
      </c>
      <c r="F293" s="17">
        <v>0.12403026942396522</v>
      </c>
      <c r="G293" s="20">
        <v>4.5654418376404222E-2</v>
      </c>
      <c r="H293" s="16">
        <f t="array" ref="H293:J293">TRANSPOSE(MMULT($I$4:$K$6,TRANSPOSE(B293:D293+$P$1/2*E293:G293)))</f>
        <v>0.13589553790778086</v>
      </c>
      <c r="I293" s="17">
        <v>0.12613666519067607</v>
      </c>
      <c r="J293" s="20">
        <v>4.4684955024808376E-2</v>
      </c>
      <c r="K293" s="16">
        <f t="array" ref="K293:M293">TRANSPOSE(MMULT($I$4:$K$6,TRANSPOSE(B293:D293+$P$1/2*H293:J293)))</f>
        <v>0.13584877361526251</v>
      </c>
      <c r="L293" s="17">
        <v>0.12599641595331873</v>
      </c>
      <c r="M293" s="20">
        <v>4.4652989339050944E-2</v>
      </c>
      <c r="N293" s="16">
        <f t="array" ref="N293:P293">TRANSPOSE(MMULT($I$4:$K$6,TRANSPOSE(B293:D293+$P$1*K293:M293)))</f>
        <v>0.12798453475978483</v>
      </c>
      <c r="O293" s="17">
        <v>0.12796176528572725</v>
      </c>
      <c r="P293" s="20">
        <v>4.3654102082897744E-2</v>
      </c>
    </row>
    <row r="294" spans="1:16" x14ac:dyDescent="0.25">
      <c r="A294" s="24">
        <f t="shared" si="4"/>
        <v>28.100000000000129</v>
      </c>
      <c r="B294" s="16">
        <f t="array" ref="B294:D294">B293:D293+$P$1/6*(E293:G293+2*H293:J293+2*K293:M293+N293:P293)</f>
        <v>0.34431497382132997</v>
      </c>
      <c r="C294" s="11">
        <v>-0.17388572270228692</v>
      </c>
      <c r="D294" s="11">
        <v>2.8687443922454738E-2</v>
      </c>
      <c r="E294" s="16">
        <f t="array" ref="E294:G294">TRANSPOSE(MMULT($I$4:$K$6,TRANSPOSE(B294:D294)))</f>
        <v>0.12797924775117203</v>
      </c>
      <c r="F294" s="17">
        <v>0.12796212184728822</v>
      </c>
      <c r="G294" s="20">
        <v>4.3653265295856995E-2</v>
      </c>
      <c r="H294" s="16">
        <f t="array" ref="H294:J294">TRANSPOSE(MMULT($I$4:$K$6,TRANSPOSE(B294:D294+$P$1/2*E294:G294)))</f>
        <v>0.12006818011413463</v>
      </c>
      <c r="I294" s="17">
        <v>0.12978740282709084</v>
      </c>
      <c r="J294" s="20">
        <v>4.2622432386728581E-2</v>
      </c>
      <c r="K294" s="16">
        <f t="array" ref="K294:M294">TRANSPOSE(MMULT($I$4:$K$6,TRANSPOSE(B294:D294+$P$1/2*H294:J294)))</f>
        <v>0.12003708806151224</v>
      </c>
      <c r="L294" s="17">
        <v>0.12964662725643639</v>
      </c>
      <c r="M294" s="20">
        <v>4.2593038074834826E-2</v>
      </c>
      <c r="N294" s="16">
        <f t="array" ref="N294:P294">TRANSPOSE(MMULT($I$4:$K$6,TRANSPOSE(B294:D294+$P$1*K294:M294)))</f>
        <v>0.11211049262191987</v>
      </c>
      <c r="O294" s="17">
        <v>0.13133087549841621</v>
      </c>
      <c r="P294" s="20">
        <v>4.153540999509088E-2</v>
      </c>
    </row>
    <row r="295" spans="1:16" x14ac:dyDescent="0.25">
      <c r="A295" s="24">
        <f t="shared" si="4"/>
        <v>28.200000000000131</v>
      </c>
      <c r="B295" s="16">
        <f t="array" ref="B295:D295">B294:D294+$P$1/6*(E294:G294+2*H294:J294+2*K294:M294+N294:P294)</f>
        <v>0.35631997843340307</v>
      </c>
      <c r="C295" s="11">
        <v>-0.16091637174374093</v>
      </c>
      <c r="D295" s="11">
        <v>3.2947770859355983E-2</v>
      </c>
      <c r="E295" s="16">
        <f t="array" ref="E295:G295">TRANSPOSE(MMULT($I$4:$K$6,TRANSPOSE(B295:D295)))</f>
        <v>0.11210526555665823</v>
      </c>
      <c r="F295" s="17">
        <v>0.13133105035150855</v>
      </c>
      <c r="G295" s="20">
        <v>4.1534552262199452E-2</v>
      </c>
      <c r="H295" s="16">
        <f t="array" ref="H295:J295">TRANSPOSE(MMULT($I$4:$K$6,TRANSPOSE(B295:D295+$P$1/2*E295:G295)))</f>
        <v>0.10414749566605552</v>
      </c>
      <c r="I295" s="17">
        <v>0.13287470036053184</v>
      </c>
      <c r="J295" s="20">
        <v>4.0447546254304551E-2</v>
      </c>
      <c r="K295" s="16">
        <f t="array" ref="K295:M295">TRANSPOSE(MMULT($I$4:$K$6,TRANSPOSE(B295:D295+$P$1/2*H295:J295)))</f>
        <v>0.10413184213521526</v>
      </c>
      <c r="L295" s="17">
        <v>0.13273393309407827</v>
      </c>
      <c r="M295" s="20">
        <v>4.0420775205784257E-2</v>
      </c>
      <c r="N295" s="16">
        <f t="array" ref="N295:P295">TRANSPOSE(MMULT($I$4:$K$6,TRANSPOSE(B295:D295+$P$1*K295:M295)))</f>
        <v>9.6173722817666882E-2</v>
      </c>
      <c r="O295" s="17">
        <v>0.13413708762154283</v>
      </c>
      <c r="P295" s="20">
        <v>3.9309643718137166E-2</v>
      </c>
    </row>
    <row r="296" spans="1:16" x14ac:dyDescent="0.25">
      <c r="A296" s="24">
        <f t="shared" si="4"/>
        <v>28.300000000000132</v>
      </c>
      <c r="B296" s="16">
        <f t="array" ref="B296:D296">B295:D295+$P$1/6*(E295:G295+2*H295:J295+2*K295:M295+N295:P295)</f>
        <v>0.36673393949968419</v>
      </c>
      <c r="C296" s="11">
        <v>-0.14763828166236975</v>
      </c>
      <c r="D296" s="11">
        <v>3.6990784841031223E-2</v>
      </c>
      <c r="E296" s="16">
        <f t="array" ref="E296:G296">TRANSPOSE(MMULT($I$4:$K$6,TRANSPOSE(B296:D296)))</f>
        <v>9.6168573775988836E-2</v>
      </c>
      <c r="F296" s="17">
        <v>0.1341370841655094</v>
      </c>
      <c r="G296" s="20">
        <v>3.9308768692153016E-2</v>
      </c>
      <c r="H296" s="16">
        <f t="array" ref="H296:J296">TRANSPOSE(MMULT($I$4:$K$6,TRANSPOSE(B296:D296+$P$1/2*E296:G296)))</f>
        <v>8.8194701324990382E-2</v>
      </c>
      <c r="I296" s="17">
        <v>0.13539964463748091</v>
      </c>
      <c r="J296" s="20">
        <v>3.8170878911139738E-2</v>
      </c>
      <c r="K296" s="16">
        <f t="array" ref="K296:M296">TRANSPOSE(MMULT($I$4:$K$6,TRANSPOSE(B296:D296+$P$1/2*H296:J296)))</f>
        <v>8.8194200459267028E-2</v>
      </c>
      <c r="L296" s="17">
        <v>0.13525940836907249</v>
      </c>
      <c r="M296" s="20">
        <v>3.8146772115208463E-2</v>
      </c>
      <c r="N296" s="16">
        <f t="array" ref="N296:P296">TRANSPOSE(MMULT($I$4:$K$6,TRANSPOSE(B296:D296+$P$1*K296:M296)))</f>
        <v>8.0234820049880584E-2</v>
      </c>
      <c r="O296" s="17">
        <v>0.13638252051392596</v>
      </c>
      <c r="P296" s="20">
        <v>3.6987456673079365E-2</v>
      </c>
    </row>
    <row r="297" spans="1:16" x14ac:dyDescent="0.25">
      <c r="A297" s="24">
        <f t="shared" si="4"/>
        <v>28.400000000000134</v>
      </c>
      <c r="B297" s="16">
        <f t="array" ref="B297:D297">B296:D296+$P$1/6*(E296:G296+2*H296:J296+2*K296:M296+N296:P296)</f>
        <v>0.37555362612292392</v>
      </c>
      <c r="C297" s="11">
        <v>-0.13410765315082737</v>
      </c>
      <c r="D297" s="11">
        <v>4.0806310297996702E-2</v>
      </c>
      <c r="E297" s="16">
        <f t="array" ref="E297:G297">TRANSPOSE(MMULT($I$4:$K$6,TRANSPOSE(B297:D297)))</f>
        <v>8.0229766419336296E-2</v>
      </c>
      <c r="F297" s="17">
        <v>0.13638234273469313</v>
      </c>
      <c r="G297" s="20">
        <v>3.6986567989604625E-2</v>
      </c>
      <c r="H297" s="16">
        <f t="array" ref="H297:J297">TRANSPOSE(MMULT($I$4:$K$6,TRANSPOSE(B297:D297+$P$1/2*E297:G297)))</f>
        <v>7.2269769090712851E-2</v>
      </c>
      <c r="I297" s="17">
        <v>0.13736538714392263</v>
      </c>
      <c r="J297" s="20">
        <v>3.5803154911583077E-2</v>
      </c>
      <c r="K297" s="16">
        <f t="array" ref="K297:M297">TRANSPOSE(MMULT($I$4:$K$6,TRANSPOSE(B297:D297+$P$1/2*H297:J297)))</f>
        <v>7.2284085118454924E-2</v>
      </c>
      <c r="L297" s="17">
        <v>0.1372261909483366</v>
      </c>
      <c r="M297" s="20">
        <v>3.5781742547788688E-2</v>
      </c>
      <c r="N297" s="16">
        <f t="array" ref="N297:P297">TRANSPOSE(MMULT($I$4:$K$6,TRANSPOSE(B297:D297+$P$1*K297:M297)))</f>
        <v>6.4353036771406552E-2</v>
      </c>
      <c r="O297" s="17">
        <v>0.13807132883185294</v>
      </c>
      <c r="P297" s="20">
        <v>3.457962305529818E-2</v>
      </c>
    </row>
    <row r="298" spans="1:16" x14ac:dyDescent="0.25">
      <c r="A298" s="24">
        <f t="shared" si="4"/>
        <v>28.500000000000135</v>
      </c>
      <c r="B298" s="16">
        <f t="array" ref="B298:D298">B297:D297+$P$1/6*(E297:G297+2*H297:J297+2*K297:M297+N297:P297)</f>
        <v>0.38278180131640854</v>
      </c>
      <c r="C298" s="11">
        <v>-0.12038037268830963</v>
      </c>
      <c r="D298" s="11">
        <v>4.4385243397390806E-2</v>
      </c>
      <c r="E298" s="16">
        <f t="array" ref="E298:G298">TRANSPOSE(MMULT($I$4:$K$6,TRANSPOSE(B298:D298)))</f>
        <v>6.4348095197712452E-2</v>
      </c>
      <c r="F298" s="17">
        <v>0.1380709812740547</v>
      </c>
      <c r="G298" s="20">
        <v>3.4578724319657111E-2</v>
      </c>
      <c r="H298" s="16">
        <f t="array" ref="H298:J298">TRANSPOSE(MMULT($I$4:$K$6,TRANSPOSE(B298:D298+$P$1/2*E298:G298)))</f>
        <v>5.6431231171628002E-2</v>
      </c>
      <c r="I298" s="17">
        <v>0.13877708629481897</v>
      </c>
      <c r="J298" s="20">
        <v>3.3355198074377312E-2</v>
      </c>
      <c r="K298" s="16">
        <f t="array" ref="K298:M298">TRANSPOSE(MMULT($I$4:$K$6,TRANSPOSE(B298:D298+$P$1/2*H298:J298)))</f>
        <v>5.6459980765625813E-2</v>
      </c>
      <c r="L298" s="17">
        <v>0.1386394240402718</v>
      </c>
      <c r="M298" s="20">
        <v>3.3336499641359693E-2</v>
      </c>
      <c r="N298" s="16">
        <f t="array" ref="N298:P298">TRANSPOSE(MMULT($I$4:$K$6,TRANSPOSE(B298:D298+$P$1*K298:M298)))</f>
        <v>4.8586093000374642E-2</v>
      </c>
      <c r="O298" s="17">
        <v>0.13920964223494545</v>
      </c>
      <c r="P298" s="20">
        <v>3.2096995122753109E-2</v>
      </c>
    </row>
    <row r="299" spans="1:16" x14ac:dyDescent="0.25">
      <c r="A299" s="24">
        <f t="shared" si="4"/>
        <v>28.600000000000136</v>
      </c>
      <c r="B299" s="16">
        <f t="array" ref="B299:D299">B298:D298+$P$1/6*(E298:G298+2*H298:J298+2*K298:M298+N298:P298)</f>
        <v>0.38842707818428512</v>
      </c>
      <c r="C299" s="11">
        <v>-0.10651181195198993</v>
      </c>
      <c r="D299" s="11">
        <v>4.7719561978622212E-2</v>
      </c>
      <c r="E299" s="16">
        <f t="array" ref="E299:G299">TRANSPOSE(MMULT($I$4:$K$6,TRANSPOSE(B299:D299)))</f>
        <v>4.8581279342112538E-2</v>
      </c>
      <c r="F299" s="17">
        <v>0.13920912997259324</v>
      </c>
      <c r="G299" s="20">
        <v>3.2096089897274617E-2</v>
      </c>
      <c r="H299" s="16">
        <f t="array" ref="H299:J299">TRANSPOSE(MMULT($I$4:$K$6,TRANSPOSE(B299:D299+$P$1/2*E299:G299)))</f>
        <v>4.0735994648826823E-2</v>
      </c>
      <c r="I299" s="17">
        <v>0.13964184355477016</v>
      </c>
      <c r="J299" s="20">
        <v>3.0837889065859422E-2</v>
      </c>
      <c r="K299" s="16">
        <f t="array" ref="K299:M299">TRANSPOSE(MMULT($I$4:$K$6,TRANSPOSE(B299:D299+$P$1/2*H299:J299)))</f>
        <v>4.0778749409812687E-2</v>
      </c>
      <c r="L299" s="17">
        <v>0.1395061924072811</v>
      </c>
      <c r="M299" s="20">
        <v>3.0821913546915158E-2</v>
      </c>
      <c r="N299" s="16">
        <f t="array" ref="N299:P299">TRANSPOSE(MMULT($I$4:$K$6,TRANSPOSE(B299:D299+$P$1*K299:M299)))</f>
        <v>3.2989996065409685E-2</v>
      </c>
      <c r="O299" s="17">
        <v>0.13980549861050798</v>
      </c>
      <c r="P299" s="20">
        <v>2.9550461145964782E-2</v>
      </c>
    </row>
    <row r="300" spans="1:16" x14ac:dyDescent="0.25">
      <c r="A300" s="24">
        <f t="shared" si="4"/>
        <v>28.700000000000138</v>
      </c>
      <c r="B300" s="16">
        <f t="array" ref="B300:D300">B299:D299+$P$1/6*(E299:G299+2*H299:J299+2*K299:M299+N299:P299)</f>
        <v>0.39250375757636513</v>
      </c>
      <c r="C300" s="11">
        <v>-9.2556633610203193E-2</v>
      </c>
      <c r="D300" s="11">
        <v>5.0802331249768684E-2</v>
      </c>
      <c r="E300" s="16">
        <f t="array" ref="E300:G300">TRANSPOSE(MMULT($I$4:$K$6,TRANSPOSE(B300:D300)))</f>
        <v>3.2985325352659203E-2</v>
      </c>
      <c r="F300" s="17">
        <v>0.13980482721634774</v>
      </c>
      <c r="G300" s="20">
        <v>2.9549552937708404E-2</v>
      </c>
      <c r="H300" s="16">
        <f t="array" ref="H300:J300">TRANSPOSE(MMULT($I$4:$K$6,TRANSPOSE(B300:D300+$P$1/2*E300:G300)))</f>
        <v>2.5239166306324355E-2</v>
      </c>
      <c r="I300" s="17">
        <v>0.13996863376459451</v>
      </c>
      <c r="J300" s="20">
        <v>2.8262123717133235E-2</v>
      </c>
      <c r="K300" s="16">
        <f t="array" ref="K300:M300">TRANSPOSE(MMULT($I$4:$K$6,TRANSPOSE(B300:D300+$P$1/2*H300:J300)))</f>
        <v>2.5295455358555194E-2</v>
      </c>
      <c r="L300" s="17">
        <v>0.13983545278771511</v>
      </c>
      <c r="M300" s="20">
        <v>2.8248869781150404E-2</v>
      </c>
      <c r="N300" s="16">
        <f t="array" ref="N300:P300">TRANSPOSE(MMULT($I$4:$K$6,TRANSPOSE(B300:D300+$P$1*K300:M300)))</f>
        <v>1.7618870729056116E-2</v>
      </c>
      <c r="O300" s="17">
        <v>0.13986877169767678</v>
      </c>
      <c r="P300" s="20">
        <v>2.6950904161189039E-2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8:F300"/>
  <sheetViews>
    <sheetView workbookViewId="0">
      <selection activeCell="E17" sqref="E17"/>
    </sheetView>
  </sheetViews>
  <sheetFormatPr defaultRowHeight="15" x14ac:dyDescent="0.25"/>
  <sheetData>
    <row r="8" spans="1:6" x14ac:dyDescent="0.25">
      <c r="B8" s="1" t="s">
        <v>32</v>
      </c>
      <c r="C8">
        <v>18</v>
      </c>
      <c r="D8" t="s">
        <v>33</v>
      </c>
    </row>
    <row r="12" spans="1:6" x14ac:dyDescent="0.25">
      <c r="A12" s="25" t="str">
        <f>'Plan2 (2)'!A12</f>
        <v>t</v>
      </c>
      <c r="B12" s="25" t="str">
        <f>'Plan2 (2)'!B12</f>
        <v>x1</v>
      </c>
      <c r="C12" s="25" t="str">
        <f>'Plan2 (2)'!C12</f>
        <v>x2</v>
      </c>
      <c r="D12" s="25" t="str">
        <f>'Plan2 (2)'!D12</f>
        <v>x3</v>
      </c>
      <c r="E12" t="s">
        <v>34</v>
      </c>
      <c r="F12" t="s">
        <v>35</v>
      </c>
    </row>
    <row r="13" spans="1:6" x14ac:dyDescent="0.25">
      <c r="A13" s="25">
        <f>'Plan2 (2)'!A13</f>
        <v>0</v>
      </c>
      <c r="B13" s="25">
        <f>'Plan2 (2)'!B13</f>
        <v>1</v>
      </c>
      <c r="C13" s="25">
        <f>'Plan2 (2)'!C13</f>
        <v>2</v>
      </c>
      <c r="D13" s="25">
        <f>'Plan2 (2)'!D13</f>
        <v>3</v>
      </c>
      <c r="E13" s="25">
        <f t="shared" ref="E13:E76" si="0">IF(A13&lt;=$C$8,C13,NA())</f>
        <v>2</v>
      </c>
      <c r="F13" s="25">
        <f t="shared" ref="F13:F76" si="1">IF(A13&lt;=$C$8,D13,NA())</f>
        <v>3</v>
      </c>
    </row>
    <row r="14" spans="1:6" x14ac:dyDescent="0.25">
      <c r="A14" s="25">
        <f>'Plan2 (2)'!A14</f>
        <v>0.1</v>
      </c>
      <c r="B14" s="25">
        <f>'Plan2 (2)'!B14</f>
        <v>0.65250526489916671</v>
      </c>
      <c r="C14" s="25">
        <f>'Plan2 (2)'!C14</f>
        <v>2.4826184617653002</v>
      </c>
      <c r="D14" s="25">
        <f>'Plan2 (2)'!D14</f>
        <v>2.7259516545859168</v>
      </c>
      <c r="E14" s="25">
        <f t="shared" si="0"/>
        <v>2.4826184617653002</v>
      </c>
      <c r="F14" s="25">
        <f t="shared" si="1"/>
        <v>2.7259516545859168</v>
      </c>
    </row>
    <row r="15" spans="1:6" x14ac:dyDescent="0.25">
      <c r="A15" s="25">
        <f>'Plan2 (2)'!A15</f>
        <v>0.2</v>
      </c>
      <c r="B15" s="25">
        <f>'Plan2 (2)'!B15</f>
        <v>0.27456928108334444</v>
      </c>
      <c r="C15" s="25">
        <f>'Plan2 (2)'!C15</f>
        <v>2.8943229926685943</v>
      </c>
      <c r="D15" s="25">
        <f>'Plan2 (2)'!D15</f>
        <v>2.47021472304312</v>
      </c>
      <c r="E15" s="25">
        <f t="shared" si="0"/>
        <v>2.8943229926685943</v>
      </c>
      <c r="F15" s="25">
        <f t="shared" si="1"/>
        <v>2.47021472304312</v>
      </c>
    </row>
    <row r="16" spans="1:6" x14ac:dyDescent="0.25">
      <c r="A16" s="25">
        <f>'Plan2 (2)'!A16</f>
        <v>0.30000000000000004</v>
      </c>
      <c r="B16" s="25">
        <f>'Plan2 (2)'!B16</f>
        <v>-0.12744614312063068</v>
      </c>
      <c r="C16" s="25">
        <f>'Plan2 (2)'!C16</f>
        <v>3.2412605650059261</v>
      </c>
      <c r="D16" s="25">
        <f>'Plan2 (2)'!D16</f>
        <v>2.2306586796563561</v>
      </c>
      <c r="E16" s="25">
        <f t="shared" si="0"/>
        <v>3.2412605650059261</v>
      </c>
      <c r="F16" s="25">
        <f t="shared" si="1"/>
        <v>2.2306586796563561</v>
      </c>
    </row>
    <row r="17" spans="1:6" x14ac:dyDescent="0.25">
      <c r="A17" s="25">
        <f>'Plan2 (2)'!A17</f>
        <v>0.4</v>
      </c>
      <c r="B17" s="25">
        <f>'Plan2 (2)'!B17</f>
        <v>-0.54774368641719473</v>
      </c>
      <c r="C17" s="25">
        <f>'Plan2 (2)'!C17</f>
        <v>3.5289521967208595</v>
      </c>
      <c r="D17" s="25">
        <f>'Plan2 (2)'!D17</f>
        <v>2.0054601955926579</v>
      </c>
      <c r="E17" s="25">
        <f t="shared" si="0"/>
        <v>3.5289521967208595</v>
      </c>
      <c r="F17" s="25">
        <f t="shared" si="1"/>
        <v>2.0054601955926579</v>
      </c>
    </row>
    <row r="18" spans="1:6" x14ac:dyDescent="0.25">
      <c r="A18" s="25">
        <f>'Plan2 (2)'!A18</f>
        <v>0.5</v>
      </c>
      <c r="B18" s="25">
        <f>'Plan2 (2)'!B18</f>
        <v>-0.98103817538453075</v>
      </c>
      <c r="C18" s="25">
        <f>'Plan2 (2)'!C18</f>
        <v>3.7623737026789232</v>
      </c>
      <c r="D18" s="25">
        <f>'Plan2 (2)'!D18</f>
        <v>1.7930647907974995</v>
      </c>
      <c r="E18" s="25">
        <f t="shared" si="0"/>
        <v>3.7623737026789232</v>
      </c>
      <c r="F18" s="25">
        <f t="shared" si="1"/>
        <v>1.7930647907974995</v>
      </c>
    </row>
    <row r="19" spans="1:6" x14ac:dyDescent="0.25">
      <c r="A19" s="25">
        <f>'Plan2 (2)'!A19</f>
        <v>0.6</v>
      </c>
      <c r="B19" s="25">
        <f>'Plan2 (2)'!B19</f>
        <v>-1.4225108447735559</v>
      </c>
      <c r="C19" s="25">
        <f>'Plan2 (2)'!C19</f>
        <v>3.9460262226685532</v>
      </c>
      <c r="D19" s="25">
        <f>'Plan2 (2)'!D19</f>
        <v>1.5921529224447755</v>
      </c>
      <c r="E19" s="25">
        <f t="shared" si="0"/>
        <v>3.9460262226685532</v>
      </c>
      <c r="F19" s="25">
        <f t="shared" si="1"/>
        <v>1.5921529224447755</v>
      </c>
    </row>
    <row r="20" spans="1:6" x14ac:dyDescent="0.25">
      <c r="A20" s="25">
        <f>'Plan2 (2)'!A20</f>
        <v>0.7</v>
      </c>
      <c r="B20" s="25">
        <f>'Plan2 (2)'!B20</f>
        <v>-1.8677693422157009</v>
      </c>
      <c r="C20" s="25">
        <f>'Plan2 (2)'!C20</f>
        <v>4.0839977424610865</v>
      </c>
      <c r="D20" s="25">
        <f>'Plan2 (2)'!D20</f>
        <v>1.4016099888458928</v>
      </c>
      <c r="E20" s="25">
        <f t="shared" si="0"/>
        <v>4.0839977424610865</v>
      </c>
      <c r="F20" s="25">
        <f t="shared" si="1"/>
        <v>1.4016099888458928</v>
      </c>
    </row>
    <row r="21" spans="1:6" x14ac:dyDescent="0.25">
      <c r="A21" s="25">
        <f>'Plan2 (2)'!A21</f>
        <v>0.79999999999999993</v>
      </c>
      <c r="B21" s="25">
        <f>'Plan2 (2)'!B21</f>
        <v>-2.3128127250700512</v>
      </c>
      <c r="C21" s="25">
        <f>'Plan2 (2)'!C21</f>
        <v>4.1800166809593993</v>
      </c>
      <c r="D21" s="25">
        <f>'Plan2 (2)'!D21</f>
        <v>1.2204997903973562</v>
      </c>
      <c r="E21" s="25">
        <f t="shared" si="0"/>
        <v>4.1800166809593993</v>
      </c>
      <c r="F21" s="25">
        <f t="shared" si="1"/>
        <v>1.2204997903973562</v>
      </c>
    </row>
    <row r="22" spans="1:6" x14ac:dyDescent="0.25">
      <c r="A22" s="25">
        <f>'Plan2 (2)'!A22</f>
        <v>0.89999999999999991</v>
      </c>
      <c r="B22" s="25">
        <f>'Plan2 (2)'!B22</f>
        <v>-2.7540007878492609</v>
      </c>
      <c r="C22" s="25">
        <f>'Plan2 (2)'!C22</f>
        <v>4.2374984902794983</v>
      </c>
      <c r="D22" s="25">
        <f>'Plan2 (2)'!D22</f>
        <v>1.0480410442750132</v>
      </c>
      <c r="E22" s="25">
        <f t="shared" si="0"/>
        <v>4.2374984902794983</v>
      </c>
      <c r="F22" s="25">
        <f t="shared" si="1"/>
        <v>1.0480410442750132</v>
      </c>
    </row>
    <row r="23" spans="1:6" x14ac:dyDescent="0.25">
      <c r="A23" s="25">
        <f>'Plan2 (2)'!A23</f>
        <v>0.99999999999999989</v>
      </c>
      <c r="B23" s="25">
        <f>'Plan2 (2)'!B23</f>
        <v>-3.1880271387398116</v>
      </c>
      <c r="C23" s="25">
        <f>'Plan2 (2)'!C23</f>
        <v>4.2595861044856624</v>
      </c>
      <c r="D23" s="25">
        <f>'Plan2 (2)'!D23</f>
        <v>0.88358659806960105</v>
      </c>
      <c r="E23" s="25">
        <f t="shared" si="0"/>
        <v>4.2595861044856624</v>
      </c>
      <c r="F23" s="25">
        <f t="shared" si="1"/>
        <v>0.88358659806960105</v>
      </c>
    </row>
    <row r="24" spans="1:6" x14ac:dyDescent="0.25">
      <c r="A24" s="25">
        <f>'Plan2 (2)'!A24</f>
        <v>1.0999999999999999</v>
      </c>
      <c r="B24" s="25">
        <f>'Plan2 (2)'!B24</f>
        <v>-3.6118955144398264</v>
      </c>
      <c r="C24" s="25">
        <f>'Plan2 (2)'!C24</f>
        <v>4.2491849748277994</v>
      </c>
      <c r="D24" s="25">
        <f>'Plan2 (2)'!D24</f>
        <v>0.72660503019749922</v>
      </c>
      <c r="E24" s="25">
        <f t="shared" si="0"/>
        <v>4.2491849748277994</v>
      </c>
      <c r="F24" s="25">
        <f t="shared" si="1"/>
        <v>0.72660503019749922</v>
      </c>
    </row>
    <row r="25" spans="1:6" x14ac:dyDescent="0.25">
      <c r="A25" s="25">
        <f>'Plan2 (2)'!A25</f>
        <v>1.2</v>
      </c>
      <c r="B25" s="25">
        <f>'Plan2 (2)'!B25</f>
        <v>-4.0228988849890088</v>
      </c>
      <c r="C25" s="25">
        <f>'Plan2 (2)'!C25</f>
        <v>4.2089933431167035</v>
      </c>
      <c r="D25" s="25">
        <f>'Plan2 (2)'!D25</f>
        <v>0.57666436241274921</v>
      </c>
      <c r="E25" s="25">
        <f t="shared" si="0"/>
        <v>4.2089933431167035</v>
      </c>
      <c r="F25" s="25">
        <f t="shared" si="1"/>
        <v>0.57666436241274921</v>
      </c>
    </row>
    <row r="26" spans="1:6" x14ac:dyDescent="0.25">
      <c r="A26" s="25">
        <f>'Plan2 (2)'!A26</f>
        <v>1.3</v>
      </c>
      <c r="B26" s="25">
        <f>'Plan2 (2)'!B26</f>
        <v>-4.4186009554389534</v>
      </c>
      <c r="C26" s="25">
        <f>'Plan2 (2)'!C26</f>
        <v>4.1415283289169951</v>
      </c>
      <c r="D26" s="25">
        <f>'Plan2 (2)'!D26</f>
        <v>0.43341764270793032</v>
      </c>
      <c r="E26" s="25">
        <f t="shared" si="0"/>
        <v>4.1415283289169951</v>
      </c>
      <c r="F26" s="25">
        <f t="shared" si="1"/>
        <v>0.43341764270793032</v>
      </c>
    </row>
    <row r="27" spans="1:6" x14ac:dyDescent="0.25">
      <c r="A27" s="25">
        <f>'Plan2 (2)'!A27</f>
        <v>1.4000000000000001</v>
      </c>
      <c r="B27" s="25">
        <f>'Plan2 (2)'!B27</f>
        <v>-4.7968197199690055</v>
      </c>
      <c r="C27" s="25">
        <f>'Plan2 (2)'!C27</f>
        <v>4.0491483393050158</v>
      </c>
      <c r="D27" s="25">
        <f>'Plan2 (2)'!D27</f>
        <v>0.29659018586522956</v>
      </c>
      <c r="E27" s="25">
        <f t="shared" si="0"/>
        <v>4.0491483393050158</v>
      </c>
      <c r="F27" s="25">
        <f t="shared" si="1"/>
        <v>0.29659018586522956</v>
      </c>
    </row>
    <row r="28" spans="1:6" x14ac:dyDescent="0.25">
      <c r="A28" s="25">
        <f>'Plan2 (2)'!A28</f>
        <v>1.5000000000000002</v>
      </c>
      <c r="B28" s="25">
        <f>'Plan2 (2)'!B28</f>
        <v>-5.1556127671504832</v>
      </c>
      <c r="C28" s="25">
        <f>'Plan2 (2)'!C28</f>
        <v>3.9340722509440882</v>
      </c>
      <c r="D28" s="25">
        <f>'Plan2 (2)'!D28</f>
        <v>0.16596828438304539</v>
      </c>
      <c r="E28" s="25">
        <f t="shared" si="0"/>
        <v>3.9340722509440882</v>
      </c>
      <c r="F28" s="25">
        <f t="shared" si="1"/>
        <v>0.16596828438304539</v>
      </c>
    </row>
    <row r="29" spans="1:6" x14ac:dyDescent="0.25">
      <c r="A29" s="25">
        <f>'Plan2 (2)'!A29</f>
        <v>1.6000000000000003</v>
      </c>
      <c r="B29" s="25">
        <f>'Plan2 (2)'!B29</f>
        <v>-5.4932640731667934</v>
      </c>
      <c r="C29" s="25">
        <f>'Plan2 (2)'!C29</f>
        <v>3.7983957622170474</v>
      </c>
      <c r="D29" s="25">
        <f>'Plan2 (2)'!D29</f>
        <v>4.1389224878674205E-2</v>
      </c>
      <c r="E29" s="25">
        <f t="shared" si="0"/>
        <v>3.7983957622170474</v>
      </c>
      <c r="F29" s="25">
        <f t="shared" si="1"/>
        <v>4.1389224878674205E-2</v>
      </c>
    </row>
    <row r="30" spans="1:6" x14ac:dyDescent="0.25">
      <c r="A30" s="25">
        <f>'Plan2 (2)'!A30</f>
        <v>1.7000000000000004</v>
      </c>
      <c r="B30" s="25">
        <f>'Plan2 (2)'!B30</f>
        <v>-5.8082720534950303</v>
      </c>
      <c r="C30" s="25">
        <f>'Plan2 (2)'!C30</f>
        <v>3.6441052672851293</v>
      </c>
      <c r="D30" s="25">
        <f>'Plan2 (2)'!D30</f>
        <v>-7.7267535275233834E-2</v>
      </c>
      <c r="E30" s="25">
        <f t="shared" si="0"/>
        <v>3.6441052672851293</v>
      </c>
      <c r="F30" s="25">
        <f t="shared" si="1"/>
        <v>-7.7267535275233834E-2</v>
      </c>
    </row>
    <row r="31" spans="1:6" x14ac:dyDescent="0.25">
      <c r="A31" s="25">
        <f>'Plan2 (2)'!A31</f>
        <v>1.8000000000000005</v>
      </c>
      <c r="B31" s="25">
        <f>'Plan2 (2)'!B31</f>
        <v>-6.0993386733618289</v>
      </c>
      <c r="C31" s="25">
        <f>'Plan2 (2)'!C31</f>
        <v>3.4730895634736143</v>
      </c>
      <c r="D31" s="25">
        <f>'Plan2 (2)'!D31</f>
        <v>-0.1900881590572257</v>
      </c>
      <c r="E31" s="25">
        <f t="shared" si="0"/>
        <v>3.4730895634736143</v>
      </c>
      <c r="F31" s="25">
        <f t="shared" si="1"/>
        <v>-0.1900881590572257</v>
      </c>
    </row>
    <row r="32" spans="1:6" x14ac:dyDescent="0.25">
      <c r="A32" s="25">
        <f>'Plan2 (2)'!A32</f>
        <v>1.9000000000000006</v>
      </c>
      <c r="B32" s="25">
        <f>'Plan2 (2)'!B32</f>
        <v>-6.3653594436563194</v>
      </c>
      <c r="C32" s="25">
        <f>'Plan2 (2)'!C32</f>
        <v>3.2871496676674057</v>
      </c>
      <c r="D32" s="25">
        <f>'Plan2 (2)'!D32</f>
        <v>-0.29713130146192079</v>
      </c>
      <c r="E32" s="25">
        <f t="shared" si="0"/>
        <v>3.2871496676674057</v>
      </c>
      <c r="F32" s="25">
        <f t="shared" si="1"/>
        <v>-0.29713130146192079</v>
      </c>
    </row>
    <row r="33" spans="1:6" x14ac:dyDescent="0.25">
      <c r="A33" s="25">
        <f>'Plan2 (2)'!A33</f>
        <v>2.0000000000000004</v>
      </c>
      <c r="B33" s="25">
        <f>'Plan2 (2)'!B33</f>
        <v>-6.6054141523152765</v>
      </c>
      <c r="C33" s="25">
        <f>'Plan2 (2)'!C33</f>
        <v>3.0880069858615982</v>
      </c>
      <c r="D33" s="25">
        <f>'Plan2 (2)'!D33</f>
        <v>-0.39843416122792308</v>
      </c>
      <c r="E33" s="25">
        <f t="shared" si="0"/>
        <v>3.0880069858615982</v>
      </c>
      <c r="F33" s="25">
        <f t="shared" si="1"/>
        <v>-0.39843416122792308</v>
      </c>
    </row>
    <row r="34" spans="1:6" x14ac:dyDescent="0.25">
      <c r="A34" s="25">
        <f>'Plan2 (2)'!A34</f>
        <v>2.1000000000000005</v>
      </c>
      <c r="B34" s="25">
        <f>'Plan2 (2)'!B34</f>
        <v>-6.8187582018412565</v>
      </c>
      <c r="C34" s="25">
        <f>'Plan2 (2)'!C34</f>
        <v>2.8773100521496828</v>
      </c>
      <c r="D34" s="25">
        <f>'Plan2 (2)'!D34</f>
        <v>-0.49401780045070792</v>
      </c>
      <c r="E34" s="25">
        <f t="shared" si="0"/>
        <v>2.8773100521496828</v>
      </c>
      <c r="F34" s="25">
        <f t="shared" si="1"/>
        <v>-0.49401780045070792</v>
      </c>
    </row>
    <row r="35" spans="1:6" x14ac:dyDescent="0.25">
      <c r="A35" s="25">
        <f>'Plan2 (2)'!A35</f>
        <v>2.2000000000000006</v>
      </c>
      <c r="B35" s="25">
        <f>'Plan2 (2)'!B35</f>
        <v>-7.0048144418828375</v>
      </c>
      <c r="C35" s="25">
        <f>'Plan2 (2)'!C35</f>
        <v>2.6566400288025678</v>
      </c>
      <c r="D35" s="25">
        <f>'Plan2 (2)'!D35</f>
        <v>-0.58389180965105159</v>
      </c>
      <c r="E35" s="25">
        <f t="shared" si="0"/>
        <v>2.6566400288025678</v>
      </c>
      <c r="F35" s="25">
        <f t="shared" si="1"/>
        <v>-0.58389180965105159</v>
      </c>
    </row>
    <row r="36" spans="1:6" x14ac:dyDescent="0.25">
      <c r="A36" s="25">
        <f>'Plan2 (2)'!A36</f>
        <v>2.3000000000000007</v>
      </c>
      <c r="B36" s="25">
        <f>'Plan2 (2)'!B36</f>
        <v>-7.1631654019690671</v>
      </c>
      <c r="C36" s="25">
        <f>'Plan2 (2)'!C36</f>
        <v>2.4275151373058019</v>
      </c>
      <c r="D36" s="25">
        <f>'Plan2 (2)'!D36</f>
        <v>-0.66805838687659702</v>
      </c>
      <c r="E36" s="25">
        <f t="shared" si="0"/>
        <v>2.4275151373058019</v>
      </c>
      <c r="F36" s="25">
        <f t="shared" si="1"/>
        <v>-0.66805838687659702</v>
      </c>
    </row>
    <row r="37" spans="1:6" x14ac:dyDescent="0.25">
      <c r="A37" s="25">
        <f>'Plan2 (2)'!A37</f>
        <v>2.4000000000000008</v>
      </c>
      <c r="B37" s="25">
        <f>'Plan2 (2)'!B37</f>
        <v>-7.2935458437874008</v>
      </c>
      <c r="C37" s="25">
        <f>'Plan2 (2)'!C37</f>
        <v>2.191394170937957</v>
      </c>
      <c r="D37" s="25">
        <f>'Plan2 (2)'!D37</f>
        <v>-0.74651589152718811</v>
      </c>
      <c r="E37" s="25">
        <f t="shared" si="0"/>
        <v>2.191394170937957</v>
      </c>
      <c r="F37" s="25">
        <f t="shared" si="1"/>
        <v>-0.74651589152718811</v>
      </c>
    </row>
    <row r="38" spans="1:6" x14ac:dyDescent="0.25">
      <c r="A38" s="25">
        <f>'Plan2 (2)'!A38</f>
        <v>2.5000000000000009</v>
      </c>
      <c r="B38" s="25">
        <f>'Plan2 (2)'!B38</f>
        <v>-7.3958355650366068</v>
      </c>
      <c r="C38" s="25">
        <f>'Plan2 (2)'!C38</f>
        <v>1.9496792223892017</v>
      </c>
      <c r="D38" s="25">
        <f>'Plan2 (2)'!D38</f>
        <v>-0.81926192667944364</v>
      </c>
      <c r="E38" s="25">
        <f t="shared" si="0"/>
        <v>1.9496792223892017</v>
      </c>
      <c r="F38" s="25">
        <f t="shared" si="1"/>
        <v>-0.81926192667944364</v>
      </c>
    </row>
    <row r="39" spans="1:6" x14ac:dyDescent="0.25">
      <c r="A39" s="25">
        <f>'Plan2 (2)'!A39</f>
        <v>2.600000000000001</v>
      </c>
      <c r="B39" s="25">
        <f>'Plan2 (2)'!B39</f>
        <v>-7.470052398059023</v>
      </c>
      <c r="C39" s="25">
        <f>'Plan2 (2)'!C39</f>
        <v>1.7037177447712513</v>
      </c>
      <c r="D39" s="25">
        <f>'Plan2 (2)'!D39</f>
        <v>-0.88629599762446021</v>
      </c>
      <c r="E39" s="25">
        <f t="shared" si="0"/>
        <v>1.7037177447712513</v>
      </c>
      <c r="F39" s="25">
        <f t="shared" si="1"/>
        <v>-0.88629599762446021</v>
      </c>
    </row>
    <row r="40" spans="1:6" x14ac:dyDescent="0.25">
      <c r="A40" s="25">
        <f>'Plan2 (2)'!A40</f>
        <v>2.7000000000000011</v>
      </c>
      <c r="B40" s="25">
        <f>'Plan2 (2)'!B40</f>
        <v>-7.5163453563237574</v>
      </c>
      <c r="C40" s="25">
        <f>'Plan2 (2)'!C40</f>
        <v>1.4548040509257045</v>
      </c>
      <c r="D40" s="25">
        <f>'Plan2 (2)'!D40</f>
        <v>-0.94762178902041294</v>
      </c>
      <c r="E40" s="25">
        <f t="shared" si="0"/>
        <v>1.4548040509257045</v>
      </c>
      <c r="F40" s="25">
        <f t="shared" si="1"/>
        <v>-0.94762178902041294</v>
      </c>
    </row>
    <row r="41" spans="1:6" x14ac:dyDescent="0.25">
      <c r="A41" s="25">
        <f>'Plan2 (2)'!A41</f>
        <v>2.8000000000000012</v>
      </c>
      <c r="B41" s="25">
        <f>'Plan2 (2)'!B41</f>
        <v>-7.5349878905380683</v>
      </c>
      <c r="C41" s="25">
        <f>'Plan2 (2)'!C41</f>
        <v>1.2041803439932042</v>
      </c>
      <c r="D41" s="25">
        <f>'Plan2 (2)'!D41</f>
        <v>-1.0032490984074529</v>
      </c>
      <c r="E41" s="25">
        <f t="shared" si="0"/>
        <v>1.2041803439932042</v>
      </c>
      <c r="F41" s="25">
        <f t="shared" si="1"/>
        <v>-1.0032490984074529</v>
      </c>
    </row>
    <row r="42" spans="1:6" x14ac:dyDescent="0.25">
      <c r="A42" s="25">
        <f>'Plan2 (2)'!A42</f>
        <v>2.9000000000000012</v>
      </c>
      <c r="B42" s="25">
        <f>'Plan2 (2)'!B42</f>
        <v>-7.5263712238353708</v>
      </c>
      <c r="C42" s="25">
        <f>'Plan2 (2)'!C42</f>
        <v>0.95303736158153607</v>
      </c>
      <c r="D42" s="25">
        <f>'Plan2 (2)'!D42</f>
        <v>-1.0531954597549176</v>
      </c>
      <c r="E42" s="25">
        <f t="shared" si="0"/>
        <v>0.95303736158153607</v>
      </c>
      <c r="F42" s="25">
        <f t="shared" si="1"/>
        <v>-1.0531954597549176</v>
      </c>
    </row>
    <row r="43" spans="1:6" x14ac:dyDescent="0.25">
      <c r="A43" s="25">
        <f>'Plan2 (2)'!A43</f>
        <v>3.0000000000000013</v>
      </c>
      <c r="B43" s="25">
        <f>'Plan2 (2)'!B43</f>
        <v>-7.4909977422372025</v>
      </c>
      <c r="C43" s="25">
        <f>'Plan2 (2)'!C43</f>
        <v>0.70251470640931024</v>
      </c>
      <c r="D43" s="25">
        <f>'Plan2 (2)'!D43</f>
        <v>-1.0974874871393361</v>
      </c>
      <c r="E43" s="25">
        <f t="shared" si="0"/>
        <v>0.70251470640931024</v>
      </c>
      <c r="F43" s="25">
        <f t="shared" si="1"/>
        <v>-1.0974874871393361</v>
      </c>
    </row>
    <row r="44" spans="1:6" x14ac:dyDescent="0.25">
      <c r="A44" s="25">
        <f>'Plan2 (2)'!A44</f>
        <v>3.1000000000000014</v>
      </c>
      <c r="B44" s="25">
        <f>'Plan2 (2)'!B44</f>
        <v>-7.4294744225120359</v>
      </c>
      <c r="C44" s="25">
        <f>'Plan2 (2)'!C44</f>
        <v>0.45370092786503374</v>
      </c>
      <c r="D44" s="25">
        <f>'Plan2 (2)'!D44</f>
        <v>-1.1361619655233977</v>
      </c>
      <c r="E44" s="25">
        <f t="shared" si="0"/>
        <v>0.45370092786503374</v>
      </c>
      <c r="F44" s="25">
        <f t="shared" si="1"/>
        <v>-1.1361619655233977</v>
      </c>
    </row>
    <row r="45" spans="1:6" x14ac:dyDescent="0.25">
      <c r="A45" s="25">
        <f>'Plan2 (2)'!A45</f>
        <v>3.2000000000000015</v>
      </c>
      <c r="B45" s="25">
        <f>'Plan2 (2)'!B45</f>
        <v>-7.3425062847435232</v>
      </c>
      <c r="C45" s="25">
        <f>'Plan2 (2)'!C45</f>
        <v>0.20763341138790964</v>
      </c>
      <c r="D45" s="25">
        <f>'Plan2 (2)'!D45</f>
        <v>-1.1692667128657921</v>
      </c>
      <c r="E45" s="25">
        <f t="shared" si="0"/>
        <v>0.20763341138790964</v>
      </c>
      <c r="F45" s="25">
        <f t="shared" si="1"/>
        <v>-1.1692667128657921</v>
      </c>
    </row>
    <row r="46" spans="1:6" x14ac:dyDescent="0.25">
      <c r="A46" s="25">
        <f>'Plan2 (2)'!A46</f>
        <v>3.3000000000000016</v>
      </c>
      <c r="B46" s="25">
        <f>'Plan2 (2)'!B46</f>
        <v>-7.230889861451872</v>
      </c>
      <c r="C46" s="25">
        <f>'Plan2 (2)'!C46</f>
        <v>-3.4701874159830975E-2</v>
      </c>
      <c r="D46" s="25">
        <f>'Plan2 (2)'!D46</f>
        <v>-1.1968612353910824</v>
      </c>
      <c r="E46" s="25">
        <f t="shared" si="0"/>
        <v>-3.4701874159830975E-2</v>
      </c>
      <c r="F46" s="25">
        <f t="shared" si="1"/>
        <v>-1.1968612353910824</v>
      </c>
    </row>
    <row r="47" spans="1:6" x14ac:dyDescent="0.25">
      <c r="A47" s="25">
        <f>'Plan2 (2)'!A47</f>
        <v>3.4000000000000017</v>
      </c>
      <c r="B47" s="25">
        <f>'Plan2 (2)'!B47</f>
        <v>-7.0955066790531331</v>
      </c>
      <c r="C47" s="25">
        <f>'Plan2 (2)'!C47</f>
        <v>-0.27237072699214804</v>
      </c>
      <c r="D47" s="25">
        <f>'Plan2 (2)'!D47</f>
        <v>-1.219017195744778</v>
      </c>
      <c r="E47" s="25">
        <f t="shared" si="0"/>
        <v>-0.27237072699214804</v>
      </c>
      <c r="F47" s="25">
        <f t="shared" si="1"/>
        <v>-1.219017195744778</v>
      </c>
    </row>
    <row r="48" spans="1:6" x14ac:dyDescent="0.25">
      <c r="A48" s="25">
        <f>'Plan2 (2)'!A48</f>
        <v>3.5000000000000018</v>
      </c>
      <c r="B48" s="25">
        <f>'Plan2 (2)'!B48</f>
        <v>-6.9373167508527827</v>
      </c>
      <c r="C48" s="25">
        <f>'Plan2 (2)'!C48</f>
        <v>-0.50449112204412161</v>
      </c>
      <c r="D48" s="25">
        <f>'Plan2 (2)'!D48</f>
        <v>-1.2358187119139359</v>
      </c>
      <c r="E48" s="25">
        <f t="shared" si="0"/>
        <v>-0.50449112204412161</v>
      </c>
      <c r="F48" s="25">
        <f t="shared" si="1"/>
        <v>-1.2358187119139359</v>
      </c>
    </row>
    <row r="49" spans="1:6" x14ac:dyDescent="0.25">
      <c r="A49" s="25">
        <f>'Plan2 (2)'!A49</f>
        <v>3.6000000000000019</v>
      </c>
      <c r="B49" s="25">
        <f>'Plan2 (2)'!B49</f>
        <v>-6.7573520837060723</v>
      </c>
      <c r="C49" s="25">
        <f>'Plan2 (2)'!C49</f>
        <v>-0.73023364589771567</v>
      </c>
      <c r="D49" s="25">
        <f>'Plan2 (2)'!D49</f>
        <v>-1.247362503174827</v>
      </c>
      <c r="E49" s="25">
        <f t="shared" si="0"/>
        <v>-0.73023364589771567</v>
      </c>
      <c r="F49" s="25">
        <f t="shared" si="1"/>
        <v>-1.247362503174827</v>
      </c>
    </row>
    <row r="50" spans="1:6" x14ac:dyDescent="0.25">
      <c r="A50" s="25">
        <f>'Plan2 (2)'!A50</f>
        <v>3.700000000000002</v>
      </c>
      <c r="B50" s="25">
        <f>'Plan2 (2)'!B50</f>
        <v>-6.5567102029859639</v>
      </c>
      <c r="C50" s="25">
        <f>'Plan2 (2)'!C50</f>
        <v>-0.94882192749717387</v>
      </c>
      <c r="D50" s="25">
        <f>'Plan2 (2)'!D50</f>
        <v>-1.2537578979073687</v>
      </c>
      <c r="E50" s="25">
        <f t="shared" si="0"/>
        <v>-0.94882192749717387</v>
      </c>
      <c r="F50" s="25">
        <f t="shared" si="1"/>
        <v>-1.2537578979073687</v>
      </c>
    </row>
    <row r="51" spans="1:6" x14ac:dyDescent="0.25">
      <c r="A51" s="25">
        <f>'Plan2 (2)'!A51</f>
        <v>3.800000000000002</v>
      </c>
      <c r="B51" s="25">
        <f>'Plan2 (2)'!B51</f>
        <v>-6.3365477026227524</v>
      </c>
      <c r="C51" s="25">
        <f>'Plan2 (2)'!C51</f>
        <v>-1.1595330391042551</v>
      </c>
      <c r="D51" s="25">
        <f>'Plan2 (2)'!D51</f>
        <v>-1.2551267168655387</v>
      </c>
      <c r="E51" s="25">
        <f t="shared" si="0"/>
        <v>-1.1595330391042551</v>
      </c>
      <c r="F51" s="25">
        <f t="shared" si="1"/>
        <v>-1.2551267168655387</v>
      </c>
    </row>
    <row r="52" spans="1:6" x14ac:dyDescent="0.25">
      <c r="A52" s="25">
        <f>'Plan2 (2)'!A52</f>
        <v>3.9000000000000021</v>
      </c>
      <c r="B52" s="25">
        <f>'Plan2 (2)'!B52</f>
        <v>-6.0980738287556999</v>
      </c>
      <c r="C52" s="25">
        <f>'Plan2 (2)'!C52</f>
        <v>-1.3616978455008233</v>
      </c>
      <c r="D52" s="25">
        <f>'Plan2 (2)'!D52</f>
        <v>-1.2516030443913806</v>
      </c>
      <c r="E52" s="25">
        <f t="shared" si="0"/>
        <v>-1.3616978455008233</v>
      </c>
      <c r="F52" s="25">
        <f t="shared" si="1"/>
        <v>-1.2516030443913806</v>
      </c>
    </row>
    <row r="53" spans="1:6" x14ac:dyDescent="0.25">
      <c r="A53" s="25">
        <f>'Plan2 (2)'!A53</f>
        <v>4.0000000000000018</v>
      </c>
      <c r="B53" s="25">
        <f>'Plan2 (2)'!B53</f>
        <v>-5.8425441070001636</v>
      </c>
      <c r="C53" s="25">
        <f>'Plan2 (2)'!C53</f>
        <v>-1.5547012826616811</v>
      </c>
      <c r="D53" s="25">
        <f>'Plan2 (2)'!D53</f>
        <v>-1.2433328990877246</v>
      </c>
      <c r="E53" s="25">
        <f t="shared" si="0"/>
        <v>-1.5547012826616811</v>
      </c>
      <c r="F53" s="25">
        <f t="shared" si="1"/>
        <v>-1.2433328990877246</v>
      </c>
    </row>
    <row r="54" spans="1:6" x14ac:dyDescent="0.25">
      <c r="A54" s="25">
        <f>'Plan2 (2)'!A54</f>
        <v>4.1000000000000014</v>
      </c>
      <c r="B54" s="25">
        <f>'Plan2 (2)'!B54</f>
        <v>-5.5712540245142943</v>
      </c>
      <c r="C54" s="25">
        <f>'Plan2 (2)'!C54</f>
        <v>-1.7379825500308557</v>
      </c>
      <c r="D54" s="25">
        <f>'Plan2 (2)'!D54</f>
        <v>-1.2304738146040544</v>
      </c>
      <c r="E54" s="25">
        <f t="shared" si="0"/>
        <v>-1.7379825500308557</v>
      </c>
      <c r="F54" s="25">
        <f t="shared" si="1"/>
        <v>-1.2304738146040544</v>
      </c>
    </row>
    <row r="55" spans="1:6" x14ac:dyDescent="0.25">
      <c r="A55" s="25">
        <f>'Plan2 (2)'!A55</f>
        <v>4.2000000000000011</v>
      </c>
      <c r="B55" s="25">
        <f>'Plan2 (2)'!B55</f>
        <v>-5.2855327789747584</v>
      </c>
      <c r="C55" s="25">
        <f>'Plan2 (2)'!C55</f>
        <v>-1.9110352031720899</v>
      </c>
      <c r="D55" s="25">
        <f>'Plan2 (2)'!D55</f>
        <v>-1.2131943404258585</v>
      </c>
      <c r="E55" s="25">
        <f t="shared" si="0"/>
        <v>-1.9110352031720899</v>
      </c>
      <c r="F55" s="25">
        <f t="shared" si="1"/>
        <v>-1.2131943404258585</v>
      </c>
    </row>
    <row r="56" spans="1:6" x14ac:dyDescent="0.25">
      <c r="A56" s="25">
        <f>'Plan2 (2)'!A56</f>
        <v>4.3000000000000007</v>
      </c>
      <c r="B56" s="25">
        <f>'Plan2 (2)'!B56</f>
        <v>-4.9867371072657916</v>
      </c>
      <c r="C56" s="25">
        <f>'Plan2 (2)'!C56</f>
        <v>-2.073407135957261</v>
      </c>
      <c r="D56" s="25">
        <f>'Plan2 (2)'!D56</f>
        <v>-1.1916734718769808</v>
      </c>
      <c r="E56" s="25">
        <f t="shared" si="0"/>
        <v>-2.073407135957261</v>
      </c>
      <c r="F56" s="25">
        <f t="shared" si="1"/>
        <v>-1.1916734718769808</v>
      </c>
    </row>
    <row r="57" spans="1:6" x14ac:dyDescent="0.25">
      <c r="A57" s="25">
        <f>'Plan2 (2)'!A57</f>
        <v>4.4000000000000004</v>
      </c>
      <c r="B57" s="25">
        <f>'Plan2 (2)'!B57</f>
        <v>-4.6762452071725065</v>
      </c>
      <c r="C57" s="25">
        <f>'Plan2 (2)'!C57</f>
        <v>-2.224700443629545</v>
      </c>
      <c r="D57" s="25">
        <f>'Plan2 (2)'!D57</f>
        <v>-1.1661000179352965</v>
      </c>
      <c r="E57" s="25">
        <f t="shared" si="0"/>
        <v>-2.224700443629545</v>
      </c>
      <c r="F57" s="25">
        <f t="shared" si="1"/>
        <v>-1.1661000179352965</v>
      </c>
    </row>
    <row r="58" spans="1:6" x14ac:dyDescent="0.25">
      <c r="A58" s="25">
        <f>'Plan2 (2)'!A58</f>
        <v>4.5</v>
      </c>
      <c r="B58" s="25">
        <f>'Plan2 (2)'!B58</f>
        <v>-4.3554507656679595</v>
      </c>
      <c r="C58" s="25">
        <f>'Plan2 (2)'!C58</f>
        <v>-2.3645711600529213</v>
      </c>
      <c r="D58" s="25">
        <f>'Plan2 (2)'!D58</f>
        <v>-1.1366719149142901</v>
      </c>
      <c r="E58" s="25">
        <f t="shared" si="0"/>
        <v>-2.3645711600529213</v>
      </c>
      <c r="F58" s="25">
        <f t="shared" si="1"/>
        <v>-1.1366719149142901</v>
      </c>
    </row>
    <row r="59" spans="1:6" x14ac:dyDescent="0.25">
      <c r="A59" s="25">
        <f>'Plan2 (2)'!A59</f>
        <v>4.5999999999999996</v>
      </c>
      <c r="B59" s="25">
        <f>'Plan2 (2)'!B59</f>
        <v>-4.0257571075124359</v>
      </c>
      <c r="C59" s="25">
        <f>'Plan2 (2)'!C59</f>
        <v>-2.4927288642549592</v>
      </c>
      <c r="D59" s="25">
        <f>'Plan2 (2)'!D59</f>
        <v>-1.103595493567922</v>
      </c>
      <c r="E59" s="25">
        <f t="shared" si="0"/>
        <v>-2.4927288642549592</v>
      </c>
      <c r="F59" s="25">
        <f t="shared" si="1"/>
        <v>-1.103595493567922</v>
      </c>
    </row>
    <row r="60" spans="1:6" x14ac:dyDescent="0.25">
      <c r="A60" s="25">
        <f>'Plan2 (2)'!A60</f>
        <v>4.6999999999999993</v>
      </c>
      <c r="B60" s="25">
        <f>'Plan2 (2)'!B60</f>
        <v>-3.6885714778594392</v>
      </c>
      <c r="C60" s="25">
        <f>'Plan2 (2)'!C60</f>
        <v>-2.6089361530022499</v>
      </c>
      <c r="D60" s="25">
        <f>'Plan2 (2)'!D60</f>
        <v>-1.0670847067257898</v>
      </c>
      <c r="E60" s="25">
        <f t="shared" si="0"/>
        <v>-2.6089361530022499</v>
      </c>
      <c r="F60" s="25">
        <f t="shared" si="1"/>
        <v>-1.0670847067257898</v>
      </c>
    </row>
    <row r="61" spans="1:6" x14ac:dyDescent="0.25">
      <c r="A61" s="25">
        <f>'Plan2 (2)'!A61</f>
        <v>4.7999999999999989</v>
      </c>
      <c r="B61" s="25">
        <f>'Plan2 (2)'!B61</f>
        <v>-3.3452994724014102</v>
      </c>
      <c r="C61" s="25">
        <f>'Plan2 (2)'!C61</f>
        <v>-2.7130079776317921</v>
      </c>
      <c r="D61" s="25">
        <f>'Plan2 (2)'!D61</f>
        <v>-1.0273603241533096</v>
      </c>
      <c r="E61" s="25">
        <f t="shared" si="0"/>
        <v>-2.7130079776317921</v>
      </c>
      <c r="F61" s="25">
        <f t="shared" si="1"/>
        <v>-1.0273603241533096</v>
      </c>
    </row>
    <row r="62" spans="1:6" x14ac:dyDescent="0.25">
      <c r="A62" s="25">
        <f>'Plan2 (2)'!A62</f>
        <v>4.8999999999999986</v>
      </c>
      <c r="B62" s="25">
        <f>'Plan2 (2)'!B62</f>
        <v>-2.9973396283032816</v>
      </c>
      <c r="C62" s="25">
        <f>'Plan2 (2)'!C62</f>
        <v>-2.8048108447097824</v>
      </c>
      <c r="D62" s="25">
        <f>'Plan2 (2)'!D62</f>
        <v>-0.98464910095160152</v>
      </c>
      <c r="E62" s="25">
        <f t="shared" si="0"/>
        <v>-2.8048108447097824</v>
      </c>
      <c r="F62" s="25">
        <f t="shared" si="1"/>
        <v>-0.98464910095160152</v>
      </c>
    </row>
    <row r="63" spans="1:6" x14ac:dyDescent="0.25">
      <c r="A63" s="25">
        <f>'Plan2 (2)'!A63</f>
        <v>4.9999999999999982</v>
      </c>
      <c r="B63" s="25">
        <f>'Plan2 (2)'!B63</f>
        <v>-2.6460781887766132</v>
      </c>
      <c r="C63" s="25">
        <f>'Plan2 (2)'!C63</f>
        <v>-2.8842618813126863</v>
      </c>
      <c r="D63" s="25">
        <f>'Plan2 (2)'!D63</f>
        <v>-0.93918292545894744</v>
      </c>
      <c r="E63" s="25">
        <f t="shared" si="0"/>
        <v>-2.8842618813126863</v>
      </c>
      <c r="F63" s="25">
        <f t="shared" si="1"/>
        <v>-0.93918292545894744</v>
      </c>
    </row>
    <row r="64" spans="1:6" x14ac:dyDescent="0.25">
      <c r="A64" s="25">
        <f>'Plan2 (2)'!A64</f>
        <v>5.0999999999999979</v>
      </c>
      <c r="B64" s="25">
        <f>'Plan2 (2)'!B64</f>
        <v>-2.2928840536532888</v>
      </c>
      <c r="C64" s="25">
        <f>'Plan2 (2)'!C64</f>
        <v>-2.9513277668339493</v>
      </c>
      <c r="D64" s="25">
        <f>'Plan2 (2)'!D64</f>
        <v>-0.89119795228572463</v>
      </c>
      <c r="E64" s="25">
        <f t="shared" si="0"/>
        <v>-2.9513277668339493</v>
      </c>
      <c r="F64" s="25">
        <f t="shared" si="1"/>
        <v>-0.89119795228572463</v>
      </c>
    </row>
    <row r="65" spans="1:6" x14ac:dyDescent="0.25">
      <c r="A65" s="25">
        <f>'Plan2 (2)'!A65</f>
        <v>5.1999999999999975</v>
      </c>
      <c r="B65" s="25">
        <f>'Plan2 (2)'!B65</f>
        <v>-1.9391039277366966</v>
      </c>
      <c r="C65" s="25">
        <f>'Plan2 (2)'!C65</f>
        <v>-3.0060235342218151</v>
      </c>
      <c r="D65" s="25">
        <f>'Plan2 (2)'!D65</f>
        <v>-0.84093372580389847</v>
      </c>
      <c r="E65" s="25">
        <f t="shared" si="0"/>
        <v>-3.0060235342218151</v>
      </c>
      <c r="F65" s="25">
        <f t="shared" si="1"/>
        <v>-0.84093372580389847</v>
      </c>
    </row>
    <row r="66" spans="1:6" x14ac:dyDescent="0.25">
      <c r="A66" s="25">
        <f>'Plan2 (2)'!A66</f>
        <v>5.2999999999999972</v>
      </c>
      <c r="B66" s="25">
        <f>'Plan2 (2)'!B66</f>
        <v>-1.586057678050367</v>
      </c>
      <c r="C66" s="25">
        <f>'Plan2 (2)'!C66</f>
        <v>-3.0484112444570424</v>
      </c>
      <c r="D66" s="25">
        <f>'Plan2 (2)'!D66</f>
        <v>-0.78863229911728272</v>
      </c>
      <c r="E66" s="25">
        <f t="shared" si="0"/>
        <v>-3.0484112444570424</v>
      </c>
      <c r="F66" s="25">
        <f t="shared" si="1"/>
        <v>-0.78863229911728272</v>
      </c>
    </row>
    <row r="67" spans="1:6" x14ac:dyDescent="0.25">
      <c r="A67" s="25">
        <f>'Plan2 (2)'!A67</f>
        <v>5.3999999999999968</v>
      </c>
      <c r="B67" s="25">
        <f>'Plan2 (2)'!B67</f>
        <v>-1.2350339103788555</v>
      </c>
      <c r="C67" s="25">
        <f>'Plan2 (2)'!C67</f>
        <v>-3.0785985388905379</v>
      </c>
      <c r="D67" s="25">
        <f>'Plan2 (2)'!D67</f>
        <v>-0.73453735325714442</v>
      </c>
      <c r="E67" s="25">
        <f t="shared" si="0"/>
        <v>-3.0785985388905379</v>
      </c>
      <c r="F67" s="25">
        <f t="shared" si="1"/>
        <v>-0.73453735325714442</v>
      </c>
    </row>
    <row r="68" spans="1:6" x14ac:dyDescent="0.25">
      <c r="A68" s="25">
        <f>'Plan2 (2)'!A68</f>
        <v>5.4999999999999964</v>
      </c>
      <c r="B68" s="25">
        <f>'Plan2 (2)'!B68</f>
        <v>-0.88728577471228975</v>
      </c>
      <c r="C68" s="25">
        <f>'Plan2 (2)'!C68</f>
        <v>-3.0967370747860343</v>
      </c>
      <c r="D68" s="25">
        <f>'Plan2 (2)'!D68</f>
        <v>-0.67889332107706291</v>
      </c>
      <c r="E68" s="25">
        <f t="shared" si="0"/>
        <v>-3.0967370747860343</v>
      </c>
      <c r="F68" s="25">
        <f t="shared" si="1"/>
        <v>-0.67889332107706291</v>
      </c>
    </row>
    <row r="69" spans="1:6" x14ac:dyDescent="0.25">
      <c r="A69" s="25">
        <f>'Plan2 (2)'!A69</f>
        <v>5.5999999999999961</v>
      </c>
      <c r="B69" s="25">
        <f>'Plan2 (2)'!B69</f>
        <v>-0.54402700837294393</v>
      </c>
      <c r="C69" s="25">
        <f>'Plan2 (2)'!C69</f>
        <v>-3.1030208500572249</v>
      </c>
      <c r="D69" s="25">
        <f>'Plan2 (2)'!D69</f>
        <v>-0.62194452005933809</v>
      </c>
      <c r="E69" s="25">
        <f t="shared" si="0"/>
        <v>-3.1030208500572249</v>
      </c>
      <c r="F69" s="25">
        <f t="shared" si="1"/>
        <v>-0.62194452005933809</v>
      </c>
    </row>
    <row r="70" spans="1:6" x14ac:dyDescent="0.25">
      <c r="A70" s="25">
        <f>'Plan2 (2)'!A70</f>
        <v>5.6999999999999957</v>
      </c>
      <c r="B70" s="25">
        <f>'Plan2 (2)'!B70</f>
        <v>-0.20642822472739808</v>
      </c>
      <c r="C70" s="25">
        <f>'Plan2 (2)'!C70</f>
        <v>-3.0976844237570234</v>
      </c>
      <c r="D70" s="25">
        <f>'Plan2 (2)'!D70</f>
        <v>-0.56393429799109818</v>
      </c>
      <c r="E70" s="25">
        <f t="shared" si="0"/>
        <v>-3.0976844237570234</v>
      </c>
      <c r="F70" s="25">
        <f t="shared" si="1"/>
        <v>-0.56393429799109818</v>
      </c>
    </row>
    <row r="71" spans="1:6" x14ac:dyDescent="0.25">
      <c r="A71" s="25">
        <f>'Plan2 (2)'!A71</f>
        <v>5.7999999999999954</v>
      </c>
      <c r="B71" s="25">
        <f>'Plan2 (2)'!B71</f>
        <v>0.12438654552119144</v>
      </c>
      <c r="C71" s="25">
        <f>'Plan2 (2)'!C71</f>
        <v>-3.0810010393731084</v>
      </c>
      <c r="D71" s="25">
        <f>'Plan2 (2)'!D71</f>
        <v>-0.50510419522029881</v>
      </c>
      <c r="E71" s="25">
        <f t="shared" si="0"/>
        <v>-3.0810010393731084</v>
      </c>
      <c r="F71" s="25">
        <f t="shared" si="1"/>
        <v>-0.50510419522029881</v>
      </c>
    </row>
    <row r="72" spans="1:6" x14ac:dyDescent="0.25">
      <c r="A72" s="25">
        <f>'Plan2 (2)'!A72</f>
        <v>5.899999999999995</v>
      </c>
      <c r="B72" s="25">
        <f>'Plan2 (2)'!B72</f>
        <v>0.44734305440240574</v>
      </c>
      <c r="C72" s="25">
        <f>'Plan2 (2)'!C72</f>
        <v>-3.053280658412608</v>
      </c>
      <c r="D72" s="25">
        <f>'Plan2 (2)'!D72</f>
        <v>-0.44569312695898378</v>
      </c>
      <c r="E72" s="25">
        <f t="shared" si="0"/>
        <v>-3.053280658412608</v>
      </c>
      <c r="F72" s="25">
        <f t="shared" si="1"/>
        <v>-0.44569312695898378</v>
      </c>
    </row>
    <row r="73" spans="1:6" x14ac:dyDescent="0.25">
      <c r="A73" s="25">
        <f>'Plan2 (2)'!A73</f>
        <v>5.9999999999999947</v>
      </c>
      <c r="B73" s="25">
        <f>'Plan2 (2)'!B73</f>
        <v>0.76141977300791053</v>
      </c>
      <c r="C73" s="25">
        <f>'Plan2 (2)'!C73</f>
        <v>-3.0148679121231812</v>
      </c>
      <c r="D73" s="25">
        <f>'Plan2 (2)'!D73</f>
        <v>-0.38593658886268695</v>
      </c>
      <c r="E73" s="25">
        <f t="shared" si="0"/>
        <v>-3.0148679121231812</v>
      </c>
      <c r="F73" s="25">
        <f t="shared" si="1"/>
        <v>-0.38593658886268695</v>
      </c>
    </row>
    <row r="74" spans="1:6" x14ac:dyDescent="0.25">
      <c r="A74" s="25">
        <f>'Plan2 (2)'!A74</f>
        <v>6.0999999999999943</v>
      </c>
      <c r="B74" s="25">
        <f>'Plan2 (2)'!B74</f>
        <v>1.0656505599502966</v>
      </c>
      <c r="C74" s="25">
        <f>'Plan2 (2)'!C74</f>
        <v>-2.9661399795012326</v>
      </c>
      <c r="D74" s="25">
        <f>'Plan2 (2)'!D74</f>
        <v>-0.32606588888006749</v>
      </c>
      <c r="E74" s="25">
        <f t="shared" si="0"/>
        <v>-2.9661399795012326</v>
      </c>
      <c r="F74" s="25">
        <f t="shared" si="1"/>
        <v>-0.32606588888006749</v>
      </c>
    </row>
    <row r="75" spans="1:6" x14ac:dyDescent="0.25">
      <c r="A75" s="25">
        <f>'Plan2 (2)'!A75</f>
        <v>6.199999999999994</v>
      </c>
      <c r="B75" s="25">
        <f>'Plan2 (2)'!B75</f>
        <v>1.3591270588002342</v>
      </c>
      <c r="C75" s="25">
        <f>'Plan2 (2)'!C75</f>
        <v>-2.9075043999835741</v>
      </c>
      <c r="D75" s="25">
        <f>'Plan2 (2)'!D75</f>
        <v>-0.26630740813533188</v>
      </c>
      <c r="E75" s="25">
        <f t="shared" si="0"/>
        <v>-2.9075043999835741</v>
      </c>
      <c r="F75" s="25">
        <f t="shared" si="1"/>
        <v>-0.26630740813533188</v>
      </c>
    </row>
    <row r="76" spans="1:6" x14ac:dyDescent="0.25">
      <c r="A76" s="25">
        <f>'Plan2 (2)'!A76</f>
        <v>6.2999999999999936</v>
      </c>
      <c r="B76" s="25">
        <f>'Plan2 (2)'!B76</f>
        <v>1.6410008223328876</v>
      </c>
      <c r="C76" s="25">
        <f>'Plan2 (2)'!C76</f>
        <v>-2.839396829409393</v>
      </c>
      <c r="D76" s="25">
        <f>'Plan2 (2)'!D76</f>
        <v>-0.20688189337740706</v>
      </c>
      <c r="E76" s="25">
        <f t="shared" si="0"/>
        <v>-2.839396829409393</v>
      </c>
      <c r="F76" s="25">
        <f t="shared" si="1"/>
        <v>-0.20688189337740706</v>
      </c>
    </row>
    <row r="77" spans="1:6" x14ac:dyDescent="0.25">
      <c r="A77" s="25">
        <f>'Plan2 (2)'!A77</f>
        <v>6.3999999999999932</v>
      </c>
      <c r="B77" s="25">
        <f>'Plan2 (2)'!B77</f>
        <v>1.9104851623941828</v>
      </c>
      <c r="C77" s="25">
        <f>'Plan2 (2)'!C77</f>
        <v>-2.7622787479776632</v>
      </c>
      <c r="D77" s="25">
        <f>'Plan2 (2)'!D77</f>
        <v>-0.1480037833040003</v>
      </c>
      <c r="E77" s="25">
        <f t="shared" ref="E77:E140" si="2">IF(A77&lt;=$C$8,C77,NA())</f>
        <v>-2.7622787479776632</v>
      </c>
      <c r="F77" s="25">
        <f t="shared" ref="F77:F140" si="3">IF(A77&lt;=$C$8,D77,NA())</f>
        <v>-0.1480037833040003</v>
      </c>
    </row>
    <row r="78" spans="1:6" x14ac:dyDescent="0.25">
      <c r="A78" s="25">
        <f>'Plan2 (2)'!A78</f>
        <v>6.4999999999999929</v>
      </c>
      <c r="B78" s="25">
        <f>'Plan2 (2)'!B78</f>
        <v>2.1668567251697457</v>
      </c>
      <c r="C78" s="25">
        <f>'Plan2 (2)'!C78</f>
        <v>-2.6766351290136652</v>
      </c>
      <c r="D78" s="25">
        <f>'Plan2 (2)'!D78</f>
        <v>-8.988057084555115E-2</v>
      </c>
      <c r="E78" s="25">
        <f t="shared" si="2"/>
        <v>-2.6766351290136652</v>
      </c>
      <c r="F78" s="25">
        <f t="shared" si="3"/>
        <v>-8.988057084555115E-2</v>
      </c>
    </row>
    <row r="79" spans="1:6" x14ac:dyDescent="0.25">
      <c r="A79" s="25">
        <f>'Plan2 (2)'!A79</f>
        <v>6.5999999999999925</v>
      </c>
      <c r="B79" s="25">
        <f>'Plan2 (2)'!B79</f>
        <v>2.4094567925994843</v>
      </c>
      <c r="C79" s="25">
        <f>'Plan2 (2)'!C79</f>
        <v>-2.5829720773995923</v>
      </c>
      <c r="D79" s="25">
        <f>'Plan2 (2)'!D79</f>
        <v>-3.2712203273665141E-2</v>
      </c>
      <c r="E79" s="25">
        <f t="shared" si="2"/>
        <v>-2.5829720773995923</v>
      </c>
      <c r="F79" s="25">
        <f t="shared" si="3"/>
        <v>-3.2712203273665141E-2</v>
      </c>
    </row>
    <row r="80" spans="1:6" x14ac:dyDescent="0.25">
      <c r="A80" s="25">
        <f>'Plan2 (2)'!A80</f>
        <v>6.6999999999999922</v>
      </c>
      <c r="B80" s="25">
        <f>'Plan2 (2)'!B80</f>
        <v>2.6376923116245279</v>
      </c>
      <c r="C80" s="25">
        <f>'Plan2 (2)'!C80</f>
        <v>-2.4818144465206942</v>
      </c>
      <c r="D80" s="25">
        <f>'Plan2 (2)'!D80</f>
        <v>2.3309478218976942E-2</v>
      </c>
      <c r="E80" s="25">
        <f t="shared" si="2"/>
        <v>-2.4818144465206942</v>
      </c>
      <c r="F80" s="25">
        <f t="shared" si="3"/>
        <v>2.3309478218976942E-2</v>
      </c>
    </row>
    <row r="81" spans="1:6" x14ac:dyDescent="0.25">
      <c r="A81" s="25">
        <f>'Plan2 (2)'!A81</f>
        <v>6.7999999999999918</v>
      </c>
      <c r="B81" s="25">
        <f>'Plan2 (2)'!B81</f>
        <v>2.8510366538765091</v>
      </c>
      <c r="C81" s="25">
        <f>'Plan2 (2)'!C81</f>
        <v>-2.3737034425323689</v>
      </c>
      <c r="D81" s="25">
        <f>'Plan2 (2)'!D81</f>
        <v>7.8001258034851723E-2</v>
      </c>
      <c r="E81" s="25">
        <f t="shared" si="2"/>
        <v>-2.3737034425323689</v>
      </c>
      <c r="F81" s="25">
        <f t="shared" si="3"/>
        <v>7.8001258034851723E-2</v>
      </c>
    </row>
    <row r="82" spans="1:6" x14ac:dyDescent="0.25">
      <c r="A82" s="25">
        <f>'Plan2 (2)'!A82</f>
        <v>6.8999999999999915</v>
      </c>
      <c r="B82" s="25">
        <f>'Plan2 (2)'!B82</f>
        <v>3.0490301093181595</v>
      </c>
      <c r="C82" s="25">
        <f>'Plan2 (2)'!C82</f>
        <v>-2.259194224667362</v>
      </c>
      <c r="D82" s="25">
        <f>'Plan2 (2)'!D82</f>
        <v>0.13118902356298959</v>
      </c>
      <c r="E82" s="25">
        <f t="shared" si="2"/>
        <v>-2.259194224667362</v>
      </c>
      <c r="F82" s="25">
        <f t="shared" si="3"/>
        <v>0.13118902356298959</v>
      </c>
    </row>
    <row r="83" spans="1:6" x14ac:dyDescent="0.25">
      <c r="A83" s="25">
        <f>'Plan2 (2)'!A83</f>
        <v>6.9999999999999911</v>
      </c>
      <c r="B83" s="25">
        <f>'Plan2 (2)'!B83</f>
        <v>3.2312801182153992</v>
      </c>
      <c r="C83" s="25">
        <f>'Plan2 (2)'!C83</f>
        <v>-2.13885351017798</v>
      </c>
      <c r="D83" s="25">
        <f>'Plan2 (2)'!D83</f>
        <v>0.18270819943248853</v>
      </c>
      <c r="E83" s="25">
        <f t="shared" si="2"/>
        <v>-2.13885351017798</v>
      </c>
      <c r="F83" s="25">
        <f t="shared" si="3"/>
        <v>0.18270819943248853</v>
      </c>
    </row>
    <row r="84" spans="1:6" x14ac:dyDescent="0.25">
      <c r="A84" s="25">
        <f>'Plan2 (2)'!A84</f>
        <v>7.0999999999999908</v>
      </c>
      <c r="B84" s="25">
        <f>'Plan2 (2)'!B84</f>
        <v>3.3974612466612819</v>
      </c>
      <c r="C84" s="25">
        <f>'Plan2 (2)'!C84</f>
        <v>-2.0132571923482003</v>
      </c>
      <c r="D84" s="25">
        <f>'Plan2 (2)'!D84</f>
        <v>0.23240413781925778</v>
      </c>
      <c r="E84" s="25">
        <f t="shared" si="2"/>
        <v>-2.0132571923482003</v>
      </c>
      <c r="F84" s="25">
        <f t="shared" si="3"/>
        <v>0.23240413781925778</v>
      </c>
    </row>
    <row r="85" spans="1:6" x14ac:dyDescent="0.25">
      <c r="A85" s="25">
        <f>'Plan2 (2)'!A85</f>
        <v>7.1999999999999904</v>
      </c>
      <c r="B85" s="25">
        <f>'Plan2 (2)'!B85</f>
        <v>3.5473149116783032</v>
      </c>
      <c r="C85" s="25">
        <f>'Plan2 (2)'!C85</f>
        <v>-1.8829879798169462</v>
      </c>
      <c r="D85" s="25">
        <f>'Plan2 (2)'!D85</f>
        <v>0.28013246419716381</v>
      </c>
      <c r="E85" s="25">
        <f t="shared" si="2"/>
        <v>-1.8829879798169462</v>
      </c>
      <c r="F85" s="25">
        <f t="shared" si="3"/>
        <v>0.28013246419716381</v>
      </c>
    </row>
    <row r="86" spans="1:6" x14ac:dyDescent="0.25">
      <c r="A86" s="25">
        <f>'Plan2 (2)'!A86</f>
        <v>7.2999999999999901</v>
      </c>
      <c r="B86" s="25">
        <f>'Plan2 (2)'!B86</f>
        <v>3.6806488626949947</v>
      </c>
      <c r="C86" s="25">
        <f>'Plan2 (2)'!C86</f>
        <v>-1.7486330652287401</v>
      </c>
      <c r="D86" s="25">
        <f>'Plan2 (2)'!D86</f>
        <v>0.32575937812036437</v>
      </c>
      <c r="E86" s="25">
        <f t="shared" si="2"/>
        <v>-1.7486330652287401</v>
      </c>
      <c r="F86" s="25">
        <f t="shared" si="3"/>
        <v>0.32575937812036437</v>
      </c>
    </row>
    <row r="87" spans="1:6" x14ac:dyDescent="0.25">
      <c r="A87" s="25">
        <f>'Plan2 (2)'!A87</f>
        <v>7.3999999999999897</v>
      </c>
      <c r="B87" s="25">
        <f>'Plan2 (2)'!B87</f>
        <v>3.7973364269229144</v>
      </c>
      <c r="C87" s="25">
        <f>'Plan2 (2)'!C87</f>
        <v>-1.6107818309736301</v>
      </c>
      <c r="D87" s="25">
        <f>'Plan2 (2)'!D87</f>
        <v>0.36916190881442634</v>
      </c>
      <c r="E87" s="25">
        <f t="shared" si="2"/>
        <v>-1.6107818309736301</v>
      </c>
      <c r="F87" s="25">
        <f t="shared" si="3"/>
        <v>0.36916190881442634</v>
      </c>
    </row>
    <row r="88" spans="1:6" x14ac:dyDescent="0.25">
      <c r="A88" s="25">
        <f>'Plan2 (2)'!A88</f>
        <v>7.4999999999999893</v>
      </c>
      <c r="B88" s="25">
        <f>'Plan2 (2)'!B88</f>
        <v>3.8973155268489048</v>
      </c>
      <c r="C88" s="25">
        <f>'Plan2 (2)'!C88</f>
        <v>-1.4700235994968085</v>
      </c>
      <c r="D88" s="25">
        <f>'Plan2 (2)'!D88</f>
        <v>0.41022812553946386</v>
      </c>
      <c r="E88" s="25">
        <f t="shared" si="2"/>
        <v>-1.4700235994968085</v>
      </c>
      <c r="F88" s="25">
        <f t="shared" si="3"/>
        <v>0.41022812553946386</v>
      </c>
    </row>
    <row r="89" spans="1:6" x14ac:dyDescent="0.25">
      <c r="A89" s="25">
        <f>'Plan2 (2)'!A89</f>
        <v>7.599999999999989</v>
      </c>
      <c r="B89" s="25">
        <f>'Plan2 (2)'!B89</f>
        <v>3.9805874787028457</v>
      </c>
      <c r="C89" s="25">
        <f>'Plan2 (2)'!C89</f>
        <v>-1.3269454353518628</v>
      </c>
      <c r="D89" s="25">
        <f>'Plan2 (2)'!D89</f>
        <v>0.44885730286864006</v>
      </c>
      <c r="E89" s="25">
        <f t="shared" si="2"/>
        <v>-1.3269454353518628</v>
      </c>
      <c r="F89" s="25">
        <f t="shared" si="3"/>
        <v>0.44885730286864006</v>
      </c>
    </row>
    <row r="90" spans="1:6" x14ac:dyDescent="0.25">
      <c r="A90" s="25">
        <f>'Plan2 (2)'!A90</f>
        <v>7.6999999999999886</v>
      </c>
      <c r="B90" s="25">
        <f>'Plan2 (2)'!B90</f>
        <v>4.0472155813613524</v>
      </c>
      <c r="C90" s="25">
        <f>'Plan2 (2)'!C90</f>
        <v>-1.1821300058422179</v>
      </c>
      <c r="D90" s="25">
        <f>'Plan2 (2)'!D90</f>
        <v>0.48496004119958552</v>
      </c>
      <c r="E90" s="25">
        <f t="shared" si="2"/>
        <v>-1.1821300058422179</v>
      </c>
      <c r="F90" s="25">
        <f t="shared" si="3"/>
        <v>0.48496004119958552</v>
      </c>
    </row>
    <row r="91" spans="1:6" x14ac:dyDescent="0.25">
      <c r="A91" s="25">
        <f>'Plan2 (2)'!A91</f>
        <v>7.7999999999999883</v>
      </c>
      <c r="B91" s="25">
        <f>'Plan2 (2)'!B91</f>
        <v>4.0973235057014881</v>
      </c>
      <c r="C91" s="25">
        <f>'Plan2 (2)'!C91</f>
        <v>-1.0361535067451442</v>
      </c>
      <c r="D91" s="25">
        <f>'Plan2 (2)'!D91</f>
        <v>0.51845834298424565</v>
      </c>
      <c r="E91" s="25">
        <f t="shared" si="2"/>
        <v>-1.0361535067451442</v>
      </c>
      <c r="F91" s="25">
        <f t="shared" si="3"/>
        <v>0.51845834298424565</v>
      </c>
    </row>
    <row r="92" spans="1:6" x14ac:dyDescent="0.25">
      <c r="A92" s="25">
        <f>'Plan2 (2)'!A92</f>
        <v>7.8999999999999879</v>
      </c>
      <c r="B92" s="25">
        <f>'Plan2 (2)'!B92</f>
        <v>4.1310934949243219</v>
      </c>
      <c r="C92" s="25">
        <f>'Plan2 (2)'!C92</f>
        <v>-0.88958365924381932</v>
      </c>
      <c r="D92" s="25">
        <f>'Plan2 (2)'!D92</f>
        <v>0.54928564532403656</v>
      </c>
      <c r="E92" s="25">
        <f t="shared" si="2"/>
        <v>-0.88958365924381932</v>
      </c>
      <c r="F92" s="25">
        <f t="shared" si="3"/>
        <v>0.54928564532403656</v>
      </c>
    </row>
    <row r="93" spans="1:6" x14ac:dyDescent="0.25">
      <c r="A93" s="25">
        <f>'Plan2 (2)'!A93</f>
        <v>7.9999999999999876</v>
      </c>
      <c r="B93" s="25">
        <f>'Plan2 (2)'!B93</f>
        <v>4.148764386825051</v>
      </c>
      <c r="C93" s="25">
        <f>'Plan2 (2)'!C93</f>
        <v>-0.74297778380740587</v>
      </c>
      <c r="D93" s="25">
        <f>'Plan2 (2)'!D93</f>
        <v>0.57738680973163459</v>
      </c>
      <c r="E93" s="25">
        <f t="shared" si="2"/>
        <v>-0.74297778380740587</v>
      </c>
      <c r="F93" s="25">
        <f t="shared" si="3"/>
        <v>0.57738680973163459</v>
      </c>
    </row>
    <row r="94" spans="1:6" x14ac:dyDescent="0.25">
      <c r="A94" s="25">
        <f>'Plan2 (2)'!A94</f>
        <v>8.0999999999999872</v>
      </c>
      <c r="B94" s="25">
        <f>'Plan2 (2)'!B94</f>
        <v>4.1506294693936443</v>
      </c>
      <c r="C94" s="25">
        <f>'Plan2 (2)'!C94</f>
        <v>-0.59688095635899963</v>
      </c>
      <c r="D94" s="25">
        <f>'Plan2 (2)'!D94</f>
        <v>0.60271807000794186</v>
      </c>
      <c r="E94" s="25">
        <f t="shared" si="2"/>
        <v>-0.59688095635899963</v>
      </c>
      <c r="F94" s="25">
        <f t="shared" si="3"/>
        <v>0.60271807000794186</v>
      </c>
    </row>
    <row r="95" spans="1:6" x14ac:dyDescent="0.25">
      <c r="A95" s="25">
        <f>'Plan2 (2)'!A95</f>
        <v>8.1999999999999869</v>
      </c>
      <c r="B95" s="25">
        <f>'Plan2 (2)'!B95</f>
        <v>4.1370341814869898</v>
      </c>
      <c r="C95" s="25">
        <f>'Plan2 (2)'!C95</f>
        <v>-0.45182425165864964</v>
      </c>
      <c r="D95" s="25">
        <f>'Plan2 (2)'!D95</f>
        <v>0.62524693932247122</v>
      </c>
      <c r="E95" s="25">
        <f t="shared" si="2"/>
        <v>-0.45182425165864964</v>
      </c>
      <c r="F95" s="25">
        <f t="shared" si="3"/>
        <v>0.62524693932247122</v>
      </c>
    </row>
    <row r="96" spans="1:6" x14ac:dyDescent="0.25">
      <c r="A96" s="25">
        <f>'Plan2 (2)'!A96</f>
        <v>8.2999999999999865</v>
      </c>
      <c r="B96" s="25">
        <f>'Plan2 (2)'!B96</f>
        <v>4.1083736706199767</v>
      </c>
      <c r="C96" s="25">
        <f>'Plan2 (2)'!C96</f>
        <v>-0.30832307840545087</v>
      </c>
      <c r="D96" s="25">
        <f>'Plan2 (2)'!D96</f>
        <v>0.64495207771730667</v>
      </c>
      <c r="E96" s="25">
        <f t="shared" si="2"/>
        <v>-0.30832307840545087</v>
      </c>
      <c r="F96" s="25">
        <f t="shared" si="3"/>
        <v>0.64495207771730667</v>
      </c>
    </row>
    <row r="97" spans="1:6" x14ac:dyDescent="0.25">
      <c r="A97" s="25">
        <f>'Plan2 (2)'!A97</f>
        <v>8.3999999999999861</v>
      </c>
      <c r="B97" s="25">
        <f>'Plan2 (2)'!B97</f>
        <v>4.0650902201787291</v>
      </c>
      <c r="C97" s="25">
        <f>'Plan2 (2)'!C97</f>
        <v>-0.16687561013095348</v>
      </c>
      <c r="D97" s="25">
        <f>'Plan2 (2)'!D97</f>
        <v>0.66182312137868804</v>
      </c>
      <c r="E97" s="25">
        <f t="shared" si="2"/>
        <v>-0.16687561013095348</v>
      </c>
      <c r="F97" s="25">
        <f t="shared" si="3"/>
        <v>0.66182312137868804</v>
      </c>
    </row>
    <row r="98" spans="1:6" x14ac:dyDescent="0.25">
      <c r="A98" s="25">
        <f>'Plan2 (2)'!A98</f>
        <v>8.4999999999999858</v>
      </c>
      <c r="B98" s="25">
        <f>'Plan2 (2)'!B98</f>
        <v>4.0076705585643477</v>
      </c>
      <c r="C98" s="25">
        <f>'Plan2 (2)'!C98</f>
        <v>-2.7961315517752772E-2</v>
      </c>
      <c r="D98" s="25">
        <f>'Plan2 (2)'!D98</f>
        <v>0.67586047513591774</v>
      </c>
      <c r="E98" s="25">
        <f t="shared" si="2"/>
        <v>-2.7961315517752772E-2</v>
      </c>
      <c r="F98" s="25">
        <f t="shared" si="3"/>
        <v>0.67586047513591774</v>
      </c>
    </row>
    <row r="99" spans="1:6" x14ac:dyDescent="0.25">
      <c r="A99" s="25">
        <f>'Plan2 (2)'!A99</f>
        <v>8.5999999999999854</v>
      </c>
      <c r="B99" s="25">
        <f>'Plan2 (2)'!B99</f>
        <v>3.9366430629303135</v>
      </c>
      <c r="C99" s="25">
        <f>'Plan2 (2)'!C99</f>
        <v>0.10796040866596121</v>
      </c>
      <c r="D99" s="25">
        <f>'Plan2 (2)'!D99</f>
        <v>0.68707506975451049</v>
      </c>
      <c r="E99" s="25">
        <f t="shared" si="2"/>
        <v>0.10796040866596121</v>
      </c>
      <c r="F99" s="25">
        <f t="shared" si="3"/>
        <v>0.68707506975451049</v>
      </c>
    </row>
    <row r="100" spans="1:6" x14ac:dyDescent="0.25">
      <c r="A100" s="25">
        <f>'Plan2 (2)'!A100</f>
        <v>8.6999999999999851</v>
      </c>
      <c r="B100" s="25">
        <f>'Plan2 (2)'!B100</f>
        <v>3.8525748702816487</v>
      </c>
      <c r="C100" s="25">
        <f>'Plan2 (2)'!C100</f>
        <v>0.2404514992710424</v>
      </c>
      <c r="D100" s="25">
        <f>'Plan2 (2)'!D100</f>
        <v>0.69548808568914</v>
      </c>
      <c r="E100" s="25">
        <f t="shared" si="2"/>
        <v>0.2404514992710424</v>
      </c>
      <c r="F100" s="25">
        <f t="shared" si="3"/>
        <v>0.69548808568914</v>
      </c>
    </row>
    <row r="101" spans="1:6" x14ac:dyDescent="0.25">
      <c r="A101" s="25">
        <f>'Plan2 (2)'!A101</f>
        <v>8.7999999999999847</v>
      </c>
      <c r="B101" s="25">
        <f>'Plan2 (2)'!B101</f>
        <v>3.7560689087595986</v>
      </c>
      <c r="C101" s="25">
        <f>'Plan2 (2)'!C101</f>
        <v>0.36909638081330831</v>
      </c>
      <c r="D101" s="25">
        <f>'Plan2 (2)'!D101</f>
        <v>0.7011306450518574</v>
      </c>
      <c r="E101" s="25">
        <f t="shared" si="2"/>
        <v>0.36909638081330831</v>
      </c>
      <c r="F101" s="25">
        <f t="shared" si="3"/>
        <v>0.7011306450518574</v>
      </c>
    </row>
    <row r="102" spans="1:6" x14ac:dyDescent="0.25">
      <c r="A102" s="25">
        <f>'Plan2 (2)'!A102</f>
        <v>8.8999999999999844</v>
      </c>
      <c r="B102" s="25">
        <f>'Plan2 (2)'!B102</f>
        <v>3.647760861942893</v>
      </c>
      <c r="C102" s="25">
        <f>'Plan2 (2)'!C102</f>
        <v>0.49350301000902197</v>
      </c>
      <c r="D102" s="25">
        <f>'Plan2 (2)'!D102</f>
        <v>0.70404347363215602</v>
      </c>
      <c r="E102" s="25">
        <f t="shared" si="2"/>
        <v>0.49350301000902197</v>
      </c>
      <c r="F102" s="25">
        <f t="shared" si="3"/>
        <v>0.70404347363215602</v>
      </c>
    </row>
    <row r="103" spans="1:6" x14ac:dyDescent="0.25">
      <c r="A103" s="25">
        <f>'Plan2 (2)'!A103</f>
        <v>8.999999999999984</v>
      </c>
      <c r="B103" s="25">
        <f>'Plan2 (2)'!B103</f>
        <v>3.5283160789565167</v>
      </c>
      <c r="C103" s="25">
        <f>'Plan2 (2)'!C103</f>
        <v>0.61330380939193119</v>
      </c>
      <c r="D103" s="25">
        <f>'Plan2 (2)'!D103</f>
        <v>0.70427653487767161</v>
      </c>
      <c r="E103" s="25">
        <f t="shared" si="2"/>
        <v>0.61330380939193119</v>
      </c>
      <c r="F103" s="25">
        <f t="shared" si="3"/>
        <v>0.70427653487767161</v>
      </c>
    </row>
    <row r="104" spans="1:6" x14ac:dyDescent="0.25">
      <c r="A104" s="25">
        <f>'Plan2 (2)'!A104</f>
        <v>9.0999999999999837</v>
      </c>
      <c r="B104" s="25">
        <f>'Plan2 (2)'!B104</f>
        <v>3.3984264430925339</v>
      </c>
      <c r="C104" s="25">
        <f>'Plan2 (2)'!C104</f>
        <v>0.72815648904343178</v>
      </c>
      <c r="D104" s="25">
        <f>'Plan2 (2)'!D104</f>
        <v>0.70188863780759658</v>
      </c>
      <c r="E104" s="25">
        <f t="shared" si="2"/>
        <v>0.72815648904343178</v>
      </c>
      <c r="F104" s="25">
        <f t="shared" si="3"/>
        <v>0.70188863780759658</v>
      </c>
    </row>
    <row r="105" spans="1:6" x14ac:dyDescent="0.25">
      <c r="A105" s="25">
        <f>'Plan2 (2)'!A105</f>
        <v>9.1999999999999833</v>
      </c>
      <c r="B105" s="25">
        <f>'Plan2 (2)'!B105</f>
        <v>3.2588072115161859</v>
      </c>
      <c r="C105" s="25">
        <f>'Plan2 (2)'!C105</f>
        <v>0.83774475590125552</v>
      </c>
      <c r="D105" s="25">
        <f>'Plan2 (2)'!D105</f>
        <v>0.69694702088523919</v>
      </c>
      <c r="E105" s="25">
        <f t="shared" si="2"/>
        <v>0.83774475590125552</v>
      </c>
      <c r="F105" s="25">
        <f t="shared" si="3"/>
        <v>0.69694702088523919</v>
      </c>
    </row>
    <row r="106" spans="1:6" x14ac:dyDescent="0.25">
      <c r="A106" s="25">
        <f>'Plan2 (2)'!A106</f>
        <v>9.2999999999999829</v>
      </c>
      <c r="B106" s="25">
        <f>'Plan2 (2)'!B106</f>
        <v>3.1101938384556562</v>
      </c>
      <c r="C106" s="25">
        <f>'Plan2 (2)'!C106</f>
        <v>0.94177891053863183</v>
      </c>
      <c r="D106" s="25">
        <f>'Plan2 (2)'!D106</f>
        <v>0.68952691392159926</v>
      </c>
      <c r="E106" s="25">
        <f t="shared" si="2"/>
        <v>0.94177891053863183</v>
      </c>
      <c r="F106" s="25">
        <f t="shared" si="3"/>
        <v>0.68952691392159926</v>
      </c>
    </row>
    <row r="107" spans="1:6" x14ac:dyDescent="0.25">
      <c r="A107" s="25">
        <f>'Plan2 (2)'!A107</f>
        <v>9.3999999999999826</v>
      </c>
      <c r="B107" s="25">
        <f>'Plan2 (2)'!B107</f>
        <v>2.9533387940571627</v>
      </c>
      <c r="C107" s="25">
        <f>'Plan2 (2)'!C107</f>
        <v>1.0399963317236769</v>
      </c>
      <c r="D107" s="25">
        <f>'Plan2 (2)'!D107</f>
        <v>0.67971108011840731</v>
      </c>
      <c r="E107" s="25">
        <f t="shared" si="2"/>
        <v>1.0399963317236769</v>
      </c>
      <c r="F107" s="25">
        <f t="shared" si="3"/>
        <v>0.67971108011840731</v>
      </c>
    </row>
    <row r="108" spans="1:6" x14ac:dyDescent="0.25">
      <c r="A108" s="25">
        <f>'Plan2 (2)'!A108</f>
        <v>9.4999999999999822</v>
      </c>
      <c r="B108" s="25">
        <f>'Plan2 (2)'!B108</f>
        <v>2.7890083908301051</v>
      </c>
      <c r="C108" s="25">
        <f>'Plan2 (2)'!C108</f>
        <v>1.132161849476413</v>
      </c>
      <c r="D108" s="25">
        <f>'Plan2 (2)'!D108</f>
        <v>0.66758934038686712</v>
      </c>
      <c r="E108" s="25">
        <f t="shared" si="2"/>
        <v>1.132161849476413</v>
      </c>
      <c r="F108" s="25">
        <f t="shared" si="3"/>
        <v>0.66758934038686712</v>
      </c>
    </row>
    <row r="109" spans="1:6" x14ac:dyDescent="0.25">
      <c r="A109" s="25">
        <f>'Plan2 (2)'!A109</f>
        <v>9.5999999999999819</v>
      </c>
      <c r="B109" s="25">
        <f>'Plan2 (2)'!B109</f>
        <v>2.6179796293116748</v>
      </c>
      <c r="C109" s="25">
        <f>'Plan2 (2)'!C109</f>
        <v>1.2180680077370005</v>
      </c>
      <c r="D109" s="25">
        <f>'Plan2 (2)'!D109</f>
        <v>0.65325808209746217</v>
      </c>
      <c r="E109" s="25">
        <f t="shared" si="2"/>
        <v>1.2180680077370005</v>
      </c>
      <c r="F109" s="25">
        <f t="shared" si="3"/>
        <v>0.65325808209746217</v>
      </c>
    </row>
    <row r="110" spans="1:6" x14ac:dyDescent="0.25">
      <c r="A110" s="25">
        <f>'Plan2 (2)'!A110</f>
        <v>9.6999999999999815</v>
      </c>
      <c r="B110" s="25">
        <f>'Plan2 (2)'!B110</f>
        <v>2.4410370742485825</v>
      </c>
      <c r="C110" s="25">
        <f>'Plan2 (2)'!C110</f>
        <v>1.2975352181422184</v>
      </c>
      <c r="D110" s="25">
        <f>'Plan2 (2)'!D110</f>
        <v>0.63681975442676553</v>
      </c>
      <c r="E110" s="25">
        <f t="shared" si="2"/>
        <v>1.2975352181422184</v>
      </c>
      <c r="F110" s="25">
        <f t="shared" si="3"/>
        <v>0.63681975442676553</v>
      </c>
    </row>
    <row r="111" spans="1:6" x14ac:dyDescent="0.25">
      <c r="A111" s="25">
        <f>'Plan2 (2)'!A111</f>
        <v>9.7999999999999812</v>
      </c>
      <c r="B111" s="25">
        <f>'Plan2 (2)'!B111</f>
        <v>2.2589697722273683</v>
      </c>
      <c r="C111" s="25">
        <f>'Plan2 (2)'!C111</f>
        <v>1.370411806776789</v>
      </c>
      <c r="D111" s="25">
        <f>'Plan2 (2)'!D111</f>
        <v>0.61838235246940243</v>
      </c>
      <c r="E111" s="25">
        <f t="shared" si="2"/>
        <v>1.370411806776789</v>
      </c>
      <c r="F111" s="25">
        <f t="shared" si="3"/>
        <v>0.61838235246940243</v>
      </c>
    </row>
    <row r="112" spans="1:6" x14ac:dyDescent="0.25">
      <c r="A112" s="25">
        <f>'Plan2 (2)'!A112</f>
        <v>9.8999999999999808</v>
      </c>
      <c r="B112" s="25">
        <f>'Plan2 (2)'!B112</f>
        <v>2.0725682212862626</v>
      </c>
      <c r="C112" s="25">
        <f>'Plan2 (2)'!C112</f>
        <v>1.4365739561207254</v>
      </c>
      <c r="D112" s="25">
        <f>'Plan2 (2)'!D112</f>
        <v>0.59805889227733566</v>
      </c>
      <c r="E112" s="25">
        <f t="shared" si="2"/>
        <v>1.4365739561207254</v>
      </c>
      <c r="F112" s="25">
        <f t="shared" si="3"/>
        <v>0.59805889227733566</v>
      </c>
    </row>
    <row r="113" spans="1:6" x14ac:dyDescent="0.25">
      <c r="A113" s="25">
        <f>'Plan2 (2)'!A113</f>
        <v>9.9999999999999805</v>
      </c>
      <c r="B113" s="25">
        <f>'Plan2 (2)'!B113</f>
        <v>1.8826214026129344</v>
      </c>
      <c r="C113" s="25">
        <f>'Plan2 (2)'!C113</f>
        <v>1.4959255447524713</v>
      </c>
      <c r="D113" s="25">
        <f>'Plan2 (2)'!D113</f>
        <v>0.57596687897469789</v>
      </c>
      <c r="E113" s="25">
        <f t="shared" si="2"/>
        <v>1.4959255447524713</v>
      </c>
      <c r="F113" s="25">
        <f t="shared" si="3"/>
        <v>0.57596687897469789</v>
      </c>
    </row>
    <row r="114" spans="1:6" x14ac:dyDescent="0.25">
      <c r="A114" s="25">
        <f>'Plan2 (2)'!A114</f>
        <v>10.09999999999998</v>
      </c>
      <c r="B114" s="25">
        <f>'Plan2 (2)'!B114</f>
        <v>1.6899138839759555</v>
      </c>
      <c r="C114" s="25">
        <f>'Plan2 (2)'!C114</f>
        <v>1.5483978876892868</v>
      </c>
      <c r="D114" s="25">
        <f>'Plan2 (2)'!D114</f>
        <v>0.55222777007471358</v>
      </c>
      <c r="E114" s="25">
        <f t="shared" si="2"/>
        <v>1.5483978876892868</v>
      </c>
      <c r="F114" s="25">
        <f t="shared" si="3"/>
        <v>0.55222777007471358</v>
      </c>
    </row>
    <row r="115" spans="1:6" x14ac:dyDescent="0.25">
      <c r="A115" s="25">
        <f>'Plan2 (2)'!A115</f>
        <v>10.19999999999998</v>
      </c>
      <c r="B115" s="25">
        <f>'Plan2 (2)'!B115</f>
        <v>1.4952230040557268</v>
      </c>
      <c r="C115" s="25">
        <f>'Plan2 (2)'!C115</f>
        <v>1.5939493805502762</v>
      </c>
      <c r="D115" s="25">
        <f>'Plan2 (2)'!D115</f>
        <v>0.52696643609610427</v>
      </c>
      <c r="E115" s="25">
        <f t="shared" si="2"/>
        <v>1.5939493805502762</v>
      </c>
      <c r="F115" s="25">
        <f t="shared" si="3"/>
        <v>0.52696643609610427</v>
      </c>
    </row>
    <row r="116" spans="1:6" x14ac:dyDescent="0.25">
      <c r="A116" s="25">
        <f>'Plan2 (2)'!A116</f>
        <v>10.299999999999979</v>
      </c>
      <c r="B116" s="25">
        <f>'Plan2 (2)'!B116</f>
        <v>1.2993161463352969</v>
      </c>
      <c r="C116" s="25">
        <f>'Plan2 (2)'!C116</f>
        <v>1.6325650510129031</v>
      </c>
      <c r="D116" s="25">
        <f>'Plan2 (2)'!D116</f>
        <v>0.50031062054002728</v>
      </c>
      <c r="E116" s="25">
        <f t="shared" si="2"/>
        <v>1.6325650510129031</v>
      </c>
      <c r="F116" s="25">
        <f t="shared" si="3"/>
        <v>0.50031062054002728</v>
      </c>
    </row>
    <row r="117" spans="1:6" x14ac:dyDescent="0.25">
      <c r="A117" s="25">
        <f>'Plan2 (2)'!A117</f>
        <v>10.399999999999979</v>
      </c>
      <c r="B117" s="25">
        <f>'Plan2 (2)'!B117</f>
        <v>1.102948110685356</v>
      </c>
      <c r="C117" s="25">
        <f>'Plan2 (2)'!C117</f>
        <v>1.6642560213001276</v>
      </c>
      <c r="D117" s="25">
        <f>'Plan2 (2)'!D117</f>
        <v>0.47239040124536702</v>
      </c>
      <c r="E117" s="25">
        <f t="shared" si="2"/>
        <v>1.6642560213001276</v>
      </c>
      <c r="F117" s="25">
        <f t="shared" si="3"/>
        <v>0.47239040124536702</v>
      </c>
    </row>
    <row r="118" spans="1:6" x14ac:dyDescent="0.25">
      <c r="A118" s="25">
        <f>'Plan2 (2)'!A118</f>
        <v>10.499999999999979</v>
      </c>
      <c r="B118" s="25">
        <f>'Plan2 (2)'!B118</f>
        <v>0.90685859023310678</v>
      </c>
      <c r="C118" s="25">
        <f>'Plan2 (2)'!C118</f>
        <v>1.6890588856818765</v>
      </c>
      <c r="D118" s="25">
        <f>'Plan2 (2)'!D118</f>
        <v>0.4433376550903988</v>
      </c>
      <c r="E118" s="25">
        <f t="shared" si="2"/>
        <v>1.6890588856818765</v>
      </c>
      <c r="F118" s="25">
        <f t="shared" si="3"/>
        <v>0.4433376550903988</v>
      </c>
    </row>
    <row r="119" spans="1:6" x14ac:dyDescent="0.25">
      <c r="A119" s="25">
        <f>'Plan2 (2)'!A119</f>
        <v>10.599999999999978</v>
      </c>
      <c r="B119" s="25">
        <f>'Plan2 (2)'!B119</f>
        <v>0.71176976054412866</v>
      </c>
      <c r="C119" s="25">
        <f>'Plan2 (2)'!C119</f>
        <v>1.7070350072008955</v>
      </c>
      <c r="D119" s="25">
        <f>'Plan2 (2)'!D119</f>
        <v>0.41328552795280826</v>
      </c>
      <c r="E119" s="25">
        <f t="shared" si="2"/>
        <v>1.7070350072008955</v>
      </c>
      <c r="F119" s="25">
        <f t="shared" si="3"/>
        <v>0.41328552795280826</v>
      </c>
    </row>
    <row r="120" spans="1:6" x14ac:dyDescent="0.25">
      <c r="A120" s="25">
        <f>'Plan2 (2)'!A120</f>
        <v>10.699999999999978</v>
      </c>
      <c r="B120" s="25">
        <f>'Plan2 (2)'!B120</f>
        <v>0.51838398757219406</v>
      </c>
      <c r="C120" s="25">
        <f>'Plan2 (2)'!C120</f>
        <v>1.7182697380387826</v>
      </c>
      <c r="D120" s="25">
        <f>'Plan2 (2)'!D120</f>
        <v>0.3823679117781324</v>
      </c>
      <c r="E120" s="25">
        <f t="shared" si="2"/>
        <v>1.7182697380387826</v>
      </c>
      <c r="F120" s="25">
        <f t="shared" si="3"/>
        <v>0.3823679117781324</v>
      </c>
    </row>
    <row r="121" spans="1:6" x14ac:dyDescent="0.25">
      <c r="A121" s="25">
        <f>'Plan2 (2)'!A121</f>
        <v>10.799999999999978</v>
      </c>
      <c r="B121" s="25">
        <f>'Plan2 (2)'!B121</f>
        <v>0.32738166024670012</v>
      </c>
      <c r="C121" s="25">
        <f>'Plan2 (2)'!C121</f>
        <v>1.7228715681227977</v>
      </c>
      <c r="D121" s="25">
        <f>'Plan2 (2)'!D121</f>
        <v>0.35071893053925191</v>
      </c>
      <c r="E121" s="25">
        <f t="shared" si="2"/>
        <v>1.7228715681227977</v>
      </c>
      <c r="F121" s="25">
        <f t="shared" si="3"/>
        <v>0.35071893053925191</v>
      </c>
    </row>
    <row r="122" spans="1:6" x14ac:dyDescent="0.25">
      <c r="A122" s="25">
        <f>'Plan2 (2)'!A122</f>
        <v>10.899999999999977</v>
      </c>
      <c r="B122" s="25">
        <f>'Plan2 (2)'!B122</f>
        <v>0.13941915297335342</v>
      </c>
      <c r="C122" s="25">
        <f>'Plan2 (2)'!C122</f>
        <v>1.7209712067377116</v>
      </c>
      <c r="D122" s="25">
        <f>'Plan2 (2)'!D122</f>
        <v>0.31847243679698617</v>
      </c>
      <c r="E122" s="25">
        <f t="shared" si="2"/>
        <v>1.7209712067377116</v>
      </c>
      <c r="F122" s="25">
        <f t="shared" si="3"/>
        <v>0.31847243679698617</v>
      </c>
    </row>
    <row r="123" spans="1:6" x14ac:dyDescent="0.25">
      <c r="A123" s="25">
        <f>'Plan2 (2)'!A123</f>
        <v>10.999999999999977</v>
      </c>
      <c r="B123" s="25">
        <f>'Plan2 (2)'!B123</f>
        <v>-4.4873077276602669E-2</v>
      </c>
      <c r="C123" s="25">
        <f>'Plan2 (2)'!C123</f>
        <v>1.7127206020493031</v>
      </c>
      <c r="D123" s="25">
        <f>'Plan2 (2)'!D123</f>
        <v>0.28576152049450909</v>
      </c>
      <c r="E123" s="25">
        <f t="shared" si="2"/>
        <v>1.7127206020493031</v>
      </c>
      <c r="F123" s="25">
        <f t="shared" si="3"/>
        <v>0.28576152049450909</v>
      </c>
    </row>
    <row r="124" spans="1:6" x14ac:dyDescent="0.25">
      <c r="A124" s="25">
        <f>'Plan2 (2)'!A124</f>
        <v>11.099999999999977</v>
      </c>
      <c r="B124" s="25">
        <f>'Plan2 (2)'!B124</f>
        <v>-0.22489225521764233</v>
      </c>
      <c r="C124" s="25">
        <f>'Plan2 (2)'!C124</f>
        <v>1.69829190356712</v>
      </c>
      <c r="D124" s="25">
        <f>'Plan2 (2)'!D124</f>
        <v>0.25271803153661204</v>
      </c>
      <c r="E124" s="25">
        <f t="shared" si="2"/>
        <v>1.69829190356712</v>
      </c>
      <c r="F124" s="25">
        <f t="shared" si="3"/>
        <v>0.25271803153661204</v>
      </c>
    </row>
    <row r="125" spans="1:6" x14ac:dyDescent="0.25">
      <c r="A125" s="25">
        <f>'Plan2 (2)'!A125</f>
        <v>11.199999999999976</v>
      </c>
      <c r="B125" s="25">
        <f>'Plan2 (2)'!B125</f>
        <v>-0.40006490937665962</v>
      </c>
      <c r="C125" s="25">
        <f>'Plan2 (2)'!C125</f>
        <v>1.6778763726737824</v>
      </c>
      <c r="D125" s="25">
        <f>'Plan2 (2)'!D125</f>
        <v>0.21947211761919075</v>
      </c>
      <c r="E125" s="25">
        <f t="shared" si="2"/>
        <v>1.6778763726737824</v>
      </c>
      <c r="F125" s="25">
        <f t="shared" si="3"/>
        <v>0.21947211761919075</v>
      </c>
    </row>
    <row r="126" spans="1:6" x14ac:dyDescent="0.25">
      <c r="A126" s="25">
        <f>'Plan2 (2)'!A126</f>
        <v>11.299999999999976</v>
      </c>
      <c r="B126" s="25">
        <f>'Plan2 (2)'!B126</f>
        <v>-0.5698483492353752</v>
      </c>
      <c r="C126" s="25">
        <f>'Plan2 (2)'!C126</f>
        <v>1.6516832464265347</v>
      </c>
      <c r="D126" s="25">
        <f>'Plan2 (2)'!D126</f>
        <v>0.18615177868513594</v>
      </c>
      <c r="E126" s="25">
        <f t="shared" si="2"/>
        <v>1.6516832464265347</v>
      </c>
      <c r="F126" s="25">
        <f t="shared" si="3"/>
        <v>0.18615177868513594</v>
      </c>
    </row>
    <row r="127" spans="1:6" x14ac:dyDescent="0.25">
      <c r="A127" s="25">
        <f>'Plan2 (2)'!A127</f>
        <v>11.399999999999975</v>
      </c>
      <c r="B127" s="25">
        <f>'Plan2 (2)'!B127</f>
        <v>-0.73373199513111143</v>
      </c>
      <c r="C127" s="25">
        <f>'Plan2 (2)'!C127</f>
        <v>1.6199385598941296</v>
      </c>
      <c r="D127" s="25">
        <f>'Plan2 (2)'!D127</f>
        <v>0.15288243929047343</v>
      </c>
      <c r="E127" s="25">
        <f t="shared" si="2"/>
        <v>1.6199385598941296</v>
      </c>
      <c r="F127" s="25">
        <f t="shared" si="3"/>
        <v>0.15288243929047343</v>
      </c>
    </row>
    <row r="128" spans="1:6" x14ac:dyDescent="0.25">
      <c r="A128" s="25">
        <f>'Plan2 (2)'!A128</f>
        <v>11.499999999999975</v>
      </c>
      <c r="B128" s="25">
        <f>'Plan2 (2)'!B128</f>
        <v>-0.89123855925594819</v>
      </c>
      <c r="C128" s="25">
        <f>'Plan2 (2)'!C128</f>
        <v>1.582883932328693</v>
      </c>
      <c r="D128" s="25">
        <f>'Plan2 (2)'!D128</f>
        <v>0.11978654006954378</v>
      </c>
      <c r="E128" s="25">
        <f t="shared" si="2"/>
        <v>1.582883932328693</v>
      </c>
      <c r="F128" s="25">
        <f t="shared" si="3"/>
        <v>0.11978654006954378</v>
      </c>
    </row>
    <row r="129" spans="1:6" x14ac:dyDescent="0.25">
      <c r="A129" s="25">
        <f>'Plan2 (2)'!A129</f>
        <v>11.599999999999975</v>
      </c>
      <c r="B129" s="25">
        <f>'Plan2 (2)'!B129</f>
        <v>-1.0419250766844685</v>
      </c>
      <c r="C129" s="25">
        <f>'Plan2 (2)'!C129</f>
        <v>1.5407753224883118</v>
      </c>
      <c r="D129" s="25">
        <f>'Plan2 (2)'!D129</f>
        <v>8.6983149390648523E-2</v>
      </c>
      <c r="E129" s="25">
        <f t="shared" si="2"/>
        <v>1.5407753224883118</v>
      </c>
      <c r="F129" s="25">
        <f t="shared" si="3"/>
        <v>8.6983149390648523E-2</v>
      </c>
    </row>
    <row r="130" spans="1:6" x14ac:dyDescent="0.25">
      <c r="A130" s="25">
        <f>'Plan2 (2)'!A130</f>
        <v>11.699999999999974</v>
      </c>
      <c r="B130" s="25">
        <f>'Plan2 (2)'!B130</f>
        <v>-1.1853837859413006</v>
      </c>
      <c r="C130" s="25">
        <f>'Plan2 (2)'!C130</f>
        <v>1.4938817584220918</v>
      </c>
      <c r="D130" s="25">
        <f>'Plan2 (2)'!D130</f>
        <v>5.4587596194334051E-2</v>
      </c>
      <c r="E130" s="25">
        <f t="shared" si="2"/>
        <v>1.4938817584220918</v>
      </c>
      <c r="F130" s="25">
        <f t="shared" si="3"/>
        <v>5.4587596194334051E-2</v>
      </c>
    </row>
    <row r="131" spans="1:6" x14ac:dyDescent="0.25">
      <c r="A131" s="25">
        <f>'Plan2 (2)'!A131</f>
        <v>11.799999999999974</v>
      </c>
      <c r="B131" s="25">
        <f>'Plan2 (2)'!B131</f>
        <v>-1.3212428591895233</v>
      </c>
      <c r="C131" s="25">
        <f>'Plan2 (2)'!C131</f>
        <v>1.4424840470058116</v>
      </c>
      <c r="D131" s="25">
        <f>'Plan2 (2)'!D131</f>
        <v>2.2711124905747448E-2</v>
      </c>
      <c r="E131" s="25">
        <f t="shared" si="2"/>
        <v>1.4424840470058116</v>
      </c>
      <c r="F131" s="25">
        <f t="shared" si="3"/>
        <v>2.2711124905747448E-2</v>
      </c>
    </row>
    <row r="132" spans="1:6" x14ac:dyDescent="0.25">
      <c r="A132" s="25">
        <f>'Plan2 (2)'!A132</f>
        <v>11.899999999999974</v>
      </c>
      <c r="B132" s="25">
        <f>'Plan2 (2)'!B132</f>
        <v>-1.4491669826778584</v>
      </c>
      <c r="C132" s="25">
        <f>'Plan2 (2)'!C132</f>
        <v>1.38687346847358</v>
      </c>
      <c r="D132" s="25">
        <f>'Plan2 (2)'!D132</f>
        <v>-8.539426789311369E-3</v>
      </c>
      <c r="E132" s="25">
        <f t="shared" si="2"/>
        <v>1.38687346847358</v>
      </c>
      <c r="F132" s="25">
        <f t="shared" si="3"/>
        <v>-8.539426789311369E-3</v>
      </c>
    </row>
    <row r="133" spans="1:6" x14ac:dyDescent="0.25">
      <c r="A133" s="25">
        <f>'Plan2 (2)'!A133</f>
        <v>11.999999999999973</v>
      </c>
      <c r="B133" s="25">
        <f>'Plan2 (2)'!B133</f>
        <v>-1.5688577886266295</v>
      </c>
      <c r="C133" s="25">
        <f>'Plan2 (2)'!C133</f>
        <v>1.327350461129662</v>
      </c>
      <c r="D133" s="25">
        <f>'Plan2 (2)'!D133</f>
        <v>-3.9061926617497029E-2</v>
      </c>
      <c r="E133" s="25">
        <f t="shared" si="2"/>
        <v>1.327350461129662</v>
      </c>
      <c r="F133" s="25">
        <f t="shared" si="3"/>
        <v>-3.9061926617497029E-2</v>
      </c>
    </row>
    <row r="134" spans="1:6" x14ac:dyDescent="0.25">
      <c r="A134" s="25">
        <f>'Plan2 (2)'!A134</f>
        <v>12.099999999999973</v>
      </c>
      <c r="B134" s="25">
        <f>'Plan2 (2)'!B134</f>
        <v>-1.6800541402580695</v>
      </c>
      <c r="C134" s="25">
        <f>'Plan2 (2)'!C134</f>
        <v>1.264223301345518</v>
      </c>
      <c r="D134" s="25">
        <f>'Plan2 (2)'!D134</f>
        <v>-6.8759222255795144E-2</v>
      </c>
      <c r="E134" s="25">
        <f t="shared" si="2"/>
        <v>1.264223301345518</v>
      </c>
      <c r="F134" s="25">
        <f t="shared" si="3"/>
        <v>-6.8759222255795144E-2</v>
      </c>
    </row>
    <row r="135" spans="1:6" x14ac:dyDescent="0.25">
      <c r="A135" s="25">
        <f>'Plan2 (2)'!A135</f>
        <v>12.199999999999973</v>
      </c>
      <c r="B135" s="25">
        <f>'Plan2 (2)'!B135</f>
        <v>-1.7825322721840966</v>
      </c>
      <c r="C135" s="25">
        <f>'Plan2 (2)'!C135</f>
        <v>1.1978067838507891</v>
      </c>
      <c r="D135" s="25">
        <f>'Plan2 (2)'!D135</f>
        <v>-9.7539391252416993E-2</v>
      </c>
      <c r="E135" s="25">
        <f t="shared" si="2"/>
        <v>1.1978067838507891</v>
      </c>
      <c r="F135" s="25">
        <f t="shared" si="3"/>
        <v>-9.7539391252416993E-2</v>
      </c>
    </row>
    <row r="136" spans="1:6" x14ac:dyDescent="0.25">
      <c r="A136" s="25">
        <f>'Plan2 (2)'!A136</f>
        <v>12.299999999999972</v>
      </c>
      <c r="B136" s="25">
        <f>'Plan2 (2)'!B136</f>
        <v>-1.8761057888526866</v>
      </c>
      <c r="C136" s="25">
        <f>'Plan2 (2)'!C136</f>
        <v>1.1284209072142031</v>
      </c>
      <c r="D136" s="25">
        <f>'Plan2 (2)'!D136</f>
        <v>-0.12531596595110731</v>
      </c>
      <c r="E136" s="25">
        <f t="shared" si="2"/>
        <v>1.1284209072142031</v>
      </c>
      <c r="F136" s="25">
        <f t="shared" si="3"/>
        <v>-0.12531596595110731</v>
      </c>
    </row>
    <row r="137" spans="1:6" x14ac:dyDescent="0.25">
      <c r="A137" s="25">
        <f>'Plan2 (2)'!A137</f>
        <v>12.399999999999972</v>
      </c>
      <c r="B137" s="25">
        <f>'Plan2 (2)'!B137</f>
        <v>-1.960625524221062</v>
      </c>
      <c r="C137" s="25">
        <f>'Plan2 (2)'!C137</f>
        <v>1.0563895692819436</v>
      </c>
      <c r="D137" s="25">
        <f>'Plan2 (2)'!D137</f>
        <v>-0.15200813314054307</v>
      </c>
      <c r="E137" s="25">
        <f t="shared" si="2"/>
        <v>1.0563895692819436</v>
      </c>
      <c r="F137" s="25">
        <f t="shared" si="3"/>
        <v>-0.15200813314054307</v>
      </c>
    </row>
    <row r="138" spans="1:6" x14ac:dyDescent="0.25">
      <c r="A138" s="25">
        <f>'Plan2 (2)'!A138</f>
        <v>12.499999999999972</v>
      </c>
      <c r="B138" s="25">
        <f>'Plan2 (2)'!B138</f>
        <v>-2.0359792662688299</v>
      </c>
      <c r="C138" s="25">
        <f>'Plan2 (2)'!C138</f>
        <v>0.98203927719776496</v>
      </c>
      <c r="D138" s="25">
        <f>'Plan2 (2)'!D138</f>
        <v>-0.17754090825056446</v>
      </c>
      <c r="E138" s="25">
        <f t="shared" si="2"/>
        <v>0.98203927719776496</v>
      </c>
      <c r="F138" s="25">
        <f t="shared" si="3"/>
        <v>-0.17754090825056446</v>
      </c>
    </row>
    <row r="139" spans="1:6" x14ac:dyDescent="0.25">
      <c r="A139" s="25">
        <f>'Plan2 (2)'!A139</f>
        <v>12.599999999999971</v>
      </c>
      <c r="B139" s="25">
        <f>'Plan2 (2)'!B139</f>
        <v>-2.1020913503857779</v>
      </c>
      <c r="C139" s="25">
        <f>'Plan2 (2)'!C139</f>
        <v>0.90569787647188083</v>
      </c>
      <c r="D139" s="25">
        <f>'Plan2 (2)'!D139</f>
        <v>-0.20184528401547749</v>
      </c>
      <c r="E139" s="25">
        <f t="shared" si="2"/>
        <v>0.90569787647188083</v>
      </c>
      <c r="F139" s="25">
        <f t="shared" si="3"/>
        <v>-0.20184528401547749</v>
      </c>
    </row>
    <row r="140" spans="1:6" x14ac:dyDescent="0.25">
      <c r="A140" s="25">
        <f>'Plan2 (2)'!A140</f>
        <v>12.699999999999971</v>
      </c>
      <c r="B140" s="25">
        <f>'Plan2 (2)'!B140</f>
        <v>-2.1589221260662206</v>
      </c>
      <c r="C140" s="25">
        <f>'Plan2 (2)'!C140</f>
        <v>0.82769330339533242</v>
      </c>
      <c r="D140" s="25">
        <f>'Plan2 (2)'!D140</f>
        <v>-0.22485835362126966</v>
      </c>
      <c r="E140" s="25">
        <f t="shared" si="2"/>
        <v>0.82769330339533242</v>
      </c>
      <c r="F140" s="25">
        <f t="shared" si="3"/>
        <v>-0.22485835362126966</v>
      </c>
    </row>
    <row r="141" spans="1:6" x14ac:dyDescent="0.25">
      <c r="A141" s="25">
        <f>'Plan2 (2)'!A141</f>
        <v>12.799999999999971</v>
      </c>
      <c r="B141" s="25">
        <f>'Plan2 (2)'!B141</f>
        <v>-2.2064673017136722</v>
      </c>
      <c r="C141" s="25">
        <f>'Plan2 (2)'!C141</f>
        <v>0.74835236491404722</v>
      </c>
      <c r="D141" s="25">
        <f>'Plan2 (2)'!D141</f>
        <v>-0.24652340844796936</v>
      </c>
      <c r="E141" s="25">
        <f t="shared" ref="E141:E204" si="4">IF(A141&lt;=$C$8,C141,NA())</f>
        <v>0.74835236491404722</v>
      </c>
      <c r="F141" s="25">
        <f t="shared" ref="F141:F204" si="5">IF(A141&lt;=$C$8,D141,NA())</f>
        <v>-0.24652340844796936</v>
      </c>
    </row>
    <row r="142" spans="1:6" x14ac:dyDescent="0.25">
      <c r="A142" s="25">
        <f>'Plan2 (2)'!A142</f>
        <v>12.89999999999997</v>
      </c>
      <c r="B142" s="25">
        <f>'Plan2 (2)'!B142</f>
        <v>-2.2447571727053548</v>
      </c>
      <c r="C142" s="25">
        <f>'Plan2 (2)'!C142</f>
        <v>0.66799954988310006</v>
      </c>
      <c r="D142" s="25">
        <f>'Plan2 (2)'!D142</f>
        <v>-0.26679001061025431</v>
      </c>
      <c r="E142" s="25">
        <f t="shared" si="4"/>
        <v>0.66799954988310006</v>
      </c>
      <c r="F142" s="25">
        <f t="shared" si="5"/>
        <v>-0.26679001061025431</v>
      </c>
    </row>
    <row r="143" spans="1:6" x14ac:dyDescent="0.25">
      <c r="A143" s="25">
        <f>'Plan2 (2)'!A143</f>
        <v>12.99999999999997</v>
      </c>
      <c r="B143" s="25">
        <f>'Plan2 (2)'!B143</f>
        <v>-2.2738557381849605</v>
      </c>
      <c r="C143" s="25">
        <f>'Plan2 (2)'!C143</f>
        <v>0.58695587541774186</v>
      </c>
      <c r="D143" s="25">
        <f>'Plan2 (2)'!D143</f>
        <v>-0.28561404058848872</v>
      </c>
      <c r="E143" s="25">
        <f t="shared" si="4"/>
        <v>0.58695587541774186</v>
      </c>
      <c r="F143" s="25">
        <f t="shared" si="5"/>
        <v>-0.28561404058848872</v>
      </c>
    </row>
    <row r="144" spans="1:6" x14ac:dyDescent="0.25">
      <c r="A144" s="25">
        <f>'Plan2 (2)'!A144</f>
        <v>13.099999999999969</v>
      </c>
      <c r="B144" s="25">
        <f>'Plan2 (2)'!B144</f>
        <v>-2.293859712343576</v>
      </c>
      <c r="C144" s="25">
        <f>'Plan2 (2)'!C144</f>
        <v>0.50553777184456028</v>
      </c>
      <c r="D144" s="25">
        <f>'Plan2 (2)'!D144</f>
        <v>-0.30295772032837459</v>
      </c>
      <c r="E144" s="25">
        <f t="shared" si="4"/>
        <v>0.50553777184456028</v>
      </c>
      <c r="F144" s="25">
        <f t="shared" si="5"/>
        <v>-0.30295772032837459</v>
      </c>
    </row>
    <row r="145" spans="1:6" x14ac:dyDescent="0.25">
      <c r="A145" s="25">
        <f>'Plan2 (2)'!A145</f>
        <v>13.199999999999969</v>
      </c>
      <c r="B145" s="25">
        <f>'Plan2 (2)'!B145</f>
        <v>-2.3048974362122716</v>
      </c>
      <c r="C145" s="25">
        <f>'Plan2 (2)'!C145</f>
        <v>0.42405600953467282</v>
      </c>
      <c r="D145" s="25">
        <f>'Plan2 (2)'!D145</f>
        <v>-0.3187896122700889</v>
      </c>
      <c r="E145" s="25">
        <f t="shared" si="4"/>
        <v>0.42405600953467282</v>
      </c>
      <c r="F145" s="25">
        <f t="shared" si="5"/>
        <v>-0.3187896122700889</v>
      </c>
    </row>
    <row r="146" spans="1:6" x14ac:dyDescent="0.25">
      <c r="A146" s="25">
        <f>'Plan2 (2)'!A146</f>
        <v>13.299999999999969</v>
      </c>
      <c r="B146" s="25">
        <f>'Plan2 (2)'!B146</f>
        <v>-2.3071276962251988</v>
      </c>
      <c r="C146" s="25">
        <f>'Plan2 (2)'!C146</f>
        <v>0.34281467067213789</v>
      </c>
      <c r="D146" s="25">
        <f>'Plan2 (2)'!D146</f>
        <v>-0.33308459484691078</v>
      </c>
      <c r="E146" s="25">
        <f t="shared" si="4"/>
        <v>0.34281467067213789</v>
      </c>
      <c r="F146" s="25">
        <f t="shared" si="5"/>
        <v>-0.33308459484691078</v>
      </c>
    </row>
    <row r="147" spans="1:6" x14ac:dyDescent="0.25">
      <c r="A147" s="25">
        <f>'Plan2 (2)'!A147</f>
        <v>13.399999999999968</v>
      </c>
      <c r="B147" s="25">
        <f>'Plan2 (2)'!B147</f>
        <v>-2.3007384560188937</v>
      </c>
      <c r="C147" s="25">
        <f>'Plan2 (2)'!C147</f>
        <v>0.26211016877581095</v>
      </c>
      <c r="D147" s="25">
        <f>'Plan2 (2)'!D147</f>
        <v>-0.34582381506870735</v>
      </c>
      <c r="E147" s="25">
        <f t="shared" si="4"/>
        <v>0.26211016877581095</v>
      </c>
      <c r="F147" s="25">
        <f t="shared" si="5"/>
        <v>-0.34582381506870735</v>
      </c>
    </row>
    <row r="148" spans="1:6" x14ac:dyDescent="0.25">
      <c r="A148" s="25">
        <f>'Plan2 (2)'!A148</f>
        <v>13.499999999999968</v>
      </c>
      <c r="B148" s="25">
        <f>'Plan2 (2)'!B148</f>
        <v>-2.2859455081117157</v>
      </c>
      <c r="C148" s="25">
        <f>'Plan2 (2)'!C148</f>
        <v>0.18223031855268246</v>
      </c>
      <c r="D148" s="25">
        <f>'Plan2 (2)'!D148</f>
        <v>-0.35699461887704759</v>
      </c>
      <c r="E148" s="25">
        <f t="shared" si="4"/>
        <v>0.18223031855268246</v>
      </c>
      <c r="F148" s="25">
        <f t="shared" si="5"/>
        <v>-0.35699461887704759</v>
      </c>
    </row>
    <row r="149" spans="1:6" x14ac:dyDescent="0.25">
      <c r="A149" s="25">
        <f>'Plan2 (2)'!A149</f>
        <v>13.599999999999968</v>
      </c>
      <c r="B149" s="25">
        <f>'Plan2 (2)'!B149</f>
        <v>-2.2629910522569068</v>
      </c>
      <c r="C149" s="25">
        <f>'Plan2 (2)'!C149</f>
        <v>0.10345345841632284</v>
      </c>
      <c r="D149" s="25">
        <f>'Plan2 (2)'!D149</f>
        <v>-0.36659046002597206</v>
      </c>
      <c r="E149" s="25">
        <f t="shared" si="4"/>
        <v>0.10345345841632284</v>
      </c>
      <c r="F149" s="25">
        <f t="shared" si="5"/>
        <v>-0.36659046002597206</v>
      </c>
    </row>
    <row r="150" spans="1:6" x14ac:dyDescent="0.25">
      <c r="A150" s="25">
        <f>'Plan2 (2)'!A150</f>
        <v>13.699999999999967</v>
      </c>
      <c r="B150" s="25">
        <f>'Plan2 (2)'!B150</f>
        <v>-2.2321422073837813</v>
      </c>
      <c r="C150" s="25">
        <f>'Plan2 (2)'!C150</f>
        <v>2.6047627756426994E-2</v>
      </c>
      <c r="D150" s="25">
        <f>'Plan2 (2)'!D150</f>
        <v>-0.37461078830540706</v>
      </c>
      <c r="E150" s="25">
        <f t="shared" si="4"/>
        <v>2.6047627756426994E-2</v>
      </c>
      <c r="F150" s="25">
        <f t="shared" si="5"/>
        <v>-0.37461078830540706</v>
      </c>
    </row>
    <row r="151" spans="1:6" x14ac:dyDescent="0.25">
      <c r="A151" s="25">
        <f>'Plan2 (2)'!A151</f>
        <v>13.799999999999967</v>
      </c>
      <c r="B151" s="25">
        <f>'Plan2 (2)'!B151</f>
        <v>-2.193689464134164</v>
      </c>
      <c r="C151" s="25">
        <f>'Plan2 (2)'!C151</f>
        <v>-4.9730199204411615E-2</v>
      </c>
      <c r="D151" s="25">
        <f>'Plan2 (2)'!D151</f>
        <v>-0.38106091798273517</v>
      </c>
      <c r="E151" s="25">
        <f t="shared" si="4"/>
        <v>-4.9730199204411615E-2</v>
      </c>
      <c r="F151" s="25">
        <f t="shared" si="5"/>
        <v>-0.38106091798273517</v>
      </c>
    </row>
    <row r="152" spans="1:6" x14ac:dyDescent="0.25">
      <c r="A152" s="25">
        <f>'Plan2 (2)'!A152</f>
        <v>13.899999999999967</v>
      </c>
      <c r="B152" s="25">
        <f>'Plan2 (2)'!B152</f>
        <v>-2.1479450850657376</v>
      </c>
      <c r="C152" s="25">
        <f>'Plan2 (2)'!C152</f>
        <v>-0.12363482138168122</v>
      </c>
      <c r="D152" s="25">
        <f>'Plan2 (2)'!D152</f>
        <v>-0.38595187739200132</v>
      </c>
      <c r="E152" s="25">
        <f t="shared" si="4"/>
        <v>-0.12363482138168122</v>
      </c>
      <c r="F152" s="25">
        <f t="shared" si="5"/>
        <v>-0.38595187739200132</v>
      </c>
    </row>
    <row r="153" spans="1:6" x14ac:dyDescent="0.25">
      <c r="A153" s="25">
        <f>'Plan2 (2)'!A153</f>
        <v>13.999999999999966</v>
      </c>
      <c r="B153" s="25">
        <f>'Plan2 (2)'!B153</f>
        <v>-2.0952414596307771</v>
      </c>
      <c r="C153" s="25">
        <f>'Plan2 (2)'!C153</f>
        <v>-0.19543345929407496</v>
      </c>
      <c r="D153" s="25">
        <f>'Plan2 (2)'!D153</f>
        <v>-0.38930024064954649</v>
      </c>
      <c r="E153" s="25">
        <f t="shared" si="4"/>
        <v>-0.19543345929407496</v>
      </c>
      <c r="F153" s="25">
        <f t="shared" si="5"/>
        <v>-0.38930024064954649</v>
      </c>
    </row>
    <row r="154" spans="1:6" x14ac:dyDescent="0.25">
      <c r="A154" s="25">
        <f>'Plan2 (2)'!A154</f>
        <v>14.099999999999966</v>
      </c>
      <c r="B154" s="25">
        <f>'Plan2 (2)'!B154</f>
        <v>-2.0359294210483547</v>
      </c>
      <c r="C154" s="25">
        <f>'Plan2 (2)'!C154</f>
        <v>-0.26490634293990206</v>
      </c>
      <c r="D154" s="25">
        <f>'Plan2 (2)'!D154</f>
        <v>-0.39112794251944111</v>
      </c>
      <c r="E154" s="25">
        <f t="shared" si="4"/>
        <v>-0.26490634293990206</v>
      </c>
      <c r="F154" s="25">
        <f t="shared" si="5"/>
        <v>-0.39112794251944111</v>
      </c>
    </row>
    <row r="155" spans="1:6" x14ac:dyDescent="0.25">
      <c r="A155" s="25">
        <f>'Plan2 (2)'!A155</f>
        <v>14.199999999999966</v>
      </c>
      <c r="B155" s="25">
        <f>'Plan2 (2)'!B155</f>
        <v>-1.9703765321710371</v>
      </c>
      <c r="C155" s="25">
        <f>'Plan2 (2)'!C155</f>
        <v>-0.33184723825112222</v>
      </c>
      <c r="D155" s="25">
        <f>'Plan2 (2)'!D155</f>
        <v>-0.39146207749187334</v>
      </c>
      <c r="E155" s="25">
        <f t="shared" si="4"/>
        <v>-0.33184723825112222</v>
      </c>
      <c r="F155" s="25">
        <f t="shared" si="5"/>
        <v>-0.39146207749187334</v>
      </c>
    </row>
    <row r="156" spans="1:6" x14ac:dyDescent="0.25">
      <c r="A156" s="25">
        <f>'Plan2 (2)'!A156</f>
        <v>14.299999999999965</v>
      </c>
      <c r="B156" s="25">
        <f>'Plan2 (2)'!B156</f>
        <v>-1.8989653474040546</v>
      </c>
      <c r="C156" s="25">
        <f>'Plan2 (2)'!C156</f>
        <v>-0.39606391153807202</v>
      </c>
      <c r="D156" s="25">
        <f>'Plan2 (2)'!D156</f>
        <v>-0.39033468417259787</v>
      </c>
      <c r="E156" s="25">
        <f t="shared" si="4"/>
        <v>-0.39606391153807202</v>
      </c>
      <c r="F156" s="25">
        <f t="shared" si="5"/>
        <v>-0.39033468417259787</v>
      </c>
    </row>
    <row r="157" spans="1:6" x14ac:dyDescent="0.25">
      <c r="A157" s="25">
        <f>'Plan2 (2)'!A157</f>
        <v>14.399999999999965</v>
      </c>
      <c r="B157" s="25">
        <f>'Plan2 (2)'!B157</f>
        <v>-1.8220916576666011</v>
      </c>
      <c r="C157" s="25">
        <f>'Plan2 (2)'!C157</f>
        <v>-0.45737853158136754</v>
      </c>
      <c r="D157" s="25">
        <f>'Plan2 (2)'!D157</f>
        <v>-0.38778251611164283</v>
      </c>
      <c r="E157" s="25">
        <f t="shared" si="4"/>
        <v>-0.45737853158136754</v>
      </c>
      <c r="F157" s="25">
        <f t="shared" si="5"/>
        <v>-0.38778251611164283</v>
      </c>
    </row>
    <row r="158" spans="1:6" x14ac:dyDescent="0.25">
      <c r="A158" s="25">
        <f>'Plan2 (2)'!A158</f>
        <v>14.499999999999964</v>
      </c>
      <c r="B158" s="25">
        <f>'Plan2 (2)'!B158</f>
        <v>-1.7401627252921803</v>
      </c>
      <c r="C158" s="25">
        <f>'Plan2 (2)'!C158</f>
        <v>-0.51562800926673502</v>
      </c>
      <c r="D158" s="25">
        <f>'Plan2 (2)'!D158</f>
        <v>-0.38384680022470236</v>
      </c>
      <c r="E158" s="25">
        <f t="shared" si="4"/>
        <v>-0.51562800926673502</v>
      </c>
      <c r="F158" s="25">
        <f t="shared" si="5"/>
        <v>-0.38384680022470236</v>
      </c>
    </row>
    <row r="159" spans="1:6" x14ac:dyDescent="0.25">
      <c r="A159" s="25">
        <f>'Plan2 (2)'!A159</f>
        <v>14.599999999999964</v>
      </c>
      <c r="B159" s="25">
        <f>'Plan2 (2)'!B159</f>
        <v>-1.6535955156486077</v>
      </c>
      <c r="C159" s="25">
        <f>'Plan2 (2)'!C159</f>
        <v>-0.57066427489284333</v>
      </c>
      <c r="D159" s="25">
        <f>'Plan2 (2)'!D159</f>
        <v>-0.37857298398102884</v>
      </c>
      <c r="E159" s="25">
        <f t="shared" si="4"/>
        <v>-0.57066427489284333</v>
      </c>
      <c r="F159" s="25">
        <f t="shared" si="5"/>
        <v>-0.37857298398102884</v>
      </c>
    </row>
    <row r="160" spans="1:6" x14ac:dyDescent="0.25">
      <c r="A160" s="25">
        <f>'Plan2 (2)'!A160</f>
        <v>14.699999999999964</v>
      </c>
      <c r="B160" s="25">
        <f>'Plan2 (2)'!B160</f>
        <v>-1.5628149321193754</v>
      </c>
      <c r="C160" s="25">
        <f>'Plan2 (2)'!C160</f>
        <v>-0.62235449351083105</v>
      </c>
      <c r="D160" s="25">
        <f>'Plan2 (2)'!D160</f>
        <v>-0.37201047254720737</v>
      </c>
      <c r="E160" s="25">
        <f t="shared" si="4"/>
        <v>-0.62235449351083105</v>
      </c>
      <c r="F160" s="25">
        <f t="shared" si="5"/>
        <v>-0.37201047254720737</v>
      </c>
    </row>
    <row r="161" spans="1:6" x14ac:dyDescent="0.25">
      <c r="A161" s="25">
        <f>'Plan2 (2)'!A161</f>
        <v>14.799999999999963</v>
      </c>
      <c r="B161" s="25">
        <f>'Plan2 (2)'!B161</f>
        <v>-1.46825206092762</v>
      </c>
      <c r="C161" s="25">
        <f>'Plan2 (2)'!C161</f>
        <v>-0.67058121887640987</v>
      </c>
      <c r="D161" s="25">
        <f>'Plan2 (2)'!D161</f>
        <v>-0.36421235708700228</v>
      </c>
      <c r="E161" s="25">
        <f t="shared" si="4"/>
        <v>-0.67058121887640987</v>
      </c>
      <c r="F161" s="25">
        <f t="shared" si="5"/>
        <v>-0.36421235708700228</v>
      </c>
    </row>
    <row r="162" spans="1:6" x14ac:dyDescent="0.25">
      <c r="A162" s="25">
        <f>'Plan2 (2)'!A162</f>
        <v>14.899999999999963</v>
      </c>
      <c r="B162" s="25">
        <f>'Plan2 (2)'!B162</f>
        <v>-1.3703424321029523</v>
      </c>
      <c r="C162" s="25">
        <f>'Plan2 (2)'!C162</f>
        <v>-0.71524248681051072</v>
      </c>
      <c r="D162" s="25">
        <f>'Plan2 (2)'!D162</f>
        <v>-0.3552351354235716</v>
      </c>
      <c r="E162" s="25">
        <f t="shared" si="4"/>
        <v>-0.71524248681051072</v>
      </c>
      <c r="F162" s="25">
        <f t="shared" si="5"/>
        <v>-0.3552351354235716</v>
      </c>
    </row>
    <row r="163" spans="1:6" x14ac:dyDescent="0.25">
      <c r="A163" s="25">
        <f>'Plan2 (2)'!A163</f>
        <v>14.999999999999963</v>
      </c>
      <c r="B163" s="25">
        <f>'Plan2 (2)'!B163</f>
        <v>-1.2695243026910683</v>
      </c>
      <c r="C163" s="25">
        <f>'Plan2 (2)'!C163</f>
        <v>-0.75625184897177022</v>
      </c>
      <c r="D163" s="25">
        <f>'Plan2 (2)'!D163</f>
        <v>-0.34513842627183644</v>
      </c>
      <c r="E163" s="25">
        <f t="shared" si="4"/>
        <v>-0.75625184897177022</v>
      </c>
      <c r="F163" s="25">
        <f t="shared" si="5"/>
        <v>-0.34513842627183644</v>
      </c>
    </row>
    <row r="164" spans="1:6" x14ac:dyDescent="0.25">
      <c r="A164" s="25">
        <f>'Plan2 (2)'!A164</f>
        <v>15.099999999999962</v>
      </c>
      <c r="B164" s="25">
        <f>'Plan2 (2)'!B164</f>
        <v>-1.1662369680875229</v>
      </c>
      <c r="C164" s="25">
        <f>'Plan2 (2)'!C164</f>
        <v>-0.79353834824314129</v>
      </c>
      <c r="D164" s="25">
        <f>'Plan2 (2)'!D164</f>
        <v>-0.33398467824576189</v>
      </c>
      <c r="E164" s="25">
        <f t="shared" si="4"/>
        <v>-0.79353834824314129</v>
      </c>
      <c r="F164" s="25">
        <f t="shared" si="5"/>
        <v>-0.33398467824576189</v>
      </c>
    </row>
    <row r="165" spans="1:6" x14ac:dyDescent="0.25">
      <c r="A165" s="25">
        <f>'Plan2 (2)'!A165</f>
        <v>15.199999999999962</v>
      </c>
      <c r="B165" s="25">
        <f>'Plan2 (2)'!B165</f>
        <v>-1.0609191071415289</v>
      </c>
      <c r="C165" s="25">
        <f>'Plan2 (2)'!C165</f>
        <v>-0.82704643712499881</v>
      </c>
      <c r="D165" s="25">
        <f>'Plan2 (2)'!D165</f>
        <v>-0.32183887483787127</v>
      </c>
      <c r="E165" s="25">
        <f t="shared" si="4"/>
        <v>-0.82704643712499881</v>
      </c>
      <c r="F165" s="25">
        <f t="shared" si="5"/>
        <v>-0.32183887483787127</v>
      </c>
    </row>
    <row r="166" spans="1:6" x14ac:dyDescent="0.25">
      <c r="A166" s="25">
        <f>'Plan2 (2)'!A166</f>
        <v>15.299999999999962</v>
      </c>
      <c r="B166" s="25">
        <f>'Plan2 (2)'!B166</f>
        <v>-0.95400716642441208</v>
      </c>
      <c r="C166" s="25">
        <f>'Plan2 (2)'!C166</f>
        <v>-0.8567358407077883</v>
      </c>
      <c r="D166" s="25">
        <f>'Plan2 (2)'!D166</f>
        <v>-0.30876823655659563</v>
      </c>
      <c r="E166" s="25">
        <f t="shared" si="4"/>
        <v>-0.8567358407077883</v>
      </c>
      <c r="F166" s="25">
        <f t="shared" si="5"/>
        <v>-0.30876823655659563</v>
      </c>
    </row>
    <row r="167" spans="1:6" x14ac:dyDescent="0.25">
      <c r="A167" s="25">
        <f>'Plan2 (2)'!A167</f>
        <v>15.399999999999961</v>
      </c>
      <c r="B167" s="25">
        <f>'Plan2 (2)'!B167</f>
        <v>-0.84593378879166603</v>
      </c>
      <c r="C167" s="25">
        <f>'Plan2 (2)'!C167</f>
        <v>-0.88258136596807557</v>
      </c>
      <c r="D167" s="25">
        <f>'Plan2 (2)'!D167</f>
        <v>-0.2948419213912003</v>
      </c>
      <c r="E167" s="25">
        <f t="shared" si="4"/>
        <v>-0.88258136596807557</v>
      </c>
      <c r="F167" s="25">
        <f t="shared" si="5"/>
        <v>-0.2948419213912003</v>
      </c>
    </row>
    <row r="168" spans="1:6" x14ac:dyDescent="0.25">
      <c r="A168" s="25">
        <f>'Plan2 (2)'!A168</f>
        <v>15.499999999999961</v>
      </c>
      <c r="B168" s="25">
        <f>'Plan2 (2)'!B168</f>
        <v>-0.73712629108874572</v>
      </c>
      <c r="C168" s="25">
        <f>'Plan2 (2)'!C168</f>
        <v>-0.90457265929238273</v>
      </c>
      <c r="D168" s="25">
        <f>'Plan2 (2)'!D168</f>
        <v>-0.2801307247541775</v>
      </c>
      <c r="E168" s="25">
        <f t="shared" si="4"/>
        <v>-0.90457265929238273</v>
      </c>
      <c r="F168" s="25">
        <f t="shared" si="5"/>
        <v>-0.2801307247541775</v>
      </c>
    </row>
    <row r="169" spans="1:6" x14ac:dyDescent="0.25">
      <c r="A169" s="25">
        <f>'Plan2 (2)'!A169</f>
        <v>15.599999999999961</v>
      </c>
      <c r="B169" s="25">
        <f>'Plan2 (2)'!B169</f>
        <v>-0.62800519556012135</v>
      </c>
      <c r="C169" s="25">
        <f>'Plan2 (2)'!C169</f>
        <v>-0.92271391428306682</v>
      </c>
      <c r="D169" s="25">
        <f>'Plan2 (2)'!D169</f>
        <v>-0.26470678002731302</v>
      </c>
      <c r="E169" s="25">
        <f t="shared" si="4"/>
        <v>-0.92271391428306682</v>
      </c>
      <c r="F169" s="25">
        <f t="shared" si="5"/>
        <v>-0.26470678002731302</v>
      </c>
    </row>
    <row r="170" spans="1:6" x14ac:dyDescent="0.25">
      <c r="A170" s="25">
        <f>'Plan2 (2)'!A170</f>
        <v>15.69999999999996</v>
      </c>
      <c r="B170" s="25">
        <f>'Plan2 (2)'!B170</f>
        <v>-0.51898281922004008</v>
      </c>
      <c r="C170" s="25">
        <f>'Plan2 (2)'!C170</f>
        <v>-0.93702353203940592</v>
      </c>
      <c r="D170" s="25">
        <f>'Plan2 (2)'!D170</f>
        <v>-0.24864326081029786</v>
      </c>
      <c r="E170" s="25">
        <f t="shared" si="4"/>
        <v>-0.93702353203940592</v>
      </c>
      <c r="F170" s="25">
        <f t="shared" si="5"/>
        <v>-0.24864326081029786</v>
      </c>
    </row>
    <row r="171" spans="1:6" x14ac:dyDescent="0.25">
      <c r="A171" s="25">
        <f>'Plan2 (2)'!A171</f>
        <v>15.79999999999996</v>
      </c>
      <c r="B171" s="25">
        <f>'Plan2 (2)'!B171</f>
        <v>-0.41046192513325869</v>
      </c>
      <c r="C171" s="25">
        <f>'Plan2 (2)'!C171</f>
        <v>-0.94753373623471981</v>
      </c>
      <c r="D171" s="25">
        <f>'Plan2 (2)'!D171</f>
        <v>-0.23201408593994566</v>
      </c>
      <c r="E171" s="25">
        <f t="shared" si="4"/>
        <v>-0.94753373623471981</v>
      </c>
      <c r="F171" s="25">
        <f t="shared" si="5"/>
        <v>-0.23201408593994566</v>
      </c>
    </row>
    <row r="172" spans="1:6" x14ac:dyDescent="0.25">
      <c r="A172" s="25">
        <f>'Plan2 (2)'!A172</f>
        <v>15.899999999999959</v>
      </c>
      <c r="B172" s="25">
        <f>'Plan2 (2)'!B172</f>
        <v>-0.30283443923606973</v>
      </c>
      <c r="C172" s="25">
        <f>'Plan2 (2)'!C172</f>
        <v>-0.95429014542654722</v>
      </c>
      <c r="D172" s="25">
        <f>'Plan2 (2)'!D172</f>
        <v>-0.21489362831398767</v>
      </c>
      <c r="E172" s="25">
        <f t="shared" si="4"/>
        <v>-0.95429014542654722</v>
      </c>
      <c r="F172" s="25">
        <f t="shared" si="5"/>
        <v>-0.21489362831398767</v>
      </c>
    </row>
    <row r="173" spans="1:6" x14ac:dyDescent="0.25">
      <c r="A173" s="25">
        <f>'Plan2 (2)'!A173</f>
        <v>15.999999999999959</v>
      </c>
      <c r="B173" s="25">
        <f>'Plan2 (2)'!B173</f>
        <v>-0.19648023600360703</v>
      </c>
      <c r="C173" s="25">
        <f>'Plan2 (2)'!C173</f>
        <v>-0.95735130514146216</v>
      </c>
      <c r="D173" s="25">
        <f>'Plan2 (2)'!D173</f>
        <v>-0.19735642851624496</v>
      </c>
      <c r="E173" s="25">
        <f t="shared" si="4"/>
        <v>-0.95735130514146216</v>
      </c>
      <c r="F173" s="25">
        <f t="shared" si="5"/>
        <v>-0.19735642851624496</v>
      </c>
    </row>
    <row r="174" spans="1:6" x14ac:dyDescent="0.25">
      <c r="A174" s="25">
        <f>'Plan2 (2)'!A174</f>
        <v>16.099999999999959</v>
      </c>
      <c r="B174" s="25">
        <f>'Plan2 (2)'!B174</f>
        <v>-9.176599594002105E-2</v>
      </c>
      <c r="C174" s="25">
        <f>'Plan2 (2)'!C174</f>
        <v>-0.95678818236889451</v>
      </c>
      <c r="D174" s="25">
        <f>'Plan2 (2)'!D174</f>
        <v>-0.17947691419993181</v>
      </c>
      <c r="E174" s="25">
        <f t="shared" si="4"/>
        <v>-0.95678818236889451</v>
      </c>
      <c r="F174" s="25">
        <f t="shared" si="5"/>
        <v>-0.17947691419993181</v>
      </c>
    </row>
    <row r="175" spans="1:6" x14ac:dyDescent="0.25">
      <c r="A175" s="25">
        <f>'Plan2 (2)'!A175</f>
        <v>16.19999999999996</v>
      </c>
      <c r="B175" s="25">
        <f>'Plan2 (2)'!B175</f>
        <v>1.0955862464993207E-2</v>
      </c>
      <c r="C175" s="25">
        <f>'Plan2 (2)'!C175</f>
        <v>-0.95268362517925387</v>
      </c>
      <c r="D175" s="25">
        <f>'Plan2 (2)'!D175</f>
        <v>-0.1613291261431376</v>
      </c>
      <c r="E175" s="25">
        <f t="shared" si="4"/>
        <v>-0.95268362517925387</v>
      </c>
      <c r="F175" s="25">
        <f t="shared" si="5"/>
        <v>-0.1613291261431376</v>
      </c>
    </row>
    <row r="176" spans="1:6" x14ac:dyDescent="0.25">
      <c r="A176" s="25">
        <f>'Plan2 (2)'!A176</f>
        <v>16.299999999999962</v>
      </c>
      <c r="B176" s="25">
        <f>'Plan2 (2)'!B176</f>
        <v>0.11134817400534074</v>
      </c>
      <c r="C176" s="25">
        <f>'Plan2 (2)'!C176</f>
        <v>-0.94513179025069904</v>
      </c>
      <c r="D176" s="25">
        <f>'Plan2 (2)'!D176</f>
        <v>-0.14298645184538344</v>
      </c>
      <c r="E176" s="25">
        <f t="shared" si="4"/>
        <v>-0.94513179025069904</v>
      </c>
      <c r="F176" s="25">
        <f t="shared" si="5"/>
        <v>-0.14298645184538344</v>
      </c>
    </row>
    <row r="177" spans="1:6" x14ac:dyDescent="0.25">
      <c r="A177" s="25">
        <f>'Plan2 (2)'!A177</f>
        <v>16.399999999999963</v>
      </c>
      <c r="B177" s="25">
        <f>'Plan2 (2)'!B177</f>
        <v>0.20908993928197134</v>
      </c>
      <c r="C177" s="25">
        <f>'Plan2 (2)'!C177</f>
        <v>-0.93423754114605873</v>
      </c>
      <c r="D177" s="25">
        <f>'Plan2 (2)'!D177</f>
        <v>-0.12452136748677758</v>
      </c>
      <c r="E177" s="25">
        <f t="shared" si="4"/>
        <v>-0.93423754114605873</v>
      </c>
      <c r="F177" s="25">
        <f t="shared" si="5"/>
        <v>-0.12452136748677758</v>
      </c>
    </row>
    <row r="178" spans="1:6" x14ac:dyDescent="0.25">
      <c r="A178" s="25">
        <f>'Plan2 (2)'!A178</f>
        <v>16.499999999999964</v>
      </c>
      <c r="B178" s="25">
        <f>'Plan2 (2)'!B178</f>
        <v>0.30387715684567962</v>
      </c>
      <c r="C178" s="25">
        <f>'Plan2 (2)'!C178</f>
        <v>-0.92011582022674232</v>
      </c>
      <c r="D178" s="25">
        <f>'Plan2 (2)'!D178</f>
        <v>-0.10600518902192568</v>
      </c>
      <c r="E178" s="25">
        <f t="shared" si="4"/>
        <v>-0.92011582022674232</v>
      </c>
      <c r="F178" s="25">
        <f t="shared" si="5"/>
        <v>-0.10600518902192568</v>
      </c>
    </row>
    <row r="179" spans="1:6" x14ac:dyDescent="0.25">
      <c r="A179" s="25">
        <f>'Plan2 (2)'!A179</f>
        <v>16.599999999999966</v>
      </c>
      <c r="B179" s="25">
        <f>'Plan2 (2)'!B179</f>
        <v>0.39542357365931724</v>
      </c>
      <c r="C179" s="25">
        <f>'Plan2 (2)'!C179</f>
        <v>-0.90289099712408138</v>
      </c>
      <c r="D179" s="25">
        <f>'Plan2 (2)'!D179</f>
        <v>-8.7507833129615492E-2</v>
      </c>
      <c r="E179" s="25">
        <f t="shared" si="4"/>
        <v>-0.90289099712408138</v>
      </c>
      <c r="F179" s="25">
        <f t="shared" si="5"/>
        <v>-8.7507833129615492E-2</v>
      </c>
    </row>
    <row r="180" spans="1:6" x14ac:dyDescent="0.25">
      <c r="A180" s="25">
        <f>'Plan2 (2)'!A180</f>
        <v>16.699999999999967</v>
      </c>
      <c r="B180" s="25">
        <f>'Plan2 (2)'!B180</f>
        <v>0.48346135291184233</v>
      </c>
      <c r="C180" s="25">
        <f>'Plan2 (2)'!C180</f>
        <v>-0.88269619671054489</v>
      </c>
      <c r="D180" s="25">
        <f>'Plan2 (2)'!D180</f>
        <v>-6.9097588686620678E-2</v>
      </c>
      <c r="E180" s="25">
        <f t="shared" si="4"/>
        <v>-0.88269619671054489</v>
      </c>
      <c r="F180" s="25">
        <f t="shared" si="5"/>
        <v>-6.9097588686620678E-2</v>
      </c>
    </row>
    <row r="181" spans="1:6" x14ac:dyDescent="0.25">
      <c r="A181" s="25">
        <f>'Plan2 (2)'!A181</f>
        <v>16.799999999999969</v>
      </c>
      <c r="B181" s="25">
        <f>'Plan2 (2)'!B181</f>
        <v>0.56774165854518555</v>
      </c>
      <c r="C181" s="25">
        <f>'Plan2 (2)'!C181</f>
        <v>-0.85967260952385804</v>
      </c>
      <c r="D181" s="25">
        <f>'Plan2 (2)'!D181</f>
        <v>-5.0840899379984303E-2</v>
      </c>
      <c r="E181" s="25">
        <f t="shared" si="4"/>
        <v>-0.85967260952385804</v>
      </c>
      <c r="F181" s="25">
        <f t="shared" si="5"/>
        <v>-5.0840899379984303E-2</v>
      </c>
    </row>
    <row r="182" spans="1:6" x14ac:dyDescent="0.25">
      <c r="A182" s="25">
        <f>'Plan2 (2)'!A182</f>
        <v>16.89999999999997</v>
      </c>
      <c r="B182" s="25">
        <f>'Plan2 (2)'!B182</f>
        <v>0.64803515617852092</v>
      </c>
      <c r="C182" s="25">
        <f>'Plan2 (2)'!C182</f>
        <v>-0.83396878759643134</v>
      </c>
      <c r="D182" s="25">
        <f>'Plan2 (2)'!D182</f>
        <v>-3.2802158017079648E-2</v>
      </c>
      <c r="E182" s="25">
        <f t="shared" si="4"/>
        <v>-0.83396878759643134</v>
      </c>
      <c r="F182" s="25">
        <f t="shared" si="5"/>
        <v>-3.2802158017079648E-2</v>
      </c>
    </row>
    <row r="183" spans="1:6" x14ac:dyDescent="0.25">
      <c r="A183" s="25">
        <f>'Plan2 (2)'!A183</f>
        <v>16.999999999999972</v>
      </c>
      <c r="B183" s="25">
        <f>'Plan2 (2)'!B183</f>
        <v>0.72413243043209907</v>
      </c>
      <c r="C183" s="25">
        <f>'Plan2 (2)'!C183</f>
        <v>-0.80573992863093424</v>
      </c>
      <c r="D183" s="25">
        <f>'Plan2 (2)'!D183</f>
        <v>-1.5043513036832327E-2</v>
      </c>
      <c r="E183" s="25">
        <f t="shared" si="4"/>
        <v>-0.80573992863093424</v>
      </c>
      <c r="F183" s="25">
        <f t="shared" si="5"/>
        <v>-1.5043513036832327E-2</v>
      </c>
    </row>
    <row r="184" spans="1:6" x14ac:dyDescent="0.25">
      <c r="A184" s="25">
        <f>'Plan2 (2)'!A184</f>
        <v>17.099999999999973</v>
      </c>
      <c r="B184" s="25">
        <f>'Plan2 (2)'!B184</f>
        <v>0.79584431896328367</v>
      </c>
      <c r="C184" s="25">
        <f>'Plan2 (2)'!C184</f>
        <v>-0.77514715144060775</v>
      </c>
      <c r="D184" s="25">
        <f>'Plan2 (2)'!D184</f>
        <v>2.375312331050039E-3</v>
      </c>
      <c r="E184" s="25">
        <f t="shared" si="4"/>
        <v>-0.77514715144060775</v>
      </c>
      <c r="F184" s="25">
        <f t="shared" si="5"/>
        <v>2.375312331050039E-3</v>
      </c>
    </row>
    <row r="185" spans="1:6" x14ac:dyDescent="0.25">
      <c r="A185" s="25">
        <f>'Plan2 (2)'!A185</f>
        <v>17.199999999999974</v>
      </c>
      <c r="B185" s="25">
        <f>'Plan2 (2)'!B185</f>
        <v>0.86300216382983963</v>
      </c>
      <c r="C185" s="25">
        <f>'Plan2 (2)'!C185</f>
        <v>-0.74235676554032604</v>
      </c>
      <c r="D185" s="25">
        <f>'Plan2 (2)'!D185</f>
        <v>1.9397187868931787E-2</v>
      </c>
      <c r="E185" s="25">
        <f t="shared" si="4"/>
        <v>-0.74235676554032604</v>
      </c>
      <c r="F185" s="25">
        <f t="shared" si="5"/>
        <v>1.9397187868931787E-2</v>
      </c>
    </row>
    <row r="186" spans="1:6" x14ac:dyDescent="0.25">
      <c r="A186" s="25">
        <f>'Plan2 (2)'!A186</f>
        <v>17.299999999999976</v>
      </c>
      <c r="B186" s="25">
        <f>'Plan2 (2)'!B186</f>
        <v>0.92545798108890309</v>
      </c>
      <c r="C186" s="25">
        <f>'Plan2 (2)'!C186</f>
        <v>-0.70753953773183675</v>
      </c>
      <c r="D186" s="25">
        <f>'Plan2 (2)'!D186</f>
        <v>3.5967730803395367E-2</v>
      </c>
      <c r="E186" s="25">
        <f t="shared" si="4"/>
        <v>-0.70753953773183675</v>
      </c>
      <c r="F186" s="25">
        <f t="shared" si="5"/>
        <v>3.5967730803395367E-2</v>
      </c>
    </row>
    <row r="187" spans="1:6" x14ac:dyDescent="0.25">
      <c r="A187" s="25">
        <f>'Plan2 (2)'!A187</f>
        <v>17.399999999999977</v>
      </c>
      <c r="B187" s="25">
        <f>'Plan2 (2)'!B187</f>
        <v>0.98308454982353388</v>
      </c>
      <c r="C187" s="25">
        <f>'Plan2 (2)'!C187</f>
        <v>-0.67086995847441921</v>
      </c>
      <c r="D187" s="25">
        <f>'Plan2 (2)'!D187</f>
        <v>5.2035446590968898E-2</v>
      </c>
      <c r="E187" s="25">
        <f t="shared" si="4"/>
        <v>-0.67086995847441921</v>
      </c>
      <c r="F187" s="25">
        <f t="shared" si="5"/>
        <v>5.2035446590968898E-2</v>
      </c>
    </row>
    <row r="188" spans="1:6" x14ac:dyDescent="0.25">
      <c r="A188" s="25">
        <f>'Plan2 (2)'!A188</f>
        <v>17.499999999999979</v>
      </c>
      <c r="B188" s="25">
        <f>'Plan2 (2)'!B188</f>
        <v>1.0357754220614801</v>
      </c>
      <c r="C188" s="25">
        <f>'Plan2 (2)'!C188</f>
        <v>-0.63252551077080066</v>
      </c>
      <c r="D188" s="25">
        <f>'Plan2 (2)'!D188</f>
        <v>6.7551855838557301E-2</v>
      </c>
      <c r="E188" s="25">
        <f t="shared" si="4"/>
        <v>-0.63252551077080066</v>
      </c>
      <c r="F188" s="25">
        <f t="shared" si="5"/>
        <v>6.7551855838557301E-2</v>
      </c>
    </row>
    <row r="189" spans="1:6" x14ac:dyDescent="0.25">
      <c r="A189" s="25">
        <f>'Plan2 (2)'!A189</f>
        <v>17.59999999999998</v>
      </c>
      <c r="B189" s="25">
        <f>'Plan2 (2)'!B189</f>
        <v>1.0834448553119942</v>
      </c>
      <c r="C189" s="25">
        <f>'Plan2 (2)'!C189</f>
        <v>-0.59268594422800303</v>
      </c>
      <c r="D189" s="25">
        <f>'Plan2 (2)'!D189</f>
        <v>8.2471607196078711E-2</v>
      </c>
      <c r="E189" s="25">
        <f t="shared" si="4"/>
        <v>-0.59268594422800303</v>
      </c>
      <c r="F189" s="25">
        <f t="shared" si="5"/>
        <v>8.2471607196078711E-2</v>
      </c>
    </row>
    <row r="190" spans="1:6" x14ac:dyDescent="0.25">
      <c r="A190" s="25">
        <f>'Plan2 (2)'!A190</f>
        <v>17.699999999999982</v>
      </c>
      <c r="B190" s="25">
        <f>'Plan2 (2)'!B190</f>
        <v>1.1260276696955174</v>
      </c>
      <c r="C190" s="25">
        <f>'Plan2 (2)'!C190</f>
        <v>-0.55153255687430625</v>
      </c>
      <c r="D190" s="25">
        <f>'Plan2 (2)'!D190</f>
        <v>9.6752576114534958E-2</v>
      </c>
      <c r="E190" s="25">
        <f t="shared" si="4"/>
        <v>-0.55153255687430625</v>
      </c>
      <c r="F190" s="25">
        <f t="shared" si="5"/>
        <v>9.6752576114534958E-2</v>
      </c>
    </row>
    <row r="191" spans="1:6" x14ac:dyDescent="0.25">
      <c r="A191" s="25">
        <f>'Plan2 (2)'!A191</f>
        <v>17.799999999999983</v>
      </c>
      <c r="B191" s="25">
        <f>'Plan2 (2)'!B191</f>
        <v>1.1634790318771502</v>
      </c>
      <c r="C191" s="25">
        <f>'Plan2 (2)'!C191</f>
        <v>-0.50924748722719193</v>
      </c>
      <c r="D191" s="25">
        <f>'Plan2 (2)'!D191</f>
        <v>0.11035594941762664</v>
      </c>
      <c r="E191" s="25">
        <f t="shared" si="4"/>
        <v>-0.50924748722719193</v>
      </c>
      <c r="F191" s="25">
        <f t="shared" si="5"/>
        <v>0.11035594941762664</v>
      </c>
    </row>
    <row r="192" spans="1:6" x14ac:dyDescent="0.25">
      <c r="A192" s="25">
        <f>'Plan2 (2)'!A192</f>
        <v>17.899999999999984</v>
      </c>
      <c r="B192" s="25">
        <f>'Plan2 (2)'!B192</f>
        <v>1.1957741682374434</v>
      </c>
      <c r="C192" s="25">
        <f>'Plan2 (2)'!C192</f>
        <v>-0.46601301901346054</v>
      </c>
      <c r="D192" s="25">
        <f>'Plan2 (2)'!D192</f>
        <v>0.12324629568887502</v>
      </c>
      <c r="E192" s="25">
        <f t="shared" si="4"/>
        <v>-0.46601301901346054</v>
      </c>
      <c r="F192" s="25">
        <f t="shared" si="5"/>
        <v>0.12324629568887502</v>
      </c>
    </row>
    <row r="193" spans="1:6" x14ac:dyDescent="0.25">
      <c r="A193" s="25">
        <f>'Plan2 (2)'!A193</f>
        <v>17.999999999999986</v>
      </c>
      <c r="B193" s="25">
        <f>'Plan2 (2)'!B193</f>
        <v>1.2229080099226739</v>
      </c>
      <c r="C193" s="25">
        <f>'Plan2 (2)'!C193</f>
        <v>-0.42201090084221893</v>
      </c>
      <c r="D193" s="25">
        <f>'Plan2 (2)'!D193</f>
        <v>0.13539162152885753</v>
      </c>
      <c r="E193" s="25">
        <f t="shared" si="4"/>
        <v>-0.42201090084221893</v>
      </c>
      <c r="F193" s="25">
        <f t="shared" si="5"/>
        <v>0.13539162152885753</v>
      </c>
    </row>
    <row r="194" spans="1:6" x14ac:dyDescent="0.25">
      <c r="A194" s="25">
        <f>'Plan2 (2)'!A194</f>
        <v>18.099999999999987</v>
      </c>
      <c r="B194" s="25">
        <f>'Plan2 (2)'!B194</f>
        <v>1.2448947726109232</v>
      </c>
      <c r="C194" s="25">
        <f>'Plan2 (2)'!C194</f>
        <v>-0.37742168302462592</v>
      </c>
      <c r="D194" s="25">
        <f>'Plan2 (2)'!D194</f>
        <v>0.14676341378843219</v>
      </c>
      <c r="E194" s="25" t="e">
        <f t="shared" si="4"/>
        <v>#N/A</v>
      </c>
      <c r="F194" s="25" t="e">
        <f t="shared" si="5"/>
        <v>#N/A</v>
      </c>
    </row>
    <row r="195" spans="1:6" x14ac:dyDescent="0.25">
      <c r="A195" s="25">
        <f>'Plan2 (2)'!A195</f>
        <v>18.199999999999989</v>
      </c>
      <c r="B195" s="25">
        <f>'Plan2 (2)'!B195</f>
        <v>1.2617674740095826</v>
      </c>
      <c r="C195" s="25">
        <f>'Plan2 (2)'!C195</f>
        <v>-0.33242407362170906</v>
      </c>
      <c r="D195" s="25">
        <f>'Plan2 (2)'!D195</f>
        <v>0.1573366679335593</v>
      </c>
      <c r="E195" s="25" t="e">
        <f t="shared" si="4"/>
        <v>#N/A</v>
      </c>
      <c r="F195" s="25" t="e">
        <f t="shared" si="5"/>
        <v>#N/A</v>
      </c>
    </row>
    <row r="196" spans="1:6" x14ac:dyDescent="0.25">
      <c r="A196" s="25">
        <f>'Plan2 (2)'!A196</f>
        <v>18.29999999999999</v>
      </c>
      <c r="B196" s="25">
        <f>'Plan2 (2)'!B196</f>
        <v>1.2735773922640026</v>
      </c>
      <c r="C196" s="25">
        <f>'Plan2 (2)'!C196</f>
        <v>-0.28719431568376713</v>
      </c>
      <c r="D196" s="25">
        <f>'Plan2 (2)'!D196</f>
        <v>0.1670899027453755</v>
      </c>
      <c r="E196" s="25" t="e">
        <f t="shared" si="4"/>
        <v>#N/A</v>
      </c>
      <c r="F196" s="25" t="e">
        <f t="shared" si="5"/>
        <v>#N/A</v>
      </c>
    </row>
    <row r="197" spans="1:6" x14ac:dyDescent="0.25">
      <c r="A197" s="25">
        <f>'Plan2 (2)'!A197</f>
        <v>18.399999999999991</v>
      </c>
      <c r="B197" s="25">
        <f>'Plan2 (2)'!B197</f>
        <v>1.2803934686056475</v>
      </c>
      <c r="C197" s="25">
        <f>'Plan2 (2)'!C197</f>
        <v>-0.24190558752240585</v>
      </c>
      <c r="D197" s="25">
        <f>'Plan2 (2)'!D197</f>
        <v>0.17600516160539517</v>
      </c>
      <c r="E197" s="25" t="e">
        <f t="shared" si="4"/>
        <v>#N/A</v>
      </c>
      <c r="F197" s="25" t="e">
        <f t="shared" si="5"/>
        <v>#N/A</v>
      </c>
    </row>
    <row r="198" spans="1:6" x14ac:dyDescent="0.25">
      <c r="A198" s="25">
        <f>'Plan2 (2)'!A198</f>
        <v>18.499999999999993</v>
      </c>
      <c r="B198" s="25">
        <f>'Plan2 (2)'!B198</f>
        <v>1.2823016577010671</v>
      </c>
      <c r="C198" s="25">
        <f>'Plan2 (2)'!C198</f>
        <v>-0.19672742772967766</v>
      </c>
      <c r="D198" s="25">
        <f>'Plan2 (2)'!D198</f>
        <v>0.18406800065997572</v>
      </c>
      <c r="E198" s="25" t="e">
        <f t="shared" si="4"/>
        <v>#N/A</v>
      </c>
      <c r="F198" s="25" t="e">
        <f t="shared" si="5"/>
        <v>#N/A</v>
      </c>
    </row>
    <row r="199" spans="1:6" x14ac:dyDescent="0.25">
      <c r="A199" s="25">
        <f>'Plan2 (2)'!A199</f>
        <v>18.599999999999994</v>
      </c>
      <c r="B199" s="25">
        <f>'Plan2 (2)'!B199</f>
        <v>1.2794042292801422</v>
      </c>
      <c r="C199" s="25">
        <f>'Plan2 (2)'!C199</f>
        <v>-0.1518251865286715</v>
      </c>
      <c r="D199" s="25">
        <f>'Plan2 (2)'!D199</f>
        <v>0.19126746420036636</v>
      </c>
      <c r="E199" s="25" t="e">
        <f t="shared" si="4"/>
        <v>#N/A</v>
      </c>
      <c r="F199" s="25" t="e">
        <f t="shared" si="5"/>
        <v>#N/A</v>
      </c>
    </row>
    <row r="200" spans="1:6" x14ac:dyDescent="0.25">
      <c r="A200" s="25">
        <f>'Plan2 (2)'!A200</f>
        <v>18.699999999999996</v>
      </c>
      <c r="B200" s="25">
        <f>'Plan2 (2)'!B200</f>
        <v>1.2718190247232988</v>
      </c>
      <c r="C200" s="25">
        <f>'Plan2 (2)'!C200</f>
        <v>-0.10735950490678783</v>
      </c>
      <c r="D200" s="25">
        <f>'Plan2 (2)'!D200</f>
        <v>0.19759604763465366</v>
      </c>
      <c r="E200" s="25" t="e">
        <f t="shared" si="4"/>
        <v>#N/A</v>
      </c>
      <c r="F200" s="25" t="e">
        <f t="shared" si="5"/>
        <v>#N/A</v>
      </c>
    </row>
    <row r="201" spans="1:6" x14ac:dyDescent="0.25">
      <c r="A201" s="25">
        <f>'Plan2 (2)'!A201</f>
        <v>18.799999999999997</v>
      </c>
      <c r="B201" s="25">
        <f>'Plan2 (2)'!B201</f>
        <v>1.2596786723726943</v>
      </c>
      <c r="C201" s="25">
        <f>'Plan2 (2)'!C201</f>
        <v>-6.3485822847400064E-2</v>
      </c>
      <c r="D201" s="25">
        <f>'Plan2 (2)'!D201</f>
        <v>0.2030496484656219</v>
      </c>
      <c r="E201" s="25" t="e">
        <f t="shared" si="4"/>
        <v>#N/A</v>
      </c>
      <c r="F201" s="25" t="e">
        <f t="shared" si="5"/>
        <v>#N/A</v>
      </c>
    </row>
    <row r="202" spans="1:6" x14ac:dyDescent="0.25">
      <c r="A202" s="25">
        <f>'Plan2 (2)'!A202</f>
        <v>18.899999999999999</v>
      </c>
      <c r="B202" s="25">
        <f>'Plan2 (2)'!B202</f>
        <v>1.2431297654018112</v>
      </c>
      <c r="C202" s="25">
        <f>'Plan2 (2)'!C202</f>
        <v>-2.0353917838200196E-2</v>
      </c>
      <c r="D202" s="25">
        <f>'Plan2 (2)'!D202</f>
        <v>0.20762750572387303</v>
      </c>
      <c r="E202" s="25" t="e">
        <f t="shared" si="4"/>
        <v>#N/A</v>
      </c>
      <c r="F202" s="25" t="e">
        <f t="shared" si="5"/>
        <v>#N/A</v>
      </c>
    </row>
    <row r="203" spans="1:6" x14ac:dyDescent="0.25">
      <c r="A203" s="25">
        <f>'Plan2 (2)'!A203</f>
        <v>19</v>
      </c>
      <c r="B203" s="25">
        <f>'Plan2 (2)'!B203</f>
        <v>1.2223320061315308</v>
      </c>
      <c r="C203" s="25">
        <f>'Plan2 (2)'!C203</f>
        <v>2.1892525304190051E-2</v>
      </c>
      <c r="D203" s="25">
        <f>'Plan2 (2)'!D203</f>
        <v>0.21133212833842177</v>
      </c>
      <c r="E203" s="25" t="e">
        <f t="shared" si="4"/>
        <v>#N/A</v>
      </c>
      <c r="F203" s="25" t="e">
        <f t="shared" si="5"/>
        <v>#N/A</v>
      </c>
    </row>
    <row r="204" spans="1:6" x14ac:dyDescent="0.25">
      <c r="A204" s="25">
        <f>'Plan2 (2)'!A204</f>
        <v>19.100000000000001</v>
      </c>
      <c r="B204" s="25">
        <f>'Plan2 (2)'!B204</f>
        <v>1.1974573207187564</v>
      </c>
      <c r="C204" s="25">
        <f>'Plan2 (2)'!C204</f>
        <v>6.311631239324958E-2</v>
      </c>
      <c r="D204" s="25">
        <f>'Plan2 (2)'!D204</f>
        <v>0.21416921295732796</v>
      </c>
      <c r="E204" s="25" t="e">
        <f t="shared" si="4"/>
        <v>#N/A</v>
      </c>
      <c r="F204" s="25" t="e">
        <f t="shared" si="5"/>
        <v>#N/A</v>
      </c>
    </row>
    <row r="205" spans="1:6" x14ac:dyDescent="0.25">
      <c r="A205" s="25">
        <f>'Plan2 (2)'!A205</f>
        <v>19.200000000000003</v>
      </c>
      <c r="B205" s="25">
        <f>'Plan2 (2)'!B205</f>
        <v>1.1686889481662288</v>
      </c>
      <c r="C205" s="25">
        <f>'Plan2 (2)'!C205</f>
        <v>0.10318710485486016</v>
      </c>
      <c r="D205" s="25">
        <f>'Plan2 (2)'!D205</f>
        <v>0.21614755175869549</v>
      </c>
      <c r="E205" s="25" t="e">
        <f t="shared" ref="E205:E268" si="6">IF(A205&lt;=$C$8,C205,NA())</f>
        <v>#N/A</v>
      </c>
      <c r="F205" s="25" t="e">
        <f t="shared" ref="F205:F268" si="7">IF(A205&lt;=$C$8,D205,NA())</f>
        <v>#N/A</v>
      </c>
    </row>
    <row r="206" spans="1:6" x14ac:dyDescent="0.25">
      <c r="A206" s="25">
        <f>'Plan2 (2)'!A206</f>
        <v>19.300000000000004</v>
      </c>
      <c r="B206" s="25">
        <f>'Plan2 (2)'!B206</f>
        <v>1.1362205076095764</v>
      </c>
      <c r="C206" s="25">
        <f>'Plan2 (2)'!C206</f>
        <v>0.14198175111194497</v>
      </c>
      <c r="D206" s="25">
        <f>'Plan2 (2)'!D206</f>
        <v>0.21727893081750779</v>
      </c>
      <c r="E206" s="25" t="e">
        <f t="shared" si="6"/>
        <v>#N/A</v>
      </c>
      <c r="F206" s="25" t="e">
        <f t="shared" si="7"/>
        <v>#N/A</v>
      </c>
    </row>
    <row r="207" spans="1:6" x14ac:dyDescent="0.25">
      <c r="A207" s="25">
        <f>'Plan2 (2)'!A207</f>
        <v>19.400000000000006</v>
      </c>
      <c r="B207" s="25">
        <f>'Plan2 (2)'!B207</f>
        <v>1.1002550478301805</v>
      </c>
      <c r="C207" s="25">
        <f>'Plan2 (2)'!C207</f>
        <v>0.17938458388914227</v>
      </c>
      <c r="D207" s="25">
        <f>'Plan2 (2)'!D207</f>
        <v>0.21757801961625084</v>
      </c>
      <c r="E207" s="25" t="e">
        <f t="shared" si="6"/>
        <v>#N/A</v>
      </c>
      <c r="F207" s="25" t="e">
        <f t="shared" si="7"/>
        <v>#N/A</v>
      </c>
    </row>
    <row r="208" spans="1:6" x14ac:dyDescent="0.25">
      <c r="A208" s="25">
        <f>'Plan2 (2)'!A208</f>
        <v>19.500000000000007</v>
      </c>
      <c r="B208" s="25">
        <f>'Plan2 (2)'!B208</f>
        <v>1.0610040829204788</v>
      </c>
      <c r="C208" s="25">
        <f>'Plan2 (2)'!C208</f>
        <v>0.21528768309254898</v>
      </c>
      <c r="D208" s="25">
        <f>'Plan2 (2)'!D208</f>
        <v>0.21706225230706969</v>
      </c>
      <c r="E208" s="25" t="e">
        <f t="shared" si="6"/>
        <v>#N/A</v>
      </c>
      <c r="F208" s="25" t="e">
        <f t="shared" si="7"/>
        <v>#N/A</v>
      </c>
    </row>
    <row r="209" spans="1:6" x14ac:dyDescent="0.25">
      <c r="A209" s="25">
        <f>'Plan2 (2)'!A209</f>
        <v>19.600000000000009</v>
      </c>
      <c r="B209" s="25">
        <f>'Plan2 (2)'!B209</f>
        <v>1.0186866179922722</v>
      </c>
      <c r="C209" s="25">
        <f>'Plan2 (2)'!C209</f>
        <v>0.24959110405512686</v>
      </c>
      <c r="D209" s="25">
        <f>'Plan2 (2)'!D209</f>
        <v>0.21575170135030186</v>
      </c>
      <c r="E209" s="25" t="e">
        <f t="shared" si="6"/>
        <v>#N/A</v>
      </c>
      <c r="F209" s="25" t="e">
        <f t="shared" si="7"/>
        <v>#N/A</v>
      </c>
    </row>
    <row r="210" spans="1:6" x14ac:dyDescent="0.25">
      <c r="A210" s="25">
        <f>'Plan2 (2)'!A210</f>
        <v>19.70000000000001</v>
      </c>
      <c r="B210" s="25">
        <f>'Plan2 (2)'!B210</f>
        <v>0.97352816876889448</v>
      </c>
      <c r="C210" s="25">
        <f>'Plan2 (2)'!C210</f>
        <v>0.28220307107167897</v>
      </c>
      <c r="D210" s="25">
        <f>'Plan2 (2)'!D210</f>
        <v>0.21366894416862625</v>
      </c>
      <c r="E210" s="25" t="e">
        <f t="shared" si="6"/>
        <v>#N/A</v>
      </c>
      <c r="F210" s="25" t="e">
        <f t="shared" si="7"/>
        <v>#N/A</v>
      </c>
    </row>
    <row r="211" spans="1:6" x14ac:dyDescent="0.25">
      <c r="A211" s="25">
        <f>'Plan2 (2)'!A211</f>
        <v>19.800000000000011</v>
      </c>
      <c r="B211" s="25">
        <f>'Plan2 (2)'!B211</f>
        <v>0.92575977883924288</v>
      </c>
      <c r="C211" s="25">
        <f>'Plan2 (2)'!C211</f>
        <v>0.31304013627793081</v>
      </c>
      <c r="D211" s="25">
        <f>'Plan2 (2)'!D211</f>
        <v>0.21083892346776562</v>
      </c>
      <c r="E211" s="25" t="e">
        <f t="shared" si="6"/>
        <v>#N/A</v>
      </c>
      <c r="F211" s="25" t="e">
        <f t="shared" si="7"/>
        <v>#N/A</v>
      </c>
    </row>
    <row r="212" spans="1:6" x14ac:dyDescent="0.25">
      <c r="A212" s="25">
        <f>'Plan2 (2)'!A212</f>
        <v>19.900000000000013</v>
      </c>
      <c r="B212" s="25">
        <f>'Plan2 (2)'!B212</f>
        <v>0.87561703827617066</v>
      </c>
      <c r="C212" s="25">
        <f>'Plan2 (2)'!C212</f>
        <v>0.3420273040557652</v>
      </c>
      <c r="D212" s="25">
        <f>'Plan2 (2)'!D212</f>
        <v>0.2072888018837023</v>
      </c>
      <c r="E212" s="25" t="e">
        <f t="shared" si="6"/>
        <v>#N/A</v>
      </c>
      <c r="F212" s="25" t="e">
        <f t="shared" si="7"/>
        <v>#N/A</v>
      </c>
    </row>
    <row r="213" spans="1:6" x14ac:dyDescent="0.25">
      <c r="A213" s="25">
        <f>'Plan2 (2)'!A213</f>
        <v>20.000000000000014</v>
      </c>
      <c r="B213" s="25">
        <f>'Plan2 (2)'!B213</f>
        <v>0.82333910723417336</v>
      </c>
      <c r="C213" s="25">
        <f>'Plan2 (2)'!C213</f>
        <v>0.36909812127065555</v>
      </c>
      <c r="D213" s="25">
        <f>'Plan2 (2)'!D213</f>
        <v>0.20304781162273597</v>
      </c>
      <c r="E213" s="25" t="e">
        <f t="shared" si="6"/>
        <v>#N/A</v>
      </c>
      <c r="F213" s="25" t="e">
        <f t="shared" si="7"/>
        <v>#N/A</v>
      </c>
    </row>
    <row r="214" spans="1:6" x14ac:dyDescent="0.25">
      <c r="A214" s="25">
        <f>'Plan2 (2)'!A214</f>
        <v>20.100000000000016</v>
      </c>
      <c r="B214" s="25">
        <f>'Plan2 (2)'!B214</f>
        <v>0.76916774804226007</v>
      </c>
      <c r="C214" s="25">
        <f>'Plan2 (2)'!C214</f>
        <v>0.39419473376743935</v>
      </c>
      <c r="D214" s="25">
        <f>'Plan2 (2)'!D214</f>
        <v>0.19814709976446354</v>
      </c>
      <c r="E214" s="25" t="e">
        <f t="shared" si="6"/>
        <v>#N/A</v>
      </c>
      <c r="F214" s="25" t="e">
        <f t="shared" si="7"/>
        <v>#N/A</v>
      </c>
    </row>
    <row r="215" spans="1:6" x14ac:dyDescent="0.25">
      <c r="A215" s="25">
        <f>'Plan2 (2)'!A215</f>
        <v>20.200000000000017</v>
      </c>
      <c r="B215" s="25">
        <f>'Plan2 (2)'!B215</f>
        <v>0.71334636919800143</v>
      </c>
      <c r="C215" s="25">
        <f>'Plan2 (2)'!C215</f>
        <v>0.41726790966641136</v>
      </c>
      <c r="D215" s="25">
        <f>'Plan2 (2)'!D215</f>
        <v>0.19261956989894105</v>
      </c>
      <c r="E215" s="25" t="e">
        <f t="shared" si="6"/>
        <v>#N/A</v>
      </c>
      <c r="F215" s="25" t="e">
        <f t="shared" si="7"/>
        <v>#N/A</v>
      </c>
    </row>
    <row r="216" spans="1:6" x14ac:dyDescent="0.25">
      <c r="A216" s="25">
        <f>'Plan2 (2)'!A216</f>
        <v>20.300000000000018</v>
      </c>
      <c r="B216" s="25">
        <f>'Plan2 (2)'!B216</f>
        <v>0.65611908454865064</v>
      </c>
      <c r="C216" s="25">
        <f>'Plan2 (2)'!C216</f>
        <v>0.43827703011295971</v>
      </c>
      <c r="D216" s="25">
        <f>'Plan2 (2)'!D216</f>
        <v>0.18649972076794702</v>
      </c>
      <c r="E216" s="25" t="e">
        <f t="shared" si="6"/>
        <v>#N/A</v>
      </c>
      <c r="F216" s="25" t="e">
        <f t="shared" si="7"/>
        <v>#N/A</v>
      </c>
    </row>
    <row r="217" spans="1:6" x14ac:dyDescent="0.25">
      <c r="A217" s="25">
        <f>'Plan2 (2)'!A217</f>
        <v>20.40000000000002</v>
      </c>
      <c r="B217" s="25">
        <f>'Plan2 (2)'!B217</f>
        <v>0.5977297908156004</v>
      </c>
      <c r="C217" s="25">
        <f>'Plan2 (2)'!C217</f>
        <v>0.45719004824030651</v>
      </c>
      <c r="D217" s="25">
        <f>'Plan2 (2)'!D217</f>
        <v>0.17982348257646733</v>
      </c>
      <c r="E217" s="25" t="e">
        <f t="shared" si="6"/>
        <v>#N/A</v>
      </c>
      <c r="F217" s="25" t="e">
        <f t="shared" si="7"/>
        <v>#N/A</v>
      </c>
    </row>
    <row r="218" spans="1:6" x14ac:dyDescent="0.25">
      <c r="A218" s="25">
        <f>'Plan2 (2)'!A218</f>
        <v>20.500000000000021</v>
      </c>
      <c r="B218" s="25">
        <f>'Plan2 (2)'!B218</f>
        <v>0.53842126647997901</v>
      </c>
      <c r="C218" s="25">
        <f>'Plan2 (2)'!C218</f>
        <v>0.47398341720606157</v>
      </c>
      <c r="D218" s="25">
        <f>'Plan2 (2)'!D218</f>
        <v>0.1726280516343339</v>
      </c>
      <c r="E218" s="25" t="e">
        <f t="shared" si="6"/>
        <v>#N/A</v>
      </c>
      <c r="F218" s="25" t="e">
        <f t="shared" si="7"/>
        <v>#N/A</v>
      </c>
    </row>
    <row r="219" spans="1:6" x14ac:dyDescent="0.25">
      <c r="A219" s="25">
        <f>'Plan2 (2)'!A219</f>
        <v>20.600000000000023</v>
      </c>
      <c r="B219" s="25">
        <f>'Plan2 (2)'!B219</f>
        <v>0.47843429490059702</v>
      </c>
      <c r="C219" s="25">
        <f>'Plan2 (2)'!C219</f>
        <v>0.48864198825899563</v>
      </c>
      <c r="D219" s="25">
        <f>'Plan2 (2)'!D219</f>
        <v>0.16495172397944682</v>
      </c>
      <c r="E219" s="25" t="e">
        <f t="shared" si="6"/>
        <v>#N/A</v>
      </c>
      <c r="F219" s="25" t="e">
        <f t="shared" si="7"/>
        <v>#N/A</v>
      </c>
    </row>
    <row r="220" spans="1:6" x14ac:dyDescent="0.25">
      <c r="A220" s="25">
        <f>'Plan2 (2)'!A220</f>
        <v>20.700000000000024</v>
      </c>
      <c r="B220" s="25">
        <f>'Plan2 (2)'!B220</f>
        <v>0.41800681438147064</v>
      </c>
      <c r="C220" s="25">
        <f>'Plan2 (2)'!C220</f>
        <v>0.50115887988245034</v>
      </c>
      <c r="D220" s="25">
        <f>'Plan2 (2)'!D220</f>
        <v>0.15683372862327738</v>
      </c>
      <c r="E220" s="25" t="e">
        <f t="shared" si="6"/>
        <v>#N/A</v>
      </c>
      <c r="F220" s="25" t="e">
        <f t="shared" si="7"/>
        <v>#N/A</v>
      </c>
    </row>
    <row r="221" spans="1:6" x14ac:dyDescent="0.25">
      <c r="A221" s="25">
        <f>'Plan2 (2)'!A221</f>
        <v>20.800000000000026</v>
      </c>
      <c r="B221" s="25">
        <f>'Plan2 (2)'!B221</f>
        <v>0.35737309774549775</v>
      </c>
      <c r="C221" s="25">
        <f>'Plan2 (2)'!C221</f>
        <v>0.51153531914492223</v>
      </c>
      <c r="D221" s="25">
        <f>'Plan2 (2)'!D221</f>
        <v>0.14831406104647687</v>
      </c>
      <c r="E221" s="25" t="e">
        <f t="shared" si="6"/>
        <v>#N/A</v>
      </c>
      <c r="F221" s="25" t="e">
        <f t="shared" si="7"/>
        <v>#N/A</v>
      </c>
    </row>
    <row r="222" spans="1:6" x14ac:dyDescent="0.25">
      <c r="A222" s="25">
        <f>'Plan2 (2)'!A222</f>
        <v>20.900000000000027</v>
      </c>
      <c r="B222" s="25">
        <f>'Plan2 (2)'!B222</f>
        <v>0.29676296380429651</v>
      </c>
      <c r="C222" s="25">
        <f>'Plan2 (2)'!C222</f>
        <v>0.51978045646640303</v>
      </c>
      <c r="D222" s="25">
        <f>'Plan2 (2)'!D222</f>
        <v>0.13943331755749735</v>
      </c>
      <c r="E222" s="25" t="e">
        <f t="shared" si="6"/>
        <v>#N/A</v>
      </c>
      <c r="F222" s="25" t="e">
        <f t="shared" si="7"/>
        <v>#N/A</v>
      </c>
    </row>
    <row r="223" spans="1:6" x14ac:dyDescent="0.25">
      <c r="A223" s="25">
        <f>'Plan2 (2)'!A223</f>
        <v>21.000000000000028</v>
      </c>
      <c r="B223" s="25">
        <f>'Plan2 (2)'!B223</f>
        <v>0.2364010229424843</v>
      </c>
      <c r="C223" s="25">
        <f>'Plan2 (2)'!C223</f>
        <v>0.52591115508087638</v>
      </c>
      <c r="D223" s="25">
        <f>'Plan2 (2)'!D223</f>
        <v>0.13023253111026825</v>
      </c>
      <c r="E223" s="25" t="e">
        <f t="shared" si="6"/>
        <v>#N/A</v>
      </c>
      <c r="F223" s="25" t="e">
        <f t="shared" si="7"/>
        <v>#N/A</v>
      </c>
    </row>
    <row r="224" spans="1:6" x14ac:dyDescent="0.25">
      <c r="A224" s="25">
        <f>'Plan2 (2)'!A224</f>
        <v>21.10000000000003</v>
      </c>
      <c r="B224" s="25">
        <f>'Plan2 (2)'!B224</f>
        <v>0.17650595885852952</v>
      </c>
      <c r="C224" s="25">
        <f>'Plan2 (2)'!C224</f>
        <v>0.52995175654083115</v>
      </c>
      <c r="D224" s="25">
        <f>'Plan2 (2)'!D224</f>
        <v>0.12075300915827208</v>
      </c>
      <c r="E224" s="25" t="e">
        <f t="shared" si="6"/>
        <v>#N/A</v>
      </c>
      <c r="F224" s="25" t="e">
        <f t="shared" si="7"/>
        <v>#N/A</v>
      </c>
    </row>
    <row r="225" spans="1:6" x14ac:dyDescent="0.25">
      <c r="A225" s="25">
        <f>'Plan2 (2)'!A225</f>
        <v>21.200000000000031</v>
      </c>
      <c r="B225" s="25">
        <f>'Plan2 (2)'!B225</f>
        <v>0.11728984832450175</v>
      </c>
      <c r="C225" s="25">
        <f>'Plan2 (2)'!C225</f>
        <v>0.53193382366865649</v>
      </c>
      <c r="D225" s="25">
        <f>'Plan2 (2)'!D225</f>
        <v>0.11103617410193392</v>
      </c>
      <c r="E225" s="25" t="e">
        <f t="shared" si="6"/>
        <v>#N/A</v>
      </c>
      <c r="F225" s="25" t="e">
        <f t="shared" si="7"/>
        <v>#N/A</v>
      </c>
    </row>
    <row r="226" spans="1:6" x14ac:dyDescent="0.25">
      <c r="A226" s="25">
        <f>'Plan2 (2)'!A226</f>
        <v>21.300000000000033</v>
      </c>
      <c r="B226" s="25">
        <f>'Plan2 (2)'!B226</f>
        <v>5.8957520644329638E-2</v>
      </c>
      <c r="C226" s="25">
        <f>'Plan2 (2)'!C226</f>
        <v>0.53189586241225162</v>
      </c>
      <c r="D226" s="25">
        <f>'Plan2 (2)'!D226</f>
        <v>0.10112340686419713</v>
      </c>
      <c r="E226" s="25" t="e">
        <f t="shared" si="6"/>
        <v>#N/A</v>
      </c>
      <c r="F226" s="25" t="e">
        <f t="shared" si="7"/>
        <v>#N/A</v>
      </c>
    </row>
    <row r="227" spans="1:6" x14ac:dyDescent="0.25">
      <c r="A227" s="25">
        <f>'Plan2 (2)'!A227</f>
        <v>21.400000000000034</v>
      </c>
      <c r="B227" s="25">
        <f>'Plan2 (2)'!B227</f>
        <v>1.7059583052898911E-3</v>
      </c>
      <c r="C227" s="25">
        <f>'Plan2 (2)'!C227</f>
        <v>0.5298830241080732</v>
      </c>
      <c r="D227" s="25">
        <f>'Plan2 (2)'!D227</f>
        <v>9.105589410562033E-2</v>
      </c>
      <c r="E227" s="25" t="e">
        <f t="shared" si="6"/>
        <v>#N/A</v>
      </c>
      <c r="F227" s="25" t="e">
        <f t="shared" si="7"/>
        <v>#N/A</v>
      </c>
    </row>
    <row r="228" spans="1:6" x14ac:dyDescent="0.25">
      <c r="A228" s="25">
        <f>'Plan2 (2)'!A228</f>
        <v>21.500000000000036</v>
      </c>
      <c r="B228" s="25">
        <f>'Plan2 (2)'!B228</f>
        <v>-5.4276259868865827E-2</v>
      </c>
      <c r="C228" s="25">
        <f>'Plan2 (2)'!C228</f>
        <v>0.52594678969412345</v>
      </c>
      <c r="D228" s="25">
        <f>'Plan2 (2)'!D228</f>
        <v>8.0874479565418017E-2</v>
      </c>
      <c r="E228" s="25" t="e">
        <f t="shared" si="6"/>
        <v>#N/A</v>
      </c>
      <c r="F228" s="25" t="e">
        <f t="shared" si="7"/>
        <v>#N/A</v>
      </c>
    </row>
    <row r="229" spans="1:6" x14ac:dyDescent="0.25">
      <c r="A229" s="25">
        <f>'Plan2 (2)'!A229</f>
        <v>21.600000000000037</v>
      </c>
      <c r="B229" s="25">
        <f>'Plan2 (2)'!B229</f>
        <v>-0.10880947194176571</v>
      </c>
      <c r="C229" s="25">
        <f>'Plan2 (2)'!C229</f>
        <v>0.52014463744805972</v>
      </c>
      <c r="D229" s="25">
        <f>'Plan2 (2)'!D229</f>
        <v>7.0619519988702875E-2</v>
      </c>
      <c r="E229" s="25" t="e">
        <f t="shared" si="6"/>
        <v>#N/A</v>
      </c>
      <c r="F229" s="25" t="e">
        <f t="shared" si="7"/>
        <v>#N/A</v>
      </c>
    </row>
    <row r="230" spans="1:6" x14ac:dyDescent="0.25">
      <c r="A230" s="25">
        <f>'Plan2 (2)'!A230</f>
        <v>21.700000000000038</v>
      </c>
      <c r="B230" s="25">
        <f>'Plan2 (2)'!B230</f>
        <v>-0.16172340153089776</v>
      </c>
      <c r="C230" s="25">
        <f>'Plan2 (2)'!C230</f>
        <v>0.51253969585170245</v>
      </c>
      <c r="D230" s="25">
        <f>'Plan2 (2)'!D230</f>
        <v>6.0330746072897061E-2</v>
      </c>
      <c r="E230" s="25" t="e">
        <f t="shared" si="6"/>
        <v>#N/A</v>
      </c>
      <c r="F230" s="25" t="e">
        <f t="shared" si="7"/>
        <v>#N/A</v>
      </c>
    </row>
    <row r="231" spans="1:6" x14ac:dyDescent="0.25">
      <c r="A231" s="25">
        <f>'Plan2 (2)'!A231</f>
        <v>21.80000000000004</v>
      </c>
      <c r="B231" s="25">
        <f>'Plan2 (2)'!B231</f>
        <v>-0.21285758116868558</v>
      </c>
      <c r="C231" s="25">
        <f>'Plan2 (2)'!C231</f>
        <v>0.50320038320278826</v>
      </c>
      <c r="D231" s="25">
        <f>'Plan2 (2)'!D231</f>
        <v>5.0047128837988578E-2</v>
      </c>
      <c r="E231" s="25" t="e">
        <f t="shared" si="6"/>
        <v>#N/A</v>
      </c>
      <c r="F231" s="25" t="e">
        <f t="shared" si="7"/>
        <v>#N/A</v>
      </c>
    </row>
    <row r="232" spans="1:6" x14ac:dyDescent="0.25">
      <c r="A232" s="25">
        <f>'Plan2 (2)'!A232</f>
        <v>21.900000000000041</v>
      </c>
      <c r="B232" s="25">
        <f>'Plan2 (2)'!B232</f>
        <v>-0.26206172979508524</v>
      </c>
      <c r="C232" s="25">
        <f>'Plan2 (2)'!C232</f>
        <v>0.49220003560792591</v>
      </c>
      <c r="D232" s="25">
        <f>'Plan2 (2)'!D232</f>
        <v>3.9806751796145137E-2</v>
      </c>
      <c r="E232" s="25" t="e">
        <f t="shared" si="6"/>
        <v>#N/A</v>
      </c>
      <c r="F232" s="25" t="e">
        <f t="shared" si="7"/>
        <v>#N/A</v>
      </c>
    </row>
    <row r="233" spans="1:6" x14ac:dyDescent="0.25">
      <c r="A233" s="25">
        <f>'Plan2 (2)'!A233</f>
        <v>22.000000000000043</v>
      </c>
      <c r="B233" s="25">
        <f>'Plan2 (2)'!B233</f>
        <v>-0.30919608400155241</v>
      </c>
      <c r="C233" s="25">
        <f>'Plan2 (2)'!C233</f>
        <v>0.4796165249974616</v>
      </c>
      <c r="D233" s="25">
        <f>'Plan2 (2)'!D233</f>
        <v>2.9646689266288953E-2</v>
      </c>
      <c r="E233" s="25" t="e">
        <f t="shared" si="6"/>
        <v>#N/A</v>
      </c>
      <c r="F233" s="25" t="e">
        <f t="shared" si="7"/>
        <v>#N/A</v>
      </c>
    </row>
    <row r="234" spans="1:6" x14ac:dyDescent="0.25">
      <c r="A234" s="25">
        <f>'Plan2 (2)'!A234</f>
        <v>22.100000000000044</v>
      </c>
      <c r="B234" s="25">
        <f>'Plan2 (2)'!B234</f>
        <v>-0.35413168282649043</v>
      </c>
      <c r="C234" s="25">
        <f>'Plan2 (2)'!C234</f>
        <v>0.46553186880346736</v>
      </c>
      <c r="D234" s="25">
        <f>'Plan2 (2)'!D234</f>
        <v>1.9602891148709833E-2</v>
      </c>
      <c r="E234" s="25" t="e">
        <f t="shared" si="6"/>
        <v>#N/A</v>
      </c>
      <c r="F234" s="25" t="e">
        <f t="shared" si="7"/>
        <v>#N/A</v>
      </c>
    </row>
    <row r="235" spans="1:6" x14ac:dyDescent="0.25">
      <c r="A235" s="25">
        <f>'Plan2 (2)'!A235</f>
        <v>22.200000000000045</v>
      </c>
      <c r="B235" s="25">
        <f>'Plan2 (2)'!B235</f>
        <v>-0.39675060607927559</v>
      </c>
      <c r="C235" s="25">
        <f>'Plan2 (2)'!C235</f>
        <v>0.45003183293646293</v>
      </c>
      <c r="D235" s="25">
        <f>'Plan2 (2)'!D235</f>
        <v>9.7100744437775607E-3</v>
      </c>
      <c r="E235" s="25" t="e">
        <f t="shared" si="6"/>
        <v>#N/A</v>
      </c>
      <c r="F235" s="25" t="e">
        <f t="shared" si="7"/>
        <v>#N/A</v>
      </c>
    </row>
    <row r="236" spans="1:6" x14ac:dyDescent="0.25">
      <c r="A236" s="25">
        <f>'Plan2 (2)'!A236</f>
        <v>22.300000000000047</v>
      </c>
      <c r="B236" s="25">
        <f>'Plan2 (2)'!B236</f>
        <v>-0.43694616634308503</v>
      </c>
      <c r="C236" s="25">
        <f>'Plan2 (2)'!C236</f>
        <v>0.43320552968492815</v>
      </c>
      <c r="D236" s="25">
        <f>'Plan2 (2)'!D236</f>
        <v>1.6217674342414168E-6</v>
      </c>
      <c r="E236" s="25" t="e">
        <f t="shared" si="6"/>
        <v>#N/A</v>
      </c>
      <c r="F236" s="25" t="e">
        <f t="shared" si="7"/>
        <v>#N/A</v>
      </c>
    </row>
    <row r="237" spans="1:6" x14ac:dyDescent="0.25">
      <c r="A237" s="25">
        <f>'Plan2 (2)'!A237</f>
        <v>22.400000000000048</v>
      </c>
      <c r="B237" s="25">
        <f>'Plan2 (2)'!B237</f>
        <v>-0.47462305497546398</v>
      </c>
      <c r="C237" s="25">
        <f>'Plan2 (2)'!C237</f>
        <v>0.41514501214433608</v>
      </c>
      <c r="D237" s="25">
        <f>'Plan2 (2)'!D237</f>
        <v>-9.4905129154724561E-3</v>
      </c>
      <c r="E237" s="25" t="e">
        <f t="shared" si="6"/>
        <v>#N/A</v>
      </c>
      <c r="F237" s="25" t="e">
        <f t="shared" si="7"/>
        <v>#N/A</v>
      </c>
    </row>
    <row r="238" spans="1:6" x14ac:dyDescent="0.25">
      <c r="A238" s="25">
        <f>'Plan2 (2)'!A238</f>
        <v>22.50000000000005</v>
      </c>
      <c r="B238" s="25">
        <f>'Plan2 (2)'!B238</f>
        <v>-0.5096974425893388</v>
      </c>
      <c r="C238" s="25">
        <f>'Plan2 (2)'!C238</f>
        <v>0.39594486675952573</v>
      </c>
      <c r="D238" s="25">
        <f>'Plan2 (2)'!D238</f>
        <v>-1.8735891150690499E-2</v>
      </c>
      <c r="E238" s="25" t="e">
        <f t="shared" si="6"/>
        <v>#N/A</v>
      </c>
      <c r="F238" s="25" t="e">
        <f t="shared" si="7"/>
        <v>#N/A</v>
      </c>
    </row>
    <row r="239" spans="1:6" x14ac:dyDescent="0.25">
      <c r="A239" s="25">
        <f>'Plan2 (2)'!A239</f>
        <v>22.600000000000051</v>
      </c>
      <c r="B239" s="25">
        <f>'Plan2 (2)'!B239</f>
        <v>-0.54209703465550729</v>
      </c>
      <c r="C239" s="25">
        <f>'Plan2 (2)'!C239</f>
        <v>0.37570180553595151</v>
      </c>
      <c r="D239" s="25">
        <f>'Plan2 (2)'!D239</f>
        <v>-2.7705669289306949E-2</v>
      </c>
      <c r="E239" s="25" t="e">
        <f t="shared" si="6"/>
        <v>#N/A</v>
      </c>
      <c r="F239" s="25" t="e">
        <f t="shared" si="7"/>
        <v>#N/A</v>
      </c>
    </row>
    <row r="240" spans="1:6" x14ac:dyDescent="0.25">
      <c r="A240" s="25">
        <f>'Plan2 (2)'!A240</f>
        <v>22.700000000000053</v>
      </c>
      <c r="B240" s="25">
        <f>'Plan2 (2)'!B240</f>
        <v>-0.57176108302005568</v>
      </c>
      <c r="C240" s="25">
        <f>'Plan2 (2)'!C240</f>
        <v>0.35451425944191539</v>
      </c>
      <c r="D240" s="25">
        <f>'Plan2 (2)'!D240</f>
        <v>-3.6372670091752046E-2</v>
      </c>
      <c r="E240" s="25" t="e">
        <f t="shared" si="6"/>
        <v>#N/A</v>
      </c>
      <c r="F240" s="25" t="e">
        <f t="shared" si="7"/>
        <v>#N/A</v>
      </c>
    </row>
    <row r="241" spans="1:6" x14ac:dyDescent="0.25">
      <c r="A241" s="25">
        <f>'Plan2 (2)'!A241</f>
        <v>22.800000000000054</v>
      </c>
      <c r="B241" s="25">
        <f>'Plan2 (2)'!B241</f>
        <v>-0.59864035427622686</v>
      </c>
      <c r="C241" s="25">
        <f>'Plan2 (2)'!C241</f>
        <v>0.33248197448554823</v>
      </c>
      <c r="D241" s="25">
        <f>'Plan2 (2)'!D241</f>
        <v>-4.4711446546456805E-2</v>
      </c>
      <c r="E241" s="25" t="e">
        <f t="shared" si="6"/>
        <v>#N/A</v>
      </c>
      <c r="F241" s="25" t="e">
        <f t="shared" si="7"/>
        <v>#N/A</v>
      </c>
    </row>
    <row r="242" spans="1:6" x14ac:dyDescent="0.25">
      <c r="A242" s="25">
        <f>'Plan2 (2)'!A242</f>
        <v>22.900000000000055</v>
      </c>
      <c r="B242" s="25">
        <f>'Plan2 (2)'!B242</f>
        <v>-0.62269705606959103</v>
      </c>
      <c r="C242" s="25">
        <f>'Plan2 (2)'!C242</f>
        <v>0.30970561190731027</v>
      </c>
      <c r="D242" s="25">
        <f>'Plan2 (2)'!D242</f>
        <v>-5.2698337839583428E-2</v>
      </c>
      <c r="E242" s="25" t="e">
        <f t="shared" si="6"/>
        <v>#N/A</v>
      </c>
      <c r="F242" s="25" t="e">
        <f t="shared" si="7"/>
        <v>#N/A</v>
      </c>
    </row>
    <row r="243" spans="1:6" x14ac:dyDescent="0.25">
      <c r="A243" s="25">
        <f>'Plan2 (2)'!A243</f>
        <v>23.000000000000057</v>
      </c>
      <c r="B243" s="25">
        <f>'Plan2 (2)'!B243</f>
        <v>-0.64390472254759035</v>
      </c>
      <c r="C243" s="25">
        <f>'Plan2 (2)'!C243</f>
        <v>0.2862863538813909</v>
      </c>
      <c r="D243" s="25">
        <f>'Plan2 (2)'!D243</f>
        <v>-6.0311517442819526E-2</v>
      </c>
      <c r="E243" s="25" t="e">
        <f t="shared" si="6"/>
        <v>#N/A</v>
      </c>
      <c r="F243" s="25" t="e">
        <f t="shared" si="7"/>
        <v>#N/A</v>
      </c>
    </row>
    <row r="244" spans="1:6" x14ac:dyDescent="0.25">
      <c r="A244" s="25">
        <f>'Plan2 (2)'!A244</f>
        <v>23.100000000000058</v>
      </c>
      <c r="B244" s="25">
        <f>'Plan2 (2)'!B244</f>
        <v>-0.66224806028929972</v>
      </c>
      <c r="C244" s="25">
        <f>'Plan2 (2)'!C244</f>
        <v>0.26232551606787652</v>
      </c>
      <c r="D244" s="25">
        <f>'Plan2 (2)'!D244</f>
        <v>-6.7531033316239927E-2</v>
      </c>
      <c r="E244" s="25" t="e">
        <f t="shared" si="6"/>
        <v>#N/A</v>
      </c>
      <c r="F244" s="25" t="e">
        <f t="shared" si="7"/>
        <v>#N/A</v>
      </c>
    </row>
    <row r="245" spans="1:6" x14ac:dyDescent="0.25">
      <c r="A245" s="25">
        <f>'Plan2 (2)'!A245</f>
        <v>23.20000000000006</v>
      </c>
      <c r="B245" s="25">
        <f>'Plan2 (2)'!B245</f>
        <v>-0.67772275616827793</v>
      </c>
      <c r="C245" s="25">
        <f>'Plan2 (2)'!C245</f>
        <v>0.23792416830220978</v>
      </c>
      <c r="D245" s="25">
        <f>'Plan2 (2)'!D245</f>
        <v>-7.4338840252595115E-2</v>
      </c>
      <c r="E245" s="25" t="e">
        <f t="shared" si="6"/>
        <v>#N/A</v>
      </c>
      <c r="F245" s="25" t="e">
        <f t="shared" si="7"/>
        <v>#N/A</v>
      </c>
    </row>
    <row r="246" spans="1:6" x14ac:dyDescent="0.25">
      <c r="A246" s="25">
        <f>'Plan2 (2)'!A246</f>
        <v>23.300000000000061</v>
      </c>
      <c r="B246" s="25">
        <f>'Plan2 (2)'!B246</f>
        <v>-0.6903352487104083</v>
      </c>
      <c r="C246" s="25">
        <f>'Plan2 (2)'!C246</f>
        <v>0.21318276464957076</v>
      </c>
      <c r="D246" s="25">
        <f>'Plan2 (2)'!D246</f>
        <v>-8.0718824417988735E-2</v>
      </c>
      <c r="E246" s="25" t="e">
        <f t="shared" si="6"/>
        <v>#N/A</v>
      </c>
      <c r="F246" s="25" t="e">
        <f t="shared" si="7"/>
        <v>#N/A</v>
      </c>
    </row>
    <row r="247" spans="1:6" x14ac:dyDescent="0.25">
      <c r="A247" s="25">
        <f>'Plan2 (2)'!A247</f>
        <v>23.400000000000063</v>
      </c>
      <c r="B247" s="25">
        <f>'Plan2 (2)'!B247</f>
        <v>-0.70010246460942449</v>
      </c>
      <c r="C247" s="25">
        <f>'Plan2 (2)'!C247</f>
        <v>0.18820078398967047</v>
      </c>
      <c r="D247" s="25">
        <f>'Plan2 (2)'!D247</f>
        <v>-8.6656820171668175E-2</v>
      </c>
      <c r="E247" s="25" t="e">
        <f t="shared" si="6"/>
        <v>#N/A</v>
      </c>
      <c r="F247" s="25" t="e">
        <f t="shared" si="7"/>
        <v>#N/A</v>
      </c>
    </row>
    <row r="248" spans="1:6" x14ac:dyDescent="0.25">
      <c r="A248" s="25">
        <f>'Plan2 (2)'!A248</f>
        <v>23.500000000000064</v>
      </c>
      <c r="B248" s="25">
        <f>'Plan2 (2)'!B248</f>
        <v>-0.70705152215518996</v>
      </c>
      <c r="C248" s="25">
        <f>'Plan2 (2)'!C248</f>
        <v>0.16307638223236284</v>
      </c>
      <c r="D248" s="25">
        <f>'Plan2 (2)'!D248</f>
        <v>-9.2140619274488397E-2</v>
      </c>
      <c r="E248" s="25" t="e">
        <f t="shared" si="6"/>
        <v>#N/A</v>
      </c>
      <c r="F248" s="25" t="e">
        <f t="shared" si="7"/>
        <v>#N/A</v>
      </c>
    </row>
    <row r="249" spans="1:6" x14ac:dyDescent="0.25">
      <c r="A249" s="25">
        <f>'Plan2 (2)'!A249</f>
        <v>23.600000000000065</v>
      </c>
      <c r="B249" s="25">
        <f>'Plan2 (2)'!B249</f>
        <v>-0.71121940341359458</v>
      </c>
      <c r="C249" s="25">
        <f>'Plan2 (2)'!C249</f>
        <v>0.13790605719675908</v>
      </c>
      <c r="D249" s="25">
        <f>'Plan2 (2)'!D249</f>
        <v>-9.715997262143998E-2</v>
      </c>
      <c r="E249" s="25" t="e">
        <f t="shared" si="6"/>
        <v>#N/A</v>
      </c>
      <c r="F249" s="25" t="e">
        <f t="shared" si="7"/>
        <v>#N/A</v>
      </c>
    </row>
    <row r="250" spans="1:6" x14ac:dyDescent="0.25">
      <c r="A250" s="25">
        <f>'Plan2 (2)'!A250</f>
        <v>23.700000000000067</v>
      </c>
      <c r="B250" s="25">
        <f>'Plan2 (2)'!B250</f>
        <v>-0.71265259707203177</v>
      </c>
      <c r="C250" s="25">
        <f>'Plan2 (2)'!C250</f>
        <v>0.11278432711647988</v>
      </c>
      <c r="D250" s="25">
        <f>'Plan2 (2)'!D250</f>
        <v>-0.10170658465838492</v>
      </c>
      <c r="E250" s="25" t="e">
        <f t="shared" si="6"/>
        <v>#N/A</v>
      </c>
      <c r="F250" s="25" t="e">
        <f t="shared" si="7"/>
        <v>#N/A</v>
      </c>
    </row>
    <row r="251" spans="1:6" x14ac:dyDescent="0.25">
      <c r="A251" s="25">
        <f>'Plan2 (2)'!A251</f>
        <v>23.800000000000068</v>
      </c>
      <c r="B251" s="25">
        <f>'Plan2 (2)'!B251</f>
        <v>-0.71140671393073385</v>
      </c>
      <c r="C251" s="25">
        <f>'Plan2 (2)'!C251</f>
        <v>8.7803423661617142E-2</v>
      </c>
      <c r="D251" s="25">
        <f>'Plan2 (2)'!D251</f>
        <v>-0.10577410066674987</v>
      </c>
      <c r="E251" s="25" t="e">
        <f t="shared" si="6"/>
        <v>#N/A</v>
      </c>
      <c r="F251" s="25" t="e">
        <f t="shared" si="7"/>
        <v>#N/A</v>
      </c>
    </row>
    <row r="252" spans="1:6" x14ac:dyDescent="0.25">
      <c r="A252" s="25">
        <f>'Plan2 (2)'!A252</f>
        <v>23.90000000000007</v>
      </c>
      <c r="B252" s="25">
        <f>'Plan2 (2)'!B252</f>
        <v>-0.70754607707772499</v>
      </c>
      <c r="C252" s="25">
        <f>'Plan2 (2)'!C252</f>
        <v>6.3053000294210709E-2</v>
      </c>
      <c r="D252" s="25">
        <f>'Plan2 (2)'!D252</f>
        <v>-0.10935808712232423</v>
      </c>
      <c r="E252" s="25" t="e">
        <f t="shared" si="6"/>
        <v>#N/A</v>
      </c>
      <c r="F252" s="25" t="e">
        <f t="shared" si="7"/>
        <v>#N/A</v>
      </c>
    </row>
    <row r="253" spans="1:6" x14ac:dyDescent="0.25">
      <c r="A253" s="25">
        <f>'Plan2 (2)'!A253</f>
        <v>24.000000000000071</v>
      </c>
      <c r="B253" s="25">
        <f>'Plan2 (2)'!B253</f>
        <v>-0.70114328883378541</v>
      </c>
      <c r="C253" s="25">
        <f>'Plan2 (2)'!C253</f>
        <v>3.8619856698889815E-2</v>
      </c>
      <c r="D253" s="25">
        <f>'Plan2 (2)'!D253</f>
        <v>-0.11245600535544285</v>
      </c>
      <c r="E253" s="25" t="e">
        <f t="shared" si="6"/>
        <v>#N/A</v>
      </c>
      <c r="F253" s="25" t="e">
        <f t="shared" si="7"/>
        <v>#N/A</v>
      </c>
    </row>
    <row r="254" spans="1:6" x14ac:dyDescent="0.25">
      <c r="A254" s="25">
        <f>'Plan2 (2)'!A254</f>
        <v>24.100000000000072</v>
      </c>
      <c r="B254" s="25">
        <f>'Plan2 (2)'!B254</f>
        <v>-0.69227877659361592</v>
      </c>
      <c r="C254" s="25">
        <f>'Plan2 (2)'!C254</f>
        <v>1.4587679954091971E-2</v>
      </c>
      <c r="D254" s="25">
        <f>'Plan2 (2)'!D254</f>
        <v>-0.11506717875965153</v>
      </c>
      <c r="E254" s="25" t="e">
        <f t="shared" si="6"/>
        <v>#N/A</v>
      </c>
      <c r="F254" s="25" t="e">
        <f t="shared" si="7"/>
        <v>#N/A</v>
      </c>
    </row>
    <row r="255" spans="1:6" x14ac:dyDescent="0.25">
      <c r="A255" s="25">
        <f>'Plan2 (2)'!A255</f>
        <v>24.200000000000074</v>
      </c>
      <c r="B255" s="25">
        <f>'Plan2 (2)'!B255</f>
        <v>-0.68104031972040879</v>
      </c>
      <c r="C255" s="25">
        <f>'Plan2 (2)'!C255</f>
        <v>-8.9631969677372442E-3</v>
      </c>
      <c r="D255" s="25">
        <f>'Plan2 (2)'!D255</f>
        <v>-0.11719275381441098</v>
      </c>
      <c r="E255" s="25" t="e">
        <f t="shared" si="6"/>
        <v>#N/A</v>
      </c>
      <c r="F255" s="25" t="e">
        <f t="shared" si="7"/>
        <v>#N/A</v>
      </c>
    </row>
    <row r="256" spans="1:6" x14ac:dyDescent="0.25">
      <c r="A256" s="25">
        <f>'Plan2 (2)'!A256</f>
        <v>24.300000000000075</v>
      </c>
      <c r="B256" s="25">
        <f>'Plan2 (2)'!B256</f>
        <v>-0.66752255967333918</v>
      </c>
      <c r="C256" s="25">
        <f>'Plan2 (2)'!C256</f>
        <v>-3.1956018860039313E-2</v>
      </c>
      <c r="D256" s="25">
        <f>'Plan2 (2)'!D256</f>
        <v>-0.11883565520445619</v>
      </c>
      <c r="E256" s="25" t="e">
        <f t="shared" si="6"/>
        <v>#N/A</v>
      </c>
      <c r="F256" s="25" t="e">
        <f t="shared" si="7"/>
        <v>#N/A</v>
      </c>
    </row>
    <row r="257" spans="1:6" x14ac:dyDescent="0.25">
      <c r="A257" s="25">
        <f>'Plan2 (2)'!A257</f>
        <v>24.400000000000077</v>
      </c>
      <c r="B257" s="25">
        <f>'Plan2 (2)'!B257</f>
        <v>-0.65182649556120975</v>
      </c>
      <c r="C257" s="25">
        <f>'Plan2 (2)'!C257</f>
        <v>-5.4317813668859162E-2</v>
      </c>
      <c r="D257" s="25">
        <f>'Plan2 (2)'!D257</f>
        <v>-0.12000053533405815</v>
      </c>
      <c r="E257" s="25" t="e">
        <f t="shared" si="6"/>
        <v>#N/A</v>
      </c>
      <c r="F257" s="25" t="e">
        <f t="shared" si="7"/>
        <v>#N/A</v>
      </c>
    </row>
    <row r="258" spans="1:6" x14ac:dyDescent="0.25">
      <c r="A258" s="25">
        <f>'Plan2 (2)'!A258</f>
        <v>24.500000000000078</v>
      </c>
      <c r="B258" s="25">
        <f>'Plan2 (2)'!B258</f>
        <v>-0.6340589673207444</v>
      </c>
      <c r="C258" s="25">
        <f>'Plan2 (2)'!C258</f>
        <v>-7.5979579250639029E-2</v>
      </c>
      <c r="D258" s="25">
        <f>'Plan2 (2)'!D258</f>
        <v>-0.12069371854861007</v>
      </c>
      <c r="E258" s="25" t="e">
        <f t="shared" si="6"/>
        <v>#N/A</v>
      </c>
      <c r="F258" s="25" t="e">
        <f t="shared" si="7"/>
        <v>#N/A</v>
      </c>
    </row>
    <row r="259" spans="1:6" x14ac:dyDescent="0.25">
      <c r="A259" s="25">
        <f>'Plan2 (2)'!A259</f>
        <v>24.60000000000008</v>
      </c>
      <c r="B259" s="25">
        <f>'Plan2 (2)'!B259</f>
        <v>-0.61433212871500964</v>
      </c>
      <c r="C259" s="25">
        <f>'Plan2 (2)'!C259</f>
        <v>-9.6876451222469656E-2</v>
      </c>
      <c r="D259" s="25">
        <f>'Plan2 (2)'!D259</f>
        <v>-0.1209231403886578</v>
      </c>
      <c r="E259" s="25" t="e">
        <f t="shared" si="6"/>
        <v>#N/A</v>
      </c>
      <c r="F259" s="25" t="e">
        <f t="shared" si="7"/>
        <v>#N/A</v>
      </c>
    </row>
    <row r="260" spans="1:6" x14ac:dyDescent="0.25">
      <c r="A260" s="25">
        <f>'Plan2 (2)'!A260</f>
        <v>24.700000000000081</v>
      </c>
      <c r="B260" s="25">
        <f>'Plan2 (2)'!B260</f>
        <v>-0.59276291233633516</v>
      </c>
      <c r="C260" s="25">
        <f>'Plan2 (2)'!C260</f>
        <v>-0.11694785170261872</v>
      </c>
      <c r="D260" s="25">
        <f>'Plan2 (2)'!D260</f>
        <v>-0.12069828221270235</v>
      </c>
      <c r="E260" s="25" t="e">
        <f t="shared" si="6"/>
        <v>#N/A</v>
      </c>
      <c r="F260" s="25" t="e">
        <f t="shared" si="7"/>
        <v>#N/A</v>
      </c>
    </row>
    <row r="261" spans="1:6" x14ac:dyDescent="0.25">
      <c r="A261" s="25">
        <f>'Plan2 (2)'!A261</f>
        <v>24.800000000000082</v>
      </c>
      <c r="B261" s="25">
        <f>'Plan2 (2)'!B261</f>
        <v>-0.56947248877913137</v>
      </c>
      <c r="C261" s="25">
        <f>'Plan2 (2)'!C261</f>
        <v>-0.13613761881464459</v>
      </c>
      <c r="D261" s="25">
        <f>'Plan2 (2)'!D261</f>
        <v>-0.12003010153481054</v>
      </c>
      <c r="E261" s="25" t="e">
        <f t="shared" si="6"/>
        <v>#N/A</v>
      </c>
      <c r="F261" s="25" t="e">
        <f t="shared" si="7"/>
        <v>#N/A</v>
      </c>
    </row>
    <row r="262" spans="1:6" x14ac:dyDescent="0.25">
      <c r="A262" s="25">
        <f>'Plan2 (2)'!A262</f>
        <v>24.900000000000084</v>
      </c>
      <c r="B262" s="25">
        <f>'Plan2 (2)'!B262</f>
        <v>-0.54458572212140899</v>
      </c>
      <c r="C262" s="25">
        <f>'Plan2 (2)'!C262</f>
        <v>-0.15439411690267951</v>
      </c>
      <c r="D262" s="25">
        <f>'Plan2 (2)'!D262</f>
        <v>-0.11893095843127709</v>
      </c>
      <c r="E262" s="25" t="e">
        <f t="shared" si="6"/>
        <v>#N/A</v>
      </c>
      <c r="F262" s="25" t="e">
        <f t="shared" si="7"/>
        <v>#N/A</v>
      </c>
    </row>
    <row r="263" spans="1:6" x14ac:dyDescent="0.25">
      <c r="A263" s="25">
        <f>'Plan2 (2)'!A263</f>
        <v>25.000000000000085</v>
      </c>
      <c r="B263" s="25">
        <f>'Plan2 (2)'!B263</f>
        <v>-0.51823062381985974</v>
      </c>
      <c r="C263" s="25">
        <f>'Plan2 (2)'!C263</f>
        <v>-0.1716703274782829</v>
      </c>
      <c r="D263" s="25">
        <f>'Plan2 (2)'!D263</f>
        <v>-0.1174145383772893</v>
      </c>
      <c r="E263" s="25" t="e">
        <f t="shared" si="6"/>
        <v>#N/A</v>
      </c>
      <c r="F263" s="25" t="e">
        <f t="shared" si="7"/>
        <v>#N/A</v>
      </c>
    </row>
    <row r="264" spans="1:6" x14ac:dyDescent="0.25">
      <c r="A264" s="25">
        <f>'Plan2 (2)'!A264</f>
        <v>25.100000000000087</v>
      </c>
      <c r="B264" s="25">
        <f>'Plan2 (2)'!B264</f>
        <v>-0.49053780708234945</v>
      </c>
      <c r="C264" s="25">
        <f>'Plan2 (2)'!C264</f>
        <v>-0.18792392099038299</v>
      </c>
      <c r="D264" s="25">
        <f>'Plan2 (2)'!D264</f>
        <v>-0.11549577187976401</v>
      </c>
      <c r="E264" s="25" t="e">
        <f t="shared" si="6"/>
        <v>#N/A</v>
      </c>
      <c r="F264" s="25" t="e">
        <f t="shared" si="7"/>
        <v>#N/A</v>
      </c>
    </row>
    <row r="265" spans="1:6" x14ac:dyDescent="0.25">
      <c r="A265" s="25">
        <f>'Plan2 (2)'!A265</f>
        <v>25.200000000000088</v>
      </c>
      <c r="B265" s="25">
        <f>'Plan2 (2)'!B265</f>
        <v>-0.46163994373391504</v>
      </c>
      <c r="C265" s="25">
        <f>'Plan2 (2)'!C265</f>
        <v>-0.2031173095790185</v>
      </c>
      <c r="D265" s="25">
        <f>'Plan2 (2)'!D265</f>
        <v>-0.11319075127626747</v>
      </c>
      <c r="E265" s="25" t="e">
        <f t="shared" si="6"/>
        <v>#N/A</v>
      </c>
      <c r="F265" s="25" t="e">
        <f t="shared" si="7"/>
        <v>#N/A</v>
      </c>
    </row>
    <row r="266" spans="1:6" x14ac:dyDescent="0.25">
      <c r="A266" s="25">
        <f>'Plan2 (2)'!A266</f>
        <v>25.30000000000009</v>
      </c>
      <c r="B266" s="25">
        <f>'Plan2 (2)'!B266</f>
        <v>-0.43167122553817172</v>
      </c>
      <c r="C266" s="25">
        <f>'Plan2 (2)'!C266</f>
        <v>-0.21721768104064634</v>
      </c>
      <c r="D266" s="25">
        <f>'Plan2 (2)'!D266</f>
        <v>-0.11051664507221352</v>
      </c>
      <c r="E266" s="25" t="e">
        <f t="shared" si="6"/>
        <v>#N/A</v>
      </c>
      <c r="F266" s="25" t="e">
        <f t="shared" si="7"/>
        <v>#N/A</v>
      </c>
    </row>
    <row r="267" spans="1:6" x14ac:dyDescent="0.25">
      <c r="A267" s="25">
        <f>'Plan2 (2)'!A267</f>
        <v>25.400000000000091</v>
      </c>
      <c r="B267" s="25">
        <f>'Plan2 (2)'!B267</f>
        <v>-0.40076683187577217</v>
      </c>
      <c r="C267" s="25">
        <f>'Plan2 (2)'!C267</f>
        <v>-0.23019701429749631</v>
      </c>
      <c r="D267" s="25">
        <f>'Plan2 (2)'!D267</f>
        <v>-0.1074916101893859</v>
      </c>
      <c r="E267" s="25" t="e">
        <f t="shared" si="6"/>
        <v>#N/A</v>
      </c>
      <c r="F267" s="25" t="e">
        <f t="shared" si="7"/>
        <v>#N/A</v>
      </c>
    </row>
    <row r="268" spans="1:6" x14ac:dyDescent="0.25">
      <c r="A268" s="25">
        <f>'Plan2 (2)'!A268</f>
        <v>25.500000000000092</v>
      </c>
      <c r="B268" s="25">
        <f>'Plan2 (2)'!B268</f>
        <v>-0.36906240561557407</v>
      </c>
      <c r="C268" s="25">
        <f>'Plan2 (2)'!C268</f>
        <v>-0.24203207672563867</v>
      </c>
      <c r="D268" s="25">
        <f>'Plan2 (2)'!D268</f>
        <v>-0.1041347024982768</v>
      </c>
      <c r="E268" s="25" t="e">
        <f t="shared" si="6"/>
        <v>#N/A</v>
      </c>
      <c r="F268" s="25" t="e">
        <f t="shared" si="7"/>
        <v>#N/A</v>
      </c>
    </row>
    <row r="269" spans="1:6" x14ac:dyDescent="0.25">
      <c r="A269" s="25">
        <f>'Plan2 (2)'!A269</f>
        <v>25.600000000000094</v>
      </c>
      <c r="B269" s="25">
        <f>'Plan2 (2)'!B269</f>
        <v>-0.33669353894283766</v>
      </c>
      <c r="C269" s="25">
        <f>'Plan2 (2)'!C269</f>
        <v>-0.25270440375591485</v>
      </c>
      <c r="D269" s="25">
        <f>'Plan2 (2)'!D269</f>
        <v>-0.10046578600480874</v>
      </c>
      <c r="E269" s="25" t="e">
        <f t="shared" ref="E269:E300" si="8">IF(A269&lt;=$C$8,C269,NA())</f>
        <v>#N/A</v>
      </c>
      <c r="F269" s="25" t="e">
        <f t="shared" ref="F269:F300" si="9">IF(A269&lt;=$C$8,D269,NA())</f>
        <v>#N/A</v>
      </c>
    </row>
    <row r="270" spans="1:6" x14ac:dyDescent="0.25">
      <c r="A270" s="25">
        <f>'Plan2 (2)'!A270</f>
        <v>25.700000000000095</v>
      </c>
      <c r="B270" s="25">
        <f>'Plan2 (2)'!B270</f>
        <v>-0.30379527083247787</v>
      </c>
      <c r="C270" s="25">
        <f>'Plan2 (2)'!C270</f>
        <v>-0.26220026121849954</v>
      </c>
      <c r="D270" s="25">
        <f>'Plan2 (2)'!D270</f>
        <v>-9.6505441058747712E-2</v>
      </c>
      <c r="E270" s="25" t="e">
        <f t="shared" si="8"/>
        <v>#N/A</v>
      </c>
      <c r="F270" s="25" t="e">
        <f t="shared" si="9"/>
        <v>#N/A</v>
      </c>
    </row>
    <row r="271" spans="1:6" x14ac:dyDescent="0.25">
      <c r="A271" s="25">
        <f>'Plan2 (2)'!A271</f>
        <v>25.800000000000097</v>
      </c>
      <c r="B271" s="25">
        <f>'Plan2 (2)'!B271</f>
        <v>-0.27050159777452715</v>
      </c>
      <c r="C271" s="25">
        <f>'Plan2 (2)'!C271</f>
        <v>-0.2705105909554722</v>
      </c>
      <c r="D271" s="25">
        <f>'Plan2 (2)'!D271</f>
        <v>-9.2274871946565876E-2</v>
      </c>
      <c r="E271" s="25" t="e">
        <f t="shared" si="8"/>
        <v>#N/A</v>
      </c>
      <c r="F271" s="25" t="e">
        <f t="shared" si="9"/>
        <v>#N/A</v>
      </c>
    </row>
    <row r="272" spans="1:6" x14ac:dyDescent="0.25">
      <c r="A272" s="25">
        <f>'Plan2 (2)'!A272</f>
        <v>25.900000000000098</v>
      </c>
      <c r="B272" s="25">
        <f>'Plan2 (2)'!B272</f>
        <v>-0.23694499927392884</v>
      </c>
      <c r="C272" s="25">
        <f>'Plan2 (2)'!C272</f>
        <v>-0.27763094027624191</v>
      </c>
      <c r="D272" s="25">
        <f>'Plan2 (2)'!D272</f>
        <v>-8.7795814225714627E-2</v>
      </c>
      <c r="E272" s="25" t="e">
        <f t="shared" si="8"/>
        <v>#N/A</v>
      </c>
      <c r="F272" s="25" t="e">
        <f t="shared" si="9"/>
        <v>#N/A</v>
      </c>
    </row>
    <row r="273" spans="1:6" x14ac:dyDescent="0.25">
      <c r="A273" s="25">
        <f>'Plan2 (2)'!A273</f>
        <v>26.000000000000099</v>
      </c>
      <c r="B273" s="25">
        <f>'Plan2 (2)'!B273</f>
        <v>-0.20325597955798685</v>
      </c>
      <c r="C273" s="25">
        <f>'Plan2 (2)'!C273</f>
        <v>-0.28356137587787744</v>
      </c>
      <c r="D273" s="25">
        <f>'Plan2 (2)'!D273</f>
        <v>-8.3090442150276361E-2</v>
      </c>
      <c r="E273" s="25" t="e">
        <f t="shared" si="8"/>
        <v>#N/A</v>
      </c>
      <c r="F273" s="25" t="e">
        <f t="shared" si="9"/>
        <v>#N/A</v>
      </c>
    </row>
    <row r="274" spans="1:6" x14ac:dyDescent="0.25">
      <c r="A274" s="25">
        <f>'Plan2 (2)'!A274</f>
        <v>26.100000000000101</v>
      </c>
      <c r="B274" s="25">
        <f>'Plan2 (2)'!B274</f>
        <v>-0.16956262683265549</v>
      </c>
      <c r="C274" s="25">
        <f>'Plan2 (2)'!C274</f>
        <v>-0.28830638289623767</v>
      </c>
      <c r="D274" s="25">
        <f>'Plan2 (2)'!D274</f>
        <v>-7.8181276529825303E-2</v>
      </c>
      <c r="E274" s="25" t="e">
        <f t="shared" si="8"/>
        <v>#N/A</v>
      </c>
      <c r="F274" s="25" t="e">
        <f t="shared" si="9"/>
        <v>#N/A</v>
      </c>
    </row>
    <row r="275" spans="1:6" x14ac:dyDescent="0.25">
      <c r="A275" s="25">
        <f>'Plan2 (2)'!A275</f>
        <v>26.200000000000102</v>
      </c>
      <c r="B275" s="25">
        <f>'Plan2 (2)'!B275</f>
        <v>-0.13599019133378523</v>
      </c>
      <c r="C275" s="25">
        <f>'Plan2 (2)'!C275</f>
        <v>-0.29187474979419226</v>
      </c>
      <c r="D275" s="25">
        <f>'Plan2 (2)'!D275</f>
        <v>-7.3091093354102285E-2</v>
      </c>
      <c r="E275" s="25" t="e">
        <f t="shared" si="8"/>
        <v>#N/A</v>
      </c>
      <c r="F275" s="25" t="e">
        <f t="shared" si="9"/>
        <v>#N/A</v>
      </c>
    </row>
    <row r="276" spans="1:6" x14ac:dyDescent="0.25">
      <c r="A276" s="25">
        <f>'Plan2 (2)'!A276</f>
        <v>26.300000000000104</v>
      </c>
      <c r="B276" s="25">
        <f>'Plan2 (2)'!B276</f>
        <v>-0.10266068332185951</v>
      </c>
      <c r="C276" s="25">
        <f>'Plan2 (2)'!C276</f>
        <v>-0.29427943983009269</v>
      </c>
      <c r="D276" s="25">
        <f>'Plan2 (2)'!D276</f>
        <v>-6.7842833505852379E-2</v>
      </c>
      <c r="E276" s="25" t="e">
        <f t="shared" si="8"/>
        <v>#N/A</v>
      </c>
      <c r="F276" s="25" t="e">
        <f t="shared" si="9"/>
        <v>#N/A</v>
      </c>
    </row>
    <row r="277" spans="1:6" x14ac:dyDescent="0.25">
      <c r="A277" s="25">
        <f>'Plan2 (2)'!A277</f>
        <v>26.400000000000105</v>
      </c>
      <c r="B277" s="25">
        <f>'Plan2 (2)'!B277</f>
        <v>-6.9692492069086759E-2</v>
      </c>
      <c r="C277" s="25">
        <f>'Plan2 (2)'!C277</f>
        <v>-0.29553744988294234</v>
      </c>
      <c r="D277" s="25">
        <f>'Plan2 (2)'!D277</f>
        <v>-6.2459513872949943E-2</v>
      </c>
      <c r="E277" s="25" t="e">
        <f t="shared" si="8"/>
        <v>#N/A</v>
      </c>
      <c r="F277" s="25" t="e">
        <f t="shared" si="9"/>
        <v>#N/A</v>
      </c>
    </row>
    <row r="278" spans="1:6" x14ac:dyDescent="0.25">
      <c r="A278" s="25">
        <f>'Plan2 (2)'!A278</f>
        <v>26.500000000000107</v>
      </c>
      <c r="B278" s="25">
        <f>'Plan2 (2)'!B278</f>
        <v>-3.720002678636454E-2</v>
      </c>
      <c r="C278" s="25">
        <f>'Plan2 (2)'!C278</f>
        <v>-0.29566965744037649</v>
      </c>
      <c r="D278" s="25">
        <f>'Plan2 (2)'!D278</f>
        <v>-5.6964140158805354E-2</v>
      </c>
      <c r="E278" s="25" t="e">
        <f t="shared" si="8"/>
        <v>#N/A</v>
      </c>
      <c r="F278" s="25" t="e">
        <f t="shared" si="9"/>
        <v>#N/A</v>
      </c>
    </row>
    <row r="279" spans="1:6" x14ac:dyDescent="0.25">
      <c r="A279" s="25">
        <f>'Plan2 (2)'!A279</f>
        <v>26.600000000000108</v>
      </c>
      <c r="B279" s="25">
        <f>'Plan2 (2)'!B279</f>
        <v>-5.2933803350250636E-3</v>
      </c>
      <c r="C279" s="25">
        <f>'Plan2 (2)'!C279</f>
        <v>-0.29470065658157107</v>
      </c>
      <c r="D279" s="25">
        <f>'Plan2 (2)'!D279</f>
        <v>-5.1379621677077318E-2</v>
      </c>
      <c r="E279" s="25" t="e">
        <f t="shared" si="8"/>
        <v>#N/A</v>
      </c>
      <c r="F279" s="25" t="e">
        <f t="shared" si="9"/>
        <v>#N/A</v>
      </c>
    </row>
    <row r="280" spans="1:6" x14ac:dyDescent="0.25">
      <c r="A280" s="25">
        <f>'Plan2 (2)'!A280</f>
        <v>26.700000000000109</v>
      </c>
      <c r="B280" s="25">
        <f>'Plan2 (2)'!B280</f>
        <v>2.5921983535189246E-2</v>
      </c>
      <c r="C280" s="25">
        <f>'Plan2 (2)'!C280</f>
        <v>-0.29265858380953552</v>
      </c>
      <c r="D280" s="25">
        <f>'Plan2 (2)'!D280</f>
        <v>-4.5728688402970792E-2</v>
      </c>
      <c r="E280" s="25" t="e">
        <f t="shared" si="8"/>
        <v>#N/A</v>
      </c>
      <c r="F280" s="25" t="e">
        <f t="shared" si="9"/>
        <v>#N/A</v>
      </c>
    </row>
    <row r="281" spans="1:6" x14ac:dyDescent="0.25">
      <c r="A281" s="25">
        <f>'Plan2 (2)'!A281</f>
        <v>26.800000000000111</v>
      </c>
      <c r="B281" s="25">
        <f>'Plan2 (2)'!B281</f>
        <v>5.63455187843801E-2</v>
      </c>
      <c r="C281" s="25">
        <f>'Plan2 (2)'!C281</f>
        <v>-0.28957493460591061</v>
      </c>
      <c r="D281" s="25">
        <f>'Plan2 (2)'!D281</f>
        <v>-4.0033810538951463E-2</v>
      </c>
      <c r="E281" s="25" t="e">
        <f t="shared" si="8"/>
        <v>#N/A</v>
      </c>
      <c r="F281" s="25" t="e">
        <f t="shared" si="9"/>
        <v>#N/A</v>
      </c>
    </row>
    <row r="282" spans="1:6" x14ac:dyDescent="0.25">
      <c r="A282" s="25">
        <f>'Plan2 (2)'!A282</f>
        <v>26.900000000000112</v>
      </c>
      <c r="B282" s="25">
        <f>'Plan2 (2)'!B282</f>
        <v>8.5881860983399588E-2</v>
      </c>
      <c r="C282" s="25">
        <f>'Plan2 (2)'!C282</f>
        <v>-0.28548437159639806</v>
      </c>
      <c r="D282" s="25">
        <f>'Plan2 (2)'!D282</f>
        <v>-3.4317120837623005E-2</v>
      </c>
      <c r="E282" s="25" t="e">
        <f t="shared" si="8"/>
        <v>#N/A</v>
      </c>
      <c r="F282" s="25" t="e">
        <f t="shared" si="9"/>
        <v>#N/A</v>
      </c>
    </row>
    <row r="283" spans="1:6" x14ac:dyDescent="0.25">
      <c r="A283" s="25">
        <f>'Plan2 (2)'!A283</f>
        <v>27.000000000000114</v>
      </c>
      <c r="B283" s="25">
        <f>'Plan2 (2)'!B283</f>
        <v>0.11444106608745748</v>
      </c>
      <c r="C283" s="25">
        <f>'Plan2 (2)'!C283</f>
        <v>-0.28042452522632294</v>
      </c>
      <c r="D283" s="25">
        <f>'Plan2 (2)'!D283</f>
        <v>-2.8600339908863015E-2</v>
      </c>
      <c r="E283" s="25" t="e">
        <f t="shared" si="8"/>
        <v>#N/A</v>
      </c>
      <c r="F283" s="25" t="e">
        <f t="shared" si="9"/>
        <v>#N/A</v>
      </c>
    </row>
    <row r="284" spans="1:6" x14ac:dyDescent="0.25">
      <c r="A284" s="25">
        <f>'Plan2 (2)'!A284</f>
        <v>27.100000000000115</v>
      </c>
      <c r="B284" s="25">
        <f>'Plan2 (2)'!B284</f>
        <v>0.14193882375539418</v>
      </c>
      <c r="C284" s="25">
        <f>'Plan2 (2)'!C284</f>
        <v>-0.27443578785360612</v>
      </c>
      <c r="D284" s="25">
        <f>'Plan2 (2)'!D284</f>
        <v>-2.2904704722168229E-2</v>
      </c>
      <c r="E284" s="25" t="e">
        <f t="shared" si="8"/>
        <v>#N/A</v>
      </c>
      <c r="F284" s="25" t="e">
        <f t="shared" si="9"/>
        <v>#N/A</v>
      </c>
    </row>
    <row r="285" spans="1:6" x14ac:dyDescent="0.25">
      <c r="A285" s="25">
        <f>'Plan2 (2)'!A285</f>
        <v>27.200000000000117</v>
      </c>
      <c r="B285" s="25">
        <f>'Plan2 (2)'!B285</f>
        <v>0.16829664498942082</v>
      </c>
      <c r="C285" s="25">
        <f>'Plan2 (2)'!C285</f>
        <v>-0.2675611021706612</v>
      </c>
      <c r="D285" s="25">
        <f>'Plan2 (2)'!D285</f>
        <v>-1.7250900498590894E-2</v>
      </c>
      <c r="E285" s="25" t="e">
        <f t="shared" si="8"/>
        <v>#N/A</v>
      </c>
      <c r="F285" s="25" t="e">
        <f t="shared" si="9"/>
        <v>#N/A</v>
      </c>
    </row>
    <row r="286" spans="1:6" x14ac:dyDescent="0.25">
      <c r="A286" s="25">
        <f>'Plan2 (2)'!A286</f>
        <v>27.300000000000118</v>
      </c>
      <c r="B286" s="25">
        <f>'Plan2 (2)'!B286</f>
        <v>0.19344202397053217</v>
      </c>
      <c r="C286" s="25">
        <f>'Plan2 (2)'!C286</f>
        <v>-0.25984574486748357</v>
      </c>
      <c r="D286" s="25">
        <f>'Plan2 (2)'!D286</f>
        <v>-1.1658996169726042E-2</v>
      </c>
      <c r="E286" s="25" t="e">
        <f t="shared" si="8"/>
        <v>#N/A</v>
      </c>
      <c r="F286" s="25" t="e">
        <f t="shared" si="9"/>
        <v>#N/A</v>
      </c>
    </row>
    <row r="287" spans="1:6" x14ac:dyDescent="0.25">
      <c r="A287" s="25">
        <f>'Plan2 (2)'!A287</f>
        <v>27.400000000000119</v>
      </c>
      <c r="B287" s="25">
        <f>'Plan2 (2)'!B287</f>
        <v>0.21730857406342891</v>
      </c>
      <c r="C287" s="25">
        <f>'Plan2 (2)'!C287</f>
        <v>-0.25133710644554963</v>
      </c>
      <c r="D287" s="25">
        <f>'Plan2 (2)'!D287</f>
        <v>-6.148383564005688E-3</v>
      </c>
      <c r="E287" s="25" t="e">
        <f t="shared" si="8"/>
        <v>#N/A</v>
      </c>
      <c r="F287" s="25" t="e">
        <f t="shared" si="9"/>
        <v>#N/A</v>
      </c>
    </row>
    <row r="288" spans="1:6" x14ac:dyDescent="0.25">
      <c r="A288" s="25">
        <f>'Plan2 (2)'!A288</f>
        <v>27.500000000000121</v>
      </c>
      <c r="B288" s="25">
        <f>'Plan2 (2)'!B288</f>
        <v>0.23983613806131568</v>
      </c>
      <c r="C288" s="25">
        <f>'Plan2 (2)'!C288</f>
        <v>-0.2420844680861729</v>
      </c>
      <c r="D288" s="25">
        <f>'Plan2 (2)'!D288</f>
        <v>-7.3772046313999584E-4</v>
      </c>
      <c r="E288" s="25" t="e">
        <f t="shared" si="8"/>
        <v>#N/A</v>
      </c>
      <c r="F288" s="25" t="e">
        <f t="shared" si="9"/>
        <v>#N/A</v>
      </c>
    </row>
    <row r="289" spans="1:6" x14ac:dyDescent="0.25">
      <c r="A289" s="25">
        <f>'Plan2 (2)'!A289</f>
        <v>27.600000000000122</v>
      </c>
      <c r="B289" s="25">
        <f>'Plan2 (2)'!B289</f>
        <v>0.26097087283505943</v>
      </c>
      <c r="C289" s="25">
        <f>'Plan2 (2)'!C289</f>
        <v>-0.23213877646777095</v>
      </c>
      <c r="D289" s="25">
        <f>'Plan2 (2)'!D289</f>
        <v>4.5551223460129258E-3</v>
      </c>
      <c r="E289" s="25" t="e">
        <f t="shared" si="8"/>
        <v>#N/A</v>
      </c>
      <c r="F289" s="25" t="e">
        <f t="shared" si="9"/>
        <v>#N/A</v>
      </c>
    </row>
    <row r="290" spans="1:6" x14ac:dyDescent="0.25">
      <c r="A290" s="25">
        <f>'Plan2 (2)'!A290</f>
        <v>27.700000000000124</v>
      </c>
      <c r="B290" s="25">
        <f>'Plan2 (2)'!B290</f>
        <v>0.28066530864260197</v>
      </c>
      <c r="C290" s="25">
        <f>'Plan2 (2)'!C290</f>
        <v>-0.22155241741418469</v>
      </c>
      <c r="D290" s="25">
        <f>'Plan2 (2)'!D290</f>
        <v>9.7131099164994468E-3</v>
      </c>
      <c r="E290" s="25" t="e">
        <f t="shared" si="8"/>
        <v>#N/A</v>
      </c>
      <c r="F290" s="25" t="e">
        <f t="shared" si="9"/>
        <v>#N/A</v>
      </c>
    </row>
    <row r="291" spans="1:6" x14ac:dyDescent="0.25">
      <c r="A291" s="25">
        <f>'Plan2 (2)'!A291</f>
        <v>27.800000000000125</v>
      </c>
      <c r="B291" s="25">
        <f>'Plan2 (2)'!B291</f>
        <v>0.29887838344294387</v>
      </c>
      <c r="C291" s="25">
        <f>'Plan2 (2)'!C291</f>
        <v>-0.21037898924087806</v>
      </c>
      <c r="D291" s="25">
        <f>'Plan2 (2)'!D291</f>
        <v>1.4720087793235392E-2</v>
      </c>
      <c r="E291" s="25" t="e">
        <f t="shared" si="8"/>
        <v>#N/A</v>
      </c>
      <c r="F291" s="25" t="e">
        <f t="shared" si="9"/>
        <v>#N/A</v>
      </c>
    </row>
    <row r="292" spans="1:6" x14ac:dyDescent="0.25">
      <c r="A292" s="25">
        <f>'Plan2 (2)'!A292</f>
        <v>27.900000000000126</v>
      </c>
      <c r="B292" s="25">
        <f>'Plan2 (2)'!B292</f>
        <v>0.31557545264418868</v>
      </c>
      <c r="C292" s="25">
        <f>'Plan2 (2)'!C292</f>
        <v>-0.19867307664765385</v>
      </c>
      <c r="D292" s="25">
        <f>'Plan2 (2)'!D292</f>
        <v>1.9560822399454714E-2</v>
      </c>
      <c r="E292" s="25" t="e">
        <f t="shared" si="8"/>
        <v>#N/A</v>
      </c>
      <c r="F292" s="25" t="e">
        <f t="shared" si="9"/>
        <v>#N/A</v>
      </c>
    </row>
    <row r="293" spans="1:6" x14ac:dyDescent="0.25">
      <c r="A293" s="25">
        <f>'Plan2 (2)'!A293</f>
        <v>28.000000000000128</v>
      </c>
      <c r="B293" s="25">
        <f>'Plan2 (2)'!B293</f>
        <v>0.33072827479681827</v>
      </c>
      <c r="C293" s="25">
        <f>'Plan2 (2)'!C293</f>
        <v>-0.18649002598558162</v>
      </c>
      <c r="D293" s="25">
        <f>'Plan2 (2)'!D293</f>
        <v>2.422103710267106E-2</v>
      </c>
      <c r="E293" s="25" t="e">
        <f t="shared" si="8"/>
        <v>#N/A</v>
      </c>
      <c r="F293" s="25" t="e">
        <f t="shared" si="9"/>
        <v>#N/A</v>
      </c>
    </row>
    <row r="294" spans="1:6" x14ac:dyDescent="0.25">
      <c r="A294" s="25">
        <f>'Plan2 (2)'!A294</f>
        <v>28.100000000000129</v>
      </c>
      <c r="B294" s="25">
        <f>'Plan2 (2)'!B294</f>
        <v>0.34431497382132997</v>
      </c>
      <c r="C294" s="25">
        <f>'Plan2 (2)'!C294</f>
        <v>-0.17388572270228692</v>
      </c>
      <c r="D294" s="25">
        <f>'Plan2 (2)'!D294</f>
        <v>2.8687443922454738E-2</v>
      </c>
      <c r="E294" s="25" t="e">
        <f t="shared" si="8"/>
        <v>#N/A</v>
      </c>
      <c r="F294" s="25" t="e">
        <f t="shared" si="9"/>
        <v>#N/A</v>
      </c>
    </row>
    <row r="295" spans="1:6" x14ac:dyDescent="0.25">
      <c r="A295" s="25">
        <f>'Plan2 (2)'!A295</f>
        <v>28.200000000000131</v>
      </c>
      <c r="B295" s="25">
        <f>'Plan2 (2)'!B295</f>
        <v>0.35631997843340307</v>
      </c>
      <c r="C295" s="25">
        <f>'Plan2 (2)'!C295</f>
        <v>-0.16091637174374093</v>
      </c>
      <c r="D295" s="25">
        <f>'Plan2 (2)'!D295</f>
        <v>3.2947770859355983E-2</v>
      </c>
      <c r="E295" s="25" t="e">
        <f t="shared" si="8"/>
        <v>#N/A</v>
      </c>
      <c r="F295" s="25" t="e">
        <f t="shared" si="9"/>
        <v>#N/A</v>
      </c>
    </row>
    <row r="296" spans="1:6" x14ac:dyDescent="0.25">
      <c r="A296" s="25">
        <f>'Plan2 (2)'!A296</f>
        <v>28.300000000000132</v>
      </c>
      <c r="B296" s="25">
        <f>'Plan2 (2)'!B296</f>
        <v>0.36673393949968419</v>
      </c>
      <c r="C296" s="25">
        <f>'Plan2 (2)'!C296</f>
        <v>-0.14763828166236975</v>
      </c>
      <c r="D296" s="25">
        <f>'Plan2 (2)'!D296</f>
        <v>3.6990784841031223E-2</v>
      </c>
      <c r="E296" s="25" t="e">
        <f t="shared" si="8"/>
        <v>#N/A</v>
      </c>
      <c r="F296" s="25" t="e">
        <f t="shared" si="9"/>
        <v>#N/A</v>
      </c>
    </row>
    <row r="297" spans="1:6" x14ac:dyDescent="0.25">
      <c r="A297" s="25">
        <f>'Plan2 (2)'!A297</f>
        <v>28.400000000000134</v>
      </c>
      <c r="B297" s="25">
        <f>'Plan2 (2)'!B297</f>
        <v>0.37555362612292392</v>
      </c>
      <c r="C297" s="25">
        <f>'Plan2 (2)'!C297</f>
        <v>-0.13410765315082737</v>
      </c>
      <c r="D297" s="25">
        <f>'Plan2 (2)'!D297</f>
        <v>4.0806310297996702E-2</v>
      </c>
      <c r="E297" s="25" t="e">
        <f t="shared" si="8"/>
        <v>#N/A</v>
      </c>
      <c r="F297" s="25" t="e">
        <f t="shared" si="9"/>
        <v>#N/A</v>
      </c>
    </row>
    <row r="298" spans="1:6" x14ac:dyDescent="0.25">
      <c r="A298" s="25">
        <f>'Plan2 (2)'!A298</f>
        <v>28.500000000000135</v>
      </c>
      <c r="B298" s="25">
        <f>'Plan2 (2)'!B298</f>
        <v>0.38278180131640854</v>
      </c>
      <c r="C298" s="25">
        <f>'Plan2 (2)'!C298</f>
        <v>-0.12038037268830963</v>
      </c>
      <c r="D298" s="25">
        <f>'Plan2 (2)'!D298</f>
        <v>4.4385243397390806E-2</v>
      </c>
      <c r="E298" s="25" t="e">
        <f t="shared" si="8"/>
        <v>#N/A</v>
      </c>
      <c r="F298" s="25" t="e">
        <f t="shared" si="9"/>
        <v>#N/A</v>
      </c>
    </row>
    <row r="299" spans="1:6" x14ac:dyDescent="0.25">
      <c r="A299" s="25">
        <f>'Plan2 (2)'!A299</f>
        <v>28.600000000000136</v>
      </c>
      <c r="B299" s="25">
        <f>'Plan2 (2)'!B299</f>
        <v>0.38842707818428512</v>
      </c>
      <c r="C299" s="25">
        <f>'Plan2 (2)'!C299</f>
        <v>-0.10651181195198993</v>
      </c>
      <c r="D299" s="25">
        <f>'Plan2 (2)'!D299</f>
        <v>4.7719561978622212E-2</v>
      </c>
      <c r="E299" s="25" t="e">
        <f t="shared" si="8"/>
        <v>#N/A</v>
      </c>
      <c r="F299" s="25" t="e">
        <f t="shared" si="9"/>
        <v>#N/A</v>
      </c>
    </row>
    <row r="300" spans="1:6" x14ac:dyDescent="0.25">
      <c r="A300" s="25">
        <f>'Plan2 (2)'!A300</f>
        <v>28.700000000000138</v>
      </c>
      <c r="B300" s="25">
        <f>'Plan2 (2)'!B300</f>
        <v>0.39250375757636513</v>
      </c>
      <c r="C300" s="25">
        <f>'Plan2 (2)'!C300</f>
        <v>-9.2556633610203193E-2</v>
      </c>
      <c r="D300" s="25">
        <f>'Plan2 (2)'!D300</f>
        <v>5.0802331249768684E-2</v>
      </c>
      <c r="E300" s="25" t="e">
        <f t="shared" si="8"/>
        <v>#N/A</v>
      </c>
      <c r="F300" s="25" t="e">
        <f t="shared" si="9"/>
        <v>#N/A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Plan2 (2)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2010-04-02T03:00:23Z</dcterms:created>
  <dcterms:modified xsi:type="dcterms:W3CDTF">2021-12-02T13:24:38Z</dcterms:modified>
</cp:coreProperties>
</file>