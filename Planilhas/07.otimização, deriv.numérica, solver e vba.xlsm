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omments9.xml" ContentType="application/vnd.openxmlformats-officedocument.spreadsheetml.comments+xml"/>
  <Override PartName="/xl/drawings/drawing6.xml" ContentType="application/vnd.openxmlformats-officedocument.drawing+xml"/>
  <Override PartName="/xl/comments10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11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0" yWindow="75" windowWidth="11355" windowHeight="4875" firstSheet="11" activeTab="12"/>
  </bookViews>
  <sheets>
    <sheet name="Plan1 - Atingir Meta" sheetId="21" r:id="rId1"/>
    <sheet name="Plan1 - Solver" sheetId="22" r:id="rId2"/>
    <sheet name="Plan1 - Iteração" sheetId="23" r:id="rId3"/>
    <sheet name="Plan2 (2)" sheetId="24" r:id="rId4"/>
    <sheet name="Plan3 (2)" sheetId="25" r:id="rId5"/>
    <sheet name="Plan4" sheetId="26" r:id="rId6"/>
    <sheet name="Plan5" sheetId="27" r:id="rId7"/>
    <sheet name="Plan6" sheetId="28" r:id="rId8"/>
    <sheet name="Plan7" sheetId="29" r:id="rId9"/>
    <sheet name="Plan7 - Gráfico" sheetId="30" r:id="rId10"/>
    <sheet name="Plan7 - Derivada Algébrica" sheetId="31" r:id="rId11"/>
    <sheet name="Plan7 - Der Alg Gráfico" sheetId="32" r:id="rId12"/>
    <sheet name="Titration" sheetId="33" r:id="rId13"/>
    <sheet name="Plan1" sheetId="34" r:id="rId14"/>
    <sheet name="Plan8" sheetId="35" r:id="rId15"/>
    <sheet name="Plan9" sheetId="36" r:id="rId16"/>
    <sheet name="tanque v.1" sheetId="5" r:id="rId17"/>
    <sheet name="tanque v.2" sheetId="7" r:id="rId18"/>
    <sheet name="multidimensional v.1" sheetId="8" r:id="rId19"/>
    <sheet name="multidimensional v.2" sheetId="9" r:id="rId20"/>
    <sheet name="efluentes v.1" sheetId="10" r:id="rId21"/>
    <sheet name="efluentes v.2" sheetId="11" r:id="rId22"/>
    <sheet name="efluentes v.3" sheetId="12" r:id="rId23"/>
    <sheet name="efluentes v.4" sheetId="13" r:id="rId24"/>
    <sheet name="transportes Ortega Co." sheetId="14" r:id="rId25"/>
    <sheet name="BMC v.1" sheetId="15" r:id="rId26"/>
    <sheet name="BMC v.2" sheetId="16" r:id="rId27"/>
    <sheet name="BMC v.3" sheetId="17" r:id="rId28"/>
    <sheet name="BMC v.4" sheetId="18" r:id="rId29"/>
    <sheet name="Prod.Químicos" sheetId="19" r:id="rId30"/>
    <sheet name="Mountain Bike" sheetId="20" r:id="rId31"/>
  </sheets>
  <functionGroups builtInGroupCount="18"/>
  <definedNames>
    <definedName name="Capacidade_1">'BMC v.4'!$P$6:$P$7</definedName>
    <definedName name="Capacidade_2">'BMC v.4'!$T$6:$T$7</definedName>
    <definedName name="cf_1">'efluentes v.1'!$H$10</definedName>
    <definedName name="cf_2">'efluentes v.1'!$H$11</definedName>
    <definedName name="cf_3">'efluentes v.1'!$H$12</definedName>
    <definedName name="cf_4">'efluentes v.1'!$H$13</definedName>
    <definedName name="Chegadas_1">'BMC v.4'!$N$12:$N$16</definedName>
    <definedName name="Chegadas_2">'BMC v.4'!$R$12:$R$16</definedName>
    <definedName name="ci_1">'efluentes v.1'!$D$2</definedName>
    <definedName name="ci_2">'efluentes v.1'!$D$3</definedName>
    <definedName name="ci_3">'efluentes v.1'!$D$4</definedName>
    <definedName name="ci_4">'efluentes v.1'!$D$5</definedName>
    <definedName name="Compr_Solda_Externo">'tanque v.1'!$J$8</definedName>
    <definedName name="Compr_solda_Interno">'tanque v.1'!$J$7</definedName>
    <definedName name="Comprimento" localSheetId="16">'tanque v.1'!$C$3</definedName>
    <definedName name="Comprimento_Total">'tanque v.1'!$J$13</definedName>
    <definedName name="Cust_Mat_kg">'tanque v.2'!$B$6</definedName>
    <definedName name="Cust_Solda_m">'tanque v.2'!$B$7</definedName>
    <definedName name="Custo_por_Kg" localSheetId="16">'tanque v.1'!$C$12</definedName>
    <definedName name="Custo_por_metro" localSheetId="16">'tanque v.1'!$C$13</definedName>
    <definedName name="Custo_Total">'efluentes v.1'!$C$15</definedName>
    <definedName name="Custo_Total2">'BMC v.4'!$I$18</definedName>
    <definedName name="D_">'tanque v.2'!$F$2</definedName>
    <definedName name="d_1">'efluentes v.1'!$C$2</definedName>
    <definedName name="d_2">'efluentes v.1'!$C$3</definedName>
    <definedName name="d_3">'efluentes v.1'!$C$4</definedName>
    <definedName name="d_4">'efluentes v.1'!$C$5</definedName>
    <definedName name="D_máximo">'tanque v.1'!$C$8</definedName>
    <definedName name="Demanda_1">'BMC v.4'!$P$12:$P$16</definedName>
    <definedName name="Demanda_2">'BMC v.4'!$T$12:$T$16</definedName>
    <definedName name="Densidade" localSheetId="17">'tanque v.2'!$B$3</definedName>
    <definedName name="Densidade">'tanque v.1'!$C$11</definedName>
    <definedName name="Diâmetro_Interno" localSheetId="16">'tanque v.1'!$C$2</definedName>
    <definedName name="Dmax">'tanque v.2'!$B$5</definedName>
    <definedName name="Espessura" localSheetId="17">'tanque v.2'!$B$2</definedName>
    <definedName name="Espessura">'tanque v.1'!$C$10</definedName>
    <definedName name="Fluxo_1">'BMC v.4'!$B$6:$B$16</definedName>
    <definedName name="Fluxo_Máximo">'BMC v.4'!$V$11</definedName>
    <definedName name="Fluxos">'BMC v.4'!$B$6:$C$16</definedName>
    <definedName name="Fluxos_Totais">'BMC v.4'!$D$6:$D$16</definedName>
    <definedName name="L_">'tanque v.2'!$F$1</definedName>
    <definedName name="L_máximo">'tanque v.1'!$C$9</definedName>
    <definedName name="Lmax">'tanque v.2'!$B$4</definedName>
    <definedName name="Massa_Total">'tanque v.1'!$J$12</definedName>
    <definedName name="P_1">'efluentes v.1'!$B$2</definedName>
    <definedName name="P_2">'efluentes v.1'!$B$3</definedName>
    <definedName name="P_3">'efluentes v.1'!$B$4</definedName>
    <definedName name="P_4">'efluentes v.1'!$B$5</definedName>
    <definedName name="Q_13">'efluentes v.1'!$F$2</definedName>
    <definedName name="Q_23">'efluentes v.1'!$F$3</definedName>
    <definedName name="Q_34">'efluentes v.1'!$F$4</definedName>
    <definedName name="Q_45">'efluentes v.1'!$F$5</definedName>
    <definedName name="R_13">'efluentes v.1'!$G$2</definedName>
    <definedName name="R_23">'efluentes v.1'!$G$3</definedName>
    <definedName name="R_34">'efluentes v.1'!$G$4</definedName>
    <definedName name="R_45">'efluentes v.1'!$G$5</definedName>
    <definedName name="Saidas_1">'BMC v.4'!$N$6:$N$7</definedName>
    <definedName name="Saidas_2">'BMC v.4'!$R$6:$R$7</definedName>
    <definedName name="solver_adj" localSheetId="25" hidden="1">'BMC v.1'!$C$6:$C$16</definedName>
    <definedName name="solver_adj" localSheetId="26" hidden="1">'BMC v.2'!$C$6:$C$16</definedName>
    <definedName name="solver_adj" localSheetId="27" hidden="1">'BMC v.3'!$B$6:$B$16</definedName>
    <definedName name="solver_adj" localSheetId="28" hidden="1">'BMC v.4'!$B$6:$C$16</definedName>
    <definedName name="solver_adj" localSheetId="20" hidden="1">'efluentes v.1'!$B$10:$B$13</definedName>
    <definedName name="solver_adj" localSheetId="21" hidden="1">'efluentes v.2'!$B$9:$B$12</definedName>
    <definedName name="solver_adj" localSheetId="22" hidden="1">'efluentes v.3'!$C$2:$C$5</definedName>
    <definedName name="solver_adj" localSheetId="23" hidden="1">'efluentes v.4'!$C$2:$C$5</definedName>
    <definedName name="solver_adj" localSheetId="30" hidden="1">'Mountain Bike'!$G$3:$H$3</definedName>
    <definedName name="solver_adj" localSheetId="1" hidden="1">'Plan1 - Solver'!$B$4</definedName>
    <definedName name="solver_adj" localSheetId="3" hidden="1">'Plan2 (2)'!$B$3:$C$3</definedName>
    <definedName name="solver_adj" localSheetId="4" hidden="1">'Plan3 (2)'!$C$3:$D$3</definedName>
    <definedName name="solver_adj" localSheetId="29" hidden="1">Prod.Químicos!$B$2:$D$2</definedName>
    <definedName name="solver_adj" localSheetId="16" hidden="1">'tanque v.1'!$C$2:$C$3</definedName>
    <definedName name="solver_adj" localSheetId="17" hidden="1">'tanque v.2'!$F$1:$F$2</definedName>
    <definedName name="solver_adj" localSheetId="24" hidden="1">'transportes Ortega Co.'!$A$2:$A$21</definedName>
    <definedName name="solver_cvg" localSheetId="25" hidden="1">0.0001</definedName>
    <definedName name="solver_cvg" localSheetId="26" hidden="1">0.0001</definedName>
    <definedName name="solver_cvg" localSheetId="27" hidden="1">0.0001</definedName>
    <definedName name="solver_cvg" localSheetId="28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23" hidden="1">0.0001</definedName>
    <definedName name="solver_cvg" localSheetId="30" hidden="1">0.0001</definedName>
    <definedName name="solver_cvg" localSheetId="1" hidden="1">0.0001</definedName>
    <definedName name="solver_cvg" localSheetId="3" hidden="1">0.0001</definedName>
    <definedName name="solver_cvg" localSheetId="4" hidden="1">0.0001</definedName>
    <definedName name="solver_cvg" localSheetId="29" hidden="1">0.0001</definedName>
    <definedName name="solver_cvg" localSheetId="16" hidden="1">0.0001</definedName>
    <definedName name="solver_cvg" localSheetId="17" hidden="1">0.0001</definedName>
    <definedName name="solver_cvg" localSheetId="24" hidden="1">0.0001</definedName>
    <definedName name="solver_drv" localSheetId="25" hidden="1">1</definedName>
    <definedName name="solver_drv" localSheetId="26" hidden="1">1</definedName>
    <definedName name="solver_drv" localSheetId="27" hidden="1">1</definedName>
    <definedName name="solver_drv" localSheetId="28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23" hidden="1">1</definedName>
    <definedName name="solver_drv" localSheetId="30" hidden="1">1</definedName>
    <definedName name="solver_drv" localSheetId="1" hidden="1">1</definedName>
    <definedName name="solver_drv" localSheetId="3" hidden="1">1</definedName>
    <definedName name="solver_drv" localSheetId="4" hidden="1">1</definedName>
    <definedName name="solver_drv" localSheetId="29" hidden="1">1</definedName>
    <definedName name="solver_drv" localSheetId="16" hidden="1">1</definedName>
    <definedName name="solver_drv" localSheetId="17" hidden="1">1</definedName>
    <definedName name="solver_drv" localSheetId="24" hidden="1">1</definedName>
    <definedName name="solver_eng" localSheetId="28" hidden="1">2</definedName>
    <definedName name="solver_est" localSheetId="25" hidden="1">1</definedName>
    <definedName name="solver_est" localSheetId="26" hidden="1">1</definedName>
    <definedName name="solver_est" localSheetId="27" hidden="1">1</definedName>
    <definedName name="solver_est" localSheetId="28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23" hidden="1">1</definedName>
    <definedName name="solver_est" localSheetId="30" hidden="1">1</definedName>
    <definedName name="solver_est" localSheetId="1" hidden="1">1</definedName>
    <definedName name="solver_est" localSheetId="3" hidden="1">1</definedName>
    <definedName name="solver_est" localSheetId="4" hidden="1">1</definedName>
    <definedName name="solver_est" localSheetId="29" hidden="1">1</definedName>
    <definedName name="solver_est" localSheetId="16" hidden="1">1</definedName>
    <definedName name="solver_est" localSheetId="17" hidden="1">1</definedName>
    <definedName name="solver_est" localSheetId="24" hidden="1">1</definedName>
    <definedName name="solver_itr" localSheetId="25" hidden="1">100</definedName>
    <definedName name="solver_itr" localSheetId="26" hidden="1">100</definedName>
    <definedName name="solver_itr" localSheetId="27" hidden="1">100</definedName>
    <definedName name="solver_itr" localSheetId="28" hidden="1">100</definedName>
    <definedName name="solver_itr" localSheetId="20" hidden="1">100</definedName>
    <definedName name="solver_itr" localSheetId="21" hidden="1">100</definedName>
    <definedName name="solver_itr" localSheetId="22" hidden="1">100</definedName>
    <definedName name="solver_itr" localSheetId="23" hidden="1">100</definedName>
    <definedName name="solver_itr" localSheetId="30" hidden="1">100</definedName>
    <definedName name="solver_itr" localSheetId="1" hidden="1">100</definedName>
    <definedName name="solver_itr" localSheetId="3" hidden="1">100</definedName>
    <definedName name="solver_itr" localSheetId="4" hidden="1">100</definedName>
    <definedName name="solver_itr" localSheetId="29" hidden="1">100</definedName>
    <definedName name="solver_itr" localSheetId="16" hidden="1">100</definedName>
    <definedName name="solver_itr" localSheetId="17" hidden="1">100</definedName>
    <definedName name="solver_itr" localSheetId="24" hidden="1">100</definedName>
    <definedName name="solver_lhs1" localSheetId="25" hidden="1">'BMC v.1'!$L$6:$L$7</definedName>
    <definedName name="solver_lhs1" localSheetId="26" hidden="1">'BMC v.2'!$L$6:$L$7</definedName>
    <definedName name="solver_lhs1" localSheetId="27" hidden="1">'BMC v.3'!$L$6:$L$7</definedName>
    <definedName name="solver_lhs1" localSheetId="28" hidden="1">'BMC v.4'!$R$12:$R$16</definedName>
    <definedName name="solver_lhs1" localSheetId="20" hidden="1">'efluentes v.1'!$H$10:$H$13</definedName>
    <definedName name="solver_lhs1" localSheetId="21" hidden="1">'efluentes v.2'!$B$9:$B$12</definedName>
    <definedName name="solver_lhs1" localSheetId="22" hidden="1">'efluentes v.3'!$C$2:$C$5</definedName>
    <definedName name="solver_lhs1" localSheetId="23" hidden="1">'efluentes v.4'!$C$2:$C$5</definedName>
    <definedName name="solver_lhs1" localSheetId="3" hidden="1">'Plan2 (2)'!$B$7</definedName>
    <definedName name="solver_lhs1" localSheetId="4" hidden="1">'Plan3 (2)'!$C$9</definedName>
    <definedName name="solver_lhs1" localSheetId="29" hidden="1">Prod.Químicos!$E$2:$E$4</definedName>
    <definedName name="solver_lhs1" localSheetId="16" hidden="1">'tanque v.1'!$J$3</definedName>
    <definedName name="solver_lhs1" localSheetId="17" hidden="1">'tanque v.2'!$F$4</definedName>
    <definedName name="solver_lhs1" localSheetId="24" hidden="1">'transportes Ortega Co.'!$I$2</definedName>
    <definedName name="solver_lhs2" localSheetId="25" hidden="1">'BMC v.1'!$L$12:$L$16</definedName>
    <definedName name="solver_lhs2" localSheetId="26" hidden="1">'BMC v.2'!$L$12:$L$16</definedName>
    <definedName name="solver_lhs2" localSheetId="27" hidden="1">'BMC v.3'!$L$12:$L$16</definedName>
    <definedName name="solver_lhs2" localSheetId="28" hidden="1">'BMC v.4'!$N$12:$N$16</definedName>
    <definedName name="solver_lhs2" localSheetId="20" hidden="1">'efluentes v.1'!$B$10:$B$13</definedName>
    <definedName name="solver_lhs2" localSheetId="21" hidden="1">'efluentes v.2'!$G$9:$G$12</definedName>
    <definedName name="solver_lhs2" localSheetId="22" hidden="1">'efluentes v.3'!$G$2:$G$5</definedName>
    <definedName name="solver_lhs2" localSheetId="23" hidden="1">'efluentes v.4'!$G$2:$G$5</definedName>
    <definedName name="solver_lhs2" localSheetId="16" hidden="1">'tanque v.1'!$C$2:$C$3</definedName>
    <definedName name="solver_lhs2" localSheetId="17" hidden="1">'tanque v.2'!$F$5:$F$6</definedName>
    <definedName name="solver_lhs2" localSheetId="24" hidden="1">'transportes Ortega Co.'!$I$5:$I$9</definedName>
    <definedName name="solver_lhs3" localSheetId="27" hidden="1">'BMC v.3'!$B$6:$B$16</definedName>
    <definedName name="solver_lhs3" localSheetId="28" hidden="1">'BMC v.4'!$D$6:$D$16</definedName>
    <definedName name="solver_lhs3" localSheetId="16" hidden="1">'tanque v.1'!#REF!</definedName>
    <definedName name="solver_lhs3" localSheetId="24" hidden="1">'transportes Ortega Co.'!$I$12</definedName>
    <definedName name="solver_lhs4" localSheetId="28" hidden="1">'BMC v.4'!$N$6:$N$7</definedName>
    <definedName name="solver_lhs5" localSheetId="28" hidden="1">'BMC v.4'!$R$6:$R$7</definedName>
    <definedName name="solver_lin" localSheetId="25" hidden="1">1</definedName>
    <definedName name="solver_lin" localSheetId="26" hidden="1">1</definedName>
    <definedName name="solver_lin" localSheetId="27" hidden="1">1</definedName>
    <definedName name="solver_lin" localSheetId="28" hidden="1">1</definedName>
    <definedName name="solver_lin" localSheetId="20" hidden="1">1</definedName>
    <definedName name="solver_lin" localSheetId="21" hidden="1">1</definedName>
    <definedName name="solver_lin" localSheetId="22" hidden="1">1</definedName>
    <definedName name="solver_lin" localSheetId="23" hidden="1">1</definedName>
    <definedName name="solver_lin" localSheetId="30" hidden="1">2</definedName>
    <definedName name="solver_lin" localSheetId="1" hidden="1">2</definedName>
    <definedName name="solver_lin" localSheetId="3" hidden="1">2</definedName>
    <definedName name="solver_lin" localSheetId="4" hidden="1">2</definedName>
    <definedName name="solver_lin" localSheetId="29" hidden="1">1</definedName>
    <definedName name="solver_lin" localSheetId="16" hidden="1">2</definedName>
    <definedName name="solver_lin" localSheetId="17" hidden="1">2</definedName>
    <definedName name="solver_lin" localSheetId="24" hidden="1">1</definedName>
    <definedName name="solver_mip" localSheetId="28" hidden="1">2147483647</definedName>
    <definedName name="solver_mni" localSheetId="28" hidden="1">30</definedName>
    <definedName name="solver_mrt" localSheetId="28" hidden="1">0.075</definedName>
    <definedName name="solver_msl" localSheetId="28" hidden="1">2</definedName>
    <definedName name="solver_neg" localSheetId="25" hidden="1">1</definedName>
    <definedName name="solver_neg" localSheetId="26" hidden="1">1</definedName>
    <definedName name="solver_neg" localSheetId="27" hidden="1">1</definedName>
    <definedName name="solver_neg" localSheetId="28" hidden="1">1</definedName>
    <definedName name="solver_neg" localSheetId="20" hidden="1">1</definedName>
    <definedName name="solver_neg" localSheetId="21" hidden="1">1</definedName>
    <definedName name="solver_neg" localSheetId="22" hidden="1">1</definedName>
    <definedName name="solver_neg" localSheetId="23" hidden="1">1</definedName>
    <definedName name="solver_neg" localSheetId="30" hidden="1">1</definedName>
    <definedName name="solver_neg" localSheetId="1" hidden="1">2</definedName>
    <definedName name="solver_neg" localSheetId="3" hidden="1">2</definedName>
    <definedName name="solver_neg" localSheetId="4" hidden="1">2</definedName>
    <definedName name="solver_neg" localSheetId="29" hidden="1">1</definedName>
    <definedName name="solver_neg" localSheetId="16" hidden="1">1</definedName>
    <definedName name="solver_neg" localSheetId="17" hidden="1">1</definedName>
    <definedName name="solver_neg" localSheetId="24" hidden="1">1</definedName>
    <definedName name="solver_nod" localSheetId="28" hidden="1">2147483647</definedName>
    <definedName name="solver_num" localSheetId="25" hidden="1">2</definedName>
    <definedName name="solver_num" localSheetId="26" hidden="1">2</definedName>
    <definedName name="solver_num" localSheetId="27" hidden="1">3</definedName>
    <definedName name="solver_num" localSheetId="28" hidden="1">5</definedName>
    <definedName name="solver_num" localSheetId="20" hidden="1">2</definedName>
    <definedName name="solver_num" localSheetId="21" hidden="1">2</definedName>
    <definedName name="solver_num" localSheetId="22" hidden="1">2</definedName>
    <definedName name="solver_num" localSheetId="23" hidden="1">2</definedName>
    <definedName name="solver_num" localSheetId="30" hidden="1">0</definedName>
    <definedName name="solver_num" localSheetId="1" hidden="1">0</definedName>
    <definedName name="solver_num" localSheetId="3" hidden="1">1</definedName>
    <definedName name="solver_num" localSheetId="4" hidden="1">1</definedName>
    <definedName name="solver_num" localSheetId="29" hidden="1">1</definedName>
    <definedName name="solver_num" localSheetId="16" hidden="1">2</definedName>
    <definedName name="solver_num" localSheetId="17" hidden="1">2</definedName>
    <definedName name="solver_num" localSheetId="24" hidden="1">3</definedName>
    <definedName name="solver_nwt" localSheetId="25" hidden="1">1</definedName>
    <definedName name="solver_nwt" localSheetId="26" hidden="1">1</definedName>
    <definedName name="solver_nwt" localSheetId="27" hidden="1">1</definedName>
    <definedName name="solver_nwt" localSheetId="28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23" hidden="1">1</definedName>
    <definedName name="solver_nwt" localSheetId="30" hidden="1">1</definedName>
    <definedName name="solver_nwt" localSheetId="1" hidden="1">1</definedName>
    <definedName name="solver_nwt" localSheetId="3" hidden="1">1</definedName>
    <definedName name="solver_nwt" localSheetId="4" hidden="1">1</definedName>
    <definedName name="solver_nwt" localSheetId="29" hidden="1">1</definedName>
    <definedName name="solver_nwt" localSheetId="16" hidden="1">1</definedName>
    <definedName name="solver_nwt" localSheetId="17" hidden="1">1</definedName>
    <definedName name="solver_nwt" localSheetId="24" hidden="1">1</definedName>
    <definedName name="solver_opt" localSheetId="25" hidden="1">'BMC v.1'!$H$18</definedName>
    <definedName name="solver_opt" localSheetId="26" hidden="1">'BMC v.2'!$H$18</definedName>
    <definedName name="solver_opt" localSheetId="27" hidden="1">'BMC v.3'!$G$18</definedName>
    <definedName name="solver_opt" localSheetId="28" hidden="1">'BMC v.4'!$I$18</definedName>
    <definedName name="solver_opt" localSheetId="20" hidden="1">'efluentes v.1'!$C$15</definedName>
    <definedName name="solver_opt" localSheetId="21" hidden="1">'efluentes v.2'!$C$14</definedName>
    <definedName name="solver_opt" localSheetId="22" hidden="1">'efluentes v.3'!$C$12</definedName>
    <definedName name="solver_opt" localSheetId="23" hidden="1">'efluentes v.4'!$C$12</definedName>
    <definedName name="solver_opt" localSheetId="30" hidden="1">'Mountain Bike'!$I$3</definedName>
    <definedName name="solver_opt" localSheetId="1" hidden="1">'Plan1 - Solver'!$C$4</definedName>
    <definedName name="solver_opt" localSheetId="3" hidden="1">'Plan2 (2)'!$E$3</definedName>
    <definedName name="solver_opt" localSheetId="4" hidden="1">'Plan3 (2)'!$B$3</definedName>
    <definedName name="solver_opt" localSheetId="29" hidden="1">Prod.Químicos!$E$5</definedName>
    <definedName name="solver_opt" localSheetId="16" hidden="1">'tanque v.1'!$J$17</definedName>
    <definedName name="solver_opt" localSheetId="17" hidden="1">'tanque v.2'!$E$14</definedName>
    <definedName name="solver_opt" localSheetId="24" hidden="1">'transportes Ortega Co.'!$F$23</definedName>
    <definedName name="solver_pre" localSheetId="25" hidden="1">0.000001</definedName>
    <definedName name="solver_pre" localSheetId="26" hidden="1">0.000001</definedName>
    <definedName name="solver_pre" localSheetId="27" hidden="1">0.000001</definedName>
    <definedName name="solver_pre" localSheetId="28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23" hidden="1">0.000001</definedName>
    <definedName name="solver_pre" localSheetId="30" hidden="1">0.000001</definedName>
    <definedName name="solver_pre" localSheetId="1" hidden="1">0.000001</definedName>
    <definedName name="solver_pre" localSheetId="3" hidden="1">0.000001</definedName>
    <definedName name="solver_pre" localSheetId="4" hidden="1">0.000001</definedName>
    <definedName name="solver_pre" localSheetId="29" hidden="1">0.000001</definedName>
    <definedName name="solver_pre" localSheetId="16" hidden="1">0.000001</definedName>
    <definedName name="solver_pre" localSheetId="17" hidden="1">0.000001</definedName>
    <definedName name="solver_pre" localSheetId="24" hidden="1">0.000001</definedName>
    <definedName name="solver_rbv" localSheetId="28" hidden="1">1</definedName>
    <definedName name="solver_rel1" localSheetId="25" hidden="1">1</definedName>
    <definedName name="solver_rel1" localSheetId="26" hidden="1">1</definedName>
    <definedName name="solver_rel1" localSheetId="27" hidden="1">1</definedName>
    <definedName name="solver_rel1" localSheetId="28" hidden="1">3</definedName>
    <definedName name="solver_rel1" localSheetId="20" hidden="1">1</definedName>
    <definedName name="solver_rel1" localSheetId="21" hidden="1">1</definedName>
    <definedName name="solver_rel1" localSheetId="22" hidden="1">1</definedName>
    <definedName name="solver_rel1" localSheetId="23" hidden="1">1</definedName>
    <definedName name="solver_rel1" localSheetId="3" hidden="1">2</definedName>
    <definedName name="solver_rel1" localSheetId="4" hidden="1">2</definedName>
    <definedName name="solver_rel1" localSheetId="29" hidden="1">1</definedName>
    <definedName name="solver_rel1" localSheetId="16" hidden="1">2</definedName>
    <definedName name="solver_rel1" localSheetId="17" hidden="1">2</definedName>
    <definedName name="solver_rel1" localSheetId="24" hidden="1">2</definedName>
    <definedName name="solver_rel2" localSheetId="25" hidden="1">3</definedName>
    <definedName name="solver_rel2" localSheetId="26" hidden="1">3</definedName>
    <definedName name="solver_rel2" localSheetId="27" hidden="1">3</definedName>
    <definedName name="solver_rel2" localSheetId="28" hidden="1">3</definedName>
    <definedName name="solver_rel2" localSheetId="20" hidden="1">1</definedName>
    <definedName name="solver_rel2" localSheetId="21" hidden="1">1</definedName>
    <definedName name="solver_rel2" localSheetId="22" hidden="1">1</definedName>
    <definedName name="solver_rel2" localSheetId="23" hidden="1">1</definedName>
    <definedName name="solver_rel2" localSheetId="16" hidden="1">1</definedName>
    <definedName name="solver_rel2" localSheetId="17" hidden="1">1</definedName>
    <definedName name="solver_rel2" localSheetId="24" hidden="1">2</definedName>
    <definedName name="solver_rel3" localSheetId="27" hidden="1">1</definedName>
    <definedName name="solver_rel3" localSheetId="28" hidden="1">1</definedName>
    <definedName name="solver_rel3" localSheetId="16" hidden="1">2</definedName>
    <definedName name="solver_rel3" localSheetId="24" hidden="1">2</definedName>
    <definedName name="solver_rel4" localSheetId="28" hidden="1">1</definedName>
    <definedName name="solver_rel5" localSheetId="28" hidden="1">1</definedName>
    <definedName name="solver_rhs1" localSheetId="25" hidden="1">'BMC v.1'!$N$6:$N$7</definedName>
    <definedName name="solver_rhs1" localSheetId="26" hidden="1">'BMC v.2'!$N$6:$N$7</definedName>
    <definedName name="solver_rhs1" localSheetId="27" hidden="1">'BMC v.3'!$N$6:$N$7</definedName>
    <definedName name="solver_rhs1" localSheetId="28" hidden="1">Demanda_2</definedName>
    <definedName name="solver_rhs1" localSheetId="20" hidden="1">'efluentes v.1'!$H$2:$H$5</definedName>
    <definedName name="solver_rhs1" localSheetId="21" hidden="1">1</definedName>
    <definedName name="solver_rhs1" localSheetId="22" hidden="1">1</definedName>
    <definedName name="solver_rhs1" localSheetId="23" hidden="1">1</definedName>
    <definedName name="solver_rhs1" localSheetId="3" hidden="1">'Plan2 (2)'!$D$7</definedName>
    <definedName name="solver_rhs1" localSheetId="4" hidden="1">'Plan3 (2)'!$E$9</definedName>
    <definedName name="solver_rhs1" localSheetId="29" hidden="1">Prod.Químicos!$G$2:$G$4</definedName>
    <definedName name="solver_rhs1" localSheetId="16" hidden="1">'tanque v.1'!$L$3</definedName>
    <definedName name="solver_rhs1" localSheetId="17" hidden="1">'tanque v.2'!$H$4</definedName>
    <definedName name="solver_rhs1" localSheetId="24" hidden="1">'transportes Ortega Co.'!$K$2</definedName>
    <definedName name="solver_rhs2" localSheetId="25" hidden="1">'BMC v.1'!$N$12:$N$16</definedName>
    <definedName name="solver_rhs2" localSheetId="26" hidden="1">'BMC v.2'!$N$12:$N$16</definedName>
    <definedName name="solver_rhs2" localSheetId="27" hidden="1">'BMC v.3'!$N$12:$N$16</definedName>
    <definedName name="solver_rhs2" localSheetId="28" hidden="1">Demanda_1</definedName>
    <definedName name="solver_rhs2" localSheetId="20" hidden="1">1</definedName>
    <definedName name="solver_rhs2" localSheetId="21" hidden="1">'efluentes v.2'!$I$9:$I$12</definedName>
    <definedName name="solver_rhs2" localSheetId="22" hidden="1">'efluentes v.3'!$I$2:$I$5</definedName>
    <definedName name="solver_rhs2" localSheetId="23" hidden="1">'efluentes v.4'!$I$2:$I$5</definedName>
    <definedName name="solver_rhs2" localSheetId="16" hidden="1">'tanque v.1'!$E$2:$E$3</definedName>
    <definedName name="solver_rhs2" localSheetId="17" hidden="1">'tanque v.2'!$H$5:$H$6</definedName>
    <definedName name="solver_rhs2" localSheetId="24" hidden="1">'transportes Ortega Co.'!$K$5:$K$9</definedName>
    <definedName name="solver_rhs3" localSheetId="27" hidden="1">'BMC v.3'!$P$11</definedName>
    <definedName name="solver_rhs3" localSheetId="28" hidden="1">Fluxo_Máximo</definedName>
    <definedName name="solver_rhs3" localSheetId="16" hidden="1">'tanque v.1'!#REF!</definedName>
    <definedName name="solver_rhs3" localSheetId="24" hidden="1">'transportes Ortega Co.'!$K$12</definedName>
    <definedName name="solver_rhs4" localSheetId="28" hidden="1">Capacidade_1</definedName>
    <definedName name="solver_rhs5" localSheetId="28" hidden="1">Capacidade_2</definedName>
    <definedName name="solver_rlx" localSheetId="28" hidden="1">1</definedName>
    <definedName name="solver_rsd" localSheetId="28" hidden="1">0</definedName>
    <definedName name="solver_scl" localSheetId="25" hidden="1">2</definedName>
    <definedName name="solver_scl" localSheetId="26" hidden="1">2</definedName>
    <definedName name="solver_scl" localSheetId="27" hidden="1">2</definedName>
    <definedName name="solver_scl" localSheetId="28" hidden="1">2</definedName>
    <definedName name="solver_scl" localSheetId="20" hidden="1">2</definedName>
    <definedName name="solver_scl" localSheetId="21" hidden="1">2</definedName>
    <definedName name="solver_scl" localSheetId="22" hidden="1">2</definedName>
    <definedName name="solver_scl" localSheetId="23" hidden="1">2</definedName>
    <definedName name="solver_scl" localSheetId="30" hidden="1">2</definedName>
    <definedName name="solver_scl" localSheetId="1" hidden="1">2</definedName>
    <definedName name="solver_scl" localSheetId="3" hidden="1">2</definedName>
    <definedName name="solver_scl" localSheetId="4" hidden="1">2</definedName>
    <definedName name="solver_scl" localSheetId="29" hidden="1">2</definedName>
    <definedName name="solver_scl" localSheetId="16" hidden="1">2</definedName>
    <definedName name="solver_scl" localSheetId="17" hidden="1">2</definedName>
    <definedName name="solver_scl" localSheetId="24" hidden="1">2</definedName>
    <definedName name="solver_sho" localSheetId="25" hidden="1">2</definedName>
    <definedName name="solver_sho" localSheetId="26" hidden="1">2</definedName>
    <definedName name="solver_sho" localSheetId="27" hidden="1">2</definedName>
    <definedName name="solver_sho" localSheetId="28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23" hidden="1">2</definedName>
    <definedName name="solver_sho" localSheetId="30" hidden="1">2</definedName>
    <definedName name="solver_sho" localSheetId="1" hidden="1">2</definedName>
    <definedName name="solver_sho" localSheetId="3" hidden="1">2</definedName>
    <definedName name="solver_sho" localSheetId="4" hidden="1">2</definedName>
    <definedName name="solver_sho" localSheetId="29" hidden="1">2</definedName>
    <definedName name="solver_sho" localSheetId="16" hidden="1">2</definedName>
    <definedName name="solver_sho" localSheetId="17" hidden="1">2</definedName>
    <definedName name="solver_sho" localSheetId="24" hidden="1">2</definedName>
    <definedName name="solver_ssz" localSheetId="28" hidden="1">100</definedName>
    <definedName name="solver_tim" localSheetId="25" hidden="1">100</definedName>
    <definedName name="solver_tim" localSheetId="26" hidden="1">100</definedName>
    <definedName name="solver_tim" localSheetId="27" hidden="1">100</definedName>
    <definedName name="solver_tim" localSheetId="28" hidden="1">100</definedName>
    <definedName name="solver_tim" localSheetId="20" hidden="1">100</definedName>
    <definedName name="solver_tim" localSheetId="21" hidden="1">100</definedName>
    <definedName name="solver_tim" localSheetId="22" hidden="1">100</definedName>
    <definedName name="solver_tim" localSheetId="23" hidden="1">100</definedName>
    <definedName name="solver_tim" localSheetId="30" hidden="1">100</definedName>
    <definedName name="solver_tim" localSheetId="1" hidden="1">100</definedName>
    <definedName name="solver_tim" localSheetId="3" hidden="1">100</definedName>
    <definedName name="solver_tim" localSheetId="4" hidden="1">100</definedName>
    <definedName name="solver_tim" localSheetId="29" hidden="1">100</definedName>
    <definedName name="solver_tim" localSheetId="16" hidden="1">100</definedName>
    <definedName name="solver_tim" localSheetId="17" hidden="1">100</definedName>
    <definedName name="solver_tim" localSheetId="24" hidden="1">100</definedName>
    <definedName name="solver_tol" localSheetId="25" hidden="1">0.05</definedName>
    <definedName name="solver_tol" localSheetId="26" hidden="1">0.05</definedName>
    <definedName name="solver_tol" localSheetId="27" hidden="1">0.05</definedName>
    <definedName name="solver_tol" localSheetId="28" hidden="1">0.05</definedName>
    <definedName name="solver_tol" localSheetId="20" hidden="1">0.05</definedName>
    <definedName name="solver_tol" localSheetId="21" hidden="1">0.05</definedName>
    <definedName name="solver_tol" localSheetId="22" hidden="1">0.05</definedName>
    <definedName name="solver_tol" localSheetId="23" hidden="1">0.05</definedName>
    <definedName name="solver_tol" localSheetId="30" hidden="1">0.05</definedName>
    <definedName name="solver_tol" localSheetId="1" hidden="1">0.05</definedName>
    <definedName name="solver_tol" localSheetId="3" hidden="1">0.05</definedName>
    <definedName name="solver_tol" localSheetId="4" hidden="1">0.05</definedName>
    <definedName name="solver_tol" localSheetId="29" hidden="1">0.05</definedName>
    <definedName name="solver_tol" localSheetId="16" hidden="1">0.05</definedName>
    <definedName name="solver_tol" localSheetId="17" hidden="1">0.05</definedName>
    <definedName name="solver_tol" localSheetId="24" hidden="1">0.05</definedName>
    <definedName name="solver_typ" localSheetId="25" hidden="1">2</definedName>
    <definedName name="solver_typ" localSheetId="26" hidden="1">2</definedName>
    <definedName name="solver_typ" localSheetId="27" hidden="1">2</definedName>
    <definedName name="solver_typ" localSheetId="28" hidden="1">2</definedName>
    <definedName name="solver_typ" localSheetId="20" hidden="1">2</definedName>
    <definedName name="solver_typ" localSheetId="21" hidden="1">2</definedName>
    <definedName name="solver_typ" localSheetId="22" hidden="1">2</definedName>
    <definedName name="solver_typ" localSheetId="23" hidden="1">2</definedName>
    <definedName name="solver_typ" localSheetId="30" hidden="1">2</definedName>
    <definedName name="solver_typ" localSheetId="1" hidden="1">1</definedName>
    <definedName name="solver_typ" localSheetId="3" hidden="1">2</definedName>
    <definedName name="solver_typ" localSheetId="4" hidden="1">1</definedName>
    <definedName name="solver_typ" localSheetId="29" hidden="1">1</definedName>
    <definedName name="solver_typ" localSheetId="16" hidden="1">2</definedName>
    <definedName name="solver_typ" localSheetId="17" hidden="1">2</definedName>
    <definedName name="solver_typ" localSheetId="24" hidden="1">2</definedName>
    <definedName name="solver_val" localSheetId="25" hidden="1">0</definedName>
    <definedName name="solver_val" localSheetId="26" hidden="1">0</definedName>
    <definedName name="solver_val" localSheetId="27" hidden="1">0</definedName>
    <definedName name="solver_val" localSheetId="28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23" hidden="1">0</definedName>
    <definedName name="solver_val" localSheetId="30" hidden="1">0</definedName>
    <definedName name="solver_val" localSheetId="1" hidden="1">0</definedName>
    <definedName name="solver_val" localSheetId="3" hidden="1">0</definedName>
    <definedName name="solver_val" localSheetId="4" hidden="1">0</definedName>
    <definedName name="solver_val" localSheetId="29" hidden="1">0</definedName>
    <definedName name="solver_val" localSheetId="16" hidden="1">0</definedName>
    <definedName name="solver_val" localSheetId="17" hidden="1">0</definedName>
    <definedName name="solver_val" localSheetId="24" hidden="1">0</definedName>
    <definedName name="solver_ver" localSheetId="28" hidden="1">3</definedName>
    <definedName name="Vol_Ext">'tanque v.2'!$B$9</definedName>
    <definedName name="Vol_Interno">'tanque v.2'!$F$4</definedName>
    <definedName name="Vol_pedido">'tanque v.2'!$B$1</definedName>
    <definedName name="Vol_Tampa">'tanque v.2'!$B$10</definedName>
    <definedName name="Vol_Total">'tanque v.2'!$B$11</definedName>
    <definedName name="Volume_da_Tampa">'tanque v.1'!$J$4</definedName>
    <definedName name="Volume_Externo">'tanque v.1'!$J$2</definedName>
    <definedName name="Volume_Interno">'tanque v.1'!$J$3</definedName>
    <definedName name="Volume_Total">'tanque v.1'!$J$5</definedName>
    <definedName name="x_1">'efluentes v.1'!$B$10</definedName>
    <definedName name="x_2">'efluentes v.1'!$B$11</definedName>
    <definedName name="x_3">'efluentes v.1'!$B$12</definedName>
    <definedName name="x_4">'efluentes v.1'!$B$13</definedName>
  </definedNames>
  <calcPr calcId="162913" iterate="1"/>
</workbook>
</file>

<file path=xl/calcChain.xml><?xml version="1.0" encoding="utf-8"?>
<calcChain xmlns="http://schemas.openxmlformats.org/spreadsheetml/2006/main">
  <c r="B6" i="35" l="1"/>
  <c r="A7" i="35"/>
  <c r="C5" i="34"/>
  <c r="F6" i="34" s="1"/>
  <c r="H7" i="34"/>
  <c r="B8" i="34"/>
  <c r="E8" i="34"/>
  <c r="H8" i="34"/>
  <c r="A9" i="34"/>
  <c r="B9" i="34"/>
  <c r="E9" i="34"/>
  <c r="H9" i="34"/>
  <c r="A10" i="34"/>
  <c r="E10" i="34"/>
  <c r="H10" i="34"/>
  <c r="E11" i="34"/>
  <c r="E12" i="34" s="1"/>
  <c r="H11" i="34"/>
  <c r="H12" i="34"/>
  <c r="E13" i="34"/>
  <c r="H13" i="34"/>
  <c r="E14" i="34"/>
  <c r="H14" i="34"/>
  <c r="E15" i="34"/>
  <c r="E16" i="34" s="1"/>
  <c r="E17" i="34" s="1"/>
  <c r="E18" i="34" s="1"/>
  <c r="E19" i="34" s="1"/>
  <c r="E20" i="34" s="1"/>
  <c r="E21" i="34" s="1"/>
  <c r="E22" i="34" s="1"/>
  <c r="H15" i="34"/>
  <c r="H16" i="34"/>
  <c r="H17" i="34"/>
  <c r="H18" i="34"/>
  <c r="H19" i="34"/>
  <c r="H20" i="34"/>
  <c r="H21" i="34"/>
  <c r="H22" i="34"/>
  <c r="E23" i="34"/>
  <c r="E24" i="34" s="1"/>
  <c r="E25" i="34" s="1"/>
  <c r="E26" i="34" s="1"/>
  <c r="H23" i="34"/>
  <c r="H24" i="34"/>
  <c r="H25" i="34"/>
  <c r="H26" i="34"/>
  <c r="C9" i="33"/>
  <c r="D9" i="33"/>
  <c r="E9" i="33"/>
  <c r="C10" i="33"/>
  <c r="D10" i="33"/>
  <c r="C11" i="33"/>
  <c r="D11" i="33"/>
  <c r="C12" i="33"/>
  <c r="D12" i="33"/>
  <c r="E12" i="33" s="1"/>
  <c r="C13" i="33"/>
  <c r="D13" i="33"/>
  <c r="E13" i="33"/>
  <c r="C14" i="33"/>
  <c r="D14" i="33"/>
  <c r="C15" i="33"/>
  <c r="D15" i="33"/>
  <c r="C16" i="33"/>
  <c r="D16" i="33"/>
  <c r="E16" i="33" s="1"/>
  <c r="C17" i="33"/>
  <c r="D17" i="33"/>
  <c r="E17" i="33"/>
  <c r="C18" i="33"/>
  <c r="D18" i="33"/>
  <c r="C19" i="33"/>
  <c r="D19" i="33"/>
  <c r="C20" i="33"/>
  <c r="D20" i="33"/>
  <c r="C21" i="33"/>
  <c r="D21" i="33"/>
  <c r="E21" i="33"/>
  <c r="C22" i="33"/>
  <c r="D22" i="33"/>
  <c r="C23" i="33"/>
  <c r="D23" i="33"/>
  <c r="E23" i="33" s="1"/>
  <c r="C24" i="33"/>
  <c r="D24" i="33"/>
  <c r="E24" i="33"/>
  <c r="C25" i="33"/>
  <c r="D25" i="33"/>
  <c r="C26" i="33"/>
  <c r="E25" i="33" s="1"/>
  <c r="D26" i="33"/>
  <c r="C27" i="33"/>
  <c r="D27" i="33"/>
  <c r="C28" i="33"/>
  <c r="D28" i="33"/>
  <c r="C29" i="33"/>
  <c r="D29" i="33"/>
  <c r="C30" i="33"/>
  <c r="D30" i="33"/>
  <c r="C31" i="33"/>
  <c r="E31" i="33" s="1"/>
  <c r="D31" i="33"/>
  <c r="C32" i="33"/>
  <c r="D32" i="33"/>
  <c r="C33" i="33"/>
  <c r="D33" i="33"/>
  <c r="E32" i="33" s="1"/>
  <c r="C34" i="33"/>
  <c r="D34" i="33"/>
  <c r="C35" i="33"/>
  <c r="D35" i="33"/>
  <c r="C36" i="33"/>
  <c r="D36" i="33"/>
  <c r="E36" i="33"/>
  <c r="C37" i="33"/>
  <c r="D37" i="33"/>
  <c r="C38" i="33"/>
  <c r="D38" i="33"/>
  <c r="E38" i="33"/>
  <c r="C39" i="33"/>
  <c r="D39" i="33"/>
  <c r="C40" i="33"/>
  <c r="D40" i="33"/>
  <c r="C41" i="33"/>
  <c r="D41" i="33"/>
  <c r="C42" i="33"/>
  <c r="D42" i="33"/>
  <c r="C43" i="33"/>
  <c r="D43" i="33"/>
  <c r="C44" i="33"/>
  <c r="D44" i="33"/>
  <c r="E44" i="33"/>
  <c r="C45" i="33"/>
  <c r="D45" i="33"/>
  <c r="C46" i="33"/>
  <c r="D46" i="33"/>
  <c r="E46" i="33"/>
  <c r="C47" i="33"/>
  <c r="D47" i="33"/>
  <c r="C48" i="33"/>
  <c r="D48" i="33"/>
  <c r="C49" i="33"/>
  <c r="D49" i="33"/>
  <c r="C50" i="33"/>
  <c r="D50" i="33"/>
  <c r="C51" i="33"/>
  <c r="D51" i="33"/>
  <c r="C52" i="33"/>
  <c r="D52" i="33"/>
  <c r="E52" i="33"/>
  <c r="C53" i="33"/>
  <c r="D53" i="33"/>
  <c r="C54" i="33"/>
  <c r="D54" i="33"/>
  <c r="E54" i="33"/>
  <c r="C55" i="33"/>
  <c r="D55" i="33"/>
  <c r="C56" i="33"/>
  <c r="D56" i="33"/>
  <c r="C57" i="33"/>
  <c r="D57" i="33"/>
  <c r="C58" i="33"/>
  <c r="D58" i="33"/>
  <c r="C59" i="33"/>
  <c r="D59" i="33"/>
  <c r="C60" i="33"/>
  <c r="D60" i="33"/>
  <c r="E60" i="33"/>
  <c r="C61" i="33"/>
  <c r="D61" i="33"/>
  <c r="C62" i="33"/>
  <c r="D62" i="33"/>
  <c r="E62" i="33"/>
  <c r="C63" i="33"/>
  <c r="D63" i="33"/>
  <c r="C64" i="33"/>
  <c r="D64" i="33"/>
  <c r="C65" i="33"/>
  <c r="D65" i="33"/>
  <c r="C66" i="33"/>
  <c r="D66" i="33"/>
  <c r="C67" i="33"/>
  <c r="D67" i="33"/>
  <c r="C68" i="33"/>
  <c r="D68" i="33"/>
  <c r="E68" i="33"/>
  <c r="C69" i="33"/>
  <c r="D69" i="33"/>
  <c r="C70" i="33"/>
  <c r="D70" i="33"/>
  <c r="E70" i="33"/>
  <c r="C71" i="33"/>
  <c r="D71" i="33"/>
  <c r="C72" i="33"/>
  <c r="D72" i="33"/>
  <c r="C73" i="33"/>
  <c r="D73" i="33"/>
  <c r="C74" i="33"/>
  <c r="D74" i="33"/>
  <c r="C75" i="33"/>
  <c r="D75" i="33"/>
  <c r="C76" i="33"/>
  <c r="D76" i="33"/>
  <c r="E76" i="33"/>
  <c r="C77" i="33"/>
  <c r="D77" i="33"/>
  <c r="C78" i="33"/>
  <c r="D78" i="33"/>
  <c r="E78" i="33"/>
  <c r="C79" i="33"/>
  <c r="D79" i="33"/>
  <c r="C80" i="33"/>
  <c r="D80" i="33"/>
  <c r="C81" i="33"/>
  <c r="D81" i="33"/>
  <c r="C82" i="33"/>
  <c r="D82" i="33"/>
  <c r="C83" i="33"/>
  <c r="D83" i="33"/>
  <c r="C84" i="33"/>
  <c r="D84" i="33"/>
  <c r="E84" i="33"/>
  <c r="C85" i="33"/>
  <c r="D85" i="33"/>
  <c r="C86" i="33"/>
  <c r="D86" i="33"/>
  <c r="E86" i="33"/>
  <c r="C87" i="33"/>
  <c r="D87" i="33"/>
  <c r="C88" i="33"/>
  <c r="D88" i="33"/>
  <c r="C89" i="33"/>
  <c r="D89" i="33"/>
  <c r="C90" i="33"/>
  <c r="D90" i="33"/>
  <c r="C91" i="33"/>
  <c r="D91" i="33"/>
  <c r="C92" i="33"/>
  <c r="D92" i="33"/>
  <c r="E92" i="33"/>
  <c r="C93" i="33"/>
  <c r="D93" i="33"/>
  <c r="C94" i="33"/>
  <c r="D94" i="33"/>
  <c r="E94" i="33"/>
  <c r="C95" i="33"/>
  <c r="D95" i="33"/>
  <c r="C96" i="33"/>
  <c r="D96" i="33"/>
  <c r="C97" i="33"/>
  <c r="D97" i="33"/>
  <c r="C98" i="33"/>
  <c r="D98" i="33"/>
  <c r="C99" i="33"/>
  <c r="D99" i="33"/>
  <c r="C100" i="33"/>
  <c r="D100" i="33"/>
  <c r="E100" i="33"/>
  <c r="C101" i="33"/>
  <c r="D101" i="33"/>
  <c r="C102" i="33"/>
  <c r="D102" i="33"/>
  <c r="E102" i="33"/>
  <c r="C103" i="33"/>
  <c r="D103" i="33"/>
  <c r="C104" i="33"/>
  <c r="D104" i="33"/>
  <c r="C105" i="33"/>
  <c r="D105" i="33"/>
  <c r="C106" i="33"/>
  <c r="D106" i="33"/>
  <c r="C107" i="33"/>
  <c r="D107" i="33"/>
  <c r="C108" i="33"/>
  <c r="D108" i="33"/>
  <c r="E108" i="33"/>
  <c r="C109" i="33"/>
  <c r="D109" i="33"/>
  <c r="C110" i="33"/>
  <c r="D110" i="33"/>
  <c r="E110" i="33"/>
  <c r="C111" i="33"/>
  <c r="D111" i="33"/>
  <c r="C112" i="33"/>
  <c r="D112" i="33"/>
  <c r="C113" i="33"/>
  <c r="D113" i="33"/>
  <c r="C114" i="33"/>
  <c r="D114" i="33"/>
  <c r="C115" i="33"/>
  <c r="D115" i="33"/>
  <c r="C116" i="33"/>
  <c r="D116" i="33"/>
  <c r="E116" i="33"/>
  <c r="C117" i="33"/>
  <c r="D117" i="33"/>
  <c r="C118" i="33"/>
  <c r="D118" i="33"/>
  <c r="E118" i="33"/>
  <c r="C119" i="33"/>
  <c r="D119" i="33"/>
  <c r="C120" i="33"/>
  <c r="D120" i="33"/>
  <c r="C121" i="33"/>
  <c r="D121" i="33"/>
  <c r="C122" i="33"/>
  <c r="D122" i="33"/>
  <c r="C123" i="33"/>
  <c r="D123" i="33"/>
  <c r="C124" i="33"/>
  <c r="D124" i="33"/>
  <c r="E124" i="33"/>
  <c r="C125" i="33"/>
  <c r="D125" i="33"/>
  <c r="C126" i="33"/>
  <c r="D126" i="33"/>
  <c r="E126" i="33"/>
  <c r="C127" i="33"/>
  <c r="D127" i="33"/>
  <c r="C128" i="33"/>
  <c r="D128" i="33"/>
  <c r="C129" i="33"/>
  <c r="D129" i="33"/>
  <c r="C130" i="33"/>
  <c r="D130" i="33"/>
  <c r="C131" i="33"/>
  <c r="D131" i="33"/>
  <c r="C132" i="33"/>
  <c r="D132" i="33"/>
  <c r="E132" i="33"/>
  <c r="C133" i="33"/>
  <c r="D133" i="33"/>
  <c r="C134" i="33"/>
  <c r="D134" i="33"/>
  <c r="E134" i="33"/>
  <c r="C135" i="33"/>
  <c r="D135" i="33"/>
  <c r="C136" i="33"/>
  <c r="D136" i="33"/>
  <c r="C137" i="33"/>
  <c r="D137" i="33"/>
  <c r="C138" i="33"/>
  <c r="D138" i="33"/>
  <c r="C139" i="33"/>
  <c r="D139" i="33"/>
  <c r="C140" i="33"/>
  <c r="D140" i="33"/>
  <c r="E140" i="33"/>
  <c r="C141" i="33"/>
  <c r="D141" i="33"/>
  <c r="C142" i="33"/>
  <c r="D142" i="33"/>
  <c r="E142" i="33"/>
  <c r="C143" i="33"/>
  <c r="D143" i="33"/>
  <c r="C144" i="33"/>
  <c r="D144" i="33"/>
  <c r="C145" i="33"/>
  <c r="D145" i="33"/>
  <c r="C146" i="33"/>
  <c r="D146" i="33"/>
  <c r="C147" i="33"/>
  <c r="D147" i="33"/>
  <c r="C148" i="33"/>
  <c r="D148" i="33"/>
  <c r="E148" i="33"/>
  <c r="C149" i="33"/>
  <c r="D149" i="33"/>
  <c r="E149" i="33" s="1"/>
  <c r="B11" i="31"/>
  <c r="C10" i="29"/>
  <c r="F10" i="29" s="1"/>
  <c r="D10" i="29"/>
  <c r="H10" i="29" s="1"/>
  <c r="E10" i="29"/>
  <c r="G10" i="29" s="1"/>
  <c r="B11" i="29"/>
  <c r="F11" i="29" s="1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E11" i="28"/>
  <c r="E11" i="29" l="1"/>
  <c r="G11" i="29" s="1"/>
  <c r="B12" i="29"/>
  <c r="D11" i="29"/>
  <c r="A8" i="35"/>
  <c r="B7" i="35"/>
  <c r="E137" i="33"/>
  <c r="E138" i="33"/>
  <c r="E135" i="33"/>
  <c r="E136" i="33"/>
  <c r="E121" i="33"/>
  <c r="E122" i="33"/>
  <c r="E119" i="33"/>
  <c r="E120" i="33"/>
  <c r="E105" i="33"/>
  <c r="E106" i="33"/>
  <c r="E103" i="33"/>
  <c r="E104" i="33"/>
  <c r="E89" i="33"/>
  <c r="E90" i="33"/>
  <c r="E87" i="33"/>
  <c r="E88" i="33"/>
  <c r="E73" i="33"/>
  <c r="E74" i="33"/>
  <c r="E71" i="33"/>
  <c r="E72" i="33"/>
  <c r="E57" i="33"/>
  <c r="E58" i="33"/>
  <c r="E55" i="33"/>
  <c r="E56" i="33"/>
  <c r="E41" i="33"/>
  <c r="E42" i="33"/>
  <c r="E39" i="33"/>
  <c r="E40" i="33"/>
  <c r="E28" i="33"/>
  <c r="E29" i="33"/>
  <c r="E26" i="33"/>
  <c r="E27" i="33"/>
  <c r="E145" i="33"/>
  <c r="E146" i="33"/>
  <c r="E143" i="33"/>
  <c r="E144" i="33"/>
  <c r="E129" i="33"/>
  <c r="E130" i="33"/>
  <c r="E127" i="33"/>
  <c r="E128" i="33"/>
  <c r="E113" i="33"/>
  <c r="E114" i="33"/>
  <c r="E111" i="33"/>
  <c r="E112" i="33"/>
  <c r="E97" i="33"/>
  <c r="E98" i="33"/>
  <c r="E95" i="33"/>
  <c r="E96" i="33"/>
  <c r="E81" i="33"/>
  <c r="E82" i="33"/>
  <c r="E79" i="33"/>
  <c r="E80" i="33"/>
  <c r="E65" i="33"/>
  <c r="E66" i="33"/>
  <c r="E63" i="33"/>
  <c r="E64" i="33"/>
  <c r="E49" i="33"/>
  <c r="E50" i="33"/>
  <c r="E47" i="33"/>
  <c r="E48" i="33"/>
  <c r="E33" i="33"/>
  <c r="E34" i="33"/>
  <c r="B12" i="31"/>
  <c r="E147" i="33"/>
  <c r="E139" i="33"/>
  <c r="E131" i="33"/>
  <c r="E123" i="33"/>
  <c r="E115" i="33"/>
  <c r="E107" i="33"/>
  <c r="E99" i="33"/>
  <c r="E91" i="33"/>
  <c r="E83" i="33"/>
  <c r="E75" i="33"/>
  <c r="E67" i="33"/>
  <c r="E59" i="33"/>
  <c r="E51" i="33"/>
  <c r="E43" i="33"/>
  <c r="E35" i="33"/>
  <c r="E20" i="33"/>
  <c r="E141" i="33"/>
  <c r="E133" i="33"/>
  <c r="E125" i="33"/>
  <c r="E117" i="33"/>
  <c r="E109" i="33"/>
  <c r="E101" i="33"/>
  <c r="E93" i="33"/>
  <c r="E85" i="33"/>
  <c r="E77" i="33"/>
  <c r="E69" i="33"/>
  <c r="E61" i="33"/>
  <c r="E53" i="33"/>
  <c r="E45" i="33"/>
  <c r="E37" i="33"/>
  <c r="E22" i="33"/>
  <c r="E14" i="33"/>
  <c r="E15" i="33"/>
  <c r="B10" i="34"/>
  <c r="C9" i="34" s="1"/>
  <c r="A11" i="34"/>
  <c r="E30" i="33"/>
  <c r="E18" i="33"/>
  <c r="E19" i="33"/>
  <c r="E10" i="33"/>
  <c r="E11" i="33"/>
  <c r="B12" i="27"/>
  <c r="B11" i="27" s="1"/>
  <c r="C11" i="27"/>
  <c r="C12" i="27"/>
  <c r="F12" i="29" l="1"/>
  <c r="I11" i="29"/>
  <c r="E12" i="29"/>
  <c r="G12" i="29" s="1"/>
  <c r="B13" i="29"/>
  <c r="D12" i="29"/>
  <c r="H11" i="29"/>
  <c r="B11" i="34"/>
  <c r="C10" i="34" s="1"/>
  <c r="A12" i="34"/>
  <c r="B13" i="31"/>
  <c r="A9" i="35"/>
  <c r="B8" i="35"/>
  <c r="C7" i="35" s="1"/>
  <c r="B13" i="27"/>
  <c r="C13" i="27"/>
  <c r="D12" i="27" l="1"/>
  <c r="E12" i="27"/>
  <c r="A13" i="34"/>
  <c r="B12" i="34"/>
  <c r="C11" i="34" s="1"/>
  <c r="F13" i="29"/>
  <c r="I12" i="29"/>
  <c r="B14" i="29"/>
  <c r="E13" i="29"/>
  <c r="G13" i="29" s="1"/>
  <c r="D13" i="29"/>
  <c r="B14" i="31"/>
  <c r="B9" i="35"/>
  <c r="C8" i="35" s="1"/>
  <c r="A10" i="35"/>
  <c r="H12" i="29"/>
  <c r="B11" i="26"/>
  <c r="C11" i="26"/>
  <c r="D11" i="26"/>
  <c r="E11" i="26"/>
  <c r="D14" i="29" l="1"/>
  <c r="I13" i="29"/>
  <c r="F14" i="29"/>
  <c r="E14" i="29"/>
  <c r="G14" i="29" s="1"/>
  <c r="B15" i="29"/>
  <c r="B10" i="35"/>
  <c r="C9" i="35" s="1"/>
  <c r="A11" i="35"/>
  <c r="B15" i="31"/>
  <c r="A14" i="34"/>
  <c r="B13" i="34"/>
  <c r="C12" i="34" s="1"/>
  <c r="H13" i="29"/>
  <c r="F12" i="27"/>
  <c r="F11" i="26"/>
  <c r="B3" i="25"/>
  <c r="C9" i="25"/>
  <c r="E3" i="24"/>
  <c r="B7" i="24"/>
  <c r="C4" i="22"/>
  <c r="C4" i="21"/>
  <c r="B7" i="21"/>
  <c r="C7" i="21"/>
  <c r="B10" i="21"/>
  <c r="C10" i="21"/>
  <c r="E4" i="21" s="1"/>
  <c r="A12" i="35" l="1"/>
  <c r="B11" i="35"/>
  <c r="C10" i="35" s="1"/>
  <c r="B16" i="31"/>
  <c r="A15" i="34"/>
  <c r="B14" i="34"/>
  <c r="C13" i="34" s="1"/>
  <c r="I14" i="29"/>
  <c r="E15" i="29"/>
  <c r="G15" i="29" s="1"/>
  <c r="B16" i="29"/>
  <c r="D15" i="29"/>
  <c r="H15" i="29" s="1"/>
  <c r="F15" i="29"/>
  <c r="H14" i="29"/>
  <c r="I3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E2" i="19"/>
  <c r="E3" i="19"/>
  <c r="E4" i="19"/>
  <c r="E5" i="19"/>
  <c r="D6" i="18"/>
  <c r="J6" i="18"/>
  <c r="N6" i="18" a="1"/>
  <c r="N6" i="18" s="1"/>
  <c r="P6" i="18"/>
  <c r="R6" i="18" a="1"/>
  <c r="R6" i="18"/>
  <c r="T6" i="18"/>
  <c r="D7" i="18"/>
  <c r="J7" i="18"/>
  <c r="N7" i="18" a="1"/>
  <c r="N7" i="18" s="1"/>
  <c r="P7" i="18"/>
  <c r="R7" i="18" a="1"/>
  <c r="R7" i="18"/>
  <c r="T7" i="18"/>
  <c r="D8" i="18"/>
  <c r="J8" i="18"/>
  <c r="P8" i="18"/>
  <c r="T8" i="18"/>
  <c r="D9" i="18"/>
  <c r="J9" i="18"/>
  <c r="D10" i="18"/>
  <c r="J10" i="18"/>
  <c r="D11" i="18"/>
  <c r="J11" i="18"/>
  <c r="D12" i="18"/>
  <c r="J12" i="18"/>
  <c r="N12" i="18" a="1"/>
  <c r="N12" i="18"/>
  <c r="R12" i="18" a="1"/>
  <c r="R12" i="18" s="1"/>
  <c r="D13" i="18"/>
  <c r="J13" i="18"/>
  <c r="N13" i="18" a="1"/>
  <c r="N13" i="18" s="1"/>
  <c r="R13" i="18" a="1"/>
  <c r="R13" i="18"/>
  <c r="D14" i="18"/>
  <c r="J14" i="18"/>
  <c r="N14" i="18" a="1"/>
  <c r="N14" i="18"/>
  <c r="R14" i="18" a="1"/>
  <c r="R14" i="18" s="1"/>
  <c r="D15" i="18"/>
  <c r="J15" i="18"/>
  <c r="N15" i="18" a="1"/>
  <c r="N15" i="18" s="1"/>
  <c r="R15" i="18" a="1"/>
  <c r="R15" i="18"/>
  <c r="D16" i="18"/>
  <c r="J16" i="18"/>
  <c r="N16" i="18" a="1"/>
  <c r="N16" i="18"/>
  <c r="R16" i="18" a="1"/>
  <c r="R16" i="18" s="1"/>
  <c r="P17" i="18"/>
  <c r="T17" i="18"/>
  <c r="I18" i="18"/>
  <c r="H6" i="17"/>
  <c r="L6" i="17" a="1"/>
  <c r="L6" i="17"/>
  <c r="N6" i="17"/>
  <c r="H7" i="17"/>
  <c r="L7" i="17" a="1"/>
  <c r="L7" i="17"/>
  <c r="N7" i="17"/>
  <c r="H8" i="17"/>
  <c r="N8" i="17"/>
  <c r="H9" i="17"/>
  <c r="H10" i="17"/>
  <c r="H11" i="17"/>
  <c r="H12" i="17"/>
  <c r="L12" i="17" a="1"/>
  <c r="L12" i="17" s="1"/>
  <c r="H13" i="17"/>
  <c r="L13" i="17" a="1"/>
  <c r="L13" i="17"/>
  <c r="H14" i="17"/>
  <c r="L14" i="17" a="1"/>
  <c r="L14" i="17"/>
  <c r="H15" i="17"/>
  <c r="L15" i="17" a="1"/>
  <c r="L15" i="17"/>
  <c r="H16" i="17"/>
  <c r="L16" i="17" a="1"/>
  <c r="L16" i="17" s="1"/>
  <c r="N17" i="17"/>
  <c r="G18" i="17"/>
  <c r="L6" i="16" a="1"/>
  <c r="L6" i="16"/>
  <c r="N6" i="16"/>
  <c r="L7" i="16" a="1"/>
  <c r="L7" i="16" s="1"/>
  <c r="N7" i="16"/>
  <c r="N8" i="16"/>
  <c r="L12" i="16" a="1"/>
  <c r="L12" i="16" s="1"/>
  <c r="L13" i="16" a="1"/>
  <c r="L13" i="16"/>
  <c r="L14" i="16" a="1"/>
  <c r="L14" i="16" s="1"/>
  <c r="L15" i="16" a="1"/>
  <c r="L15" i="16"/>
  <c r="L16" i="16" a="1"/>
  <c r="L16" i="16" s="1"/>
  <c r="N17" i="16"/>
  <c r="H18" i="16"/>
  <c r="L6" i="15" a="1"/>
  <c r="L6" i="15" s="1"/>
  <c r="L7" i="15" a="1"/>
  <c r="L7" i="15"/>
  <c r="L12" i="15" a="1"/>
  <c r="L12" i="15" s="1"/>
  <c r="L13" i="15" a="1"/>
  <c r="L13" i="15"/>
  <c r="L14" i="15" a="1"/>
  <c r="L14" i="15" s="1"/>
  <c r="L15" i="15" a="1"/>
  <c r="L15" i="15"/>
  <c r="L16" i="15" a="1"/>
  <c r="L16" i="15" s="1"/>
  <c r="H18" i="15"/>
  <c r="I2" i="14" a="1"/>
  <c r="I2" i="14" s="1"/>
  <c r="I5" i="14" a="1"/>
  <c r="I5" i="14" s="1"/>
  <c r="I6" i="14" a="1"/>
  <c r="I6" i="14" s="1"/>
  <c r="I7" i="14" a="1"/>
  <c r="I7" i="14" s="1"/>
  <c r="I8" i="14" a="1"/>
  <c r="I8" i="14" s="1"/>
  <c r="I9" i="14" a="1"/>
  <c r="I9" i="14" s="1"/>
  <c r="I12" i="14" a="1"/>
  <c r="I12" i="14" s="1"/>
  <c r="F23" i="14"/>
  <c r="G2" i="13"/>
  <c r="G4" i="13" s="1"/>
  <c r="G5" i="13" s="1"/>
  <c r="G3" i="13"/>
  <c r="C8" i="13"/>
  <c r="C9" i="13"/>
  <c r="C10" i="13"/>
  <c r="C11" i="13"/>
  <c r="C12" i="13"/>
  <c r="G2" i="12"/>
  <c r="G3" i="12"/>
  <c r="G4" i="12"/>
  <c r="G5" i="12"/>
  <c r="C8" i="12"/>
  <c r="C9" i="12"/>
  <c r="C10" i="12"/>
  <c r="C12" i="12" s="1"/>
  <c r="C11" i="12"/>
  <c r="C9" i="11"/>
  <c r="F9" i="11"/>
  <c r="G9" i="11"/>
  <c r="G11" i="11" s="1"/>
  <c r="G12" i="11" s="1"/>
  <c r="C10" i="11"/>
  <c r="F10" i="11"/>
  <c r="G10" i="11"/>
  <c r="C11" i="11"/>
  <c r="C14" i="11" s="1"/>
  <c r="F11" i="11"/>
  <c r="C12" i="11"/>
  <c r="F12" i="11"/>
  <c r="C10" i="10"/>
  <c r="H10" i="10"/>
  <c r="C11" i="10"/>
  <c r="H11" i="10"/>
  <c r="C12" i="10"/>
  <c r="C13" i="10"/>
  <c r="C15" i="10"/>
  <c r="C9" i="9"/>
  <c r="D9" i="9"/>
  <c r="E9" i="9"/>
  <c r="F9" i="9"/>
  <c r="G9" i="9"/>
  <c r="F16" i="29" l="1"/>
  <c r="I15" i="29"/>
  <c r="E16" i="29"/>
  <c r="G16" i="29" s="1"/>
  <c r="B17" i="29"/>
  <c r="D16" i="29"/>
  <c r="H16" i="29" s="1"/>
  <c r="B15" i="34"/>
  <c r="C14" i="34" s="1"/>
  <c r="A16" i="34"/>
  <c r="B17" i="31"/>
  <c r="A13" i="35"/>
  <c r="B12" i="35"/>
  <c r="C11" i="35" s="1"/>
  <c r="H12" i="10"/>
  <c r="H13" i="10" s="1"/>
  <c r="H17" i="17"/>
  <c r="J17" i="18"/>
  <c r="K9" i="9"/>
  <c r="M9" i="9" s="1"/>
  <c r="K4" i="8"/>
  <c r="C9" i="8"/>
  <c r="D9" i="8"/>
  <c r="J9" i="9"/>
  <c r="E9" i="8"/>
  <c r="F9" i="8"/>
  <c r="G9" i="8"/>
  <c r="B13" i="35" l="1"/>
  <c r="C12" i="35" s="1"/>
  <c r="A14" i="35"/>
  <c r="F17" i="29"/>
  <c r="I16" i="29"/>
  <c r="B18" i="29"/>
  <c r="E17" i="29"/>
  <c r="G17" i="29" s="1"/>
  <c r="D17" i="29"/>
  <c r="B18" i="31"/>
  <c r="B16" i="34"/>
  <c r="C15" i="34" s="1"/>
  <c r="A17" i="34"/>
  <c r="N9" i="9"/>
  <c r="H9" i="8"/>
  <c r="J9" i="8"/>
  <c r="F12" i="8"/>
  <c r="G12" i="8"/>
  <c r="B14" i="35" l="1"/>
  <c r="C13" i="35" s="1"/>
  <c r="A15" i="35"/>
  <c r="H17" i="29"/>
  <c r="A18" i="34"/>
  <c r="B17" i="34"/>
  <c r="C16" i="34" s="1"/>
  <c r="B19" i="31"/>
  <c r="D18" i="29"/>
  <c r="H18" i="29" s="1"/>
  <c r="I17" i="29"/>
  <c r="F18" i="29"/>
  <c r="E18" i="29"/>
  <c r="G18" i="29" s="1"/>
  <c r="B19" i="29"/>
  <c r="K9" i="8"/>
  <c r="O9" i="8" s="1"/>
  <c r="H12" i="8"/>
  <c r="L9" i="8" s="1"/>
  <c r="J12" i="8"/>
  <c r="K12" i="8" s="1"/>
  <c r="M9" i="8"/>
  <c r="I18" i="29" l="1"/>
  <c r="E19" i="29"/>
  <c r="G19" i="29" s="1"/>
  <c r="B20" i="29"/>
  <c r="D19" i="29"/>
  <c r="H19" i="29" s="1"/>
  <c r="F19" i="29"/>
  <c r="A16" i="35"/>
  <c r="B15" i="35"/>
  <c r="C14" i="35" s="1"/>
  <c r="B20" i="31"/>
  <c r="A19" i="34"/>
  <c r="B18" i="34"/>
  <c r="C17" i="34" s="1"/>
  <c r="P9" i="8"/>
  <c r="L12" i="8"/>
  <c r="J15" i="8"/>
  <c r="K15" i="8" s="1"/>
  <c r="M12" i="8"/>
  <c r="B19" i="34" l="1"/>
  <c r="C18" i="34" s="1"/>
  <c r="A20" i="34"/>
  <c r="B21" i="31"/>
  <c r="F20" i="29"/>
  <c r="B21" i="29"/>
  <c r="E20" i="29"/>
  <c r="G20" i="29" s="1"/>
  <c r="D20" i="29"/>
  <c r="H20" i="29" s="1"/>
  <c r="I19" i="29"/>
  <c r="A17" i="35"/>
  <c r="B16" i="35"/>
  <c r="C15" i="35" s="1"/>
  <c r="L15" i="8"/>
  <c r="F4" i="7"/>
  <c r="H4" i="7"/>
  <c r="F5" i="7"/>
  <c r="H5" i="7"/>
  <c r="F6" i="7"/>
  <c r="H6" i="7"/>
  <c r="B9" i="7"/>
  <c r="E9" i="7"/>
  <c r="B10" i="7"/>
  <c r="E10" i="7"/>
  <c r="E3" i="5"/>
  <c r="E2" i="5"/>
  <c r="J8" i="5"/>
  <c r="J7" i="5"/>
  <c r="J4" i="5"/>
  <c r="J3" i="5"/>
  <c r="J2" i="5"/>
  <c r="M15" i="8"/>
  <c r="B17" i="35" l="1"/>
  <c r="C16" i="35" s="1"/>
  <c r="A18" i="35"/>
  <c r="F21" i="29"/>
  <c r="B22" i="29"/>
  <c r="E21" i="29"/>
  <c r="G21" i="29" s="1"/>
  <c r="D21" i="29"/>
  <c r="H21" i="29" s="1"/>
  <c r="I20" i="29"/>
  <c r="B20" i="34"/>
  <c r="C19" i="34" s="1"/>
  <c r="A21" i="34"/>
  <c r="B22" i="31"/>
  <c r="E11" i="7"/>
  <c r="E12" i="7" s="1"/>
  <c r="M18" i="8"/>
  <c r="O18" i="8"/>
  <c r="J13" i="5"/>
  <c r="J16" i="5" s="1"/>
  <c r="B11" i="7"/>
  <c r="B12" i="7" s="1"/>
  <c r="B13" i="7" s="1"/>
  <c r="E14" i="7" s="1"/>
  <c r="J5" i="5"/>
  <c r="J12" i="5" s="1"/>
  <c r="J15" i="5" s="1"/>
  <c r="F22" i="29" l="1"/>
  <c r="B23" i="29"/>
  <c r="E22" i="29"/>
  <c r="G22" i="29" s="1"/>
  <c r="D22" i="29"/>
  <c r="I21" i="29"/>
  <c r="B23" i="31"/>
  <c r="B18" i="35"/>
  <c r="C17" i="35" s="1"/>
  <c r="A19" i="35"/>
  <c r="A22" i="34"/>
  <c r="B21" i="34"/>
  <c r="C20" i="34" s="1"/>
  <c r="O21" i="8"/>
  <c r="J17" i="5"/>
  <c r="F23" i="29" l="1"/>
  <c r="B24" i="29"/>
  <c r="E23" i="29"/>
  <c r="D23" i="29"/>
  <c r="I22" i="29"/>
  <c r="A23" i="34"/>
  <c r="B22" i="34"/>
  <c r="C21" i="34" s="1"/>
  <c r="B24" i="31"/>
  <c r="H22" i="29"/>
  <c r="A20" i="35"/>
  <c r="B19" i="35"/>
  <c r="C18" i="35" s="1"/>
  <c r="G23" i="29" l="1"/>
  <c r="H23" i="29"/>
  <c r="B25" i="31"/>
  <c r="B23" i="34"/>
  <c r="C22" i="34" s="1"/>
  <c r="A24" i="34"/>
  <c r="F24" i="29"/>
  <c r="B25" i="29"/>
  <c r="E24" i="29"/>
  <c r="G24" i="29" s="1"/>
  <c r="D24" i="29"/>
  <c r="H24" i="29" s="1"/>
  <c r="I23" i="29"/>
  <c r="A21" i="35"/>
  <c r="B20" i="35"/>
  <c r="C19" i="35" s="1"/>
  <c r="B24" i="34" l="1"/>
  <c r="C23" i="34" s="1"/>
  <c r="A25" i="34"/>
  <c r="B21" i="35"/>
  <c r="C20" i="35" s="1"/>
  <c r="A22" i="35"/>
  <c r="F25" i="29"/>
  <c r="B26" i="29"/>
  <c r="E25" i="29"/>
  <c r="G25" i="29" s="1"/>
  <c r="D25" i="29"/>
  <c r="H25" i="29" s="1"/>
  <c r="I24" i="29"/>
  <c r="B26" i="31"/>
  <c r="B22" i="35" l="1"/>
  <c r="C21" i="35" s="1"/>
  <c r="A23" i="35"/>
  <c r="B27" i="31"/>
  <c r="F26" i="29"/>
  <c r="B27" i="29"/>
  <c r="E26" i="29"/>
  <c r="G26" i="29" s="1"/>
  <c r="D26" i="29"/>
  <c r="I25" i="29"/>
  <c r="A26" i="34"/>
  <c r="B25" i="34"/>
  <c r="C24" i="34" s="1"/>
  <c r="A27" i="34" l="1"/>
  <c r="B26" i="34"/>
  <c r="C25" i="34" s="1"/>
  <c r="F27" i="29"/>
  <c r="B28" i="29"/>
  <c r="E27" i="29"/>
  <c r="D27" i="29"/>
  <c r="I26" i="29"/>
  <c r="H26" i="29"/>
  <c r="B28" i="31"/>
  <c r="A24" i="35"/>
  <c r="B23" i="35"/>
  <c r="C22" i="35" s="1"/>
  <c r="F28" i="29" l="1"/>
  <c r="B29" i="29"/>
  <c r="E28" i="29"/>
  <c r="G28" i="29" s="1"/>
  <c r="D28" i="29"/>
  <c r="I27" i="29"/>
  <c r="H27" i="29"/>
  <c r="B29" i="31"/>
  <c r="A25" i="35"/>
  <c r="B24" i="35"/>
  <c r="C23" i="35" s="1"/>
  <c r="G27" i="29"/>
  <c r="B27" i="34"/>
  <c r="C26" i="34" s="1"/>
  <c r="A28" i="34"/>
  <c r="H28" i="29" l="1"/>
  <c r="A29" i="34"/>
  <c r="B28" i="34"/>
  <c r="C27" i="34" s="1"/>
  <c r="B25" i="35"/>
  <c r="C24" i="35" s="1"/>
  <c r="A26" i="35"/>
  <c r="F29" i="29"/>
  <c r="B30" i="29"/>
  <c r="E29" i="29"/>
  <c r="G29" i="29" s="1"/>
  <c r="D29" i="29"/>
  <c r="I28" i="29"/>
  <c r="B30" i="31"/>
  <c r="A30" i="34" l="1"/>
  <c r="B29" i="34"/>
  <c r="C28" i="34" s="1"/>
  <c r="B31" i="31"/>
  <c r="F30" i="29"/>
  <c r="B31" i="29"/>
  <c r="E30" i="29"/>
  <c r="D30" i="29"/>
  <c r="I29" i="29"/>
  <c r="H29" i="29"/>
  <c r="B26" i="35"/>
  <c r="C25" i="35" s="1"/>
  <c r="A27" i="35"/>
  <c r="B32" i="31" l="1"/>
  <c r="F31" i="29"/>
  <c r="B32" i="29"/>
  <c r="E31" i="29"/>
  <c r="D31" i="29"/>
  <c r="I30" i="29"/>
  <c r="A28" i="35"/>
  <c r="B27" i="35"/>
  <c r="C26" i="35" s="1"/>
  <c r="G30" i="29"/>
  <c r="H30" i="29" s="1"/>
  <c r="B30" i="34"/>
  <c r="C29" i="34" s="1"/>
  <c r="A31" i="34"/>
  <c r="G31" i="29" l="1"/>
  <c r="H31" i="29" s="1"/>
  <c r="B33" i="31"/>
  <c r="B31" i="34"/>
  <c r="C30" i="34" s="1"/>
  <c r="A32" i="34"/>
  <c r="A29" i="35"/>
  <c r="B28" i="35"/>
  <c r="C27" i="35" s="1"/>
  <c r="F32" i="29"/>
  <c r="B33" i="29"/>
  <c r="E32" i="29"/>
  <c r="D32" i="29"/>
  <c r="I31" i="29"/>
  <c r="G32" i="29" l="1"/>
  <c r="H32" i="29" s="1"/>
  <c r="B29" i="35"/>
  <c r="C28" i="35" s="1"/>
  <c r="A30" i="35"/>
  <c r="B34" i="31"/>
  <c r="F33" i="29"/>
  <c r="B34" i="29"/>
  <c r="E33" i="29"/>
  <c r="D33" i="29"/>
  <c r="I32" i="29"/>
  <c r="A33" i="34"/>
  <c r="B32" i="34"/>
  <c r="C31" i="34" s="1"/>
  <c r="G33" i="29" l="1"/>
  <c r="H33" i="29"/>
  <c r="B30" i="35"/>
  <c r="C29" i="35" s="1"/>
  <c r="A31" i="35"/>
  <c r="A34" i="34"/>
  <c r="B33" i="34"/>
  <c r="C32" i="34" s="1"/>
  <c r="F34" i="29"/>
  <c r="B35" i="29"/>
  <c r="E34" i="29"/>
  <c r="D34" i="29"/>
  <c r="I33" i="29"/>
  <c r="B35" i="31"/>
  <c r="F35" i="29" l="1"/>
  <c r="B36" i="29"/>
  <c r="E35" i="29"/>
  <c r="D35" i="29"/>
  <c r="I34" i="29"/>
  <c r="A32" i="35"/>
  <c r="B31" i="35"/>
  <c r="C30" i="35" s="1"/>
  <c r="B36" i="31"/>
  <c r="G34" i="29"/>
  <c r="H34" i="29" s="1"/>
  <c r="B34" i="34"/>
  <c r="C33" i="34" s="1"/>
  <c r="A35" i="34"/>
  <c r="G35" i="29" l="1"/>
  <c r="B35" i="34"/>
  <c r="C34" i="34" s="1"/>
  <c r="A36" i="34"/>
  <c r="B37" i="31"/>
  <c r="A33" i="35"/>
  <c r="B32" i="35"/>
  <c r="C31" i="35" s="1"/>
  <c r="F36" i="29"/>
  <c r="B37" i="29"/>
  <c r="E36" i="29"/>
  <c r="D36" i="29"/>
  <c r="I35" i="29"/>
  <c r="H35" i="29"/>
  <c r="G36" i="29" l="1"/>
  <c r="B33" i="35"/>
  <c r="C32" i="35" s="1"/>
  <c r="A34" i="35"/>
  <c r="B38" i="31"/>
  <c r="F37" i="29"/>
  <c r="B38" i="29"/>
  <c r="E37" i="29"/>
  <c r="G37" i="29" s="1"/>
  <c r="D37" i="29"/>
  <c r="I36" i="29"/>
  <c r="A37" i="34"/>
  <c r="B36" i="34"/>
  <c r="C35" i="34" s="1"/>
  <c r="H36" i="29"/>
  <c r="B39" i="31" l="1"/>
  <c r="H37" i="29"/>
  <c r="B34" i="35"/>
  <c r="C33" i="35" s="1"/>
  <c r="A35" i="35"/>
  <c r="A38" i="34"/>
  <c r="B37" i="34"/>
  <c r="C36" i="34" s="1"/>
  <c r="F38" i="29"/>
  <c r="B39" i="29"/>
  <c r="E38" i="29"/>
  <c r="D38" i="29"/>
  <c r="I37" i="29"/>
  <c r="G38" i="29" l="1"/>
  <c r="B38" i="34"/>
  <c r="C37" i="34" s="1"/>
  <c r="A39" i="34"/>
  <c r="H38" i="29"/>
  <c r="F39" i="29"/>
  <c r="B40" i="29"/>
  <c r="E39" i="29"/>
  <c r="D39" i="29"/>
  <c r="I38" i="29"/>
  <c r="A36" i="35"/>
  <c r="B35" i="35"/>
  <c r="C34" i="35" s="1"/>
  <c r="B40" i="31"/>
  <c r="G39" i="29" l="1"/>
  <c r="H39" i="29" s="1"/>
  <c r="B39" i="34"/>
  <c r="C38" i="34" s="1"/>
  <c r="A40" i="34"/>
  <c r="B41" i="31"/>
  <c r="A37" i="35"/>
  <c r="B36" i="35"/>
  <c r="C35" i="35" s="1"/>
  <c r="F40" i="29"/>
  <c r="B41" i="29"/>
  <c r="E40" i="29"/>
  <c r="D40" i="29"/>
  <c r="I39" i="29"/>
  <c r="F41" i="29" l="1"/>
  <c r="B42" i="29"/>
  <c r="E41" i="29"/>
  <c r="G41" i="29" s="1"/>
  <c r="D41" i="29"/>
  <c r="I40" i="29"/>
  <c r="A41" i="34"/>
  <c r="B40" i="34"/>
  <c r="C39" i="34" s="1"/>
  <c r="B42" i="31"/>
  <c r="G40" i="29"/>
  <c r="H40" i="29" s="1"/>
  <c r="B37" i="35"/>
  <c r="C36" i="35" s="1"/>
  <c r="A38" i="35"/>
  <c r="B38" i="35" l="1"/>
  <c r="C37" i="35" s="1"/>
  <c r="A39" i="35"/>
  <c r="A42" i="34"/>
  <c r="B41" i="34"/>
  <c r="C40" i="34" s="1"/>
  <c r="F42" i="29"/>
  <c r="B43" i="29"/>
  <c r="E42" i="29"/>
  <c r="D42" i="29"/>
  <c r="I41" i="29"/>
  <c r="B43" i="31"/>
  <c r="H41" i="29"/>
  <c r="B44" i="31" l="1"/>
  <c r="G42" i="29"/>
  <c r="B42" i="34"/>
  <c r="C41" i="34" s="1"/>
  <c r="A43" i="34"/>
  <c r="H42" i="29"/>
  <c r="F43" i="29"/>
  <c r="B44" i="29"/>
  <c r="E43" i="29"/>
  <c r="G43" i="29" s="1"/>
  <c r="D43" i="29"/>
  <c r="I42" i="29"/>
  <c r="A40" i="35"/>
  <c r="B39" i="35"/>
  <c r="C38" i="35" s="1"/>
  <c r="H43" i="29" l="1"/>
  <c r="B45" i="31"/>
  <c r="B43" i="34"/>
  <c r="C42" i="34" s="1"/>
  <c r="A44" i="34"/>
  <c r="F44" i="29"/>
  <c r="B45" i="29"/>
  <c r="E44" i="29"/>
  <c r="G44" i="29" s="1"/>
  <c r="D44" i="29"/>
  <c r="H44" i="29" s="1"/>
  <c r="I43" i="29"/>
  <c r="A41" i="35"/>
  <c r="B40" i="35"/>
  <c r="C39" i="35" s="1"/>
  <c r="B46" i="31" l="1"/>
  <c r="A45" i="34"/>
  <c r="B44" i="34"/>
  <c r="C43" i="34" s="1"/>
  <c r="B41" i="35"/>
  <c r="C40" i="35" s="1"/>
  <c r="A42" i="35"/>
  <c r="F45" i="29"/>
  <c r="B46" i="29"/>
  <c r="E45" i="29"/>
  <c r="G45" i="29" s="1"/>
  <c r="D45" i="29"/>
  <c r="I44" i="29"/>
  <c r="H45" i="29" l="1"/>
  <c r="B42" i="35"/>
  <c r="C41" i="35" s="1"/>
  <c r="A43" i="35"/>
  <c r="F46" i="29"/>
  <c r="B47" i="29"/>
  <c r="E46" i="29"/>
  <c r="G46" i="29" s="1"/>
  <c r="D46" i="29"/>
  <c r="I45" i="29"/>
  <c r="A46" i="34"/>
  <c r="B45" i="34"/>
  <c r="C44" i="34" s="1"/>
  <c r="B47" i="31"/>
  <c r="H46" i="29" l="1"/>
  <c r="A44" i="35"/>
  <c r="B43" i="35"/>
  <c r="C42" i="35" s="1"/>
  <c r="B48" i="31"/>
  <c r="B46" i="34"/>
  <c r="C45" i="34" s="1"/>
  <c r="A47" i="34"/>
  <c r="F47" i="29"/>
  <c r="B48" i="29"/>
  <c r="E47" i="29"/>
  <c r="G47" i="29" s="1"/>
  <c r="D47" i="29"/>
  <c r="I46" i="29"/>
  <c r="F48" i="29" l="1"/>
  <c r="B49" i="29"/>
  <c r="E48" i="29"/>
  <c r="D48" i="29"/>
  <c r="I47" i="29"/>
  <c r="B49" i="31"/>
  <c r="A45" i="35"/>
  <c r="B44" i="35"/>
  <c r="C43" i="35" s="1"/>
  <c r="H47" i="29"/>
  <c r="B47" i="34"/>
  <c r="C46" i="34" s="1"/>
  <c r="A48" i="34"/>
  <c r="G48" i="29" l="1"/>
  <c r="H48" i="29" s="1"/>
  <c r="B50" i="31"/>
  <c r="A49" i="34"/>
  <c r="B48" i="34"/>
  <c r="C47" i="34" s="1"/>
  <c r="B45" i="35"/>
  <c r="C44" i="35" s="1"/>
  <c r="A46" i="35"/>
  <c r="F49" i="29"/>
  <c r="B50" i="29"/>
  <c r="E49" i="29"/>
  <c r="D49" i="29"/>
  <c r="I48" i="29"/>
  <c r="A50" i="34" l="1"/>
  <c r="B49" i="34"/>
  <c r="C48" i="34" s="1"/>
  <c r="F50" i="29"/>
  <c r="B51" i="29"/>
  <c r="E50" i="29"/>
  <c r="D50" i="29"/>
  <c r="I49" i="29"/>
  <c r="H49" i="29"/>
  <c r="B46" i="35"/>
  <c r="C45" i="35" s="1"/>
  <c r="A47" i="35"/>
  <c r="B51" i="31"/>
  <c r="G49" i="29"/>
  <c r="B47" i="35" l="1"/>
  <c r="C46" i="35" s="1"/>
  <c r="A48" i="35"/>
  <c r="F51" i="29"/>
  <c r="B52" i="29"/>
  <c r="E51" i="29"/>
  <c r="G51" i="29" s="1"/>
  <c r="D51" i="29"/>
  <c r="I50" i="29"/>
  <c r="B52" i="31"/>
  <c r="G50" i="29"/>
  <c r="H50" i="29" s="1"/>
  <c r="B50" i="34"/>
  <c r="C49" i="34" s="1"/>
  <c r="A51" i="34"/>
  <c r="B53" i="31" l="1"/>
  <c r="A49" i="35"/>
  <c r="B48" i="35"/>
  <c r="C47" i="35" s="1"/>
  <c r="A52" i="34"/>
  <c r="B51" i="34"/>
  <c r="C50" i="34" s="1"/>
  <c r="H51" i="29"/>
  <c r="F52" i="29"/>
  <c r="B53" i="29"/>
  <c r="E52" i="29"/>
  <c r="D52" i="29"/>
  <c r="I51" i="29"/>
  <c r="G52" i="29" l="1"/>
  <c r="F53" i="29"/>
  <c r="B54" i="29"/>
  <c r="E53" i="29"/>
  <c r="D53" i="29"/>
  <c r="I52" i="29"/>
  <c r="A53" i="34"/>
  <c r="B52" i="34"/>
  <c r="C51" i="34" s="1"/>
  <c r="B54" i="31"/>
  <c r="H52" i="29"/>
  <c r="B49" i="35"/>
  <c r="C48" i="35" s="1"/>
  <c r="A50" i="35"/>
  <c r="G53" i="29" l="1"/>
  <c r="B50" i="35"/>
  <c r="C49" i="35" s="1"/>
  <c r="A51" i="35"/>
  <c r="B55" i="31"/>
  <c r="A54" i="34"/>
  <c r="B53" i="34"/>
  <c r="C52" i="34" s="1"/>
  <c r="F54" i="29"/>
  <c r="B55" i="29"/>
  <c r="E54" i="29"/>
  <c r="G54" i="29" s="1"/>
  <c r="D54" i="29"/>
  <c r="I53" i="29"/>
  <c r="H53" i="29"/>
  <c r="B54" i="34" l="1"/>
  <c r="C53" i="34" s="1"/>
  <c r="A55" i="34"/>
  <c r="A52" i="35"/>
  <c r="B51" i="35"/>
  <c r="C50" i="35" s="1"/>
  <c r="F55" i="29"/>
  <c r="B56" i="29"/>
  <c r="E55" i="29"/>
  <c r="G55" i="29" s="1"/>
  <c r="D55" i="29"/>
  <c r="I54" i="29"/>
  <c r="H54" i="29"/>
  <c r="B56" i="31"/>
  <c r="B57" i="31" l="1"/>
  <c r="H55" i="29"/>
  <c r="A53" i="35"/>
  <c r="B52" i="35"/>
  <c r="C51" i="35" s="1"/>
  <c r="F56" i="29"/>
  <c r="B57" i="29"/>
  <c r="E56" i="29"/>
  <c r="G56" i="29" s="1"/>
  <c r="D56" i="29"/>
  <c r="H56" i="29" s="1"/>
  <c r="I55" i="29"/>
  <c r="B55" i="34"/>
  <c r="C54" i="34" s="1"/>
  <c r="A56" i="34"/>
  <c r="A54" i="35" l="1"/>
  <c r="B53" i="35"/>
  <c r="C52" i="35" s="1"/>
  <c r="B58" i="31"/>
  <c r="A57" i="34"/>
  <c r="B56" i="34"/>
  <c r="C55" i="34" s="1"/>
  <c r="F57" i="29"/>
  <c r="B58" i="29"/>
  <c r="E57" i="29"/>
  <c r="G57" i="29" s="1"/>
  <c r="D57" i="29"/>
  <c r="I56" i="29"/>
  <c r="H57" i="29" l="1"/>
  <c r="B59" i="31"/>
  <c r="A58" i="34"/>
  <c r="B57" i="34"/>
  <c r="C56" i="34" s="1"/>
  <c r="F58" i="29"/>
  <c r="B59" i="29"/>
  <c r="E58" i="29"/>
  <c r="G58" i="29" s="1"/>
  <c r="D58" i="29"/>
  <c r="I57" i="29"/>
  <c r="B54" i="35"/>
  <c r="C53" i="35" s="1"/>
  <c r="A55" i="35"/>
  <c r="A56" i="35" l="1"/>
  <c r="B55" i="35"/>
  <c r="C54" i="35" s="1"/>
  <c r="B58" i="34"/>
  <c r="C57" i="34" s="1"/>
  <c r="A59" i="34"/>
  <c r="H58" i="29"/>
  <c r="F59" i="29"/>
  <c r="B60" i="29"/>
  <c r="E59" i="29"/>
  <c r="G59" i="29" s="1"/>
  <c r="D59" i="29"/>
  <c r="I58" i="29"/>
  <c r="B60" i="31"/>
  <c r="B59" i="34" l="1"/>
  <c r="C58" i="34" s="1"/>
  <c r="C6" i="34" s="1"/>
  <c r="G6" i="34" s="1"/>
  <c r="H6" i="34" s="1"/>
  <c r="A60" i="34"/>
  <c r="B61" i="31"/>
  <c r="F60" i="29"/>
  <c r="B61" i="29"/>
  <c r="D60" i="29"/>
  <c r="H60" i="29" s="1"/>
  <c r="E60" i="29"/>
  <c r="G60" i="29" s="1"/>
  <c r="I59" i="29"/>
  <c r="H59" i="29"/>
  <c r="A57" i="35"/>
  <c r="B56" i="35"/>
  <c r="C55" i="35" s="1"/>
  <c r="F61" i="29" l="1"/>
  <c r="B62" i="29"/>
  <c r="D61" i="29"/>
  <c r="E61" i="29"/>
  <c r="G61" i="29" s="1"/>
  <c r="I60" i="29"/>
  <c r="B62" i="31"/>
  <c r="A61" i="34"/>
  <c r="B60" i="34"/>
  <c r="C59" i="34" s="1"/>
  <c r="A58" i="35"/>
  <c r="B57" i="35"/>
  <c r="C56" i="35" s="1"/>
  <c r="B58" i="35" l="1"/>
  <c r="C57" i="35" s="1"/>
  <c r="A59" i="35"/>
  <c r="B63" i="31"/>
  <c r="H61" i="29"/>
  <c r="A62" i="34"/>
  <c r="B61" i="34"/>
  <c r="C60" i="34" s="1"/>
  <c r="F62" i="29"/>
  <c r="B63" i="29"/>
  <c r="D62" i="29"/>
  <c r="E62" i="29"/>
  <c r="G62" i="29" s="1"/>
  <c r="I61" i="29"/>
  <c r="H62" i="29" l="1"/>
  <c r="B62" i="34"/>
  <c r="C61" i="34" s="1"/>
  <c r="A63" i="34"/>
  <c r="A60" i="35"/>
  <c r="B59" i="35"/>
  <c r="C58" i="35" s="1"/>
  <c r="F63" i="29"/>
  <c r="B64" i="29"/>
  <c r="D63" i="29"/>
  <c r="E63" i="29"/>
  <c r="I62" i="29"/>
  <c r="B64" i="31"/>
  <c r="B63" i="34" l="1"/>
  <c r="C62" i="34" s="1"/>
  <c r="A64" i="34"/>
  <c r="A61" i="35"/>
  <c r="B60" i="35"/>
  <c r="C59" i="35" s="1"/>
  <c r="F64" i="29"/>
  <c r="B65" i="29"/>
  <c r="D64" i="29"/>
  <c r="E64" i="29"/>
  <c r="G64" i="29" s="1"/>
  <c r="I63" i="29"/>
  <c r="B65" i="31"/>
  <c r="G63" i="29"/>
  <c r="H63" i="29" s="1"/>
  <c r="H64" i="29" l="1"/>
  <c r="B61" i="35"/>
  <c r="C60" i="35" s="1"/>
  <c r="A62" i="35"/>
  <c r="F65" i="29"/>
  <c r="B66" i="29"/>
  <c r="D65" i="29"/>
  <c r="E65" i="29"/>
  <c r="G65" i="29" s="1"/>
  <c r="I64" i="29"/>
  <c r="B66" i="31"/>
  <c r="A65" i="34"/>
  <c r="B64" i="34"/>
  <c r="C63" i="34" s="1"/>
  <c r="B67" i="31" l="1"/>
  <c r="B62" i="35"/>
  <c r="C61" i="35" s="1"/>
  <c r="A63" i="35"/>
  <c r="H65" i="29"/>
  <c r="A66" i="34"/>
  <c r="B65" i="34"/>
  <c r="C64" i="34" s="1"/>
  <c r="F66" i="29"/>
  <c r="B67" i="29"/>
  <c r="D66" i="29"/>
  <c r="E66" i="29"/>
  <c r="G66" i="29" s="1"/>
  <c r="I65" i="29"/>
  <c r="B68" i="31" l="1"/>
  <c r="H66" i="29"/>
  <c r="B66" i="34"/>
  <c r="C65" i="34" s="1"/>
  <c r="A67" i="34"/>
  <c r="F67" i="29"/>
  <c r="B68" i="29"/>
  <c r="D67" i="29"/>
  <c r="E67" i="29"/>
  <c r="G67" i="29" s="1"/>
  <c r="I66" i="29"/>
  <c r="B63" i="35"/>
  <c r="C62" i="35" s="1"/>
  <c r="A64" i="35"/>
  <c r="B67" i="34" l="1"/>
  <c r="C66" i="34" s="1"/>
  <c r="A68" i="34"/>
  <c r="A65" i="35"/>
  <c r="B64" i="35"/>
  <c r="C63" i="35" s="1"/>
  <c r="H67" i="29"/>
  <c r="F68" i="29"/>
  <c r="B69" i="29"/>
  <c r="D68" i="29"/>
  <c r="H68" i="29" s="1"/>
  <c r="E68" i="29"/>
  <c r="G68" i="29" s="1"/>
  <c r="I67" i="29"/>
  <c r="B69" i="31"/>
  <c r="F69" i="29" l="1"/>
  <c r="B70" i="29"/>
  <c r="D69" i="29"/>
  <c r="H69" i="29" s="1"/>
  <c r="E69" i="29"/>
  <c r="G69" i="29" s="1"/>
  <c r="I68" i="29"/>
  <c r="B65" i="35"/>
  <c r="C64" i="35" s="1"/>
  <c r="A66" i="35"/>
  <c r="A69" i="34"/>
  <c r="B68" i="34"/>
  <c r="C67" i="34" s="1"/>
  <c r="B70" i="31"/>
  <c r="A70" i="34" l="1"/>
  <c r="B69" i="34"/>
  <c r="C68" i="34" s="1"/>
  <c r="B66" i="35"/>
  <c r="C65" i="35" s="1"/>
  <c r="A67" i="35"/>
  <c r="F70" i="29"/>
  <c r="D70" i="29"/>
  <c r="E70" i="29"/>
  <c r="G70" i="29" s="1"/>
  <c r="I69" i="29"/>
  <c r="B70" i="34" l="1"/>
  <c r="C69" i="34" s="1"/>
  <c r="A71" i="34"/>
  <c r="A68" i="35"/>
  <c r="B67" i="35"/>
  <c r="C66" i="35" s="1"/>
  <c r="H70" i="29"/>
  <c r="A69" i="35" l="1"/>
  <c r="B68" i="35"/>
  <c r="C67" i="35" s="1"/>
  <c r="B71" i="34"/>
  <c r="C70" i="34" s="1"/>
  <c r="A72" i="34"/>
  <c r="A73" i="34" l="1"/>
  <c r="B72" i="34"/>
  <c r="C71" i="34" s="1"/>
  <c r="A70" i="35"/>
  <c r="B69" i="35"/>
  <c r="C68" i="35" s="1"/>
  <c r="B70" i="35" l="1"/>
  <c r="C69" i="35" s="1"/>
  <c r="A71" i="35"/>
  <c r="A74" i="34"/>
  <c r="B73" i="34"/>
  <c r="C72" i="34" s="1"/>
  <c r="B74" i="34" l="1"/>
  <c r="C73" i="34" s="1"/>
  <c r="A75" i="34"/>
  <c r="A72" i="35"/>
  <c r="B71" i="35"/>
  <c r="C70" i="35" s="1"/>
  <c r="A73" i="35" l="1"/>
  <c r="B72" i="35"/>
  <c r="C71" i="35" s="1"/>
  <c r="B75" i="34"/>
  <c r="C74" i="34" s="1"/>
  <c r="A76" i="34"/>
  <c r="A77" i="34" l="1"/>
  <c r="B76" i="34"/>
  <c r="C75" i="34" s="1"/>
  <c r="A74" i="35"/>
  <c r="B73" i="35"/>
  <c r="C72" i="35" s="1"/>
  <c r="B74" i="35" l="1"/>
  <c r="C73" i="35" s="1"/>
  <c r="A75" i="35"/>
  <c r="A78" i="34"/>
  <c r="B77" i="34"/>
  <c r="C76" i="34" s="1"/>
  <c r="A76" i="35" l="1"/>
  <c r="B75" i="35"/>
  <c r="C74" i="35" s="1"/>
  <c r="B78" i="34"/>
  <c r="C77" i="34" s="1"/>
  <c r="A79" i="34"/>
  <c r="B79" i="34" l="1"/>
  <c r="C78" i="34" s="1"/>
  <c r="A80" i="34"/>
  <c r="A77" i="35"/>
  <c r="B76" i="35"/>
  <c r="C75" i="35" s="1"/>
  <c r="B77" i="35" l="1"/>
  <c r="C76" i="35" s="1"/>
  <c r="A78" i="35"/>
  <c r="A81" i="34"/>
  <c r="B80" i="34"/>
  <c r="C79" i="34" s="1"/>
  <c r="A82" i="34" l="1"/>
  <c r="B81" i="34"/>
  <c r="C80" i="34" s="1"/>
  <c r="B78" i="35"/>
  <c r="C77" i="35" s="1"/>
  <c r="A79" i="35"/>
  <c r="B79" i="35" l="1"/>
  <c r="C78" i="35" s="1"/>
  <c r="A80" i="35"/>
  <c r="B82" i="34"/>
  <c r="C81" i="34" s="1"/>
  <c r="A83" i="34"/>
  <c r="B83" i="34" l="1"/>
  <c r="C82" i="34" s="1"/>
  <c r="A84" i="34"/>
  <c r="A81" i="35"/>
  <c r="B80" i="35"/>
  <c r="C79" i="35" s="1"/>
  <c r="B81" i="35" l="1"/>
  <c r="C80" i="35" s="1"/>
  <c r="A82" i="35"/>
  <c r="A85" i="34"/>
  <c r="B84" i="34"/>
  <c r="C83" i="34" s="1"/>
  <c r="B82" i="35" l="1"/>
  <c r="C81" i="35" s="1"/>
  <c r="A83" i="35"/>
  <c r="A86" i="34"/>
  <c r="B85" i="34"/>
  <c r="C84" i="34" s="1"/>
  <c r="B86" i="34" l="1"/>
  <c r="C85" i="34" s="1"/>
  <c r="A87" i="34"/>
  <c r="A84" i="35"/>
  <c r="B83" i="35"/>
  <c r="C82" i="35" s="1"/>
  <c r="B87" i="34" l="1"/>
  <c r="C86" i="34" s="1"/>
  <c r="A88" i="34"/>
  <c r="A85" i="35"/>
  <c r="B84" i="35"/>
  <c r="C83" i="35" s="1"/>
  <c r="A86" i="35" l="1"/>
  <c r="B85" i="35"/>
  <c r="C84" i="35" s="1"/>
  <c r="A89" i="34"/>
  <c r="B88" i="34"/>
  <c r="C87" i="34" s="1"/>
  <c r="A90" i="34" l="1"/>
  <c r="B89" i="34"/>
  <c r="C88" i="34" s="1"/>
  <c r="B86" i="35"/>
  <c r="C85" i="35" s="1"/>
  <c r="A87" i="35"/>
  <c r="A88" i="35" l="1"/>
  <c r="B87" i="35"/>
  <c r="C86" i="35" s="1"/>
  <c r="B90" i="34"/>
  <c r="C89" i="34" s="1"/>
  <c r="A91" i="34"/>
  <c r="B91" i="34" l="1"/>
  <c r="C90" i="34" s="1"/>
  <c r="A92" i="34"/>
  <c r="A89" i="35"/>
  <c r="B88" i="35"/>
  <c r="C87" i="35" s="1"/>
  <c r="A90" i="35" l="1"/>
  <c r="B89" i="35"/>
  <c r="C88" i="35" s="1"/>
  <c r="A93" i="34"/>
  <c r="B92" i="34"/>
  <c r="C91" i="34" s="1"/>
  <c r="A94" i="34" l="1"/>
  <c r="B93" i="34"/>
  <c r="C92" i="34" s="1"/>
  <c r="B90" i="35"/>
  <c r="C89" i="35" s="1"/>
  <c r="A91" i="35"/>
  <c r="B94" i="34" l="1"/>
  <c r="C93" i="34" s="1"/>
  <c r="A95" i="34"/>
  <c r="A92" i="35"/>
  <c r="B91" i="35"/>
  <c r="C90" i="35" s="1"/>
  <c r="A93" i="35" l="1"/>
  <c r="B92" i="35"/>
  <c r="C91" i="35" s="1"/>
  <c r="B95" i="34"/>
  <c r="C94" i="34" s="1"/>
  <c r="A96" i="34"/>
  <c r="A97" i="34" l="1"/>
  <c r="B96" i="34"/>
  <c r="C95" i="34" s="1"/>
  <c r="B93" i="35"/>
  <c r="C92" i="35" s="1"/>
  <c r="A94" i="35"/>
  <c r="B94" i="35" l="1"/>
  <c r="C93" i="35" s="1"/>
  <c r="A95" i="35"/>
  <c r="A98" i="34"/>
  <c r="B97" i="34"/>
  <c r="C96" i="34" s="1"/>
  <c r="B98" i="34" l="1"/>
  <c r="C97" i="34" s="1"/>
  <c r="A99" i="34"/>
  <c r="B95" i="35"/>
  <c r="C94" i="35" s="1"/>
  <c r="A96" i="35"/>
  <c r="A97" i="35" l="1"/>
  <c r="B96" i="35"/>
  <c r="C95" i="35" s="1"/>
  <c r="B99" i="34"/>
  <c r="C98" i="34" s="1"/>
  <c r="A100" i="34"/>
  <c r="A101" i="34" l="1"/>
  <c r="B100" i="34"/>
  <c r="C99" i="34" s="1"/>
  <c r="B97" i="35"/>
  <c r="C96" i="35" s="1"/>
  <c r="A98" i="35"/>
  <c r="B98" i="35" l="1"/>
  <c r="C97" i="35" s="1"/>
  <c r="A99" i="35"/>
  <c r="A102" i="34"/>
  <c r="B101" i="34"/>
  <c r="C100" i="34" s="1"/>
  <c r="B102" i="34" l="1"/>
  <c r="C101" i="34" s="1"/>
  <c r="A103" i="34"/>
  <c r="A100" i="35"/>
  <c r="B99" i="35"/>
  <c r="C98" i="35" s="1"/>
  <c r="A101" i="35" l="1"/>
  <c r="B100" i="35"/>
  <c r="C99" i="35" s="1"/>
  <c r="B103" i="34"/>
  <c r="C102" i="34" s="1"/>
  <c r="A104" i="34"/>
  <c r="A105" i="34" l="1"/>
  <c r="B104" i="34"/>
  <c r="C103" i="34" s="1"/>
  <c r="A102" i="35"/>
  <c r="B101" i="35"/>
  <c r="C100" i="35" s="1"/>
  <c r="B102" i="35" l="1"/>
  <c r="C101" i="35" s="1"/>
  <c r="A103" i="35"/>
  <c r="A106" i="34"/>
  <c r="B105" i="34"/>
  <c r="C104" i="34" s="1"/>
  <c r="B106" i="34" l="1"/>
  <c r="C105" i="34" s="1"/>
  <c r="A107" i="34"/>
  <c r="A104" i="35"/>
  <c r="B103" i="35"/>
  <c r="C102" i="35" s="1"/>
  <c r="B107" i="34" l="1"/>
  <c r="C106" i="34" s="1"/>
  <c r="A108" i="34"/>
  <c r="B108" i="34" s="1"/>
  <c r="C107" i="34" s="1"/>
  <c r="A105" i="35"/>
  <c r="B104" i="35"/>
  <c r="C103" i="35" s="1"/>
  <c r="A106" i="35" l="1"/>
  <c r="B105" i="35"/>
  <c r="C104" i="35" s="1"/>
  <c r="D3" i="35" l="1"/>
  <c r="B106" i="35"/>
  <c r="C105" i="35" s="1"/>
  <c r="A7" i="23"/>
  <c r="B7" i="23"/>
  <c r="A8" i="23"/>
  <c r="B8" i="23"/>
  <c r="D8" i="23"/>
  <c r="F8" i="23"/>
  <c r="H8" i="23"/>
  <c r="A9" i="23"/>
  <c r="B9" i="23"/>
  <c r="B7" i="28"/>
  <c r="C7" i="28"/>
  <c r="B8" i="28"/>
  <c r="C8" i="28"/>
  <c r="D8" i="28"/>
  <c r="E8" i="28"/>
  <c r="G8" i="28"/>
  <c r="H8" i="28"/>
  <c r="B9" i="28"/>
  <c r="C9" i="28"/>
  <c r="C10" i="31"/>
  <c r="D10" i="31"/>
  <c r="E10" i="31"/>
  <c r="F10" i="31"/>
  <c r="G10" i="31"/>
  <c r="H10" i="31"/>
  <c r="C11" i="31"/>
  <c r="D11" i="31"/>
  <c r="E11" i="31"/>
  <c r="F11" i="31"/>
  <c r="G11" i="31"/>
  <c r="H11" i="31"/>
  <c r="I11" i="31"/>
  <c r="J11" i="31"/>
  <c r="C12" i="31"/>
  <c r="D12" i="31"/>
  <c r="E12" i="31"/>
  <c r="F12" i="31"/>
  <c r="G12" i="31"/>
  <c r="H12" i="31"/>
  <c r="I12" i="31"/>
  <c r="J12" i="31"/>
  <c r="C13" i="31"/>
  <c r="D13" i="31"/>
  <c r="E13" i="31"/>
  <c r="F13" i="31"/>
  <c r="G13" i="31"/>
  <c r="H13" i="31"/>
  <c r="I13" i="31"/>
  <c r="J13" i="31"/>
  <c r="C14" i="31"/>
  <c r="D14" i="31"/>
  <c r="E14" i="31"/>
  <c r="F14" i="31"/>
  <c r="G14" i="31"/>
  <c r="H14" i="31"/>
  <c r="I14" i="31"/>
  <c r="J14" i="31"/>
  <c r="C15" i="31"/>
  <c r="D15" i="31"/>
  <c r="E15" i="31"/>
  <c r="F15" i="31"/>
  <c r="G15" i="31"/>
  <c r="H15" i="31"/>
  <c r="I15" i="31"/>
  <c r="J15" i="31"/>
  <c r="C16" i="31"/>
  <c r="D16" i="31"/>
  <c r="E16" i="31"/>
  <c r="F16" i="31"/>
  <c r="G16" i="31"/>
  <c r="H16" i="31"/>
  <c r="I16" i="31"/>
  <c r="J16" i="31"/>
  <c r="C17" i="31"/>
  <c r="D17" i="31"/>
  <c r="E17" i="31"/>
  <c r="F17" i="31"/>
  <c r="G17" i="31"/>
  <c r="H17" i="31"/>
  <c r="I17" i="31"/>
  <c r="J17" i="31"/>
  <c r="C18" i="31"/>
  <c r="D18" i="31"/>
  <c r="E18" i="31"/>
  <c r="F18" i="31"/>
  <c r="G18" i="31"/>
  <c r="H18" i="31"/>
  <c r="I18" i="31"/>
  <c r="J18" i="31"/>
  <c r="C19" i="31"/>
  <c r="D19" i="31"/>
  <c r="E19" i="31"/>
  <c r="F19" i="31"/>
  <c r="G19" i="31"/>
  <c r="H19" i="31"/>
  <c r="I19" i="31"/>
  <c r="J19" i="31"/>
  <c r="C20" i="31"/>
  <c r="D20" i="31"/>
  <c r="E20" i="31"/>
  <c r="F20" i="31"/>
  <c r="G20" i="31"/>
  <c r="H20" i="31"/>
  <c r="I20" i="31"/>
  <c r="J20" i="31"/>
  <c r="C21" i="31"/>
  <c r="D21" i="31"/>
  <c r="E21" i="31"/>
  <c r="F21" i="31"/>
  <c r="G21" i="31"/>
  <c r="H21" i="31"/>
  <c r="I21" i="31"/>
  <c r="J21" i="31"/>
  <c r="C22" i="31"/>
  <c r="D22" i="31"/>
  <c r="E22" i="31"/>
  <c r="F22" i="31"/>
  <c r="G22" i="31"/>
  <c r="H22" i="31"/>
  <c r="I22" i="31"/>
  <c r="J22" i="31"/>
  <c r="C23" i="31"/>
  <c r="D23" i="31"/>
  <c r="E23" i="31"/>
  <c r="F23" i="31"/>
  <c r="G23" i="31"/>
  <c r="H23" i="31"/>
  <c r="I23" i="31"/>
  <c r="J23" i="31"/>
  <c r="C24" i="31"/>
  <c r="D24" i="31"/>
  <c r="E24" i="31"/>
  <c r="F24" i="31"/>
  <c r="G24" i="31"/>
  <c r="H24" i="31"/>
  <c r="I24" i="31"/>
  <c r="J24" i="31"/>
  <c r="C25" i="31"/>
  <c r="D25" i="31"/>
  <c r="E25" i="31"/>
  <c r="F25" i="31"/>
  <c r="G25" i="31"/>
  <c r="H25" i="31"/>
  <c r="I25" i="31"/>
  <c r="J25" i="31"/>
  <c r="C26" i="31"/>
  <c r="D26" i="31"/>
  <c r="E26" i="31"/>
  <c r="F26" i="31"/>
  <c r="G26" i="31"/>
  <c r="H26" i="31"/>
  <c r="I26" i="31"/>
  <c r="J26" i="31"/>
  <c r="C27" i="31"/>
  <c r="D27" i="31"/>
  <c r="E27" i="31"/>
  <c r="F27" i="31"/>
  <c r="G27" i="31"/>
  <c r="H27" i="31"/>
  <c r="I27" i="31"/>
  <c r="J27" i="31"/>
  <c r="C28" i="31"/>
  <c r="D28" i="31"/>
  <c r="E28" i="31"/>
  <c r="F28" i="31"/>
  <c r="G28" i="31"/>
  <c r="H28" i="31"/>
  <c r="I28" i="31"/>
  <c r="J28" i="31"/>
  <c r="C29" i="31"/>
  <c r="D29" i="31"/>
  <c r="E29" i="31"/>
  <c r="F29" i="31"/>
  <c r="G29" i="31"/>
  <c r="H29" i="31"/>
  <c r="I29" i="31"/>
  <c r="J29" i="31"/>
  <c r="C30" i="31"/>
  <c r="D30" i="31"/>
  <c r="E30" i="31"/>
  <c r="F30" i="31"/>
  <c r="G30" i="31"/>
  <c r="H30" i="31"/>
  <c r="I30" i="31"/>
  <c r="J30" i="31"/>
  <c r="C31" i="31"/>
  <c r="D31" i="31"/>
  <c r="E31" i="31"/>
  <c r="F31" i="31"/>
  <c r="G31" i="31"/>
  <c r="H31" i="31"/>
  <c r="I31" i="31"/>
  <c r="J31" i="31"/>
  <c r="C32" i="31"/>
  <c r="D32" i="31"/>
  <c r="E32" i="31"/>
  <c r="F32" i="31"/>
  <c r="G32" i="31"/>
  <c r="H32" i="31"/>
  <c r="I32" i="31"/>
  <c r="J32" i="31"/>
  <c r="C33" i="31"/>
  <c r="D33" i="31"/>
  <c r="E33" i="31"/>
  <c r="F33" i="31"/>
  <c r="G33" i="31"/>
  <c r="H33" i="31"/>
  <c r="I33" i="31"/>
  <c r="J33" i="31"/>
  <c r="C34" i="31"/>
  <c r="D34" i="31"/>
  <c r="E34" i="31"/>
  <c r="F34" i="31"/>
  <c r="G34" i="31"/>
  <c r="H34" i="31"/>
  <c r="I34" i="31"/>
  <c r="J34" i="31"/>
  <c r="C35" i="31"/>
  <c r="D35" i="31"/>
  <c r="E35" i="31"/>
  <c r="F35" i="31"/>
  <c r="G35" i="31"/>
  <c r="H35" i="31"/>
  <c r="I35" i="31"/>
  <c r="J35" i="31"/>
  <c r="C36" i="31"/>
  <c r="D36" i="31"/>
  <c r="E36" i="31"/>
  <c r="F36" i="31"/>
  <c r="G36" i="31"/>
  <c r="H36" i="31"/>
  <c r="I36" i="31"/>
  <c r="J36" i="31"/>
  <c r="C37" i="31"/>
  <c r="D37" i="31"/>
  <c r="E37" i="31"/>
  <c r="F37" i="31"/>
  <c r="G37" i="31"/>
  <c r="H37" i="31"/>
  <c r="I37" i="31"/>
  <c r="J37" i="31"/>
  <c r="C38" i="31"/>
  <c r="D38" i="31"/>
  <c r="E38" i="31"/>
  <c r="F38" i="31"/>
  <c r="G38" i="31"/>
  <c r="H38" i="31"/>
  <c r="I38" i="31"/>
  <c r="J38" i="31"/>
  <c r="C39" i="31"/>
  <c r="D39" i="31"/>
  <c r="E39" i="31"/>
  <c r="F39" i="31"/>
  <c r="G39" i="31"/>
  <c r="H39" i="31"/>
  <c r="I39" i="31"/>
  <c r="J39" i="31"/>
  <c r="C40" i="31"/>
  <c r="D40" i="31"/>
  <c r="E40" i="31"/>
  <c r="F40" i="31"/>
  <c r="G40" i="31"/>
  <c r="H40" i="31"/>
  <c r="I40" i="31"/>
  <c r="J40" i="31"/>
  <c r="C41" i="31"/>
  <c r="D41" i="31"/>
  <c r="E41" i="31"/>
  <c r="F41" i="31"/>
  <c r="G41" i="31"/>
  <c r="H41" i="31"/>
  <c r="I41" i="31"/>
  <c r="J41" i="31"/>
  <c r="C42" i="31"/>
  <c r="D42" i="31"/>
  <c r="E42" i="31"/>
  <c r="F42" i="31"/>
  <c r="G42" i="31"/>
  <c r="H42" i="31"/>
  <c r="I42" i="31"/>
  <c r="J42" i="31"/>
  <c r="C43" i="31"/>
  <c r="D43" i="31"/>
  <c r="E43" i="31"/>
  <c r="F43" i="31"/>
  <c r="G43" i="31"/>
  <c r="H43" i="31"/>
  <c r="I43" i="31"/>
  <c r="J43" i="31"/>
  <c r="C44" i="31"/>
  <c r="D44" i="31"/>
  <c r="E44" i="31"/>
  <c r="F44" i="31"/>
  <c r="G44" i="31"/>
  <c r="H44" i="31"/>
  <c r="I44" i="31"/>
  <c r="J44" i="31"/>
  <c r="C45" i="31"/>
  <c r="D45" i="31"/>
  <c r="E45" i="31"/>
  <c r="F45" i="31"/>
  <c r="G45" i="31"/>
  <c r="H45" i="31"/>
  <c r="I45" i="31"/>
  <c r="J45" i="31"/>
  <c r="C46" i="31"/>
  <c r="D46" i="31"/>
  <c r="E46" i="31"/>
  <c r="F46" i="31"/>
  <c r="G46" i="31"/>
  <c r="H46" i="31"/>
  <c r="I46" i="31"/>
  <c r="J46" i="31"/>
  <c r="C47" i="31"/>
  <c r="D47" i="31"/>
  <c r="E47" i="31"/>
  <c r="F47" i="31"/>
  <c r="G47" i="31"/>
  <c r="H47" i="31"/>
  <c r="I47" i="31"/>
  <c r="J47" i="31"/>
  <c r="C48" i="31"/>
  <c r="D48" i="31"/>
  <c r="E48" i="31"/>
  <c r="F48" i="31"/>
  <c r="G48" i="31"/>
  <c r="H48" i="31"/>
  <c r="I48" i="31"/>
  <c r="J48" i="31"/>
  <c r="C49" i="31"/>
  <c r="D49" i="31"/>
  <c r="E49" i="31"/>
  <c r="F49" i="31"/>
  <c r="G49" i="31"/>
  <c r="H49" i="31"/>
  <c r="I49" i="31"/>
  <c r="J49" i="31"/>
  <c r="C50" i="31"/>
  <c r="D50" i="31"/>
  <c r="E50" i="31"/>
  <c r="F50" i="31"/>
  <c r="G50" i="31"/>
  <c r="H50" i="31"/>
  <c r="I50" i="31"/>
  <c r="J50" i="31"/>
  <c r="C51" i="31"/>
  <c r="D51" i="31"/>
  <c r="E51" i="31"/>
  <c r="F51" i="31"/>
  <c r="G51" i="31"/>
  <c r="H51" i="31"/>
  <c r="I51" i="31"/>
  <c r="J51" i="31"/>
  <c r="C52" i="31"/>
  <c r="D52" i="31"/>
  <c r="E52" i="31"/>
  <c r="F52" i="31"/>
  <c r="G52" i="31"/>
  <c r="H52" i="31"/>
  <c r="I52" i="31"/>
  <c r="J52" i="31"/>
  <c r="C53" i="31"/>
  <c r="D53" i="31"/>
  <c r="E53" i="31"/>
  <c r="F53" i="31"/>
  <c r="G53" i="31"/>
  <c r="H53" i="31"/>
  <c r="I53" i="31"/>
  <c r="J53" i="31"/>
  <c r="C54" i="31"/>
  <c r="D54" i="31"/>
  <c r="E54" i="31"/>
  <c r="F54" i="31"/>
  <c r="G54" i="31"/>
  <c r="H54" i="31"/>
  <c r="I54" i="31"/>
  <c r="J54" i="31"/>
  <c r="C55" i="31"/>
  <c r="D55" i="31"/>
  <c r="E55" i="31"/>
  <c r="F55" i="31"/>
  <c r="G55" i="31"/>
  <c r="H55" i="31"/>
  <c r="I55" i="31"/>
  <c r="J55" i="31"/>
  <c r="C56" i="31"/>
  <c r="D56" i="31"/>
  <c r="E56" i="31"/>
  <c r="F56" i="31"/>
  <c r="G56" i="31"/>
  <c r="H56" i="31"/>
  <c r="I56" i="31"/>
  <c r="J56" i="31"/>
  <c r="C57" i="31"/>
  <c r="D57" i="31"/>
  <c r="E57" i="31"/>
  <c r="F57" i="31"/>
  <c r="G57" i="31"/>
  <c r="H57" i="31"/>
  <c r="I57" i="31"/>
  <c r="J57" i="31"/>
  <c r="C58" i="31"/>
  <c r="D58" i="31"/>
  <c r="E58" i="31"/>
  <c r="F58" i="31"/>
  <c r="G58" i="31"/>
  <c r="H58" i="31"/>
  <c r="I58" i="31"/>
  <c r="J58" i="31"/>
  <c r="C59" i="31"/>
  <c r="D59" i="31"/>
  <c r="E59" i="31"/>
  <c r="F59" i="31"/>
  <c r="G59" i="31"/>
  <c r="H59" i="31"/>
  <c r="I59" i="31"/>
  <c r="J59" i="31"/>
  <c r="C60" i="31"/>
  <c r="D60" i="31"/>
  <c r="E60" i="31"/>
  <c r="F60" i="31"/>
  <c r="G60" i="31"/>
  <c r="H60" i="31"/>
  <c r="I60" i="31"/>
  <c r="J60" i="31"/>
  <c r="C61" i="31"/>
  <c r="D61" i="31"/>
  <c r="E61" i="31"/>
  <c r="F61" i="31"/>
  <c r="G61" i="31"/>
  <c r="H61" i="31"/>
  <c r="I61" i="31"/>
  <c r="J61" i="31"/>
  <c r="C62" i="31"/>
  <c r="D62" i="31"/>
  <c r="E62" i="31"/>
  <c r="F62" i="31"/>
  <c r="G62" i="31"/>
  <c r="H62" i="31"/>
  <c r="I62" i="31"/>
  <c r="J62" i="31"/>
  <c r="C63" i="31"/>
  <c r="D63" i="31"/>
  <c r="E63" i="31"/>
  <c r="F63" i="31"/>
  <c r="G63" i="31"/>
  <c r="H63" i="31"/>
  <c r="I63" i="31"/>
  <c r="J63" i="31"/>
  <c r="C64" i="31"/>
  <c r="D64" i="31"/>
  <c r="E64" i="31"/>
  <c r="F64" i="31"/>
  <c r="G64" i="31"/>
  <c r="H64" i="31"/>
  <c r="I64" i="31"/>
  <c r="J64" i="31"/>
  <c r="C65" i="31"/>
  <c r="D65" i="31"/>
  <c r="E65" i="31"/>
  <c r="F65" i="31"/>
  <c r="G65" i="31"/>
  <c r="H65" i="31"/>
  <c r="I65" i="31"/>
  <c r="J65" i="31"/>
  <c r="C66" i="31"/>
  <c r="D66" i="31"/>
  <c r="E66" i="31"/>
  <c r="F66" i="31"/>
  <c r="G66" i="31"/>
  <c r="H66" i="31"/>
  <c r="I66" i="31"/>
  <c r="J66" i="31"/>
  <c r="C67" i="31"/>
  <c r="D67" i="31"/>
  <c r="E67" i="31"/>
  <c r="F67" i="31"/>
  <c r="G67" i="31"/>
  <c r="H67" i="31"/>
  <c r="I67" i="31"/>
  <c r="J67" i="31"/>
  <c r="C68" i="31"/>
  <c r="D68" i="31"/>
  <c r="E68" i="31"/>
  <c r="F68" i="31"/>
  <c r="G68" i="31"/>
  <c r="H68" i="31"/>
  <c r="I68" i="31"/>
  <c r="J68" i="31"/>
  <c r="C69" i="31"/>
  <c r="D69" i="31"/>
  <c r="E69" i="31"/>
  <c r="F69" i="31"/>
  <c r="G69" i="31"/>
  <c r="H69" i="31"/>
  <c r="I69" i="31"/>
  <c r="J69" i="31"/>
  <c r="C70" i="31"/>
  <c r="D70" i="31"/>
  <c r="E70" i="31"/>
  <c r="F70" i="31"/>
  <c r="G70" i="31"/>
  <c r="H70" i="31"/>
  <c r="B7" i="36"/>
  <c r="C7" i="36"/>
  <c r="D7" i="36"/>
  <c r="E7" i="36"/>
  <c r="F7" i="36"/>
  <c r="G7" i="36"/>
  <c r="H7" i="36"/>
  <c r="B10" i="36"/>
  <c r="C10" i="36"/>
  <c r="D10" i="36"/>
  <c r="E10" i="36"/>
  <c r="F10" i="36"/>
  <c r="G10" i="36"/>
  <c r="H10" i="36"/>
</calcChain>
</file>

<file path=xl/comments1.xml><?xml version="1.0" encoding="utf-8"?>
<comments xmlns="http://schemas.openxmlformats.org/spreadsheetml/2006/main">
  <authors>
    <author xml:space="preserve"> </author>
  </authors>
  <commentList>
    <comment ref="C4" authorId="0" shapeId="0">
      <text>
        <r>
          <rPr>
            <b/>
            <sz val="10"/>
            <color indexed="81"/>
            <rFont val="Tahoma"/>
            <family val="2"/>
          </rPr>
          <t>-(x^2)+40x-100</t>
        </r>
      </text>
    </comment>
    <comment ref="E4" authorId="0" shapeId="0">
      <text>
        <r>
          <rPr>
            <b/>
            <sz val="10"/>
            <color indexed="81"/>
            <rFont val="Tahoma"/>
            <family val="2"/>
          </rPr>
          <t>=[f(x+h)-f(x-h)]/(2h)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C4" authorId="0" shapeId="0">
      <text>
        <r>
          <rPr>
            <b/>
            <sz val="10"/>
            <color indexed="81"/>
            <rFont val="Tahoma"/>
            <family val="2"/>
          </rPr>
          <t>-(x^2)+40x-100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A8" authorId="0" shapeId="0">
      <text>
        <r>
          <rPr>
            <b/>
            <sz val="10"/>
            <color indexed="81"/>
            <rFont val="Tahoma"/>
            <family val="2"/>
          </rPr>
          <t>=SE(C11="n",C12,H8)</t>
        </r>
      </text>
    </comment>
    <comment ref="D8" authorId="0" shapeId="0">
      <text>
        <r>
          <rPr>
            <b/>
            <sz val="10"/>
            <color indexed="81"/>
            <rFont val="Tahoma"/>
            <family val="2"/>
          </rPr>
          <t>[L(x+h)-L(x-h)]/(2h)</t>
        </r>
      </text>
    </comment>
    <comment ref="F8" authorId="0" shapeId="0">
      <text>
        <r>
          <rPr>
            <b/>
            <sz val="10"/>
            <color indexed="81"/>
            <rFont val="Tahoma"/>
            <family val="2"/>
          </rPr>
          <t>=[(L(x+h)-2L(x)+L(x-h)]/(h^2)</t>
        </r>
      </text>
    </comment>
    <comment ref="H8" authorId="0" shapeId="0">
      <text>
        <r>
          <rPr>
            <b/>
            <sz val="10"/>
            <color indexed="81"/>
            <rFont val="Tahoma"/>
            <family val="2"/>
          </rPr>
          <t>xi+1=xi - f'(xi)/f''(xi)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</authors>
  <commentList>
    <comment ref="B3" authorId="0" shapeId="0">
      <text>
        <r>
          <rPr>
            <b/>
            <sz val="10"/>
            <color indexed="81"/>
            <rFont val="Tahoma"/>
            <family val="2"/>
          </rPr>
          <t>Preço * Quantidade</t>
        </r>
      </text>
    </comment>
    <comment ref="C9" authorId="0" shapeId="0">
      <text>
        <r>
          <rPr>
            <b/>
            <sz val="10"/>
            <color indexed="81"/>
            <rFont val="Tahoma"/>
            <family val="2"/>
          </rPr>
          <t>=MATRIZ.DETERM(C3:E5)</t>
        </r>
      </text>
    </comment>
  </commentList>
</comments>
</file>

<file path=xl/comments5.xml><?xml version="1.0" encoding="utf-8"?>
<comments xmlns="http://schemas.openxmlformats.org/spreadsheetml/2006/main">
  <authors>
    <author xml:space="preserve"> </author>
  </authors>
  <commentList>
    <comment ref="C11" authorId="0" shapeId="0">
      <text>
        <r>
          <rPr>
            <b/>
            <sz val="10"/>
            <color indexed="81"/>
            <rFont val="Tahoma"/>
            <family val="2"/>
          </rPr>
          <t>=f(B11)</t>
        </r>
      </text>
    </comment>
    <comment ref="D11" authorId="0" shapeId="0">
      <text>
        <r>
          <rPr>
            <b/>
            <sz val="10"/>
            <color indexed="81"/>
            <rFont val="Tahoma"/>
            <family val="2"/>
          </rPr>
          <t>=(f(B11+$C$6)-f(B11-$C$6))/(2*$C$6)</t>
        </r>
      </text>
    </comment>
    <comment ref="E11" authorId="0" shapeId="0">
      <text>
        <r>
          <rPr>
            <b/>
            <sz val="10"/>
            <color indexed="81"/>
            <rFont val="Tahoma"/>
            <family val="2"/>
          </rPr>
          <t>=(f(B11+$C$6)-2*f(B11)+f(B11-$C$6))/($C$6^2)</t>
        </r>
      </text>
    </comment>
    <comment ref="F11" authorId="0" shapeId="0">
      <text>
        <r>
          <rPr>
            <b/>
            <sz val="10"/>
            <color indexed="81"/>
            <rFont val="Tahoma"/>
            <family val="2"/>
          </rPr>
          <t>=B11-D11/E11</t>
        </r>
      </text>
    </comment>
  </commentList>
</comments>
</file>

<file path=xl/comments6.xml><?xml version="1.0" encoding="utf-8"?>
<comments xmlns="http://schemas.openxmlformats.org/spreadsheetml/2006/main">
  <authors>
    <author xml:space="preserve"> </author>
  </authors>
  <commentList>
    <comment ref="C7" authorId="0" shapeId="0">
      <text>
        <r>
          <rPr>
            <b/>
            <sz val="10"/>
            <color indexed="81"/>
            <rFont val="Tahoma"/>
            <family val="2"/>
          </rPr>
          <t>=4/3*PI()*(B6^3)</t>
        </r>
      </text>
    </comment>
    <comment ref="D8" authorId="0" shapeId="0">
      <text>
        <r>
          <rPr>
            <b/>
            <sz val="10"/>
            <color indexed="81"/>
            <rFont val="Tahoma"/>
            <family val="2"/>
          </rPr>
          <t>=(C8-C6)/(2*C3)</t>
        </r>
      </text>
    </comment>
    <comment ref="G8" authorId="0" shapeId="0">
      <text>
        <r>
          <rPr>
            <b/>
            <sz val="10"/>
            <color indexed="81"/>
            <rFont val="Tahoma"/>
            <family val="2"/>
          </rPr>
          <t>=(C8-2*C7+C6)/(C3^2)</t>
        </r>
      </text>
    </comment>
    <comment ref="H8" authorId="0" shapeId="0">
      <text>
        <r>
          <rPr>
            <b/>
            <sz val="10"/>
            <color indexed="81"/>
            <rFont val="Tahoma"/>
            <family val="2"/>
          </rPr>
          <t>=B7-E7/G7</t>
        </r>
      </text>
    </comment>
  </commentList>
</comments>
</file>

<file path=xl/comments7.xml><?xml version="1.0" encoding="utf-8"?>
<comments xmlns="http://schemas.openxmlformats.org/spreadsheetml/2006/main">
  <authors>
    <author xml:space="preserve"> </author>
  </authors>
  <commentList>
    <comment ref="D9" authorId="0" shapeId="0">
      <text>
        <r>
          <rPr>
            <b/>
            <sz val="10"/>
            <color indexed="81"/>
            <rFont val="Tahoma"/>
            <family val="2"/>
          </rPr>
          <t>f(y) = x</t>
        </r>
        <r>
          <rPr>
            <b/>
            <vertAlign val="superscript"/>
            <sz val="10"/>
            <color indexed="81"/>
            <rFont val="Tahoma"/>
            <family val="2"/>
          </rPr>
          <t>3</t>
        </r>
        <r>
          <rPr>
            <b/>
            <sz val="10"/>
            <color indexed="81"/>
            <rFont val="Tahoma"/>
            <family val="2"/>
          </rPr>
          <t>+y</t>
        </r>
        <r>
          <rPr>
            <b/>
            <vertAlign val="superscript"/>
            <sz val="10"/>
            <color indexed="81"/>
            <rFont val="Tahoma"/>
            <family val="2"/>
          </rPr>
          <t>3</t>
        </r>
        <r>
          <rPr>
            <b/>
            <sz val="10"/>
            <color indexed="81"/>
            <rFont val="Tahoma"/>
            <family val="2"/>
          </rPr>
          <t xml:space="preserve"> - 2xy</t>
        </r>
      </text>
    </comment>
    <comment ref="G9" authorId="0" shapeId="0">
      <text>
        <r>
          <rPr>
            <b/>
            <sz val="10"/>
            <color indexed="81"/>
            <rFont val="Tahoma"/>
            <family val="2"/>
          </rPr>
          <t>f'(y) = [f(y+h)-f(y-h)]/(2h</t>
        </r>
        <r>
          <rPr>
            <b/>
            <vertAlign val="subscript"/>
            <sz val="10"/>
            <color indexed="81"/>
            <rFont val="Tahoma"/>
            <family val="2"/>
          </rPr>
          <t>y</t>
        </r>
        <r>
          <rPr>
            <b/>
            <sz val="10"/>
            <color indexed="81"/>
            <rFont val="Tahoma"/>
            <family val="2"/>
          </rPr>
          <t>)</t>
        </r>
      </text>
    </comment>
    <comment ref="H9" authorId="0" shapeId="0">
      <text>
        <r>
          <rPr>
            <b/>
            <sz val="10"/>
            <color indexed="81"/>
            <rFont val="Tahoma"/>
            <family val="2"/>
          </rPr>
          <t>y</t>
        </r>
        <r>
          <rPr>
            <b/>
            <vertAlign val="subscript"/>
            <sz val="10"/>
            <color indexed="81"/>
            <rFont val="Tahoma"/>
            <family val="2"/>
          </rPr>
          <t>i</t>
        </r>
        <r>
          <rPr>
            <b/>
            <sz val="10"/>
            <color indexed="81"/>
            <rFont val="Tahoma"/>
            <family val="2"/>
          </rPr>
          <t xml:space="preserve"> - f(y</t>
        </r>
        <r>
          <rPr>
            <b/>
            <vertAlign val="subscript"/>
            <sz val="10"/>
            <color indexed="81"/>
            <rFont val="Tahoma"/>
            <family val="2"/>
          </rPr>
          <t>i</t>
        </r>
        <r>
          <rPr>
            <b/>
            <sz val="10"/>
            <color indexed="81"/>
            <rFont val="Tahoma"/>
            <family val="2"/>
          </rPr>
          <t>)/f'(y</t>
        </r>
        <r>
          <rPr>
            <b/>
            <vertAlign val="subscript"/>
            <sz val="10"/>
            <color indexed="81"/>
            <rFont val="Tahoma"/>
            <family val="2"/>
          </rPr>
          <t>i</t>
        </r>
        <r>
          <rPr>
            <b/>
            <sz val="10"/>
            <color indexed="81"/>
            <rFont val="Tahoma"/>
            <family val="2"/>
          </rPr>
          <t>)</t>
        </r>
      </text>
    </comment>
    <comment ref="C10" authorId="0" shapeId="0">
      <text>
        <r>
          <rPr>
            <b/>
            <sz val="10"/>
            <color indexed="81"/>
            <rFont val="Tahoma"/>
            <family val="2"/>
          </rPr>
          <t>=SE($D$6="n",$D$7,H10)</t>
        </r>
      </text>
    </comment>
    <comment ref="B11" authorId="0" shapeId="0">
      <text>
        <r>
          <rPr>
            <b/>
            <sz val="10"/>
            <color indexed="81"/>
            <rFont val="Tahoma"/>
            <family val="2"/>
          </rPr>
          <t>-3 + h</t>
        </r>
        <r>
          <rPr>
            <b/>
            <vertAlign val="subscript"/>
            <sz val="10"/>
            <color indexed="81"/>
            <rFont val="Tahoma"/>
            <family val="2"/>
          </rPr>
          <t>x</t>
        </r>
      </text>
    </comment>
    <comment ref="I11" authorId="0" shapeId="0">
      <text>
        <r>
          <rPr>
            <b/>
            <sz val="10"/>
            <color indexed="81"/>
            <rFont val="Tahoma"/>
            <family val="2"/>
          </rPr>
          <t>=(C12-C10)/(B12-B10)</t>
        </r>
      </text>
    </comment>
  </commentList>
</comments>
</file>

<file path=xl/comments8.xml><?xml version="1.0" encoding="utf-8"?>
<comments xmlns="http://schemas.openxmlformats.org/spreadsheetml/2006/main">
  <authors>
    <author xml:space="preserve"> </author>
  </authors>
  <commentList>
    <comment ref="D9" authorId="0" shapeId="0">
      <text>
        <r>
          <rPr>
            <b/>
            <sz val="10"/>
            <color indexed="81"/>
            <rFont val="Tahoma"/>
            <family val="2"/>
          </rPr>
          <t>f(y) = x</t>
        </r>
        <r>
          <rPr>
            <b/>
            <vertAlign val="superscript"/>
            <sz val="10"/>
            <color indexed="81"/>
            <rFont val="Tahoma"/>
            <family val="2"/>
          </rPr>
          <t>3</t>
        </r>
        <r>
          <rPr>
            <b/>
            <sz val="10"/>
            <color indexed="81"/>
            <rFont val="Tahoma"/>
            <family val="2"/>
          </rPr>
          <t>+y</t>
        </r>
        <r>
          <rPr>
            <b/>
            <vertAlign val="superscript"/>
            <sz val="10"/>
            <color indexed="81"/>
            <rFont val="Tahoma"/>
            <family val="2"/>
          </rPr>
          <t>3</t>
        </r>
        <r>
          <rPr>
            <b/>
            <sz val="10"/>
            <color indexed="81"/>
            <rFont val="Tahoma"/>
            <family val="2"/>
          </rPr>
          <t xml:space="preserve"> - 2xy</t>
        </r>
      </text>
    </comment>
    <comment ref="G9" authorId="0" shapeId="0">
      <text>
        <r>
          <rPr>
            <b/>
            <sz val="10"/>
            <color indexed="81"/>
            <rFont val="Tahoma"/>
            <family val="2"/>
          </rPr>
          <t>f'(y) = [f(y+h)-f(y-h)]/(2h</t>
        </r>
        <r>
          <rPr>
            <b/>
            <vertAlign val="subscript"/>
            <sz val="10"/>
            <color indexed="81"/>
            <rFont val="Tahoma"/>
            <family val="2"/>
          </rPr>
          <t>y</t>
        </r>
        <r>
          <rPr>
            <b/>
            <sz val="10"/>
            <color indexed="81"/>
            <rFont val="Tahoma"/>
            <family val="2"/>
          </rPr>
          <t>)</t>
        </r>
      </text>
    </comment>
    <comment ref="H9" authorId="0" shapeId="0">
      <text>
        <r>
          <rPr>
            <b/>
            <sz val="10"/>
            <color indexed="81"/>
            <rFont val="Tahoma"/>
            <family val="2"/>
          </rPr>
          <t>y</t>
        </r>
        <r>
          <rPr>
            <b/>
            <vertAlign val="subscript"/>
            <sz val="10"/>
            <color indexed="81"/>
            <rFont val="Tahoma"/>
            <family val="2"/>
          </rPr>
          <t>i</t>
        </r>
        <r>
          <rPr>
            <b/>
            <sz val="10"/>
            <color indexed="81"/>
            <rFont val="Tahoma"/>
            <family val="2"/>
          </rPr>
          <t xml:space="preserve"> - f(y</t>
        </r>
        <r>
          <rPr>
            <b/>
            <vertAlign val="subscript"/>
            <sz val="10"/>
            <color indexed="81"/>
            <rFont val="Tahoma"/>
            <family val="2"/>
          </rPr>
          <t>i</t>
        </r>
        <r>
          <rPr>
            <b/>
            <sz val="10"/>
            <color indexed="81"/>
            <rFont val="Tahoma"/>
            <family val="2"/>
          </rPr>
          <t>)/f'(y</t>
        </r>
        <r>
          <rPr>
            <b/>
            <vertAlign val="subscript"/>
            <sz val="10"/>
            <color indexed="81"/>
            <rFont val="Tahoma"/>
            <family val="2"/>
          </rPr>
          <t>i</t>
        </r>
        <r>
          <rPr>
            <b/>
            <sz val="10"/>
            <color indexed="81"/>
            <rFont val="Tahoma"/>
            <family val="2"/>
          </rPr>
          <t>)</t>
        </r>
      </text>
    </comment>
    <comment ref="C10" authorId="0" shapeId="0">
      <text>
        <r>
          <rPr>
            <b/>
            <sz val="10"/>
            <color indexed="81"/>
            <rFont val="Tahoma"/>
            <family val="2"/>
          </rPr>
          <t>=SE($D$6="n",$D$7,H10)</t>
        </r>
      </text>
    </comment>
    <comment ref="B11" authorId="0" shapeId="0">
      <text>
        <r>
          <rPr>
            <b/>
            <sz val="10"/>
            <color indexed="81"/>
            <rFont val="Tahoma"/>
            <family val="2"/>
          </rPr>
          <t>-3 + h</t>
        </r>
        <r>
          <rPr>
            <b/>
            <vertAlign val="subscript"/>
            <sz val="10"/>
            <color indexed="81"/>
            <rFont val="Tahoma"/>
            <family val="2"/>
          </rPr>
          <t>x</t>
        </r>
      </text>
    </comment>
    <comment ref="I11" authorId="0" shapeId="0">
      <text>
        <r>
          <rPr>
            <b/>
            <sz val="10"/>
            <color indexed="81"/>
            <rFont val="Tahoma"/>
            <family val="2"/>
          </rPr>
          <t>=(C12-C10)/(B12-B10)</t>
        </r>
      </text>
    </comment>
  </commentList>
</comments>
</file>

<file path=xl/comments9.xml><?xml version="1.0" encoding="utf-8"?>
<comments xmlns="http://schemas.openxmlformats.org/spreadsheetml/2006/main">
  <authors>
    <author xml:space="preserve"> </author>
  </authors>
  <commentList>
    <comment ref="G9" authorId="0" shapeId="0">
      <text>
        <r>
          <rPr>
            <b/>
            <sz val="10"/>
            <color indexed="81"/>
            <rFont val="Tahoma"/>
            <family val="2"/>
          </rPr>
          <t>y'''(x) =( yi+3 -3*yi+2 +3yi+1 -yi )/(h^3)</t>
        </r>
      </text>
    </comment>
  </commentList>
</comments>
</file>

<file path=xl/comments10.xml><?xml version="1.0" encoding="utf-8"?>
<comments xmlns="http://schemas.openxmlformats.org/spreadsheetml/2006/main">
  <authors>
    <author>gustavo</author>
  </authors>
  <commentList>
    <comment ref="R7" authorId="0" shapeId="0">
      <text>
        <r>
          <rPr>
            <sz val="9"/>
            <color indexed="81"/>
            <rFont val="Tahoma"/>
            <family val="2"/>
          </rPr>
          <t>The input values are along the side, the output cell(s) are shown along the top</t>
        </r>
      </text>
    </comment>
    <comment ref="R8" authorId="0" shapeId="0">
      <text>
        <r>
          <rPr>
            <sz val="9"/>
            <color indexed="81"/>
            <rFont val="Tahoma"/>
            <family val="2"/>
          </rPr>
          <t>Remember that the input cell is $P$8</t>
        </r>
      </text>
    </comment>
    <comment ref="S8" authorId="0" shapeId="0">
      <text>
        <r>
          <rPr>
            <sz val="9"/>
            <color indexed="81"/>
            <rFont val="Tahoma"/>
            <family val="2"/>
          </rPr>
          <t>This problem has no feasible solution.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This problem has no feasible solution.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12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14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15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S22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</commentList>
</comments>
</file>

<file path=xl/comments11.xml><?xml version="1.0" encoding="utf-8"?>
<comments xmlns="http://schemas.openxmlformats.org/spreadsheetml/2006/main">
  <authors>
    <author>gustavo</author>
  </authors>
  <commentList>
    <comment ref="E20" authorId="0" shapeId="0">
      <text>
        <r>
          <rPr>
            <sz val="9"/>
            <color indexed="81"/>
            <rFont val="Tahoma"/>
            <family val="2"/>
          </rPr>
          <t>The input values are along the side, the output cell(s) are shown along the top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Remember that the input cell is $P$11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This problem has no feasible solution.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>This problem has no feasible solution.</t>
        </r>
      </text>
    </comment>
    <comment ref="F23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24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25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28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31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  <comment ref="F33" authorId="0" shapeId="0">
      <text>
        <r>
          <rPr>
            <sz val="9"/>
            <color indexed="81"/>
            <rFont val="Tahoma"/>
            <family val="2"/>
          </rPr>
          <t>Solver found a solution. All constraints and optimality conditions are satisfied.</t>
        </r>
      </text>
    </comment>
  </commentList>
</comments>
</file>

<file path=xl/sharedStrings.xml><?xml version="1.0" encoding="utf-8"?>
<sst xmlns="http://schemas.openxmlformats.org/spreadsheetml/2006/main" count="719" uniqueCount="324">
  <si>
    <t>D =</t>
  </si>
  <si>
    <t>L =</t>
  </si>
  <si>
    <t>&lt;=</t>
  </si>
  <si>
    <t>=</t>
  </si>
  <si>
    <t>m3</t>
  </si>
  <si>
    <t>m</t>
  </si>
  <si>
    <t>Espessura =</t>
  </si>
  <si>
    <t>Densidade =</t>
  </si>
  <si>
    <t>Cm =</t>
  </si>
  <si>
    <t xml:space="preserve"> /kg</t>
  </si>
  <si>
    <t>Cs =</t>
  </si>
  <si>
    <t xml:space="preserve"> /m</t>
  </si>
  <si>
    <t>Ctm =</t>
  </si>
  <si>
    <t>Cts =</t>
  </si>
  <si>
    <t>Ct =</t>
  </si>
  <si>
    <t>D.interno</t>
  </si>
  <si>
    <t>Compr.</t>
  </si>
  <si>
    <t>Volume Interno =</t>
  </si>
  <si>
    <t>Volume Externo =</t>
  </si>
  <si>
    <t>Volume da Tampa =</t>
  </si>
  <si>
    <t>Volume Total =</t>
  </si>
  <si>
    <t>kg/m3</t>
  </si>
  <si>
    <t>Compr.de Solda Interno =</t>
  </si>
  <si>
    <t>Compr.de Solda Externo =</t>
  </si>
  <si>
    <t>D máximo =</t>
  </si>
  <si>
    <t>L máximo =</t>
  </si>
  <si>
    <t>Massa Total =</t>
  </si>
  <si>
    <t>Comprimento Total =</t>
  </si>
  <si>
    <t>kg</t>
  </si>
  <si>
    <t>Mínimo</t>
  </si>
  <si>
    <t>a</t>
  </si>
  <si>
    <t>Custo total =</t>
  </si>
  <si>
    <t>Custo do Material =</t>
  </si>
  <si>
    <t>Custo Solda=</t>
  </si>
  <si>
    <t>Massa do Material =</t>
  </si>
  <si>
    <t>Compr.Tot=</t>
  </si>
  <si>
    <t>Compr.Int.=</t>
  </si>
  <si>
    <t>Volume Tampa=</t>
  </si>
  <si>
    <t>Compr.Ext.=</t>
  </si>
  <si>
    <t>Volume Ext.=</t>
  </si>
  <si>
    <t>/m</t>
  </si>
  <si>
    <t>Cust.Solda =</t>
  </si>
  <si>
    <t>Diametro =</t>
  </si>
  <si>
    <t>/kg</t>
  </si>
  <si>
    <t>Cust.Mat.=</t>
  </si>
  <si>
    <t>Comprim =</t>
  </si>
  <si>
    <t>Dmax =</t>
  </si>
  <si>
    <t>Vol.Interno =</t>
  </si>
  <si>
    <t>Lmax =</t>
  </si>
  <si>
    <t>D=</t>
  </si>
  <si>
    <t>Espessura(l) =</t>
  </si>
  <si>
    <t>L=</t>
  </si>
  <si>
    <t>Vol.Pedido =</t>
  </si>
  <si>
    <t>O EXCEL FAZ O RECÁLCULO COLUNA POR COLUNA</t>
  </si>
  <si>
    <t>CREIO SER DECORRENTE DO PROCESSO DE RECÁLCULO DO EXCEL</t>
  </si>
  <si>
    <t>ki+1</t>
  </si>
  <si>
    <t>DÁ ERRO</t>
  </si>
  <si>
    <t xml:space="preserve">           FEITA EM LINHA</t>
  </si>
  <si>
    <t>POSTO AQUI</t>
  </si>
  <si>
    <t xml:space="preserve">OBS : A ITERAÇÃO PARA FUNCIONAR PRECISA SER </t>
  </si>
  <si>
    <t>f''[x(k),y(k)]</t>
  </si>
  <si>
    <t>f'[x(k),y(k)]</t>
  </si>
  <si>
    <t>f[x(k-h),y(k-h)]</t>
  </si>
  <si>
    <t>y(k-h)</t>
  </si>
  <si>
    <t>x(k-h)</t>
  </si>
  <si>
    <t>k-h</t>
  </si>
  <si>
    <t>f[x(k+h),y(k+h)]</t>
  </si>
  <si>
    <t>y(k+h)</t>
  </si>
  <si>
    <t>x(k+h)</t>
  </si>
  <si>
    <t>k+h</t>
  </si>
  <si>
    <t>fy(x,y)</t>
  </si>
  <si>
    <t>f(x,y-h)</t>
  </si>
  <si>
    <t>f(x,y+h)</t>
  </si>
  <si>
    <t>yi+1</t>
  </si>
  <si>
    <t>xi+1</t>
  </si>
  <si>
    <t>f[x(k),y(k)]</t>
  </si>
  <si>
    <t>y(k)=yi+k*fy(x,y)</t>
  </si>
  <si>
    <t>x(k)=xi+k*fx(x,y)</t>
  </si>
  <si>
    <t>k</t>
  </si>
  <si>
    <t>fx(x,y)</t>
  </si>
  <si>
    <t>f(x-h,y)</t>
  </si>
  <si>
    <t>f(x+h,y)</t>
  </si>
  <si>
    <t>f(x,y)</t>
  </si>
  <si>
    <t>yi</t>
  </si>
  <si>
    <t>xi</t>
  </si>
  <si>
    <t>kinicial=</t>
  </si>
  <si>
    <t>yinicial</t>
  </si>
  <si>
    <t>xinicial</t>
  </si>
  <si>
    <t>Inicia?</t>
  </si>
  <si>
    <t>n</t>
  </si>
  <si>
    <t>h=</t>
  </si>
  <si>
    <t>f(x,y) = 2xy + 2x -x^2 -2y^2</t>
  </si>
  <si>
    <t>kmax</t>
  </si>
  <si>
    <t>next k</t>
  </si>
  <si>
    <t>kinicial</t>
  </si>
  <si>
    <t>y</t>
  </si>
  <si>
    <t>x</t>
  </si>
  <si>
    <t>Custo Tot.:</t>
  </si>
  <si>
    <t xml:space="preserve"> (R_34*cf_3*Q_34+(1-x_4)*P_4)/Q_45=</t>
  </si>
  <si>
    <t xml:space="preserve"> 4-5</t>
  </si>
  <si>
    <t xml:space="preserve"> (R_13*cf_1*Q_13+R_23*cf_2*Q_23+(1-x_3)*P_3)/Q_34=</t>
  </si>
  <si>
    <t xml:space="preserve"> 3-4</t>
  </si>
  <si>
    <t xml:space="preserve"> (1-x_2)*P_2/Q_23=</t>
  </si>
  <si>
    <t xml:space="preserve"> 2-3</t>
  </si>
  <si>
    <t xml:space="preserve">  (1-x_1)*P_1/Q_13=</t>
  </si>
  <si>
    <t xml:space="preserve"> 1-3</t>
  </si>
  <si>
    <t>cf(mg/L)</t>
  </si>
  <si>
    <t>Custo/Dia</t>
  </si>
  <si>
    <t>x%</t>
  </si>
  <si>
    <t>Segmento</t>
  </si>
  <si>
    <t>cs(mg/L) lim.</t>
  </si>
  <si>
    <t>R</t>
  </si>
  <si>
    <t>Q(L/dia)</t>
  </si>
  <si>
    <t>ci(mg/L)</t>
  </si>
  <si>
    <r>
      <t>di($10</t>
    </r>
    <r>
      <rPr>
        <vertAlign val="superscript"/>
        <sz val="11"/>
        <color indexed="8"/>
        <rFont val="Calibri"/>
        <family val="2"/>
      </rPr>
      <t>-6</t>
    </r>
    <r>
      <rPr>
        <sz val="11"/>
        <color theme="1"/>
        <rFont val="Calibri"/>
        <family val="2"/>
        <scheme val="minor"/>
      </rPr>
      <t>/mg)</t>
    </r>
  </si>
  <si>
    <t>Pi(mg/d)</t>
  </si>
  <si>
    <t>Cidade</t>
  </si>
  <si>
    <t>Custo Total =</t>
  </si>
  <si>
    <t>climite (mg/L)</t>
  </si>
  <si>
    <t>cf (mg/L)</t>
  </si>
  <si>
    <t>ci (mg/L)</t>
  </si>
  <si>
    <t>mg tratadas</t>
  </si>
  <si>
    <t>% de Trat.</t>
  </si>
  <si>
    <t>Di($10^-6/mg)</t>
  </si>
  <si>
    <t>Pi(mg/dia)</t>
  </si>
  <si>
    <t xml:space="preserve"> </t>
  </si>
  <si>
    <t>% de rec.natural</t>
  </si>
  <si>
    <t>Vazão</t>
  </si>
  <si>
    <t>Custo de Remoção por miligrama removida</t>
  </si>
  <si>
    <t>Total de Dejetos</t>
  </si>
  <si>
    <t>Total =</t>
  </si>
  <si>
    <t>d($/Ton)</t>
  </si>
  <si>
    <t xml:space="preserve"> 4-5=</t>
  </si>
  <si>
    <t>P4=</t>
  </si>
  <si>
    <t xml:space="preserve"> 3-4=</t>
  </si>
  <si>
    <t>P3=</t>
  </si>
  <si>
    <t xml:space="preserve"> 2-3=</t>
  </si>
  <si>
    <t>P2=</t>
  </si>
  <si>
    <t xml:space="preserve"> 1-3=</t>
  </si>
  <si>
    <t>P1=</t>
  </si>
  <si>
    <t>cLim(mg/l)</t>
  </si>
  <si>
    <t>cCalc</t>
  </si>
  <si>
    <t>%Nat.Ret.</t>
  </si>
  <si>
    <t>Q(litros)</t>
  </si>
  <si>
    <t>X(%)</t>
  </si>
  <si>
    <t>P(ton)</t>
  </si>
  <si>
    <t>Objetivo: minimizar somar produto (Quant., custos, unitários)</t>
  </si>
  <si>
    <t>Custo Total :</t>
  </si>
  <si>
    <t>NY</t>
  </si>
  <si>
    <t>Chicago</t>
  </si>
  <si>
    <t>Memphis</t>
  </si>
  <si>
    <t>St. Louis</t>
  </si>
  <si>
    <t>Denver</t>
  </si>
  <si>
    <t>Chegada</t>
  </si>
  <si>
    <t>L.A.</t>
  </si>
  <si>
    <t>San Diego</t>
  </si>
  <si>
    <t>Transporte</t>
  </si>
  <si>
    <t>Saida</t>
  </si>
  <si>
    <t>Custo</t>
  </si>
  <si>
    <t>Para</t>
  </si>
  <si>
    <t>De</t>
  </si>
  <si>
    <t>Quantidade</t>
  </si>
  <si>
    <t>Entrada - Saída</t>
  </si>
  <si>
    <t>&gt;=</t>
  </si>
  <si>
    <t>Mobile</t>
  </si>
  <si>
    <t>Atlanta</t>
  </si>
  <si>
    <t>Richmond</t>
  </si>
  <si>
    <t>Columbus</t>
  </si>
  <si>
    <t>Boston</t>
  </si>
  <si>
    <t>Demanda</t>
  </si>
  <si>
    <t>Fluxo</t>
  </si>
  <si>
    <t>Entrada</t>
  </si>
  <si>
    <t xml:space="preserve"> Saída - Entrada</t>
  </si>
  <si>
    <t>Jacksonville</t>
  </si>
  <si>
    <t>Newark</t>
  </si>
  <si>
    <t>Capacidade</t>
  </si>
  <si>
    <t>Saída</t>
  </si>
  <si>
    <t>Nó</t>
  </si>
  <si>
    <t>Custo Un.</t>
  </si>
  <si>
    <t xml:space="preserve">     Para</t>
  </si>
  <si>
    <t xml:space="preserve">    De</t>
  </si>
  <si>
    <t>Not feasible</t>
  </si>
  <si>
    <t>Saida-Entrada</t>
  </si>
  <si>
    <t>Custo Tot.</t>
  </si>
  <si>
    <t>Capacid.</t>
  </si>
  <si>
    <t>% Aumento</t>
  </si>
  <si>
    <t>No Limite</t>
  </si>
  <si>
    <t>Fl.Max.</t>
  </si>
  <si>
    <t>Soma :</t>
  </si>
  <si>
    <t>Fluxo Máximo</t>
  </si>
  <si>
    <t>No Limite?</t>
  </si>
  <si>
    <t>Dem.2</t>
  </si>
  <si>
    <t>Mod.2</t>
  </si>
  <si>
    <t>Dem.1</t>
  </si>
  <si>
    <t>Mod.1</t>
  </si>
  <si>
    <t>Cap.2</t>
  </si>
  <si>
    <t>Cap.1</t>
  </si>
  <si>
    <t>Total</t>
  </si>
  <si>
    <t xml:space="preserve"> = Máximo</t>
  </si>
  <si>
    <t>Lucro:</t>
  </si>
  <si>
    <t>Horas:</t>
  </si>
  <si>
    <t>Mat.Prim:</t>
  </si>
  <si>
    <t>Quant.:</t>
  </si>
  <si>
    <t>P3</t>
  </si>
  <si>
    <t>P2</t>
  </si>
  <si>
    <t>P1</t>
  </si>
  <si>
    <t>N</t>
  </si>
  <si>
    <t>F=</t>
  </si>
  <si>
    <t>z=raiz(x2+y2)</t>
  </si>
  <si>
    <t>V(x,y)</t>
  </si>
  <si>
    <t>Theta</t>
  </si>
  <si>
    <t>l=</t>
  </si>
  <si>
    <t>w=</t>
  </si>
  <si>
    <t>m2</t>
  </si>
  <si>
    <t>A=</t>
  </si>
  <si>
    <t>Theta(graus)</t>
  </si>
  <si>
    <t>Pa</t>
  </si>
  <si>
    <t>E=</t>
  </si>
  <si>
    <t>L(x+h)</t>
  </si>
  <si>
    <t>x+h</t>
  </si>
  <si>
    <t>L(x-h)</t>
  </si>
  <si>
    <t>x-h</t>
  </si>
  <si>
    <t>L'(x)</t>
  </si>
  <si>
    <t>L(x)</t>
  </si>
  <si>
    <t>Valor inicial=</t>
  </si>
  <si>
    <t>s</t>
  </si>
  <si>
    <t>Inicia=</t>
  </si>
  <si>
    <t>L''(x)</t>
  </si>
  <si>
    <t>Planilha para a obtenção da raiz de L'(x) ou Planilha para maximização de L(x)</t>
  </si>
  <si>
    <t>x.y</t>
  </si>
  <si>
    <t>Restrição</t>
  </si>
  <si>
    <t>x+y</t>
  </si>
  <si>
    <t>Objetivo</t>
  </si>
  <si>
    <t>Variáveis</t>
  </si>
  <si>
    <t>Determ.</t>
  </si>
  <si>
    <t>Preço</t>
  </si>
  <si>
    <t>Receita</t>
  </si>
  <si>
    <t>f"(x)</t>
  </si>
  <si>
    <t>f'(x)</t>
  </si>
  <si>
    <t>f(x)</t>
  </si>
  <si>
    <t>Valor Inicial?</t>
  </si>
  <si>
    <t>f''(x) = [ f(x+h) -2.f(x) + f(x-h) ] / (h^2)</t>
  </si>
  <si>
    <t>f'(x) = [ f(x+h) - f(x-h) ] / (2h)</t>
  </si>
  <si>
    <t>f(x) = -x^3+3*x^2+9*x-1 em -2 &lt;= x &lt;= 2</t>
  </si>
  <si>
    <t>f -&gt; implementado em VB como função f</t>
  </si>
  <si>
    <t>x---&gt;</t>
  </si>
  <si>
    <t>Lm''(x,Tr)</t>
  </si>
  <si>
    <t>Lm'(x,Tr)</t>
  </si>
  <si>
    <t>Lm(x,Tr)</t>
  </si>
  <si>
    <t>Valor Inicial =</t>
  </si>
  <si>
    <t>Inicia ?</t>
  </si>
  <si>
    <t>Tr =</t>
  </si>
  <si>
    <t>red.imp.</t>
  </si>
  <si>
    <t xml:space="preserve"> = 150x + 750.000</t>
  </si>
  <si>
    <t>C(x)</t>
  </si>
  <si>
    <t>custo</t>
  </si>
  <si>
    <t xml:space="preserve"> = 1.050 -0.03x</t>
  </si>
  <si>
    <t>p(x)</t>
  </si>
  <si>
    <t>preço</t>
  </si>
  <si>
    <t>Efeito da Redução de Impostos no Lucro e na Produção do Monopolista</t>
  </si>
  <si>
    <t xml:space="preserve"> 64.pi =</t>
  </si>
  <si>
    <t xml:space="preserve"> ----&gt;</t>
  </si>
  <si>
    <t>ri+1</t>
  </si>
  <si>
    <t>V''( r )</t>
  </si>
  <si>
    <t>V'( r ) - 64.pi = 0</t>
  </si>
  <si>
    <t>V'( r )</t>
  </si>
  <si>
    <t>V( r )</t>
  </si>
  <si>
    <t>r</t>
  </si>
  <si>
    <t>Cálculo de V'(r)=64.pi via Newton-Raphson com iteração</t>
  </si>
  <si>
    <t>f'x(yi)</t>
  </si>
  <si>
    <t>f'(yi)</t>
  </si>
  <si>
    <t>f(yi-h)</t>
  </si>
  <si>
    <t>f(yi+h)</t>
  </si>
  <si>
    <t>f(yi)</t>
  </si>
  <si>
    <t>Valor y Inicial :</t>
  </si>
  <si>
    <t>hy</t>
  </si>
  <si>
    <t>hx</t>
  </si>
  <si>
    <r>
      <t>x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>+y</t>
    </r>
    <r>
      <rPr>
        <vertAlign val="superscript"/>
        <sz val="11"/>
        <color indexed="8"/>
        <rFont val="Calibri"/>
        <family val="2"/>
      </rPr>
      <t xml:space="preserve">3 </t>
    </r>
    <r>
      <rPr>
        <sz val="11"/>
        <color theme="1"/>
        <rFont val="Calibri"/>
        <family val="2"/>
        <scheme val="minor"/>
      </rPr>
      <t>= 2xy --&gt; x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>+y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 xml:space="preserve"> - 2xy = 0 </t>
    </r>
  </si>
  <si>
    <t>Esquema genérico para o cálculo de Funções Implícitas</t>
  </si>
  <si>
    <r>
      <t>f'</t>
    </r>
    <r>
      <rPr>
        <vertAlign val="subscript"/>
        <sz val="11"/>
        <color indexed="8"/>
        <rFont val="Calibri"/>
        <family val="2"/>
      </rPr>
      <t>x</t>
    </r>
    <r>
      <rPr>
        <sz val="11"/>
        <color theme="1"/>
        <rFont val="Calibri"/>
        <family val="2"/>
        <scheme val="minor"/>
      </rPr>
      <t>(y</t>
    </r>
    <r>
      <rPr>
        <vertAlign val="subscript"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>)-alg.</t>
    </r>
  </si>
  <si>
    <r>
      <t>f'</t>
    </r>
    <r>
      <rPr>
        <vertAlign val="subscript"/>
        <sz val="11"/>
        <color indexed="8"/>
        <rFont val="Calibri"/>
        <family val="2"/>
      </rPr>
      <t>x</t>
    </r>
    <r>
      <rPr>
        <sz val="11"/>
        <color theme="1"/>
        <rFont val="Calibri"/>
        <family val="2"/>
        <scheme val="minor"/>
      </rPr>
      <t>(y</t>
    </r>
    <r>
      <rPr>
        <vertAlign val="subscript"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>)</t>
    </r>
  </si>
  <si>
    <r>
      <t>y</t>
    </r>
    <r>
      <rPr>
        <vertAlign val="subscript"/>
        <sz val="11"/>
        <color indexed="8"/>
        <rFont val="Calibri"/>
        <family val="2"/>
      </rPr>
      <t>i+1</t>
    </r>
  </si>
  <si>
    <r>
      <t>f'(y</t>
    </r>
    <r>
      <rPr>
        <vertAlign val="subscript"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>)</t>
    </r>
  </si>
  <si>
    <r>
      <t>f(y</t>
    </r>
    <r>
      <rPr>
        <vertAlign val="subscript"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>-h)</t>
    </r>
  </si>
  <si>
    <r>
      <t>f(y</t>
    </r>
    <r>
      <rPr>
        <vertAlign val="subscript"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>+h)</t>
    </r>
  </si>
  <si>
    <r>
      <t>f(y</t>
    </r>
    <r>
      <rPr>
        <vertAlign val="subscript"/>
        <sz val="11"/>
        <color indexed="8"/>
        <rFont val="Calibri"/>
        <family val="2"/>
      </rPr>
      <t>i</t>
    </r>
    <r>
      <rPr>
        <sz val="11"/>
        <color theme="1"/>
        <rFont val="Calibri"/>
        <family val="2"/>
        <scheme val="minor"/>
      </rPr>
      <t>)</t>
    </r>
  </si>
  <si>
    <r>
      <t>y</t>
    </r>
    <r>
      <rPr>
        <vertAlign val="subscript"/>
        <sz val="11"/>
        <color indexed="8"/>
        <rFont val="Calibri"/>
        <family val="2"/>
      </rPr>
      <t>i</t>
    </r>
  </si>
  <si>
    <r>
      <t>y' = (2y-3x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)/(3y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-2x)</t>
    </r>
  </si>
  <si>
    <r>
      <t>3y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y' - 2xy' = 2y - 3x</t>
    </r>
    <r>
      <rPr>
        <vertAlign val="superscript"/>
        <sz val="11"/>
        <color indexed="8"/>
        <rFont val="Calibri"/>
        <family val="2"/>
      </rPr>
      <t>2</t>
    </r>
  </si>
  <si>
    <r>
      <t>3x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 + 3y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y' - 2y -2xy' = 0</t>
    </r>
  </si>
  <si>
    <r>
      <t>x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 xml:space="preserve"> + y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 xml:space="preserve"> - 2.x.y = 0</t>
    </r>
  </si>
  <si>
    <t>Derivada Algébrica</t>
  </si>
  <si>
    <t>ph''</t>
  </si>
  <si>
    <t>m(V/Va)</t>
  </si>
  <si>
    <t>ph'</t>
  </si>
  <si>
    <t>pHexp</t>
  </si>
  <si>
    <t>V/Va</t>
  </si>
  <si>
    <t>y'</t>
  </si>
  <si>
    <t>y' (0)=</t>
  </si>
  <si>
    <t>Dif%</t>
  </si>
  <si>
    <t>y'(0)</t>
  </si>
  <si>
    <t>a/4</t>
  </si>
  <si>
    <t>a/4=</t>
  </si>
  <si>
    <t>a=</t>
  </si>
  <si>
    <t>y = 1/ [ 1 + exp(-ax) ]</t>
  </si>
  <si>
    <t>Inclinação da Equação Logística no seu Ponto Médio</t>
  </si>
  <si>
    <t>y = e^(-x^2)</t>
  </si>
  <si>
    <t>Gráfico de y = e^(-x^2) da derivada de y = e^(-x^2)</t>
  </si>
  <si>
    <t xml:space="preserve">  Newton-Raphson</t>
  </si>
  <si>
    <t xml:space="preserve">  pois com y''' podemos utilizar o método de </t>
  </si>
  <si>
    <t xml:space="preserve">  Para encontrar a raiz de y'' temos de calcular y'''</t>
  </si>
  <si>
    <t>Lembrando : y' terá um máximo quando sua derivada y'' for 0</t>
  </si>
  <si>
    <t>y'''(x)</t>
  </si>
  <si>
    <t>y(x+3.h)</t>
  </si>
  <si>
    <t>x+3.h</t>
  </si>
  <si>
    <t>y(x+2.h)</t>
  </si>
  <si>
    <t>x+2.h</t>
  </si>
  <si>
    <t>y''(x)</t>
  </si>
  <si>
    <t>y'(x)</t>
  </si>
  <si>
    <t>y(x-h)</t>
  </si>
  <si>
    <t>y(x+h)</t>
  </si>
  <si>
    <t>y(x)</t>
  </si>
  <si>
    <t>Val.Inic.=</t>
  </si>
  <si>
    <t>Qual o ponto em que a derivada de y(x) = exp[-(x^2)] tem um máximo?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</si>
</sst>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_(* #,##0.00_);_(* \(#,##0.00\);_(* &quot;-&quot;??_);_(@_)"/>
    <numFmt numFmtId="165" formatCode="[$$-409]#,##0.00"/>
    <numFmt numFmtId="166" formatCode="0.0000"/>
    <numFmt numFmtId="167" formatCode="0.000"/>
    <numFmt numFmtId="168" formatCode="0.0"/>
    <numFmt numFmtId="169" formatCode="[$$-409]#,##0"/>
    <numFmt numFmtId="170" formatCode="[$$-409]#,##0.0"/>
    <numFmt numFmtId="171" formatCode="_([$$-409]* #,##0_);_([$$-409]* \(#,##0\);_([$$-409]* &quot;-&quot;??_);_(@_)"/>
    <numFmt numFmtId="172" formatCode="_([$$-409]* #,##0.00_);_([$$-409]* \(#,##0.00\);_([$$-409]* &quot;-&quot;??_);_(@_)"/>
    <numFmt numFmtId="173" formatCode="#,##0.0"/>
    <numFmt numFmtId="174" formatCode="0.0%"/>
  </numFmts>
  <fonts count="19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9"/>
      <color rgb="FF333333"/>
      <name val="Verdana"/>
      <family val="2"/>
    </font>
    <font>
      <vertAlign val="superscript"/>
      <sz val="11"/>
      <color indexed="8"/>
      <name val="Calibri"/>
      <family val="2"/>
    </font>
    <font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vertAlign val="subscript"/>
      <sz val="10"/>
      <color indexed="81"/>
      <name val="Tahoma"/>
      <family val="2"/>
    </font>
    <font>
      <b/>
      <vertAlign val="superscript"/>
      <sz val="10"/>
      <color indexed="81"/>
      <name val="Tahoma"/>
      <family val="2"/>
    </font>
    <font>
      <vertAlign val="subscript"/>
      <sz val="11"/>
      <color indexed="8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9" fontId="13" fillId="0" borderId="0" applyFont="0" applyFill="0" applyBorder="0" applyAlignment="0" applyProtection="0"/>
  </cellStyleXfs>
  <cellXfs count="2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1" xfId="0" applyFill="1" applyBorder="1"/>
    <xf numFmtId="0" fontId="0" fillId="0" borderId="0" xfId="0" applyFill="1" applyBorder="1" applyAlignment="1">
      <alignment horizontal="right"/>
    </xf>
    <xf numFmtId="165" fontId="0" fillId="0" borderId="0" xfId="0" applyNumberFormat="1"/>
    <xf numFmtId="0" fontId="0" fillId="0" borderId="2" xfId="0" applyBorder="1" applyAlignment="1">
      <alignment horizontal="right"/>
    </xf>
    <xf numFmtId="2" fontId="0" fillId="4" borderId="1" xfId="0" applyNumberFormat="1" applyFill="1" applyBorder="1"/>
    <xf numFmtId="2" fontId="0" fillId="5" borderId="1" xfId="0" applyNumberFormat="1" applyFill="1" applyBorder="1"/>
    <xf numFmtId="0" fontId="0" fillId="0" borderId="2" xfId="0" applyBorder="1"/>
    <xf numFmtId="2" fontId="0" fillId="0" borderId="0" xfId="0" applyNumberFormat="1"/>
    <xf numFmtId="0" fontId="0" fillId="0" borderId="0" xfId="0" applyBorder="1" applyAlignment="1">
      <alignment horizontal="right"/>
    </xf>
    <xf numFmtId="3" fontId="0" fillId="0" borderId="0" xfId="0" applyNumberFormat="1"/>
    <xf numFmtId="0" fontId="0" fillId="0" borderId="0" xfId="0" applyBorder="1"/>
    <xf numFmtId="2" fontId="0" fillId="0" borderId="2" xfId="0" applyNumberFormat="1" applyBorder="1"/>
    <xf numFmtId="2" fontId="0" fillId="0" borderId="0" xfId="0" applyNumberFormat="1" applyBorder="1"/>
    <xf numFmtId="168" fontId="0" fillId="0" borderId="0" xfId="0" applyNumberFormat="1"/>
    <xf numFmtId="169" fontId="0" fillId="0" borderId="0" xfId="0" applyNumberFormat="1"/>
    <xf numFmtId="169" fontId="0" fillId="6" borderId="3" xfId="0" applyNumberFormat="1" applyFill="1" applyBorder="1"/>
    <xf numFmtId="169" fontId="0" fillId="7" borderId="0" xfId="0" applyNumberFormat="1" applyFill="1"/>
    <xf numFmtId="2" fontId="0" fillId="0" borderId="0" xfId="0" applyNumberFormat="1" applyFill="1" applyBorder="1" applyAlignment="1">
      <alignment horizontal="right"/>
    </xf>
    <xf numFmtId="0" fontId="0" fillId="0" borderId="0" xfId="0" applyFill="1" applyBorder="1"/>
    <xf numFmtId="2" fontId="0" fillId="0" borderId="2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0" fontId="2" fillId="0" borderId="0" xfId="0" applyFont="1"/>
    <xf numFmtId="2" fontId="2" fillId="0" borderId="0" xfId="0" applyNumberFormat="1" applyFont="1"/>
    <xf numFmtId="2" fontId="2" fillId="4" borderId="0" xfId="0" applyNumberFormat="1" applyFont="1" applyFill="1"/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170" fontId="0" fillId="0" borderId="0" xfId="0" applyNumberFormat="1"/>
    <xf numFmtId="2" fontId="0" fillId="5" borderId="0" xfId="0" applyNumberFormat="1" applyFill="1"/>
    <xf numFmtId="167" fontId="0" fillId="0" borderId="0" xfId="0" applyNumberFormat="1"/>
    <xf numFmtId="167" fontId="0" fillId="0" borderId="0" xfId="0" applyNumberFormat="1" applyBorder="1"/>
    <xf numFmtId="167" fontId="2" fillId="0" borderId="0" xfId="0" applyNumberFormat="1" applyFont="1"/>
    <xf numFmtId="167" fontId="0" fillId="0" borderId="1" xfId="0" applyNumberFormat="1" applyFill="1" applyBorder="1"/>
    <xf numFmtId="0" fontId="0" fillId="8" borderId="0" xfId="0" applyFill="1"/>
    <xf numFmtId="167" fontId="0" fillId="9" borderId="0" xfId="0" applyNumberFormat="1" applyFill="1"/>
    <xf numFmtId="0" fontId="0" fillId="9" borderId="0" xfId="0" applyFill="1"/>
    <xf numFmtId="0" fontId="3" fillId="0" borderId="0" xfId="0" applyFont="1" applyAlignment="1"/>
    <xf numFmtId="166" fontId="0" fillId="0" borderId="0" xfId="0" applyNumberFormat="1"/>
    <xf numFmtId="166" fontId="0" fillId="0" borderId="0" xfId="0" applyNumberFormat="1" applyAlignment="1">
      <alignment horizontal="center"/>
    </xf>
    <xf numFmtId="166" fontId="0" fillId="10" borderId="1" xfId="0" applyNumberFormat="1" applyFill="1" applyBorder="1" applyAlignment="1">
      <alignment horizontal="right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left"/>
    </xf>
    <xf numFmtId="169" fontId="0" fillId="3" borderId="1" xfId="0" applyNumberFormat="1" applyFill="1" applyBorder="1" applyAlignment="1">
      <alignment horizontal="center"/>
    </xf>
    <xf numFmtId="168" fontId="0" fillId="11" borderId="0" xfId="0" applyNumberFormat="1" applyFill="1" applyAlignment="1">
      <alignment horizontal="center"/>
    </xf>
    <xf numFmtId="0" fontId="1" fillId="0" borderId="0" xfId="0" applyFont="1" applyAlignment="1">
      <alignment horizontal="right"/>
    </xf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9" fontId="0" fillId="12" borderId="1" xfId="0" applyNumberFormat="1" applyFill="1" applyBorder="1" applyAlignment="1">
      <alignment horizontal="center"/>
    </xf>
    <xf numFmtId="16" fontId="0" fillId="0" borderId="0" xfId="0" applyNumberFormat="1" applyAlignment="1">
      <alignment horizontal="center"/>
    </xf>
    <xf numFmtId="0" fontId="0" fillId="11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5" fillId="0" borderId="0" xfId="1"/>
    <xf numFmtId="11" fontId="5" fillId="13" borderId="0" xfId="1" applyNumberFormat="1" applyFill="1"/>
    <xf numFmtId="0" fontId="5" fillId="0" borderId="0" xfId="1" applyAlignment="1">
      <alignment horizontal="right"/>
    </xf>
    <xf numFmtId="0" fontId="5" fillId="14" borderId="0" xfId="1" applyFill="1"/>
    <xf numFmtId="3" fontId="5" fillId="14" borderId="0" xfId="1" applyNumberFormat="1" applyFill="1"/>
    <xf numFmtId="164" fontId="6" fillId="0" borderId="0" xfId="2" applyFont="1"/>
    <xf numFmtId="11" fontId="6" fillId="0" borderId="0" xfId="1" applyNumberFormat="1" applyFont="1"/>
    <xf numFmtId="9" fontId="5" fillId="2" borderId="0" xfId="1" applyNumberFormat="1" applyFill="1"/>
    <xf numFmtId="0" fontId="5" fillId="0" borderId="0" xfId="1" applyAlignment="1">
      <alignment horizontal="center"/>
    </xf>
    <xf numFmtId="0" fontId="5" fillId="0" borderId="0" xfId="1" quotePrefix="1" applyAlignment="1">
      <alignment horizontal="center"/>
    </xf>
    <xf numFmtId="9" fontId="5" fillId="0" borderId="0" xfId="1" applyNumberFormat="1" applyAlignment="1">
      <alignment horizontal="center"/>
    </xf>
    <xf numFmtId="11" fontId="5" fillId="0" borderId="0" xfId="1" applyNumberFormat="1"/>
    <xf numFmtId="16" fontId="5" fillId="0" borderId="0" xfId="1" applyNumberFormat="1" applyAlignment="1">
      <alignment horizontal="center"/>
    </xf>
    <xf numFmtId="0" fontId="7" fillId="0" borderId="0" xfId="1" applyFont="1"/>
    <xf numFmtId="169" fontId="0" fillId="7" borderId="4" xfId="0" applyNumberFormat="1" applyFill="1" applyBorder="1"/>
    <xf numFmtId="0" fontId="0" fillId="0" borderId="5" xfId="0" applyBorder="1"/>
    <xf numFmtId="169" fontId="0" fillId="0" borderId="0" xfId="0" applyNumberFormat="1" applyFill="1" applyBorder="1" applyAlignment="1">
      <alignment horizontal="center"/>
    </xf>
    <xf numFmtId="168" fontId="0" fillId="4" borderId="0" xfId="0" applyNumberFormat="1" applyFill="1" applyAlignment="1">
      <alignment horizontal="center"/>
    </xf>
    <xf numFmtId="168" fontId="0" fillId="4" borderId="0" xfId="0" applyNumberFormat="1" applyFill="1"/>
    <xf numFmtId="11" fontId="0" fillId="0" borderId="0" xfId="0" applyNumberFormat="1"/>
    <xf numFmtId="9" fontId="0" fillId="9" borderId="1" xfId="0" applyNumberFormat="1" applyFill="1" applyBorder="1" applyAlignment="1">
      <alignment horizontal="center"/>
    </xf>
    <xf numFmtId="169" fontId="0" fillId="6" borderId="0" xfId="0" applyNumberFormat="1" applyFill="1"/>
    <xf numFmtId="169" fontId="0" fillId="0" borderId="1" xfId="0" applyNumberFormat="1" applyBorder="1"/>
    <xf numFmtId="0" fontId="0" fillId="0" borderId="1" xfId="0" applyBorder="1"/>
    <xf numFmtId="1" fontId="0" fillId="5" borderId="1" xfId="0" applyNumberFormat="1" applyFill="1" applyBorder="1" applyAlignment="1">
      <alignment horizontal="center"/>
    </xf>
    <xf numFmtId="0" fontId="0" fillId="4" borderId="0" xfId="0" applyFill="1"/>
    <xf numFmtId="1" fontId="0" fillId="4" borderId="0" xfId="0" applyNumberFormat="1" applyFill="1"/>
    <xf numFmtId="1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8" fillId="0" borderId="0" xfId="3" applyFont="1" applyAlignment="1">
      <alignment horizontal="center"/>
    </xf>
    <xf numFmtId="0" fontId="8" fillId="0" borderId="0" xfId="3" applyFont="1" applyAlignment="1">
      <alignment horizontal="right"/>
    </xf>
    <xf numFmtId="169" fontId="8" fillId="15" borderId="1" xfId="3" applyNumberFormat="1" applyFont="1" applyFill="1" applyBorder="1" applyAlignment="1">
      <alignment horizontal="right"/>
    </xf>
    <xf numFmtId="0" fontId="5" fillId="0" borderId="0" xfId="3"/>
    <xf numFmtId="0" fontId="5" fillId="0" borderId="0" xfId="3" applyBorder="1" applyAlignment="1">
      <alignment horizontal="center"/>
    </xf>
    <xf numFmtId="0" fontId="5" fillId="0" borderId="0" xfId="3" applyBorder="1"/>
    <xf numFmtId="0" fontId="5" fillId="16" borderId="6" xfId="3" applyFont="1" applyFill="1" applyBorder="1" applyAlignment="1">
      <alignment horizontal="center"/>
    </xf>
    <xf numFmtId="0" fontId="5" fillId="0" borderId="6" xfId="3" applyFont="1" applyBorder="1"/>
    <xf numFmtId="0" fontId="9" fillId="16" borderId="6" xfId="3" applyFont="1" applyFill="1" applyBorder="1"/>
    <xf numFmtId="0" fontId="5" fillId="0" borderId="6" xfId="3" applyFont="1" applyFill="1" applyBorder="1"/>
    <xf numFmtId="0" fontId="5" fillId="0" borderId="6" xfId="3" applyFont="1" applyBorder="1" applyAlignment="1">
      <alignment horizontal="center"/>
    </xf>
    <xf numFmtId="0" fontId="5" fillId="0" borderId="0" xfId="3" applyFont="1" applyBorder="1"/>
    <xf numFmtId="0" fontId="8" fillId="0" borderId="6" xfId="3" applyFont="1" applyBorder="1" applyAlignment="1">
      <alignment horizontal="center"/>
    </xf>
    <xf numFmtId="0" fontId="5" fillId="17" borderId="6" xfId="3" applyFont="1" applyFill="1" applyBorder="1"/>
    <xf numFmtId="0" fontId="5" fillId="16" borderId="0" xfId="3" applyFont="1" applyFill="1" applyBorder="1" applyAlignment="1">
      <alignment horizontal="center"/>
    </xf>
    <xf numFmtId="0" fontId="9" fillId="16" borderId="0" xfId="3" applyFont="1" applyFill="1" applyBorder="1"/>
    <xf numFmtId="0" fontId="5" fillId="0" borderId="0" xfId="3" applyFont="1" applyFill="1" applyBorder="1"/>
    <xf numFmtId="0" fontId="5" fillId="0" borderId="0" xfId="3" applyFont="1" applyBorder="1" applyAlignment="1">
      <alignment horizontal="center"/>
    </xf>
    <xf numFmtId="0" fontId="5" fillId="0" borderId="0" xfId="3" applyFont="1"/>
    <xf numFmtId="0" fontId="5" fillId="17" borderId="0" xfId="3" applyFont="1" applyFill="1" applyBorder="1"/>
    <xf numFmtId="0" fontId="5" fillId="16" borderId="5" xfId="3" applyFont="1" applyFill="1" applyBorder="1" applyAlignment="1">
      <alignment horizontal="center"/>
    </xf>
    <xf numFmtId="0" fontId="5" fillId="0" borderId="5" xfId="3" applyFont="1" applyBorder="1"/>
    <xf numFmtId="0" fontId="9" fillId="16" borderId="5" xfId="3" applyFont="1" applyFill="1" applyBorder="1"/>
    <xf numFmtId="0" fontId="5" fillId="0" borderId="5" xfId="3" applyFont="1" applyFill="1" applyBorder="1"/>
    <xf numFmtId="0" fontId="5" fillId="0" borderId="5" xfId="3" applyFont="1" applyBorder="1" applyAlignment="1">
      <alignment horizontal="center"/>
    </xf>
    <xf numFmtId="0" fontId="5" fillId="0" borderId="0" xfId="3" applyFont="1" applyAlignment="1">
      <alignment horizontal="center"/>
    </xf>
    <xf numFmtId="0" fontId="8" fillId="0" borderId="0" xfId="3" applyFont="1" applyFill="1"/>
    <xf numFmtId="0" fontId="5" fillId="0" borderId="0" xfId="3" applyFont="1" applyFill="1"/>
    <xf numFmtId="0" fontId="5" fillId="17" borderId="5" xfId="3" applyFont="1" applyFill="1" applyBorder="1"/>
    <xf numFmtId="0" fontId="8" fillId="0" borderId="0" xfId="3" applyFont="1" applyBorder="1" applyAlignment="1">
      <alignment horizontal="center"/>
    </xf>
    <xf numFmtId="0" fontId="8" fillId="0" borderId="0" xfId="3" applyFont="1" applyBorder="1"/>
    <xf numFmtId="0" fontId="8" fillId="0" borderId="6" xfId="3" applyFont="1" applyBorder="1"/>
    <xf numFmtId="0" fontId="8" fillId="0" borderId="6" xfId="3" applyFont="1" applyBorder="1" applyAlignment="1">
      <alignment horizontal="left"/>
    </xf>
    <xf numFmtId="169" fontId="0" fillId="0" borderId="7" xfId="0" applyNumberFormat="1" applyBorder="1"/>
    <xf numFmtId="0" fontId="0" fillId="0" borderId="8" xfId="0" applyNumberFormat="1" applyBorder="1"/>
    <xf numFmtId="9" fontId="0" fillId="0" borderId="0" xfId="0" applyNumberFormat="1"/>
    <xf numFmtId="169" fontId="0" fillId="0" borderId="9" xfId="0" applyNumberFormat="1" applyBorder="1"/>
    <xf numFmtId="0" fontId="0" fillId="0" borderId="10" xfId="0" applyNumberFormat="1" applyBorder="1"/>
    <xf numFmtId="0" fontId="0" fillId="0" borderId="9" xfId="0" applyBorder="1"/>
    <xf numFmtId="0" fontId="0" fillId="14" borderId="10" xfId="0" applyFill="1" applyBorder="1"/>
    <xf numFmtId="0" fontId="0" fillId="0" borderId="11" xfId="0" applyBorder="1"/>
    <xf numFmtId="0" fontId="0" fillId="14" borderId="12" xfId="0" applyFill="1" applyBorder="1"/>
    <xf numFmtId="0" fontId="0" fillId="0" borderId="8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14" borderId="10" xfId="0" applyFill="1" applyBorder="1" applyAlignment="1">
      <alignment horizontal="left"/>
    </xf>
    <xf numFmtId="0" fontId="0" fillId="14" borderId="12" xfId="0" applyFill="1" applyBorder="1" applyAlignment="1">
      <alignment horizontal="left"/>
    </xf>
    <xf numFmtId="0" fontId="11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12" fillId="0" borderId="0" xfId="3" applyFont="1" applyBorder="1" applyAlignment="1">
      <alignment horizontal="right"/>
    </xf>
    <xf numFmtId="0" fontId="8" fillId="0" borderId="0" xfId="3" applyFont="1" applyBorder="1" applyAlignment="1">
      <alignment horizontal="right"/>
    </xf>
    <xf numFmtId="0" fontId="5" fillId="16" borderId="6" xfId="3" applyFont="1" applyFill="1" applyBorder="1"/>
    <xf numFmtId="1" fontId="5" fillId="17" borderId="6" xfId="3" applyNumberFormat="1" applyFont="1" applyFill="1" applyBorder="1"/>
    <xf numFmtId="0" fontId="5" fillId="16" borderId="0" xfId="3" applyFont="1" applyFill="1" applyBorder="1"/>
    <xf numFmtId="1" fontId="5" fillId="17" borderId="0" xfId="3" applyNumberFormat="1" applyFont="1" applyFill="1" applyBorder="1"/>
    <xf numFmtId="0" fontId="5" fillId="16" borderId="5" xfId="3" applyFont="1" applyFill="1" applyBorder="1"/>
    <xf numFmtId="1" fontId="5" fillId="17" borderId="5" xfId="3" applyNumberFormat="1" applyFont="1" applyFill="1" applyBorder="1"/>
    <xf numFmtId="171" fontId="0" fillId="6" borderId="0" xfId="0" applyNumberFormat="1" applyFill="1"/>
    <xf numFmtId="172" fontId="0" fillId="0" borderId="0" xfId="0" applyNumberFormat="1"/>
    <xf numFmtId="0" fontId="0" fillId="5" borderId="0" xfId="0" applyFill="1"/>
    <xf numFmtId="11" fontId="0" fillId="0" borderId="0" xfId="0" applyNumberFormat="1" applyAlignment="1">
      <alignment horizontal="left"/>
    </xf>
    <xf numFmtId="3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1" fontId="0" fillId="7" borderId="1" xfId="0" applyNumberFormat="1" applyFill="1" applyBorder="1"/>
    <xf numFmtId="0" fontId="0" fillId="18" borderId="1" xfId="0" applyFill="1" applyBorder="1"/>
    <xf numFmtId="166" fontId="0" fillId="0" borderId="0" xfId="0" applyNumberFormat="1" applyAlignment="1">
      <alignment horizontal="left"/>
    </xf>
    <xf numFmtId="0" fontId="0" fillId="15" borderId="0" xfId="0" applyFill="1"/>
    <xf numFmtId="166" fontId="0" fillId="5" borderId="0" xfId="0" applyNumberFormat="1" applyFill="1"/>
    <xf numFmtId="166" fontId="0" fillId="5" borderId="1" xfId="0" applyNumberFormat="1" applyFill="1" applyBorder="1"/>
    <xf numFmtId="0" fontId="0" fillId="19" borderId="0" xfId="0" applyFill="1"/>
    <xf numFmtId="0" fontId="2" fillId="0" borderId="0" xfId="0" applyFont="1" applyAlignment="1">
      <alignment horizontal="center"/>
    </xf>
    <xf numFmtId="0" fontId="15" fillId="0" borderId="0" xfId="0" applyFont="1"/>
    <xf numFmtId="0" fontId="0" fillId="20" borderId="0" xfId="0" applyFill="1"/>
    <xf numFmtId="0" fontId="0" fillId="4" borderId="1" xfId="0" applyFill="1" applyBorder="1" applyAlignment="1">
      <alignment horizontal="center"/>
    </xf>
    <xf numFmtId="3" fontId="0" fillId="0" borderId="13" xfId="0" applyNumberFormat="1" applyBorder="1"/>
    <xf numFmtId="3" fontId="0" fillId="0" borderId="0" xfId="0" applyNumberFormat="1" applyBorder="1"/>
    <xf numFmtId="3" fontId="0" fillId="0" borderId="14" xfId="0" applyNumberFormat="1" applyBorder="1"/>
    <xf numFmtId="3" fontId="0" fillId="5" borderId="1" xfId="0" applyNumberFormat="1" applyFill="1" applyBorder="1"/>
    <xf numFmtId="173" fontId="0" fillId="5" borderId="15" xfId="0" applyNumberFormat="1" applyFill="1" applyBorder="1"/>
    <xf numFmtId="3" fontId="0" fillId="15" borderId="16" xfId="0" applyNumberFormat="1" applyFill="1" applyBorder="1"/>
    <xf numFmtId="3" fontId="0" fillId="0" borderId="0" xfId="0" applyNumberFormat="1" applyAlignment="1">
      <alignment horizontal="right"/>
    </xf>
    <xf numFmtId="3" fontId="0" fillId="17" borderId="0" xfId="0" applyNumberFormat="1" applyFill="1" applyAlignment="1">
      <alignment horizontal="right"/>
    </xf>
    <xf numFmtId="3" fontId="0" fillId="17" borderId="0" xfId="0" applyNumberFormat="1" applyFill="1"/>
    <xf numFmtId="166" fontId="0" fillId="20" borderId="0" xfId="0" applyNumberFormat="1" applyFill="1"/>
    <xf numFmtId="167" fontId="0" fillId="0" borderId="7" xfId="0" applyNumberFormat="1" applyBorder="1"/>
    <xf numFmtId="167" fontId="0" fillId="0" borderId="17" xfId="0" applyNumberFormat="1" applyBorder="1"/>
    <xf numFmtId="167" fontId="0" fillId="0" borderId="18" xfId="0" applyNumberFormat="1" applyBorder="1"/>
    <xf numFmtId="167" fontId="0" fillId="0" borderId="9" xfId="0" applyNumberFormat="1" applyBorder="1"/>
    <xf numFmtId="167" fontId="0" fillId="0" borderId="19" xfId="0" applyNumberFormat="1" applyBorder="1"/>
    <xf numFmtId="0" fontId="0" fillId="0" borderId="20" xfId="0" applyBorder="1"/>
    <xf numFmtId="0" fontId="0" fillId="0" borderId="21" xfId="0" applyBorder="1"/>
    <xf numFmtId="0" fontId="0" fillId="0" borderId="22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2" fillId="0" borderId="28" xfId="0" applyFont="1" applyBorder="1"/>
    <xf numFmtId="167" fontId="0" fillId="0" borderId="29" xfId="0" applyNumberFormat="1" applyBorder="1"/>
    <xf numFmtId="167" fontId="0" fillId="0" borderId="30" xfId="0" applyNumberFormat="1" applyBorder="1"/>
    <xf numFmtId="167" fontId="0" fillId="0" borderId="31" xfId="0" applyNumberFormat="1" applyBorder="1"/>
    <xf numFmtId="167" fontId="0" fillId="0" borderId="32" xfId="0" applyNumberFormat="1" applyBorder="1"/>
    <xf numFmtId="0" fontId="0" fillId="0" borderId="31" xfId="0" applyBorder="1"/>
    <xf numFmtId="0" fontId="0" fillId="0" borderId="33" xfId="0" applyFill="1" applyBorder="1"/>
    <xf numFmtId="0" fontId="0" fillId="0" borderId="34" xfId="0" applyBorder="1"/>
    <xf numFmtId="0" fontId="0" fillId="0" borderId="22" xfId="0" applyBorder="1"/>
    <xf numFmtId="0" fontId="0" fillId="0" borderId="6" xfId="0" applyBorder="1"/>
    <xf numFmtId="0" fontId="0" fillId="0" borderId="23" xfId="0" applyBorder="1"/>
    <xf numFmtId="0" fontId="0" fillId="0" borderId="35" xfId="0" applyBorder="1"/>
    <xf numFmtId="0" fontId="0" fillId="0" borderId="36" xfId="0" applyBorder="1"/>
    <xf numFmtId="0" fontId="2" fillId="0" borderId="25" xfId="0" applyFont="1" applyBorder="1"/>
    <xf numFmtId="167" fontId="0" fillId="21" borderId="0" xfId="0" applyNumberFormat="1" applyFill="1"/>
    <xf numFmtId="167" fontId="0" fillId="22" borderId="0" xfId="0" applyNumberFormat="1" applyFill="1" applyAlignment="1">
      <alignment horizontal="center"/>
    </xf>
    <xf numFmtId="167" fontId="0" fillId="0" borderId="22" xfId="0" applyNumberFormat="1" applyBorder="1"/>
    <xf numFmtId="167" fontId="0" fillId="0" borderId="6" xfId="0" applyNumberFormat="1" applyBorder="1"/>
    <xf numFmtId="167" fontId="0" fillId="0" borderId="37" xfId="0" applyNumberFormat="1" applyBorder="1"/>
    <xf numFmtId="167" fontId="0" fillId="0" borderId="35" xfId="0" applyNumberFormat="1" applyBorder="1"/>
    <xf numFmtId="167" fontId="0" fillId="0" borderId="38" xfId="0" applyNumberFormat="1" applyBorder="1"/>
    <xf numFmtId="174" fontId="13" fillId="0" borderId="22" xfId="4" applyNumberFormat="1" applyFont="1" applyBorder="1"/>
    <xf numFmtId="2" fontId="0" fillId="0" borderId="6" xfId="0" applyNumberFormat="1" applyBorder="1"/>
    <xf numFmtId="2" fontId="0" fillId="0" borderId="39" xfId="0" applyNumberFormat="1" applyBorder="1"/>
    <xf numFmtId="0" fontId="0" fillId="0" borderId="37" xfId="0" applyBorder="1"/>
    <xf numFmtId="174" fontId="13" fillId="0" borderId="35" xfId="4" applyNumberFormat="1" applyFont="1" applyBorder="1"/>
    <xf numFmtId="2" fontId="0" fillId="0" borderId="10" xfId="0" applyNumberFormat="1" applyBorder="1"/>
    <xf numFmtId="0" fontId="0" fillId="0" borderId="38" xfId="0" applyBorder="1"/>
    <xf numFmtId="167" fontId="0" fillId="0" borderId="40" xfId="0" applyNumberFormat="1" applyBorder="1"/>
    <xf numFmtId="167" fontId="0" fillId="0" borderId="41" xfId="0" applyNumberFormat="1" applyBorder="1"/>
    <xf numFmtId="167" fontId="0" fillId="0" borderId="42" xfId="0" applyNumberFormat="1" applyBorder="1"/>
    <xf numFmtId="167" fontId="0" fillId="0" borderId="0" xfId="0" applyNumberFormat="1" applyAlignment="1">
      <alignment horizontal="left"/>
    </xf>
    <xf numFmtId="0" fontId="0" fillId="0" borderId="40" xfId="0" applyBorder="1"/>
    <xf numFmtId="0" fontId="0" fillId="0" borderId="41" xfId="0" applyBorder="1"/>
    <xf numFmtId="0" fontId="0" fillId="0" borderId="43" xfId="0" applyBorder="1"/>
    <xf numFmtId="0" fontId="0" fillId="0" borderId="42" xfId="0" applyBorder="1"/>
    <xf numFmtId="0" fontId="11" fillId="0" borderId="0" xfId="0" applyFont="1"/>
    <xf numFmtId="167" fontId="0" fillId="0" borderId="44" xfId="0" applyNumberFormat="1" applyBorder="1"/>
    <xf numFmtId="167" fontId="0" fillId="0" borderId="45" xfId="0" applyNumberFormat="1" applyBorder="1"/>
    <xf numFmtId="167" fontId="0" fillId="0" borderId="46" xfId="0" applyNumberFormat="1" applyBorder="1"/>
    <xf numFmtId="167" fontId="0" fillId="0" borderId="47" xfId="0" applyNumberFormat="1" applyBorder="1"/>
    <xf numFmtId="167" fontId="0" fillId="0" borderId="48" xfId="0" applyNumberFormat="1" applyBorder="1"/>
    <xf numFmtId="0" fontId="0" fillId="0" borderId="47" xfId="0" applyBorder="1"/>
    <xf numFmtId="0" fontId="0" fillId="0" borderId="48" xfId="0" applyBorder="1"/>
  </cellXfs>
  <cellStyles count="5">
    <cellStyle name="Normal" xfId="0" builtinId="0"/>
    <cellStyle name="Normal 2" xfId="3"/>
    <cellStyle name="Normal_Pasta1" xfId="1"/>
    <cellStyle name="Porcentagem" xfId="4" builtinId="5"/>
    <cellStyle name="Separador de milhares_Pasta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735873850197106E-2"/>
          <c:y val="3.0368763557483729E-2"/>
          <c:w val="0.91852825229960577"/>
          <c:h val="0.9349240780911063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Plan7!$C$9</c:f>
              <c:strCache>
                <c:ptCount val="1"/>
                <c:pt idx="0">
                  <c:v>yi</c:v>
                </c:pt>
              </c:strCache>
            </c:strRef>
          </c:tx>
          <c:marker>
            <c:symbol val="circle"/>
            <c:size val="3"/>
            <c:spPr>
              <a:solidFill>
                <a:schemeClr val="bg1"/>
              </a:solidFill>
            </c:spPr>
          </c:marker>
          <c:xVal>
            <c:numRef>
              <c:f>Plan7!$B$10:$B$70</c:f>
              <c:numCache>
                <c:formatCode>0.000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Plan7!$C$10:$C$70</c:f>
              <c:numCache>
                <c:formatCode>0.000</c:formatCode>
                <c:ptCount val="6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DE-4621-954F-156716C1F50D}"/>
            </c:ext>
          </c:extLst>
        </c:ser>
        <c:ser>
          <c:idx val="1"/>
          <c:order val="1"/>
          <c:tx>
            <c:v>y'x</c:v>
          </c:tx>
          <c:spPr>
            <a:ln w="12700"/>
          </c:spPr>
          <c:marker>
            <c:symbol val="square"/>
            <c:size val="2"/>
            <c:spPr>
              <a:solidFill>
                <a:sysClr val="window" lastClr="FFFFFF"/>
              </a:solidFill>
            </c:spPr>
          </c:marker>
          <c:xVal>
            <c:numRef>
              <c:f>Plan7!$B$11:$B$69</c:f>
              <c:numCache>
                <c:formatCode>0.000</c:formatCode>
                <c:ptCount val="59"/>
                <c:pt idx="0">
                  <c:v>-2.9</c:v>
                </c:pt>
                <c:pt idx="1">
                  <c:v>-2.8</c:v>
                </c:pt>
                <c:pt idx="2">
                  <c:v>-2.6999999999999997</c:v>
                </c:pt>
                <c:pt idx="3">
                  <c:v>-2.5999999999999996</c:v>
                </c:pt>
                <c:pt idx="4">
                  <c:v>-2.4999999999999996</c:v>
                </c:pt>
                <c:pt idx="5">
                  <c:v>-2.3999999999999995</c:v>
                </c:pt>
                <c:pt idx="6">
                  <c:v>-2.2999999999999994</c:v>
                </c:pt>
                <c:pt idx="7">
                  <c:v>-2.1999999999999993</c:v>
                </c:pt>
                <c:pt idx="8">
                  <c:v>-2.0999999999999992</c:v>
                </c:pt>
                <c:pt idx="9">
                  <c:v>-1.9999999999999991</c:v>
                </c:pt>
                <c:pt idx="10">
                  <c:v>-1.899999999999999</c:v>
                </c:pt>
                <c:pt idx="11">
                  <c:v>-1.7999999999999989</c:v>
                </c:pt>
                <c:pt idx="12">
                  <c:v>-1.6999999999999988</c:v>
                </c:pt>
                <c:pt idx="13">
                  <c:v>-1.5999999999999988</c:v>
                </c:pt>
                <c:pt idx="14">
                  <c:v>-1.4999999999999987</c:v>
                </c:pt>
                <c:pt idx="15">
                  <c:v>-1.3999999999999986</c:v>
                </c:pt>
                <c:pt idx="16">
                  <c:v>-1.2999999999999985</c:v>
                </c:pt>
                <c:pt idx="17">
                  <c:v>-1.1999999999999984</c:v>
                </c:pt>
                <c:pt idx="18">
                  <c:v>-1.0999999999999983</c:v>
                </c:pt>
                <c:pt idx="19">
                  <c:v>-0.99999999999999833</c:v>
                </c:pt>
                <c:pt idx="20">
                  <c:v>-0.89999999999999836</c:v>
                </c:pt>
                <c:pt idx="21">
                  <c:v>-0.79999999999999838</c:v>
                </c:pt>
                <c:pt idx="22">
                  <c:v>-0.6999999999999984</c:v>
                </c:pt>
                <c:pt idx="23">
                  <c:v>-0.59999999999999842</c:v>
                </c:pt>
                <c:pt idx="24">
                  <c:v>-0.49999999999999845</c:v>
                </c:pt>
                <c:pt idx="25">
                  <c:v>-0.39999999999999847</c:v>
                </c:pt>
                <c:pt idx="26">
                  <c:v>-0.29999999999999849</c:v>
                </c:pt>
                <c:pt idx="27">
                  <c:v>-0.19999999999999848</c:v>
                </c:pt>
                <c:pt idx="28">
                  <c:v>-9.9999999999998479E-2</c:v>
                </c:pt>
                <c:pt idx="29">
                  <c:v>1.5265566588595902E-15</c:v>
                </c:pt>
                <c:pt idx="30">
                  <c:v>0.10000000000000153</c:v>
                </c:pt>
                <c:pt idx="31">
                  <c:v>0.20000000000000154</c:v>
                </c:pt>
                <c:pt idx="32">
                  <c:v>0.30000000000000154</c:v>
                </c:pt>
                <c:pt idx="33">
                  <c:v>0.40000000000000158</c:v>
                </c:pt>
                <c:pt idx="34">
                  <c:v>0.50000000000000155</c:v>
                </c:pt>
                <c:pt idx="35">
                  <c:v>0.60000000000000153</c:v>
                </c:pt>
                <c:pt idx="36">
                  <c:v>0.70000000000000151</c:v>
                </c:pt>
                <c:pt idx="37">
                  <c:v>0.80000000000000149</c:v>
                </c:pt>
                <c:pt idx="38">
                  <c:v>0.90000000000000147</c:v>
                </c:pt>
                <c:pt idx="39">
                  <c:v>1.0000000000000016</c:v>
                </c:pt>
                <c:pt idx="40">
                  <c:v>1.1000000000000016</c:v>
                </c:pt>
                <c:pt idx="41">
                  <c:v>1.2000000000000017</c:v>
                </c:pt>
                <c:pt idx="42">
                  <c:v>1.3000000000000018</c:v>
                </c:pt>
                <c:pt idx="43">
                  <c:v>1.4000000000000019</c:v>
                </c:pt>
                <c:pt idx="44">
                  <c:v>1.500000000000002</c:v>
                </c:pt>
                <c:pt idx="45">
                  <c:v>1.6000000000000021</c:v>
                </c:pt>
                <c:pt idx="46">
                  <c:v>1.7000000000000022</c:v>
                </c:pt>
                <c:pt idx="47">
                  <c:v>1.8000000000000023</c:v>
                </c:pt>
                <c:pt idx="48">
                  <c:v>1.9000000000000024</c:v>
                </c:pt>
                <c:pt idx="49">
                  <c:v>2.0000000000000022</c:v>
                </c:pt>
                <c:pt idx="50">
                  <c:v>2.1000000000000023</c:v>
                </c:pt>
                <c:pt idx="51">
                  <c:v>2.2000000000000024</c:v>
                </c:pt>
                <c:pt idx="52">
                  <c:v>2.3000000000000025</c:v>
                </c:pt>
                <c:pt idx="53">
                  <c:v>2.4000000000000026</c:v>
                </c:pt>
                <c:pt idx="54">
                  <c:v>2.5000000000000027</c:v>
                </c:pt>
                <c:pt idx="55">
                  <c:v>2.6000000000000028</c:v>
                </c:pt>
                <c:pt idx="56">
                  <c:v>2.7000000000000028</c:v>
                </c:pt>
                <c:pt idx="57">
                  <c:v>2.8000000000000029</c:v>
                </c:pt>
                <c:pt idx="58">
                  <c:v>2.900000000000003</c:v>
                </c:pt>
              </c:numCache>
            </c:numRef>
          </c:xVal>
          <c:yVal>
            <c:numRef>
              <c:f>Plan7!$I$11:$I$69</c:f>
              <c:numCache>
                <c:formatCode>0.000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DE-4621-954F-156716C1F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869504"/>
        <c:axId val="1"/>
      </c:scatterChart>
      <c:valAx>
        <c:axId val="820869504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"/>
          <c:min val="-4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82086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677376171352075E-2"/>
          <c:y val="2.8688524590163935E-2"/>
          <c:w val="0.94779116465863456"/>
          <c:h val="0.87295081967213117"/>
        </c:manualLayout>
      </c:layout>
      <c:scatterChart>
        <c:scatterStyle val="smoothMarker"/>
        <c:varyColors val="0"/>
        <c:ser>
          <c:idx val="6"/>
          <c:order val="0"/>
          <c:tx>
            <c:strRef>
              <c:f>'Plan7 - Derivada Algébrica'!$I$9</c:f>
              <c:strCache>
                <c:ptCount val="1"/>
                <c:pt idx="0">
                  <c:v>f'x(yi)</c:v>
                </c:pt>
              </c:strCache>
            </c:strRef>
          </c:tx>
          <c:marker>
            <c:symbol val="circle"/>
            <c:size val="5"/>
            <c:spPr>
              <a:solidFill>
                <a:sysClr val="window" lastClr="FFFFFF"/>
              </a:solidFill>
            </c:spPr>
          </c:marker>
          <c:xVal>
            <c:numRef>
              <c:f>'Plan7 - Derivada Algébrica'!$B$10:$B$70</c:f>
              <c:numCache>
                <c:formatCode>0.000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'Plan7 - Derivada Algébrica'!$I$10:$I$70</c:f>
              <c:numCache>
                <c:formatCode>0.000</c:formatCode>
                <c:ptCount val="61"/>
                <c:pt idx="1">
                  <c:v>-0.98950472867973227</c:v>
                </c:pt>
                <c:pt idx="2">
                  <c:v>-0.98828132637745947</c:v>
                </c:pt>
                <c:pt idx="3">
                  <c:v>-0.98686561597402878</c:v>
                </c:pt>
                <c:pt idx="4">
                  <c:v>-0.98521958116418307</c:v>
                </c:pt>
                <c:pt idx="5">
                  <c:v>-0.98329620397802486</c:v>
                </c:pt>
                <c:pt idx="6">
                  <c:v>-0.98103701366200968</c:v>
                </c:pt>
                <c:pt idx="7">
                  <c:v>-0.97836889982885777</c:v>
                </c:pt>
                <c:pt idx="8">
                  <c:v>-0.97519996032075862</c:v>
                </c:pt>
                <c:pt idx="9">
                  <c:v>-0.97141408837503129</c:v>
                </c:pt>
                <c:pt idx="10">
                  <c:v>-0.96686392808217247</c:v>
                </c:pt>
                <c:pt idx="11">
                  <c:v>-0.96136175118040645</c:v>
                </c:pt>
                <c:pt idx="12">
                  <c:v>-0.95466775588735642</c:v>
                </c:pt>
                <c:pt idx="13">
                  <c:v>-0.94647531170149202</c:v>
                </c:pt>
                <c:pt idx="14">
                  <c:v>-0.93639287501756518</c:v>
                </c:pt>
                <c:pt idx="15">
                  <c:v>-0.92392286267570101</c:v>
                </c:pt>
                <c:pt idx="16">
                  <c:v>-0.90843899175057397</c:v>
                </c:pt>
                <c:pt idx="17">
                  <c:v>-0.88916588340540925</c:v>
                </c:pt>
                <c:pt idx="18">
                  <c:v>-0.86516847903005711</c:v>
                </c:pt>
                <c:pt idx="19">
                  <c:v>-0.83536397173516486</c:v>
                </c:pt>
                <c:pt idx="20">
                  <c:v>-0.79857407948525938</c:v>
                </c:pt>
                <c:pt idx="21">
                  <c:v>-0.75363648420349949</c:v>
                </c:pt>
                <c:pt idx="22">
                  <c:v>-0.69958407253749788</c:v>
                </c:pt>
                <c:pt idx="23">
                  <c:v>-0.63587283450967791</c:v>
                </c:pt>
                <c:pt idx="24">
                  <c:v>-0.56259777693115398</c:v>
                </c:pt>
                <c:pt idx="25">
                  <c:v>-0.48060450979159225</c:v>
                </c:pt>
                <c:pt idx="26">
                  <c:v>-0.39141721896532117</c:v>
                </c:pt>
                <c:pt idx="27">
                  <c:v>-0.29697413027177172</c:v>
                </c:pt>
                <c:pt idx="28">
                  <c:v>-0.19925133528269337</c:v>
                </c:pt>
                <c:pt idx="29">
                  <c:v>-9.9899853590014756E-2</c:v>
                </c:pt>
                <c:pt idx="30">
                  <c:v>2.1984646938824879</c:v>
                </c:pt>
                <c:pt idx="31">
                  <c:v>3.1110386068578704</c:v>
                </c:pt>
                <c:pt idx="32">
                  <c:v>1.5316998152756258</c:v>
                </c:pt>
                <c:pt idx="33">
                  <c:v>1.1457990756160517</c:v>
                </c:pt>
                <c:pt idx="34">
                  <c:v>0.89685324744986139</c:v>
                </c:pt>
                <c:pt idx="35">
                  <c:v>0.69804083319366506</c:v>
                </c:pt>
                <c:pt idx="36">
                  <c:v>0.51547332589659556</c:v>
                </c:pt>
                <c:pt idx="37">
                  <c:v>0.32516797290246374</c:v>
                </c:pt>
                <c:pt idx="38">
                  <c:v>9.3654152294976326E-2</c:v>
                </c:pt>
                <c:pt idx="39">
                  <c:v>-0.28004693378529832</c:v>
                </c:pt>
                <c:pt idx="40">
                  <c:v>-13.880969826912365</c:v>
                </c:pt>
                <c:pt idx="41">
                  <c:v>-14.144446119030484</c:v>
                </c:pt>
                <c:pt idx="42">
                  <c:v>-1.0452691314151887</c:v>
                </c:pt>
                <c:pt idx="43">
                  <c:v>-1.0381357474341093</c:v>
                </c:pt>
                <c:pt idx="44">
                  <c:v>-1.0324142382979931</c:v>
                </c:pt>
                <c:pt idx="45">
                  <c:v>-1.0277731419364002</c:v>
                </c:pt>
                <c:pt idx="46">
                  <c:v>-1.023970148183321</c:v>
                </c:pt>
                <c:pt idx="47">
                  <c:v>-1.0208252531480868</c:v>
                </c:pt>
                <c:pt idx="48">
                  <c:v>-1.018202816655466</c:v>
                </c:pt>
                <c:pt idx="49">
                  <c:v>-1.015999310898368</c:v>
                </c:pt>
                <c:pt idx="50">
                  <c:v>-1.0141347965568939</c:v>
                </c:pt>
                <c:pt idx="51">
                  <c:v>-1.012546892565457</c:v>
                </c:pt>
                <c:pt idx="52">
                  <c:v>-1.0111864456969046</c:v>
                </c:pt>
                <c:pt idx="53">
                  <c:v>-1.0100143784202977</c:v>
                </c:pt>
                <c:pt idx="54">
                  <c:v>-1.0089993659401233</c:v>
                </c:pt>
                <c:pt idx="55">
                  <c:v>-1.0081161048124412</c:v>
                </c:pt>
                <c:pt idx="56">
                  <c:v>-1.0073440089479537</c:v>
                </c:pt>
                <c:pt idx="57">
                  <c:v>-1.006666217965523</c:v>
                </c:pt>
                <c:pt idx="58">
                  <c:v>-1.0060688362706052</c:v>
                </c:pt>
                <c:pt idx="59">
                  <c:v>-1.0055403442596713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31-48F6-8EA6-C92635AC2FA8}"/>
            </c:ext>
          </c:extLst>
        </c:ser>
        <c:ser>
          <c:idx val="7"/>
          <c:order val="1"/>
          <c:tx>
            <c:strRef>
              <c:f>'Plan7 - Derivada Algébrica'!$J$9</c:f>
              <c:strCache>
                <c:ptCount val="1"/>
                <c:pt idx="0">
                  <c:v>f'x(yi)-alg.</c:v>
                </c:pt>
              </c:strCache>
            </c:strRef>
          </c:tx>
          <c:marker>
            <c:symbol val="square"/>
            <c:size val="2"/>
            <c:spPr>
              <a:solidFill>
                <a:schemeClr val="bg1"/>
              </a:solidFill>
            </c:spPr>
          </c:marker>
          <c:xVal>
            <c:numRef>
              <c:f>'Plan7 - Derivada Algébrica'!$B$10:$B$70</c:f>
              <c:numCache>
                <c:formatCode>0.000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'Plan7 - Derivada Algébrica'!$J$10:$J$70</c:f>
              <c:numCache>
                <c:formatCode>0.000</c:formatCode>
                <c:ptCount val="61"/>
                <c:pt idx="1">
                  <c:v>-0.9895314431530785</c:v>
                </c:pt>
                <c:pt idx="2">
                  <c:v>-0.98831314370705259</c:v>
                </c:pt>
                <c:pt idx="3">
                  <c:v>-0.98690370725251786</c:v>
                </c:pt>
                <c:pt idx="4">
                  <c:v>-0.9852654283044493</c:v>
                </c:pt>
                <c:pt idx="5">
                  <c:v>-0.98335169163501723</c:v>
                </c:pt>
                <c:pt idx="6">
                  <c:v>-0.98110455007135844</c:v>
                </c:pt>
                <c:pt idx="7">
                  <c:v>-0.97845157548145056</c:v>
                </c:pt>
                <c:pt idx="8">
                  <c:v>-0.97530175550302378</c:v>
                </c:pt>
                <c:pt idx="9">
                  <c:v>-0.97154014243792142</c:v>
                </c:pt>
                <c:pt idx="10">
                  <c:v>-0.96702088380333762</c:v>
                </c:pt>
                <c:pt idx="11">
                  <c:v>-0.96155818452147857</c:v>
                </c:pt>
                <c:pt idx="12">
                  <c:v>-0.95491469044521793</c:v>
                </c:pt>
                <c:pt idx="13">
                  <c:v>-0.94678679021645407</c:v>
                </c:pt>
                <c:pt idx="14">
                  <c:v>-0.93678650402681973</c:v>
                </c:pt>
                <c:pt idx="15">
                  <c:v>-0.92442014106197012</c:v>
                </c:pt>
                <c:pt idx="16">
                  <c:v>-0.90906505735626886</c:v>
                </c:pt>
                <c:pt idx="17">
                  <c:v>-0.88994805733306681</c:v>
                </c:pt>
                <c:pt idx="18">
                  <c:v>-0.86613271141132331</c:v>
                </c:pt>
                <c:pt idx="19">
                  <c:v>-0.83652820610990442</c:v>
                </c:pt>
                <c:pt idx="20">
                  <c:v>-0.79993811461721953</c:v>
                </c:pt>
                <c:pt idx="21">
                  <c:v>-0.75516974292242922</c:v>
                </c:pt>
                <c:pt idx="22">
                  <c:v>-0.70121593503625801</c:v>
                </c:pt>
                <c:pt idx="23">
                  <c:v>-0.63749326364283998</c:v>
                </c:pt>
                <c:pt idx="24">
                  <c:v>-0.56407497934558459</c:v>
                </c:pt>
                <c:pt idx="25">
                  <c:v>-0.48181819674185777</c:v>
                </c:pt>
                <c:pt idx="26">
                  <c:v>-0.39229428499491631</c:v>
                </c:pt>
                <c:pt idx="27">
                  <c:v>-0.29750900975854577</c:v>
                </c:pt>
                <c:pt idx="28">
                  <c:v>-0.19950238687653726</c:v>
                </c:pt>
                <c:pt idx="29">
                  <c:v>-9.9968768737117242E-2</c:v>
                </c:pt>
                <c:pt idx="30">
                  <c:v>8589549.4178862665</c:v>
                </c:pt>
                <c:pt idx="31">
                  <c:v>2.1853182604826746</c:v>
                </c:pt>
                <c:pt idx="32">
                  <c:v>1.4767201840480864</c:v>
                </c:pt>
                <c:pt idx="33">
                  <c:v>1.128110891307313</c:v>
                </c:pt>
                <c:pt idx="34">
                  <c:v>0.88959810618852619</c:v>
                </c:pt>
                <c:pt idx="35">
                  <c:v>0.6955801219964608</c:v>
                </c:pt>
                <c:pt idx="36">
                  <c:v>0.51655235602692817</c:v>
                </c:pt>
                <c:pt idx="37">
                  <c:v>0.33086406877806207</c:v>
                </c:pt>
                <c:pt idx="38">
                  <c:v>0.11000994077007141</c:v>
                </c:pt>
                <c:pt idx="39">
                  <c:v>-0.21395439446902365</c:v>
                </c:pt>
                <c:pt idx="40">
                  <c:v>-1.0000000000000249</c:v>
                </c:pt>
                <c:pt idx="41">
                  <c:v>-1.0538639460951618</c:v>
                </c:pt>
                <c:pt idx="42">
                  <c:v>-1.0449630934538605</c:v>
                </c:pt>
                <c:pt idx="43">
                  <c:v>-1.0379046200515998</c:v>
                </c:pt>
                <c:pt idx="44">
                  <c:v>-1.0322370447777336</c:v>
                </c:pt>
                <c:pt idx="45">
                  <c:v>-1.0276354746727567</c:v>
                </c:pt>
                <c:pt idx="46">
                  <c:v>-1.0238619050409556</c:v>
                </c:pt>
                <c:pt idx="47">
                  <c:v>-1.0207392215960114</c:v>
                </c:pt>
                <c:pt idx="48">
                  <c:v>-1.018133763995416</c:v>
                </c:pt>
                <c:pt idx="49">
                  <c:v>-1.0159433858722973</c:v>
                </c:pt>
                <c:pt idx="50">
                  <c:v>-1.0140891276042789</c:v>
                </c:pt>
                <c:pt idx="51">
                  <c:v>-1.0125093131480238</c:v>
                </c:pt>
                <c:pt idx="52">
                  <c:v>-1.011155303409051</c:v>
                </c:pt>
                <c:pt idx="53">
                  <c:v>-1.0099884003549597</c:v>
                </c:pt>
                <c:pt idx="54">
                  <c:v>-1.008977562446651</c:v>
                </c:pt>
                <c:pt idx="55">
                  <c:v>-1.0080976998461817</c:v>
                </c:pt>
                <c:pt idx="56">
                  <c:v>-1.0073283890891014</c:v>
                </c:pt>
                <c:pt idx="57">
                  <c:v>-1.0066528947090996</c:v>
                </c:pt>
                <c:pt idx="58">
                  <c:v>-1.0060574178592674</c:v>
                </c:pt>
                <c:pt idx="59">
                  <c:v>-1.0055305144519888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31-48F6-8EA6-C92635AC2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19728"/>
        <c:axId val="1"/>
      </c:scatterChart>
      <c:valAx>
        <c:axId val="18891972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5"/>
          <c:min val="-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889197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224967490247076E-2"/>
          <c:y val="3.1746031746031744E-2"/>
          <c:w val="0.8049414824447334"/>
          <c:h val="0.7936507936507936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Titration!$B$8</c:f>
              <c:strCache>
                <c:ptCount val="1"/>
                <c:pt idx="0">
                  <c:v>pHexp</c:v>
                </c:pt>
              </c:strCache>
            </c:strRef>
          </c:tx>
          <c:marker>
            <c:symbol val="none"/>
          </c:marker>
          <c:xVal>
            <c:numRef>
              <c:f>Titration!$A$9:$A$150</c:f>
              <c:numCache>
                <c:formatCode>0.000</c:formatCode>
                <c:ptCount val="142"/>
                <c:pt idx="0">
                  <c:v>0</c:v>
                </c:pt>
                <c:pt idx="1">
                  <c:v>8.1000000000000013E-3</c:v>
                </c:pt>
                <c:pt idx="2">
                  <c:v>1.21E-2</c:v>
                </c:pt>
                <c:pt idx="3">
                  <c:v>2.1600000000000001E-2</c:v>
                </c:pt>
                <c:pt idx="4">
                  <c:v>2.7099999999999999E-2</c:v>
                </c:pt>
                <c:pt idx="5">
                  <c:v>3.7100000000000001E-2</c:v>
                </c:pt>
                <c:pt idx="6">
                  <c:v>4.1200000000000001E-2</c:v>
                </c:pt>
                <c:pt idx="7">
                  <c:v>4.6900000000000004E-2</c:v>
                </c:pt>
                <c:pt idx="8">
                  <c:v>5.16E-2</c:v>
                </c:pt>
                <c:pt idx="9">
                  <c:v>5.6500000000000002E-2</c:v>
                </c:pt>
                <c:pt idx="10">
                  <c:v>6.1600000000000002E-2</c:v>
                </c:pt>
                <c:pt idx="11">
                  <c:v>6.7099999999999993E-2</c:v>
                </c:pt>
                <c:pt idx="12">
                  <c:v>7.2099999999999997E-2</c:v>
                </c:pt>
                <c:pt idx="13">
                  <c:v>7.7100000000000002E-2</c:v>
                </c:pt>
                <c:pt idx="14">
                  <c:v>8.199999999999999E-2</c:v>
                </c:pt>
                <c:pt idx="15">
                  <c:v>8.6599999999999996E-2</c:v>
                </c:pt>
                <c:pt idx="16">
                  <c:v>9.2100000000000015E-2</c:v>
                </c:pt>
                <c:pt idx="17">
                  <c:v>9.7100000000000006E-2</c:v>
                </c:pt>
                <c:pt idx="18">
                  <c:v>0.10210000000000001</c:v>
                </c:pt>
                <c:pt idx="19">
                  <c:v>0.10710000000000001</c:v>
                </c:pt>
                <c:pt idx="20">
                  <c:v>0.11210000000000001</c:v>
                </c:pt>
                <c:pt idx="21">
                  <c:v>0.11710000000000001</c:v>
                </c:pt>
                <c:pt idx="22">
                  <c:v>0.12759999999999999</c:v>
                </c:pt>
                <c:pt idx="23">
                  <c:v>0.1381</c:v>
                </c:pt>
                <c:pt idx="24">
                  <c:v>0.14779999999999999</c:v>
                </c:pt>
                <c:pt idx="25">
                  <c:v>0.15710000000000002</c:v>
                </c:pt>
                <c:pt idx="26">
                  <c:v>0.1671</c:v>
                </c:pt>
                <c:pt idx="27">
                  <c:v>0.17710000000000001</c:v>
                </c:pt>
                <c:pt idx="28">
                  <c:v>0.18710000000000002</c:v>
                </c:pt>
                <c:pt idx="29">
                  <c:v>0.1971</c:v>
                </c:pt>
                <c:pt idx="30">
                  <c:v>0.20710000000000001</c:v>
                </c:pt>
                <c:pt idx="31">
                  <c:v>0.21660000000000001</c:v>
                </c:pt>
                <c:pt idx="32">
                  <c:v>0.2271</c:v>
                </c:pt>
                <c:pt idx="33">
                  <c:v>0.23710000000000001</c:v>
                </c:pt>
                <c:pt idx="34">
                  <c:v>0.24809999999999999</c:v>
                </c:pt>
                <c:pt idx="35">
                  <c:v>0.2571</c:v>
                </c:pt>
                <c:pt idx="36">
                  <c:v>0.2676</c:v>
                </c:pt>
                <c:pt idx="37">
                  <c:v>0.27710000000000001</c:v>
                </c:pt>
                <c:pt idx="38">
                  <c:v>0.28660000000000002</c:v>
                </c:pt>
                <c:pt idx="39">
                  <c:v>0.29809999999999998</c:v>
                </c:pt>
                <c:pt idx="40">
                  <c:v>0.30709999999999998</c:v>
                </c:pt>
                <c:pt idx="41">
                  <c:v>0.31709999999999999</c:v>
                </c:pt>
                <c:pt idx="42">
                  <c:v>0.3271</c:v>
                </c:pt>
                <c:pt idx="43">
                  <c:v>0.33810000000000001</c:v>
                </c:pt>
                <c:pt idx="44">
                  <c:v>0.34710000000000002</c:v>
                </c:pt>
                <c:pt idx="45">
                  <c:v>0.35710000000000003</c:v>
                </c:pt>
                <c:pt idx="46">
                  <c:v>0.36709999999999998</c:v>
                </c:pt>
                <c:pt idx="47">
                  <c:v>0.37759999999999999</c:v>
                </c:pt>
                <c:pt idx="48">
                  <c:v>0.3871</c:v>
                </c:pt>
                <c:pt idx="49">
                  <c:v>0.39759999999999995</c:v>
                </c:pt>
                <c:pt idx="50">
                  <c:v>0.40679999999999999</c:v>
                </c:pt>
                <c:pt idx="51">
                  <c:v>0.41710000000000003</c:v>
                </c:pt>
                <c:pt idx="52">
                  <c:v>0.42710000000000004</c:v>
                </c:pt>
                <c:pt idx="53">
                  <c:v>0.43709999999999999</c:v>
                </c:pt>
                <c:pt idx="54">
                  <c:v>0.4471</c:v>
                </c:pt>
                <c:pt idx="55">
                  <c:v>0.4587</c:v>
                </c:pt>
                <c:pt idx="56">
                  <c:v>0.46710000000000002</c:v>
                </c:pt>
                <c:pt idx="57">
                  <c:v>0.47710000000000002</c:v>
                </c:pt>
                <c:pt idx="58">
                  <c:v>0.47710000000000002</c:v>
                </c:pt>
                <c:pt idx="59">
                  <c:v>0.48710000000000003</c:v>
                </c:pt>
                <c:pt idx="60">
                  <c:v>0.49109999999999998</c:v>
                </c:pt>
                <c:pt idx="61">
                  <c:v>0.49609999999999999</c:v>
                </c:pt>
                <c:pt idx="62">
                  <c:v>0.50609999999999999</c:v>
                </c:pt>
                <c:pt idx="63">
                  <c:v>0.5111</c:v>
                </c:pt>
                <c:pt idx="64">
                  <c:v>0.5141</c:v>
                </c:pt>
                <c:pt idx="65">
                  <c:v>0.5161</c:v>
                </c:pt>
                <c:pt idx="66">
                  <c:v>0.5181</c:v>
                </c:pt>
                <c:pt idx="67">
                  <c:v>0.52110000000000001</c:v>
                </c:pt>
                <c:pt idx="68">
                  <c:v>0.52610000000000001</c:v>
                </c:pt>
                <c:pt idx="69">
                  <c:v>0.53110000000000002</c:v>
                </c:pt>
                <c:pt idx="70">
                  <c:v>0.53610000000000002</c:v>
                </c:pt>
                <c:pt idx="71">
                  <c:v>0.5403</c:v>
                </c:pt>
                <c:pt idx="72">
                  <c:v>0.54330000000000001</c:v>
                </c:pt>
                <c:pt idx="73">
                  <c:v>0.54610000000000003</c:v>
                </c:pt>
                <c:pt idx="74">
                  <c:v>0.54909999999999992</c:v>
                </c:pt>
                <c:pt idx="75">
                  <c:v>0.55059999999999998</c:v>
                </c:pt>
                <c:pt idx="76">
                  <c:v>0.55110000000000003</c:v>
                </c:pt>
                <c:pt idx="77">
                  <c:v>0.55259999999999998</c:v>
                </c:pt>
                <c:pt idx="78">
                  <c:v>0.55409999999999993</c:v>
                </c:pt>
                <c:pt idx="79">
                  <c:v>0.55509999999999993</c:v>
                </c:pt>
                <c:pt idx="80">
                  <c:v>0.55710000000000004</c:v>
                </c:pt>
                <c:pt idx="81">
                  <c:v>0.55759999999999998</c:v>
                </c:pt>
                <c:pt idx="82">
                  <c:v>0.55810000000000004</c:v>
                </c:pt>
                <c:pt idx="83">
                  <c:v>0.55859999999999999</c:v>
                </c:pt>
                <c:pt idx="84">
                  <c:v>0.55909999999999993</c:v>
                </c:pt>
                <c:pt idx="85">
                  <c:v>0.56009999999999993</c:v>
                </c:pt>
                <c:pt idx="86">
                  <c:v>0.56059999999999999</c:v>
                </c:pt>
                <c:pt idx="87">
                  <c:v>0.56159999999999999</c:v>
                </c:pt>
                <c:pt idx="88">
                  <c:v>0.56210000000000004</c:v>
                </c:pt>
                <c:pt idx="89">
                  <c:v>0.56259999999999999</c:v>
                </c:pt>
                <c:pt idx="90">
                  <c:v>0.56310000000000004</c:v>
                </c:pt>
                <c:pt idx="91">
                  <c:v>0.56359999999999999</c:v>
                </c:pt>
                <c:pt idx="92">
                  <c:v>0.56409999999999993</c:v>
                </c:pt>
                <c:pt idx="93">
                  <c:v>0.56509999999999994</c:v>
                </c:pt>
                <c:pt idx="94">
                  <c:v>0.56610000000000005</c:v>
                </c:pt>
                <c:pt idx="95">
                  <c:v>0.56659999999999999</c:v>
                </c:pt>
                <c:pt idx="96">
                  <c:v>0.56710000000000005</c:v>
                </c:pt>
                <c:pt idx="97">
                  <c:v>0.56810000000000005</c:v>
                </c:pt>
                <c:pt idx="98">
                  <c:v>0.56859999999999999</c:v>
                </c:pt>
                <c:pt idx="99">
                  <c:v>0.56909999999999994</c:v>
                </c:pt>
                <c:pt idx="100">
                  <c:v>0.57100000000000006</c:v>
                </c:pt>
                <c:pt idx="101">
                  <c:v>0.57119999999999993</c:v>
                </c:pt>
                <c:pt idx="102">
                  <c:v>0.57299999999999995</c:v>
                </c:pt>
                <c:pt idx="103">
                  <c:v>0.57320000000000004</c:v>
                </c:pt>
                <c:pt idx="104">
                  <c:v>0.5766</c:v>
                </c:pt>
                <c:pt idx="105">
                  <c:v>0.57710000000000006</c:v>
                </c:pt>
                <c:pt idx="106">
                  <c:v>0.57909999999999995</c:v>
                </c:pt>
                <c:pt idx="107">
                  <c:v>0.58160000000000001</c:v>
                </c:pt>
                <c:pt idx="108">
                  <c:v>0.58499999999999996</c:v>
                </c:pt>
                <c:pt idx="109">
                  <c:v>0.58609999999999995</c:v>
                </c:pt>
                <c:pt idx="110">
                  <c:v>0.58889999999999998</c:v>
                </c:pt>
                <c:pt idx="111">
                  <c:v>0.59009999999999996</c:v>
                </c:pt>
                <c:pt idx="112">
                  <c:v>0.59360000000000002</c:v>
                </c:pt>
                <c:pt idx="113">
                  <c:v>0.59810000000000008</c:v>
                </c:pt>
                <c:pt idx="114">
                  <c:v>0.60009999999999997</c:v>
                </c:pt>
                <c:pt idx="115">
                  <c:v>0.60609999999999997</c:v>
                </c:pt>
                <c:pt idx="116">
                  <c:v>0.61209999999999998</c:v>
                </c:pt>
                <c:pt idx="117">
                  <c:v>0.61659999999999993</c:v>
                </c:pt>
                <c:pt idx="118">
                  <c:v>0.62109999999999999</c:v>
                </c:pt>
                <c:pt idx="119">
                  <c:v>0.62609999999999999</c:v>
                </c:pt>
                <c:pt idx="120">
                  <c:v>0.63109999999999999</c:v>
                </c:pt>
                <c:pt idx="121">
                  <c:v>0.6361</c:v>
                </c:pt>
                <c:pt idx="122">
                  <c:v>0.6411</c:v>
                </c:pt>
                <c:pt idx="123">
                  <c:v>0.65110000000000001</c:v>
                </c:pt>
                <c:pt idx="124">
                  <c:v>0.66110000000000002</c:v>
                </c:pt>
                <c:pt idx="125">
                  <c:v>0.67110000000000003</c:v>
                </c:pt>
                <c:pt idx="126">
                  <c:v>0.68110000000000004</c:v>
                </c:pt>
                <c:pt idx="127">
                  <c:v>0.69110000000000005</c:v>
                </c:pt>
                <c:pt idx="128">
                  <c:v>0.70109999999999995</c:v>
                </c:pt>
                <c:pt idx="129">
                  <c:v>0.71160000000000001</c:v>
                </c:pt>
                <c:pt idx="130">
                  <c:v>0.72109999999999996</c:v>
                </c:pt>
                <c:pt idx="131">
                  <c:v>0.73109999999999997</c:v>
                </c:pt>
                <c:pt idx="132">
                  <c:v>0.77110000000000001</c:v>
                </c:pt>
                <c:pt idx="133">
                  <c:v>0.78159999999999996</c:v>
                </c:pt>
                <c:pt idx="134">
                  <c:v>0.82609999999999995</c:v>
                </c:pt>
                <c:pt idx="135">
                  <c:v>0.84510000000000007</c:v>
                </c:pt>
                <c:pt idx="136">
                  <c:v>0.86309999999999998</c:v>
                </c:pt>
                <c:pt idx="137">
                  <c:v>0.8931</c:v>
                </c:pt>
                <c:pt idx="138">
                  <c:v>0.90709999999999991</c:v>
                </c:pt>
                <c:pt idx="139">
                  <c:v>0.92409999999999992</c:v>
                </c:pt>
                <c:pt idx="140">
                  <c:v>0.94609999999999994</c:v>
                </c:pt>
                <c:pt idx="141">
                  <c:v>0.95609999999999995</c:v>
                </c:pt>
              </c:numCache>
            </c:numRef>
          </c:xVal>
          <c:yVal>
            <c:numRef>
              <c:f>Titration!$B$9:$B$150</c:f>
              <c:numCache>
                <c:formatCode>0.000</c:formatCode>
                <c:ptCount val="142"/>
                <c:pt idx="0">
                  <c:v>2.78</c:v>
                </c:pt>
                <c:pt idx="1">
                  <c:v>2.83</c:v>
                </c:pt>
                <c:pt idx="2">
                  <c:v>2.9</c:v>
                </c:pt>
                <c:pt idx="3">
                  <c:v>3.05</c:v>
                </c:pt>
                <c:pt idx="4">
                  <c:v>3.13</c:v>
                </c:pt>
                <c:pt idx="5">
                  <c:v>3.26</c:v>
                </c:pt>
                <c:pt idx="6">
                  <c:v>3.31</c:v>
                </c:pt>
                <c:pt idx="7">
                  <c:v>3.36</c:v>
                </c:pt>
                <c:pt idx="8">
                  <c:v>3.42</c:v>
                </c:pt>
                <c:pt idx="9">
                  <c:v>3.47</c:v>
                </c:pt>
                <c:pt idx="10">
                  <c:v>3.52</c:v>
                </c:pt>
                <c:pt idx="11">
                  <c:v>3.56</c:v>
                </c:pt>
                <c:pt idx="12">
                  <c:v>3.6</c:v>
                </c:pt>
                <c:pt idx="13">
                  <c:v>3.64</c:v>
                </c:pt>
                <c:pt idx="14">
                  <c:v>3.68</c:v>
                </c:pt>
                <c:pt idx="15">
                  <c:v>3.71</c:v>
                </c:pt>
                <c:pt idx="16">
                  <c:v>3.74</c:v>
                </c:pt>
                <c:pt idx="17">
                  <c:v>3.79</c:v>
                </c:pt>
                <c:pt idx="18">
                  <c:v>3.81</c:v>
                </c:pt>
                <c:pt idx="19">
                  <c:v>3.83</c:v>
                </c:pt>
                <c:pt idx="20">
                  <c:v>3.87</c:v>
                </c:pt>
                <c:pt idx="21">
                  <c:v>3.89</c:v>
                </c:pt>
                <c:pt idx="22">
                  <c:v>3.95</c:v>
                </c:pt>
                <c:pt idx="23">
                  <c:v>4</c:v>
                </c:pt>
                <c:pt idx="24">
                  <c:v>4.05</c:v>
                </c:pt>
                <c:pt idx="25">
                  <c:v>4.0999999999999996</c:v>
                </c:pt>
                <c:pt idx="26">
                  <c:v>4.1399999999999997</c:v>
                </c:pt>
                <c:pt idx="27">
                  <c:v>4.1900000000000004</c:v>
                </c:pt>
                <c:pt idx="28">
                  <c:v>4.2300000000000004</c:v>
                </c:pt>
                <c:pt idx="29">
                  <c:v>4.28</c:v>
                </c:pt>
                <c:pt idx="30">
                  <c:v>4.32</c:v>
                </c:pt>
                <c:pt idx="31">
                  <c:v>4.3600000000000003</c:v>
                </c:pt>
                <c:pt idx="32">
                  <c:v>4.41</c:v>
                </c:pt>
                <c:pt idx="33">
                  <c:v>4.45</c:v>
                </c:pt>
                <c:pt idx="34">
                  <c:v>4.49</c:v>
                </c:pt>
                <c:pt idx="35">
                  <c:v>4.53</c:v>
                </c:pt>
                <c:pt idx="36">
                  <c:v>4.57</c:v>
                </c:pt>
                <c:pt idx="37">
                  <c:v>4.6100000000000003</c:v>
                </c:pt>
                <c:pt idx="38">
                  <c:v>4.6500000000000004</c:v>
                </c:pt>
                <c:pt idx="39">
                  <c:v>4.7</c:v>
                </c:pt>
                <c:pt idx="40">
                  <c:v>4.7300000000000004</c:v>
                </c:pt>
                <c:pt idx="41">
                  <c:v>4.78</c:v>
                </c:pt>
                <c:pt idx="42">
                  <c:v>4.8099999999999996</c:v>
                </c:pt>
                <c:pt idx="43">
                  <c:v>4.8600000000000003</c:v>
                </c:pt>
                <c:pt idx="44">
                  <c:v>4.9000000000000004</c:v>
                </c:pt>
                <c:pt idx="45">
                  <c:v>4.91</c:v>
                </c:pt>
                <c:pt idx="46">
                  <c:v>4.9800000000000004</c:v>
                </c:pt>
                <c:pt idx="47">
                  <c:v>5.03</c:v>
                </c:pt>
                <c:pt idx="48">
                  <c:v>5.07</c:v>
                </c:pt>
                <c:pt idx="49">
                  <c:v>5.1100000000000003</c:v>
                </c:pt>
                <c:pt idx="50">
                  <c:v>5.16</c:v>
                </c:pt>
                <c:pt idx="51">
                  <c:v>5.21</c:v>
                </c:pt>
                <c:pt idx="52">
                  <c:v>5.25</c:v>
                </c:pt>
                <c:pt idx="53">
                  <c:v>5.3</c:v>
                </c:pt>
                <c:pt idx="54">
                  <c:v>5.35</c:v>
                </c:pt>
                <c:pt idx="55">
                  <c:v>5.41</c:v>
                </c:pt>
                <c:pt idx="56">
                  <c:v>5.47</c:v>
                </c:pt>
                <c:pt idx="57">
                  <c:v>5.53</c:v>
                </c:pt>
                <c:pt idx="58">
                  <c:v>5.53</c:v>
                </c:pt>
                <c:pt idx="59">
                  <c:v>5.6</c:v>
                </c:pt>
                <c:pt idx="60">
                  <c:v>5.63</c:v>
                </c:pt>
                <c:pt idx="61">
                  <c:v>5.67</c:v>
                </c:pt>
                <c:pt idx="62">
                  <c:v>5.76</c:v>
                </c:pt>
                <c:pt idx="63">
                  <c:v>5.82</c:v>
                </c:pt>
                <c:pt idx="64">
                  <c:v>5.84</c:v>
                </c:pt>
                <c:pt idx="65">
                  <c:v>5.87</c:v>
                </c:pt>
                <c:pt idx="66">
                  <c:v>5.89</c:v>
                </c:pt>
                <c:pt idx="67">
                  <c:v>5.92</c:v>
                </c:pt>
                <c:pt idx="68">
                  <c:v>5.99</c:v>
                </c:pt>
                <c:pt idx="69">
                  <c:v>6.07</c:v>
                </c:pt>
                <c:pt idx="70">
                  <c:v>6.16</c:v>
                </c:pt>
                <c:pt idx="71">
                  <c:v>6.25</c:v>
                </c:pt>
                <c:pt idx="72">
                  <c:v>6.32</c:v>
                </c:pt>
                <c:pt idx="73">
                  <c:v>6.39</c:v>
                </c:pt>
                <c:pt idx="74">
                  <c:v>6.48</c:v>
                </c:pt>
                <c:pt idx="75">
                  <c:v>6.54</c:v>
                </c:pt>
                <c:pt idx="76">
                  <c:v>6.56</c:v>
                </c:pt>
                <c:pt idx="77">
                  <c:v>6.62</c:v>
                </c:pt>
                <c:pt idx="78">
                  <c:v>6.7</c:v>
                </c:pt>
                <c:pt idx="79">
                  <c:v>6.77</c:v>
                </c:pt>
                <c:pt idx="80">
                  <c:v>6.88</c:v>
                </c:pt>
                <c:pt idx="81">
                  <c:v>6.92</c:v>
                </c:pt>
                <c:pt idx="82">
                  <c:v>6.97</c:v>
                </c:pt>
                <c:pt idx="83">
                  <c:v>7.02</c:v>
                </c:pt>
                <c:pt idx="84">
                  <c:v>7.08</c:v>
                </c:pt>
                <c:pt idx="85">
                  <c:v>7.2</c:v>
                </c:pt>
                <c:pt idx="86">
                  <c:v>7.3</c:v>
                </c:pt>
                <c:pt idx="87">
                  <c:v>7.52</c:v>
                </c:pt>
                <c:pt idx="88">
                  <c:v>7.73</c:v>
                </c:pt>
                <c:pt idx="89">
                  <c:v>8.08</c:v>
                </c:pt>
                <c:pt idx="90">
                  <c:v>8.85</c:v>
                </c:pt>
                <c:pt idx="91">
                  <c:v>9.41</c:v>
                </c:pt>
                <c:pt idx="92">
                  <c:v>9.7200000000000006</c:v>
                </c:pt>
                <c:pt idx="93">
                  <c:v>10.050000000000001</c:v>
                </c:pt>
                <c:pt idx="94">
                  <c:v>10.24</c:v>
                </c:pt>
                <c:pt idx="95">
                  <c:v>10.32</c:v>
                </c:pt>
                <c:pt idx="96">
                  <c:v>10.39</c:v>
                </c:pt>
                <c:pt idx="97">
                  <c:v>10.5</c:v>
                </c:pt>
                <c:pt idx="98">
                  <c:v>10.56</c:v>
                </c:pt>
                <c:pt idx="99">
                  <c:v>10.6</c:v>
                </c:pt>
                <c:pt idx="100">
                  <c:v>10.69</c:v>
                </c:pt>
                <c:pt idx="101">
                  <c:v>10.72</c:v>
                </c:pt>
                <c:pt idx="102">
                  <c:v>10.82</c:v>
                </c:pt>
                <c:pt idx="103">
                  <c:v>10.84</c:v>
                </c:pt>
                <c:pt idx="104">
                  <c:v>10.97</c:v>
                </c:pt>
                <c:pt idx="105">
                  <c:v>11</c:v>
                </c:pt>
                <c:pt idx="106">
                  <c:v>11.07</c:v>
                </c:pt>
                <c:pt idx="107">
                  <c:v>11.13</c:v>
                </c:pt>
                <c:pt idx="108">
                  <c:v>11.21</c:v>
                </c:pt>
                <c:pt idx="109">
                  <c:v>11.24</c:v>
                </c:pt>
                <c:pt idx="110">
                  <c:v>11.27</c:v>
                </c:pt>
                <c:pt idx="111">
                  <c:v>11.32</c:v>
                </c:pt>
                <c:pt idx="112">
                  <c:v>11.37</c:v>
                </c:pt>
                <c:pt idx="113">
                  <c:v>11.42</c:v>
                </c:pt>
                <c:pt idx="114">
                  <c:v>11.45</c:v>
                </c:pt>
                <c:pt idx="115">
                  <c:v>11.51</c:v>
                </c:pt>
                <c:pt idx="116">
                  <c:v>11.56</c:v>
                </c:pt>
                <c:pt idx="117">
                  <c:v>11.6</c:v>
                </c:pt>
                <c:pt idx="118">
                  <c:v>11.63</c:v>
                </c:pt>
                <c:pt idx="119">
                  <c:v>11.66</c:v>
                </c:pt>
                <c:pt idx="120">
                  <c:v>11.69</c:v>
                </c:pt>
                <c:pt idx="121">
                  <c:v>11.72</c:v>
                </c:pt>
                <c:pt idx="122">
                  <c:v>11.74</c:v>
                </c:pt>
                <c:pt idx="123">
                  <c:v>11.79</c:v>
                </c:pt>
                <c:pt idx="124">
                  <c:v>11.83</c:v>
                </c:pt>
                <c:pt idx="125">
                  <c:v>11.86</c:v>
                </c:pt>
                <c:pt idx="126">
                  <c:v>11.89</c:v>
                </c:pt>
                <c:pt idx="127">
                  <c:v>11.92</c:v>
                </c:pt>
                <c:pt idx="128">
                  <c:v>11.95</c:v>
                </c:pt>
                <c:pt idx="129">
                  <c:v>11.98</c:v>
                </c:pt>
                <c:pt idx="130">
                  <c:v>11.99</c:v>
                </c:pt>
                <c:pt idx="131">
                  <c:v>12.02</c:v>
                </c:pt>
                <c:pt idx="132">
                  <c:v>12.07</c:v>
                </c:pt>
                <c:pt idx="133">
                  <c:v>12.08</c:v>
                </c:pt>
                <c:pt idx="134">
                  <c:v>12.14</c:v>
                </c:pt>
                <c:pt idx="135">
                  <c:v>12.15</c:v>
                </c:pt>
                <c:pt idx="136">
                  <c:v>12.16</c:v>
                </c:pt>
                <c:pt idx="137">
                  <c:v>12.18</c:v>
                </c:pt>
                <c:pt idx="138">
                  <c:v>12.19</c:v>
                </c:pt>
                <c:pt idx="139">
                  <c:v>12.2</c:v>
                </c:pt>
                <c:pt idx="140">
                  <c:v>12.21</c:v>
                </c:pt>
                <c:pt idx="141">
                  <c:v>12.23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A-417C-BD9C-2C5CC71F9282}"/>
            </c:ext>
          </c:extLst>
        </c:ser>
        <c:ser>
          <c:idx val="1"/>
          <c:order val="1"/>
          <c:tx>
            <c:strRef>
              <c:f>Titration!$C$8</c:f>
              <c:strCache>
                <c:ptCount val="1"/>
                <c:pt idx="0">
                  <c:v>ph'</c:v>
                </c:pt>
              </c:strCache>
            </c:strRef>
          </c:tx>
          <c:marker>
            <c:symbol val="none"/>
          </c:marker>
          <c:xVal>
            <c:numRef>
              <c:f>Titration!$A$9:$A$150</c:f>
              <c:numCache>
                <c:formatCode>0.000</c:formatCode>
                <c:ptCount val="142"/>
                <c:pt idx="0">
                  <c:v>0</c:v>
                </c:pt>
                <c:pt idx="1">
                  <c:v>8.1000000000000013E-3</c:v>
                </c:pt>
                <c:pt idx="2">
                  <c:v>1.21E-2</c:v>
                </c:pt>
                <c:pt idx="3">
                  <c:v>2.1600000000000001E-2</c:v>
                </c:pt>
                <c:pt idx="4">
                  <c:v>2.7099999999999999E-2</c:v>
                </c:pt>
                <c:pt idx="5">
                  <c:v>3.7100000000000001E-2</c:v>
                </c:pt>
                <c:pt idx="6">
                  <c:v>4.1200000000000001E-2</c:v>
                </c:pt>
                <c:pt idx="7">
                  <c:v>4.6900000000000004E-2</c:v>
                </c:pt>
                <c:pt idx="8">
                  <c:v>5.16E-2</c:v>
                </c:pt>
                <c:pt idx="9">
                  <c:v>5.6500000000000002E-2</c:v>
                </c:pt>
                <c:pt idx="10">
                  <c:v>6.1600000000000002E-2</c:v>
                </c:pt>
                <c:pt idx="11">
                  <c:v>6.7099999999999993E-2</c:v>
                </c:pt>
                <c:pt idx="12">
                  <c:v>7.2099999999999997E-2</c:v>
                </c:pt>
                <c:pt idx="13">
                  <c:v>7.7100000000000002E-2</c:v>
                </c:pt>
                <c:pt idx="14">
                  <c:v>8.199999999999999E-2</c:v>
                </c:pt>
                <c:pt idx="15">
                  <c:v>8.6599999999999996E-2</c:v>
                </c:pt>
                <c:pt idx="16">
                  <c:v>9.2100000000000015E-2</c:v>
                </c:pt>
                <c:pt idx="17">
                  <c:v>9.7100000000000006E-2</c:v>
                </c:pt>
                <c:pt idx="18">
                  <c:v>0.10210000000000001</c:v>
                </c:pt>
                <c:pt idx="19">
                  <c:v>0.10710000000000001</c:v>
                </c:pt>
                <c:pt idx="20">
                  <c:v>0.11210000000000001</c:v>
                </c:pt>
                <c:pt idx="21">
                  <c:v>0.11710000000000001</c:v>
                </c:pt>
                <c:pt idx="22">
                  <c:v>0.12759999999999999</c:v>
                </c:pt>
                <c:pt idx="23">
                  <c:v>0.1381</c:v>
                </c:pt>
                <c:pt idx="24">
                  <c:v>0.14779999999999999</c:v>
                </c:pt>
                <c:pt idx="25">
                  <c:v>0.15710000000000002</c:v>
                </c:pt>
                <c:pt idx="26">
                  <c:v>0.1671</c:v>
                </c:pt>
                <c:pt idx="27">
                  <c:v>0.17710000000000001</c:v>
                </c:pt>
                <c:pt idx="28">
                  <c:v>0.18710000000000002</c:v>
                </c:pt>
                <c:pt idx="29">
                  <c:v>0.1971</c:v>
                </c:pt>
                <c:pt idx="30">
                  <c:v>0.20710000000000001</c:v>
                </c:pt>
                <c:pt idx="31">
                  <c:v>0.21660000000000001</c:v>
                </c:pt>
                <c:pt idx="32">
                  <c:v>0.2271</c:v>
                </c:pt>
                <c:pt idx="33">
                  <c:v>0.23710000000000001</c:v>
                </c:pt>
                <c:pt idx="34">
                  <c:v>0.24809999999999999</c:v>
                </c:pt>
                <c:pt idx="35">
                  <c:v>0.2571</c:v>
                </c:pt>
                <c:pt idx="36">
                  <c:v>0.2676</c:v>
                </c:pt>
                <c:pt idx="37">
                  <c:v>0.27710000000000001</c:v>
                </c:pt>
                <c:pt idx="38">
                  <c:v>0.28660000000000002</c:v>
                </c:pt>
                <c:pt idx="39">
                  <c:v>0.29809999999999998</c:v>
                </c:pt>
                <c:pt idx="40">
                  <c:v>0.30709999999999998</c:v>
                </c:pt>
                <c:pt idx="41">
                  <c:v>0.31709999999999999</c:v>
                </c:pt>
                <c:pt idx="42">
                  <c:v>0.3271</c:v>
                </c:pt>
                <c:pt idx="43">
                  <c:v>0.33810000000000001</c:v>
                </c:pt>
                <c:pt idx="44">
                  <c:v>0.34710000000000002</c:v>
                </c:pt>
                <c:pt idx="45">
                  <c:v>0.35710000000000003</c:v>
                </c:pt>
                <c:pt idx="46">
                  <c:v>0.36709999999999998</c:v>
                </c:pt>
                <c:pt idx="47">
                  <c:v>0.37759999999999999</c:v>
                </c:pt>
                <c:pt idx="48">
                  <c:v>0.3871</c:v>
                </c:pt>
                <c:pt idx="49">
                  <c:v>0.39759999999999995</c:v>
                </c:pt>
                <c:pt idx="50">
                  <c:v>0.40679999999999999</c:v>
                </c:pt>
                <c:pt idx="51">
                  <c:v>0.41710000000000003</c:v>
                </c:pt>
                <c:pt idx="52">
                  <c:v>0.42710000000000004</c:v>
                </c:pt>
                <c:pt idx="53">
                  <c:v>0.43709999999999999</c:v>
                </c:pt>
                <c:pt idx="54">
                  <c:v>0.4471</c:v>
                </c:pt>
                <c:pt idx="55">
                  <c:v>0.4587</c:v>
                </c:pt>
                <c:pt idx="56">
                  <c:v>0.46710000000000002</c:v>
                </c:pt>
                <c:pt idx="57">
                  <c:v>0.47710000000000002</c:v>
                </c:pt>
                <c:pt idx="58">
                  <c:v>0.47710000000000002</c:v>
                </c:pt>
                <c:pt idx="59">
                  <c:v>0.48710000000000003</c:v>
                </c:pt>
                <c:pt idx="60">
                  <c:v>0.49109999999999998</c:v>
                </c:pt>
                <c:pt idx="61">
                  <c:v>0.49609999999999999</c:v>
                </c:pt>
                <c:pt idx="62">
                  <c:v>0.50609999999999999</c:v>
                </c:pt>
                <c:pt idx="63">
                  <c:v>0.5111</c:v>
                </c:pt>
                <c:pt idx="64">
                  <c:v>0.5141</c:v>
                </c:pt>
                <c:pt idx="65">
                  <c:v>0.5161</c:v>
                </c:pt>
                <c:pt idx="66">
                  <c:v>0.5181</c:v>
                </c:pt>
                <c:pt idx="67">
                  <c:v>0.52110000000000001</c:v>
                </c:pt>
                <c:pt idx="68">
                  <c:v>0.52610000000000001</c:v>
                </c:pt>
                <c:pt idx="69">
                  <c:v>0.53110000000000002</c:v>
                </c:pt>
                <c:pt idx="70">
                  <c:v>0.53610000000000002</c:v>
                </c:pt>
                <c:pt idx="71">
                  <c:v>0.5403</c:v>
                </c:pt>
                <c:pt idx="72">
                  <c:v>0.54330000000000001</c:v>
                </c:pt>
                <c:pt idx="73">
                  <c:v>0.54610000000000003</c:v>
                </c:pt>
                <c:pt idx="74">
                  <c:v>0.54909999999999992</c:v>
                </c:pt>
                <c:pt idx="75">
                  <c:v>0.55059999999999998</c:v>
                </c:pt>
                <c:pt idx="76">
                  <c:v>0.55110000000000003</c:v>
                </c:pt>
                <c:pt idx="77">
                  <c:v>0.55259999999999998</c:v>
                </c:pt>
                <c:pt idx="78">
                  <c:v>0.55409999999999993</c:v>
                </c:pt>
                <c:pt idx="79">
                  <c:v>0.55509999999999993</c:v>
                </c:pt>
                <c:pt idx="80">
                  <c:v>0.55710000000000004</c:v>
                </c:pt>
                <c:pt idx="81">
                  <c:v>0.55759999999999998</c:v>
                </c:pt>
                <c:pt idx="82">
                  <c:v>0.55810000000000004</c:v>
                </c:pt>
                <c:pt idx="83">
                  <c:v>0.55859999999999999</c:v>
                </c:pt>
                <c:pt idx="84">
                  <c:v>0.55909999999999993</c:v>
                </c:pt>
                <c:pt idx="85">
                  <c:v>0.56009999999999993</c:v>
                </c:pt>
                <c:pt idx="86">
                  <c:v>0.56059999999999999</c:v>
                </c:pt>
                <c:pt idx="87">
                  <c:v>0.56159999999999999</c:v>
                </c:pt>
                <c:pt idx="88">
                  <c:v>0.56210000000000004</c:v>
                </c:pt>
                <c:pt idx="89">
                  <c:v>0.56259999999999999</c:v>
                </c:pt>
                <c:pt idx="90">
                  <c:v>0.56310000000000004</c:v>
                </c:pt>
                <c:pt idx="91">
                  <c:v>0.56359999999999999</c:v>
                </c:pt>
                <c:pt idx="92">
                  <c:v>0.56409999999999993</c:v>
                </c:pt>
                <c:pt idx="93">
                  <c:v>0.56509999999999994</c:v>
                </c:pt>
                <c:pt idx="94">
                  <c:v>0.56610000000000005</c:v>
                </c:pt>
                <c:pt idx="95">
                  <c:v>0.56659999999999999</c:v>
                </c:pt>
                <c:pt idx="96">
                  <c:v>0.56710000000000005</c:v>
                </c:pt>
                <c:pt idx="97">
                  <c:v>0.56810000000000005</c:v>
                </c:pt>
                <c:pt idx="98">
                  <c:v>0.56859999999999999</c:v>
                </c:pt>
                <c:pt idx="99">
                  <c:v>0.56909999999999994</c:v>
                </c:pt>
                <c:pt idx="100">
                  <c:v>0.57100000000000006</c:v>
                </c:pt>
                <c:pt idx="101">
                  <c:v>0.57119999999999993</c:v>
                </c:pt>
                <c:pt idx="102">
                  <c:v>0.57299999999999995</c:v>
                </c:pt>
                <c:pt idx="103">
                  <c:v>0.57320000000000004</c:v>
                </c:pt>
                <c:pt idx="104">
                  <c:v>0.5766</c:v>
                </c:pt>
                <c:pt idx="105">
                  <c:v>0.57710000000000006</c:v>
                </c:pt>
                <c:pt idx="106">
                  <c:v>0.57909999999999995</c:v>
                </c:pt>
                <c:pt idx="107">
                  <c:v>0.58160000000000001</c:v>
                </c:pt>
                <c:pt idx="108">
                  <c:v>0.58499999999999996</c:v>
                </c:pt>
                <c:pt idx="109">
                  <c:v>0.58609999999999995</c:v>
                </c:pt>
                <c:pt idx="110">
                  <c:v>0.58889999999999998</c:v>
                </c:pt>
                <c:pt idx="111">
                  <c:v>0.59009999999999996</c:v>
                </c:pt>
                <c:pt idx="112">
                  <c:v>0.59360000000000002</c:v>
                </c:pt>
                <c:pt idx="113">
                  <c:v>0.59810000000000008</c:v>
                </c:pt>
                <c:pt idx="114">
                  <c:v>0.60009999999999997</c:v>
                </c:pt>
                <c:pt idx="115">
                  <c:v>0.60609999999999997</c:v>
                </c:pt>
                <c:pt idx="116">
                  <c:v>0.61209999999999998</c:v>
                </c:pt>
                <c:pt idx="117">
                  <c:v>0.61659999999999993</c:v>
                </c:pt>
                <c:pt idx="118">
                  <c:v>0.62109999999999999</c:v>
                </c:pt>
                <c:pt idx="119">
                  <c:v>0.62609999999999999</c:v>
                </c:pt>
                <c:pt idx="120">
                  <c:v>0.63109999999999999</c:v>
                </c:pt>
                <c:pt idx="121">
                  <c:v>0.6361</c:v>
                </c:pt>
                <c:pt idx="122">
                  <c:v>0.6411</c:v>
                </c:pt>
                <c:pt idx="123">
                  <c:v>0.65110000000000001</c:v>
                </c:pt>
                <c:pt idx="124">
                  <c:v>0.66110000000000002</c:v>
                </c:pt>
                <c:pt idx="125">
                  <c:v>0.67110000000000003</c:v>
                </c:pt>
                <c:pt idx="126">
                  <c:v>0.68110000000000004</c:v>
                </c:pt>
                <c:pt idx="127">
                  <c:v>0.69110000000000005</c:v>
                </c:pt>
                <c:pt idx="128">
                  <c:v>0.70109999999999995</c:v>
                </c:pt>
                <c:pt idx="129">
                  <c:v>0.71160000000000001</c:v>
                </c:pt>
                <c:pt idx="130">
                  <c:v>0.72109999999999996</c:v>
                </c:pt>
                <c:pt idx="131">
                  <c:v>0.73109999999999997</c:v>
                </c:pt>
                <c:pt idx="132">
                  <c:v>0.77110000000000001</c:v>
                </c:pt>
                <c:pt idx="133">
                  <c:v>0.78159999999999996</c:v>
                </c:pt>
                <c:pt idx="134">
                  <c:v>0.82609999999999995</c:v>
                </c:pt>
                <c:pt idx="135">
                  <c:v>0.84510000000000007</c:v>
                </c:pt>
                <c:pt idx="136">
                  <c:v>0.86309999999999998</c:v>
                </c:pt>
                <c:pt idx="137">
                  <c:v>0.8931</c:v>
                </c:pt>
                <c:pt idx="138">
                  <c:v>0.90709999999999991</c:v>
                </c:pt>
                <c:pt idx="139">
                  <c:v>0.92409999999999992</c:v>
                </c:pt>
                <c:pt idx="140">
                  <c:v>0.94609999999999994</c:v>
                </c:pt>
                <c:pt idx="141">
                  <c:v>0.95609999999999995</c:v>
                </c:pt>
              </c:numCache>
            </c:numRef>
          </c:xVal>
          <c:yVal>
            <c:numRef>
              <c:f>Titration!$C$9:$C$150</c:f>
              <c:numCache>
                <c:formatCode>0.000</c:formatCode>
                <c:ptCount val="142"/>
                <c:pt idx="0">
                  <c:v>6.1728395061728714</c:v>
                </c:pt>
                <c:pt idx="1">
                  <c:v>9.917355371900836</c:v>
                </c:pt>
                <c:pt idx="2">
                  <c:v>16.296296296296276</c:v>
                </c:pt>
                <c:pt idx="3">
                  <c:v>15.333333333333332</c:v>
                </c:pt>
                <c:pt idx="4">
                  <c:v>13.548387096774192</c:v>
                </c:pt>
                <c:pt idx="5">
                  <c:v>12.765957446808521</c:v>
                </c:pt>
                <c:pt idx="6">
                  <c:v>10.204081632653066</c:v>
                </c:pt>
                <c:pt idx="7">
                  <c:v>10.576923076923066</c:v>
                </c:pt>
                <c:pt idx="8">
                  <c:v>11.458333333333369</c:v>
                </c:pt>
                <c:pt idx="9">
                  <c:v>10.000000000000007</c:v>
                </c:pt>
                <c:pt idx="10">
                  <c:v>8.4905660377358423</c:v>
                </c:pt>
                <c:pt idx="11">
                  <c:v>7.6190476190476293</c:v>
                </c:pt>
                <c:pt idx="12">
                  <c:v>8</c:v>
                </c:pt>
                <c:pt idx="13">
                  <c:v>8.0808080808080938</c:v>
                </c:pt>
                <c:pt idx="14">
                  <c:v>7.3684210526315663</c:v>
                </c:pt>
                <c:pt idx="15">
                  <c:v>5.9405940594059308</c:v>
                </c:pt>
                <c:pt idx="16">
                  <c:v>7.6190476190476186</c:v>
                </c:pt>
                <c:pt idx="17">
                  <c:v>6.9999999999999876</c:v>
                </c:pt>
                <c:pt idx="18">
                  <c:v>4</c:v>
                </c:pt>
                <c:pt idx="19">
                  <c:v>6.000000000000008</c:v>
                </c:pt>
                <c:pt idx="20">
                  <c:v>6.000000000000008</c:v>
                </c:pt>
                <c:pt idx="21">
                  <c:v>5.1612903225806548</c:v>
                </c:pt>
                <c:pt idx="22">
                  <c:v>5.2380952380952346</c:v>
                </c:pt>
                <c:pt idx="23">
                  <c:v>4.9504950495049336</c:v>
                </c:pt>
                <c:pt idx="24">
                  <c:v>5.2631578947368185</c:v>
                </c:pt>
                <c:pt idx="25">
                  <c:v>4.6632124352331505</c:v>
                </c:pt>
                <c:pt idx="26">
                  <c:v>4.50000000000004</c:v>
                </c:pt>
                <c:pt idx="27">
                  <c:v>4.5000000000000338</c:v>
                </c:pt>
                <c:pt idx="28">
                  <c:v>4.4999999999999956</c:v>
                </c:pt>
                <c:pt idx="29">
                  <c:v>4.4999999999999956</c:v>
                </c:pt>
                <c:pt idx="30">
                  <c:v>4.1025641025641022</c:v>
                </c:pt>
                <c:pt idx="31">
                  <c:v>4.4999999999999956</c:v>
                </c:pt>
                <c:pt idx="32">
                  <c:v>4.3902439024390194</c:v>
                </c:pt>
                <c:pt idx="33">
                  <c:v>3.8095238095238146</c:v>
                </c:pt>
                <c:pt idx="34">
                  <c:v>4.0000000000000053</c:v>
                </c:pt>
                <c:pt idx="35">
                  <c:v>4.1025641025641022</c:v>
                </c:pt>
                <c:pt idx="36">
                  <c:v>4</c:v>
                </c:pt>
                <c:pt idx="37">
                  <c:v>4.2105263157894735</c:v>
                </c:pt>
                <c:pt idx="38">
                  <c:v>4.2857142857142865</c:v>
                </c:pt>
                <c:pt idx="39">
                  <c:v>3.9024390243902545</c:v>
                </c:pt>
                <c:pt idx="40">
                  <c:v>4.2105263157894735</c:v>
                </c:pt>
                <c:pt idx="41">
                  <c:v>3.9999999999999556</c:v>
                </c:pt>
                <c:pt idx="42">
                  <c:v>3.8095238095238093</c:v>
                </c:pt>
                <c:pt idx="43">
                  <c:v>4.5000000000000338</c:v>
                </c:pt>
                <c:pt idx="44">
                  <c:v>2.6315789473684092</c:v>
                </c:pt>
                <c:pt idx="45">
                  <c:v>4.0000000000000107</c:v>
                </c:pt>
                <c:pt idx="46">
                  <c:v>5.8536585365853817</c:v>
                </c:pt>
                <c:pt idx="47">
                  <c:v>4.4999999999999893</c:v>
                </c:pt>
                <c:pt idx="48">
                  <c:v>4.0000000000000107</c:v>
                </c:pt>
                <c:pt idx="49">
                  <c:v>4.5685279187817196</c:v>
                </c:pt>
                <c:pt idx="50">
                  <c:v>5.1282051282050904</c:v>
                </c:pt>
                <c:pt idx="51">
                  <c:v>4.4334975369457972</c:v>
                </c:pt>
                <c:pt idx="52">
                  <c:v>4.5000000000000018</c:v>
                </c:pt>
                <c:pt idx="53">
                  <c:v>4.999999999999992</c:v>
                </c:pt>
                <c:pt idx="54">
                  <c:v>5.0925925925926059</c:v>
                </c:pt>
                <c:pt idx="55">
                  <c:v>6</c:v>
                </c:pt>
                <c:pt idx="56">
                  <c:v>6.5217391304347787</c:v>
                </c:pt>
                <c:pt idx="57">
                  <c:v>6.0000000000000444</c:v>
                </c:pt>
                <c:pt idx="58">
                  <c:v>6.9999999999999334</c:v>
                </c:pt>
                <c:pt idx="59">
                  <c:v>7.1428571428571397</c:v>
                </c:pt>
                <c:pt idx="60">
                  <c:v>7.7777777777778505</c:v>
                </c:pt>
                <c:pt idx="61">
                  <c:v>8.6666666666666519</c:v>
                </c:pt>
                <c:pt idx="62">
                  <c:v>10.000000000000014</c:v>
                </c:pt>
                <c:pt idx="63">
                  <c:v>10</c:v>
                </c:pt>
                <c:pt idx="64">
                  <c:v>9.9999999999999556</c:v>
                </c:pt>
                <c:pt idx="65">
                  <c:v>12.499999999999945</c:v>
                </c:pt>
                <c:pt idx="66">
                  <c:v>9.9999999999999556</c:v>
                </c:pt>
                <c:pt idx="67">
                  <c:v>12.500000000000055</c:v>
                </c:pt>
                <c:pt idx="68">
                  <c:v>15.000000000000021</c:v>
                </c:pt>
                <c:pt idx="69">
                  <c:v>16.999999999999979</c:v>
                </c:pt>
                <c:pt idx="70">
                  <c:v>19.565217391304348</c:v>
                </c:pt>
                <c:pt idx="71">
                  <c:v>22.222222222222292</c:v>
                </c:pt>
                <c:pt idx="72">
                  <c:v>24.137931034482591</c:v>
                </c:pt>
                <c:pt idx="73">
                  <c:v>27.586206896552145</c:v>
                </c:pt>
                <c:pt idx="74">
                  <c:v>33.33333333333379</c:v>
                </c:pt>
                <c:pt idx="75">
                  <c:v>39.999999999997335</c:v>
                </c:pt>
                <c:pt idx="76">
                  <c:v>40</c:v>
                </c:pt>
                <c:pt idx="77">
                  <c:v>46.66666666666854</c:v>
                </c:pt>
                <c:pt idx="78">
                  <c:v>60.000000000001066</c:v>
                </c:pt>
                <c:pt idx="79">
                  <c:v>59.999999999997634</c:v>
                </c:pt>
                <c:pt idx="80">
                  <c:v>59.999999999998757</c:v>
                </c:pt>
                <c:pt idx="81">
                  <c:v>89.999999999999773</c:v>
                </c:pt>
                <c:pt idx="82">
                  <c:v>99.999999999999559</c:v>
                </c:pt>
                <c:pt idx="83">
                  <c:v>110.00000000001243</c:v>
                </c:pt>
                <c:pt idx="84">
                  <c:v>120.00000000000473</c:v>
                </c:pt>
                <c:pt idx="85">
                  <c:v>146.66666666666094</c:v>
                </c:pt>
                <c:pt idx="86">
                  <c:v>213.33333333332484</c:v>
                </c:pt>
                <c:pt idx="87">
                  <c:v>286.66666666665623</c:v>
                </c:pt>
                <c:pt idx="88">
                  <c:v>560</c:v>
                </c:pt>
                <c:pt idx="89">
                  <c:v>1119.9999999999982</c:v>
                </c:pt>
                <c:pt idx="90">
                  <c:v>1329.9999999999989</c:v>
                </c:pt>
                <c:pt idx="91">
                  <c:v>870.00000000009686</c:v>
                </c:pt>
                <c:pt idx="92">
                  <c:v>426.66666666668243</c:v>
                </c:pt>
                <c:pt idx="93">
                  <c:v>259.99999999998511</c:v>
                </c:pt>
                <c:pt idx="94">
                  <c:v>179.99999999999289</c:v>
                </c:pt>
                <c:pt idx="95">
                  <c:v>150.00000000000023</c:v>
                </c:pt>
                <c:pt idx="96">
                  <c:v>119.99999999999527</c:v>
                </c:pt>
                <c:pt idx="97">
                  <c:v>113.33333333333738</c:v>
                </c:pt>
                <c:pt idx="98">
                  <c:v>100.00000000001066</c:v>
                </c:pt>
                <c:pt idx="99">
                  <c:v>54.166666666664703</c:v>
                </c:pt>
                <c:pt idx="100">
                  <c:v>57.142857142857871</c:v>
                </c:pt>
                <c:pt idx="101">
                  <c:v>65.000000000003936</c:v>
                </c:pt>
                <c:pt idx="102">
                  <c:v>59.999999999996227</c:v>
                </c:pt>
                <c:pt idx="103">
                  <c:v>41.666666666666217</c:v>
                </c:pt>
                <c:pt idx="104">
                  <c:v>41.025641025640908</c:v>
                </c:pt>
                <c:pt idx="105">
                  <c:v>40.000000000000711</c:v>
                </c:pt>
                <c:pt idx="106">
                  <c:v>28.888888888889394</c:v>
                </c:pt>
                <c:pt idx="107">
                  <c:v>23.728813559322063</c:v>
                </c:pt>
                <c:pt idx="108">
                  <c:v>24.444444444444599</c:v>
                </c:pt>
                <c:pt idx="109">
                  <c:v>15.384615384615</c:v>
                </c:pt>
                <c:pt idx="110">
                  <c:v>20</c:v>
                </c:pt>
                <c:pt idx="111">
                  <c:v>21.276595744680606</c:v>
                </c:pt>
                <c:pt idx="112">
                  <c:v>12.499999999999771</c:v>
                </c:pt>
                <c:pt idx="113">
                  <c:v>12.307692307692413</c:v>
                </c:pt>
                <c:pt idx="114">
                  <c:v>11.250000000000128</c:v>
                </c:pt>
                <c:pt idx="115">
                  <c:v>9.1666666666667584</c:v>
                </c:pt>
                <c:pt idx="116">
                  <c:v>8.571428571428596</c:v>
                </c:pt>
                <c:pt idx="117">
                  <c:v>7.7777777777778025</c:v>
                </c:pt>
                <c:pt idx="118">
                  <c:v>6.3157894736842204</c:v>
                </c:pt>
                <c:pt idx="119">
                  <c:v>5.9999999999998668</c:v>
                </c:pt>
                <c:pt idx="120">
                  <c:v>6.0000000000000444</c:v>
                </c:pt>
                <c:pt idx="121">
                  <c:v>5.0000000000000666</c:v>
                </c:pt>
                <c:pt idx="122">
                  <c:v>4.666666666666563</c:v>
                </c:pt>
                <c:pt idx="123">
                  <c:v>4.4999999999999893</c:v>
                </c:pt>
                <c:pt idx="124">
                  <c:v>3.5000000000000111</c:v>
                </c:pt>
                <c:pt idx="125">
                  <c:v>3.0000000000000222</c:v>
                </c:pt>
                <c:pt idx="126">
                  <c:v>3.0000000000000222</c:v>
                </c:pt>
                <c:pt idx="127">
                  <c:v>2.9999999999999503</c:v>
                </c:pt>
                <c:pt idx="128">
                  <c:v>2.9268292682927126</c:v>
                </c:pt>
                <c:pt idx="129">
                  <c:v>2.0000000000000444</c:v>
                </c:pt>
                <c:pt idx="130">
                  <c:v>2.0512820512820116</c:v>
                </c:pt>
                <c:pt idx="131">
                  <c:v>1.6</c:v>
                </c:pt>
                <c:pt idx="132">
                  <c:v>1.1881188118811983</c:v>
                </c:pt>
                <c:pt idx="133">
                  <c:v>1.2727272727272794</c:v>
                </c:pt>
                <c:pt idx="134">
                  <c:v>1.1023622047244119</c:v>
                </c:pt>
                <c:pt idx="135">
                  <c:v>0.54054054054052858</c:v>
                </c:pt>
                <c:pt idx="136">
                  <c:v>0.62499999999998757</c:v>
                </c:pt>
                <c:pt idx="137">
                  <c:v>0.68181818181816845</c:v>
                </c:pt>
                <c:pt idx="138">
                  <c:v>0.64516129032256864</c:v>
                </c:pt>
                <c:pt idx="139">
                  <c:v>0.51282051282054697</c:v>
                </c:pt>
                <c:pt idx="140">
                  <c:v>0.93750000000003464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A-417C-BD9C-2C5CC71F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166432"/>
        <c:axId val="1"/>
      </c:scatterChart>
      <c:scatterChart>
        <c:scatterStyle val="smoothMarker"/>
        <c:varyColors val="0"/>
        <c:ser>
          <c:idx val="2"/>
          <c:order val="2"/>
          <c:tx>
            <c:v>ph"</c:v>
          </c:tx>
          <c:marker>
            <c:symbol val="none"/>
          </c:marker>
          <c:xVal>
            <c:numRef>
              <c:f>Titration!$A$9:$A$149</c:f>
              <c:numCache>
                <c:formatCode>0.000</c:formatCode>
                <c:ptCount val="141"/>
                <c:pt idx="0">
                  <c:v>0</c:v>
                </c:pt>
                <c:pt idx="1">
                  <c:v>8.1000000000000013E-3</c:v>
                </c:pt>
                <c:pt idx="2">
                  <c:v>1.21E-2</c:v>
                </c:pt>
                <c:pt idx="3">
                  <c:v>2.1600000000000001E-2</c:v>
                </c:pt>
                <c:pt idx="4">
                  <c:v>2.7099999999999999E-2</c:v>
                </c:pt>
                <c:pt idx="5">
                  <c:v>3.7100000000000001E-2</c:v>
                </c:pt>
                <c:pt idx="6">
                  <c:v>4.1200000000000001E-2</c:v>
                </c:pt>
                <c:pt idx="7">
                  <c:v>4.6900000000000004E-2</c:v>
                </c:pt>
                <c:pt idx="8">
                  <c:v>5.16E-2</c:v>
                </c:pt>
                <c:pt idx="9">
                  <c:v>5.6500000000000002E-2</c:v>
                </c:pt>
                <c:pt idx="10">
                  <c:v>6.1600000000000002E-2</c:v>
                </c:pt>
                <c:pt idx="11">
                  <c:v>6.7099999999999993E-2</c:v>
                </c:pt>
                <c:pt idx="12">
                  <c:v>7.2099999999999997E-2</c:v>
                </c:pt>
                <c:pt idx="13">
                  <c:v>7.7100000000000002E-2</c:v>
                </c:pt>
                <c:pt idx="14">
                  <c:v>8.199999999999999E-2</c:v>
                </c:pt>
                <c:pt idx="15">
                  <c:v>8.6599999999999996E-2</c:v>
                </c:pt>
                <c:pt idx="16">
                  <c:v>9.2100000000000015E-2</c:v>
                </c:pt>
                <c:pt idx="17">
                  <c:v>9.7100000000000006E-2</c:v>
                </c:pt>
                <c:pt idx="18">
                  <c:v>0.10210000000000001</c:v>
                </c:pt>
                <c:pt idx="19">
                  <c:v>0.10710000000000001</c:v>
                </c:pt>
                <c:pt idx="20">
                  <c:v>0.11210000000000001</c:v>
                </c:pt>
                <c:pt idx="21">
                  <c:v>0.11710000000000001</c:v>
                </c:pt>
                <c:pt idx="22">
                  <c:v>0.12759999999999999</c:v>
                </c:pt>
                <c:pt idx="23">
                  <c:v>0.1381</c:v>
                </c:pt>
                <c:pt idx="24">
                  <c:v>0.14779999999999999</c:v>
                </c:pt>
                <c:pt idx="25">
                  <c:v>0.15710000000000002</c:v>
                </c:pt>
                <c:pt idx="26">
                  <c:v>0.1671</c:v>
                </c:pt>
                <c:pt idx="27">
                  <c:v>0.17710000000000001</c:v>
                </c:pt>
                <c:pt idx="28">
                  <c:v>0.18710000000000002</c:v>
                </c:pt>
                <c:pt idx="29">
                  <c:v>0.1971</c:v>
                </c:pt>
                <c:pt idx="30">
                  <c:v>0.20710000000000001</c:v>
                </c:pt>
                <c:pt idx="31">
                  <c:v>0.21660000000000001</c:v>
                </c:pt>
                <c:pt idx="32">
                  <c:v>0.2271</c:v>
                </c:pt>
                <c:pt idx="33">
                  <c:v>0.23710000000000001</c:v>
                </c:pt>
                <c:pt idx="34">
                  <c:v>0.24809999999999999</c:v>
                </c:pt>
                <c:pt idx="35">
                  <c:v>0.2571</c:v>
                </c:pt>
                <c:pt idx="36">
                  <c:v>0.2676</c:v>
                </c:pt>
                <c:pt idx="37">
                  <c:v>0.27710000000000001</c:v>
                </c:pt>
                <c:pt idx="38">
                  <c:v>0.28660000000000002</c:v>
                </c:pt>
                <c:pt idx="39">
                  <c:v>0.29809999999999998</c:v>
                </c:pt>
                <c:pt idx="40">
                  <c:v>0.30709999999999998</c:v>
                </c:pt>
                <c:pt idx="41">
                  <c:v>0.31709999999999999</c:v>
                </c:pt>
                <c:pt idx="42">
                  <c:v>0.3271</c:v>
                </c:pt>
                <c:pt idx="43">
                  <c:v>0.33810000000000001</c:v>
                </c:pt>
                <c:pt idx="44">
                  <c:v>0.34710000000000002</c:v>
                </c:pt>
                <c:pt idx="45">
                  <c:v>0.35710000000000003</c:v>
                </c:pt>
                <c:pt idx="46">
                  <c:v>0.36709999999999998</c:v>
                </c:pt>
                <c:pt idx="47">
                  <c:v>0.37759999999999999</c:v>
                </c:pt>
                <c:pt idx="48">
                  <c:v>0.3871</c:v>
                </c:pt>
                <c:pt idx="49">
                  <c:v>0.39759999999999995</c:v>
                </c:pt>
                <c:pt idx="50">
                  <c:v>0.40679999999999999</c:v>
                </c:pt>
                <c:pt idx="51">
                  <c:v>0.41710000000000003</c:v>
                </c:pt>
                <c:pt idx="52">
                  <c:v>0.42710000000000004</c:v>
                </c:pt>
                <c:pt idx="53">
                  <c:v>0.43709999999999999</c:v>
                </c:pt>
                <c:pt idx="54">
                  <c:v>0.4471</c:v>
                </c:pt>
                <c:pt idx="55">
                  <c:v>0.4587</c:v>
                </c:pt>
                <c:pt idx="56">
                  <c:v>0.46710000000000002</c:v>
                </c:pt>
                <c:pt idx="57">
                  <c:v>0.47710000000000002</c:v>
                </c:pt>
                <c:pt idx="58">
                  <c:v>0.47710000000000002</c:v>
                </c:pt>
                <c:pt idx="59">
                  <c:v>0.48710000000000003</c:v>
                </c:pt>
                <c:pt idx="60">
                  <c:v>0.49109999999999998</c:v>
                </c:pt>
                <c:pt idx="61">
                  <c:v>0.49609999999999999</c:v>
                </c:pt>
                <c:pt idx="62">
                  <c:v>0.50609999999999999</c:v>
                </c:pt>
                <c:pt idx="63">
                  <c:v>0.5111</c:v>
                </c:pt>
                <c:pt idx="64">
                  <c:v>0.5141</c:v>
                </c:pt>
                <c:pt idx="65">
                  <c:v>0.5161</c:v>
                </c:pt>
                <c:pt idx="66">
                  <c:v>0.5181</c:v>
                </c:pt>
                <c:pt idx="67">
                  <c:v>0.52110000000000001</c:v>
                </c:pt>
                <c:pt idx="68">
                  <c:v>0.52610000000000001</c:v>
                </c:pt>
                <c:pt idx="69">
                  <c:v>0.53110000000000002</c:v>
                </c:pt>
                <c:pt idx="70">
                  <c:v>0.53610000000000002</c:v>
                </c:pt>
                <c:pt idx="71">
                  <c:v>0.5403</c:v>
                </c:pt>
                <c:pt idx="72">
                  <c:v>0.54330000000000001</c:v>
                </c:pt>
                <c:pt idx="73">
                  <c:v>0.54610000000000003</c:v>
                </c:pt>
                <c:pt idx="74">
                  <c:v>0.54909999999999992</c:v>
                </c:pt>
                <c:pt idx="75">
                  <c:v>0.55059999999999998</c:v>
                </c:pt>
                <c:pt idx="76">
                  <c:v>0.55110000000000003</c:v>
                </c:pt>
                <c:pt idx="77">
                  <c:v>0.55259999999999998</c:v>
                </c:pt>
                <c:pt idx="78">
                  <c:v>0.55409999999999993</c:v>
                </c:pt>
                <c:pt idx="79">
                  <c:v>0.55509999999999993</c:v>
                </c:pt>
                <c:pt idx="80">
                  <c:v>0.55710000000000004</c:v>
                </c:pt>
                <c:pt idx="81">
                  <c:v>0.55759999999999998</c:v>
                </c:pt>
                <c:pt idx="82">
                  <c:v>0.55810000000000004</c:v>
                </c:pt>
                <c:pt idx="83">
                  <c:v>0.55859999999999999</c:v>
                </c:pt>
                <c:pt idx="84">
                  <c:v>0.55909999999999993</c:v>
                </c:pt>
                <c:pt idx="85">
                  <c:v>0.56009999999999993</c:v>
                </c:pt>
                <c:pt idx="86">
                  <c:v>0.56059999999999999</c:v>
                </c:pt>
                <c:pt idx="87">
                  <c:v>0.56159999999999999</c:v>
                </c:pt>
                <c:pt idx="88">
                  <c:v>0.56210000000000004</c:v>
                </c:pt>
                <c:pt idx="89">
                  <c:v>0.56259999999999999</c:v>
                </c:pt>
                <c:pt idx="90">
                  <c:v>0.56310000000000004</c:v>
                </c:pt>
                <c:pt idx="91">
                  <c:v>0.56359999999999999</c:v>
                </c:pt>
                <c:pt idx="92">
                  <c:v>0.56409999999999993</c:v>
                </c:pt>
                <c:pt idx="93">
                  <c:v>0.56509999999999994</c:v>
                </c:pt>
                <c:pt idx="94">
                  <c:v>0.56610000000000005</c:v>
                </c:pt>
                <c:pt idx="95">
                  <c:v>0.56659999999999999</c:v>
                </c:pt>
                <c:pt idx="96">
                  <c:v>0.56710000000000005</c:v>
                </c:pt>
                <c:pt idx="97">
                  <c:v>0.56810000000000005</c:v>
                </c:pt>
                <c:pt idx="98">
                  <c:v>0.56859999999999999</c:v>
                </c:pt>
                <c:pt idx="99">
                  <c:v>0.56909999999999994</c:v>
                </c:pt>
                <c:pt idx="100">
                  <c:v>0.57100000000000006</c:v>
                </c:pt>
                <c:pt idx="101">
                  <c:v>0.57119999999999993</c:v>
                </c:pt>
                <c:pt idx="102">
                  <c:v>0.57299999999999995</c:v>
                </c:pt>
                <c:pt idx="103">
                  <c:v>0.57320000000000004</c:v>
                </c:pt>
                <c:pt idx="104">
                  <c:v>0.5766</c:v>
                </c:pt>
                <c:pt idx="105">
                  <c:v>0.57710000000000006</c:v>
                </c:pt>
                <c:pt idx="106">
                  <c:v>0.57909999999999995</c:v>
                </c:pt>
                <c:pt idx="107">
                  <c:v>0.58160000000000001</c:v>
                </c:pt>
                <c:pt idx="108">
                  <c:v>0.58499999999999996</c:v>
                </c:pt>
                <c:pt idx="109">
                  <c:v>0.58609999999999995</c:v>
                </c:pt>
                <c:pt idx="110">
                  <c:v>0.58889999999999998</c:v>
                </c:pt>
                <c:pt idx="111">
                  <c:v>0.59009999999999996</c:v>
                </c:pt>
                <c:pt idx="112">
                  <c:v>0.59360000000000002</c:v>
                </c:pt>
                <c:pt idx="113">
                  <c:v>0.59810000000000008</c:v>
                </c:pt>
                <c:pt idx="114">
                  <c:v>0.60009999999999997</c:v>
                </c:pt>
                <c:pt idx="115">
                  <c:v>0.60609999999999997</c:v>
                </c:pt>
                <c:pt idx="116">
                  <c:v>0.61209999999999998</c:v>
                </c:pt>
                <c:pt idx="117">
                  <c:v>0.61659999999999993</c:v>
                </c:pt>
                <c:pt idx="118">
                  <c:v>0.62109999999999999</c:v>
                </c:pt>
                <c:pt idx="119">
                  <c:v>0.62609999999999999</c:v>
                </c:pt>
                <c:pt idx="120">
                  <c:v>0.63109999999999999</c:v>
                </c:pt>
                <c:pt idx="121">
                  <c:v>0.6361</c:v>
                </c:pt>
                <c:pt idx="122">
                  <c:v>0.6411</c:v>
                </c:pt>
                <c:pt idx="123">
                  <c:v>0.65110000000000001</c:v>
                </c:pt>
                <c:pt idx="124">
                  <c:v>0.66110000000000002</c:v>
                </c:pt>
                <c:pt idx="125">
                  <c:v>0.67110000000000003</c:v>
                </c:pt>
                <c:pt idx="126">
                  <c:v>0.68110000000000004</c:v>
                </c:pt>
                <c:pt idx="127">
                  <c:v>0.69110000000000005</c:v>
                </c:pt>
                <c:pt idx="128">
                  <c:v>0.70109999999999995</c:v>
                </c:pt>
                <c:pt idx="129">
                  <c:v>0.71160000000000001</c:v>
                </c:pt>
                <c:pt idx="130">
                  <c:v>0.72109999999999996</c:v>
                </c:pt>
                <c:pt idx="131">
                  <c:v>0.73109999999999997</c:v>
                </c:pt>
                <c:pt idx="132">
                  <c:v>0.77110000000000001</c:v>
                </c:pt>
                <c:pt idx="133">
                  <c:v>0.78159999999999996</c:v>
                </c:pt>
                <c:pt idx="134">
                  <c:v>0.82609999999999995</c:v>
                </c:pt>
                <c:pt idx="135">
                  <c:v>0.84510000000000007</c:v>
                </c:pt>
                <c:pt idx="136">
                  <c:v>0.86309999999999998</c:v>
                </c:pt>
                <c:pt idx="137">
                  <c:v>0.8931</c:v>
                </c:pt>
                <c:pt idx="138">
                  <c:v>0.90709999999999991</c:v>
                </c:pt>
                <c:pt idx="139">
                  <c:v>0.92409999999999992</c:v>
                </c:pt>
                <c:pt idx="140">
                  <c:v>0.94609999999999994</c:v>
                </c:pt>
              </c:numCache>
            </c:numRef>
          </c:xVal>
          <c:yVal>
            <c:numRef>
              <c:f>Titration!$E$9:$E$149</c:f>
              <c:numCache>
                <c:formatCode>0.000</c:formatCode>
                <c:ptCount val="141"/>
                <c:pt idx="0">
                  <c:v>618.92824226908499</c:v>
                </c:pt>
                <c:pt idx="1">
                  <c:v>945.02828509562096</c:v>
                </c:pt>
                <c:pt idx="2">
                  <c:v>-128.39506172839256</c:v>
                </c:pt>
                <c:pt idx="3">
                  <c:v>-230.3156434269857</c:v>
                </c:pt>
                <c:pt idx="4">
                  <c:v>-110.98292907314483</c:v>
                </c:pt>
                <c:pt idx="5">
                  <c:v>-522.83179880723549</c:v>
                </c:pt>
                <c:pt idx="6">
                  <c:v>71.70027774423076</c:v>
                </c:pt>
                <c:pt idx="7">
                  <c:v>183.62713675214661</c:v>
                </c:pt>
                <c:pt idx="8">
                  <c:v>-291.6666666666722</c:v>
                </c:pt>
                <c:pt idx="9">
                  <c:v>-284.79886080456021</c:v>
                </c:pt>
                <c:pt idx="10">
                  <c:v>-166.00350832156423</c:v>
                </c:pt>
                <c:pt idx="11">
                  <c:v>76.190476190474072</c:v>
                </c:pt>
                <c:pt idx="12">
                  <c:v>16.324864809715926</c:v>
                </c:pt>
                <c:pt idx="13">
                  <c:v>-149.97621645821661</c:v>
                </c:pt>
                <c:pt idx="14">
                  <c:v>-282.73801846052038</c:v>
                </c:pt>
                <c:pt idx="15">
                  <c:v>319.70543993174977</c:v>
                </c:pt>
                <c:pt idx="16">
                  <c:v>-123.80952380952644</c:v>
                </c:pt>
                <c:pt idx="17">
                  <c:v>-599.99999999999693</c:v>
                </c:pt>
                <c:pt idx="18">
                  <c:v>400.00000000000233</c:v>
                </c:pt>
                <c:pt idx="19">
                  <c:v>0</c:v>
                </c:pt>
                <c:pt idx="20">
                  <c:v>-108.22060353798116</c:v>
                </c:pt>
                <c:pt idx="21">
                  <c:v>7.3147538585314127</c:v>
                </c:pt>
                <c:pt idx="22">
                  <c:v>-28.475266197059511</c:v>
                </c:pt>
                <c:pt idx="23">
                  <c:v>32.911878445461539</c:v>
                </c:pt>
                <c:pt idx="24">
                  <c:v>-62.170513938203804</c:v>
                </c:pt>
                <c:pt idx="25">
                  <c:v>-16.32124352331109</c:v>
                </c:pt>
                <c:pt idx="26">
                  <c:v>-6.2172489379008716E-13</c:v>
                </c:pt>
                <c:pt idx="27">
                  <c:v>-3.8191672047105458E-12</c:v>
                </c:pt>
                <c:pt idx="28">
                  <c:v>0</c:v>
                </c:pt>
                <c:pt idx="29">
                  <c:v>-40.76265614727108</c:v>
                </c:pt>
                <c:pt idx="30">
                  <c:v>39.743589743589411</c:v>
                </c:pt>
                <c:pt idx="31">
                  <c:v>-10.707911957168395</c:v>
                </c:pt>
                <c:pt idx="32">
                  <c:v>-55.306675515733886</c:v>
                </c:pt>
                <c:pt idx="33">
                  <c:v>19.047619047619051</c:v>
                </c:pt>
                <c:pt idx="34">
                  <c:v>10.519395134779186</c:v>
                </c:pt>
                <c:pt idx="35">
                  <c:v>-10.256410256410211</c:v>
                </c:pt>
                <c:pt idx="36">
                  <c:v>22.160664819944426</c:v>
                </c:pt>
                <c:pt idx="37">
                  <c:v>7.1607590404584149</c:v>
                </c:pt>
                <c:pt idx="38">
                  <c:v>-37.392708421856845</c:v>
                </c:pt>
                <c:pt idx="39">
                  <c:v>32.430241199917759</c:v>
                </c:pt>
                <c:pt idx="40">
                  <c:v>-21.052631578951768</c:v>
                </c:pt>
                <c:pt idx="41">
                  <c:v>-18.140589569156774</c:v>
                </c:pt>
                <c:pt idx="42">
                  <c:v>69.047619047622376</c:v>
                </c:pt>
                <c:pt idx="43">
                  <c:v>-196.67590027701294</c:v>
                </c:pt>
                <c:pt idx="44">
                  <c:v>136.84210526316079</c:v>
                </c:pt>
                <c:pt idx="45">
                  <c:v>180.84473527662189</c:v>
                </c:pt>
                <c:pt idx="46">
                  <c:v>-135.36585365853912</c:v>
                </c:pt>
                <c:pt idx="47">
                  <c:v>-49.999999999997826</c:v>
                </c:pt>
                <c:pt idx="48">
                  <c:v>57.718570434691117</c:v>
                </c:pt>
                <c:pt idx="49">
                  <c:v>57.4027907100891</c:v>
                </c:pt>
                <c:pt idx="50">
                  <c:v>-68.444097661014169</c:v>
                </c:pt>
                <c:pt idx="51">
                  <c:v>6.6502463054204535</c:v>
                </c:pt>
                <c:pt idx="52">
                  <c:v>49.999999999999254</c:v>
                </c:pt>
                <c:pt idx="53">
                  <c:v>8.5733882030198227</c:v>
                </c:pt>
                <c:pt idx="54">
                  <c:v>90.740740740739326</c:v>
                </c:pt>
                <c:pt idx="55">
                  <c:v>56.710775047258302</c:v>
                </c:pt>
                <c:pt idx="56">
                  <c:v>-104.34782608694677</c:v>
                </c:pt>
                <c:pt idx="57">
                  <c:v>199.9999999999776</c:v>
                </c:pt>
                <c:pt idx="58">
                  <c:v>20.408163265315331</c:v>
                </c:pt>
                <c:pt idx="59">
                  <c:v>141.09347442682451</c:v>
                </c:pt>
                <c:pt idx="60">
                  <c:v>118.51851851850674</c:v>
                </c:pt>
                <c:pt idx="61">
                  <c:v>177.7777777777828</c:v>
                </c:pt>
                <c:pt idx="62">
                  <c:v>-3.5527136788004977E-12</c:v>
                </c:pt>
                <c:pt idx="63">
                  <c:v>-1.7763568394002094E-11</c:v>
                </c:pt>
                <c:pt idx="64">
                  <c:v>1249.9999999999936</c:v>
                </c:pt>
                <c:pt idx="65">
                  <c:v>-999.9999999999726</c:v>
                </c:pt>
                <c:pt idx="66">
                  <c:v>625.00000000002433</c:v>
                </c:pt>
                <c:pt idx="67">
                  <c:v>500.00000000000392</c:v>
                </c:pt>
                <c:pt idx="68">
                  <c:v>399.99999999998226</c:v>
                </c:pt>
                <c:pt idx="69">
                  <c:v>557.65595463139209</c:v>
                </c:pt>
                <c:pt idx="70">
                  <c:v>738.05689747719714</c:v>
                </c:pt>
                <c:pt idx="71">
                  <c:v>660.58924560702167</c:v>
                </c:pt>
                <c:pt idx="72">
                  <c:v>1189.0606420929441</c:v>
                </c:pt>
                <c:pt idx="73">
                  <c:v>2554.2784163474271</c:v>
                </c:pt>
                <c:pt idx="74">
                  <c:v>6666.6666666627989</c:v>
                </c:pt>
                <c:pt idx="75">
                  <c:v>2.6645352591006693E-9</c:v>
                </c:pt>
                <c:pt idx="76">
                  <c:v>4444.4444444455248</c:v>
                </c:pt>
                <c:pt idx="77">
                  <c:v>10666.666666666248</c:v>
                </c:pt>
                <c:pt idx="78">
                  <c:v>-2.2879476091474357E-9</c:v>
                </c:pt>
                <c:pt idx="79">
                  <c:v>8.9812601800078576E-10</c:v>
                </c:pt>
                <c:pt idx="80">
                  <c:v>60000.000000008644</c:v>
                </c:pt>
                <c:pt idx="81">
                  <c:v>19999.999999997337</c:v>
                </c:pt>
                <c:pt idx="82">
                  <c:v>20000.000000027954</c:v>
                </c:pt>
                <c:pt idx="83">
                  <c:v>13333.333333324532</c:v>
                </c:pt>
                <c:pt idx="84">
                  <c:v>35555.555555540268</c:v>
                </c:pt>
                <c:pt idx="85">
                  <c:v>88888.888888881833</c:v>
                </c:pt>
                <c:pt idx="86">
                  <c:v>97777.777777771465</c:v>
                </c:pt>
                <c:pt idx="87">
                  <c:v>546666.66666662635</c:v>
                </c:pt>
                <c:pt idx="88">
                  <c:v>1119999.999999871</c:v>
                </c:pt>
                <c:pt idx="89">
                  <c:v>420000.00000004761</c:v>
                </c:pt>
                <c:pt idx="90">
                  <c:v>-919999.99999990535</c:v>
                </c:pt>
                <c:pt idx="91">
                  <c:v>-591111.11111119681</c:v>
                </c:pt>
                <c:pt idx="92">
                  <c:v>-166666.66666669719</c:v>
                </c:pt>
                <c:pt idx="93">
                  <c:v>-106666.66666665224</c:v>
                </c:pt>
                <c:pt idx="94">
                  <c:v>-59999.999999978623</c:v>
                </c:pt>
                <c:pt idx="95">
                  <c:v>-40000.0000000051</c:v>
                </c:pt>
                <c:pt idx="96">
                  <c:v>-8888.8888888781639</c:v>
                </c:pt>
                <c:pt idx="97">
                  <c:v>-26666.66666665638</c:v>
                </c:pt>
                <c:pt idx="98">
                  <c:v>-38194.444444455636</c:v>
                </c:pt>
                <c:pt idx="99">
                  <c:v>2834.4671201839815</c:v>
                </c:pt>
                <c:pt idx="100">
                  <c:v>7857.1428571460592</c:v>
                </c:pt>
                <c:pt idx="101">
                  <c:v>-5000.0000000077052</c:v>
                </c:pt>
                <c:pt idx="102">
                  <c:v>-10185.185185183205</c:v>
                </c:pt>
                <c:pt idx="103">
                  <c:v>-328.73109796167665</c:v>
                </c:pt>
                <c:pt idx="104">
                  <c:v>-820.51282051217572</c:v>
                </c:pt>
                <c:pt idx="105">
                  <c:v>-4938.2716049386636</c:v>
                </c:pt>
                <c:pt idx="106">
                  <c:v>-1749.1780778194293</c:v>
                </c:pt>
                <c:pt idx="107">
                  <c:v>318.05817116555954</c:v>
                </c:pt>
                <c:pt idx="108">
                  <c:v>-4646.0661845282466</c:v>
                </c:pt>
                <c:pt idx="109">
                  <c:v>2307.6923076924982</c:v>
                </c:pt>
                <c:pt idx="110">
                  <c:v>543.23223177896386</c:v>
                </c:pt>
                <c:pt idx="111">
                  <c:v>-2194.1489361702065</c:v>
                </c:pt>
                <c:pt idx="112">
                  <c:v>-59.171597633033585</c:v>
                </c:pt>
                <c:pt idx="113">
                  <c:v>-264.42307692307111</c:v>
                </c:pt>
                <c:pt idx="114">
                  <c:v>-347.22222222222791</c:v>
                </c:pt>
                <c:pt idx="115">
                  <c:v>-113.37868480726952</c:v>
                </c:pt>
                <c:pt idx="116">
                  <c:v>-176.36684303351169</c:v>
                </c:pt>
                <c:pt idx="117">
                  <c:v>-307.7870113881205</c:v>
                </c:pt>
                <c:pt idx="118">
                  <c:v>-63.157894736869267</c:v>
                </c:pt>
                <c:pt idx="119">
                  <c:v>3.5527136788005765E-11</c:v>
                </c:pt>
                <c:pt idx="120">
                  <c:v>-199.99999999999093</c:v>
                </c:pt>
                <c:pt idx="121">
                  <c:v>-44.444444444467429</c:v>
                </c:pt>
                <c:pt idx="122">
                  <c:v>-16.666666666657356</c:v>
                </c:pt>
                <c:pt idx="123">
                  <c:v>-99.99999999999774</c:v>
                </c:pt>
                <c:pt idx="124">
                  <c:v>-49.999999999998849</c:v>
                </c:pt>
                <c:pt idx="125">
                  <c:v>0</c:v>
                </c:pt>
                <c:pt idx="126">
                  <c:v>-7.1942451995710879E-12</c:v>
                </c:pt>
                <c:pt idx="127">
                  <c:v>-7.1386079714377546</c:v>
                </c:pt>
                <c:pt idx="128">
                  <c:v>-92.682926829266734</c:v>
                </c:pt>
                <c:pt idx="129">
                  <c:v>5.2596975673812878</c:v>
                </c:pt>
                <c:pt idx="130">
                  <c:v>-18.051282051280442</c:v>
                </c:pt>
                <c:pt idx="131">
                  <c:v>-16.312126262130768</c:v>
                </c:pt>
                <c:pt idx="132">
                  <c:v>3.0766713034938613</c:v>
                </c:pt>
                <c:pt idx="133">
                  <c:v>-5.3658289134761299</c:v>
                </c:pt>
                <c:pt idx="134">
                  <c:v>-30.368738604534116</c:v>
                </c:pt>
                <c:pt idx="135">
                  <c:v>3.5191441441441373</c:v>
                </c:pt>
                <c:pt idx="136">
                  <c:v>2.5826446280991417</c:v>
                </c:pt>
                <c:pt idx="137">
                  <c:v>-2.3649607416515899</c:v>
                </c:pt>
                <c:pt idx="138">
                  <c:v>-6.7867065385652268</c:v>
                </c:pt>
                <c:pt idx="139">
                  <c:v>26.542467948717956</c:v>
                </c:pt>
                <c:pt idx="140">
                  <c:v>0.98570076753236746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A-417C-BD9C-2C5CC71F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373166432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0"/>
          <c:min val="0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3166432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in val="-1500000"/>
        </c:scaling>
        <c:delete val="0"/>
        <c:axPos val="r"/>
        <c:numFmt formatCode="#,##0" sourceLinked="0"/>
        <c:majorTickMark val="out"/>
        <c:minorTickMark val="none"/>
        <c:tickLblPos val="nextTo"/>
        <c:crossAx val="3"/>
        <c:crosses val="max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52129221732746E-2"/>
          <c:y val="2.4137931034482758E-2"/>
          <c:w val="0.88693098384728342"/>
          <c:h val="0.843103448275862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Plan1!$B$7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Plan1!$A$8:$A$108</c:f>
              <c:numCache>
                <c:formatCode>0.000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-4.8000000000000007</c:v>
                </c:pt>
                <c:pt idx="3">
                  <c:v>-4.7000000000000011</c:v>
                </c:pt>
                <c:pt idx="4">
                  <c:v>-4.6000000000000014</c:v>
                </c:pt>
                <c:pt idx="5">
                  <c:v>-4.5000000000000018</c:v>
                </c:pt>
                <c:pt idx="6">
                  <c:v>-4.4000000000000021</c:v>
                </c:pt>
                <c:pt idx="7">
                  <c:v>-4.3000000000000025</c:v>
                </c:pt>
                <c:pt idx="8">
                  <c:v>-4.2000000000000028</c:v>
                </c:pt>
                <c:pt idx="9">
                  <c:v>-4.1000000000000032</c:v>
                </c:pt>
                <c:pt idx="10">
                  <c:v>-4.0000000000000036</c:v>
                </c:pt>
                <c:pt idx="11">
                  <c:v>-3.9000000000000035</c:v>
                </c:pt>
                <c:pt idx="12">
                  <c:v>-3.8000000000000034</c:v>
                </c:pt>
                <c:pt idx="13">
                  <c:v>-3.7000000000000033</c:v>
                </c:pt>
                <c:pt idx="14">
                  <c:v>-3.6000000000000032</c:v>
                </c:pt>
                <c:pt idx="15">
                  <c:v>-3.5000000000000031</c:v>
                </c:pt>
                <c:pt idx="16">
                  <c:v>-3.400000000000003</c:v>
                </c:pt>
                <c:pt idx="17">
                  <c:v>-3.3000000000000029</c:v>
                </c:pt>
                <c:pt idx="18">
                  <c:v>-3.2000000000000028</c:v>
                </c:pt>
                <c:pt idx="19">
                  <c:v>-3.1000000000000028</c:v>
                </c:pt>
                <c:pt idx="20">
                  <c:v>-3.0000000000000027</c:v>
                </c:pt>
                <c:pt idx="21">
                  <c:v>-2.9000000000000026</c:v>
                </c:pt>
                <c:pt idx="22">
                  <c:v>-2.8000000000000025</c:v>
                </c:pt>
                <c:pt idx="23">
                  <c:v>-2.7000000000000024</c:v>
                </c:pt>
                <c:pt idx="24">
                  <c:v>-2.6000000000000023</c:v>
                </c:pt>
                <c:pt idx="25">
                  <c:v>-2.5000000000000022</c:v>
                </c:pt>
                <c:pt idx="26">
                  <c:v>-2.4000000000000021</c:v>
                </c:pt>
                <c:pt idx="27">
                  <c:v>-2.300000000000002</c:v>
                </c:pt>
                <c:pt idx="28">
                  <c:v>-2.200000000000002</c:v>
                </c:pt>
                <c:pt idx="29">
                  <c:v>-2.1000000000000019</c:v>
                </c:pt>
                <c:pt idx="30">
                  <c:v>-2.0000000000000018</c:v>
                </c:pt>
                <c:pt idx="31">
                  <c:v>-1.9000000000000017</c:v>
                </c:pt>
                <c:pt idx="32">
                  <c:v>-1.8000000000000016</c:v>
                </c:pt>
                <c:pt idx="33">
                  <c:v>-1.7000000000000015</c:v>
                </c:pt>
                <c:pt idx="34">
                  <c:v>-1.6000000000000014</c:v>
                </c:pt>
                <c:pt idx="35">
                  <c:v>-1.5000000000000013</c:v>
                </c:pt>
                <c:pt idx="36">
                  <c:v>-1.4000000000000012</c:v>
                </c:pt>
                <c:pt idx="37">
                  <c:v>-1.3000000000000012</c:v>
                </c:pt>
                <c:pt idx="38">
                  <c:v>-1.2000000000000011</c:v>
                </c:pt>
                <c:pt idx="39">
                  <c:v>-1.100000000000001</c:v>
                </c:pt>
                <c:pt idx="40">
                  <c:v>-1.0000000000000009</c:v>
                </c:pt>
                <c:pt idx="41">
                  <c:v>-0.90000000000000091</c:v>
                </c:pt>
                <c:pt idx="42">
                  <c:v>-0.80000000000000093</c:v>
                </c:pt>
                <c:pt idx="43">
                  <c:v>-0.70000000000000095</c:v>
                </c:pt>
                <c:pt idx="44">
                  <c:v>-0.60000000000000098</c:v>
                </c:pt>
                <c:pt idx="45">
                  <c:v>-0.500000000000001</c:v>
                </c:pt>
                <c:pt idx="46">
                  <c:v>-0.40000000000000102</c:v>
                </c:pt>
                <c:pt idx="47">
                  <c:v>-0.30000000000000104</c:v>
                </c:pt>
                <c:pt idx="48">
                  <c:v>-0.20000000000000104</c:v>
                </c:pt>
                <c:pt idx="49">
                  <c:v>-0.10000000000000103</c:v>
                </c:pt>
                <c:pt idx="50">
                  <c:v>-1.0269562977782698E-15</c:v>
                </c:pt>
                <c:pt idx="51">
                  <c:v>9.9999999999998979E-2</c:v>
                </c:pt>
                <c:pt idx="52">
                  <c:v>0.19999999999999898</c:v>
                </c:pt>
                <c:pt idx="53">
                  <c:v>0.29999999999999899</c:v>
                </c:pt>
                <c:pt idx="54">
                  <c:v>0.39999999999999902</c:v>
                </c:pt>
                <c:pt idx="55">
                  <c:v>0.499999999999999</c:v>
                </c:pt>
                <c:pt idx="56">
                  <c:v>0.59999999999999898</c:v>
                </c:pt>
                <c:pt idx="57">
                  <c:v>0.69999999999999896</c:v>
                </c:pt>
                <c:pt idx="58">
                  <c:v>0.79999999999999893</c:v>
                </c:pt>
                <c:pt idx="59">
                  <c:v>0.89999999999999891</c:v>
                </c:pt>
                <c:pt idx="60">
                  <c:v>0.99999999999999889</c:v>
                </c:pt>
                <c:pt idx="61">
                  <c:v>1.099999999999999</c:v>
                </c:pt>
                <c:pt idx="62">
                  <c:v>1.1999999999999991</c:v>
                </c:pt>
                <c:pt idx="63">
                  <c:v>1.2999999999999992</c:v>
                </c:pt>
                <c:pt idx="64">
                  <c:v>1.3999999999999992</c:v>
                </c:pt>
                <c:pt idx="65">
                  <c:v>1.4999999999999993</c:v>
                </c:pt>
                <c:pt idx="66">
                  <c:v>1.5999999999999994</c:v>
                </c:pt>
                <c:pt idx="67">
                  <c:v>1.6999999999999995</c:v>
                </c:pt>
                <c:pt idx="68">
                  <c:v>1.7999999999999996</c:v>
                </c:pt>
                <c:pt idx="69">
                  <c:v>1.8999999999999997</c:v>
                </c:pt>
                <c:pt idx="70">
                  <c:v>1.9999999999999998</c:v>
                </c:pt>
                <c:pt idx="71">
                  <c:v>2.0999999999999996</c:v>
                </c:pt>
                <c:pt idx="72">
                  <c:v>2.1999999999999997</c:v>
                </c:pt>
                <c:pt idx="73">
                  <c:v>2.2999999999999998</c:v>
                </c:pt>
                <c:pt idx="74">
                  <c:v>2.4</c:v>
                </c:pt>
                <c:pt idx="75">
                  <c:v>2.5</c:v>
                </c:pt>
                <c:pt idx="76">
                  <c:v>2.6</c:v>
                </c:pt>
                <c:pt idx="77">
                  <c:v>2.7</c:v>
                </c:pt>
                <c:pt idx="78">
                  <c:v>2.8000000000000003</c:v>
                </c:pt>
                <c:pt idx="79">
                  <c:v>2.9000000000000004</c:v>
                </c:pt>
                <c:pt idx="80">
                  <c:v>3.0000000000000004</c:v>
                </c:pt>
                <c:pt idx="81">
                  <c:v>3.1000000000000005</c:v>
                </c:pt>
                <c:pt idx="82">
                  <c:v>3.2000000000000006</c:v>
                </c:pt>
                <c:pt idx="83">
                  <c:v>3.3000000000000007</c:v>
                </c:pt>
                <c:pt idx="84">
                  <c:v>3.4000000000000008</c:v>
                </c:pt>
                <c:pt idx="85">
                  <c:v>3.5000000000000009</c:v>
                </c:pt>
                <c:pt idx="86">
                  <c:v>3.600000000000001</c:v>
                </c:pt>
                <c:pt idx="87">
                  <c:v>3.7000000000000011</c:v>
                </c:pt>
                <c:pt idx="88">
                  <c:v>3.8000000000000012</c:v>
                </c:pt>
                <c:pt idx="89">
                  <c:v>3.9000000000000012</c:v>
                </c:pt>
                <c:pt idx="90">
                  <c:v>4.0000000000000009</c:v>
                </c:pt>
                <c:pt idx="91">
                  <c:v>4.1000000000000005</c:v>
                </c:pt>
                <c:pt idx="92">
                  <c:v>4.2</c:v>
                </c:pt>
                <c:pt idx="93">
                  <c:v>4.3</c:v>
                </c:pt>
                <c:pt idx="94">
                  <c:v>4.3999999999999995</c:v>
                </c:pt>
                <c:pt idx="95">
                  <c:v>4.4999999999999991</c:v>
                </c:pt>
                <c:pt idx="96">
                  <c:v>4.5999999999999988</c:v>
                </c:pt>
                <c:pt idx="97">
                  <c:v>4.6999999999999984</c:v>
                </c:pt>
                <c:pt idx="98">
                  <c:v>4.799999999999998</c:v>
                </c:pt>
                <c:pt idx="99">
                  <c:v>4.8999999999999977</c:v>
                </c:pt>
                <c:pt idx="100">
                  <c:v>4.9999999999999973</c:v>
                </c:pt>
              </c:numCache>
            </c:numRef>
          </c:xVal>
          <c:yVal>
            <c:numRef>
              <c:f>Plan1!$B$8:$B$108</c:f>
              <c:numCache>
                <c:formatCode>0.000</c:formatCode>
                <c:ptCount val="101"/>
                <c:pt idx="0">
                  <c:v>6.6928509242848554E-3</c:v>
                </c:pt>
                <c:pt idx="1">
                  <c:v>7.3915413442819707E-3</c:v>
                </c:pt>
                <c:pt idx="2">
                  <c:v>8.1625711531598897E-3</c:v>
                </c:pt>
                <c:pt idx="3">
                  <c:v>9.0132986528478152E-3</c:v>
                </c:pt>
                <c:pt idx="4">
                  <c:v>9.9518018669043085E-3</c:v>
                </c:pt>
                <c:pt idx="5">
                  <c:v>1.0986942630593162E-2</c:v>
                </c:pt>
                <c:pt idx="6">
                  <c:v>1.2128434984274213E-2</c:v>
                </c:pt>
                <c:pt idx="7">
                  <c:v>1.3386917827664744E-2</c:v>
                </c:pt>
                <c:pt idx="8">
                  <c:v>1.4774031693273017E-2</c:v>
                </c:pt>
                <c:pt idx="9">
                  <c:v>1.630249937144089E-2</c:v>
                </c:pt>
                <c:pt idx="10">
                  <c:v>1.7986209962091496E-2</c:v>
                </c:pt>
                <c:pt idx="11">
                  <c:v>1.984030573407744E-2</c:v>
                </c:pt>
                <c:pt idx="12">
                  <c:v>2.1881270936130404E-2</c:v>
                </c:pt>
                <c:pt idx="13">
                  <c:v>2.4127021417669123E-2</c:v>
                </c:pt>
                <c:pt idx="14">
                  <c:v>2.6596993576865773E-2</c:v>
                </c:pt>
                <c:pt idx="15">
                  <c:v>2.9312230751356229E-2</c:v>
                </c:pt>
                <c:pt idx="16">
                  <c:v>3.2295464698450418E-2</c:v>
                </c:pt>
                <c:pt idx="17">
                  <c:v>3.557118927263607E-2</c:v>
                </c:pt>
                <c:pt idx="18">
                  <c:v>3.9165722796764252E-2</c:v>
                </c:pt>
                <c:pt idx="19">
                  <c:v>4.3107254941086012E-2</c:v>
                </c:pt>
                <c:pt idx="20">
                  <c:v>4.7425873177566663E-2</c:v>
                </c:pt>
                <c:pt idx="21">
                  <c:v>5.2153563078417613E-2</c:v>
                </c:pt>
                <c:pt idx="22">
                  <c:v>5.732417589886861E-2</c:v>
                </c:pt>
                <c:pt idx="23">
                  <c:v>6.2973356056996346E-2</c:v>
                </c:pt>
                <c:pt idx="24">
                  <c:v>6.9138420343346663E-2</c:v>
                </c:pt>
                <c:pt idx="25">
                  <c:v>7.5858180021243393E-2</c:v>
                </c:pt>
                <c:pt idx="26">
                  <c:v>8.3172696493922213E-2</c:v>
                </c:pt>
                <c:pt idx="27">
                  <c:v>9.1122961014855966E-2</c:v>
                </c:pt>
                <c:pt idx="28">
                  <c:v>9.9750489119684982E-2</c:v>
                </c:pt>
                <c:pt idx="29">
                  <c:v>0.10909682119561274</c:v>
                </c:pt>
                <c:pt idx="30">
                  <c:v>0.11920292202211738</c:v>
                </c:pt>
                <c:pt idx="31">
                  <c:v>0.13010847436299766</c:v>
                </c:pt>
                <c:pt idx="32">
                  <c:v>0.1418510649004876</c:v>
                </c:pt>
                <c:pt idx="33">
                  <c:v>0.1544652650835345</c:v>
                </c:pt>
                <c:pt idx="34">
                  <c:v>0.16798161486607532</c:v>
                </c:pt>
                <c:pt idx="35">
                  <c:v>0.18242552380635615</c:v>
                </c:pt>
                <c:pt idx="36">
                  <c:v>0.19781611144141806</c:v>
                </c:pt>
                <c:pt idx="37">
                  <c:v>0.21416501695744122</c:v>
                </c:pt>
                <c:pt idx="38">
                  <c:v>0.23147521650098218</c:v>
                </c:pt>
                <c:pt idx="39">
                  <c:v>0.24973989440488223</c:v>
                </c:pt>
                <c:pt idx="40">
                  <c:v>0.26894142136999494</c:v>
                </c:pt>
                <c:pt idx="41">
                  <c:v>0.28905049737499583</c:v>
                </c:pt>
                <c:pt idx="42">
                  <c:v>0.31002551887238738</c:v>
                </c:pt>
                <c:pt idx="43">
                  <c:v>0.33181222783183367</c:v>
                </c:pt>
                <c:pt idx="44">
                  <c:v>0.35434369377420433</c:v>
                </c:pt>
                <c:pt idx="45">
                  <c:v>0.37754066879814518</c:v>
                </c:pt>
                <c:pt idx="46">
                  <c:v>0.40131233988754772</c:v>
                </c:pt>
                <c:pt idx="47">
                  <c:v>0.42555748318834075</c:v>
                </c:pt>
                <c:pt idx="48">
                  <c:v>0.45016600268752177</c:v>
                </c:pt>
                <c:pt idx="49">
                  <c:v>0.47502081252105982</c:v>
                </c:pt>
                <c:pt idx="50">
                  <c:v>0.49999999999999978</c:v>
                </c:pt>
                <c:pt idx="51">
                  <c:v>0.52497918747893968</c:v>
                </c:pt>
                <c:pt idx="52">
                  <c:v>0.54983399731247773</c:v>
                </c:pt>
                <c:pt idx="53">
                  <c:v>0.5744425168116587</c:v>
                </c:pt>
                <c:pt idx="54">
                  <c:v>0.59868766011245178</c:v>
                </c:pt>
                <c:pt idx="55">
                  <c:v>0.62245933120185426</c:v>
                </c:pt>
                <c:pt idx="56">
                  <c:v>0.64565630622579528</c:v>
                </c:pt>
                <c:pt idx="57">
                  <c:v>0.66818777216816583</c:v>
                </c:pt>
                <c:pt idx="58">
                  <c:v>0.68997448112761228</c:v>
                </c:pt>
                <c:pt idx="59">
                  <c:v>0.71094950262500367</c:v>
                </c:pt>
                <c:pt idx="60">
                  <c:v>0.73105857863000467</c:v>
                </c:pt>
                <c:pt idx="61">
                  <c:v>0.75026010559511735</c:v>
                </c:pt>
                <c:pt idx="62">
                  <c:v>0.76852478349901743</c:v>
                </c:pt>
                <c:pt idx="63">
                  <c:v>0.7858349830425585</c:v>
                </c:pt>
                <c:pt idx="64">
                  <c:v>0.80218388855858169</c:v>
                </c:pt>
                <c:pt idx="65">
                  <c:v>0.81757447619364365</c:v>
                </c:pt>
                <c:pt idx="66">
                  <c:v>0.83201838513392445</c:v>
                </c:pt>
                <c:pt idx="67">
                  <c:v>0.84553473491646525</c:v>
                </c:pt>
                <c:pt idx="68">
                  <c:v>0.85814893509951207</c:v>
                </c:pt>
                <c:pt idx="69">
                  <c:v>0.86989152563700212</c:v>
                </c:pt>
                <c:pt idx="70">
                  <c:v>0.88079707797788231</c:v>
                </c:pt>
                <c:pt idx="71">
                  <c:v>0.89090317880438707</c:v>
                </c:pt>
                <c:pt idx="72">
                  <c:v>0.9002495108803148</c:v>
                </c:pt>
                <c:pt idx="73">
                  <c:v>0.90887703898514383</c:v>
                </c:pt>
                <c:pt idx="74">
                  <c:v>0.91682730350607766</c:v>
                </c:pt>
                <c:pt idx="75">
                  <c:v>0.92414181997875655</c:v>
                </c:pt>
                <c:pt idx="76">
                  <c:v>0.93086157965665328</c:v>
                </c:pt>
                <c:pt idx="77">
                  <c:v>0.9370266439430035</c:v>
                </c:pt>
                <c:pt idx="78">
                  <c:v>0.94267582410113127</c:v>
                </c:pt>
                <c:pt idx="79">
                  <c:v>0.94784643692158232</c:v>
                </c:pt>
                <c:pt idx="80">
                  <c:v>0.95257412682243336</c:v>
                </c:pt>
                <c:pt idx="81">
                  <c:v>0.95689274505891386</c:v>
                </c:pt>
                <c:pt idx="82">
                  <c:v>0.96083427720323566</c:v>
                </c:pt>
                <c:pt idx="83">
                  <c:v>0.96442881072736386</c:v>
                </c:pt>
                <c:pt idx="84">
                  <c:v>0.96770453530154954</c:v>
                </c:pt>
                <c:pt idx="85">
                  <c:v>0.97068776924864375</c:v>
                </c:pt>
                <c:pt idx="86">
                  <c:v>0.97340300642313404</c:v>
                </c:pt>
                <c:pt idx="87">
                  <c:v>0.9758729785823308</c:v>
                </c:pt>
                <c:pt idx="88">
                  <c:v>0.97811872906386943</c:v>
                </c:pt>
                <c:pt idx="89">
                  <c:v>0.98015969426592253</c:v>
                </c:pt>
                <c:pt idx="90">
                  <c:v>0.98201379003790845</c:v>
                </c:pt>
                <c:pt idx="91">
                  <c:v>0.9836975006285591</c:v>
                </c:pt>
                <c:pt idx="92">
                  <c:v>0.98522596830672693</c:v>
                </c:pt>
                <c:pt idx="93">
                  <c:v>0.98661308217233512</c:v>
                </c:pt>
                <c:pt idx="94">
                  <c:v>0.98787156501572571</c:v>
                </c:pt>
                <c:pt idx="95">
                  <c:v>0.98901305736940681</c:v>
                </c:pt>
                <c:pt idx="96">
                  <c:v>0.99004819813309575</c:v>
                </c:pt>
                <c:pt idx="97">
                  <c:v>0.99098670134715205</c:v>
                </c:pt>
                <c:pt idx="98">
                  <c:v>0.99183742884684012</c:v>
                </c:pt>
                <c:pt idx="99">
                  <c:v>0.99260845865571812</c:v>
                </c:pt>
                <c:pt idx="100">
                  <c:v>0.99330714907571505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E3-4771-9737-B65AD7254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20560"/>
        <c:axId val="1"/>
      </c:scatterChart>
      <c:scatterChart>
        <c:scatterStyle val="smoothMarker"/>
        <c:varyColors val="0"/>
        <c:ser>
          <c:idx val="1"/>
          <c:order val="1"/>
          <c:tx>
            <c:v>y'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Plan1!$A$9:$A$107</c:f>
              <c:numCache>
                <c:formatCode>0.000</c:formatCode>
                <c:ptCount val="99"/>
                <c:pt idx="0">
                  <c:v>-4.9000000000000004</c:v>
                </c:pt>
                <c:pt idx="1">
                  <c:v>-4.8000000000000007</c:v>
                </c:pt>
                <c:pt idx="2">
                  <c:v>-4.7000000000000011</c:v>
                </c:pt>
                <c:pt idx="3">
                  <c:v>-4.6000000000000014</c:v>
                </c:pt>
                <c:pt idx="4">
                  <c:v>-4.5000000000000018</c:v>
                </c:pt>
                <c:pt idx="5">
                  <c:v>-4.4000000000000021</c:v>
                </c:pt>
                <c:pt idx="6">
                  <c:v>-4.3000000000000025</c:v>
                </c:pt>
                <c:pt idx="7">
                  <c:v>-4.2000000000000028</c:v>
                </c:pt>
                <c:pt idx="8">
                  <c:v>-4.1000000000000032</c:v>
                </c:pt>
                <c:pt idx="9">
                  <c:v>-4.0000000000000036</c:v>
                </c:pt>
                <c:pt idx="10">
                  <c:v>-3.9000000000000035</c:v>
                </c:pt>
                <c:pt idx="11">
                  <c:v>-3.8000000000000034</c:v>
                </c:pt>
                <c:pt idx="12">
                  <c:v>-3.7000000000000033</c:v>
                </c:pt>
                <c:pt idx="13">
                  <c:v>-3.6000000000000032</c:v>
                </c:pt>
                <c:pt idx="14">
                  <c:v>-3.5000000000000031</c:v>
                </c:pt>
                <c:pt idx="15">
                  <c:v>-3.400000000000003</c:v>
                </c:pt>
                <c:pt idx="16">
                  <c:v>-3.3000000000000029</c:v>
                </c:pt>
                <c:pt idx="17">
                  <c:v>-3.2000000000000028</c:v>
                </c:pt>
                <c:pt idx="18">
                  <c:v>-3.1000000000000028</c:v>
                </c:pt>
                <c:pt idx="19">
                  <c:v>-3.0000000000000027</c:v>
                </c:pt>
                <c:pt idx="20">
                  <c:v>-2.9000000000000026</c:v>
                </c:pt>
                <c:pt idx="21">
                  <c:v>-2.8000000000000025</c:v>
                </c:pt>
                <c:pt idx="22">
                  <c:v>-2.7000000000000024</c:v>
                </c:pt>
                <c:pt idx="23">
                  <c:v>-2.6000000000000023</c:v>
                </c:pt>
                <c:pt idx="24">
                  <c:v>-2.5000000000000022</c:v>
                </c:pt>
                <c:pt idx="25">
                  <c:v>-2.4000000000000021</c:v>
                </c:pt>
                <c:pt idx="26">
                  <c:v>-2.300000000000002</c:v>
                </c:pt>
                <c:pt idx="27">
                  <c:v>-2.200000000000002</c:v>
                </c:pt>
                <c:pt idx="28">
                  <c:v>-2.1000000000000019</c:v>
                </c:pt>
                <c:pt idx="29">
                  <c:v>-2.0000000000000018</c:v>
                </c:pt>
                <c:pt idx="30">
                  <c:v>-1.9000000000000017</c:v>
                </c:pt>
                <c:pt idx="31">
                  <c:v>-1.8000000000000016</c:v>
                </c:pt>
                <c:pt idx="32">
                  <c:v>-1.7000000000000015</c:v>
                </c:pt>
                <c:pt idx="33">
                  <c:v>-1.6000000000000014</c:v>
                </c:pt>
                <c:pt idx="34">
                  <c:v>-1.5000000000000013</c:v>
                </c:pt>
                <c:pt idx="35">
                  <c:v>-1.4000000000000012</c:v>
                </c:pt>
                <c:pt idx="36">
                  <c:v>-1.3000000000000012</c:v>
                </c:pt>
                <c:pt idx="37">
                  <c:v>-1.2000000000000011</c:v>
                </c:pt>
                <c:pt idx="38">
                  <c:v>-1.100000000000001</c:v>
                </c:pt>
                <c:pt idx="39">
                  <c:v>-1.0000000000000009</c:v>
                </c:pt>
                <c:pt idx="40">
                  <c:v>-0.90000000000000091</c:v>
                </c:pt>
                <c:pt idx="41">
                  <c:v>-0.80000000000000093</c:v>
                </c:pt>
                <c:pt idx="42">
                  <c:v>-0.70000000000000095</c:v>
                </c:pt>
                <c:pt idx="43">
                  <c:v>-0.60000000000000098</c:v>
                </c:pt>
                <c:pt idx="44">
                  <c:v>-0.500000000000001</c:v>
                </c:pt>
                <c:pt idx="45">
                  <c:v>-0.40000000000000102</c:v>
                </c:pt>
                <c:pt idx="46">
                  <c:v>-0.30000000000000104</c:v>
                </c:pt>
                <c:pt idx="47">
                  <c:v>-0.20000000000000104</c:v>
                </c:pt>
                <c:pt idx="48">
                  <c:v>-0.10000000000000103</c:v>
                </c:pt>
                <c:pt idx="49">
                  <c:v>-1.0269562977782698E-15</c:v>
                </c:pt>
                <c:pt idx="50">
                  <c:v>9.9999999999998979E-2</c:v>
                </c:pt>
                <c:pt idx="51">
                  <c:v>0.19999999999999898</c:v>
                </c:pt>
                <c:pt idx="52">
                  <c:v>0.29999999999999899</c:v>
                </c:pt>
                <c:pt idx="53">
                  <c:v>0.39999999999999902</c:v>
                </c:pt>
                <c:pt idx="54">
                  <c:v>0.499999999999999</c:v>
                </c:pt>
                <c:pt idx="55">
                  <c:v>0.59999999999999898</c:v>
                </c:pt>
                <c:pt idx="56">
                  <c:v>0.69999999999999896</c:v>
                </c:pt>
                <c:pt idx="57">
                  <c:v>0.79999999999999893</c:v>
                </c:pt>
                <c:pt idx="58">
                  <c:v>0.89999999999999891</c:v>
                </c:pt>
                <c:pt idx="59">
                  <c:v>0.99999999999999889</c:v>
                </c:pt>
                <c:pt idx="60">
                  <c:v>1.099999999999999</c:v>
                </c:pt>
                <c:pt idx="61">
                  <c:v>1.1999999999999991</c:v>
                </c:pt>
                <c:pt idx="62">
                  <c:v>1.2999999999999992</c:v>
                </c:pt>
                <c:pt idx="63">
                  <c:v>1.3999999999999992</c:v>
                </c:pt>
                <c:pt idx="64">
                  <c:v>1.4999999999999993</c:v>
                </c:pt>
                <c:pt idx="65">
                  <c:v>1.5999999999999994</c:v>
                </c:pt>
                <c:pt idx="66">
                  <c:v>1.6999999999999995</c:v>
                </c:pt>
                <c:pt idx="67">
                  <c:v>1.7999999999999996</c:v>
                </c:pt>
                <c:pt idx="68">
                  <c:v>1.8999999999999997</c:v>
                </c:pt>
                <c:pt idx="69">
                  <c:v>1.9999999999999998</c:v>
                </c:pt>
                <c:pt idx="70">
                  <c:v>2.0999999999999996</c:v>
                </c:pt>
                <c:pt idx="71">
                  <c:v>2.1999999999999997</c:v>
                </c:pt>
                <c:pt idx="72">
                  <c:v>2.2999999999999998</c:v>
                </c:pt>
                <c:pt idx="73">
                  <c:v>2.4</c:v>
                </c:pt>
                <c:pt idx="74">
                  <c:v>2.5</c:v>
                </c:pt>
                <c:pt idx="75">
                  <c:v>2.6</c:v>
                </c:pt>
                <c:pt idx="76">
                  <c:v>2.7</c:v>
                </c:pt>
                <c:pt idx="77">
                  <c:v>2.8000000000000003</c:v>
                </c:pt>
                <c:pt idx="78">
                  <c:v>2.9000000000000004</c:v>
                </c:pt>
                <c:pt idx="79">
                  <c:v>3.0000000000000004</c:v>
                </c:pt>
                <c:pt idx="80">
                  <c:v>3.1000000000000005</c:v>
                </c:pt>
                <c:pt idx="81">
                  <c:v>3.2000000000000006</c:v>
                </c:pt>
                <c:pt idx="82">
                  <c:v>3.3000000000000007</c:v>
                </c:pt>
                <c:pt idx="83">
                  <c:v>3.4000000000000008</c:v>
                </c:pt>
                <c:pt idx="84">
                  <c:v>3.5000000000000009</c:v>
                </c:pt>
                <c:pt idx="85">
                  <c:v>3.600000000000001</c:v>
                </c:pt>
                <c:pt idx="86">
                  <c:v>3.7000000000000011</c:v>
                </c:pt>
                <c:pt idx="87">
                  <c:v>3.8000000000000012</c:v>
                </c:pt>
                <c:pt idx="88">
                  <c:v>3.9000000000000012</c:v>
                </c:pt>
                <c:pt idx="89">
                  <c:v>4.0000000000000009</c:v>
                </c:pt>
                <c:pt idx="90">
                  <c:v>4.1000000000000005</c:v>
                </c:pt>
                <c:pt idx="91">
                  <c:v>4.2</c:v>
                </c:pt>
                <c:pt idx="92">
                  <c:v>4.3</c:v>
                </c:pt>
                <c:pt idx="93">
                  <c:v>4.3999999999999995</c:v>
                </c:pt>
                <c:pt idx="94">
                  <c:v>4.4999999999999991</c:v>
                </c:pt>
                <c:pt idx="95">
                  <c:v>4.5999999999999988</c:v>
                </c:pt>
                <c:pt idx="96">
                  <c:v>4.6999999999999984</c:v>
                </c:pt>
                <c:pt idx="97">
                  <c:v>4.799999999999998</c:v>
                </c:pt>
                <c:pt idx="98">
                  <c:v>4.8999999999999977</c:v>
                </c:pt>
              </c:numCache>
            </c:numRef>
          </c:xVal>
          <c:yVal>
            <c:numRef>
              <c:f>Plan1!$C$9:$C$107</c:f>
              <c:numCache>
                <c:formatCode>0.000</c:formatCode>
                <c:ptCount val="99"/>
                <c:pt idx="0">
                  <c:v>7.3486011443751973E-3</c:v>
                </c:pt>
                <c:pt idx="1">
                  <c:v>8.1087865428292518E-3</c:v>
                </c:pt>
                <c:pt idx="2">
                  <c:v>8.946153568722125E-3</c:v>
                </c:pt>
                <c:pt idx="3">
                  <c:v>9.8682198887267703E-3</c:v>
                </c:pt>
                <c:pt idx="4">
                  <c:v>1.088316558684956E-2</c:v>
                </c:pt>
                <c:pt idx="5">
                  <c:v>1.1999875985357952E-2</c:v>
                </c:pt>
                <c:pt idx="6">
                  <c:v>1.3227983544994068E-2</c:v>
                </c:pt>
                <c:pt idx="7">
                  <c:v>1.4577907718880782E-2</c:v>
                </c:pt>
                <c:pt idx="8">
                  <c:v>1.6060891344092453E-2</c:v>
                </c:pt>
                <c:pt idx="9">
                  <c:v>1.7689031813182775E-2</c:v>
                </c:pt>
                <c:pt idx="10">
                  <c:v>1.9475304870194519E-2</c:v>
                </c:pt>
                <c:pt idx="11">
                  <c:v>2.1433578417958399E-2</c:v>
                </c:pt>
                <c:pt idx="12">
                  <c:v>2.3578613203676827E-2</c:v>
                </c:pt>
                <c:pt idx="13">
                  <c:v>2.5926046668435503E-2</c:v>
                </c:pt>
                <c:pt idx="14">
                  <c:v>2.8492355607923202E-2</c:v>
                </c:pt>
                <c:pt idx="15">
                  <c:v>3.1294792606399176E-2</c:v>
                </c:pt>
                <c:pt idx="16">
                  <c:v>3.4351290491569139E-2</c:v>
                </c:pt>
                <c:pt idx="17">
                  <c:v>3.7680328342249679E-2</c:v>
                </c:pt>
                <c:pt idx="18">
                  <c:v>4.1300751904012022E-2</c:v>
                </c:pt>
                <c:pt idx="19">
                  <c:v>4.523154068665796E-2</c:v>
                </c:pt>
                <c:pt idx="20">
                  <c:v>4.9491513606509691E-2</c:v>
                </c:pt>
                <c:pt idx="21">
                  <c:v>5.409896489289362E-2</c:v>
                </c:pt>
                <c:pt idx="22">
                  <c:v>5.907122222239021E-2</c:v>
                </c:pt>
                <c:pt idx="23">
                  <c:v>6.4424119821235179E-2</c:v>
                </c:pt>
                <c:pt idx="24">
                  <c:v>7.0171380752877696E-2</c:v>
                </c:pt>
                <c:pt idx="25">
                  <c:v>7.6323904968062795E-2</c:v>
                </c:pt>
                <c:pt idx="26">
                  <c:v>8.2888963128813775E-2</c:v>
                </c:pt>
                <c:pt idx="27">
                  <c:v>8.9869300903783811E-2</c:v>
                </c:pt>
                <c:pt idx="28">
                  <c:v>9.7262164512161908E-2</c:v>
                </c:pt>
                <c:pt idx="29">
                  <c:v>0.10505826583692449</c:v>
                </c:pt>
                <c:pt idx="30">
                  <c:v>0.113240714391851</c:v>
                </c:pt>
                <c:pt idx="31">
                  <c:v>0.1217839536026841</c:v>
                </c:pt>
                <c:pt idx="32">
                  <c:v>0.13065274982793851</c:v>
                </c:pt>
                <c:pt idx="33">
                  <c:v>0.13980129361410815</c:v>
                </c:pt>
                <c:pt idx="34">
                  <c:v>0.14917248287671353</c:v>
                </c:pt>
                <c:pt idx="35">
                  <c:v>0.1586974657554252</c:v>
                </c:pt>
                <c:pt idx="36">
                  <c:v>0.16829552529782049</c:v>
                </c:pt>
                <c:pt idx="37">
                  <c:v>0.17787438723720486</c:v>
                </c:pt>
                <c:pt idx="38">
                  <c:v>0.1873310243450636</c:v>
                </c:pt>
                <c:pt idx="39">
                  <c:v>0.19655301485056795</c:v>
                </c:pt>
                <c:pt idx="40">
                  <c:v>0.20542048751196229</c:v>
                </c:pt>
                <c:pt idx="41">
                  <c:v>0.21380865228418927</c:v>
                </c:pt>
                <c:pt idx="42">
                  <c:v>0.22159087450908477</c:v>
                </c:pt>
                <c:pt idx="43">
                  <c:v>0.22864220483155762</c:v>
                </c:pt>
                <c:pt idx="44">
                  <c:v>0.23484323056671702</c:v>
                </c:pt>
                <c:pt idx="45">
                  <c:v>0.24008407195097786</c:v>
                </c:pt>
                <c:pt idx="46">
                  <c:v>0.24426831399987028</c:v>
                </c:pt>
                <c:pt idx="47">
                  <c:v>0.24731664666359537</c:v>
                </c:pt>
                <c:pt idx="48">
                  <c:v>0.24916998656239003</c:v>
                </c:pt>
                <c:pt idx="49">
                  <c:v>0.24979187478939929</c:v>
                </c:pt>
                <c:pt idx="50">
                  <c:v>0.24916998656238976</c:v>
                </c:pt>
                <c:pt idx="51">
                  <c:v>0.2473166466635951</c:v>
                </c:pt>
                <c:pt idx="52">
                  <c:v>0.2442683139998702</c:v>
                </c:pt>
                <c:pt idx="53">
                  <c:v>0.24008407195097781</c:v>
                </c:pt>
                <c:pt idx="54">
                  <c:v>0.23484323056671758</c:v>
                </c:pt>
                <c:pt idx="55">
                  <c:v>0.22864220483155789</c:v>
                </c:pt>
                <c:pt idx="56">
                  <c:v>0.22159087450908505</c:v>
                </c:pt>
                <c:pt idx="57">
                  <c:v>0.21380865228418927</c:v>
                </c:pt>
                <c:pt idx="58">
                  <c:v>0.20542048751196201</c:v>
                </c:pt>
                <c:pt idx="59">
                  <c:v>0.19655301485056836</c:v>
                </c:pt>
                <c:pt idx="60">
                  <c:v>0.1873310243450636</c:v>
                </c:pt>
                <c:pt idx="61">
                  <c:v>0.17787438723720556</c:v>
                </c:pt>
                <c:pt idx="62">
                  <c:v>0.16829552529782119</c:v>
                </c:pt>
                <c:pt idx="63">
                  <c:v>0.15869746575542562</c:v>
                </c:pt>
                <c:pt idx="64">
                  <c:v>0.14917248287671367</c:v>
                </c:pt>
                <c:pt idx="65">
                  <c:v>0.13980129361410787</c:v>
                </c:pt>
                <c:pt idx="66">
                  <c:v>0.13065274982793795</c:v>
                </c:pt>
                <c:pt idx="67">
                  <c:v>0.12178395360268424</c:v>
                </c:pt>
                <c:pt idx="68">
                  <c:v>0.11324071439185114</c:v>
                </c:pt>
                <c:pt idx="69">
                  <c:v>0.10505826583692482</c:v>
                </c:pt>
                <c:pt idx="70">
                  <c:v>9.7262164512162436E-2</c:v>
                </c:pt>
                <c:pt idx="71">
                  <c:v>8.9869300903783672E-2</c:v>
                </c:pt>
                <c:pt idx="72">
                  <c:v>8.2888963128814261E-2</c:v>
                </c:pt>
                <c:pt idx="73">
                  <c:v>7.6323904968063558E-2</c:v>
                </c:pt>
                <c:pt idx="74">
                  <c:v>7.0171380752878043E-2</c:v>
                </c:pt>
                <c:pt idx="75">
                  <c:v>6.4424119821234693E-2</c:v>
                </c:pt>
                <c:pt idx="76">
                  <c:v>5.9071222222389863E-2</c:v>
                </c:pt>
                <c:pt idx="77">
                  <c:v>5.4098964892894071E-2</c:v>
                </c:pt>
                <c:pt idx="78">
                  <c:v>4.9491513606510454E-2</c:v>
                </c:pt>
                <c:pt idx="79">
                  <c:v>4.5231540686657648E-2</c:v>
                </c:pt>
                <c:pt idx="80">
                  <c:v>4.1300751904011467E-2</c:v>
                </c:pt>
                <c:pt idx="81">
                  <c:v>3.7680328342249957E-2</c:v>
                </c:pt>
                <c:pt idx="82">
                  <c:v>3.4351290491569347E-2</c:v>
                </c:pt>
                <c:pt idx="83">
                  <c:v>3.1294792606399419E-2</c:v>
                </c:pt>
                <c:pt idx="84">
                  <c:v>2.8492355607922491E-2</c:v>
                </c:pt>
                <c:pt idx="85">
                  <c:v>2.5926046668435208E-2</c:v>
                </c:pt>
                <c:pt idx="86">
                  <c:v>2.3578613203676914E-2</c:v>
                </c:pt>
                <c:pt idx="87">
                  <c:v>2.1433578417958659E-2</c:v>
                </c:pt>
                <c:pt idx="88">
                  <c:v>1.9475304870195134E-2</c:v>
                </c:pt>
                <c:pt idx="89">
                  <c:v>1.7689031813182883E-2</c:v>
                </c:pt>
                <c:pt idx="90">
                  <c:v>1.6060891344092443E-2</c:v>
                </c:pt>
                <c:pt idx="91">
                  <c:v>1.4577907718880175E-2</c:v>
                </c:pt>
                <c:pt idx="92">
                  <c:v>1.3227983544993929E-2</c:v>
                </c:pt>
                <c:pt idx="93">
                  <c:v>1.1999875985358498E-2</c:v>
                </c:pt>
                <c:pt idx="94">
                  <c:v>1.0883165586850246E-2</c:v>
                </c:pt>
                <c:pt idx="95">
                  <c:v>9.8682198887262498E-3</c:v>
                </c:pt>
                <c:pt idx="96">
                  <c:v>8.9461535687218909E-3</c:v>
                </c:pt>
                <c:pt idx="97">
                  <c:v>8.1087865428303447E-3</c:v>
                </c:pt>
                <c:pt idx="98">
                  <c:v>7.3486011443746595E-3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E3-4771-9737-B65AD7254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88920560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88920560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crossAx val="3"/>
        <c:crosses val="max"/>
        <c:crossBetween val="midCat"/>
      </c:valAx>
    </c:plotArea>
    <c:legend>
      <c:legendPos val="b"/>
      <c:layout/>
      <c:overlay val="0"/>
    </c:legend>
    <c:plotVisOnly val="0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908972691807541E-2"/>
          <c:y val="2.8634361233480177E-2"/>
          <c:w val="0.94018205461638493"/>
          <c:h val="0.870044052863436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Plan8!$B$5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Plan8!$A$6:$A$106</c:f>
              <c:numCache>
                <c:formatCode>0.0</c:formatCode>
                <c:ptCount val="101"/>
                <c:pt idx="0">
                  <c:v>-3</c:v>
                </c:pt>
                <c:pt idx="1">
                  <c:v>-2.94</c:v>
                </c:pt>
                <c:pt idx="2">
                  <c:v>-2.88</c:v>
                </c:pt>
                <c:pt idx="3">
                  <c:v>-2.82</c:v>
                </c:pt>
                <c:pt idx="4">
                  <c:v>-2.76</c:v>
                </c:pt>
                <c:pt idx="5">
                  <c:v>-2.6999999999999997</c:v>
                </c:pt>
                <c:pt idx="6">
                  <c:v>-2.6399999999999997</c:v>
                </c:pt>
                <c:pt idx="7">
                  <c:v>-2.5799999999999996</c:v>
                </c:pt>
                <c:pt idx="8">
                  <c:v>-2.5199999999999996</c:v>
                </c:pt>
                <c:pt idx="9">
                  <c:v>-2.4599999999999995</c:v>
                </c:pt>
                <c:pt idx="10">
                  <c:v>-2.3999999999999995</c:v>
                </c:pt>
                <c:pt idx="11">
                  <c:v>-2.3399999999999994</c:v>
                </c:pt>
                <c:pt idx="12">
                  <c:v>-2.2799999999999994</c:v>
                </c:pt>
                <c:pt idx="13">
                  <c:v>-2.2199999999999993</c:v>
                </c:pt>
                <c:pt idx="14">
                  <c:v>-2.1599999999999993</c:v>
                </c:pt>
                <c:pt idx="15">
                  <c:v>-2.0999999999999992</c:v>
                </c:pt>
                <c:pt idx="16">
                  <c:v>-2.0399999999999991</c:v>
                </c:pt>
                <c:pt idx="17">
                  <c:v>-1.9799999999999991</c:v>
                </c:pt>
                <c:pt idx="18">
                  <c:v>-1.919999999999999</c:v>
                </c:pt>
                <c:pt idx="19">
                  <c:v>-1.859999999999999</c:v>
                </c:pt>
                <c:pt idx="20">
                  <c:v>-1.7999999999999989</c:v>
                </c:pt>
                <c:pt idx="21">
                  <c:v>-1.7399999999999989</c:v>
                </c:pt>
                <c:pt idx="22">
                  <c:v>-1.6799999999999988</c:v>
                </c:pt>
                <c:pt idx="23">
                  <c:v>-1.6199999999999988</c:v>
                </c:pt>
                <c:pt idx="24">
                  <c:v>-1.5599999999999987</c:v>
                </c:pt>
                <c:pt idx="25">
                  <c:v>-1.4999999999999987</c:v>
                </c:pt>
                <c:pt idx="26">
                  <c:v>-1.4399999999999986</c:v>
                </c:pt>
                <c:pt idx="27">
                  <c:v>-1.3799999999999986</c:v>
                </c:pt>
                <c:pt idx="28">
                  <c:v>-1.3199999999999985</c:v>
                </c:pt>
                <c:pt idx="29">
                  <c:v>-1.2599999999999985</c:v>
                </c:pt>
                <c:pt idx="30">
                  <c:v>-1.1999999999999984</c:v>
                </c:pt>
                <c:pt idx="31">
                  <c:v>-1.1399999999999983</c:v>
                </c:pt>
                <c:pt idx="32">
                  <c:v>-1.0799999999999983</c:v>
                </c:pt>
                <c:pt idx="33">
                  <c:v>-1.0199999999999982</c:v>
                </c:pt>
                <c:pt idx="34">
                  <c:v>-0.95999999999999819</c:v>
                </c:pt>
                <c:pt idx="35">
                  <c:v>-0.89999999999999813</c:v>
                </c:pt>
                <c:pt idx="36">
                  <c:v>-0.83999999999999808</c:v>
                </c:pt>
                <c:pt idx="37">
                  <c:v>-0.77999999999999803</c:v>
                </c:pt>
                <c:pt idx="38">
                  <c:v>-0.71999999999999797</c:v>
                </c:pt>
                <c:pt idx="39">
                  <c:v>-0.65999999999999792</c:v>
                </c:pt>
                <c:pt idx="40">
                  <c:v>-0.59999999999999787</c:v>
                </c:pt>
                <c:pt idx="41">
                  <c:v>-0.53999999999999782</c:v>
                </c:pt>
                <c:pt idx="42">
                  <c:v>-0.47999999999999771</c:v>
                </c:pt>
                <c:pt idx="43">
                  <c:v>-0.4199999999999976</c:v>
                </c:pt>
                <c:pt idx="44">
                  <c:v>-0.35999999999999749</c:v>
                </c:pt>
                <c:pt idx="45">
                  <c:v>-0.29999999999999738</c:v>
                </c:pt>
                <c:pt idx="46">
                  <c:v>-0.23999999999999727</c:v>
                </c:pt>
                <c:pt idx="47">
                  <c:v>-0.17999999999999716</c:v>
                </c:pt>
                <c:pt idx="48">
                  <c:v>-0.11999999999999707</c:v>
                </c:pt>
                <c:pt idx="49">
                  <c:v>-5.9999999999996972E-2</c:v>
                </c:pt>
                <c:pt idx="50">
                  <c:v>3.1225022567582528E-15</c:v>
                </c:pt>
                <c:pt idx="51">
                  <c:v>6.0000000000003217E-2</c:v>
                </c:pt>
                <c:pt idx="52">
                  <c:v>0.12000000000000331</c:v>
                </c:pt>
                <c:pt idx="53">
                  <c:v>0.18000000000000341</c:v>
                </c:pt>
                <c:pt idx="54">
                  <c:v>0.24000000000000349</c:v>
                </c:pt>
                <c:pt idx="55">
                  <c:v>0.3000000000000036</c:v>
                </c:pt>
                <c:pt idx="56">
                  <c:v>0.36000000000000371</c:v>
                </c:pt>
                <c:pt idx="57">
                  <c:v>0.42000000000000381</c:v>
                </c:pt>
                <c:pt idx="58">
                  <c:v>0.48000000000000392</c:v>
                </c:pt>
                <c:pt idx="59">
                  <c:v>0.54000000000000403</c:v>
                </c:pt>
                <c:pt idx="60">
                  <c:v>0.60000000000000409</c:v>
                </c:pt>
                <c:pt idx="61">
                  <c:v>0.66000000000000414</c:v>
                </c:pt>
                <c:pt idx="62">
                  <c:v>0.72000000000000419</c:v>
                </c:pt>
                <c:pt idx="63">
                  <c:v>0.78000000000000425</c:v>
                </c:pt>
                <c:pt idx="64">
                  <c:v>0.8400000000000043</c:v>
                </c:pt>
                <c:pt idx="65">
                  <c:v>0.90000000000000435</c:v>
                </c:pt>
                <c:pt idx="66">
                  <c:v>0.96000000000000441</c:v>
                </c:pt>
                <c:pt idx="67">
                  <c:v>1.0200000000000045</c:v>
                </c:pt>
                <c:pt idx="68">
                  <c:v>1.0800000000000045</c:v>
                </c:pt>
                <c:pt idx="69">
                  <c:v>1.1400000000000046</c:v>
                </c:pt>
                <c:pt idx="70">
                  <c:v>1.2000000000000046</c:v>
                </c:pt>
                <c:pt idx="71">
                  <c:v>1.2600000000000047</c:v>
                </c:pt>
                <c:pt idx="72">
                  <c:v>1.3200000000000047</c:v>
                </c:pt>
                <c:pt idx="73">
                  <c:v>1.3800000000000048</c:v>
                </c:pt>
                <c:pt idx="74">
                  <c:v>1.4400000000000048</c:v>
                </c:pt>
                <c:pt idx="75">
                  <c:v>1.5000000000000049</c:v>
                </c:pt>
                <c:pt idx="76">
                  <c:v>1.5600000000000049</c:v>
                </c:pt>
                <c:pt idx="77">
                  <c:v>1.620000000000005</c:v>
                </c:pt>
                <c:pt idx="78">
                  <c:v>1.680000000000005</c:v>
                </c:pt>
                <c:pt idx="79">
                  <c:v>1.7400000000000051</c:v>
                </c:pt>
                <c:pt idx="80">
                  <c:v>1.8000000000000052</c:v>
                </c:pt>
                <c:pt idx="81">
                  <c:v>1.8600000000000052</c:v>
                </c:pt>
                <c:pt idx="82">
                  <c:v>1.9200000000000053</c:v>
                </c:pt>
                <c:pt idx="83">
                  <c:v>1.9800000000000053</c:v>
                </c:pt>
                <c:pt idx="84">
                  <c:v>2.0400000000000054</c:v>
                </c:pt>
                <c:pt idx="85">
                  <c:v>2.1000000000000054</c:v>
                </c:pt>
                <c:pt idx="86">
                  <c:v>2.1600000000000055</c:v>
                </c:pt>
                <c:pt idx="87">
                  <c:v>2.2200000000000055</c:v>
                </c:pt>
                <c:pt idx="88">
                  <c:v>2.2800000000000056</c:v>
                </c:pt>
                <c:pt idx="89">
                  <c:v>2.3400000000000056</c:v>
                </c:pt>
                <c:pt idx="90">
                  <c:v>2.4000000000000057</c:v>
                </c:pt>
                <c:pt idx="91">
                  <c:v>2.4600000000000057</c:v>
                </c:pt>
                <c:pt idx="92">
                  <c:v>2.5200000000000058</c:v>
                </c:pt>
                <c:pt idx="93">
                  <c:v>2.5800000000000058</c:v>
                </c:pt>
                <c:pt idx="94">
                  <c:v>2.6400000000000059</c:v>
                </c:pt>
                <c:pt idx="95">
                  <c:v>2.700000000000006</c:v>
                </c:pt>
                <c:pt idx="96">
                  <c:v>2.760000000000006</c:v>
                </c:pt>
                <c:pt idx="97">
                  <c:v>2.8200000000000061</c:v>
                </c:pt>
                <c:pt idx="98">
                  <c:v>2.8800000000000061</c:v>
                </c:pt>
                <c:pt idx="99">
                  <c:v>2.9400000000000062</c:v>
                </c:pt>
                <c:pt idx="100">
                  <c:v>3.0000000000000062</c:v>
                </c:pt>
              </c:numCache>
            </c:numRef>
          </c:xVal>
          <c:yVal>
            <c:numRef>
              <c:f>Plan8!$B$6:$B$106</c:f>
              <c:numCache>
                <c:formatCode>0.000</c:formatCode>
                <c:ptCount val="101"/>
                <c:pt idx="0">
                  <c:v>1.2340980408667956E-4</c:v>
                </c:pt>
                <c:pt idx="1">
                  <c:v>1.7625125424738458E-4</c:v>
                </c:pt>
                <c:pt idx="2">
                  <c:v>2.4991242536772247E-4</c:v>
                </c:pt>
                <c:pt idx="3">
                  <c:v>3.5181679028813611E-4</c:v>
                </c:pt>
                <c:pt idx="4">
                  <c:v>4.9172054539898277E-4</c:v>
                </c:pt>
                <c:pt idx="5">
                  <c:v>6.8232805275637777E-4</c:v>
                </c:pt>
                <c:pt idx="6">
                  <c:v>9.4002884218068866E-4</c:v>
                </c:pt>
                <c:pt idx="7">
                  <c:v>1.2857668091172442E-3</c:v>
                </c:pt>
                <c:pt idx="8">
                  <c:v>1.746048577127759E-3</c:v>
                </c:pt>
                <c:pt idx="9">
                  <c:v>2.3540924437342311E-3</c:v>
                </c:pt>
                <c:pt idx="10">
                  <c:v>3.1511115984444497E-3</c:v>
                </c:pt>
                <c:pt idx="11">
                  <c:v>4.1877151669449117E-3</c:v>
                </c:pt>
                <c:pt idx="12">
                  <c:v>5.5253979888039472E-3</c:v>
                </c:pt>
                <c:pt idx="13">
                  <c:v>7.2380749414861492E-3</c:v>
                </c:pt>
                <c:pt idx="14">
                  <c:v>9.4135983697016656E-3</c:v>
                </c:pt>
                <c:pt idx="15">
                  <c:v>1.2155178329914978E-2</c:v>
                </c:pt>
                <c:pt idx="16">
                  <c:v>1.5582605794334554E-2</c:v>
                </c:pt>
                <c:pt idx="17">
                  <c:v>1.9833159893548575E-2</c:v>
                </c:pt>
                <c:pt idx="18">
                  <c:v>2.5062063262558852E-2</c:v>
                </c:pt>
                <c:pt idx="19">
                  <c:v>3.1442336437891426E-2</c:v>
                </c:pt>
                <c:pt idx="20">
                  <c:v>3.9163895098987225E-2</c:v>
                </c:pt>
                <c:pt idx="21">
                  <c:v>4.8431734917994386E-2</c:v>
                </c:pt>
                <c:pt idx="22">
                  <c:v>5.9463059974303407E-2</c:v>
                </c:pt>
                <c:pt idx="23">
                  <c:v>7.2483233930236785E-2</c:v>
                </c:pt>
                <c:pt idx="24">
                  <c:v>8.7720469779792754E-2</c:v>
                </c:pt>
                <c:pt idx="25">
                  <c:v>0.10539922456186476</c:v>
                </c:pt>
                <c:pt idx="26">
                  <c:v>0.1257323295944284</c:v>
                </c:pt>
                <c:pt idx="27">
                  <c:v>0.14891196300114834</c:v>
                </c:pt>
                <c:pt idx="28">
                  <c:v>0.17509965675011407</c:v>
                </c:pt>
                <c:pt idx="29">
                  <c:v>0.20441562097826479</c:v>
                </c:pt>
                <c:pt idx="30">
                  <c:v>0.23692775868212265</c:v>
                </c:pt>
                <c:pt idx="31">
                  <c:v>0.27264082755667796</c:v>
                </c:pt>
                <c:pt idx="32">
                  <c:v>0.31148627584740829</c:v>
                </c:pt>
                <c:pt idx="33">
                  <c:v>0.35331332835860263</c:v>
                </c:pt>
                <c:pt idx="34">
                  <c:v>0.39788192045120602</c:v>
                </c:pt>
                <c:pt idx="35">
                  <c:v>0.44485806622294266</c:v>
                </c:pt>
                <c:pt idx="36">
                  <c:v>0.49381219803334769</c:v>
                </c:pt>
                <c:pt idx="37">
                  <c:v>0.54422092632520902</c:v>
                </c:pt>
                <c:pt idx="38">
                  <c:v>0.5954725422392716</c:v>
                </c:pt>
                <c:pt idx="39">
                  <c:v>0.64687642476213159</c:v>
                </c:pt>
                <c:pt idx="40">
                  <c:v>0.6976763260710328</c:v>
                </c:pt>
                <c:pt idx="41">
                  <c:v>0.74706730313719749</c:v>
                </c:pt>
                <c:pt idx="42">
                  <c:v>0.79421585261654848</c:v>
                </c:pt>
                <c:pt idx="43">
                  <c:v>0.8382826032242352</c:v>
                </c:pt>
                <c:pt idx="44">
                  <c:v>0.87844673934993289</c:v>
                </c:pt>
                <c:pt idx="45">
                  <c:v>0.91393118527122963</c:v>
                </c:pt>
                <c:pt idx="46">
                  <c:v>0.94402748291783689</c:v>
                </c:pt>
                <c:pt idx="47">
                  <c:v>0.96811925691656375</c:v>
                </c:pt>
                <c:pt idx="48">
                  <c:v>0.98570318412244362</c:v>
                </c:pt>
                <c:pt idx="49">
                  <c:v>0.99640647223099377</c:v>
                </c:pt>
                <c:pt idx="50">
                  <c:v>1</c:v>
                </c:pt>
                <c:pt idx="51">
                  <c:v>0.99640647223099299</c:v>
                </c:pt>
                <c:pt idx="52">
                  <c:v>0.98570318412244218</c:v>
                </c:pt>
                <c:pt idx="53">
                  <c:v>0.96811925691656153</c:v>
                </c:pt>
                <c:pt idx="54">
                  <c:v>0.944027482917834</c:v>
                </c:pt>
                <c:pt idx="55">
                  <c:v>0.91393118527122619</c:v>
                </c:pt>
                <c:pt idx="56">
                  <c:v>0.87844673934992901</c:v>
                </c:pt>
                <c:pt idx="57">
                  <c:v>0.83828260322423076</c:v>
                </c:pt>
                <c:pt idx="58">
                  <c:v>0.7942158526165437</c:v>
                </c:pt>
                <c:pt idx="59">
                  <c:v>0.74706730313719238</c:v>
                </c:pt>
                <c:pt idx="60">
                  <c:v>0.69767632607102759</c:v>
                </c:pt>
                <c:pt idx="61">
                  <c:v>0.64687642476212626</c:v>
                </c:pt>
                <c:pt idx="62">
                  <c:v>0.59547254223926616</c:v>
                </c:pt>
                <c:pt idx="63">
                  <c:v>0.5442209263252038</c:v>
                </c:pt>
                <c:pt idx="64">
                  <c:v>0.49381219803334259</c:v>
                </c:pt>
                <c:pt idx="65">
                  <c:v>0.44485806622293766</c:v>
                </c:pt>
                <c:pt idx="66">
                  <c:v>0.3978819204512013</c:v>
                </c:pt>
                <c:pt idx="67">
                  <c:v>0.35331332835859819</c:v>
                </c:pt>
                <c:pt idx="68">
                  <c:v>0.31148627584740413</c:v>
                </c:pt>
                <c:pt idx="69">
                  <c:v>0.27264082755667413</c:v>
                </c:pt>
                <c:pt idx="70">
                  <c:v>0.23692775868211913</c:v>
                </c:pt>
                <c:pt idx="71">
                  <c:v>0.2044156209782616</c:v>
                </c:pt>
                <c:pt idx="72">
                  <c:v>0.17509965675011122</c:v>
                </c:pt>
                <c:pt idx="73">
                  <c:v>0.14891196300114579</c:v>
                </c:pt>
                <c:pt idx="74">
                  <c:v>0.12573232959442612</c:v>
                </c:pt>
                <c:pt idx="75">
                  <c:v>0.10539922456186279</c:v>
                </c:pt>
                <c:pt idx="76">
                  <c:v>8.7720469779791074E-2</c:v>
                </c:pt>
                <c:pt idx="77">
                  <c:v>7.2483233930235341E-2</c:v>
                </c:pt>
                <c:pt idx="78">
                  <c:v>5.9463059974302165E-2</c:v>
                </c:pt>
                <c:pt idx="79">
                  <c:v>4.8431734917993331E-2</c:v>
                </c:pt>
                <c:pt idx="80">
                  <c:v>3.9163895098986351E-2</c:v>
                </c:pt>
                <c:pt idx="81">
                  <c:v>3.144233643789069E-2</c:v>
                </c:pt>
                <c:pt idx="82">
                  <c:v>2.5062063262558252E-2</c:v>
                </c:pt>
                <c:pt idx="83">
                  <c:v>1.9833159893548079E-2</c:v>
                </c:pt>
                <c:pt idx="84">
                  <c:v>1.5582605794334153E-2</c:v>
                </c:pt>
                <c:pt idx="85">
                  <c:v>1.2155178329914666E-2</c:v>
                </c:pt>
                <c:pt idx="86">
                  <c:v>9.413598369701414E-3</c:v>
                </c:pt>
                <c:pt idx="87">
                  <c:v>7.2380749414859506E-3</c:v>
                </c:pt>
                <c:pt idx="88">
                  <c:v>5.5253979888037902E-3</c:v>
                </c:pt>
                <c:pt idx="89">
                  <c:v>4.1877151669447894E-3</c:v>
                </c:pt>
                <c:pt idx="90">
                  <c:v>3.1511115984443547E-3</c:v>
                </c:pt>
                <c:pt idx="91">
                  <c:v>2.35409244373416E-3</c:v>
                </c:pt>
                <c:pt idx="92">
                  <c:v>1.7460485771277048E-3</c:v>
                </c:pt>
                <c:pt idx="93">
                  <c:v>1.285766809117203E-3</c:v>
                </c:pt>
                <c:pt idx="94">
                  <c:v>9.4002884218065776E-4</c:v>
                </c:pt>
                <c:pt idx="95">
                  <c:v>6.8232805275635479E-4</c:v>
                </c:pt>
                <c:pt idx="96">
                  <c:v>4.9172054539896575E-4</c:v>
                </c:pt>
                <c:pt idx="97">
                  <c:v>3.5181679028812365E-4</c:v>
                </c:pt>
                <c:pt idx="98">
                  <c:v>2.4991242536771357E-4</c:v>
                </c:pt>
                <c:pt idx="99">
                  <c:v>1.7625125424737802E-4</c:v>
                </c:pt>
                <c:pt idx="100">
                  <c:v>1.2340980408667495E-4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4D-4DD0-B2CB-CC6DDA982A96}"/>
            </c:ext>
          </c:extLst>
        </c:ser>
        <c:ser>
          <c:idx val="1"/>
          <c:order val="1"/>
          <c:tx>
            <c:strRef>
              <c:f>Plan8!$C$5</c:f>
              <c:strCache>
                <c:ptCount val="1"/>
                <c:pt idx="0">
                  <c:v>y'</c:v>
                </c:pt>
              </c:strCache>
            </c:strRef>
          </c:tx>
          <c:marker>
            <c:symbol val="none"/>
          </c:marker>
          <c:xVal>
            <c:numRef>
              <c:f>Plan8!$A$6:$A$106</c:f>
              <c:numCache>
                <c:formatCode>0.0</c:formatCode>
                <c:ptCount val="101"/>
                <c:pt idx="0">
                  <c:v>-3</c:v>
                </c:pt>
                <c:pt idx="1">
                  <c:v>-2.94</c:v>
                </c:pt>
                <c:pt idx="2">
                  <c:v>-2.88</c:v>
                </c:pt>
                <c:pt idx="3">
                  <c:v>-2.82</c:v>
                </c:pt>
                <c:pt idx="4">
                  <c:v>-2.76</c:v>
                </c:pt>
                <c:pt idx="5">
                  <c:v>-2.6999999999999997</c:v>
                </c:pt>
                <c:pt idx="6">
                  <c:v>-2.6399999999999997</c:v>
                </c:pt>
                <c:pt idx="7">
                  <c:v>-2.5799999999999996</c:v>
                </c:pt>
                <c:pt idx="8">
                  <c:v>-2.5199999999999996</c:v>
                </c:pt>
                <c:pt idx="9">
                  <c:v>-2.4599999999999995</c:v>
                </c:pt>
                <c:pt idx="10">
                  <c:v>-2.3999999999999995</c:v>
                </c:pt>
                <c:pt idx="11">
                  <c:v>-2.3399999999999994</c:v>
                </c:pt>
                <c:pt idx="12">
                  <c:v>-2.2799999999999994</c:v>
                </c:pt>
                <c:pt idx="13">
                  <c:v>-2.2199999999999993</c:v>
                </c:pt>
                <c:pt idx="14">
                  <c:v>-2.1599999999999993</c:v>
                </c:pt>
                <c:pt idx="15">
                  <c:v>-2.0999999999999992</c:v>
                </c:pt>
                <c:pt idx="16">
                  <c:v>-2.0399999999999991</c:v>
                </c:pt>
                <c:pt idx="17">
                  <c:v>-1.9799999999999991</c:v>
                </c:pt>
                <c:pt idx="18">
                  <c:v>-1.919999999999999</c:v>
                </c:pt>
                <c:pt idx="19">
                  <c:v>-1.859999999999999</c:v>
                </c:pt>
                <c:pt idx="20">
                  <c:v>-1.7999999999999989</c:v>
                </c:pt>
                <c:pt idx="21">
                  <c:v>-1.7399999999999989</c:v>
                </c:pt>
                <c:pt idx="22">
                  <c:v>-1.6799999999999988</c:v>
                </c:pt>
                <c:pt idx="23">
                  <c:v>-1.6199999999999988</c:v>
                </c:pt>
                <c:pt idx="24">
                  <c:v>-1.5599999999999987</c:v>
                </c:pt>
                <c:pt idx="25">
                  <c:v>-1.4999999999999987</c:v>
                </c:pt>
                <c:pt idx="26">
                  <c:v>-1.4399999999999986</c:v>
                </c:pt>
                <c:pt idx="27">
                  <c:v>-1.3799999999999986</c:v>
                </c:pt>
                <c:pt idx="28">
                  <c:v>-1.3199999999999985</c:v>
                </c:pt>
                <c:pt idx="29">
                  <c:v>-1.2599999999999985</c:v>
                </c:pt>
                <c:pt idx="30">
                  <c:v>-1.1999999999999984</c:v>
                </c:pt>
                <c:pt idx="31">
                  <c:v>-1.1399999999999983</c:v>
                </c:pt>
                <c:pt idx="32">
                  <c:v>-1.0799999999999983</c:v>
                </c:pt>
                <c:pt idx="33">
                  <c:v>-1.0199999999999982</c:v>
                </c:pt>
                <c:pt idx="34">
                  <c:v>-0.95999999999999819</c:v>
                </c:pt>
                <c:pt idx="35">
                  <c:v>-0.89999999999999813</c:v>
                </c:pt>
                <c:pt idx="36">
                  <c:v>-0.83999999999999808</c:v>
                </c:pt>
                <c:pt idx="37">
                  <c:v>-0.77999999999999803</c:v>
                </c:pt>
                <c:pt idx="38">
                  <c:v>-0.71999999999999797</c:v>
                </c:pt>
                <c:pt idx="39">
                  <c:v>-0.65999999999999792</c:v>
                </c:pt>
                <c:pt idx="40">
                  <c:v>-0.59999999999999787</c:v>
                </c:pt>
                <c:pt idx="41">
                  <c:v>-0.53999999999999782</c:v>
                </c:pt>
                <c:pt idx="42">
                  <c:v>-0.47999999999999771</c:v>
                </c:pt>
                <c:pt idx="43">
                  <c:v>-0.4199999999999976</c:v>
                </c:pt>
                <c:pt idx="44">
                  <c:v>-0.35999999999999749</c:v>
                </c:pt>
                <c:pt idx="45">
                  <c:v>-0.29999999999999738</c:v>
                </c:pt>
                <c:pt idx="46">
                  <c:v>-0.23999999999999727</c:v>
                </c:pt>
                <c:pt idx="47">
                  <c:v>-0.17999999999999716</c:v>
                </c:pt>
                <c:pt idx="48">
                  <c:v>-0.11999999999999707</c:v>
                </c:pt>
                <c:pt idx="49">
                  <c:v>-5.9999999999996972E-2</c:v>
                </c:pt>
                <c:pt idx="50">
                  <c:v>3.1225022567582528E-15</c:v>
                </c:pt>
                <c:pt idx="51">
                  <c:v>6.0000000000003217E-2</c:v>
                </c:pt>
                <c:pt idx="52">
                  <c:v>0.12000000000000331</c:v>
                </c:pt>
                <c:pt idx="53">
                  <c:v>0.18000000000000341</c:v>
                </c:pt>
                <c:pt idx="54">
                  <c:v>0.24000000000000349</c:v>
                </c:pt>
                <c:pt idx="55">
                  <c:v>0.3000000000000036</c:v>
                </c:pt>
                <c:pt idx="56">
                  <c:v>0.36000000000000371</c:v>
                </c:pt>
                <c:pt idx="57">
                  <c:v>0.42000000000000381</c:v>
                </c:pt>
                <c:pt idx="58">
                  <c:v>0.48000000000000392</c:v>
                </c:pt>
                <c:pt idx="59">
                  <c:v>0.54000000000000403</c:v>
                </c:pt>
                <c:pt idx="60">
                  <c:v>0.60000000000000409</c:v>
                </c:pt>
                <c:pt idx="61">
                  <c:v>0.66000000000000414</c:v>
                </c:pt>
                <c:pt idx="62">
                  <c:v>0.72000000000000419</c:v>
                </c:pt>
                <c:pt idx="63">
                  <c:v>0.78000000000000425</c:v>
                </c:pt>
                <c:pt idx="64">
                  <c:v>0.8400000000000043</c:v>
                </c:pt>
                <c:pt idx="65">
                  <c:v>0.90000000000000435</c:v>
                </c:pt>
                <c:pt idx="66">
                  <c:v>0.96000000000000441</c:v>
                </c:pt>
                <c:pt idx="67">
                  <c:v>1.0200000000000045</c:v>
                </c:pt>
                <c:pt idx="68">
                  <c:v>1.0800000000000045</c:v>
                </c:pt>
                <c:pt idx="69">
                  <c:v>1.1400000000000046</c:v>
                </c:pt>
                <c:pt idx="70">
                  <c:v>1.2000000000000046</c:v>
                </c:pt>
                <c:pt idx="71">
                  <c:v>1.2600000000000047</c:v>
                </c:pt>
                <c:pt idx="72">
                  <c:v>1.3200000000000047</c:v>
                </c:pt>
                <c:pt idx="73">
                  <c:v>1.3800000000000048</c:v>
                </c:pt>
                <c:pt idx="74">
                  <c:v>1.4400000000000048</c:v>
                </c:pt>
                <c:pt idx="75">
                  <c:v>1.5000000000000049</c:v>
                </c:pt>
                <c:pt idx="76">
                  <c:v>1.5600000000000049</c:v>
                </c:pt>
                <c:pt idx="77">
                  <c:v>1.620000000000005</c:v>
                </c:pt>
                <c:pt idx="78">
                  <c:v>1.680000000000005</c:v>
                </c:pt>
                <c:pt idx="79">
                  <c:v>1.7400000000000051</c:v>
                </c:pt>
                <c:pt idx="80">
                  <c:v>1.8000000000000052</c:v>
                </c:pt>
                <c:pt idx="81">
                  <c:v>1.8600000000000052</c:v>
                </c:pt>
                <c:pt idx="82">
                  <c:v>1.9200000000000053</c:v>
                </c:pt>
                <c:pt idx="83">
                  <c:v>1.9800000000000053</c:v>
                </c:pt>
                <c:pt idx="84">
                  <c:v>2.0400000000000054</c:v>
                </c:pt>
                <c:pt idx="85">
                  <c:v>2.1000000000000054</c:v>
                </c:pt>
                <c:pt idx="86">
                  <c:v>2.1600000000000055</c:v>
                </c:pt>
                <c:pt idx="87">
                  <c:v>2.2200000000000055</c:v>
                </c:pt>
                <c:pt idx="88">
                  <c:v>2.2800000000000056</c:v>
                </c:pt>
                <c:pt idx="89">
                  <c:v>2.3400000000000056</c:v>
                </c:pt>
                <c:pt idx="90">
                  <c:v>2.4000000000000057</c:v>
                </c:pt>
                <c:pt idx="91">
                  <c:v>2.4600000000000057</c:v>
                </c:pt>
                <c:pt idx="92">
                  <c:v>2.5200000000000058</c:v>
                </c:pt>
                <c:pt idx="93">
                  <c:v>2.5800000000000058</c:v>
                </c:pt>
                <c:pt idx="94">
                  <c:v>2.6400000000000059</c:v>
                </c:pt>
                <c:pt idx="95">
                  <c:v>2.700000000000006</c:v>
                </c:pt>
                <c:pt idx="96">
                  <c:v>2.760000000000006</c:v>
                </c:pt>
                <c:pt idx="97">
                  <c:v>2.8200000000000061</c:v>
                </c:pt>
                <c:pt idx="98">
                  <c:v>2.8800000000000061</c:v>
                </c:pt>
                <c:pt idx="99">
                  <c:v>2.9400000000000062</c:v>
                </c:pt>
                <c:pt idx="100">
                  <c:v>3.0000000000000062</c:v>
                </c:pt>
              </c:numCache>
            </c:numRef>
          </c:xVal>
          <c:yVal>
            <c:numRef>
              <c:f>Plan8!$C$6:$C$106</c:f>
              <c:numCache>
                <c:formatCode>0.000</c:formatCode>
                <c:ptCount val="101"/>
                <c:pt idx="1">
                  <c:v>1.0541885106753566E-3</c:v>
                </c:pt>
                <c:pt idx="2">
                  <c:v>1.4630461336729282E-3</c:v>
                </c:pt>
                <c:pt idx="3">
                  <c:v>2.0150676669271673E-3</c:v>
                </c:pt>
                <c:pt idx="4">
                  <c:v>2.7542605205686781E-3</c:v>
                </c:pt>
                <c:pt idx="5">
                  <c:v>3.7359024731808792E-3</c:v>
                </c:pt>
                <c:pt idx="6">
                  <c:v>5.0286563030072151E-3</c:v>
                </c:pt>
                <c:pt idx="7">
                  <c:v>6.7168311245589139E-3</c:v>
                </c:pt>
                <c:pt idx="8">
                  <c:v>8.9027136218082174E-3</c:v>
                </c:pt>
                <c:pt idx="9">
                  <c:v>1.1708858510972411E-2</c:v>
                </c:pt>
                <c:pt idx="10">
                  <c:v>1.5280189360088991E-2</c:v>
                </c:pt>
                <c:pt idx="11">
                  <c:v>1.9785719919662461E-2</c:v>
                </c:pt>
                <c:pt idx="12">
                  <c:v>2.5419664787843622E-2</c:v>
                </c:pt>
                <c:pt idx="13">
                  <c:v>3.2401669840814294E-2</c:v>
                </c:pt>
                <c:pt idx="14">
                  <c:v>4.0975861570240205E-2</c:v>
                </c:pt>
                <c:pt idx="15">
                  <c:v>5.1408395205274023E-2</c:v>
                </c:pt>
                <c:pt idx="16">
                  <c:v>6.3983179696946585E-2</c:v>
                </c:pt>
                <c:pt idx="17">
                  <c:v>7.8995478901869073E-2</c:v>
                </c:pt>
                <c:pt idx="18">
                  <c:v>9.6743137869523668E-2</c:v>
                </c:pt>
                <c:pt idx="19">
                  <c:v>0.11751526530356968</c:v>
                </c:pt>
                <c:pt idx="20">
                  <c:v>0.14157832066752454</c:v>
                </c:pt>
                <c:pt idx="21">
                  <c:v>0.16915970729430138</c:v>
                </c:pt>
                <c:pt idx="22">
                  <c:v>0.20042915843535314</c:v>
                </c:pt>
                <c:pt idx="23">
                  <c:v>0.23547841504574435</c:v>
                </c:pt>
                <c:pt idx="24">
                  <c:v>0.27429992193023289</c:v>
                </c:pt>
                <c:pt idx="25">
                  <c:v>0.31676549845529678</c:v>
                </c:pt>
                <c:pt idx="26">
                  <c:v>0.36260615366069615</c:v>
                </c:pt>
                <c:pt idx="27">
                  <c:v>0.41139439296404695</c:v>
                </c:pt>
                <c:pt idx="28">
                  <c:v>0.46253048314263673</c:v>
                </c:pt>
                <c:pt idx="29">
                  <c:v>0.51523418276673771</c:v>
                </c:pt>
                <c:pt idx="30">
                  <c:v>0.56854338815344252</c:v>
                </c:pt>
                <c:pt idx="31">
                  <c:v>0.62132097637737971</c:v>
                </c:pt>
                <c:pt idx="32">
                  <c:v>0.67227084001603832</c:v>
                </c:pt>
                <c:pt idx="33">
                  <c:v>0.71996370503164708</c:v>
                </c:pt>
                <c:pt idx="34">
                  <c:v>0.76287281553616626</c:v>
                </c:pt>
                <c:pt idx="35">
                  <c:v>0.79941897985117993</c:v>
                </c:pt>
                <c:pt idx="36">
                  <c:v>0.82802383418555225</c:v>
                </c:pt>
                <c:pt idx="37">
                  <c:v>0.8471695350493651</c:v>
                </c:pt>
                <c:pt idx="38">
                  <c:v>0.8554624869743539</c:v>
                </c:pt>
                <c:pt idx="39">
                  <c:v>0.85169819859800933</c:v>
                </c:pt>
                <c:pt idx="40">
                  <c:v>0.83492398645888177</c:v>
                </c:pt>
                <c:pt idx="41">
                  <c:v>0.80449605454596285</c:v>
                </c:pt>
                <c:pt idx="42">
                  <c:v>0.76012750072531288</c:v>
                </c:pt>
                <c:pt idx="43">
                  <c:v>0.70192405611153552</c:v>
                </c:pt>
                <c:pt idx="44">
                  <c:v>0.63040485039161909</c:v>
                </c:pt>
                <c:pt idx="45">
                  <c:v>0.54650619639919895</c:v>
                </c:pt>
                <c:pt idx="46">
                  <c:v>0.45156726371111688</c:v>
                </c:pt>
                <c:pt idx="47">
                  <c:v>0.34729751003838882</c:v>
                </c:pt>
                <c:pt idx="48">
                  <c:v>0.23572679428691642</c:v>
                </c:pt>
                <c:pt idx="49">
                  <c:v>0.11914013231296963</c:v>
                </c:pt>
                <c:pt idx="50">
                  <c:v>-6.4763009769800698E-15</c:v>
                </c:pt>
                <c:pt idx="51">
                  <c:v>-0.11914013231298166</c:v>
                </c:pt>
                <c:pt idx="52">
                  <c:v>-0.23572679428692844</c:v>
                </c:pt>
                <c:pt idx="53">
                  <c:v>-0.34729751003840093</c:v>
                </c:pt>
                <c:pt idx="54">
                  <c:v>-0.45156726371112715</c:v>
                </c:pt>
                <c:pt idx="55">
                  <c:v>-0.54650619639920728</c:v>
                </c:pt>
                <c:pt idx="56">
                  <c:v>-0.63040485039162741</c:v>
                </c:pt>
                <c:pt idx="57">
                  <c:v>-0.70192405611154296</c:v>
                </c:pt>
                <c:pt idx="58">
                  <c:v>-0.76012750072531843</c:v>
                </c:pt>
                <c:pt idx="59">
                  <c:v>-0.80449605454596662</c:v>
                </c:pt>
                <c:pt idx="60">
                  <c:v>-0.83492398645888366</c:v>
                </c:pt>
                <c:pt idx="61">
                  <c:v>-0.85169819859801121</c:v>
                </c:pt>
                <c:pt idx="62">
                  <c:v>-0.85546248697435301</c:v>
                </c:pt>
                <c:pt idx="63">
                  <c:v>-0.84716953504936232</c:v>
                </c:pt>
                <c:pt idx="64">
                  <c:v>-0.82802383418555037</c:v>
                </c:pt>
                <c:pt idx="65">
                  <c:v>-0.79941897985117671</c:v>
                </c:pt>
                <c:pt idx="66">
                  <c:v>-0.7628728155361616</c:v>
                </c:pt>
                <c:pt idx="67">
                  <c:v>-0.71996370503164242</c:v>
                </c:pt>
                <c:pt idx="68">
                  <c:v>-0.67227084001603321</c:v>
                </c:pt>
                <c:pt idx="69">
                  <c:v>-0.62132097637737449</c:v>
                </c:pt>
                <c:pt idx="70">
                  <c:v>-0.56854338815343719</c:v>
                </c:pt>
                <c:pt idx="71">
                  <c:v>-0.51523418276673216</c:v>
                </c:pt>
                <c:pt idx="72">
                  <c:v>-0.4625304831426314</c:v>
                </c:pt>
                <c:pt idx="73">
                  <c:v>-0.41139439296404207</c:v>
                </c:pt>
                <c:pt idx="74">
                  <c:v>-0.36260615366069132</c:v>
                </c:pt>
                <c:pt idx="75">
                  <c:v>-0.31676549845529178</c:v>
                </c:pt>
                <c:pt idx="76">
                  <c:v>-0.27429992193022851</c:v>
                </c:pt>
                <c:pt idx="77">
                  <c:v>-0.23547841504574069</c:v>
                </c:pt>
                <c:pt idx="78">
                  <c:v>-0.20042915843534992</c:v>
                </c:pt>
                <c:pt idx="79">
                  <c:v>-0.1691597072942983</c:v>
                </c:pt>
                <c:pt idx="80">
                  <c:v>-0.14157832066752188</c:v>
                </c:pt>
                <c:pt idx="81">
                  <c:v>-0.11751526530356739</c:v>
                </c:pt>
                <c:pt idx="82">
                  <c:v>-9.674313786952167E-2</c:v>
                </c:pt>
                <c:pt idx="83">
                  <c:v>-7.8995478901867422E-2</c:v>
                </c:pt>
                <c:pt idx="84">
                  <c:v>-6.3983179696945044E-2</c:v>
                </c:pt>
                <c:pt idx="85">
                  <c:v>-5.1408395205272781E-2</c:v>
                </c:pt>
                <c:pt idx="86">
                  <c:v>-4.0975861570239261E-2</c:v>
                </c:pt>
                <c:pt idx="87">
                  <c:v>-3.2401669840813503E-2</c:v>
                </c:pt>
                <c:pt idx="88">
                  <c:v>-2.5419664787842987E-2</c:v>
                </c:pt>
                <c:pt idx="89">
                  <c:v>-1.9785719919661944E-2</c:v>
                </c:pt>
                <c:pt idx="90">
                  <c:v>-1.5280189360088564E-2</c:v>
                </c:pt>
                <c:pt idx="91">
                  <c:v>-1.1708858510972071E-2</c:v>
                </c:pt>
                <c:pt idx="92">
                  <c:v>-8.9027136218079676E-3</c:v>
                </c:pt>
                <c:pt idx="93">
                  <c:v>-6.7168311245587196E-3</c:v>
                </c:pt>
                <c:pt idx="94">
                  <c:v>-5.0286563030070633E-3</c:v>
                </c:pt>
                <c:pt idx="95">
                  <c:v>-3.7359024731807634E-3</c:v>
                </c:pt>
                <c:pt idx="96">
                  <c:v>-2.7542605205685905E-3</c:v>
                </c:pt>
                <c:pt idx="97">
                  <c:v>-2.0150676669270996E-3</c:v>
                </c:pt>
                <c:pt idx="98">
                  <c:v>-1.4630461336728789E-3</c:v>
                </c:pt>
                <c:pt idx="99">
                  <c:v>-1.054188510675321E-3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4D-4DD0-B2CB-CC6DDA982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249408"/>
        <c:axId val="1"/>
      </c:scatterChart>
      <c:valAx>
        <c:axId val="82124940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821249408"/>
        <c:crosses val="autoZero"/>
        <c:crossBetween val="midCat"/>
      </c:valAx>
    </c:plotArea>
    <c:legend>
      <c:legendPos val="b"/>
      <c:layout/>
      <c:overlay val="0"/>
    </c:legend>
    <c:plotVisOnly val="0"/>
    <c:dispBlanksAs val="gap"/>
    <c:showDLblsOverMax val="0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Custo Total</c:v>
          </c:tx>
          <c:xVal>
            <c:numRef>
              <c:f>'BMC v.2'!$R$10:$R$22</c:f>
              <c:numCache>
                <c:formatCode>0%</c:formatCode>
                <c:ptCount val="13"/>
                <c:pt idx="0">
                  <c:v>0</c:v>
                </c:pt>
                <c:pt idx="1">
                  <c:v>5.000000074505806E-2</c:v>
                </c:pt>
                <c:pt idx="2">
                  <c:v>0.10000000149011612</c:v>
                </c:pt>
                <c:pt idx="3">
                  <c:v>0.15000000596046448</c:v>
                </c:pt>
                <c:pt idx="4">
                  <c:v>0.20000000298023224</c:v>
                </c:pt>
                <c:pt idx="5">
                  <c:v>0.25</c:v>
                </c:pt>
                <c:pt idx="6">
                  <c:v>0.30000001192092896</c:v>
                </c:pt>
                <c:pt idx="7">
                  <c:v>0.34999999403953552</c:v>
                </c:pt>
                <c:pt idx="8">
                  <c:v>0.40000000596046448</c:v>
                </c:pt>
                <c:pt idx="9">
                  <c:v>0.45000001788139343</c:v>
                </c:pt>
                <c:pt idx="10">
                  <c:v>0.5</c:v>
                </c:pt>
                <c:pt idx="11">
                  <c:v>0.55000001192092896</c:v>
                </c:pt>
                <c:pt idx="12">
                  <c:v>0.60000002384185791</c:v>
                </c:pt>
              </c:numCache>
            </c:numRef>
          </c:xVal>
          <c:yVal>
            <c:numRef>
              <c:f>'BMC v.2'!$T$10:$T$22</c:f>
              <c:numCache>
                <c:formatCode>[$$-409]#,##0</c:formatCode>
                <c:ptCount val="13"/>
                <c:pt idx="0">
                  <c:v>22350.000000554814</c:v>
                </c:pt>
                <c:pt idx="1">
                  <c:v>22299.999999255786</c:v>
                </c:pt>
                <c:pt idx="2">
                  <c:v>22249.999998511015</c:v>
                </c:pt>
                <c:pt idx="3">
                  <c:v>22199.999994038426</c:v>
                </c:pt>
                <c:pt idx="4">
                  <c:v>22150.000000007833</c:v>
                </c:pt>
                <c:pt idx="5">
                  <c:v>22150</c:v>
                </c:pt>
                <c:pt idx="6">
                  <c:v>22150</c:v>
                </c:pt>
                <c:pt idx="7">
                  <c:v>22150</c:v>
                </c:pt>
                <c:pt idx="8">
                  <c:v>22150</c:v>
                </c:pt>
                <c:pt idx="9">
                  <c:v>22150</c:v>
                </c:pt>
                <c:pt idx="10">
                  <c:v>22150</c:v>
                </c:pt>
                <c:pt idx="11">
                  <c:v>22150</c:v>
                </c:pt>
                <c:pt idx="12">
                  <c:v>22150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F3-470C-9C2A-D54847FAC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610512"/>
        <c:axId val="1"/>
      </c:scatterChart>
      <c:scatterChart>
        <c:scatterStyle val="smoothMarker"/>
        <c:varyColors val="0"/>
        <c:ser>
          <c:idx val="0"/>
          <c:order val="0"/>
          <c:tx>
            <c:v>Capacidade</c:v>
          </c:tx>
          <c:xVal>
            <c:numRef>
              <c:f>'BMC v.2'!$R$10:$R$22</c:f>
              <c:numCache>
                <c:formatCode>0%</c:formatCode>
                <c:ptCount val="13"/>
                <c:pt idx="0">
                  <c:v>0</c:v>
                </c:pt>
                <c:pt idx="1">
                  <c:v>5.000000074505806E-2</c:v>
                </c:pt>
                <c:pt idx="2">
                  <c:v>0.10000000149011612</c:v>
                </c:pt>
                <c:pt idx="3">
                  <c:v>0.15000000596046448</c:v>
                </c:pt>
                <c:pt idx="4">
                  <c:v>0.20000000298023224</c:v>
                </c:pt>
                <c:pt idx="5">
                  <c:v>0.25</c:v>
                </c:pt>
                <c:pt idx="6">
                  <c:v>0.30000001192092896</c:v>
                </c:pt>
                <c:pt idx="7">
                  <c:v>0.34999999403953552</c:v>
                </c:pt>
                <c:pt idx="8">
                  <c:v>0.40000000596046448</c:v>
                </c:pt>
                <c:pt idx="9">
                  <c:v>0.45000001788139343</c:v>
                </c:pt>
                <c:pt idx="10">
                  <c:v>0.5</c:v>
                </c:pt>
                <c:pt idx="11">
                  <c:v>0.55000001192092896</c:v>
                </c:pt>
                <c:pt idx="12">
                  <c:v>0.60000002384185791</c:v>
                </c:pt>
              </c:numCache>
            </c:numRef>
          </c:xVal>
          <c:yVal>
            <c:numRef>
              <c:f>'BMC v.2'!$S$10:$S$22</c:f>
              <c:numCache>
                <c:formatCode>General</c:formatCode>
                <c:ptCount val="13"/>
                <c:pt idx="0">
                  <c:v>500</c:v>
                </c:pt>
                <c:pt idx="1">
                  <c:v>525.00000037252903</c:v>
                </c:pt>
                <c:pt idx="2">
                  <c:v>550.00000074505806</c:v>
                </c:pt>
                <c:pt idx="3">
                  <c:v>575.00000298023224</c:v>
                </c:pt>
                <c:pt idx="4">
                  <c:v>600.00000149011612</c:v>
                </c:pt>
                <c:pt idx="5">
                  <c:v>625</c:v>
                </c:pt>
                <c:pt idx="6">
                  <c:v>650.00000596046448</c:v>
                </c:pt>
                <c:pt idx="7">
                  <c:v>674.99999701976776</c:v>
                </c:pt>
                <c:pt idx="8">
                  <c:v>700.00000298023224</c:v>
                </c:pt>
                <c:pt idx="9">
                  <c:v>725.00000894069672</c:v>
                </c:pt>
                <c:pt idx="10">
                  <c:v>750</c:v>
                </c:pt>
                <c:pt idx="11">
                  <c:v>775.00000596046448</c:v>
                </c:pt>
                <c:pt idx="12">
                  <c:v>800.00001192092896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F3-470C-9C2A-D54847FAC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83461051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[$$-409]#,##0" sourceLinked="1"/>
        <c:majorTickMark val="out"/>
        <c:minorTickMark val="none"/>
        <c:tickLblPos val="nextTo"/>
        <c:crossAx val="834610512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'BMC v.3'!$G$20</c:f>
              <c:strCache>
                <c:ptCount val="1"/>
                <c:pt idx="0">
                  <c:v>Custo Tot.</c:v>
                </c:pt>
              </c:strCache>
            </c:strRef>
          </c:tx>
          <c:xVal>
            <c:numRef>
              <c:f>'BMC v.3'!$E$21:$E$33</c:f>
              <c:numCache>
                <c:formatCode>General</c:formatCode>
                <c:ptCount val="13"/>
                <c:pt idx="0">
                  <c:v>120</c:v>
                </c:pt>
                <c:pt idx="1">
                  <c:v>130</c:v>
                </c:pt>
                <c:pt idx="2">
                  <c:v>140</c:v>
                </c:pt>
                <c:pt idx="3">
                  <c:v>150</c:v>
                </c:pt>
                <c:pt idx="4">
                  <c:v>160</c:v>
                </c:pt>
                <c:pt idx="5">
                  <c:v>170</c:v>
                </c:pt>
                <c:pt idx="6">
                  <c:v>180</c:v>
                </c:pt>
                <c:pt idx="7">
                  <c:v>190</c:v>
                </c:pt>
                <c:pt idx="8">
                  <c:v>200</c:v>
                </c:pt>
                <c:pt idx="9">
                  <c:v>210</c:v>
                </c:pt>
                <c:pt idx="10">
                  <c:v>220</c:v>
                </c:pt>
                <c:pt idx="11">
                  <c:v>230</c:v>
                </c:pt>
                <c:pt idx="12">
                  <c:v>220</c:v>
                </c:pt>
              </c:numCache>
            </c:numRef>
          </c:xVal>
          <c:yVal>
            <c:numRef>
              <c:f>'BMC v.3'!$G$21:$G$33</c:f>
              <c:numCache>
                <c:formatCode>General</c:formatCode>
                <c:ptCount val="13"/>
                <c:pt idx="2" formatCode="[$$-409]#,##0">
                  <c:v>23950.000000005864</c:v>
                </c:pt>
                <c:pt idx="3" formatCode="[$$-409]#,##0">
                  <c:v>23400.000000004107</c:v>
                </c:pt>
                <c:pt idx="4" formatCode="[$$-409]#,##0">
                  <c:v>22850.000000004307</c:v>
                </c:pt>
                <c:pt idx="5" formatCode="[$$-409]#,##0">
                  <c:v>22550.000000001324</c:v>
                </c:pt>
                <c:pt idx="6" formatCode="[$$-409]#,##0">
                  <c:v>22499.999999986463</c:v>
                </c:pt>
                <c:pt idx="7" formatCode="[$$-409]#,##0">
                  <c:v>22449.999999993372</c:v>
                </c:pt>
                <c:pt idx="8" formatCode="[$$-409]#,##0">
                  <c:v>22400.000000005755</c:v>
                </c:pt>
                <c:pt idx="9" formatCode="[$$-409]#,##0">
                  <c:v>22349.999999994936</c:v>
                </c:pt>
                <c:pt idx="10" formatCode="[$$-409]#,##0">
                  <c:v>22350</c:v>
                </c:pt>
                <c:pt idx="11" formatCode="[$$-409]#,##0">
                  <c:v>22350</c:v>
                </c:pt>
                <c:pt idx="12" formatCode="[$$-409]#,##0">
                  <c:v>22350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93-4670-9446-EC6D7FECE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559744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'BMC v.3'!$F$20</c:f>
              <c:strCache>
                <c:ptCount val="1"/>
                <c:pt idx="0">
                  <c:v>No Limite</c:v>
                </c:pt>
              </c:strCache>
            </c:strRef>
          </c:tx>
          <c:xVal>
            <c:numRef>
              <c:f>'BMC v.3'!$E$21:$E$33</c:f>
              <c:numCache>
                <c:formatCode>General</c:formatCode>
                <c:ptCount val="13"/>
                <c:pt idx="0">
                  <c:v>120</c:v>
                </c:pt>
                <c:pt idx="1">
                  <c:v>130</c:v>
                </c:pt>
                <c:pt idx="2">
                  <c:v>140</c:v>
                </c:pt>
                <c:pt idx="3">
                  <c:v>150</c:v>
                </c:pt>
                <c:pt idx="4">
                  <c:v>160</c:v>
                </c:pt>
                <c:pt idx="5">
                  <c:v>170</c:v>
                </c:pt>
                <c:pt idx="6">
                  <c:v>180</c:v>
                </c:pt>
                <c:pt idx="7">
                  <c:v>190</c:v>
                </c:pt>
                <c:pt idx="8">
                  <c:v>200</c:v>
                </c:pt>
                <c:pt idx="9">
                  <c:v>210</c:v>
                </c:pt>
                <c:pt idx="10">
                  <c:v>220</c:v>
                </c:pt>
                <c:pt idx="11">
                  <c:v>230</c:v>
                </c:pt>
                <c:pt idx="12">
                  <c:v>220</c:v>
                </c:pt>
              </c:numCache>
            </c:numRef>
          </c:xVal>
          <c:yVal>
            <c:numRef>
              <c:f>'BMC v.3'!$F$21:$F$33</c:f>
              <c:numCache>
                <c:formatCode>General</c:formatCode>
                <c:ptCount val="13"/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93-4670-9446-EC6D7FECE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830559744"/>
        <c:scaling>
          <c:orientation val="minMax"/>
          <c:min val="13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0559744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'Mountain Bike'!$I$5</c:f>
              <c:strCache>
                <c:ptCount val="1"/>
                <c:pt idx="0">
                  <c:v>V(x,y)</c:v>
                </c:pt>
              </c:strCache>
            </c:strRef>
          </c:tx>
          <c:marker>
            <c:symbol val="none"/>
          </c:marker>
          <c:xVal>
            <c:numRef>
              <c:f>'Mountain Bike'!$F$6:$F$96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'Mountain Bike'!$I$6:$I$96</c:f>
              <c:numCache>
                <c:formatCode>General</c:formatCode>
                <c:ptCount val="91"/>
                <c:pt idx="0">
                  <c:v>-4.5355371900826462</c:v>
                </c:pt>
                <c:pt idx="1">
                  <c:v>-4.5344231775275352</c:v>
                </c:pt>
                <c:pt idx="2">
                  <c:v>-4.531082499136704</c:v>
                </c:pt>
                <c:pt idx="3">
                  <c:v>-4.5255192234959791</c:v>
                </c:pt>
                <c:pt idx="4">
                  <c:v>-4.5177401291053787</c:v>
                </c:pt>
                <c:pt idx="5">
                  <c:v>-4.5077546935931405</c:v>
                </c:pt>
                <c:pt idx="6">
                  <c:v>-4.4955750826742955</c:v>
                </c:pt>
                <c:pt idx="7">
                  <c:v>-4.4812161353286255</c:v>
                </c:pt>
                <c:pt idx="8">
                  <c:v>-4.4646953457216458</c:v>
                </c:pt>
                <c:pt idx="9">
                  <c:v>-4.4460328418906547</c:v>
                </c:pt>
                <c:pt idx="10">
                  <c:v>-4.4252513612218358</c:v>
                </c:pt>
                <c:pt idx="11">
                  <c:v>-4.4023762227482424</c:v>
                </c:pt>
                <c:pt idx="12">
                  <c:v>-4.3774352963024601</c:v>
                </c:pt>
                <c:pt idx="13">
                  <c:v>-4.3504589685615054</c:v>
                </c:pt>
                <c:pt idx="14">
                  <c:v>-4.3214801060253469</c:v>
                </c:pt>
                <c:pt idx="15">
                  <c:v>-4.290534014974134</c:v>
                </c:pt>
                <c:pt idx="16">
                  <c:v>-4.257658398452933</c:v>
                </c:pt>
                <c:pt idx="17">
                  <c:v>-4.2228933103363735</c:v>
                </c:pt>
                <c:pt idx="18">
                  <c:v>-4.1862811065291741</c:v>
                </c:pt>
                <c:pt idx="19">
                  <c:v>-4.1478663933619977</c:v>
                </c:pt>
                <c:pt idx="20">
                  <c:v>-4.1076959732455052</c:v>
                </c:pt>
                <c:pt idx="21">
                  <c:v>-4.0658187876488272</c:v>
                </c:pt>
                <c:pt idx="22">
                  <c:v>-4.02228585747193</c:v>
                </c:pt>
                <c:pt idx="23">
                  <c:v>-3.9771502208845004</c:v>
                </c:pt>
                <c:pt idx="24">
                  <c:v>-3.9304668687071063</c:v>
                </c:pt>
                <c:pt idx="25">
                  <c:v>-3.8822926774133579</c:v>
                </c:pt>
                <c:pt idx="26">
                  <c:v>-3.8326863398346824</c:v>
                </c:pt>
                <c:pt idx="27">
                  <c:v>-3.781708293652148</c:v>
                </c:pt>
                <c:pt idx="28">
                  <c:v>-3.7294206477624612</c:v>
                </c:pt>
                <c:pt idx="29">
                  <c:v>-3.6758871066078438</c:v>
                </c:pt>
                <c:pt idx="30">
                  <c:v>-3.6211728925619848</c:v>
                </c:pt>
                <c:pt idx="31">
                  <c:v>-3.5653446664666197</c:v>
                </c:pt>
                <c:pt idx="32">
                  <c:v>-3.5084704464155663</c:v>
                </c:pt>
                <c:pt idx="33">
                  <c:v>-3.4506195248851559</c:v>
                </c:pt>
                <c:pt idx="34">
                  <c:v>-3.3918623843120197</c:v>
                </c:pt>
                <c:pt idx="35">
                  <c:v>-3.3322706112211051</c:v>
                </c:pt>
                <c:pt idx="36">
                  <c:v>-3.2719168090085131</c:v>
                </c:pt>
                <c:pt idx="37">
                  <c:v>-3.2108745094854489</c:v>
                </c:pt>
                <c:pt idx="38">
                  <c:v>-3.1492180832910375</c:v>
                </c:pt>
                <c:pt idx="39">
                  <c:v>-3.0870226492831501</c:v>
                </c:pt>
                <c:pt idx="40">
                  <c:v>-3.0243639830176541</c:v>
                </c:pt>
                <c:pt idx="41">
                  <c:v>-2.961318424427569</c:v>
                </c:pt>
                <c:pt idx="42">
                  <c:v>-2.8979627848146072</c:v>
                </c:pt>
                <c:pt idx="43">
                  <c:v>-2.8343742532664549</c:v>
                </c:pt>
                <c:pt idx="44">
                  <c:v>-2.7706303026137373</c:v>
                </c:pt>
                <c:pt idx="45">
                  <c:v>-2.7068085950413234</c:v>
                </c:pt>
                <c:pt idx="46">
                  <c:v>-2.6429868874689095</c:v>
                </c:pt>
                <c:pt idx="47">
                  <c:v>-2.5792429368161924</c:v>
                </c:pt>
                <c:pt idx="48">
                  <c:v>-2.5156544052680383</c:v>
                </c:pt>
                <c:pt idx="49">
                  <c:v>-2.4522987656550788</c:v>
                </c:pt>
                <c:pt idx="50">
                  <c:v>-2.3892532070649919</c:v>
                </c:pt>
                <c:pt idx="51">
                  <c:v>-2.3265945407994968</c:v>
                </c:pt>
                <c:pt idx="52">
                  <c:v>-2.2643991067916094</c:v>
                </c:pt>
                <c:pt idx="53">
                  <c:v>-2.2027426805971975</c:v>
                </c:pt>
                <c:pt idx="54">
                  <c:v>-2.1417003810741333</c:v>
                </c:pt>
                <c:pt idx="55">
                  <c:v>-2.0813465788615413</c:v>
                </c:pt>
                <c:pt idx="56">
                  <c:v>-2.0217548057706267</c:v>
                </c:pt>
                <c:pt idx="57">
                  <c:v>-1.9629976651974914</c:v>
                </c:pt>
                <c:pt idx="58">
                  <c:v>-1.9051467436670799</c:v>
                </c:pt>
                <c:pt idx="59">
                  <c:v>-1.8482725236160278</c:v>
                </c:pt>
                <c:pt idx="60">
                  <c:v>-1.792444297520662</c:v>
                </c:pt>
                <c:pt idx="61">
                  <c:v>-1.7377300834748031</c:v>
                </c:pt>
                <c:pt idx="62">
                  <c:v>-1.6841965423201866</c:v>
                </c:pt>
                <c:pt idx="63">
                  <c:v>-1.6319088964304995</c:v>
                </c:pt>
                <c:pt idx="64">
                  <c:v>-1.5809308502479642</c:v>
                </c:pt>
                <c:pt idx="65">
                  <c:v>-1.531324512669288</c:v>
                </c:pt>
                <c:pt idx="66">
                  <c:v>-1.4831503213755397</c:v>
                </c:pt>
                <c:pt idx="67">
                  <c:v>-1.4364669691981469</c:v>
                </c:pt>
                <c:pt idx="68">
                  <c:v>-1.3913313326107157</c:v>
                </c:pt>
                <c:pt idx="69">
                  <c:v>-1.3477984024338192</c:v>
                </c:pt>
                <c:pt idx="70">
                  <c:v>-1.3059212168371421</c:v>
                </c:pt>
                <c:pt idx="71">
                  <c:v>-1.2657507967206487</c:v>
                </c:pt>
                <c:pt idx="72">
                  <c:v>-1.2273360835534719</c:v>
                </c:pt>
                <c:pt idx="73">
                  <c:v>-1.1907238797462731</c:v>
                </c:pt>
                <c:pt idx="74">
                  <c:v>-1.1559587916297136</c:v>
                </c:pt>
                <c:pt idx="75">
                  <c:v>-1.1230831751085124</c:v>
                </c:pt>
                <c:pt idx="76">
                  <c:v>-1.0921370840572999</c:v>
                </c:pt>
                <c:pt idx="77">
                  <c:v>-1.0631582215211417</c:v>
                </c:pt>
                <c:pt idx="78">
                  <c:v>-1.0361818937801874</c:v>
                </c:pt>
                <c:pt idx="79">
                  <c:v>-1.0112408795722507</c:v>
                </c:pt>
                <c:pt idx="80">
                  <c:v>-0.98836577326135933</c:v>
                </c:pt>
                <c:pt idx="81">
                  <c:v>-0.96758178021711694</c:v>
                </c:pt>
                <c:pt idx="82">
                  <c:v>-0.94892184436100224</c:v>
                </c:pt>
                <c:pt idx="83">
                  <c:v>-0.93240105475402013</c:v>
                </c:pt>
                <c:pt idx="84">
                  <c:v>-0.91804210740835002</c:v>
                </c:pt>
                <c:pt idx="85">
                  <c:v>-0.90586249648950579</c:v>
                </c:pt>
                <c:pt idx="86">
                  <c:v>-0.89587706097726716</c:v>
                </c:pt>
                <c:pt idx="87">
                  <c:v>-0.88809796658666718</c:v>
                </c:pt>
                <c:pt idx="88">
                  <c:v>-0.88253469094594339</c:v>
                </c:pt>
                <c:pt idx="89">
                  <c:v>-0.87919401204950653</c:v>
                </c:pt>
                <c:pt idx="90">
                  <c:v>-0.8780800000000003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3-4882-99F1-5B9F331A1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563984"/>
        <c:axId val="1"/>
      </c:scatterChart>
      <c:valAx>
        <c:axId val="83456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456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'Mountain Bike'!$G$5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'Mountain Bike'!$F$6:$F$96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'Mountain Bike'!$G$6:$G$96</c:f>
              <c:numCache>
                <c:formatCode>General</c:formatCode>
                <c:ptCount val="91"/>
                <c:pt idx="0">
                  <c:v>9.0710743753969164E-4</c:v>
                </c:pt>
                <c:pt idx="1">
                  <c:v>9.0695970586060373E-4</c:v>
                </c:pt>
                <c:pt idx="2">
                  <c:v>9.0655485219890341E-4</c:v>
                </c:pt>
                <c:pt idx="3">
                  <c:v>9.058642768935087E-4</c:v>
                </c:pt>
                <c:pt idx="4">
                  <c:v>9.0489776989108957E-4</c:v>
                </c:pt>
                <c:pt idx="5">
                  <c:v>9.0365561930829134E-4</c:v>
                </c:pt>
                <c:pt idx="6">
                  <c:v>9.0213820856398078E-4</c:v>
                </c:pt>
                <c:pt idx="7">
                  <c:v>9.0034599625728564E-4</c:v>
                </c:pt>
                <c:pt idx="8">
                  <c:v>8.9827952959978046E-4</c:v>
                </c:pt>
                <c:pt idx="9">
                  <c:v>8.959394397231341E-4</c:v>
                </c:pt>
                <c:pt idx="10">
                  <c:v>8.9332643730128281E-4</c:v>
                </c:pt>
                <c:pt idx="11">
                  <c:v>8.9044131899156716E-4</c:v>
                </c:pt>
                <c:pt idx="12">
                  <c:v>8.8728496387136717E-4</c:v>
                </c:pt>
                <c:pt idx="13">
                  <c:v>8.8385833220873693E-4</c:v>
                </c:pt>
                <c:pt idx="14">
                  <c:v>8.8016246992286677E-4</c:v>
                </c:pt>
                <c:pt idx="15">
                  <c:v>8.7619850137733279E-4</c:v>
                </c:pt>
                <c:pt idx="16">
                  <c:v>8.7196763380406942E-4</c:v>
                </c:pt>
                <c:pt idx="17">
                  <c:v>8.6747115567476483E-4</c:v>
                </c:pt>
                <c:pt idx="18">
                  <c:v>8.6271043991770159E-4</c:v>
                </c:pt>
                <c:pt idx="19">
                  <c:v>8.576869327029332E-4</c:v>
                </c:pt>
                <c:pt idx="20">
                  <c:v>8.5240216531622343E-4</c:v>
                </c:pt>
                <c:pt idx="21">
                  <c:v>8.468577486628417E-4</c:v>
                </c:pt>
                <c:pt idx="22">
                  <c:v>8.4105537093861127E-4</c:v>
                </c:pt>
                <c:pt idx="23">
                  <c:v>8.3499679761316135E-4</c:v>
                </c:pt>
                <c:pt idx="24">
                  <c:v>8.2868387933800235E-4</c:v>
                </c:pt>
                <c:pt idx="25">
                  <c:v>8.2211853426906534E-4</c:v>
                </c:pt>
                <c:pt idx="26">
                  <c:v>8.1530276466627871E-4</c:v>
                </c:pt>
                <c:pt idx="27">
                  <c:v>8.0823864440936319E-4</c:v>
                </c:pt>
                <c:pt idx="28">
                  <c:v>8.0092832884185719E-4</c:v>
                </c:pt>
                <c:pt idx="29">
                  <c:v>7.9337404127361615E-4</c:v>
                </c:pt>
                <c:pt idx="30">
                  <c:v>7.8557808383785928E-4</c:v>
                </c:pt>
                <c:pt idx="31">
                  <c:v>7.7754283418960497E-4</c:v>
                </c:pt>
                <c:pt idx="32">
                  <c:v>7.6927073507709572E-4</c:v>
                </c:pt>
                <c:pt idx="33">
                  <c:v>7.6076431026108292E-4</c:v>
                </c:pt>
                <c:pt idx="34">
                  <c:v>7.5202614715800891E-4</c:v>
                </c:pt>
                <c:pt idx="35">
                  <c:v>7.4305891165036631E-4</c:v>
                </c:pt>
                <c:pt idx="36">
                  <c:v>7.3386533290591995E-4</c:v>
                </c:pt>
                <c:pt idx="37">
                  <c:v>7.2444821114462331E-4</c:v>
                </c:pt>
                <c:pt idx="38">
                  <c:v>7.1481041570846621E-4</c:v>
                </c:pt>
                <c:pt idx="39">
                  <c:v>7.0495488116794985E-4</c:v>
                </c:pt>
                <c:pt idx="40">
                  <c:v>6.9488461166128585E-4</c:v>
                </c:pt>
                <c:pt idx="41">
                  <c:v>6.8460267297578185E-4</c:v>
                </c:pt>
                <c:pt idx="42">
                  <c:v>6.7411219863812899E-4</c:v>
                </c:pt>
                <c:pt idx="43">
                  <c:v>6.6341638179723999E-4</c:v>
                </c:pt>
                <c:pt idx="44">
                  <c:v>6.5251848247034193E-4</c:v>
                </c:pt>
                <c:pt idx="45">
                  <c:v>6.4142182024224802E-4</c:v>
                </c:pt>
                <c:pt idx="46">
                  <c:v>6.3012977385825026E-4</c:v>
                </c:pt>
                <c:pt idx="47">
                  <c:v>6.1864578499191763E-4</c:v>
                </c:pt>
                <c:pt idx="48">
                  <c:v>6.0697334882707597E-4</c:v>
                </c:pt>
                <c:pt idx="49">
                  <c:v>5.9511602483467384E-4</c:v>
                </c:pt>
                <c:pt idx="50">
                  <c:v>5.8307742162638234E-4</c:v>
                </c:pt>
                <c:pt idx="51">
                  <c:v>5.7086120679364133E-4</c:v>
                </c:pt>
                <c:pt idx="52">
                  <c:v>5.5847110256799831E-4</c:v>
                </c:pt>
                <c:pt idx="53">
                  <c:v>5.4591088315411747E-4</c:v>
                </c:pt>
                <c:pt idx="54">
                  <c:v>5.3318437358038171E-4</c:v>
                </c:pt>
                <c:pt idx="55">
                  <c:v>5.2029545118914783E-4</c:v>
                </c:pt>
                <c:pt idx="56">
                  <c:v>5.0724804142935037E-4</c:v>
                </c:pt>
                <c:pt idx="57">
                  <c:v>4.940461191534325E-4</c:v>
                </c:pt>
                <c:pt idx="58">
                  <c:v>4.8069370606759418E-4</c:v>
                </c:pt>
                <c:pt idx="59">
                  <c:v>4.671948685507182E-4</c:v>
                </c:pt>
                <c:pt idx="60">
                  <c:v>4.5355371919348578E-4</c:v>
                </c:pt>
                <c:pt idx="61">
                  <c:v>4.3977441140656949E-4</c:v>
                </c:pt>
                <c:pt idx="62">
                  <c:v>4.2586114662610441E-4</c:v>
                </c:pt>
                <c:pt idx="63">
                  <c:v>4.1181815924019432E-4</c:v>
                </c:pt>
                <c:pt idx="64">
                  <c:v>3.9764972753813437E-4</c:v>
                </c:pt>
                <c:pt idx="65">
                  <c:v>3.8336016811050307E-4</c:v>
                </c:pt>
                <c:pt idx="66">
                  <c:v>3.6895383420629507E-4</c:v>
                </c:pt>
                <c:pt idx="67">
                  <c:v>3.54435112298457E-4</c:v>
                </c:pt>
                <c:pt idx="68">
                  <c:v>3.3980842623972189E-4</c:v>
                </c:pt>
                <c:pt idx="69">
                  <c:v>3.2507823162671918E-4</c:v>
                </c:pt>
                <c:pt idx="70">
                  <c:v>3.10249014553163E-4</c:v>
                </c:pt>
                <c:pt idx="71">
                  <c:v>2.9532529380795044E-4</c:v>
                </c:pt>
                <c:pt idx="72">
                  <c:v>2.8031161411000703E-4</c:v>
                </c:pt>
                <c:pt idx="73">
                  <c:v>2.6521254750729338E-4</c:v>
                </c:pt>
                <c:pt idx="74">
                  <c:v>2.5003269564623015E-4</c:v>
                </c:pt>
                <c:pt idx="75">
                  <c:v>2.3477668069222577E-4</c:v>
                </c:pt>
                <c:pt idx="76">
                  <c:v>2.1944914973248138E-4</c:v>
                </c:pt>
                <c:pt idx="77">
                  <c:v>2.0405477291449701E-4</c:v>
                </c:pt>
                <c:pt idx="78">
                  <c:v>1.8859824071272774E-4</c:v>
                </c:pt>
                <c:pt idx="79">
                  <c:v>1.7307402673025346E-4</c:v>
                </c:pt>
                <c:pt idx="80">
                  <c:v>1.5750922535511343E-4</c:v>
                </c:pt>
                <c:pt idx="81">
                  <c:v>1.41878093592998E-4</c:v>
                </c:pt>
                <c:pt idx="82">
                  <c:v>1.262449543353758E-4</c:v>
                </c:pt>
                <c:pt idx="83">
                  <c:v>1.1054858737551312E-4</c:v>
                </c:pt>
                <c:pt idx="84">
                  <c:v>9.4818545533791222E-5</c:v>
                </c:pt>
                <c:pt idx="85">
                  <c:v>7.9059622251505805E-5</c:v>
                </c:pt>
                <c:pt idx="86">
                  <c:v>6.3276616144948886E-5</c:v>
                </c:pt>
                <c:pt idx="87">
                  <c:v>4.7474334671415899E-5</c:v>
                </c:pt>
                <c:pt idx="88">
                  <c:v>3.1657592992488262E-5</c:v>
                </c:pt>
                <c:pt idx="89">
                  <c:v>1.5831207702844349E-5</c:v>
                </c:pt>
                <c:pt idx="9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1F-47EE-B96B-85ECE0CB7B02}"/>
            </c:ext>
          </c:extLst>
        </c:ser>
        <c:ser>
          <c:idx val="1"/>
          <c:order val="1"/>
          <c:tx>
            <c:strRef>
              <c:f>'Mountain Bike'!$H$5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'Mountain Bike'!$F$6:$F$96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'Mountain Bike'!$H$6:$H$96</c:f>
              <c:numCache>
                <c:formatCode>General</c:formatCode>
                <c:ptCount val="91"/>
                <c:pt idx="0">
                  <c:v>0</c:v>
                </c:pt>
                <c:pt idx="1">
                  <c:v>3.0648324526939341E-6</c:v>
                </c:pt>
                <c:pt idx="2">
                  <c:v>6.1289095247643694E-6</c:v>
                </c:pt>
                <c:pt idx="3">
                  <c:v>9.1910293646186271E-6</c:v>
                </c:pt>
                <c:pt idx="4">
                  <c:v>1.2250352871199398E-5</c:v>
                </c:pt>
                <c:pt idx="5">
                  <c:v>1.5305941467939978E-5</c:v>
                </c:pt>
                <c:pt idx="6">
                  <c:v>1.8356870572156554E-5</c:v>
                </c:pt>
                <c:pt idx="7">
                  <c:v>2.1402206102738842E-5</c:v>
                </c:pt>
                <c:pt idx="8">
                  <c:v>2.4441022076957834E-5</c:v>
                </c:pt>
                <c:pt idx="9">
                  <c:v>2.7472394517615317E-5</c:v>
                </c:pt>
                <c:pt idx="10">
                  <c:v>3.0495397874373363E-5</c:v>
                </c:pt>
                <c:pt idx="11">
                  <c:v>3.3509112041101671E-5</c:v>
                </c:pt>
                <c:pt idx="12">
                  <c:v>3.6512619234801353E-5</c:v>
                </c:pt>
                <c:pt idx="13">
                  <c:v>3.9505003357276034E-5</c:v>
                </c:pt>
                <c:pt idx="14">
                  <c:v>4.2485355083031511E-5</c:v>
                </c:pt>
                <c:pt idx="15">
                  <c:v>4.5452765138910026E-5</c:v>
                </c:pt>
                <c:pt idx="16">
                  <c:v>4.8406329362933984E-5</c:v>
                </c:pt>
                <c:pt idx="17">
                  <c:v>5.1345147611795688E-5</c:v>
                </c:pt>
                <c:pt idx="18">
                  <c:v>5.4268328455206538E-5</c:v>
                </c:pt>
                <c:pt idx="19">
                  <c:v>5.7174977026739845E-5</c:v>
                </c:pt>
                <c:pt idx="20">
                  <c:v>6.0064208952152814E-5</c:v>
                </c:pt>
                <c:pt idx="21">
                  <c:v>6.2935145510125142E-5</c:v>
                </c:pt>
                <c:pt idx="22">
                  <c:v>6.5786911408647836E-5</c:v>
                </c:pt>
                <c:pt idx="23">
                  <c:v>6.8618636220535618E-5</c:v>
                </c:pt>
                <c:pt idx="24">
                  <c:v>7.1429462102622955E-5</c:v>
                </c:pt>
                <c:pt idx="25">
                  <c:v>7.4218528189629973E-5</c:v>
                </c:pt>
                <c:pt idx="26">
                  <c:v>7.6984987277180724E-5</c:v>
                </c:pt>
                <c:pt idx="27">
                  <c:v>7.9727994725043157E-5</c:v>
                </c:pt>
                <c:pt idx="28">
                  <c:v>8.2446717998523256E-5</c:v>
                </c:pt>
                <c:pt idx="29">
                  <c:v>8.5140325837051691E-5</c:v>
                </c:pt>
                <c:pt idx="30">
                  <c:v>8.7807998591749446E-5</c:v>
                </c:pt>
                <c:pt idx="31">
                  <c:v>9.0448926436234787E-5</c:v>
                </c:pt>
                <c:pt idx="32">
                  <c:v>9.3062300826314174E-5</c:v>
                </c:pt>
                <c:pt idx="33">
                  <c:v>9.5647328734612002E-5</c:v>
                </c:pt>
                <c:pt idx="34">
                  <c:v>9.8203219358456334E-5</c:v>
                </c:pt>
                <c:pt idx="35">
                  <c:v>1.0072919909546497E-4</c:v>
                </c:pt>
                <c:pt idx="36">
                  <c:v>1.0322449455916418E-4</c:v>
                </c:pt>
                <c:pt idx="37">
                  <c:v>1.0568834691363578E-4</c:v>
                </c:pt>
                <c:pt idx="38">
                  <c:v>1.0812000530110455E-4</c:v>
                </c:pt>
                <c:pt idx="39">
                  <c:v>1.1051872878517475E-4</c:v>
                </c:pt>
                <c:pt idx="40">
                  <c:v>1.1288378844661161E-4</c:v>
                </c:pt>
                <c:pt idx="41">
                  <c:v>1.1521446178293719E-4</c:v>
                </c:pt>
                <c:pt idx="42">
                  <c:v>1.1751004063036583E-4</c:v>
                </c:pt>
                <c:pt idx="43">
                  <c:v>1.19769823324165E-4</c:v>
                </c:pt>
                <c:pt idx="44">
                  <c:v>1.219931233744062E-4</c:v>
                </c:pt>
                <c:pt idx="45">
                  <c:v>1.241792639836002E-4</c:v>
                </c:pt>
                <c:pt idx="46">
                  <c:v>1.2632757735945579E-4</c:v>
                </c:pt>
                <c:pt idx="47">
                  <c:v>1.2843741095036756E-4</c:v>
                </c:pt>
                <c:pt idx="48">
                  <c:v>1.3050812009128028E-4</c:v>
                </c:pt>
                <c:pt idx="49">
                  <c:v>1.325390777303178E-4</c:v>
                </c:pt>
                <c:pt idx="50">
                  <c:v>1.3452966103646042E-4</c:v>
                </c:pt>
                <c:pt idx="51">
                  <c:v>1.3647926413710821E-4</c:v>
                </c:pt>
                <c:pt idx="52">
                  <c:v>1.3838729520550922E-4</c:v>
                </c:pt>
                <c:pt idx="53">
                  <c:v>1.4025317335324334E-4</c:v>
                </c:pt>
                <c:pt idx="54">
                  <c:v>1.4207632741556058E-4</c:v>
                </c:pt>
                <c:pt idx="55">
                  <c:v>1.4385620494261007E-4</c:v>
                </c:pt>
                <c:pt idx="56">
                  <c:v>1.4559226157017201E-4</c:v>
                </c:pt>
                <c:pt idx="57">
                  <c:v>1.4728397001328281E-4</c:v>
                </c:pt>
                <c:pt idx="58">
                  <c:v>1.4893081448308265E-4</c:v>
                </c:pt>
                <c:pt idx="59">
                  <c:v>1.5053229270526179E-4</c:v>
                </c:pt>
                <c:pt idx="60">
                  <c:v>1.5208791723959512E-4</c:v>
                </c:pt>
                <c:pt idx="61">
                  <c:v>1.5359721360392188E-4</c:v>
                </c:pt>
                <c:pt idx="62">
                  <c:v>1.5505972443792627E-4</c:v>
                </c:pt>
                <c:pt idx="63">
                  <c:v>1.5647500170713421E-4</c:v>
                </c:pt>
                <c:pt idx="64">
                  <c:v>1.5784261502328965E-4</c:v>
                </c:pt>
                <c:pt idx="65">
                  <c:v>1.5916214787418207E-4</c:v>
                </c:pt>
                <c:pt idx="66">
                  <c:v>1.6043319910048694E-4</c:v>
                </c:pt>
                <c:pt idx="67">
                  <c:v>1.6165537990240318E-4</c:v>
                </c:pt>
                <c:pt idx="68">
                  <c:v>1.6282831885566058E-4</c:v>
                </c:pt>
                <c:pt idx="69">
                  <c:v>1.6395165922597631E-4</c:v>
                </c:pt>
                <c:pt idx="70">
                  <c:v>1.6502505785748235E-4</c:v>
                </c:pt>
                <c:pt idx="71">
                  <c:v>1.6604818945136521E-4</c:v>
                </c:pt>
                <c:pt idx="72">
                  <c:v>1.6702074115956209E-4</c:v>
                </c:pt>
                <c:pt idx="73">
                  <c:v>1.6794241555136049E-4</c:v>
                </c:pt>
                <c:pt idx="74">
                  <c:v>1.6881293399519963E-4</c:v>
                </c:pt>
                <c:pt idx="75">
                  <c:v>1.6963202966931029E-4</c:v>
                </c:pt>
                <c:pt idx="76">
                  <c:v>1.7039945307303133E-4</c:v>
                </c:pt>
                <c:pt idx="77">
                  <c:v>1.7111497162856283E-4</c:v>
                </c:pt>
                <c:pt idx="78">
                  <c:v>1.7177836857370694E-4</c:v>
                </c:pt>
                <c:pt idx="79">
                  <c:v>1.7233410213653424E-4</c:v>
                </c:pt>
                <c:pt idx="80">
                  <c:v>1.7290395970252244E-4</c:v>
                </c:pt>
                <c:pt idx="81">
                  <c:v>1.7315374784826509E-4</c:v>
                </c:pt>
                <c:pt idx="82">
                  <c:v>1.7390691644503595E-4</c:v>
                </c:pt>
                <c:pt idx="83">
                  <c:v>1.7430698448927466E-4</c:v>
                </c:pt>
                <c:pt idx="84">
                  <c:v>1.7465395622199819E-4</c:v>
                </c:pt>
                <c:pt idx="85">
                  <c:v>1.749477278601944E-4</c:v>
                </c:pt>
                <c:pt idx="86">
                  <c:v>1.7518820824728864E-4</c:v>
                </c:pt>
                <c:pt idx="87">
                  <c:v>1.7537532389510219E-4</c:v>
                </c:pt>
                <c:pt idx="88">
                  <c:v>1.7550901947205734E-4</c:v>
                </c:pt>
                <c:pt idx="89">
                  <c:v>1.7558925283421814E-4</c:v>
                </c:pt>
                <c:pt idx="90">
                  <c:v>1.7561599952316324E-4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1F-47EE-B96B-85ECE0CB7B02}"/>
            </c:ext>
          </c:extLst>
        </c:ser>
        <c:ser>
          <c:idx val="3"/>
          <c:order val="2"/>
          <c:tx>
            <c:strRef>
              <c:f>'Mountain Bike'!$J$5</c:f>
              <c:strCache>
                <c:ptCount val="1"/>
                <c:pt idx="0">
                  <c:v>z=raiz(x2+y2)</c:v>
                </c:pt>
              </c:strCache>
            </c:strRef>
          </c:tx>
          <c:marker>
            <c:symbol val="none"/>
          </c:marker>
          <c:xVal>
            <c:numRef>
              <c:f>'Mountain Bike'!$F$6:$F$96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'Mountain Bike'!$J$6:$J$96</c:f>
              <c:numCache>
                <c:formatCode>General</c:formatCode>
                <c:ptCount val="91"/>
                <c:pt idx="0">
                  <c:v>9.0710743753969164E-4</c:v>
                </c:pt>
                <c:pt idx="1">
                  <c:v>9.0696488424454229E-4</c:v>
                </c:pt>
                <c:pt idx="2">
                  <c:v>9.0657556970025308E-4</c:v>
                </c:pt>
                <c:pt idx="3">
                  <c:v>9.0591090244713395E-4</c:v>
                </c:pt>
                <c:pt idx="4">
                  <c:v>9.0498068769412755E-4</c:v>
                </c:pt>
                <c:pt idx="5">
                  <c:v>9.0378523452846451E-4</c:v>
                </c:pt>
                <c:pt idx="6">
                  <c:v>9.0232495368809977E-4</c:v>
                </c:pt>
                <c:pt idx="7">
                  <c:v>9.0060033722100523E-4</c:v>
                </c:pt>
                <c:pt idx="8">
                  <c:v>8.9861197235412409E-4</c:v>
                </c:pt>
                <c:pt idx="9">
                  <c:v>8.9636053690015543E-4</c:v>
                </c:pt>
                <c:pt idx="10">
                  <c:v>8.9384679496707883E-4</c:v>
                </c:pt>
                <c:pt idx="11">
                  <c:v>8.9107160383283736E-4</c:v>
                </c:pt>
                <c:pt idx="12">
                  <c:v>8.8803591057771915E-4</c:v>
                </c:pt>
                <c:pt idx="13">
                  <c:v>8.8474075112716965E-4</c:v>
                </c:pt>
                <c:pt idx="14">
                  <c:v>8.8118725527395851E-4</c:v>
                </c:pt>
                <c:pt idx="15">
                  <c:v>8.7737663957655992E-4</c:v>
                </c:pt>
                <c:pt idx="16">
                  <c:v>8.7331021242411939E-4</c:v>
                </c:pt>
                <c:pt idx="17">
                  <c:v>8.689893728412271E-4</c:v>
                </c:pt>
                <c:pt idx="18">
                  <c:v>8.6441561451440496E-4</c:v>
                </c:pt>
                <c:pt idx="19">
                  <c:v>8.5959051444706755E-4</c:v>
                </c:pt>
                <c:pt idx="20">
                  <c:v>8.5451574627553478E-4</c:v>
                </c:pt>
                <c:pt idx="21">
                  <c:v>8.4919307522534433E-4</c:v>
                </c:pt>
                <c:pt idx="22">
                  <c:v>8.4362435639173802E-4</c:v>
                </c:pt>
                <c:pt idx="23">
                  <c:v>8.3781153564569701E-4</c:v>
                </c:pt>
                <c:pt idx="24">
                  <c:v>8.3175665908422449E-4</c:v>
                </c:pt>
                <c:pt idx="25">
                  <c:v>8.2546185515464695E-4</c:v>
                </c:pt>
                <c:pt idx="26">
                  <c:v>8.1892935369209051E-4</c:v>
                </c:pt>
                <c:pt idx="27">
                  <c:v>8.1216147375972074E-4</c:v>
                </c:pt>
                <c:pt idx="28">
                  <c:v>8.0516063568094166E-4</c:v>
                </c:pt>
                <c:pt idx="29">
                  <c:v>7.9792934803180971E-4</c:v>
                </c:pt>
                <c:pt idx="30">
                  <c:v>7.9047022108555821E-4</c:v>
                </c:pt>
                <c:pt idx="31">
                  <c:v>7.8278596518657057E-4</c:v>
                </c:pt>
                <c:pt idx="32">
                  <c:v>7.7487938137567097E-4</c:v>
                </c:pt>
                <c:pt idx="33">
                  <c:v>7.6675338099097294E-4</c:v>
                </c:pt>
                <c:pt idx="34">
                  <c:v>7.5841096926513685E-4</c:v>
                </c:pt>
                <c:pt idx="35">
                  <c:v>7.4985526452338834E-4</c:v>
                </c:pt>
                <c:pt idx="36">
                  <c:v>7.4108948388039594E-4</c:v>
                </c:pt>
                <c:pt idx="37">
                  <c:v>7.3211695602818933E-4</c:v>
                </c:pt>
                <c:pt idx="38">
                  <c:v>7.2294112205048978E-4</c:v>
                </c:pt>
                <c:pt idx="39">
                  <c:v>7.135655358092972E-4</c:v>
                </c:pt>
                <c:pt idx="40">
                  <c:v>7.039938729972836E-4</c:v>
                </c:pt>
                <c:pt idx="41">
                  <c:v>6.94229927365219E-4</c:v>
                </c:pt>
                <c:pt idx="42">
                  <c:v>6.8427762348456384E-4</c:v>
                </c:pt>
                <c:pt idx="43">
                  <c:v>6.7414101359881897E-4</c:v>
                </c:pt>
                <c:pt idx="44">
                  <c:v>6.638242931047651E-4</c:v>
                </c:pt>
                <c:pt idx="45">
                  <c:v>6.5333180014934787E-4</c:v>
                </c:pt>
                <c:pt idx="46">
                  <c:v>6.4266802371376695E-4</c:v>
                </c:pt>
                <c:pt idx="47">
                  <c:v>6.318376182373914E-4</c:v>
                </c:pt>
                <c:pt idx="48">
                  <c:v>6.2084540394216929E-4</c:v>
                </c:pt>
                <c:pt idx="49">
                  <c:v>6.0969639177268174E-4</c:v>
                </c:pt>
                <c:pt idx="50">
                  <c:v>5.9839577982223017E-4</c:v>
                </c:pt>
                <c:pt idx="51">
                  <c:v>5.869489815659442E-4</c:v>
                </c:pt>
                <c:pt idx="52">
                  <c:v>5.7536163921294964E-4</c:v>
                </c:pt>
                <c:pt idx="53">
                  <c:v>5.6363964106666894E-4</c:v>
                </c:pt>
                <c:pt idx="54">
                  <c:v>5.5178914364292959E-4</c:v>
                </c:pt>
                <c:pt idx="55">
                  <c:v>5.3981660240178713E-4</c:v>
                </c:pt>
                <c:pt idx="56">
                  <c:v>5.2772879603355861E-4</c:v>
                </c:pt>
                <c:pt idx="57">
                  <c:v>5.1553286575488203E-4</c:v>
                </c:pt>
                <c:pt idx="58">
                  <c:v>5.0323635257758649E-4</c:v>
                </c:pt>
                <c:pt idx="59">
                  <c:v>4.908472433937318E-4</c:v>
                </c:pt>
                <c:pt idx="60">
                  <c:v>4.7837402810407809E-4</c:v>
                </c:pt>
                <c:pt idx="61">
                  <c:v>4.658257581487776E-4</c:v>
                </c:pt>
                <c:pt idx="62">
                  <c:v>4.532121295248683E-4</c:v>
                </c:pt>
                <c:pt idx="63">
                  <c:v>4.4054355339651687E-4</c:v>
                </c:pt>
                <c:pt idx="64">
                  <c:v>4.2783127156455371E-4</c:v>
                </c:pt>
                <c:pt idx="65">
                  <c:v>4.1508747007063001E-4</c:v>
                </c:pt>
                <c:pt idx="66">
                  <c:v>4.0232541946680768E-4</c:v>
                </c:pt>
                <c:pt idx="67">
                  <c:v>3.8955963687400946E-4</c:v>
                </c:pt>
                <c:pt idx="68">
                  <c:v>3.7680608801461419E-4</c:v>
                </c:pt>
                <c:pt idx="69">
                  <c:v>3.6408241270419195E-4</c:v>
                </c:pt>
                <c:pt idx="70">
                  <c:v>3.5140819676278775E-4</c:v>
                </c:pt>
                <c:pt idx="71">
                  <c:v>3.388052986345236E-4</c:v>
                </c:pt>
                <c:pt idx="72">
                  <c:v>3.2629822093055753E-4</c:v>
                </c:pt>
                <c:pt idx="73">
                  <c:v>3.1391455891139263E-4</c:v>
                </c:pt>
                <c:pt idx="74">
                  <c:v>3.0168552430666606E-4</c:v>
                </c:pt>
                <c:pt idx="75">
                  <c:v>2.8964653508472892E-4</c:v>
                </c:pt>
                <c:pt idx="76">
                  <c:v>2.778379076474217E-4</c:v>
                </c:pt>
                <c:pt idx="77">
                  <c:v>2.6630562116604074E-4</c:v>
                </c:pt>
                <c:pt idx="78">
                  <c:v>2.5510214485531145E-4</c:v>
                </c:pt>
                <c:pt idx="79">
                  <c:v>2.4424099059705334E-4</c:v>
                </c:pt>
                <c:pt idx="80">
                  <c:v>2.3389086205488966E-4</c:v>
                </c:pt>
                <c:pt idx="81">
                  <c:v>2.2385623474784899E-4</c:v>
                </c:pt>
                <c:pt idx="82">
                  <c:v>2.1489859022934943E-4</c:v>
                </c:pt>
                <c:pt idx="83">
                  <c:v>2.0640715833629826E-4</c:v>
                </c:pt>
                <c:pt idx="84">
                  <c:v>1.9873238538582305E-4</c:v>
                </c:pt>
                <c:pt idx="85">
                  <c:v>1.9198211206775343E-4</c:v>
                </c:pt>
                <c:pt idx="86">
                  <c:v>1.8626550528654139E-4</c:v>
                </c:pt>
                <c:pt idx="87">
                  <c:v>1.8168741476449492E-4</c:v>
                </c:pt>
                <c:pt idx="88">
                  <c:v>1.7834129950777258E-4</c:v>
                </c:pt>
                <c:pt idx="89">
                  <c:v>1.7630148283043334E-4</c:v>
                </c:pt>
                <c:pt idx="90">
                  <c:v>1.7561599952316324E-4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1F-47EE-B96B-85ECE0CB7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501248"/>
        <c:axId val="1"/>
      </c:scatterChart>
      <c:valAx>
        <c:axId val="83350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35012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</xdr:row>
      <xdr:rowOff>0</xdr:rowOff>
    </xdr:from>
    <xdr:to>
      <xdr:col>12</xdr:col>
      <xdr:colOff>542925</xdr:colOff>
      <xdr:row>24</xdr:row>
      <xdr:rowOff>9525</xdr:rowOff>
    </xdr:to>
    <xdr:graphicFrame macro="">
      <xdr:nvGraphicFramePr>
        <xdr:cNvPr id="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2</xdr:row>
      <xdr:rowOff>0</xdr:rowOff>
    </xdr:from>
    <xdr:to>
      <xdr:col>12</xdr:col>
      <xdr:colOff>409575</xdr:colOff>
      <xdr:row>26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0</xdr:row>
      <xdr:rowOff>190500</xdr:rowOff>
    </xdr:from>
    <xdr:to>
      <xdr:col>18</xdr:col>
      <xdr:colOff>9525</xdr:colOff>
      <xdr:row>23</xdr:row>
      <xdr:rowOff>9525</xdr:rowOff>
    </xdr:to>
    <xdr:graphicFrame macro="">
      <xdr:nvGraphicFramePr>
        <xdr:cNvPr id="2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1</xdr:row>
      <xdr:rowOff>0</xdr:rowOff>
    </xdr:from>
    <xdr:to>
      <xdr:col>19</xdr:col>
      <xdr:colOff>0</xdr:colOff>
      <xdr:row>107</xdr:row>
      <xdr:rowOff>161925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</xdr:row>
      <xdr:rowOff>0</xdr:rowOff>
    </xdr:from>
    <xdr:to>
      <xdr:col>16</xdr:col>
      <xdr:colOff>19050</xdr:colOff>
      <xdr:row>104</xdr:row>
      <xdr:rowOff>142875</xdr:rowOff>
    </xdr:to>
    <xdr:graphicFrame macro="">
      <xdr:nvGraphicFramePr>
        <xdr:cNvPr id="2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19</xdr:row>
      <xdr:rowOff>180975</xdr:rowOff>
    </xdr:from>
    <xdr:to>
      <xdr:col>13</xdr:col>
      <xdr:colOff>504825</xdr:colOff>
      <xdr:row>34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18</xdr:row>
      <xdr:rowOff>85725</xdr:rowOff>
    </xdr:from>
    <xdr:to>
      <xdr:col>15</xdr:col>
      <xdr:colOff>466725</xdr:colOff>
      <xdr:row>32</xdr:row>
      <xdr:rowOff>161925</xdr:rowOff>
    </xdr:to>
    <xdr:graphicFrame macro="">
      <xdr:nvGraphicFramePr>
        <xdr:cNvPr id="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18</xdr:col>
      <xdr:colOff>304800</xdr:colOff>
      <xdr:row>21</xdr:row>
      <xdr:rowOff>76200</xdr:rowOff>
    </xdr:to>
    <xdr:graphicFrame macro="">
      <xdr:nvGraphicFramePr>
        <xdr:cNvPr id="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24</xdr:row>
      <xdr:rowOff>0</xdr:rowOff>
    </xdr:from>
    <xdr:to>
      <xdr:col>18</xdr:col>
      <xdr:colOff>304800</xdr:colOff>
      <xdr:row>38</xdr:row>
      <xdr:rowOff>76200</xdr:rowOff>
    </xdr:to>
    <xdr:graphicFrame macro="">
      <xdr:nvGraphicFramePr>
        <xdr:cNvPr id="3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123825</xdr:rowOff>
        </xdr:from>
        <xdr:to>
          <xdr:col>14</xdr:col>
          <xdr:colOff>304800</xdr:colOff>
          <xdr:row>5</xdr:row>
          <xdr:rowOff>47625</xdr:rowOff>
        </xdr:to>
        <xdr:sp macro="" textlink="">
          <xdr:nvSpPr>
            <xdr:cNvPr id="8193" name="macro_0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8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E10"/>
  <sheetViews>
    <sheetView zoomScale="230" zoomScaleNormal="230" workbookViewId="0">
      <selection activeCell="E5" sqref="E5"/>
    </sheetView>
  </sheetViews>
  <sheetFormatPr defaultRowHeight="15" x14ac:dyDescent="0.25"/>
  <cols>
    <col min="2" max="2" width="9.42578125" bestFit="1" customWidth="1"/>
  </cols>
  <sheetData>
    <row r="1" spans="1:5" x14ac:dyDescent="0.25">
      <c r="A1" s="2" t="s">
        <v>90</v>
      </c>
      <c r="B1" s="43">
        <v>1E-4</v>
      </c>
    </row>
    <row r="3" spans="1:5" x14ac:dyDescent="0.25">
      <c r="B3" t="s">
        <v>96</v>
      </c>
      <c r="C3" t="s">
        <v>223</v>
      </c>
      <c r="E3" t="s">
        <v>222</v>
      </c>
    </row>
    <row r="4" spans="1:5" x14ac:dyDescent="0.25">
      <c r="B4" s="39">
        <v>19.999999999574786</v>
      </c>
      <c r="C4">
        <f>-(B4^2)+40*B4-100</f>
        <v>300</v>
      </c>
      <c r="E4">
        <f>(C10-C7)/(2*B1)</f>
        <v>1.1368683772161603E-9</v>
      </c>
    </row>
    <row r="6" spans="1:5" x14ac:dyDescent="0.25">
      <c r="B6" t="s">
        <v>221</v>
      </c>
      <c r="C6" t="s">
        <v>220</v>
      </c>
    </row>
    <row r="7" spans="1:5" x14ac:dyDescent="0.25">
      <c r="B7">
        <f>B4-B1</f>
        <v>19.999899999574787</v>
      </c>
      <c r="C7">
        <f>-(B7^2)+40*B7-100</f>
        <v>299.99999998999988</v>
      </c>
    </row>
    <row r="9" spans="1:5" x14ac:dyDescent="0.25">
      <c r="B9" t="s">
        <v>219</v>
      </c>
      <c r="C9" t="s">
        <v>218</v>
      </c>
    </row>
    <row r="10" spans="1:5" x14ac:dyDescent="0.25">
      <c r="B10">
        <f>B4+B1</f>
        <v>20.000099999574786</v>
      </c>
      <c r="C10">
        <f>-(B10^2)+40*B10-100</f>
        <v>299.99999999000011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C4"/>
  <sheetViews>
    <sheetView zoomScale="230" zoomScaleNormal="230" workbookViewId="0">
      <selection activeCell="E5" sqref="E5"/>
    </sheetView>
  </sheetViews>
  <sheetFormatPr defaultRowHeight="15" x14ac:dyDescent="0.25"/>
  <cols>
    <col min="2" max="2" width="9.42578125" bestFit="1" customWidth="1"/>
  </cols>
  <sheetData>
    <row r="1" spans="1:3" x14ac:dyDescent="0.25">
      <c r="A1" s="2" t="s">
        <v>90</v>
      </c>
      <c r="B1" s="43">
        <v>1E-4</v>
      </c>
    </row>
    <row r="3" spans="1:3" x14ac:dyDescent="0.25">
      <c r="B3" t="s">
        <v>96</v>
      </c>
      <c r="C3" t="s">
        <v>223</v>
      </c>
    </row>
    <row r="4" spans="1:3" x14ac:dyDescent="0.25">
      <c r="B4" s="151">
        <v>19.999999835936816</v>
      </c>
      <c r="C4" s="150">
        <f>-(B4^2)+40*B4-100</f>
        <v>300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W12"/>
  <sheetViews>
    <sheetView zoomScale="210" zoomScaleNormal="210" workbookViewId="0">
      <selection activeCell="E5" sqref="E5"/>
    </sheetView>
  </sheetViews>
  <sheetFormatPr defaultRowHeight="15" x14ac:dyDescent="0.25"/>
  <cols>
    <col min="1" max="1" width="9.42578125" bestFit="1" customWidth="1"/>
    <col min="3" max="3" width="5.28515625" customWidth="1"/>
    <col min="5" max="5" width="5.42578125" customWidth="1"/>
    <col min="7" max="7" width="5.28515625" customWidth="1"/>
  </cols>
  <sheetData>
    <row r="1" spans="1:23" x14ac:dyDescent="0.25">
      <c r="A1" s="24" t="s">
        <v>228</v>
      </c>
    </row>
    <row r="4" spans="1:23" x14ac:dyDescent="0.25">
      <c r="A4" s="2" t="s">
        <v>90</v>
      </c>
      <c r="B4" s="43">
        <v>1E-4</v>
      </c>
      <c r="C4" s="43"/>
      <c r="R4" s="2" t="s">
        <v>90</v>
      </c>
      <c r="S4" s="43">
        <v>0.1</v>
      </c>
    </row>
    <row r="6" spans="1:23" x14ac:dyDescent="0.25">
      <c r="A6" t="s">
        <v>96</v>
      </c>
      <c r="B6" t="s">
        <v>223</v>
      </c>
      <c r="D6" t="s">
        <v>222</v>
      </c>
      <c r="F6" t="s">
        <v>227</v>
      </c>
      <c r="H6" t="s">
        <v>74</v>
      </c>
      <c r="Q6" t="s">
        <v>96</v>
      </c>
      <c r="R6" t="s">
        <v>223</v>
      </c>
      <c r="S6" t="s">
        <v>219</v>
      </c>
      <c r="T6" t="s">
        <v>218</v>
      </c>
      <c r="U6" t="s">
        <v>221</v>
      </c>
      <c r="V6" t="s">
        <v>220</v>
      </c>
      <c r="W6" t="s">
        <v>222</v>
      </c>
    </row>
    <row r="7" spans="1:23" x14ac:dyDescent="0.25">
      <c r="A7" s="39">
        <f ca="1">A8-B4</f>
        <v>19.999898962258268</v>
      </c>
      <c r="B7">
        <f ca="1">-(A7^2)+40*A7-100</f>
        <v>299.99999998979138</v>
      </c>
    </row>
    <row r="8" spans="1:23" x14ac:dyDescent="0.25">
      <c r="A8" s="152">
        <f ca="1">IF(C11="n",C12,H8)</f>
        <v>19.999998980734254</v>
      </c>
      <c r="B8">
        <f ca="1">-(A8^2)+40*A8-100</f>
        <v>299.99999999999903</v>
      </c>
      <c r="D8">
        <f ca="1">(B9-B7)/(2*B4)</f>
        <v>2.0753532226081006E-6</v>
      </c>
      <c r="F8">
        <f ca="1">(B9-2*B8+B7)/(B4^2)</f>
        <v>-2.0000243239337578</v>
      </c>
      <c r="H8">
        <f ca="1">A8-D8/F8</f>
        <v>20.000000018398246</v>
      </c>
    </row>
    <row r="9" spans="1:23" x14ac:dyDescent="0.25">
      <c r="A9" s="39">
        <f ca="1">A8+$B$4</f>
        <v>20.000098980734254</v>
      </c>
      <c r="B9">
        <f ca="1">-(A9^2)+40*A9-100</f>
        <v>299.99999999020281</v>
      </c>
    </row>
    <row r="11" spans="1:23" x14ac:dyDescent="0.25">
      <c r="B11" s="2" t="s">
        <v>226</v>
      </c>
      <c r="C11" t="s">
        <v>225</v>
      </c>
    </row>
    <row r="12" spans="1:23" x14ac:dyDescent="0.25">
      <c r="B12" s="2" t="s">
        <v>224</v>
      </c>
      <c r="C12" s="43">
        <v>0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1:E7"/>
  <sheetViews>
    <sheetView zoomScale="250" zoomScaleNormal="250" workbookViewId="0">
      <selection activeCell="E5" sqref="E5"/>
    </sheetView>
  </sheetViews>
  <sheetFormatPr defaultRowHeight="15" x14ac:dyDescent="0.25"/>
  <sheetData>
    <row r="1" spans="2:5" x14ac:dyDescent="0.25">
      <c r="B1" s="155" t="s">
        <v>233</v>
      </c>
      <c r="E1" s="155" t="s">
        <v>232</v>
      </c>
    </row>
    <row r="2" spans="2:5" x14ac:dyDescent="0.25">
      <c r="B2" s="24" t="s">
        <v>96</v>
      </c>
      <c r="C2" s="24" t="s">
        <v>95</v>
      </c>
      <c r="D2" s="24"/>
      <c r="E2" s="24" t="s">
        <v>231</v>
      </c>
    </row>
    <row r="3" spans="2:5" x14ac:dyDescent="0.25">
      <c r="B3" s="156">
        <v>9.9999999700916611</v>
      </c>
      <c r="C3" s="156">
        <v>9.9999999700916611</v>
      </c>
      <c r="D3" s="154" t="s">
        <v>3</v>
      </c>
      <c r="E3" s="150">
        <f>B3+C3</f>
        <v>19.999999940183322</v>
      </c>
    </row>
    <row r="5" spans="2:5" x14ac:dyDescent="0.25">
      <c r="B5" s="155" t="s">
        <v>230</v>
      </c>
    </row>
    <row r="6" spans="2:5" x14ac:dyDescent="0.25">
      <c r="B6" s="24" t="s">
        <v>229</v>
      </c>
    </row>
    <row r="7" spans="2:5" x14ac:dyDescent="0.25">
      <c r="B7" s="153">
        <f>B3*C3</f>
        <v>99.999999401833222</v>
      </c>
      <c r="C7" s="154" t="s">
        <v>3</v>
      </c>
      <c r="D7" s="153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2:E9"/>
  <sheetViews>
    <sheetView zoomScale="264" zoomScaleNormal="8" workbookViewId="0">
      <selection activeCell="E5" sqref="E5"/>
    </sheetView>
  </sheetViews>
  <sheetFormatPr defaultRowHeight="15" x14ac:dyDescent="0.25"/>
  <sheetData>
    <row r="2" spans="2:5" x14ac:dyDescent="0.25">
      <c r="B2" t="s">
        <v>236</v>
      </c>
      <c r="C2" t="s">
        <v>235</v>
      </c>
      <c r="D2" t="s">
        <v>161</v>
      </c>
    </row>
    <row r="3" spans="2:5" x14ac:dyDescent="0.25">
      <c r="B3" s="163">
        <f>C3*D3</f>
        <v>253125.00000000032</v>
      </c>
      <c r="C3" s="162">
        <v>22.499999999999993</v>
      </c>
      <c r="D3" s="161">
        <v>11250.000000000018</v>
      </c>
      <c r="E3" s="158">
        <v>1</v>
      </c>
    </row>
    <row r="4" spans="2:5" x14ac:dyDescent="0.25">
      <c r="C4" s="160">
        <v>5</v>
      </c>
      <c r="D4" s="159">
        <v>20000</v>
      </c>
      <c r="E4" s="158">
        <v>1</v>
      </c>
    </row>
    <row r="5" spans="2:5" x14ac:dyDescent="0.25">
      <c r="C5" s="160">
        <v>6</v>
      </c>
      <c r="D5" s="159">
        <v>19500</v>
      </c>
      <c r="E5" s="158">
        <v>1</v>
      </c>
    </row>
    <row r="7" spans="2:5" x14ac:dyDescent="0.25">
      <c r="D7" t="s">
        <v>230</v>
      </c>
    </row>
    <row r="8" spans="2:5" x14ac:dyDescent="0.25">
      <c r="C8" s="1" t="s">
        <v>234</v>
      </c>
      <c r="D8" s="1" t="s">
        <v>3</v>
      </c>
      <c r="E8" s="1">
        <v>0</v>
      </c>
    </row>
    <row r="9" spans="2:5" x14ac:dyDescent="0.25">
      <c r="C9" s="3">
        <f>MDETERM(C3:E5)</f>
        <v>4.3715031594615513E-11</v>
      </c>
      <c r="D9" s="1" t="s">
        <v>3</v>
      </c>
      <c r="E9" s="157">
        <v>0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F19"/>
  <sheetViews>
    <sheetView zoomScale="215" zoomScaleNormal="215" workbookViewId="0">
      <selection activeCell="E5" sqref="E5"/>
    </sheetView>
  </sheetViews>
  <sheetFormatPr defaultRowHeight="15" x14ac:dyDescent="0.25"/>
  <sheetData>
    <row r="1" spans="1:6" x14ac:dyDescent="0.25">
      <c r="B1" s="24" t="s">
        <v>244</v>
      </c>
    </row>
    <row r="2" spans="1:6" x14ac:dyDescent="0.25">
      <c r="B2" s="155" t="s">
        <v>243</v>
      </c>
    </row>
    <row r="3" spans="1:6" x14ac:dyDescent="0.25">
      <c r="B3" s="155" t="s">
        <v>242</v>
      </c>
    </row>
    <row r="4" spans="1:6" x14ac:dyDescent="0.25">
      <c r="B4" s="155" t="s">
        <v>241</v>
      </c>
    </row>
    <row r="6" spans="1:6" x14ac:dyDescent="0.25">
      <c r="B6" s="2" t="s">
        <v>90</v>
      </c>
      <c r="C6" s="43">
        <v>1E-4</v>
      </c>
    </row>
    <row r="7" spans="1:6" x14ac:dyDescent="0.25">
      <c r="B7" s="2" t="s">
        <v>88</v>
      </c>
      <c r="C7" t="s">
        <v>89</v>
      </c>
    </row>
    <row r="8" spans="1:6" x14ac:dyDescent="0.25">
      <c r="B8" s="2" t="s">
        <v>240</v>
      </c>
      <c r="C8" s="43">
        <v>20</v>
      </c>
    </row>
    <row r="10" spans="1:6" x14ac:dyDescent="0.25">
      <c r="B10" t="s">
        <v>96</v>
      </c>
      <c r="C10" t="s">
        <v>239</v>
      </c>
      <c r="D10" t="s">
        <v>238</v>
      </c>
      <c r="E10" t="s">
        <v>237</v>
      </c>
      <c r="F10" t="s">
        <v>74</v>
      </c>
    </row>
    <row r="11" spans="1:6" x14ac:dyDescent="0.25">
      <c r="B11" s="10">
        <f>IF(C7="n",C8,F11)</f>
        <v>20</v>
      </c>
      <c r="C11" s="10">
        <f>f(B11)</f>
        <v>-6621</v>
      </c>
      <c r="D11" s="10">
        <f>(f(B11+$C$6)-f(B11-$C$6))/(2*$C$6)</f>
        <v>-1071.0000000062792</v>
      </c>
      <c r="E11" s="10">
        <f>(f(B11+$C$6)-2*f(B11)+f(B11-$C$6))/($C$6^2)</f>
        <v>-113.99997674743645</v>
      </c>
      <c r="F11" s="10">
        <f>B11-D11/E11</f>
        <v>10.605261241596148</v>
      </c>
    </row>
    <row r="12" spans="1:6" x14ac:dyDescent="0.25">
      <c r="A12" s="39"/>
      <c r="B12" s="39"/>
      <c r="C12" s="39"/>
      <c r="D12" s="39"/>
    </row>
    <row r="13" spans="1:6" x14ac:dyDescent="0.25">
      <c r="A13" s="39"/>
      <c r="B13" s="39"/>
      <c r="C13" s="39"/>
      <c r="D13" s="39"/>
    </row>
    <row r="14" spans="1:6" x14ac:dyDescent="0.25">
      <c r="A14" s="39"/>
      <c r="B14" s="39"/>
      <c r="C14" s="39"/>
      <c r="D14" s="39"/>
    </row>
    <row r="15" spans="1:6" x14ac:dyDescent="0.25">
      <c r="A15" s="39"/>
      <c r="B15" s="39"/>
      <c r="C15" s="39"/>
      <c r="D15" s="39"/>
    </row>
    <row r="16" spans="1:6" x14ac:dyDescent="0.25">
      <c r="A16" s="39"/>
      <c r="B16" s="39"/>
      <c r="C16" s="39"/>
      <c r="D16" s="39"/>
    </row>
    <row r="17" spans="1:4" x14ac:dyDescent="0.25">
      <c r="A17" s="39"/>
      <c r="B17" s="39"/>
      <c r="C17" s="39"/>
      <c r="D17" s="39"/>
    </row>
    <row r="18" spans="1:4" x14ac:dyDescent="0.25">
      <c r="A18" s="39"/>
      <c r="B18" s="39"/>
      <c r="C18" s="39"/>
      <c r="D18" s="39"/>
    </row>
    <row r="19" spans="1:4" x14ac:dyDescent="0.25">
      <c r="A19" s="39"/>
      <c r="B19" s="39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I13"/>
  <sheetViews>
    <sheetView zoomScale="230" zoomScaleNormal="230" workbookViewId="0">
      <selection activeCell="E5" sqref="E5"/>
    </sheetView>
  </sheetViews>
  <sheetFormatPr defaultRowHeight="15" x14ac:dyDescent="0.25"/>
  <cols>
    <col min="2" max="2" width="10.42578125" bestFit="1" customWidth="1"/>
    <col min="3" max="3" width="9.42578125" bestFit="1" customWidth="1"/>
    <col min="4" max="4" width="9.28515625" bestFit="1" customWidth="1"/>
    <col min="5" max="6" width="9.28515625" customWidth="1"/>
  </cols>
  <sheetData>
    <row r="1" spans="1:9" x14ac:dyDescent="0.25">
      <c r="A1" s="24" t="s">
        <v>259</v>
      </c>
    </row>
    <row r="2" spans="1:9" x14ac:dyDescent="0.25">
      <c r="A2" t="s">
        <v>258</v>
      </c>
      <c r="B2" s="2" t="s">
        <v>257</v>
      </c>
      <c r="C2" t="s">
        <v>256</v>
      </c>
    </row>
    <row r="3" spans="1:9" x14ac:dyDescent="0.25">
      <c r="A3" t="s">
        <v>255</v>
      </c>
      <c r="B3" s="2" t="s">
        <v>254</v>
      </c>
      <c r="C3" t="s">
        <v>253</v>
      </c>
    </row>
    <row r="4" spans="1:9" x14ac:dyDescent="0.25">
      <c r="A4" t="s">
        <v>252</v>
      </c>
      <c r="B4" s="2" t="s">
        <v>251</v>
      </c>
      <c r="C4" s="166">
        <v>1000000</v>
      </c>
    </row>
    <row r="6" spans="1:9" x14ac:dyDescent="0.25">
      <c r="B6" s="2" t="s">
        <v>90</v>
      </c>
      <c r="C6" s="43">
        <v>1E-4</v>
      </c>
    </row>
    <row r="7" spans="1:9" x14ac:dyDescent="0.25">
      <c r="B7" s="2" t="s">
        <v>250</v>
      </c>
      <c r="C7" s="43" t="s">
        <v>89</v>
      </c>
    </row>
    <row r="8" spans="1:9" x14ac:dyDescent="0.25">
      <c r="B8" s="2" t="s">
        <v>249</v>
      </c>
      <c r="C8" s="43">
        <v>101</v>
      </c>
    </row>
    <row r="10" spans="1:9" x14ac:dyDescent="0.25">
      <c r="B10" s="1" t="s">
        <v>84</v>
      </c>
      <c r="C10" t="s">
        <v>248</v>
      </c>
      <c r="D10" t="s">
        <v>247</v>
      </c>
      <c r="E10" t="s">
        <v>246</v>
      </c>
      <c r="F10" t="s">
        <v>74</v>
      </c>
      <c r="I10" s="1"/>
    </row>
    <row r="11" spans="1:9" x14ac:dyDescent="0.25">
      <c r="B11" s="164">
        <f>B12-$C$6</f>
        <v>100.9999</v>
      </c>
      <c r="C11" s="12">
        <f>Lm(B11,$C$4)</f>
        <v>340593.88060599973</v>
      </c>
      <c r="D11" s="12"/>
      <c r="E11" s="12"/>
      <c r="F11" s="12"/>
    </row>
    <row r="12" spans="1:9" x14ac:dyDescent="0.25">
      <c r="A12" s="2" t="s">
        <v>245</v>
      </c>
      <c r="B12" s="165">
        <f>IF(C7="n",C8,F12)</f>
        <v>101</v>
      </c>
      <c r="C12" s="12">
        <f>Lm(B12,$C$4)</f>
        <v>340593.97</v>
      </c>
      <c r="D12" s="12">
        <f>(C13-C11)/(2*$C$6)</f>
        <v>893.9399995142594</v>
      </c>
      <c r="E12" s="12">
        <f>(C13-2*C12+C11)/($C$6^2)</f>
        <v>-5.8207660913467407E-2</v>
      </c>
      <c r="F12" s="12">
        <f>B12-D12/E12</f>
        <v>15458.77225</v>
      </c>
    </row>
    <row r="13" spans="1:9" x14ac:dyDescent="0.25">
      <c r="B13" s="164">
        <f>B12+$C$6</f>
        <v>101.0001</v>
      </c>
      <c r="C13" s="12">
        <f>Lm(B13,$C$4)</f>
        <v>340594.05939399963</v>
      </c>
      <c r="D13" s="12"/>
      <c r="E13" s="12"/>
      <c r="F13" s="12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H14"/>
  <sheetViews>
    <sheetView zoomScale="233" zoomScaleNormal="233" workbookViewId="0">
      <selection activeCell="E5" sqref="E5"/>
    </sheetView>
  </sheetViews>
  <sheetFormatPr defaultRowHeight="15" x14ac:dyDescent="0.25"/>
  <cols>
    <col min="5" max="5" width="9.28515625" bestFit="1" customWidth="1"/>
  </cols>
  <sheetData>
    <row r="1" spans="1:8" x14ac:dyDescent="0.25">
      <c r="A1" s="24" t="s">
        <v>268</v>
      </c>
    </row>
    <row r="2" spans="1:8" x14ac:dyDescent="0.25">
      <c r="B2" s="2" t="s">
        <v>88</v>
      </c>
      <c r="C2" t="s">
        <v>225</v>
      </c>
    </row>
    <row r="3" spans="1:8" x14ac:dyDescent="0.25">
      <c r="B3" s="2" t="s">
        <v>240</v>
      </c>
      <c r="C3" s="43">
        <v>1</v>
      </c>
    </row>
    <row r="4" spans="1:8" x14ac:dyDescent="0.25">
      <c r="B4" s="2" t="s">
        <v>90</v>
      </c>
      <c r="C4">
        <v>1E-4</v>
      </c>
    </row>
    <row r="6" spans="1:8" x14ac:dyDescent="0.25">
      <c r="B6" t="s">
        <v>267</v>
      </c>
      <c r="C6" t="s">
        <v>266</v>
      </c>
      <c r="D6" t="s">
        <v>265</v>
      </c>
      <c r="E6" t="s">
        <v>264</v>
      </c>
      <c r="G6" t="s">
        <v>263</v>
      </c>
      <c r="H6" t="s">
        <v>262</v>
      </c>
    </row>
    <row r="7" spans="1:8" x14ac:dyDescent="0.25">
      <c r="B7" s="39">
        <f ca="1">B8-C4</f>
        <v>3.9998999996239717</v>
      </c>
      <c r="C7" s="39">
        <f ca="1">4/3*PI()*(B7^3)</f>
        <v>268.06246734039547</v>
      </c>
    </row>
    <row r="8" spans="1:8" x14ac:dyDescent="0.25">
      <c r="A8" s="2" t="s">
        <v>261</v>
      </c>
      <c r="B8" s="167">
        <f ca="1">IF(C2="n",C3,H8)</f>
        <v>3.9999999997727982</v>
      </c>
      <c r="C8" s="39">
        <f ca="1">4/3*PI()*(B8^3)</f>
        <v>268.08257306064735</v>
      </c>
      <c r="D8" s="39">
        <f ca="1">(C9-C7)/(2*C4)</f>
        <v>201.06192983405435</v>
      </c>
      <c r="E8" s="39">
        <f ca="1">D8-E11</f>
        <v>4.3075942812720314E-9</v>
      </c>
      <c r="G8" s="39">
        <f ca="1">(C9-2*C8+C7)/(C4^2)</f>
        <v>94.546305717813084</v>
      </c>
      <c r="H8" s="39">
        <f ca="1">B8-E8/G8</f>
        <v>3.9999999997272373</v>
      </c>
    </row>
    <row r="9" spans="1:8" x14ac:dyDescent="0.25">
      <c r="B9" s="39">
        <f ca="1">B8+C4</f>
        <v>4.0000999997727984</v>
      </c>
      <c r="C9" s="39">
        <f ca="1">4/3*PI()*(B9^3)</f>
        <v>268.1026797562871</v>
      </c>
    </row>
    <row r="10" spans="1:8" x14ac:dyDescent="0.25">
      <c r="B10" s="39"/>
    </row>
    <row r="11" spans="1:8" x14ac:dyDescent="0.25">
      <c r="B11" s="39"/>
      <c r="D11" s="2" t="s">
        <v>260</v>
      </c>
      <c r="E11" s="39">
        <f>64*PI()</f>
        <v>201.06192982974676</v>
      </c>
    </row>
    <row r="12" spans="1:8" x14ac:dyDescent="0.25">
      <c r="B12" s="39"/>
    </row>
    <row r="13" spans="1:8" x14ac:dyDescent="0.25">
      <c r="B13" s="39"/>
    </row>
    <row r="14" spans="1:8" x14ac:dyDescent="0.25">
      <c r="B14" s="39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J70"/>
  <sheetViews>
    <sheetView topLeftCell="A3" zoomScale="188" zoomScaleNormal="188" workbookViewId="0">
      <selection activeCell="E5" sqref="E5"/>
    </sheetView>
  </sheetViews>
  <sheetFormatPr defaultRowHeight="15" x14ac:dyDescent="0.25"/>
  <sheetData>
    <row r="1" spans="1:10" ht="15.75" thickBot="1" x14ac:dyDescent="0.3">
      <c r="B1" s="182" t="s">
        <v>278</v>
      </c>
      <c r="C1" s="181"/>
      <c r="D1" s="181"/>
      <c r="E1" s="181"/>
      <c r="F1" s="181"/>
      <c r="G1" s="180"/>
    </row>
    <row r="3" spans="1:10" ht="18" thickBot="1" x14ac:dyDescent="0.3">
      <c r="B3" t="s">
        <v>277</v>
      </c>
    </row>
    <row r="4" spans="1:10" x14ac:dyDescent="0.25">
      <c r="B4" s="179"/>
      <c r="C4" s="69" t="s">
        <v>276</v>
      </c>
      <c r="D4" s="178" t="s">
        <v>275</v>
      </c>
    </row>
    <row r="5" spans="1:10" ht="15.75" thickBot="1" x14ac:dyDescent="0.3">
      <c r="B5" s="177" t="s">
        <v>90</v>
      </c>
      <c r="C5" s="176">
        <v>0.1</v>
      </c>
      <c r="D5" s="175">
        <v>1E-4</v>
      </c>
    </row>
    <row r="6" spans="1:10" x14ac:dyDescent="0.25">
      <c r="C6" s="2" t="s">
        <v>88</v>
      </c>
      <c r="D6" s="43" t="s">
        <v>89</v>
      </c>
    </row>
    <row r="7" spans="1:10" x14ac:dyDescent="0.25">
      <c r="C7" s="2" t="s">
        <v>274</v>
      </c>
      <c r="D7" s="43">
        <v>4</v>
      </c>
    </row>
    <row r="8" spans="1:10" x14ac:dyDescent="0.25">
      <c r="A8" s="2"/>
      <c r="B8" s="43"/>
    </row>
    <row r="9" spans="1:10" x14ac:dyDescent="0.25">
      <c r="B9" s="77" t="s">
        <v>96</v>
      </c>
      <c r="C9" s="174" t="s">
        <v>83</v>
      </c>
      <c r="D9" s="174" t="s">
        <v>273</v>
      </c>
      <c r="E9" s="174" t="s">
        <v>272</v>
      </c>
      <c r="F9" s="174" t="s">
        <v>271</v>
      </c>
      <c r="G9" s="174" t="s">
        <v>270</v>
      </c>
      <c r="H9" s="174" t="s">
        <v>73</v>
      </c>
      <c r="I9" s="173" t="s">
        <v>269</v>
      </c>
    </row>
    <row r="10" spans="1:10" x14ac:dyDescent="0.25">
      <c r="B10" s="172">
        <v>-3</v>
      </c>
      <c r="C10" s="32">
        <f>IF($D$6="n",$D$7,H10)</f>
        <v>4</v>
      </c>
      <c r="D10" s="32">
        <f>B10^3+C10^3-2*B10*C10</f>
        <v>61</v>
      </c>
      <c r="E10" s="32">
        <f>(B10^3+(C10+$D$5)^3-2*B10*(C10+$D$5))</f>
        <v>61.005400120000992</v>
      </c>
      <c r="F10" s="32">
        <f>((B10)^3+(C10-$D$5)^3-2*B10*(C10-$D$5))</f>
        <v>60.994600119998992</v>
      </c>
      <c r="G10" s="32">
        <f>(E10-F10)/(2*$D$5)</f>
        <v>54.000000009999383</v>
      </c>
      <c r="H10" s="32">
        <f>C10-D10/G10</f>
        <v>2.8703703705795478</v>
      </c>
      <c r="I10" s="171"/>
    </row>
    <row r="11" spans="1:10" x14ac:dyDescent="0.25">
      <c r="B11" s="172">
        <f>B10+$C$5</f>
        <v>-2.9</v>
      </c>
      <c r="C11" s="32">
        <f>IF($D$6="n",$D$7,H11)</f>
        <v>4</v>
      </c>
      <c r="D11" s="32">
        <f>B11^3+C11^3-2*B11*C11</f>
        <v>62.811000000000007</v>
      </c>
      <c r="E11" s="32">
        <f>(B11^3+(C11+$D$5)^3-2*B11*(C11+$D$5))</f>
        <v>62.816380120001</v>
      </c>
      <c r="F11" s="32">
        <f>((B11)^3+(C11-$D$5)^3-2*B11*(C11-$D$5))</f>
        <v>62.805620119998984</v>
      </c>
      <c r="G11" s="32">
        <f>(E11-F11)/(2*$D$5)</f>
        <v>53.800000010078008</v>
      </c>
      <c r="H11" s="32">
        <f>C11-D11/G11</f>
        <v>2.8325092938989958</v>
      </c>
      <c r="I11" s="171">
        <f>(C12-C10)/(B12-B10)</f>
        <v>0</v>
      </c>
      <c r="J11" s="31"/>
    </row>
    <row r="12" spans="1:10" x14ac:dyDescent="0.25">
      <c r="B12" s="172">
        <f>B11+$C$5</f>
        <v>-2.8</v>
      </c>
      <c r="C12" s="32">
        <f>IF($D$6="n",$D$7,H12)</f>
        <v>4</v>
      </c>
      <c r="D12" s="32">
        <f>B12^3+C12^3-2*B12*C12</f>
        <v>64.448000000000008</v>
      </c>
      <c r="E12" s="32">
        <f>(B12^3+(C12+$D$5)^3-2*B12*(C12+$D$5))</f>
        <v>64.453360120000994</v>
      </c>
      <c r="F12" s="32">
        <f>((B12)^3+(C12-$D$5)^3-2*B12*(C12-$D$5))</f>
        <v>64.442640119998998</v>
      </c>
      <c r="G12" s="32">
        <f>(E12-F12)/(2*$D$5)</f>
        <v>53.600000009978999</v>
      </c>
      <c r="H12" s="32">
        <f>C12-D12/G12</f>
        <v>2.7976119405223621</v>
      </c>
      <c r="I12" s="171">
        <f>(C13-C11)/(B13-B11)</f>
        <v>0</v>
      </c>
      <c r="J12" s="31"/>
    </row>
    <row r="13" spans="1:10" x14ac:dyDescent="0.25">
      <c r="B13" s="172">
        <f>B12+$C$5</f>
        <v>-2.6999999999999997</v>
      </c>
      <c r="C13" s="32">
        <f>IF($D$6="n",$D$7,H13)</f>
        <v>4</v>
      </c>
      <c r="D13" s="32">
        <f>B13^3+C13^3-2*B13*C13</f>
        <v>65.917000000000002</v>
      </c>
      <c r="E13" s="32">
        <f>(B13^3+(C13+$D$5)^3-2*B13*(C13+$D$5))</f>
        <v>65.922340120000996</v>
      </c>
      <c r="F13" s="32">
        <f>((B13)^3+(C13-$D$5)^3-2*B13*(C13-$D$5))</f>
        <v>65.911660119998999</v>
      </c>
      <c r="G13" s="32">
        <f>(E13-F13)/(2*$D$5)</f>
        <v>53.40000000998657</v>
      </c>
      <c r="H13" s="32">
        <f>C13-D13/G13</f>
        <v>2.7655992511671803</v>
      </c>
      <c r="I13" s="171">
        <f>(C14-C12)/(B14-B12)</f>
        <v>0</v>
      </c>
      <c r="J13" s="31"/>
    </row>
    <row r="14" spans="1:10" x14ac:dyDescent="0.25">
      <c r="B14" s="172">
        <f>B13+$C$5</f>
        <v>-2.5999999999999996</v>
      </c>
      <c r="C14" s="32">
        <f>IF($D$6="n",$D$7,H14)</f>
        <v>4</v>
      </c>
      <c r="D14" s="32">
        <f>B14^3+C14^3-2*B14*C14</f>
        <v>67.224000000000004</v>
      </c>
      <c r="E14" s="32">
        <f>(B14^3+(C14+$D$5)^3-2*B14*(C14+$D$5))</f>
        <v>67.229320120000992</v>
      </c>
      <c r="F14" s="32">
        <f>((B14)^3+(C14-$D$5)^3-2*B14*(C14-$D$5))</f>
        <v>67.218680119998993</v>
      </c>
      <c r="G14" s="32">
        <f>(E14-F14)/(2*$D$5)</f>
        <v>53.200000009994142</v>
      </c>
      <c r="H14" s="32">
        <f>C14-D14/G14</f>
        <v>2.7363909776809905</v>
      </c>
      <c r="I14" s="171">
        <f>(C15-C13)/(B15-B13)</f>
        <v>0</v>
      </c>
      <c r="J14" s="31"/>
    </row>
    <row r="15" spans="1:10" x14ac:dyDescent="0.25">
      <c r="B15" s="172">
        <f>B14+$C$5</f>
        <v>-2.4999999999999996</v>
      </c>
      <c r="C15" s="32">
        <f>IF($D$6="n",$D$7,H15)</f>
        <v>4</v>
      </c>
      <c r="D15" s="32">
        <f>B15^3+C15^3-2*B15*C15</f>
        <v>68.375</v>
      </c>
      <c r="E15" s="32">
        <f>(B15^3+(C15+$D$5)^3-2*B15*(C15+$D$5))</f>
        <v>68.380300120000996</v>
      </c>
      <c r="F15" s="32">
        <f>((B15)^3+(C15-$D$5)^3-2*B15*(C15-$D$5))</f>
        <v>68.369700119998996</v>
      </c>
      <c r="G15" s="32">
        <f>(E15-F15)/(2*$D$5)</f>
        <v>53.000000010001713</v>
      </c>
      <c r="H15" s="32">
        <f>C15-D15/G15</f>
        <v>2.7099056606208141</v>
      </c>
      <c r="I15" s="171">
        <f>(C16-C14)/(B16-B14)</f>
        <v>0</v>
      </c>
      <c r="J15" s="31"/>
    </row>
    <row r="16" spans="1:10" x14ac:dyDescent="0.25">
      <c r="B16" s="172">
        <f>B15+$C$5</f>
        <v>-2.3999999999999995</v>
      </c>
      <c r="C16" s="32">
        <f>IF($D$6="n",$D$7,H16)</f>
        <v>4</v>
      </c>
      <c r="D16" s="32">
        <f>B16^3+C16^3-2*B16*C16</f>
        <v>69.376000000000005</v>
      </c>
      <c r="E16" s="32">
        <f>(B16^3+(C16+$D$5)^3-2*B16*(C16+$D$5))</f>
        <v>69.381280120000994</v>
      </c>
      <c r="F16" s="32">
        <f>((B16)^3+(C16-$D$5)^3-2*B16*(C16-$D$5))</f>
        <v>69.370720119998992</v>
      </c>
      <c r="G16" s="32">
        <f>(E16-F16)/(2*$D$5)</f>
        <v>52.800000010009285</v>
      </c>
      <c r="H16" s="32">
        <f>C16-D16/G16</f>
        <v>2.686060606309689</v>
      </c>
      <c r="I16" s="171">
        <f>(C17-C15)/(B17-B15)</f>
        <v>0</v>
      </c>
      <c r="J16" s="31"/>
    </row>
    <row r="17" spans="2:10" x14ac:dyDescent="0.25">
      <c r="B17" s="172">
        <f>B16+$C$5</f>
        <v>-2.2999999999999994</v>
      </c>
      <c r="C17" s="32">
        <f>IF($D$6="n",$D$7,H17)</f>
        <v>4</v>
      </c>
      <c r="D17" s="32">
        <f>B17^3+C17^3-2*B17*C17</f>
        <v>70.233000000000004</v>
      </c>
      <c r="E17" s="32">
        <f>(B17^3+(C17+$D$5)^3-2*B17*(C17+$D$5))</f>
        <v>70.238260120001001</v>
      </c>
      <c r="F17" s="32">
        <f>((B17)^3+(C17-$D$5)^3-2*B17*(C17-$D$5))</f>
        <v>70.227740119998998</v>
      </c>
      <c r="G17" s="32">
        <f>(E17-F17)/(2*$D$5)</f>
        <v>52.600000010016856</v>
      </c>
      <c r="H17" s="32">
        <f>C17-D17/G17</f>
        <v>2.6647718633721444</v>
      </c>
      <c r="I17" s="171">
        <f>(C18-C16)/(B18-B16)</f>
        <v>0</v>
      </c>
      <c r="J17" s="31"/>
    </row>
    <row r="18" spans="2:10" x14ac:dyDescent="0.25">
      <c r="B18" s="172">
        <f>B17+$C$5</f>
        <v>-2.1999999999999993</v>
      </c>
      <c r="C18" s="32">
        <f>IF($D$6="n",$D$7,H18)</f>
        <v>4</v>
      </c>
      <c r="D18" s="32">
        <f>B18^3+C18^3-2*B18*C18</f>
        <v>70.951999999999998</v>
      </c>
      <c r="E18" s="32">
        <f>(B18^3+(C18+$D$5)^3-2*B18*(C18+$D$5))</f>
        <v>70.957240120000989</v>
      </c>
      <c r="F18" s="32">
        <f>((B18)^3+(C18-$D$5)^3-2*B18*(C18-$D$5))</f>
        <v>70.946760119998999</v>
      </c>
      <c r="G18" s="32">
        <f>(E18-F18)/(2*$D$5)</f>
        <v>52.400000009953374</v>
      </c>
      <c r="H18" s="32">
        <f>C18-D18/G18</f>
        <v>2.6459541987304833</v>
      </c>
      <c r="I18" s="171">
        <f>(C19-C17)/(B19-B17)</f>
        <v>0</v>
      </c>
      <c r="J18" s="31"/>
    </row>
    <row r="19" spans="2:10" x14ac:dyDescent="0.25">
      <c r="B19" s="172">
        <f>B18+$C$5</f>
        <v>-2.0999999999999992</v>
      </c>
      <c r="C19" s="32">
        <f>IF($D$6="n",$D$7,H19)</f>
        <v>4</v>
      </c>
      <c r="D19" s="32">
        <f>B19^3+C19^3-2*B19*C19</f>
        <v>71.539000000000001</v>
      </c>
      <c r="E19" s="32">
        <f>(B19^3+(C19+$D$5)^3-2*B19*(C19+$D$5))</f>
        <v>71.544220120001</v>
      </c>
      <c r="F19" s="32">
        <f>((B19)^3+(C19-$D$5)^3-2*B19*(C19-$D$5))</f>
        <v>71.533780119998994</v>
      </c>
      <c r="G19" s="32">
        <f>(E19-F19)/(2*$D$5)</f>
        <v>52.200000010031999</v>
      </c>
      <c r="H19" s="32">
        <f>C19-D19/G19</f>
        <v>2.6295210730603191</v>
      </c>
      <c r="I19" s="171">
        <f>(C20-C18)/(B20-B18)</f>
        <v>0</v>
      </c>
      <c r="J19" s="31"/>
    </row>
    <row r="20" spans="2:10" x14ac:dyDescent="0.25">
      <c r="B20" s="172">
        <f>B19+$C$5</f>
        <v>-1.9999999999999991</v>
      </c>
      <c r="C20" s="32">
        <f>IF($D$6="n",$D$7,H20)</f>
        <v>4</v>
      </c>
      <c r="D20" s="32">
        <f>B20^3+C20^3-2*B20*C20</f>
        <v>72</v>
      </c>
      <c r="E20" s="32">
        <f>(B20^3+(C20+$D$5)^3-2*B20*(C20+$D$5))</f>
        <v>72.005200120001007</v>
      </c>
      <c r="F20" s="32">
        <f>((B20)^3+(C20-$D$5)^3-2*B20*(C20-$D$5))</f>
        <v>71.994800119998985</v>
      </c>
      <c r="G20" s="32">
        <f>(E20-F20)/(2*$D$5)</f>
        <v>52.000000010110625</v>
      </c>
      <c r="H20" s="32">
        <f>C20-D20/G20</f>
        <v>2.6153846156538334</v>
      </c>
      <c r="I20" s="171">
        <f>(C21-C19)/(B21-B19)</f>
        <v>0</v>
      </c>
      <c r="J20" s="31"/>
    </row>
    <row r="21" spans="2:10" x14ac:dyDescent="0.25">
      <c r="B21" s="172">
        <f>B20+$C$5</f>
        <v>-1.899999999999999</v>
      </c>
      <c r="C21" s="32">
        <f>IF($D$6="n",$D$7,H21)</f>
        <v>4</v>
      </c>
      <c r="D21" s="32">
        <f>B21^3+C21^3-2*B21*C21</f>
        <v>72.341000000000008</v>
      </c>
      <c r="E21" s="32">
        <f>(B21^3+(C21+$D$5)^3-2*B21*(C21+$D$5))</f>
        <v>72.346180120000994</v>
      </c>
      <c r="F21" s="32">
        <f>((B21)^3+(C21-$D$5)^3-2*B21*(C21-$D$5))</f>
        <v>72.335820119998999</v>
      </c>
      <c r="G21" s="32">
        <f>(E21-F21)/(2*$D$5)</f>
        <v>51.800000009976088</v>
      </c>
      <c r="H21" s="32">
        <f>C21-D21/G21</f>
        <v>2.6034555987245569</v>
      </c>
      <c r="I21" s="171">
        <f>(C22-C20)/(B22-B20)</f>
        <v>0</v>
      </c>
      <c r="J21" s="31"/>
    </row>
    <row r="22" spans="2:10" x14ac:dyDescent="0.25">
      <c r="B22" s="172">
        <f>B21+$C$5</f>
        <v>-1.7999999999999989</v>
      </c>
      <c r="C22" s="32">
        <f>IF($D$6="n",$D$7,H22)</f>
        <v>4</v>
      </c>
      <c r="D22" s="32">
        <f>B22^3+C22^3-2*B22*C22</f>
        <v>72.567999999999998</v>
      </c>
      <c r="E22" s="32">
        <f>(B22^3+(C22+$D$5)^3-2*B22*(C22+$D$5))</f>
        <v>72.573160120000992</v>
      </c>
      <c r="F22" s="32">
        <f>((B22)^3+(C22-$D$5)^3-2*B22*(C22-$D$5))</f>
        <v>72.562840119998995</v>
      </c>
      <c r="G22" s="32">
        <f>(E22-F22)/(2*$D$5)</f>
        <v>51.60000000998366</v>
      </c>
      <c r="H22" s="32">
        <f>C22-D22/G22</f>
        <v>2.5936434111248179</v>
      </c>
      <c r="I22" s="171">
        <f>(C23-C21)/(B23-B21)</f>
        <v>0</v>
      </c>
      <c r="J22" s="31"/>
    </row>
    <row r="23" spans="2:10" x14ac:dyDescent="0.25">
      <c r="B23" s="172">
        <f>B22+$C$5</f>
        <v>-1.6999999999999988</v>
      </c>
      <c r="C23" s="32">
        <f>IF($D$6="n",$D$7,H23)</f>
        <v>4</v>
      </c>
      <c r="D23" s="32">
        <f>B23^3+C23^3-2*B23*C23</f>
        <v>72.686999999999998</v>
      </c>
      <c r="E23" s="32">
        <f>(B23^3+(C23+$D$5)^3-2*B23*(C23+$D$5))</f>
        <v>72.692140120001</v>
      </c>
      <c r="F23" s="32">
        <f>((B23)^3+(C23-$D$5)^3-2*B23*(C23-$D$5))</f>
        <v>72.681860119998987</v>
      </c>
      <c r="G23" s="32">
        <f>(E23-F23)/(2*$D$5)</f>
        <v>51.400000010062286</v>
      </c>
      <c r="H23" s="32">
        <f>C23-D23/G23</f>
        <v>2.5858560314052434</v>
      </c>
      <c r="I23" s="171">
        <f>(C24-C22)/(B24-B22)</f>
        <v>0</v>
      </c>
      <c r="J23" s="31"/>
    </row>
    <row r="24" spans="2:10" x14ac:dyDescent="0.25">
      <c r="B24" s="172">
        <f>B23+$C$5</f>
        <v>-1.5999999999999988</v>
      </c>
      <c r="C24" s="32">
        <f>IF($D$6="n",$D$7,H24)</f>
        <v>4</v>
      </c>
      <c r="D24" s="32">
        <f>B24^3+C24^3-2*B24*C24</f>
        <v>72.704000000000008</v>
      </c>
      <c r="E24" s="32">
        <f>(B24^3+(C24+$D$5)^3-2*B24*(C24+$D$5))</f>
        <v>72.709120120000989</v>
      </c>
      <c r="F24" s="32">
        <f>((B24)^3+(C24-$D$5)^3-2*B24*(C24-$D$5))</f>
        <v>72.698880119998989</v>
      </c>
      <c r="G24" s="32">
        <f>(E24-F24)/(2*$D$5)</f>
        <v>51.200000009998803</v>
      </c>
      <c r="H24" s="32">
        <f>C24-D24/G24</f>
        <v>2.5800000002773107</v>
      </c>
      <c r="I24" s="171">
        <f>(C25-C23)/(B25-B23)</f>
        <v>0</v>
      </c>
      <c r="J24" s="31"/>
    </row>
    <row r="25" spans="2:10" x14ac:dyDescent="0.25">
      <c r="B25" s="172">
        <f>B24+$C$5</f>
        <v>-1.4999999999999987</v>
      </c>
      <c r="C25" s="32">
        <f>IF($D$6="n",$D$7,H25)</f>
        <v>4</v>
      </c>
      <c r="D25" s="32">
        <f>B25^3+C25^3-2*B25*C25</f>
        <v>72.625</v>
      </c>
      <c r="E25" s="32">
        <f>(B25^3+(C25+$D$5)^3-2*B25*(C25+$D$5))</f>
        <v>72.630100120000989</v>
      </c>
      <c r="F25" s="32">
        <f>((B25)^3+(C25-$D$5)^3-2*B25*(C25-$D$5))</f>
        <v>72.619900119998988</v>
      </c>
      <c r="G25" s="32">
        <f>(E25-F25)/(2*$D$5)</f>
        <v>51.000000010006374</v>
      </c>
      <c r="H25" s="32">
        <f>C25-D25/G25</f>
        <v>2.5759803924362603</v>
      </c>
      <c r="I25" s="171">
        <f>(C26-C24)/(B26-B24)</f>
        <v>0</v>
      </c>
      <c r="J25" s="31"/>
    </row>
    <row r="26" spans="2:10" x14ac:dyDescent="0.25">
      <c r="B26" s="172">
        <f>B25+$C$5</f>
        <v>-1.3999999999999986</v>
      </c>
      <c r="C26" s="32">
        <f>IF($D$6="n",$D$7,H26)</f>
        <v>4</v>
      </c>
      <c r="D26" s="32">
        <f>B26^3+C26^3-2*B26*C26</f>
        <v>72.455999999999989</v>
      </c>
      <c r="E26" s="32">
        <f>(B26^3+(C26+$D$5)^3-2*B26*(C26+$D$5))</f>
        <v>72.461080120000986</v>
      </c>
      <c r="F26" s="32">
        <f>((B26)^3+(C26-$D$5)^3-2*B26*(C26-$D$5))</f>
        <v>72.450920119998983</v>
      </c>
      <c r="G26" s="32">
        <f>(E26-F26)/(2*$D$5)</f>
        <v>50.800000010013946</v>
      </c>
      <c r="H26" s="32">
        <f>C26-D26/G26</f>
        <v>2.5737007876827342</v>
      </c>
      <c r="I26" s="171">
        <f>(C27-C25)/(B27-B25)</f>
        <v>0</v>
      </c>
      <c r="J26" s="31"/>
    </row>
    <row r="27" spans="2:10" x14ac:dyDescent="0.25">
      <c r="B27" s="172">
        <f>B26+$C$5</f>
        <v>-1.2999999999999985</v>
      </c>
      <c r="C27" s="32">
        <f>IF($D$6="n",$D$7,H27)</f>
        <v>4</v>
      </c>
      <c r="D27" s="32">
        <f>B27^3+C27^3-2*B27*C27</f>
        <v>72.202999999999989</v>
      </c>
      <c r="E27" s="32">
        <f>(B27^3+(C27+$D$5)^3-2*B27*(C27+$D$5))</f>
        <v>72.20806012000098</v>
      </c>
      <c r="F27" s="32">
        <f>((B27)^3+(C27-$D$5)^3-2*B27*(C27-$D$5))</f>
        <v>72.197940119998975</v>
      </c>
      <c r="G27" s="32">
        <f>(E27-F27)/(2*$D$5)</f>
        <v>50.600000010021517</v>
      </c>
      <c r="H27" s="32">
        <f>C27-D27/G27</f>
        <v>2.5730632413893297</v>
      </c>
      <c r="I27" s="171">
        <f>(C28-C26)/(B28-B26)</f>
        <v>0</v>
      </c>
      <c r="J27" s="31"/>
    </row>
    <row r="28" spans="2:10" x14ac:dyDescent="0.25">
      <c r="B28" s="172">
        <f>B27+$C$5</f>
        <v>-1.1999999999999984</v>
      </c>
      <c r="C28" s="32">
        <f>IF($D$6="n",$D$7,H28)</f>
        <v>4</v>
      </c>
      <c r="D28" s="32">
        <f>B28^3+C28^3-2*B28*C28</f>
        <v>71.871999999999986</v>
      </c>
      <c r="E28" s="32">
        <f>(B28^3+(C28+$D$5)^3-2*B28*(C28+$D$5))</f>
        <v>71.877040120000984</v>
      </c>
      <c r="F28" s="32">
        <f>((B28)^3+(C28-$D$5)^3-2*B28*(C28-$D$5))</f>
        <v>71.866960119998978</v>
      </c>
      <c r="G28" s="32">
        <f>(E28-F28)/(2*$D$5)</f>
        <v>50.400000010029089</v>
      </c>
      <c r="H28" s="32">
        <f>C28-D28/G28</f>
        <v>2.5739682542520201</v>
      </c>
      <c r="I28" s="171">
        <f>(C29-C27)/(B29-B27)</f>
        <v>0</v>
      </c>
      <c r="J28" s="31"/>
    </row>
    <row r="29" spans="2:10" x14ac:dyDescent="0.25">
      <c r="B29" s="172">
        <f>B28+$C$5</f>
        <v>-1.0999999999999983</v>
      </c>
      <c r="C29" s="32">
        <f>IF($D$6="n",$D$7,H29)</f>
        <v>4</v>
      </c>
      <c r="D29" s="32">
        <f>B29^3+C29^3-2*B29*C29</f>
        <v>71.468999999999994</v>
      </c>
      <c r="E29" s="32">
        <f>(B29^3+(C29+$D$5)^3-2*B29*(C29+$D$5))</f>
        <v>71.474020120000986</v>
      </c>
      <c r="F29" s="32">
        <f>((B29)^3+(C29-$D$5)^3-2*B29*(C29-$D$5))</f>
        <v>71.463980119998979</v>
      </c>
      <c r="G29" s="32">
        <f>(E29-F29)/(2*$D$5)</f>
        <v>50.200000010036661</v>
      </c>
      <c r="H29" s="32">
        <f>C29-D29/G29</f>
        <v>2.5763147413204992</v>
      </c>
      <c r="I29" s="171">
        <f>(C30-C28)/(B30-B28)</f>
        <v>0</v>
      </c>
      <c r="J29" s="31"/>
    </row>
    <row r="30" spans="2:10" x14ac:dyDescent="0.25">
      <c r="B30" s="172">
        <f>B29+$C$5</f>
        <v>-0.99999999999999833</v>
      </c>
      <c r="C30" s="32">
        <f>IF($D$6="n",$D$7,H30)</f>
        <v>4</v>
      </c>
      <c r="D30" s="32">
        <f>B30^3+C30^3-2*B30*C30</f>
        <v>71</v>
      </c>
      <c r="E30" s="32">
        <f>(B30^3+(C30+$D$5)^3-2*B30*(C30+$D$5))</f>
        <v>71.005000120000986</v>
      </c>
      <c r="F30" s="32">
        <f>((B30)^3+(C30-$D$5)^3-2*B30*(C30-$D$5))</f>
        <v>70.995000119998991</v>
      </c>
      <c r="G30" s="32">
        <f>(E30-F30)/(2*$D$5)</f>
        <v>50.000000009973178</v>
      </c>
      <c r="H30" s="32">
        <f>C30-D30/G30</f>
        <v>2.5800000002832384</v>
      </c>
      <c r="I30" s="171">
        <f>(C31-C29)/(B31-B29)</f>
        <v>0</v>
      </c>
      <c r="J30" s="31"/>
    </row>
    <row r="31" spans="2:10" x14ac:dyDescent="0.25">
      <c r="B31" s="172">
        <f>B30+$C$5</f>
        <v>-0.89999999999999836</v>
      </c>
      <c r="C31" s="32">
        <f>IF($D$6="n",$D$7,H31)</f>
        <v>4</v>
      </c>
      <c r="D31" s="32">
        <f>B31^3+C31^3-2*B31*C31</f>
        <v>70.470999999999989</v>
      </c>
      <c r="E31" s="32">
        <f>(B31^3+(C31+$D$5)^3-2*B31*(C31+$D$5))</f>
        <v>70.475980120000983</v>
      </c>
      <c r="F31" s="32">
        <f>((B31)^3+(C31-$D$5)^3-2*B31*(C31-$D$5))</f>
        <v>70.466020119998973</v>
      </c>
      <c r="G31" s="32">
        <f>(E31-F31)/(2*$D$5)</f>
        <v>49.800000010051804</v>
      </c>
      <c r="H31" s="32">
        <f>C31-D31/G31</f>
        <v>2.5849196790004845</v>
      </c>
      <c r="I31" s="171">
        <f>(C32-C30)/(B32-B30)</f>
        <v>0</v>
      </c>
      <c r="J31" s="31"/>
    </row>
    <row r="32" spans="2:10" x14ac:dyDescent="0.25">
      <c r="B32" s="172">
        <f>B31+$C$5</f>
        <v>-0.79999999999999838</v>
      </c>
      <c r="C32" s="32">
        <f>IF($D$6="n",$D$7,H32)</f>
        <v>4</v>
      </c>
      <c r="D32" s="32">
        <f>B32^3+C32^3-2*B32*C32</f>
        <v>69.887999999999991</v>
      </c>
      <c r="E32" s="32">
        <f>(B32^3+(C32+$D$5)^3-2*B32*(C32+$D$5))</f>
        <v>69.892960120000978</v>
      </c>
      <c r="F32" s="32">
        <f>((B32)^3+(C32-$D$5)^3-2*B32*(C32-$D$5))</f>
        <v>69.883040119998981</v>
      </c>
      <c r="G32" s="32">
        <f>(E32-F32)/(2*$D$5)</f>
        <v>49.600000009988321</v>
      </c>
      <c r="H32" s="32">
        <f>C32-D32/G32</f>
        <v>2.5909677422192314</v>
      </c>
      <c r="I32" s="171">
        <f>(C33-C31)/(B33-B31)</f>
        <v>0</v>
      </c>
      <c r="J32" s="31"/>
    </row>
    <row r="33" spans="2:10" x14ac:dyDescent="0.25">
      <c r="B33" s="172">
        <f>B32+$C$5</f>
        <v>-0.6999999999999984</v>
      </c>
      <c r="C33" s="32">
        <f>IF($D$6="n",$D$7,H33)</f>
        <v>4</v>
      </c>
      <c r="D33" s="32">
        <f>B33^3+C33^3-2*B33*C33</f>
        <v>69.256999999999991</v>
      </c>
      <c r="E33" s="32">
        <f>(B33^3+(C33+$D$5)^3-2*B33*(C33+$D$5))</f>
        <v>69.261940120000986</v>
      </c>
      <c r="F33" s="32">
        <f>((B33)^3+(C33-$D$5)^3-2*B33*(C33-$D$5))</f>
        <v>69.252060119998987</v>
      </c>
      <c r="G33" s="32">
        <f>(E33-F33)/(2*$D$5)</f>
        <v>49.400000009995892</v>
      </c>
      <c r="H33" s="32">
        <f>C33-D33/G33</f>
        <v>2.5980364375306455</v>
      </c>
      <c r="I33" s="171">
        <f>(C34-C32)/(B34-B32)</f>
        <v>0</v>
      </c>
      <c r="J33" s="31"/>
    </row>
    <row r="34" spans="2:10" x14ac:dyDescent="0.25">
      <c r="B34" s="172">
        <f>B33+$C$5</f>
        <v>-0.59999999999999842</v>
      </c>
      <c r="C34" s="32">
        <f>IF($D$6="n",$D$7,H34)</f>
        <v>4</v>
      </c>
      <c r="D34" s="32">
        <f>B34^3+C34^3-2*B34*C34</f>
        <v>68.583999999999989</v>
      </c>
      <c r="E34" s="32">
        <f>(B34^3+(C34+$D$5)^3-2*B34*(C34+$D$5))</f>
        <v>68.588920120000978</v>
      </c>
      <c r="F34" s="32">
        <f>((B34)^3+(C34-$D$5)^3-2*B34*(C34-$D$5))</f>
        <v>68.579080119998977</v>
      </c>
      <c r="G34" s="32">
        <f>(E34-F34)/(2*$D$5)</f>
        <v>49.200000010003464</v>
      </c>
      <c r="H34" s="32">
        <f>C34-D34/G34</f>
        <v>2.60601626044603</v>
      </c>
      <c r="I34" s="171">
        <f>(C35-C33)/(B35-B33)</f>
        <v>0</v>
      </c>
      <c r="J34" s="31"/>
    </row>
    <row r="35" spans="2:10" x14ac:dyDescent="0.25">
      <c r="B35" s="172">
        <f>B34+$C$5</f>
        <v>-0.49999999999999845</v>
      </c>
      <c r="C35" s="32">
        <f>IF($D$6="n",$D$7,H35)</f>
        <v>4</v>
      </c>
      <c r="D35" s="32">
        <f>B35^3+C35^3-2*B35*C35</f>
        <v>67.874999999999986</v>
      </c>
      <c r="E35" s="32">
        <f>(B35^3+(C35+$D$5)^3-2*B35*(C35+$D$5))</f>
        <v>67.879900120000983</v>
      </c>
      <c r="F35" s="32">
        <f>((B35)^3+(C35-$D$5)^3-2*B35*(C35-$D$5))</f>
        <v>67.87010011999898</v>
      </c>
      <c r="G35" s="32">
        <f>(E35-F35)/(2*$D$5)</f>
        <v>49.000000010011036</v>
      </c>
      <c r="H35" s="32">
        <f>C35-D35/G35</f>
        <v>2.614795918650354</v>
      </c>
      <c r="I35" s="171">
        <f>(C36-C34)/(B36-B34)</f>
        <v>0</v>
      </c>
      <c r="J35" s="31"/>
    </row>
    <row r="36" spans="2:10" x14ac:dyDescent="0.25">
      <c r="B36" s="172">
        <f>B35+$C$5</f>
        <v>-0.39999999999999847</v>
      </c>
      <c r="C36" s="32">
        <f>IF($D$6="n",$D$7,H36)</f>
        <v>4</v>
      </c>
      <c r="D36" s="32">
        <f>B36^3+C36^3-2*B36*C36</f>
        <v>67.135999999999981</v>
      </c>
      <c r="E36" s="32">
        <f>(B36^3+(C36+$D$5)^3-2*B36*(C36+$D$5))</f>
        <v>67.140880120000986</v>
      </c>
      <c r="F36" s="32">
        <f>((B36)^3+(C36-$D$5)^3-2*B36*(C36-$D$5))</f>
        <v>67.131120119998982</v>
      </c>
      <c r="G36" s="32">
        <f>(E36-F36)/(2*$D$5)</f>
        <v>48.800000010018607</v>
      </c>
      <c r="H36" s="32">
        <f>C36-D36/G36</f>
        <v>2.6242622953644057</v>
      </c>
      <c r="I36" s="171">
        <f>(C37-C35)/(B37-B35)</f>
        <v>0</v>
      </c>
      <c r="J36" s="31"/>
    </row>
    <row r="37" spans="2:10" x14ac:dyDescent="0.25">
      <c r="B37" s="172">
        <f>B36+$C$5</f>
        <v>-0.29999999999999849</v>
      </c>
      <c r="C37" s="32">
        <f>IF($D$6="n",$D$7,H37)</f>
        <v>4</v>
      </c>
      <c r="D37" s="32">
        <f>B37^3+C37^3-2*B37*C37</f>
        <v>66.37299999999999</v>
      </c>
      <c r="E37" s="32">
        <f>(B37^3+(C37+$D$5)^3-2*B37*(C37+$D$5))</f>
        <v>66.377860120000975</v>
      </c>
      <c r="F37" s="32">
        <f>((B37)^3+(C37-$D$5)^3-2*B37*(C37-$D$5))</f>
        <v>66.368140119998984</v>
      </c>
      <c r="G37" s="32">
        <f>(E37-F37)/(2*$D$5)</f>
        <v>48.600000009955124</v>
      </c>
      <c r="H37" s="32">
        <f>C37-D37/G37</f>
        <v>2.6343004118023812</v>
      </c>
      <c r="I37" s="171">
        <f>(C38-C36)/(B38-B36)</f>
        <v>0</v>
      </c>
      <c r="J37" s="31"/>
    </row>
    <row r="38" spans="2:10" x14ac:dyDescent="0.25">
      <c r="B38" s="172">
        <f>B37+$C$5</f>
        <v>-0.19999999999999848</v>
      </c>
      <c r="C38" s="32">
        <f>IF($D$6="n",$D$7,H38)</f>
        <v>4</v>
      </c>
      <c r="D38" s="32">
        <f>B38^3+C38^3-2*B38*C38</f>
        <v>65.591999999999985</v>
      </c>
      <c r="E38" s="32">
        <f>(B38^3+(C38+$D$5)^3-2*B38*(C38+$D$5))</f>
        <v>65.596840120000977</v>
      </c>
      <c r="F38" s="32">
        <f>((B38)^3+(C38-$D$5)^3-2*B38*(C38-$D$5))</f>
        <v>65.58716011999897</v>
      </c>
      <c r="G38" s="32">
        <f>(E38-F38)/(2*$D$5)</f>
        <v>48.40000001003375</v>
      </c>
      <c r="H38" s="32">
        <f>C38-D38/G38</f>
        <v>2.6447933887106987</v>
      </c>
      <c r="I38" s="171">
        <f>(C39-C37)/(B39-B37)</f>
        <v>0</v>
      </c>
      <c r="J38" s="31"/>
    </row>
    <row r="39" spans="2:10" x14ac:dyDescent="0.25">
      <c r="B39" s="172">
        <f>B38+$C$5</f>
        <v>-9.9999999999998479E-2</v>
      </c>
      <c r="C39" s="32">
        <f>IF($D$6="n",$D$7,H39)</f>
        <v>4</v>
      </c>
      <c r="D39" s="32">
        <f>B39^3+C39^3-2*B39*C39</f>
        <v>64.798999999999992</v>
      </c>
      <c r="E39" s="32">
        <f>(B39^3+(C39+$D$5)^3-2*B39*(C39+$D$5))</f>
        <v>64.803820120000978</v>
      </c>
      <c r="F39" s="32">
        <f>((B39)^3+(C39-$D$5)^3-2*B39*(C39-$D$5))</f>
        <v>64.794180119998984</v>
      </c>
      <c r="G39" s="32">
        <f>(E39-F39)/(2*$D$5)</f>
        <v>48.200000009970267</v>
      </c>
      <c r="H39" s="32">
        <f>C39-D39/G39</f>
        <v>2.6556224069170913</v>
      </c>
      <c r="I39" s="171">
        <f>(C40-C38)/(B40-B38)</f>
        <v>0</v>
      </c>
      <c r="J39" s="31"/>
    </row>
    <row r="40" spans="2:10" x14ac:dyDescent="0.25">
      <c r="B40" s="172">
        <f>B39+$C$5</f>
        <v>1.5265566588595902E-15</v>
      </c>
      <c r="C40" s="32">
        <f>IF($D$6="n",$D$7,H40)</f>
        <v>4</v>
      </c>
      <c r="D40" s="32">
        <f>B40^3+C40^3-2*B40*C40</f>
        <v>63.999999999999986</v>
      </c>
      <c r="E40" s="32">
        <f>(B40^3+(C40+$D$5)^3-2*B40*(C40+$D$5))</f>
        <v>64.004800120000979</v>
      </c>
      <c r="F40" s="32">
        <f>((B40)^3+(C40-$D$5)^3-2*B40*(C40-$D$5))</f>
        <v>63.995200119998977</v>
      </c>
      <c r="G40" s="32">
        <f>(E40-F40)/(2*$D$5)</f>
        <v>48.000000010013366</v>
      </c>
      <c r="H40" s="32">
        <f>C40-D40/G40</f>
        <v>2.666666666944816</v>
      </c>
      <c r="I40" s="171">
        <f>(C41-C39)/(B41-B39)</f>
        <v>0</v>
      </c>
      <c r="J40" s="31"/>
    </row>
    <row r="41" spans="2:10" x14ac:dyDescent="0.25">
      <c r="B41" s="172">
        <f>B40+$C$5</f>
        <v>0.10000000000000153</v>
      </c>
      <c r="C41" s="32">
        <f>IF($D$6="n",$D$7,H41)</f>
        <v>4</v>
      </c>
      <c r="D41" s="32">
        <f>B41^3+C41^3-2*B41*C41</f>
        <v>63.200999999999993</v>
      </c>
      <c r="E41" s="32">
        <f>(B41^3+(C41+$D$5)^3-2*B41*(C41+$D$5))</f>
        <v>63.205780120000988</v>
      </c>
      <c r="F41" s="32">
        <f>((B41)^3+(C41-$D$5)^3-2*B41*(C41-$D$5))</f>
        <v>63.196220119998976</v>
      </c>
      <c r="G41" s="32">
        <f>(E41-F41)/(2*$D$5)</f>
        <v>47.800000010056465</v>
      </c>
      <c r="H41" s="32">
        <f>C41-D41/G41</f>
        <v>2.6778033475585072</v>
      </c>
      <c r="I41" s="171">
        <f>(C42-C40)/(B42-B40)</f>
        <v>0</v>
      </c>
      <c r="J41" s="31"/>
    </row>
    <row r="42" spans="2:10" x14ac:dyDescent="0.25">
      <c r="B42" s="172">
        <f>B41+$C$5</f>
        <v>0.20000000000000154</v>
      </c>
      <c r="C42" s="32">
        <f>IF($D$6="n",$D$7,H42)</f>
        <v>4</v>
      </c>
      <c r="D42" s="32">
        <f>B42^3+C42^3-2*B42*C42</f>
        <v>62.40799999999998</v>
      </c>
      <c r="E42" s="32">
        <f>(B42^3+(C42+$D$5)^3-2*B42*(C42+$D$5))</f>
        <v>62.412760120000975</v>
      </c>
      <c r="F42" s="32">
        <f>((B42)^3+(C42-$D$5)^3-2*B42*(C42-$D$5))</f>
        <v>62.403240119998983</v>
      </c>
      <c r="G42" s="32">
        <f>(E42-F42)/(2*$D$5)</f>
        <v>47.600000009957455</v>
      </c>
      <c r="H42" s="32">
        <f>C42-D42/G42</f>
        <v>2.6889075632994786</v>
      </c>
      <c r="I42" s="171">
        <f>(C43-C41)/(B43-B41)</f>
        <v>0</v>
      </c>
      <c r="J42" s="31"/>
    </row>
    <row r="43" spans="2:10" x14ac:dyDescent="0.25">
      <c r="B43" s="172">
        <f>B42+$C$5</f>
        <v>0.30000000000000154</v>
      </c>
      <c r="C43" s="32">
        <f>IF($D$6="n",$D$7,H43)</f>
        <v>4</v>
      </c>
      <c r="D43" s="32">
        <f>B43^3+C43^3-2*B43*C43</f>
        <v>61.626999999999988</v>
      </c>
      <c r="E43" s="32">
        <f>(B43^3+(C43+$D$5)^3-2*B43*(C43+$D$5))</f>
        <v>61.631740120000984</v>
      </c>
      <c r="F43" s="32">
        <f>((B43)^3+(C43-$D$5)^3-2*B43*(C43-$D$5))</f>
        <v>61.62226011999897</v>
      </c>
      <c r="G43" s="32">
        <f>(E43-F43)/(2*$D$5)</f>
        <v>47.400000010071608</v>
      </c>
      <c r="H43" s="32">
        <f>C43-D43/G43</f>
        <v>2.6998523209513627</v>
      </c>
      <c r="I43" s="171">
        <f>(C44-C42)/(B44-B42)</f>
        <v>0</v>
      </c>
      <c r="J43" s="31"/>
    </row>
    <row r="44" spans="2:10" x14ac:dyDescent="0.25">
      <c r="B44" s="172">
        <f>B43+$C$5</f>
        <v>0.40000000000000158</v>
      </c>
      <c r="C44" s="32">
        <f>IF($D$6="n",$D$7,H44)</f>
        <v>4</v>
      </c>
      <c r="D44" s="32">
        <f>B44^3+C44^3-2*B44*C44</f>
        <v>60.863999999999997</v>
      </c>
      <c r="E44" s="32">
        <f>(B44^3+(C44+$D$5)^3-2*B44*(C44+$D$5))</f>
        <v>60.868720120000987</v>
      </c>
      <c r="F44" s="32">
        <f>((B44)^3+(C44-$D$5)^3-2*B44*(C44-$D$5))</f>
        <v>60.859280119998978</v>
      </c>
      <c r="G44" s="32">
        <f>(E44-F44)/(2*$D$5)</f>
        <v>47.200000010043652</v>
      </c>
      <c r="H44" s="32">
        <f>C44-D44/G44</f>
        <v>2.7105084748506609</v>
      </c>
      <c r="I44" s="171">
        <f>(C45-C43)/(B45-B43)</f>
        <v>0</v>
      </c>
      <c r="J44" s="31"/>
    </row>
    <row r="45" spans="2:10" x14ac:dyDescent="0.25">
      <c r="B45" s="172">
        <f>B44+$C$5</f>
        <v>0.50000000000000155</v>
      </c>
      <c r="C45" s="32">
        <f>IF($D$6="n",$D$7,H45)</f>
        <v>4</v>
      </c>
      <c r="D45" s="32">
        <f>B45^3+C45^3-2*B45*C45</f>
        <v>60.124999999999986</v>
      </c>
      <c r="E45" s="32">
        <f>(B45^3+(C45+$D$5)^3-2*B45*(C45+$D$5))</f>
        <v>60.129700120000983</v>
      </c>
      <c r="F45" s="32">
        <f>((B45)^3+(C45-$D$5)^3-2*B45*(C45-$D$5))</f>
        <v>60.120300119998987</v>
      </c>
      <c r="G45" s="32">
        <f>(E45-F45)/(2*$D$5)</f>
        <v>47.00000000998017</v>
      </c>
      <c r="H45" s="32">
        <f>C45-D45/G45</f>
        <v>2.7207446811227065</v>
      </c>
      <c r="I45" s="171">
        <f>(C46-C44)/(B46-B44)</f>
        <v>0</v>
      </c>
      <c r="J45" s="31"/>
    </row>
    <row r="46" spans="2:10" x14ac:dyDescent="0.25">
      <c r="B46" s="172">
        <f>B45+$C$5</f>
        <v>0.60000000000000153</v>
      </c>
      <c r="C46" s="32">
        <f>IF($D$6="n",$D$7,H46)</f>
        <v>4</v>
      </c>
      <c r="D46" s="32">
        <f>B46^3+C46^3-2*B46*C46</f>
        <v>59.415999999999997</v>
      </c>
      <c r="E46" s="32">
        <f>(B46^3+(C46+$D$5)^3-2*B46*(C46+$D$5))</f>
        <v>59.420680120000988</v>
      </c>
      <c r="F46" s="32">
        <f>((B46)^3+(C46-$D$5)^3-2*B46*(C46-$D$5))</f>
        <v>59.411320119998976</v>
      </c>
      <c r="G46" s="32">
        <f>(E46-F46)/(2*$D$5)</f>
        <v>46.800000010058795</v>
      </c>
      <c r="H46" s="32">
        <f>C46-D46/G46</f>
        <v>2.7304273507002215</v>
      </c>
      <c r="I46" s="171">
        <f>(C47-C45)/(B47-B45)</f>
        <v>0</v>
      </c>
      <c r="J46" s="31"/>
    </row>
    <row r="47" spans="2:10" x14ac:dyDescent="0.25">
      <c r="B47" s="172">
        <f>B46+$C$5</f>
        <v>0.70000000000000151</v>
      </c>
      <c r="C47" s="32">
        <f>IF($D$6="n",$D$7,H47)</f>
        <v>4</v>
      </c>
      <c r="D47" s="32">
        <f>B47^3+C47^3-2*B47*C47</f>
        <v>58.742999999999995</v>
      </c>
      <c r="E47" s="32">
        <f>(B47^3+(C47+$D$5)^3-2*B47*(C47+$D$5))</f>
        <v>58.747660120000987</v>
      </c>
      <c r="F47" s="32">
        <f>((B47)^3+(C47-$D$5)^3-2*B47*(C47-$D$5))</f>
        <v>58.738340119998973</v>
      </c>
      <c r="G47" s="32">
        <f>(E47-F47)/(2*$D$5)</f>
        <v>46.600000010066367</v>
      </c>
      <c r="H47" s="32">
        <f>C47-D47/G47</f>
        <v>2.739420601130675</v>
      </c>
      <c r="I47" s="171">
        <f>(C48-C46)/(B48-B46)</f>
        <v>0</v>
      </c>
      <c r="J47" s="31"/>
    </row>
    <row r="48" spans="2:10" x14ac:dyDescent="0.25">
      <c r="B48" s="172">
        <f>B47+$C$5</f>
        <v>0.80000000000000149</v>
      </c>
      <c r="C48" s="32">
        <f>IF($D$6="n",$D$7,H48)</f>
        <v>4</v>
      </c>
      <c r="D48" s="32">
        <f>B48^3+C48^3-2*B48*C48</f>
        <v>58.111999999999988</v>
      </c>
      <c r="E48" s="32">
        <f>(B48^3+(C48+$D$5)^3-2*B48*(C48+$D$5))</f>
        <v>58.11664012000098</v>
      </c>
      <c r="F48" s="32">
        <f>((B48)^3+(C48-$D$5)^3-2*B48*(C48-$D$5))</f>
        <v>58.107360119998987</v>
      </c>
      <c r="G48" s="32">
        <f>(E48-F48)/(2*$D$5)</f>
        <v>46.400000009967357</v>
      </c>
      <c r="H48" s="32">
        <f>C48-D48/G48</f>
        <v>2.7475862071655879</v>
      </c>
      <c r="I48" s="171">
        <f>(C49-C47)/(B49-B47)</f>
        <v>0</v>
      </c>
      <c r="J48" s="31"/>
    </row>
    <row r="49" spans="2:10" x14ac:dyDescent="0.25">
      <c r="B49" s="172">
        <f>B48+$C$5</f>
        <v>0.90000000000000147</v>
      </c>
      <c r="C49" s="32">
        <f>IF($D$6="n",$D$7,H49)</f>
        <v>4</v>
      </c>
      <c r="D49" s="32">
        <f>B49^3+C49^3-2*B49*C49</f>
        <v>57.528999999999989</v>
      </c>
      <c r="E49" s="32">
        <f>(B49^3+(C49+$D$5)^3-2*B49*(C49+$D$5))</f>
        <v>57.533620120000982</v>
      </c>
      <c r="F49" s="32">
        <f>((B49)^3+(C49-$D$5)^3-2*B49*(C49-$D$5))</f>
        <v>57.524380119998987</v>
      </c>
      <c r="G49" s="32">
        <f>(E49-F49)/(2*$D$5)</f>
        <v>46.200000009974929</v>
      </c>
      <c r="H49" s="32">
        <f>C49-D49/G49</f>
        <v>2.7547835500524016</v>
      </c>
      <c r="I49" s="171">
        <f>(C50-C48)/(B50-B48)</f>
        <v>0</v>
      </c>
      <c r="J49" s="31"/>
    </row>
    <row r="50" spans="2:10" x14ac:dyDescent="0.25">
      <c r="B50" s="172">
        <f>B49+$C$5</f>
        <v>1.0000000000000016</v>
      </c>
      <c r="C50" s="32">
        <f>IF($D$6="n",$D$7,H50)</f>
        <v>4</v>
      </c>
      <c r="D50" s="32">
        <f>B50^3+C50^3-2*B50*C50</f>
        <v>56.999999999999986</v>
      </c>
      <c r="E50" s="32">
        <f>(B50^3+(C50+$D$5)^3-2*B50*(C50+$D$5))</f>
        <v>57.00460012000098</v>
      </c>
      <c r="F50" s="32">
        <f>((B50)^3+(C50-$D$5)^3-2*B50*(C50-$D$5))</f>
        <v>56.995400119998983</v>
      </c>
      <c r="G50" s="32">
        <f>(E50-F50)/(2*$D$5)</f>
        <v>46.0000000099825</v>
      </c>
      <c r="H50" s="32">
        <f>C50-D50/G50</f>
        <v>2.7608695654862965</v>
      </c>
      <c r="I50" s="171">
        <f>(C51-C49)/(B51-B49)</f>
        <v>0</v>
      </c>
      <c r="J50" s="31"/>
    </row>
    <row r="51" spans="2:10" x14ac:dyDescent="0.25">
      <c r="B51" s="172">
        <f>B50+$C$5</f>
        <v>1.1000000000000016</v>
      </c>
      <c r="C51" s="32">
        <f>IF($D$6="n",$D$7,H51)</f>
        <v>4</v>
      </c>
      <c r="D51" s="32">
        <f>B51^3+C51^3-2*B51*C51</f>
        <v>56.530999999999992</v>
      </c>
      <c r="E51" s="32">
        <f>(B51^3+(C51+$D$5)^3-2*B51*(C51+$D$5))</f>
        <v>56.535580120000986</v>
      </c>
      <c r="F51" s="32">
        <f>((B51)^3+(C51-$D$5)^3-2*B51*(C51-$D$5))</f>
        <v>56.526420119998988</v>
      </c>
      <c r="G51" s="32">
        <f>(E51-F51)/(2*$D$5)</f>
        <v>45.800000009990072</v>
      </c>
      <c r="H51" s="32">
        <f>C51-D51/G51</f>
        <v>2.7656986902255625</v>
      </c>
      <c r="I51" s="171">
        <f>(C52-C50)/(B52-B50)</f>
        <v>0</v>
      </c>
      <c r="J51" s="31"/>
    </row>
    <row r="52" spans="2:10" x14ac:dyDescent="0.25">
      <c r="B52" s="172">
        <f>B51+$C$5</f>
        <v>1.2000000000000017</v>
      </c>
      <c r="C52" s="32">
        <f>IF($D$6="n",$D$7,H52)</f>
        <v>4</v>
      </c>
      <c r="D52" s="32">
        <f>B52^3+C52^3-2*B52*C52</f>
        <v>56.127999999999993</v>
      </c>
      <c r="E52" s="32">
        <f>(B52^3+(C52+$D$5)^3-2*B52*(C52+$D$5))</f>
        <v>56.132560120000988</v>
      </c>
      <c r="F52" s="32">
        <f>((B52)^3+(C52-$D$5)^3-2*B52*(C52-$D$5))</f>
        <v>56.123440119998975</v>
      </c>
      <c r="G52" s="32">
        <f>(E52-F52)/(2*$D$5)</f>
        <v>45.600000010068698</v>
      </c>
      <c r="H52" s="32">
        <f>C52-D52/G52</f>
        <v>2.7691228072893272</v>
      </c>
      <c r="I52" s="171">
        <f>(C53-C51)/(B53-B51)</f>
        <v>0</v>
      </c>
      <c r="J52" s="31"/>
    </row>
    <row r="53" spans="2:10" x14ac:dyDescent="0.25">
      <c r="B53" s="172">
        <f>B52+$C$5</f>
        <v>1.3000000000000018</v>
      </c>
      <c r="C53" s="32">
        <f>IF($D$6="n",$D$7,H53)</f>
        <v>4</v>
      </c>
      <c r="D53" s="32">
        <f>B53^3+C53^3-2*B53*C53</f>
        <v>55.79699999999999</v>
      </c>
      <c r="E53" s="32">
        <f>(B53^3+(C53+$D$5)^3-2*B53*(C53+$D$5))</f>
        <v>55.801540120000979</v>
      </c>
      <c r="F53" s="32">
        <f>((B53)^3+(C53-$D$5)^3-2*B53*(C53-$D$5))</f>
        <v>55.792460119998985</v>
      </c>
      <c r="G53" s="32">
        <f>(E53-F53)/(2*$D$5)</f>
        <v>45.400000009969688</v>
      </c>
      <c r="H53" s="32">
        <f>C53-D53/G53</f>
        <v>2.7709911896971993</v>
      </c>
      <c r="I53" s="171">
        <f>(C54-C52)/(B54-B52)</f>
        <v>0</v>
      </c>
      <c r="J53" s="31"/>
    </row>
    <row r="54" spans="2:10" x14ac:dyDescent="0.25">
      <c r="B54" s="172">
        <f>B53+$C$5</f>
        <v>1.4000000000000019</v>
      </c>
      <c r="C54" s="32">
        <f>IF($D$6="n",$D$7,H54)</f>
        <v>4</v>
      </c>
      <c r="D54" s="32">
        <f>B54^3+C54^3-2*B54*C54</f>
        <v>55.543999999999997</v>
      </c>
      <c r="E54" s="32">
        <f>(B54^3+(C54+$D$5)^3-2*B54*(C54+$D$5))</f>
        <v>55.548520120000994</v>
      </c>
      <c r="F54" s="32">
        <f>((B54)^3+(C54-$D$5)^3-2*B54*(C54-$D$5))</f>
        <v>55.539480119998984</v>
      </c>
      <c r="G54" s="32">
        <f>(E54-F54)/(2*$D$5)</f>
        <v>45.200000010048313</v>
      </c>
      <c r="H54" s="32">
        <f>C54-D54/G54</f>
        <v>2.7711504427510594</v>
      </c>
      <c r="I54" s="171">
        <f>(C55-C53)/(B55-B53)</f>
        <v>0</v>
      </c>
      <c r="J54" s="31"/>
    </row>
    <row r="55" spans="2:10" x14ac:dyDescent="0.25">
      <c r="B55" s="172">
        <f>B54+$C$5</f>
        <v>1.500000000000002</v>
      </c>
      <c r="C55" s="32">
        <f>IF($D$6="n",$D$7,H55)</f>
        <v>4</v>
      </c>
      <c r="D55" s="32">
        <f>B55^3+C55^3-2*B55*C55</f>
        <v>55.375</v>
      </c>
      <c r="E55" s="32">
        <f>(B55^3+(C55+$D$5)^3-2*B55*(C55+$D$5))</f>
        <v>55.379500120000991</v>
      </c>
      <c r="F55" s="32">
        <f>((B55)^3+(C55-$D$5)^3-2*B55*(C55-$D$5))</f>
        <v>55.370500119998979</v>
      </c>
      <c r="G55" s="32">
        <f>(E55-F55)/(2*$D$5)</f>
        <v>45.000000010055885</v>
      </c>
      <c r="H55" s="32">
        <f>C55-D55/G55</f>
        <v>2.7694444447194293</v>
      </c>
      <c r="I55" s="171">
        <f>(C56-C54)/(B56-B54)</f>
        <v>0</v>
      </c>
      <c r="J55" s="31"/>
    </row>
    <row r="56" spans="2:10" x14ac:dyDescent="0.25">
      <c r="B56" s="172">
        <f>B55+$C$5</f>
        <v>1.6000000000000021</v>
      </c>
      <c r="C56" s="32">
        <f>IF($D$6="n",$D$7,H56)</f>
        <v>4</v>
      </c>
      <c r="D56" s="32">
        <f>B56^3+C56^3-2*B56*C56</f>
        <v>55.295999999999999</v>
      </c>
      <c r="E56" s="32">
        <f>(B56^3+(C56+$D$5)^3-2*B56*(C56+$D$5))</f>
        <v>55.300480120000998</v>
      </c>
      <c r="F56" s="32">
        <f>((B56)^3+(C56-$D$5)^3-2*B56*(C56-$D$5))</f>
        <v>55.291520119998985</v>
      </c>
      <c r="G56" s="32">
        <f>(E56-F56)/(2*$D$5)</f>
        <v>44.800000010063457</v>
      </c>
      <c r="H56" s="32">
        <f>C56-D56/G56</f>
        <v>2.7657142859915442</v>
      </c>
      <c r="I56" s="171">
        <f>(C57-C55)/(B57-B55)</f>
        <v>0</v>
      </c>
      <c r="J56" s="31"/>
    </row>
    <row r="57" spans="2:10" x14ac:dyDescent="0.25">
      <c r="B57" s="172">
        <f>B56+$C$5</f>
        <v>1.7000000000000022</v>
      </c>
      <c r="C57" s="32">
        <f>IF($D$6="n",$D$7,H57)</f>
        <v>4</v>
      </c>
      <c r="D57" s="32">
        <f>B57^3+C57^3-2*B57*C57</f>
        <v>55.313000000000009</v>
      </c>
      <c r="E57" s="32">
        <f>(B57^3+(C57+$D$5)^3-2*B57*(C57+$D$5))</f>
        <v>55.317460120001002</v>
      </c>
      <c r="F57" s="32">
        <f>((B57)^3+(C57-$D$5)^3-2*B57*(C57-$D$5))</f>
        <v>55.308540119998995</v>
      </c>
      <c r="G57" s="32">
        <f>(E57-F57)/(2*$D$5)</f>
        <v>44.600000010035501</v>
      </c>
      <c r="H57" s="32">
        <f>C57-D57/G57</f>
        <v>2.7597982065570861</v>
      </c>
      <c r="I57" s="171">
        <f>(C58-C56)/(B58-B56)</f>
        <v>0</v>
      </c>
      <c r="J57" s="31"/>
    </row>
    <row r="58" spans="2:10" x14ac:dyDescent="0.25">
      <c r="B58" s="172">
        <f>B57+$C$5</f>
        <v>1.8000000000000023</v>
      </c>
      <c r="C58" s="32">
        <f>IF($D$6="n",$D$7,H58)</f>
        <v>4</v>
      </c>
      <c r="D58" s="32">
        <f>B58^3+C58^3-2*B58*C58</f>
        <v>55.432000000000002</v>
      </c>
      <c r="E58" s="32">
        <f>(B58^3+(C58+$D$5)^3-2*B58*(C58+$D$5))</f>
        <v>55.436440120000995</v>
      </c>
      <c r="F58" s="32">
        <f>((B58)^3+(C58-$D$5)^3-2*B58*(C58-$D$5))</f>
        <v>55.427560119999001</v>
      </c>
      <c r="G58" s="32">
        <f>(E58-F58)/(2*$D$5)</f>
        <v>44.400000009972018</v>
      </c>
      <c r="H58" s="32">
        <f>C58-D58/G58</f>
        <v>2.7515315318119313</v>
      </c>
      <c r="I58" s="171">
        <f>(C59-C57)/(B59-B57)</f>
        <v>0</v>
      </c>
      <c r="J58" s="31"/>
    </row>
    <row r="59" spans="2:10" x14ac:dyDescent="0.25">
      <c r="B59" s="172">
        <f>B58+$C$5</f>
        <v>1.9000000000000024</v>
      </c>
      <c r="C59" s="32">
        <f>IF($D$6="n",$D$7,H59)</f>
        <v>4</v>
      </c>
      <c r="D59" s="32">
        <f>B59^3+C59^3-2*B59*C59</f>
        <v>55.659000000000006</v>
      </c>
      <c r="E59" s="32">
        <f>(B59^3+(C59+$D$5)^3-2*B59*(C59+$D$5))</f>
        <v>55.663420120001</v>
      </c>
      <c r="F59" s="32">
        <f>((B59)^3+(C59-$D$5)^3-2*B59*(C59-$D$5))</f>
        <v>55.654580119999004</v>
      </c>
      <c r="G59" s="32">
        <f>(E59-F59)/(2*$D$5)</f>
        <v>44.20000000997959</v>
      </c>
      <c r="H59" s="32">
        <f>C59-D59/G59</f>
        <v>2.740746606619159</v>
      </c>
      <c r="I59" s="171">
        <f>(C60-C58)/(B60-B58)</f>
        <v>0</v>
      </c>
      <c r="J59" s="31"/>
    </row>
    <row r="60" spans="2:10" x14ac:dyDescent="0.25">
      <c r="B60" s="172">
        <f>B59+$C$5</f>
        <v>2.0000000000000022</v>
      </c>
      <c r="C60" s="32">
        <f>IF($D$6="n",$D$7,H60)</f>
        <v>4</v>
      </c>
      <c r="D60" s="32">
        <f>B60^3+C60^3-2*B60*C60</f>
        <v>56.000000000000014</v>
      </c>
      <c r="E60" s="32">
        <f>(B60^3+(C60+$D$5)^3-2*B60*(C60+$D$5))</f>
        <v>56.004400120001009</v>
      </c>
      <c r="F60" s="32">
        <f>((B60)^3+(C60-$D$5)^3-2*B60*(C60-$D$5))</f>
        <v>55.995600119998997</v>
      </c>
      <c r="G60" s="32">
        <f>(E60-F60)/(2*$D$5)</f>
        <v>44.000000010058216</v>
      </c>
      <c r="H60" s="32">
        <f>C60-D60/G60</f>
        <v>2.7272727275636672</v>
      </c>
      <c r="I60" s="171">
        <f>(C61-C59)/(B61-B59)</f>
        <v>0</v>
      </c>
      <c r="J60" s="31"/>
    </row>
    <row r="61" spans="2:10" x14ac:dyDescent="0.25">
      <c r="B61" s="172">
        <f>B60+$C$5</f>
        <v>2.1000000000000023</v>
      </c>
      <c r="C61" s="32">
        <f>IF($D$6="n",$D$7,H61)</f>
        <v>4</v>
      </c>
      <c r="D61" s="32">
        <f>B61^3+C61^3-2*B61*C61</f>
        <v>56.461000000000006</v>
      </c>
      <c r="E61" s="32">
        <f>(B61^3+(C61+$D$5)^3-2*B61*(C61+$D$5))</f>
        <v>56.465380120001001</v>
      </c>
      <c r="F61" s="32">
        <f>((B61)^3+(C61-$D$5)^3-2*B61*(C61-$D$5))</f>
        <v>56.456620119999002</v>
      </c>
      <c r="G61" s="32">
        <f>(E61-F61)/(2*$D$5)</f>
        <v>43.800000009994733</v>
      </c>
      <c r="H61" s="32">
        <f>C61-D61/G61</f>
        <v>2.7109360733535124</v>
      </c>
      <c r="I61" s="171">
        <f>(C62-C60)/(B62-B60)</f>
        <v>0</v>
      </c>
      <c r="J61" s="31"/>
    </row>
    <row r="62" spans="2:10" x14ac:dyDescent="0.25">
      <c r="B62" s="172">
        <f>B61+$C$5</f>
        <v>2.2000000000000024</v>
      </c>
      <c r="C62" s="32">
        <f>IF($D$6="n",$D$7,H62)</f>
        <v>4</v>
      </c>
      <c r="D62" s="32">
        <f>B62^3+C62^3-2*B62*C62</f>
        <v>57.048000000000016</v>
      </c>
      <c r="E62" s="32">
        <f>(B62^3+(C62+$D$5)^3-2*B62*(C62+$D$5))</f>
        <v>57.052360120001012</v>
      </c>
      <c r="F62" s="32">
        <f>((B62)^3+(C62-$D$5)^3-2*B62*(C62-$D$5))</f>
        <v>57.043640119999004</v>
      </c>
      <c r="G62" s="32">
        <f>(E62-F62)/(2*$D$5)</f>
        <v>43.600000010037832</v>
      </c>
      <c r="H62" s="32">
        <f>C62-D62/G62</f>
        <v>2.691559633328759</v>
      </c>
      <c r="I62" s="171">
        <f>(C63-C61)/(B63-B61)</f>
        <v>0</v>
      </c>
      <c r="J62" s="31"/>
    </row>
    <row r="63" spans="2:10" x14ac:dyDescent="0.25">
      <c r="B63" s="172">
        <f>B62+$C$5</f>
        <v>2.3000000000000025</v>
      </c>
      <c r="C63" s="32">
        <f>IF($D$6="n",$D$7,H63)</f>
        <v>4</v>
      </c>
      <c r="D63" s="32">
        <f>B63^3+C63^3-2*B63*C63</f>
        <v>57.767000000000024</v>
      </c>
      <c r="E63" s="32">
        <f>(B63^3+(C63+$D$5)^3-2*B63*(C63+$D$5))</f>
        <v>57.771340120001014</v>
      </c>
      <c r="F63" s="32">
        <f>((B63)^3+(C63-$D$5)^3-2*B63*(C63-$D$5))</f>
        <v>57.762660119999012</v>
      </c>
      <c r="G63" s="32">
        <f>(E63-F63)/(2*$D$5)</f>
        <v>43.400000010009876</v>
      </c>
      <c r="H63" s="32">
        <f>C63-D63/G63</f>
        <v>2.6689631339475461</v>
      </c>
      <c r="I63" s="171">
        <f>(C64-C62)/(B64-B62)</f>
        <v>0</v>
      </c>
      <c r="J63" s="31"/>
    </row>
    <row r="64" spans="2:10" x14ac:dyDescent="0.25">
      <c r="B64" s="172">
        <f>B63+$C$5</f>
        <v>2.4000000000000026</v>
      </c>
      <c r="C64" s="32">
        <f>IF($D$6="n",$D$7,H64)</f>
        <v>4</v>
      </c>
      <c r="D64" s="32">
        <f>B64^3+C64^3-2*B64*C64</f>
        <v>58.624000000000024</v>
      </c>
      <c r="E64" s="32">
        <f>(B64^3+(C64+$D$5)^3-2*B64*(C64+$D$5))</f>
        <v>58.628320120001014</v>
      </c>
      <c r="F64" s="32">
        <f>((B64)^3+(C64-$D$5)^3-2*B64*(C64-$D$5))</f>
        <v>58.619680119999018</v>
      </c>
      <c r="G64" s="32">
        <f>(E64-F64)/(2*$D$5)</f>
        <v>43.20000000998192</v>
      </c>
      <c r="H64" s="32">
        <f>C64-D64/G64</f>
        <v>2.6429629632765232</v>
      </c>
      <c r="I64" s="171">
        <f>(C65-C63)/(B65-B63)</f>
        <v>0</v>
      </c>
      <c r="J64" s="31"/>
    </row>
    <row r="65" spans="2:10" x14ac:dyDescent="0.25">
      <c r="B65" s="172">
        <f>B64+$C$5</f>
        <v>2.5000000000000027</v>
      </c>
      <c r="C65" s="32">
        <f>IF($D$6="n",$D$7,H65)</f>
        <v>4</v>
      </c>
      <c r="D65" s="32">
        <f>B65^3+C65^3-2*B65*C65</f>
        <v>59.625000000000036</v>
      </c>
      <c r="E65" s="32">
        <f>(B65^3+(C65+$D$5)^3-2*B65*(C65+$D$5))</f>
        <v>59.629300120001034</v>
      </c>
      <c r="F65" s="32">
        <f>((B65)^3+(C65-$D$5)^3-2*B65*(C65-$D$5))</f>
        <v>59.620700119999022</v>
      </c>
      <c r="G65" s="32">
        <f>(E65-F65)/(2*$D$5)</f>
        <v>43.000000010060546</v>
      </c>
      <c r="H65" s="32">
        <f>C65-D65/G65</f>
        <v>2.6133720933476789</v>
      </c>
      <c r="I65" s="171">
        <f>(C66-C64)/(B66-B64)</f>
        <v>0</v>
      </c>
      <c r="J65" s="31"/>
    </row>
    <row r="66" spans="2:10" x14ac:dyDescent="0.25">
      <c r="B66" s="172">
        <f>B65+$C$5</f>
        <v>2.6000000000000028</v>
      </c>
      <c r="C66" s="32">
        <f>IF($D$6="n",$D$7,H66)</f>
        <v>4</v>
      </c>
      <c r="D66" s="32">
        <f>B66^3+C66^3-2*B66*C66</f>
        <v>60.776000000000025</v>
      </c>
      <c r="E66" s="32">
        <f>(B66^3+(C66+$D$5)^3-2*B66*(C66+$D$5))</f>
        <v>60.780280120001024</v>
      </c>
      <c r="F66" s="32">
        <f>((B66)^3+(C66-$D$5)^3-2*B66*(C66-$D$5))</f>
        <v>60.771720119999031</v>
      </c>
      <c r="G66" s="32">
        <f>(E66-F66)/(2*$D$5)</f>
        <v>42.800000009961536</v>
      </c>
      <c r="H66" s="32">
        <f>C66-D66/G66</f>
        <v>2.5800000003304993</v>
      </c>
      <c r="I66" s="171">
        <f>(C67-C65)/(B67-B65)</f>
        <v>0</v>
      </c>
      <c r="J66" s="31"/>
    </row>
    <row r="67" spans="2:10" x14ac:dyDescent="0.25">
      <c r="B67" s="172">
        <f>B66+$C$5</f>
        <v>2.7000000000000028</v>
      </c>
      <c r="C67" s="32">
        <f>IF($D$6="n",$D$7,H67)</f>
        <v>4</v>
      </c>
      <c r="D67" s="32">
        <f>B67^3+C67^3-2*B67*C67</f>
        <v>62.083000000000041</v>
      </c>
      <c r="E67" s="32">
        <f>(B67^3+(C67+$D$5)^3-2*B67*(C67+$D$5))</f>
        <v>62.087260120001034</v>
      </c>
      <c r="F67" s="32">
        <f>((B67)^3+(C67-$D$5)^3-2*B67*(C67-$D$5))</f>
        <v>62.078740119999026</v>
      </c>
      <c r="G67" s="32">
        <f>(E67-F67)/(2*$D$5)</f>
        <v>42.600000010040162</v>
      </c>
      <c r="H67" s="32">
        <f>C67-D67/G67</f>
        <v>2.5426525825030977</v>
      </c>
      <c r="I67" s="171">
        <f>(C68-C66)/(B68-B66)</f>
        <v>0</v>
      </c>
      <c r="J67" s="31"/>
    </row>
    <row r="68" spans="2:10" x14ac:dyDescent="0.25">
      <c r="B68" s="172">
        <f>B67+$C$5</f>
        <v>2.8000000000000029</v>
      </c>
      <c r="C68" s="32">
        <f>IF($D$6="n",$D$7,H68)</f>
        <v>4</v>
      </c>
      <c r="D68" s="32">
        <f>B68^3+C68^3-2*B68*C68</f>
        <v>63.552000000000049</v>
      </c>
      <c r="E68" s="32">
        <f>(B68^3+(C68+$D$5)^3-2*B68*(C68+$D$5))</f>
        <v>63.556240120001036</v>
      </c>
      <c r="F68" s="32">
        <f>((B68)^3+(C68-$D$5)^3-2*B68*(C68-$D$5))</f>
        <v>63.547760119999026</v>
      </c>
      <c r="G68" s="32">
        <f>(E68-F68)/(2*$D$5)</f>
        <v>42.400000010047734</v>
      </c>
      <c r="H68" s="32">
        <f>C68-D68/G68</f>
        <v>2.5011320758268907</v>
      </c>
      <c r="I68" s="171">
        <f>(C69-C67)/(B69-B67)</f>
        <v>0</v>
      </c>
      <c r="J68" s="31"/>
    </row>
    <row r="69" spans="2:10" x14ac:dyDescent="0.25">
      <c r="B69" s="172">
        <f>B68+$C$5</f>
        <v>2.900000000000003</v>
      </c>
      <c r="C69" s="32">
        <f>IF($D$6="n",$D$7,H69)</f>
        <v>4</v>
      </c>
      <c r="D69" s="32">
        <f>B69^3+C69^3-2*B69*C69</f>
        <v>65.18900000000005</v>
      </c>
      <c r="E69" s="32">
        <f>(B69^3+(C69+$D$5)^3-2*B69*(C69+$D$5))</f>
        <v>65.193220120001058</v>
      </c>
      <c r="F69" s="32">
        <f>((B69)^3+(C69-$D$5)^3-2*B69*(C69-$D$5))</f>
        <v>65.184780119999047</v>
      </c>
      <c r="G69" s="32">
        <f>(E69-F69)/(2*$D$5)</f>
        <v>42.200000010055305</v>
      </c>
      <c r="H69" s="32">
        <f>C69-D69/G69</f>
        <v>2.4552369671927252</v>
      </c>
      <c r="I69" s="171">
        <f>(C70-C68)/(B70-B68)</f>
        <v>0</v>
      </c>
      <c r="J69" s="31"/>
    </row>
    <row r="70" spans="2:10" x14ac:dyDescent="0.25">
      <c r="B70" s="170">
        <f>B69+$C$5</f>
        <v>3.0000000000000031</v>
      </c>
      <c r="C70" s="169">
        <f>IF($D$6="n",$D$7,H70)</f>
        <v>4</v>
      </c>
      <c r="D70" s="169">
        <f>B70^3+C70^3-2*B70*C70</f>
        <v>67.000000000000057</v>
      </c>
      <c r="E70" s="169">
        <f>(B70^3+(C70+$D$5)^3-2*B70*(C70+$D$5))</f>
        <v>67.004200120001059</v>
      </c>
      <c r="F70" s="169">
        <f>((B70)^3+(C70-$D$5)^3-2*B70*(C70-$D$5))</f>
        <v>66.995800119999046</v>
      </c>
      <c r="G70" s="169">
        <f>(E70-F70)/(2*$D$5)</f>
        <v>42.000000010062877</v>
      </c>
      <c r="H70" s="169">
        <f>C70-D70/G70</f>
        <v>2.4047619051441105</v>
      </c>
      <c r="I70" s="168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"/>
  <sheetViews>
    <sheetView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J70"/>
  <sheetViews>
    <sheetView zoomScale="170" zoomScaleNormal="170" workbookViewId="0">
      <selection activeCell="E5" sqref="E5"/>
    </sheetView>
  </sheetViews>
  <sheetFormatPr defaultRowHeight="15" x14ac:dyDescent="0.25"/>
  <sheetData>
    <row r="1" spans="1:10" ht="15.75" thickBot="1" x14ac:dyDescent="0.3">
      <c r="B1" s="182" t="s">
        <v>278</v>
      </c>
      <c r="C1" s="181"/>
      <c r="D1" s="181"/>
      <c r="E1" s="181"/>
      <c r="F1" s="181"/>
      <c r="G1" s="180"/>
    </row>
    <row r="2" spans="1:10" ht="15.75" thickBot="1" x14ac:dyDescent="0.3"/>
    <row r="3" spans="1:10" ht="18" thickBot="1" x14ac:dyDescent="0.3">
      <c r="B3" t="s">
        <v>277</v>
      </c>
      <c r="H3" s="195" t="s">
        <v>291</v>
      </c>
      <c r="I3" s="69"/>
      <c r="J3" s="178"/>
    </row>
    <row r="4" spans="1:10" ht="17.25" x14ac:dyDescent="0.25">
      <c r="B4" s="179"/>
      <c r="C4" s="69" t="s">
        <v>276</v>
      </c>
      <c r="D4" s="178" t="s">
        <v>275</v>
      </c>
      <c r="H4" s="179" t="s">
        <v>290</v>
      </c>
      <c r="I4" s="69"/>
      <c r="J4" s="178"/>
    </row>
    <row r="5" spans="1:10" ht="18" thickBot="1" x14ac:dyDescent="0.3">
      <c r="B5" s="177" t="s">
        <v>90</v>
      </c>
      <c r="C5" s="176">
        <v>0.1</v>
      </c>
      <c r="D5" s="175">
        <v>1E-4</v>
      </c>
      <c r="H5" s="194" t="s">
        <v>289</v>
      </c>
      <c r="I5" s="13"/>
      <c r="J5" s="193"/>
    </row>
    <row r="6" spans="1:10" ht="17.25" x14ac:dyDescent="0.25">
      <c r="C6" s="2" t="s">
        <v>88</v>
      </c>
      <c r="D6" s="43" t="s">
        <v>225</v>
      </c>
      <c r="H6" s="194" t="s">
        <v>288</v>
      </c>
      <c r="I6" s="13"/>
      <c r="J6" s="193"/>
    </row>
    <row r="7" spans="1:10" ht="18" thickBot="1" x14ac:dyDescent="0.3">
      <c r="C7" s="2" t="s">
        <v>274</v>
      </c>
      <c r="D7" s="43">
        <v>4</v>
      </c>
      <c r="H7" s="192" t="s">
        <v>287</v>
      </c>
      <c r="I7" s="191"/>
      <c r="J7" s="190"/>
    </row>
    <row r="8" spans="1:10" x14ac:dyDescent="0.25">
      <c r="A8" s="2"/>
      <c r="B8" s="43"/>
    </row>
    <row r="9" spans="1:10" ht="18" x14ac:dyDescent="0.35">
      <c r="B9" s="77" t="s">
        <v>96</v>
      </c>
      <c r="C9" s="174" t="s">
        <v>286</v>
      </c>
      <c r="D9" s="174" t="s">
        <v>285</v>
      </c>
      <c r="E9" s="174" t="s">
        <v>284</v>
      </c>
      <c r="F9" s="174" t="s">
        <v>283</v>
      </c>
      <c r="G9" s="174" t="s">
        <v>282</v>
      </c>
      <c r="H9" s="174" t="s">
        <v>281</v>
      </c>
      <c r="I9" s="189" t="s">
        <v>280</v>
      </c>
      <c r="J9" s="188" t="s">
        <v>279</v>
      </c>
    </row>
    <row r="10" spans="1:10" x14ac:dyDescent="0.25">
      <c r="B10" s="172">
        <v>-3</v>
      </c>
      <c r="C10" s="32">
        <f ca="1">IF($D$6="n",$D$7,H10)</f>
        <v>2.3465455150231738</v>
      </c>
      <c r="D10" s="32">
        <f ca="1">B10^3+C10^3-2*B10*C10</f>
        <v>0</v>
      </c>
      <c r="E10" s="32">
        <f ca="1">(B10^3+(C10+$D$5)^3-2*B10*(C10+$D$5))</f>
        <v>2.2519531535962756E-3</v>
      </c>
      <c r="F10" s="32">
        <f ca="1">((B10)^3+(C10-$D$5)^3-2*B10*(C10-$D$5))</f>
        <v>-2.251812360858807E-3</v>
      </c>
      <c r="G10" s="32">
        <f ca="1">(E10-F10)/(2*$D$5)</f>
        <v>22.518827572275413</v>
      </c>
      <c r="H10" s="32">
        <f ca="1">C10-D10/G10</f>
        <v>2.3465455150231738</v>
      </c>
      <c r="I10" s="186"/>
      <c r="J10" s="187"/>
    </row>
    <row r="11" spans="1:10" x14ac:dyDescent="0.25">
      <c r="B11" s="172">
        <f>B10+$C$5</f>
        <v>-2.9</v>
      </c>
      <c r="C11" s="32">
        <f ca="1">IF($D$6="n",$D$7,H11)</f>
        <v>2.2475382541330715</v>
      </c>
      <c r="D11" s="32">
        <f ca="1">B11^3+C11^3-2*B11*C11</f>
        <v>0</v>
      </c>
      <c r="E11" s="32">
        <f ca="1">(B11^3+(C11+$D$5)^3-2*B11*(C11+$D$5))</f>
        <v>2.0954958882892782E-3</v>
      </c>
      <c r="F11" s="32">
        <f ca="1">((B11)^3+(C11-$D$5)^3-2*B11*(C11-$D$5))</f>
        <v>-2.095361035994614E-3</v>
      </c>
      <c r="G11" s="32">
        <f ca="1">(E11-F11)/(2*$D$5)</f>
        <v>20.954284621419461</v>
      </c>
      <c r="H11" s="32">
        <f ca="1">C11-D11/G11</f>
        <v>2.2475382541330715</v>
      </c>
      <c r="I11" s="186">
        <f ca="1">(C12-C10)/(B12-B10)</f>
        <v>-0.98950472867973227</v>
      </c>
      <c r="J11" s="185">
        <f ca="1">(2*C11-3*(B11^2))/(3*(C11^2)-2*B11)</f>
        <v>-0.9895314431530785</v>
      </c>
    </row>
    <row r="12" spans="1:10" x14ac:dyDescent="0.25">
      <c r="B12" s="172">
        <f>B11+$C$5</f>
        <v>-2.8</v>
      </c>
      <c r="C12" s="32">
        <f ca="1">IF($D$6="n",$D$7,H12)</f>
        <v>2.1486445692872271</v>
      </c>
      <c r="D12" s="32">
        <f ca="1">B12^3+C12^3-2*B12*C12</f>
        <v>0</v>
      </c>
      <c r="E12" s="32">
        <f ca="1">(B12^3+(C12+$D$5)^3-2*B12*(C12+$D$5))</f>
        <v>1.945066505880888E-3</v>
      </c>
      <c r="F12" s="32">
        <f ca="1">((B12)^3+(C12-$D$5)^3-2*B12*(C12-$D$5))</f>
        <v>-1.9449375872024888E-3</v>
      </c>
      <c r="G12" s="32">
        <f ca="1">(E12-F12)/(2*$D$5)</f>
        <v>19.450020465416884</v>
      </c>
      <c r="H12" s="32">
        <f ca="1">C12-D12/G12</f>
        <v>2.1486445692872271</v>
      </c>
      <c r="I12" s="186">
        <f ca="1">(C13-C11)/(B13-B11)</f>
        <v>-0.98828132637745947</v>
      </c>
      <c r="J12" s="185">
        <f ca="1">(2*C12-3*(B12^2))/(3*(C12^2)-2*B12)</f>
        <v>-0.98831314370705259</v>
      </c>
    </row>
    <row r="13" spans="1:10" x14ac:dyDescent="0.25">
      <c r="B13" s="172">
        <f>B12+$C$5</f>
        <v>-2.6999999999999997</v>
      </c>
      <c r="C13" s="32">
        <f ca="1">IF($D$6="n",$D$7,H13)</f>
        <v>2.0498819888575794</v>
      </c>
      <c r="D13" s="32">
        <f ca="1">B13^3+C13^3-2*B13*C13</f>
        <v>0</v>
      </c>
      <c r="E13" s="32">
        <f ca="1">(B13^3+(C13+$D$5)^3-2*B13*(C13+$D$5))</f>
        <v>1.8006663479344098E-3</v>
      </c>
      <c r="F13" s="32">
        <f ca="1">((B13)^3+(C13-$D$5)^3-2*B13*(C13-$D$5))</f>
        <v>-1.8005433550207783E-3</v>
      </c>
      <c r="G13" s="32">
        <f ca="1">(E13-F13)/(2*$D$5)</f>
        <v>18.006048514775941</v>
      </c>
      <c r="H13" s="32">
        <f ca="1">C13-D13/G13</f>
        <v>2.0498819888575794</v>
      </c>
      <c r="I13" s="186">
        <f ca="1">(C14-C12)/(B14-B12)</f>
        <v>-0.98686561597402878</v>
      </c>
      <c r="J13" s="185">
        <f ca="1">(2*C13-3*(B13^2))/(3*(C13^2)-2*B13)</f>
        <v>-0.98690370725251786</v>
      </c>
    </row>
    <row r="14" spans="1:10" x14ac:dyDescent="0.25">
      <c r="B14" s="172">
        <f>B13+$C$5</f>
        <v>-2.5999999999999996</v>
      </c>
      <c r="C14" s="32">
        <f ca="1">IF($D$6="n",$D$7,H14)</f>
        <v>1.9512714460924212</v>
      </c>
      <c r="D14" s="32">
        <f ca="1">B14^3+C14^3-2*B14*C14</f>
        <v>0</v>
      </c>
      <c r="E14" s="32">
        <f ca="1">(B14^3+(C14+$D$5)^3-2*B14*(C14+$D$5))</f>
        <v>1.662296616043335E-3</v>
      </c>
      <c r="F14" s="32">
        <f ca="1">((B14)^3+(C14-$D$5)^3-2*B14*(C14-$D$5))</f>
        <v>-1.6621795397586681E-3</v>
      </c>
      <c r="G14" s="32">
        <f ca="1">(E14-F14)/(2*$D$5)</f>
        <v>16.622380779010015</v>
      </c>
      <c r="H14" s="32">
        <f ca="1">C14-D14/G14</f>
        <v>1.9512714460924212</v>
      </c>
      <c r="I14" s="186">
        <f ca="1">(C15-C13)/(B15-B13)</f>
        <v>-0.98521958116418307</v>
      </c>
      <c r="J14" s="185">
        <f ca="1">(2*C14-3*(B14^2))/(3*(C14^2)-2*B14)</f>
        <v>-0.9852654283044493</v>
      </c>
    </row>
    <row r="15" spans="1:10" x14ac:dyDescent="0.25">
      <c r="B15" s="172">
        <f>B14+$C$5</f>
        <v>-2.4999999999999996</v>
      </c>
      <c r="C15" s="32">
        <f ca="1">IF($D$6="n",$D$7,H15)</f>
        <v>1.8528380726247426</v>
      </c>
      <c r="D15" s="32">
        <f ca="1">B15^3+C15^3-2*B15*C15</f>
        <v>0</v>
      </c>
      <c r="E15" s="32">
        <f ca="1">(B15^3+(C15+$D$5)^3-2*B15*(C15+$D$5))</f>
        <v>1.5299582631556063E-3</v>
      </c>
      <c r="F15" s="32">
        <f ca="1">((B15)^3+(C15-$D$5)^3-2*B15*(C15-$D$5))</f>
        <v>-1.5298470928648555E-3</v>
      </c>
      <c r="G15" s="32">
        <f ca="1">(E15-F15)/(2*$D$5)</f>
        <v>15.299026780102309</v>
      </c>
      <c r="H15" s="32">
        <f ca="1">C15-D15/G15</f>
        <v>1.8528380726247426</v>
      </c>
      <c r="I15" s="186">
        <f ca="1">(C16-C14)/(B16-B14)</f>
        <v>-0.98329620397802486</v>
      </c>
      <c r="J15" s="185">
        <f ca="1">(2*C15-3*(B15^2))/(3*(C15^2)-2*B15)</f>
        <v>-0.98335169163501723</v>
      </c>
    </row>
    <row r="16" spans="1:10" x14ac:dyDescent="0.25">
      <c r="B16" s="172">
        <f>B15+$C$5</f>
        <v>-2.3999999999999995</v>
      </c>
      <c r="C16" s="32">
        <f ca="1">IF($D$6="n",$D$7,H16)</f>
        <v>1.7546122052968161</v>
      </c>
      <c r="D16" s="32">
        <f ca="1">B16^3+C16^3-2*B16*C16</f>
        <v>0</v>
      </c>
      <c r="E16" s="32">
        <f ca="1">(B16^3+(C16+$D$5)^3-2*B16*(C16+$D$5))</f>
        <v>1.4036518366573603E-3</v>
      </c>
      <c r="F16" s="32">
        <f ca="1">((B16)^3+(C16-$D$5)^3-2*B16*(C16-$D$5))</f>
        <v>-1.4035465599278041E-3</v>
      </c>
      <c r="G16" s="32">
        <f ca="1">(E16-F16)/(2*$D$5)</f>
        <v>14.035991982925822</v>
      </c>
      <c r="H16" s="32">
        <f ca="1">C16-D16/G16</f>
        <v>1.7546122052968161</v>
      </c>
      <c r="I16" s="186">
        <f ca="1">(C17-C15)/(B17-B15)</f>
        <v>-0.98103701366200968</v>
      </c>
      <c r="J16" s="185">
        <f ca="1">(2*C16-3*(B16^2))/(3*(C16^2)-2*B16)</f>
        <v>-0.98110455007135844</v>
      </c>
    </row>
    <row r="17" spans="2:10" x14ac:dyDescent="0.25">
      <c r="B17" s="172">
        <f>B16+$C$5</f>
        <v>-2.2999999999999994</v>
      </c>
      <c r="C17" s="32">
        <f ca="1">IF($D$6="n",$D$7,H17)</f>
        <v>1.6566306698923405</v>
      </c>
      <c r="D17" s="32">
        <f ca="1">B17^3+C17^3-2*B17*C17</f>
        <v>0</v>
      </c>
      <c r="E17" s="32">
        <f ca="1">(B17^3+(C17+$D$5)^3-2*B17*(C17+$D$5))</f>
        <v>1.2833772528528797E-3</v>
      </c>
      <c r="F17" s="32">
        <f ca="1">((B17)^3+(C17-$D$5)^3-2*B17*(C17-$D$5))</f>
        <v>-1.2832778550029289E-3</v>
      </c>
      <c r="G17" s="32">
        <f ca="1">(E17-F17)/(2*$D$5)</f>
        <v>12.833275539279043</v>
      </c>
      <c r="H17" s="32">
        <f ca="1">C17-D17/G17</f>
        <v>1.6566306698923405</v>
      </c>
      <c r="I17" s="186">
        <f ca="1">(C18-C16)/(B18-B16)</f>
        <v>-0.97836889982885777</v>
      </c>
      <c r="J17" s="185">
        <f ca="1">(2*C17-3*(B17^2))/(3*(C17^2)-2*B17)</f>
        <v>-0.97845157548145056</v>
      </c>
    </row>
    <row r="18" spans="2:10" x14ac:dyDescent="0.25">
      <c r="B18" s="172">
        <f>B17+$C$5</f>
        <v>-2.1999999999999993</v>
      </c>
      <c r="C18" s="32">
        <f ca="1">IF($D$6="n",$D$7,H18)</f>
        <v>1.5589384253310443</v>
      </c>
      <c r="D18" s="32">
        <f ca="1">B18^3+C18^3-2*B18*C18</f>
        <v>0</v>
      </c>
      <c r="E18" s="32">
        <f ca="1">(B18^3+(C18+$D$5)^3-2*B18*(C18+$D$5))</f>
        <v>1.1691334733425762E-3</v>
      </c>
      <c r="F18" s="32">
        <f ca="1">((B18)^3+(C18-$D$5)^3-2*B18*(C18-$D$5))</f>
        <v>-1.1690399370412052E-3</v>
      </c>
      <c r="G18" s="32">
        <f ca="1">(E18-F18)/(2*$D$5)</f>
        <v>11.690867051918907</v>
      </c>
      <c r="H18" s="32">
        <f ca="1">C18-D18/G18</f>
        <v>1.5589384253310443</v>
      </c>
      <c r="I18" s="186">
        <f ca="1">(C19-C17)/(B19-B17)</f>
        <v>-0.97519996032075862</v>
      </c>
      <c r="J18" s="185">
        <f ca="1">(2*C18-3*(B18^2))/(3*(C18^2)-2*B18)</f>
        <v>-0.97530175550302378</v>
      </c>
    </row>
    <row r="19" spans="2:10" x14ac:dyDescent="0.25">
      <c r="B19" s="172">
        <f>B18+$C$5</f>
        <v>-2.0999999999999992</v>
      </c>
      <c r="C19" s="32">
        <f ca="1">IF($D$6="n",$D$7,H19)</f>
        <v>1.4615906778281886</v>
      </c>
      <c r="D19" s="32">
        <f ca="1">B19^3+C19^3-2*B19*C19</f>
        <v>0</v>
      </c>
      <c r="E19" s="32">
        <f ca="1">(B19^3+(C19+$D$5)^3-2*B19*(C19+$D$5))</f>
        <v>1.0609180415732666E-3</v>
      </c>
      <c r="F19" s="32">
        <f ca="1">((B19)^3+(C19-$D$5)^3-2*B19*(C19-$D$5))</f>
        <v>-1.0608303461356883E-3</v>
      </c>
      <c r="G19" s="32">
        <f ca="1">(E19-F19)/(2*$D$5)</f>
        <v>10.608741938544775</v>
      </c>
      <c r="H19" s="32">
        <f ca="1">C19-D19/G19</f>
        <v>1.4615906778281886</v>
      </c>
      <c r="I19" s="186">
        <f ca="1">(C20-C18)/(B20-B18)</f>
        <v>-0.97141408837503129</v>
      </c>
      <c r="J19" s="185">
        <f ca="1">(2*C19-3*(B19^2))/(3*(C19^2)-2*B19)</f>
        <v>-0.97154014243792142</v>
      </c>
    </row>
    <row r="20" spans="2:10" x14ac:dyDescent="0.25">
      <c r="B20" s="172">
        <f>B19+$C$5</f>
        <v>-1.9999999999999991</v>
      </c>
      <c r="C20" s="32">
        <f ca="1">IF($D$6="n",$D$7,H20)</f>
        <v>1.3646556076560379</v>
      </c>
      <c r="D20" s="32">
        <f ca="1">B20^3+C20^3-2*B20*C20</f>
        <v>0</v>
      </c>
      <c r="E20" s="32">
        <f ca="1">(B20^3+(C20+$D$5)^3-2*B20*(C20+$D$5))</f>
        <v>9.587264189203637E-4</v>
      </c>
      <c r="F20" s="32">
        <f ca="1">((B20)^3+(C20-$D$5)^3-2*B20*(C20-$D$5))</f>
        <v>-9.5864453958327545E-4</v>
      </c>
      <c r="G20" s="32">
        <f ca="1">(E20-F20)/(2*$D$5)</f>
        <v>9.5868547925181957</v>
      </c>
      <c r="H20" s="32">
        <f ca="1">C20-D20/G20</f>
        <v>1.3646556076560379</v>
      </c>
      <c r="I20" s="186">
        <f ca="1">(C21-C19)/(B21-B19)</f>
        <v>-0.96686392808217247</v>
      </c>
      <c r="J20" s="185">
        <f ca="1">(2*C20-3*(B20^2))/(3*(C20^2)-2*B20)</f>
        <v>-0.96702088380333762</v>
      </c>
    </row>
    <row r="21" spans="2:10" x14ac:dyDescent="0.25">
      <c r="B21" s="172">
        <f>B20+$C$5</f>
        <v>-1.899999999999999</v>
      </c>
      <c r="C21" s="32">
        <f ca="1">IF($D$6="n",$D$7,H21)</f>
        <v>1.268217892211754</v>
      </c>
      <c r="D21" s="32">
        <f ca="1">B21^3+C21^3-2*B21*C21</f>
        <v>0</v>
      </c>
      <c r="E21" s="32">
        <f ca="1">(B21^3+(C21+$D$5)^3-2*B21*(C21+$D$5))</f>
        <v>8.6255103417443024E-4</v>
      </c>
      <c r="F21" s="32">
        <f ca="1">((B21)^3+(C21-$D$5)^3-2*B21*(C21-$D$5))</f>
        <v>-8.6247494110036627E-4</v>
      </c>
      <c r="G21" s="32">
        <f ca="1">(E21-F21)/(2*$D$5)</f>
        <v>8.6251298763739825</v>
      </c>
      <c r="H21" s="32">
        <f ca="1">C21-D21/G21</f>
        <v>1.268217892211754</v>
      </c>
      <c r="I21" s="186">
        <f ca="1">(C22-C20)/(B22-B20)</f>
        <v>-0.96136175118040645</v>
      </c>
      <c r="J21" s="185">
        <f ca="1">(2*C21-3*(B21^2))/(3*(C21^2)-2*B21)</f>
        <v>-0.96155818452147857</v>
      </c>
    </row>
    <row r="22" spans="2:10" x14ac:dyDescent="0.25">
      <c r="B22" s="172">
        <f>B21+$C$5</f>
        <v>-1.7999999999999989</v>
      </c>
      <c r="C22" s="32">
        <f ca="1">IF($D$6="n",$D$7,H22)</f>
        <v>1.1723832574199564</v>
      </c>
      <c r="D22" s="32">
        <f ca="1">B22^3+C22^3-2*B22*C22</f>
        <v>0</v>
      </c>
      <c r="E22" s="32">
        <f ca="1">(B22^3+(C22+$D$5)^3-2*B22*(C22+$D$5))</f>
        <v>7.7237992318224258E-4</v>
      </c>
      <c r="F22" s="32">
        <f ca="1">((B22)^3+(C22-$D$5)^3-2*B22*(C22-$D$5))</f>
        <v>-7.7230958018592588E-4</v>
      </c>
      <c r="G22" s="32">
        <f ca="1">(E22-F22)/(2*$D$5)</f>
        <v>7.7234475168408423</v>
      </c>
      <c r="H22" s="32">
        <f ca="1">C22-D22/G22</f>
        <v>1.1723832574199564</v>
      </c>
      <c r="I22" s="186">
        <f ca="1">(C23-C21)/(B23-B21)</f>
        <v>-0.95466775588735642</v>
      </c>
      <c r="J22" s="185">
        <f ca="1">(2*C22-3*(B22^2))/(3*(C22^2)-2*B22)</f>
        <v>-0.95491469044521793</v>
      </c>
    </row>
    <row r="23" spans="2:10" x14ac:dyDescent="0.25">
      <c r="B23" s="172">
        <f>B22+$C$5</f>
        <v>-1.6999999999999988</v>
      </c>
      <c r="C23" s="32">
        <f ca="1">IF($D$6="n",$D$7,H23)</f>
        <v>1.0772843410342825</v>
      </c>
      <c r="D23" s="32">
        <f ca="1">B23^3+C23^3-2*B23*C23</f>
        <v>0</v>
      </c>
      <c r="E23" s="32">
        <f ca="1">(B23^3+(C23+$D$5)^3-2*B23*(C23+$D$5))</f>
        <v>6.8819478496129349E-4</v>
      </c>
      <c r="F23" s="32">
        <f ca="1">((B23)^3+(C23-$D$5)^3-2*B23*(C23-$D$5))</f>
        <v>-6.881301479011448E-4</v>
      </c>
      <c r="G23" s="32">
        <f ca="1">(E23-F23)/(2*$D$5)</f>
        <v>6.8816246643121914</v>
      </c>
      <c r="H23" s="32">
        <f ca="1">C23-D23/G23</f>
        <v>1.0772843410342825</v>
      </c>
      <c r="I23" s="186">
        <f ca="1">(C24-C22)/(B24-B22)</f>
        <v>-0.94647531170149202</v>
      </c>
      <c r="J23" s="185">
        <f ca="1">(2*C23-3*(B23^2))/(3*(C23^2)-2*B23)</f>
        <v>-0.94678679021645407</v>
      </c>
    </row>
    <row r="24" spans="2:10" x14ac:dyDescent="0.25">
      <c r="B24" s="172">
        <f>B23+$C$5</f>
        <v>-1.5999999999999988</v>
      </c>
      <c r="C24" s="32">
        <f ca="1">IF($D$6="n",$D$7,H24)</f>
        <v>0.98308819507965783</v>
      </c>
      <c r="D24" s="32">
        <f ca="1">B24^3+C24^3-2*B24*C24</f>
        <v>0</v>
      </c>
      <c r="E24" s="32">
        <f ca="1">(B24^3+(C24+$D$5)^3-2*B24*(C24+$D$5))</f>
        <v>6.0996821343728413E-4</v>
      </c>
      <c r="F24" s="32">
        <f ca="1">((B24)^3+(C24-$D$5)^3-2*B24*(C24-$D$5))</f>
        <v>-6.0990922814552206E-4</v>
      </c>
      <c r="G24" s="32">
        <f ca="1">(E24-F24)/(2*$D$5)</f>
        <v>6.099387207914031</v>
      </c>
      <c r="H24" s="32">
        <f ca="1">C24-D24/G24</f>
        <v>0.98308819507965783</v>
      </c>
      <c r="I24" s="186">
        <f ca="1">(C25-C23)/(B25-B23)</f>
        <v>-0.93639287501756518</v>
      </c>
      <c r="J24" s="185">
        <f ca="1">(2*C24-3*(B24^2))/(3*(C24^2)-2*B24)</f>
        <v>-0.93678650402681973</v>
      </c>
    </row>
    <row r="25" spans="2:10" x14ac:dyDescent="0.25">
      <c r="B25" s="172">
        <f>B24+$C$5</f>
        <v>-1.4999999999999987</v>
      </c>
      <c r="C25" s="32">
        <f ca="1">IF($D$6="n",$D$7,H25)</f>
        <v>0.89000576603076931</v>
      </c>
      <c r="D25" s="32">
        <f ca="1">B25^3+C25^3-2*B25*C25</f>
        <v>0</v>
      </c>
      <c r="E25" s="32">
        <f ca="1">(B25^3+(C25+$D$5)^3-2*B25*(C25+$D$5))</f>
        <v>5.3765978024467032E-4</v>
      </c>
      <c r="F25" s="32">
        <f ca="1">((B25)^3+(C25-$D$5)^3-2*B25*(C25-$D$5))</f>
        <v>-5.3760637989608284E-4</v>
      </c>
      <c r="G25" s="32">
        <f ca="1">(E25-F25)/(2*$D$5)</f>
        <v>5.3763308007037658</v>
      </c>
      <c r="H25" s="32">
        <f ca="1">C25-D25/G25</f>
        <v>0.89000576603076931</v>
      </c>
      <c r="I25" s="186">
        <f ca="1">(C26-C24)/(B26-B24)</f>
        <v>-0.92392286267570101</v>
      </c>
      <c r="J25" s="185">
        <f ca="1">(2*C25-3*(B25^2))/(3*(C25^2)-2*B25)</f>
        <v>-0.92442014106197012</v>
      </c>
    </row>
    <row r="26" spans="2:10" x14ac:dyDescent="0.25">
      <c r="B26" s="172">
        <f>B25+$C$5</f>
        <v>-1.3999999999999986</v>
      </c>
      <c r="C26" s="32">
        <f ca="1">IF($D$6="n",$D$7,H26)</f>
        <v>0.79830362254451748</v>
      </c>
      <c r="D26" s="32">
        <f ca="1">B26^3+C26^3-2*B26*C26</f>
        <v>0</v>
      </c>
      <c r="E26" s="32">
        <f ca="1">(B26^3+(C26+$D$5)^3-2*B26*(C26+$D$5))</f>
        <v>4.7121055223930952E-4</v>
      </c>
      <c r="F26" s="32">
        <f ca="1">((B26)^3+(C26-$D$5)^3-2*B26*(C26-$D$5))</f>
        <v>-4.7116265402147306E-4</v>
      </c>
      <c r="G26" s="32">
        <f ca="1">(E26-F26)/(2*$D$5)</f>
        <v>4.7118660313039129</v>
      </c>
      <c r="H26" s="32">
        <f ca="1">C26-D26/G26</f>
        <v>0.79830362254451748</v>
      </c>
      <c r="I26" s="186">
        <f ca="1">(C27-C25)/(B27-B25)</f>
        <v>-0.90843899175057397</v>
      </c>
      <c r="J26" s="185">
        <f ca="1">(2*C26-3*(B26^2))/(3*(C26^2)-2*B26)</f>
        <v>-0.90906505735626886</v>
      </c>
    </row>
    <row r="27" spans="2:10" x14ac:dyDescent="0.25">
      <c r="B27" s="172">
        <f>B26+$C$5</f>
        <v>-1.2999999999999985</v>
      </c>
      <c r="C27" s="32">
        <f ca="1">IF($D$6="n",$D$7,H27)</f>
        <v>0.70831796768065436</v>
      </c>
      <c r="D27" s="32">
        <f ca="1">B27^3+C27^3-2*B27*C27</f>
        <v>0</v>
      </c>
      <c r="E27" s="32">
        <f ca="1">(B27^3+(C27+$D$5)^3-2*B27*(C27+$D$5))</f>
        <v>4.1053555354086946E-4</v>
      </c>
      <c r="F27" s="32">
        <f ca="1">((B27)^3+(C27-$D$5)^3-2*B27*(C27-$D$5))</f>
        <v>-4.1049305446261286E-4</v>
      </c>
      <c r="G27" s="32">
        <f ca="1">(E27-F27)/(2*$D$5)</f>
        <v>4.1051430400174116</v>
      </c>
      <c r="H27" s="32">
        <f ca="1">C27-D27/G27</f>
        <v>0.70831796768065436</v>
      </c>
      <c r="I27" s="186">
        <f ca="1">(C28-C26)/(B28-B26)</f>
        <v>-0.88916588340540925</v>
      </c>
      <c r="J27" s="185">
        <f ca="1">(2*C27-3*(B27^2))/(3*(C27^2)-2*B27)</f>
        <v>-0.88994805733306681</v>
      </c>
    </row>
    <row r="28" spans="2:10" x14ac:dyDescent="0.25">
      <c r="B28" s="172">
        <f>B27+$C$5</f>
        <v>-1.1999999999999984</v>
      </c>
      <c r="C28" s="32">
        <f ca="1">IF($D$6="n",$D$7,H28)</f>
        <v>0.62047044586343547</v>
      </c>
      <c r="D28" s="32">
        <f ca="1">B28^3+C28^3-2*B28*C28</f>
        <v>0</v>
      </c>
      <c r="E28" s="32">
        <f ca="1">(B28^3+(C28+$D$5)^3-2*B28*(C28+$D$5))</f>
        <v>3.5551368737030131E-4</v>
      </c>
      <c r="F28" s="32">
        <f ca="1">((B28)^3+(C28-$D$5)^3-2*B28*(C28-$D$5))</f>
        <v>-3.5547645914357773E-4</v>
      </c>
      <c r="G28" s="32">
        <f ca="1">(E28-F28)/(2*$D$5)</f>
        <v>3.5549507325693952</v>
      </c>
      <c r="H28" s="32">
        <f ca="1">C28-D28/G28</f>
        <v>0.62047044586343547</v>
      </c>
      <c r="I28" s="186">
        <f ca="1">(C29-C27)/(B29-B27)</f>
        <v>-0.86516847903005711</v>
      </c>
      <c r="J28" s="185">
        <f ca="1">(2*C28-3*(B28^2))/(3*(C28^2)-2*B28)</f>
        <v>-0.86613271141132331</v>
      </c>
    </row>
    <row r="29" spans="2:10" x14ac:dyDescent="0.25">
      <c r="B29" s="172">
        <f>B28+$C$5</f>
        <v>-1.0999999999999983</v>
      </c>
      <c r="C29" s="32">
        <f ca="1">IF($D$6="n",$D$7,H29)</f>
        <v>0.53528427187464278</v>
      </c>
      <c r="D29" s="32">
        <f ca="1">B29^3+C29^3-2*B29*C29</f>
        <v>0</v>
      </c>
      <c r="E29" s="32">
        <f ca="1">(B29^3+(C29+$D$5)^3-2*B29*(C29+$D$5))</f>
        <v>3.0597483504313239E-4</v>
      </c>
      <c r="F29" s="32">
        <f ca="1">((B29)^3+(C29-$D$5)^3-2*B29*(C29-$D$5))</f>
        <v>-3.0594271798678463E-4</v>
      </c>
      <c r="G29" s="32">
        <f ca="1">(E29-F29)/(2*$D$5)</f>
        <v>3.0595877651495851</v>
      </c>
      <c r="H29" s="32">
        <f ca="1">C29-D29/G29</f>
        <v>0.53528427187464278</v>
      </c>
      <c r="I29" s="186">
        <f ca="1">(C30-C28)/(B30-B28)</f>
        <v>-0.83536397173516486</v>
      </c>
      <c r="J29" s="185">
        <f ca="1">(2*C29-3*(B29^2))/(3*(C29^2)-2*B29)</f>
        <v>-0.83652820610990442</v>
      </c>
    </row>
    <row r="30" spans="2:10" x14ac:dyDescent="0.25">
      <c r="B30" s="172">
        <f>B29+$C$5</f>
        <v>-0.99999999999999833</v>
      </c>
      <c r="C30" s="32">
        <f ca="1">IF($D$6="n",$D$7,H30)</f>
        <v>0.45339765151640243</v>
      </c>
      <c r="D30" s="32">
        <f ca="1">B30^3+C30^3-2*B30*C30</f>
        <v>0</v>
      </c>
      <c r="E30" s="32">
        <f ca="1">(B30^3+(C30+$D$5)^3-2*B30*(C30+$D$5))</f>
        <v>2.6168443204965808E-4</v>
      </c>
      <c r="F30" s="32">
        <f ca="1">((B30)^3+(C30-$D$5)^3-2*B30*(C30-$D$5))</f>
        <v>-2.6165722819060377E-4</v>
      </c>
      <c r="G30" s="32">
        <f ca="1">(E30-F30)/(2*$D$5)</f>
        <v>2.6167083012013093</v>
      </c>
      <c r="H30" s="32">
        <f ca="1">C30-D30/G30</f>
        <v>0.45339765151640243</v>
      </c>
      <c r="I30" s="186">
        <f ca="1">(C31-C29)/(B31-B29)</f>
        <v>-0.79857407948525938</v>
      </c>
      <c r="J30" s="185">
        <f ca="1">(2*C30-3*(B30^2))/(3*(C30^2)-2*B30)</f>
        <v>-0.79993811461721953</v>
      </c>
    </row>
    <row r="31" spans="2:10" x14ac:dyDescent="0.25">
      <c r="B31" s="172">
        <f>B30+$C$5</f>
        <v>-0.89999999999999836</v>
      </c>
      <c r="C31" s="32">
        <f ca="1">IF($D$6="n",$D$7,H31)</f>
        <v>0.37556945597759095</v>
      </c>
      <c r="D31" s="32">
        <f ca="1">B31^3+C31^3-2*B31*C31</f>
        <v>0</v>
      </c>
      <c r="E31" s="32">
        <f ca="1">(B31^3+(C31+$D$5)^3-2*B31*(C31+$D$5))</f>
        <v>2.2232699296276248E-4</v>
      </c>
      <c r="F31" s="32">
        <f ca="1">((B31)^3+(C31-$D$5)^3-2*B31*(C31-$D$5))</f>
        <v>-2.2230445879523053E-4</v>
      </c>
      <c r="G31" s="32">
        <f ca="1">(E31-F31)/(2*$D$5)</f>
        <v>2.2231572587899651</v>
      </c>
      <c r="H31" s="32">
        <f ca="1">C31-D31/G31</f>
        <v>0.37556945597759095</v>
      </c>
      <c r="I31" s="186">
        <f ca="1">(C32-C30)/(B32-B30)</f>
        <v>-0.75363648420349949</v>
      </c>
      <c r="J31" s="185">
        <f ca="1">(2*C31-3*(B31^2))/(3*(C31^2)-2*B31)</f>
        <v>-0.75516974292242922</v>
      </c>
    </row>
    <row r="32" spans="2:10" x14ac:dyDescent="0.25">
      <c r="B32" s="172">
        <f>B31+$C$5</f>
        <v>-0.79999999999999838</v>
      </c>
      <c r="C32" s="32">
        <f ca="1">IF($D$6="n",$D$7,H32)</f>
        <v>0.30267035467570258</v>
      </c>
      <c r="D32" s="32">
        <f ca="1">B32^3+C32^3-2*B32*C32</f>
        <v>0</v>
      </c>
      <c r="E32" s="32">
        <f ca="1">(B32^3+(C32+$D$5)^3-2*B32*(C32+$D$5))</f>
        <v>1.8749188419037166E-4</v>
      </c>
      <c r="F32" s="32">
        <f ca="1">((B32)^3+(C32-$D$5)^3-2*B32*(C32-$D$5))</f>
        <v>-1.8747372396921147E-4</v>
      </c>
      <c r="G32" s="32">
        <f ca="1">(E32-F32)/(2*$D$5)</f>
        <v>1.8748280407979157</v>
      </c>
      <c r="H32" s="32">
        <f ca="1">C32-D32/G32</f>
        <v>0.30267035467570258</v>
      </c>
      <c r="I32" s="186">
        <f ca="1">(C33-C31)/(B33-B31)</f>
        <v>-0.69958407253749788</v>
      </c>
      <c r="J32" s="185">
        <f ca="1">(2*C32-3*(B32^2))/(3*(C32^2)-2*B32)</f>
        <v>-0.70121593503625801</v>
      </c>
    </row>
    <row r="33" spans="2:10" x14ac:dyDescent="0.25">
      <c r="B33" s="172">
        <f>B32+$C$5</f>
        <v>-0.6999999999999984</v>
      </c>
      <c r="C33" s="32">
        <f ca="1">IF($D$6="n",$D$7,H33)</f>
        <v>0.23565264147009141</v>
      </c>
      <c r="D33" s="32">
        <f ca="1">B33^3+C33^3-2*B33*C33</f>
        <v>0</v>
      </c>
      <c r="E33" s="32">
        <f ca="1">(B33^3+(C33+$D$5)^3-2*B33*(C33+$D$5))</f>
        <v>1.5666672080877353E-4</v>
      </c>
      <c r="F33" s="32">
        <f ca="1">((B33)^3+(C33-$D$5)^3-2*B33*(C33-$D$5))</f>
        <v>-1.5665258165026286E-4</v>
      </c>
      <c r="G33" s="32">
        <f ca="1">(E33-F33)/(2*$D$5)</f>
        <v>1.5665965122951819</v>
      </c>
      <c r="H33" s="32">
        <f ca="1">C33-D33/G33</f>
        <v>0.23565264147009141</v>
      </c>
      <c r="I33" s="186">
        <f ca="1">(C34-C32)/(B34-B32)</f>
        <v>-0.63587283450967791</v>
      </c>
      <c r="J33" s="185">
        <f ca="1">(2*C33-3*(B33^2))/(3*(C33^2)-2*B33)</f>
        <v>-0.63749326364283998</v>
      </c>
    </row>
    <row r="34" spans="2:10" x14ac:dyDescent="0.25">
      <c r="B34" s="172">
        <f>B33+$C$5</f>
        <v>-0.59999999999999842</v>
      </c>
      <c r="C34" s="32">
        <f ca="1">IF($D$6="n",$D$7,H34)</f>
        <v>0.17549578777376704</v>
      </c>
      <c r="D34" s="32">
        <f ca="1">B34^3+C34^3-2*B34*C34</f>
        <v>0</v>
      </c>
      <c r="E34" s="32">
        <f ca="1">(B34^3+(C34+$D$5)^3-2*B34*(C34+$D$5))</f>
        <v>1.2924489733154298E-4</v>
      </c>
      <c r="F34" s="32">
        <f ca="1">((B34)^3+(C34-$D$5)^3-2*B34*(C34-$D$5))</f>
        <v>-1.2923436758421891E-4</v>
      </c>
      <c r="G34" s="32">
        <f ca="1">(E34-F34)/(2*$D$5)</f>
        <v>1.2923963245788095</v>
      </c>
      <c r="H34" s="32">
        <f ca="1">C34-D34/G34</f>
        <v>0.17549578777376704</v>
      </c>
      <c r="I34" s="186">
        <f ca="1">(C35-C33)/(B35-B33)</f>
        <v>-0.56259777693115398</v>
      </c>
      <c r="J34" s="185">
        <f ca="1">(2*C34-3*(B34^2))/(3*(C34^2)-2*B34)</f>
        <v>-0.56407497934558459</v>
      </c>
    </row>
    <row r="35" spans="2:10" x14ac:dyDescent="0.25">
      <c r="B35" s="172">
        <f>B34+$C$5</f>
        <v>-0.49999999999999845</v>
      </c>
      <c r="C35" s="32">
        <f ca="1">IF($D$6="n",$D$7,H35)</f>
        <v>0.12313308608386063</v>
      </c>
      <c r="D35" s="32">
        <f ca="1">B35^3+C35^3-2*B35*C35</f>
        <v>0</v>
      </c>
      <c r="E35" s="32">
        <f ca="1">(B35^3+(C35+$D$5)^3-2*B35*(C35+$D$5))</f>
        <v>1.045522220591566E-4</v>
      </c>
      <c r="F35" s="32">
        <f ca="1">((B35)^3+(C35-$D$5)^3-2*B35*(C35-$D$5))</f>
        <v>-1.0454483407397464E-4</v>
      </c>
      <c r="G35" s="32">
        <f ca="1">(E35-F35)/(2*$D$5)</f>
        <v>1.045485280665656</v>
      </c>
      <c r="H35" s="32">
        <f ca="1">C35-D35/G35</f>
        <v>0.12313308608386063</v>
      </c>
      <c r="I35" s="186">
        <f ca="1">(C36-C34)/(B36-B34)</f>
        <v>-0.48060450979159225</v>
      </c>
      <c r="J35" s="185">
        <f ca="1">(2*C35-3*(B35^2))/(3*(C35^2)-2*B35)</f>
        <v>-0.48181819674185777</v>
      </c>
    </row>
    <row r="36" spans="2:10" x14ac:dyDescent="0.25">
      <c r="B36" s="172">
        <f>B35+$C$5</f>
        <v>-0.39999999999999847</v>
      </c>
      <c r="C36" s="32">
        <f ca="1">IF($D$6="n",$D$7,H36)</f>
        <v>7.9374885815448604E-2</v>
      </c>
      <c r="D36" s="32">
        <f ca="1">B36^3+C36^3-2*B36*C36</f>
        <v>0</v>
      </c>
      <c r="E36" s="32">
        <f ca="1">(B36^3+(C36+$D$5)^3-2*B36*(C36+$D$5))</f>
        <v>8.1892493996066351E-5</v>
      </c>
      <c r="F36" s="32">
        <f ca="1">((B36)^3+(C36-$D$5)^3-2*B36*(C36-$D$5))</f>
        <v>-8.1887731502874872E-5</v>
      </c>
      <c r="G36" s="32">
        <f ca="1">(E36-F36)/(2*$D$5)</f>
        <v>0.81890112749470612</v>
      </c>
      <c r="H36" s="32">
        <f ca="1">C36-D36/G36</f>
        <v>7.9374885815448604E-2</v>
      </c>
      <c r="I36" s="186">
        <f ca="1">(C37-C35)/(B37-B35)</f>
        <v>-0.39141721896532117</v>
      </c>
      <c r="J36" s="185">
        <f ca="1">(2*C36-3*(B36^2))/(3*(C36^2)-2*B36)</f>
        <v>-0.39229428499491631</v>
      </c>
    </row>
    <row r="37" spans="2:10" x14ac:dyDescent="0.25">
      <c r="B37" s="172">
        <f>B36+$C$5</f>
        <v>-0.29999999999999849</v>
      </c>
      <c r="C37" s="32">
        <f ca="1">IF($D$6="n",$D$7,H37)</f>
        <v>4.484964229079641E-2</v>
      </c>
      <c r="D37" s="32">
        <f ca="1">B37^3+C37^3-2*B37*C37</f>
        <v>0</v>
      </c>
      <c r="E37" s="32">
        <f ca="1">(B37^3+(C37+$D$5)^3-2*B37*(C37+$D$5))</f>
        <v>6.0604793613354413E-5</v>
      </c>
      <c r="F37" s="32">
        <f ca="1">((B37)^3+(C37-$D$5)^3-2*B37*(C37-$D$5))</f>
        <v>-6.060210263481719E-5</v>
      </c>
      <c r="G37" s="32">
        <f ca="1">(E37-F37)/(2*$D$5)</f>
        <v>0.60603448124085801</v>
      </c>
      <c r="H37" s="32">
        <f ca="1">C37-D37/G37</f>
        <v>4.484964229079641E-2</v>
      </c>
      <c r="I37" s="186">
        <f ca="1">(C38-C36)/(B38-B36)</f>
        <v>-0.29697413027177172</v>
      </c>
      <c r="J37" s="185">
        <f ca="1">(2*C37-3*(B37^2))/(3*(C37^2)-2*B37)</f>
        <v>-0.29750900975854577</v>
      </c>
    </row>
    <row r="38" spans="2:10" x14ac:dyDescent="0.25">
      <c r="B38" s="172">
        <f>B37+$C$5</f>
        <v>-0.19999999999999848</v>
      </c>
      <c r="C38" s="32">
        <f ca="1">IF($D$6="n",$D$7,H38)</f>
        <v>1.9980059761094269E-2</v>
      </c>
      <c r="D38" s="32">
        <f ca="1">B38^3+C38^3-2*B38*C38</f>
        <v>0</v>
      </c>
      <c r="E38" s="32">
        <f ca="1">(B38^3+(C38+$D$5)^3-2*B38*(C38+$D$5))</f>
        <v>4.0120361238210611E-5</v>
      </c>
      <c r="F38" s="32">
        <f ca="1">((B38)^3+(C38-$D$5)^3-2*B38*(C38-$D$5))</f>
        <v>-4.0119162434622962E-5</v>
      </c>
      <c r="G38" s="32">
        <f ca="1">(E38-F38)/(2*$D$5)</f>
        <v>0.40119761836416784</v>
      </c>
      <c r="H38" s="32">
        <f ca="1">C38-D38/G38</f>
        <v>1.9980059761094269E-2</v>
      </c>
      <c r="I38" s="186">
        <f ca="1">(C39-C37)/(B39-B37)</f>
        <v>-0.19925133528269337</v>
      </c>
      <c r="J38" s="185">
        <f ca="1">(2*C38-3*(B38^2))/(3*(C38^2)-2*B38)</f>
        <v>-0.19950238687653726</v>
      </c>
    </row>
    <row r="39" spans="2:10" x14ac:dyDescent="0.25">
      <c r="B39" s="172">
        <f>B38+$C$5</f>
        <v>-9.9999999999998479E-2</v>
      </c>
      <c r="C39" s="32">
        <f ca="1">IF($D$6="n",$D$7,H39)</f>
        <v>4.999375234257729E-3</v>
      </c>
      <c r="D39" s="32">
        <f ca="1">B39^3+C39^3-2*B39*C39</f>
        <v>0</v>
      </c>
      <c r="E39" s="32">
        <f ca="1">(B39^3+(C39+$D$5)^3-2*B39*(C39+$D$5))</f>
        <v>2.0007649107076954E-5</v>
      </c>
      <c r="F39" s="32">
        <f ca="1">((B39)^3+(C39-$D$5)^3-2*B39*(C39-$D$5))</f>
        <v>-2.0007349144562491E-5</v>
      </c>
      <c r="G39" s="32">
        <f ca="1">(E39-F39)/(2*$D$5)</f>
        <v>0.20007499125819722</v>
      </c>
      <c r="H39" s="32">
        <f ca="1">C39-D39/G39</f>
        <v>4.999375234257729E-3</v>
      </c>
      <c r="I39" s="186">
        <f ca="1">(C40-C38)/(B40-B38)</f>
        <v>-9.9899853590014756E-2</v>
      </c>
      <c r="J39" s="185">
        <f ca="1">(2*C39-3*(B39^2))/(3*(C39^2)-2*B39)</f>
        <v>-9.9968768737117242E-2</v>
      </c>
    </row>
    <row r="40" spans="2:10" x14ac:dyDescent="0.25">
      <c r="B40" s="172">
        <f>B39+$C$5</f>
        <v>1.5265566588595902E-15</v>
      </c>
      <c r="C40" s="32">
        <f ca="1">IF($D$6="n",$D$7,H40)</f>
        <v>8.9043047903437914E-8</v>
      </c>
      <c r="D40" s="32">
        <f ca="1">B40^3+C40^3-2*B40*C40</f>
        <v>4.3413392678844639E-22</v>
      </c>
      <c r="E40" s="32">
        <f ca="1">(B40^3+(C40+$D$5)^3-2*B40*(C40+$D$5))</f>
        <v>1.0026733651592194E-12</v>
      </c>
      <c r="F40" s="32">
        <f ca="1">((B40)^3+(C40-$D$5)^3-2*B40*(C40-$D$5))</f>
        <v>-9.9733078141674535E-13</v>
      </c>
      <c r="G40" s="32">
        <f ca="1">(E40-F40)/(2*$D$5)</f>
        <v>1.0000020732879822E-8</v>
      </c>
      <c r="H40" s="32">
        <f ca="1">C40-D40/G40</f>
        <v>8.9043004490135244E-8</v>
      </c>
      <c r="I40" s="186">
        <f ca="1">(C41-C39)/(B41-B39)</f>
        <v>2.1984646938824879</v>
      </c>
      <c r="J40" s="185">
        <f ca="1">(2*C40-3*(B40^2))/(3*(C40^2)-2*B40)</f>
        <v>8589549.4178862665</v>
      </c>
    </row>
    <row r="41" spans="2:10" x14ac:dyDescent="0.25">
      <c r="B41" s="172">
        <f>B40+$C$5</f>
        <v>0.10000000000000153</v>
      </c>
      <c r="C41" s="32">
        <f ca="1">IF($D$6="n",$D$7,H41)</f>
        <v>0.44469231401075532</v>
      </c>
      <c r="D41" s="32">
        <f ca="1">B41^3+C41^3-2*B41*C41</f>
        <v>0</v>
      </c>
      <c r="E41" s="32">
        <f ca="1">(B41^3+(C41+$D$5)^3-2*B41*(C41+$D$5))</f>
        <v>3.9338718011483476E-5</v>
      </c>
      <c r="F41" s="32">
        <f ca="1">((B41)^3+(C41-$D$5)^3-2*B41*(C41-$D$5))</f>
        <v>-3.9312036472657907E-5</v>
      </c>
      <c r="G41" s="32">
        <f ca="1">(E41-F41)/(2*$D$5)</f>
        <v>0.39325377242070692</v>
      </c>
      <c r="H41" s="32">
        <f ca="1">C41-D41/G41</f>
        <v>0.44469231401075532</v>
      </c>
      <c r="I41" s="186">
        <f ca="1">(C42-C40)/(B42-B40)</f>
        <v>3.1110386068578704</v>
      </c>
      <c r="J41" s="185">
        <f ca="1">(2*C41-3*(B41^2))/(3*(C41^2)-2*B41)</f>
        <v>2.1853182604826746</v>
      </c>
    </row>
    <row r="42" spans="2:10" x14ac:dyDescent="0.25">
      <c r="B42" s="172">
        <f>B41+$C$5</f>
        <v>0.20000000000000154</v>
      </c>
      <c r="C42" s="32">
        <f ca="1">IF($D$6="n",$D$7,H42)</f>
        <v>0.62220781041462203</v>
      </c>
      <c r="D42" s="32">
        <f ca="1">B42^3+C42^3-2*B42*C42</f>
        <v>0</v>
      </c>
      <c r="E42" s="32">
        <f ca="1">(B42^3+(C42+$D$5)^3-2*B42*(C42+$D$5))</f>
        <v>7.6161435036553593E-5</v>
      </c>
      <c r="F42" s="32">
        <f ca="1">((B42)^3+(C42-$D$5)^3-2*B42*(C42-$D$5))</f>
        <v>-7.6124102567992624E-5</v>
      </c>
      <c r="G42" s="32">
        <f ca="1">(E42-F42)/(2*$D$5)</f>
        <v>0.76142768802273109</v>
      </c>
      <c r="H42" s="32">
        <f ca="1">C42-D42/G42</f>
        <v>0.62220781041462203</v>
      </c>
      <c r="I42" s="186">
        <f ca="1">(C43-C41)/(B43-B41)</f>
        <v>1.5316998152756258</v>
      </c>
      <c r="J42" s="185">
        <f ca="1">(2*C42-3*(B42^2))/(3*(C42^2)-2*B42)</f>
        <v>1.4767201840480864</v>
      </c>
    </row>
    <row r="43" spans="2:10" x14ac:dyDescent="0.25">
      <c r="B43" s="172">
        <f>B42+$C$5</f>
        <v>0.30000000000000154</v>
      </c>
      <c r="C43" s="32">
        <f ca="1">IF($D$6="n",$D$7,H43)</f>
        <v>0.75103227706588049</v>
      </c>
      <c r="D43" s="32">
        <f ca="1">B43^3+C43^3-2*B43*C43</f>
        <v>0</v>
      </c>
      <c r="E43" s="32">
        <f ca="1">(B43^3+(C43+$D$5)^3-2*B43*(C43+$D$5))</f>
        <v>1.0923737632678732E-4</v>
      </c>
      <c r="F43" s="32">
        <f ca="1">((B43)^3+(C43-$D$5)^3-2*B43*(C43-$D$5))</f>
        <v>-1.0919231439004973E-4</v>
      </c>
      <c r="G43" s="32">
        <f ca="1">(E43-F43)/(2*$D$5)</f>
        <v>1.0921484535841852</v>
      </c>
      <c r="H43" s="32">
        <f ca="1">C43-D43/G43</f>
        <v>0.75103227706588049</v>
      </c>
      <c r="I43" s="186">
        <f ca="1">(C44-C42)/(B44-B42)</f>
        <v>1.1457990756160517</v>
      </c>
      <c r="J43" s="185">
        <f ca="1">(2*C43-3*(B43^2))/(3*(C43^2)-2*B43)</f>
        <v>1.128110891307313</v>
      </c>
    </row>
    <row r="44" spans="2:10" x14ac:dyDescent="0.25">
      <c r="B44" s="172">
        <f>B43+$C$5</f>
        <v>0.40000000000000158</v>
      </c>
      <c r="C44" s="32">
        <f ca="1">IF($D$6="n",$D$7,H44)</f>
        <v>0.85136762553783241</v>
      </c>
      <c r="D44" s="32">
        <f ca="1">B44^3+C44^3-2*B44*C44</f>
        <v>0</v>
      </c>
      <c r="E44" s="32">
        <f ca="1">(B44^3+(C44+$D$5)^3-2*B44*(C44+$D$5))</f>
        <v>1.3747359217297639E-4</v>
      </c>
      <c r="F44" s="32">
        <f ca="1">((B44)^3+(C44-$D$5)^3-2*B44*(C44-$D$5))</f>
        <v>-1.3742251011539253E-4</v>
      </c>
      <c r="G44" s="32">
        <f ca="1">(E44-F44)/(2*$D$5)</f>
        <v>1.3744805114418446</v>
      </c>
      <c r="H44" s="32">
        <f ca="1">C44-D44/G44</f>
        <v>0.85136762553783241</v>
      </c>
      <c r="I44" s="186">
        <f ca="1">(C45-C43)/(B45-B43)</f>
        <v>0.89685324744986139</v>
      </c>
      <c r="J44" s="185">
        <f ca="1">(2*C44-3*(B44^2))/(3*(C44^2)-2*B44)</f>
        <v>0.88959810618852619</v>
      </c>
    </row>
    <row r="45" spans="2:10" x14ac:dyDescent="0.25">
      <c r="B45" s="172">
        <f>B44+$C$5</f>
        <v>0.50000000000000155</v>
      </c>
      <c r="C45" s="32">
        <f ca="1">IF($D$6="n",$D$7,H45)</f>
        <v>0.93040292655585277</v>
      </c>
      <c r="D45" s="32">
        <f ca="1">B45^3+C45^3-2*B45*C45</f>
        <v>0</v>
      </c>
      <c r="E45" s="32">
        <f ca="1">(B45^3+(C45+$D$5)^3-2*B45*(C45+$D$5))</f>
        <v>1.5972279481080154E-4</v>
      </c>
      <c r="F45" s="32">
        <f ca="1">((B45)^3+(C45-$D$5)^3-2*B45*(C45-$D$5))</f>
        <v>-1.5966697063529711E-4</v>
      </c>
      <c r="G45" s="32">
        <f ca="1">(E45-F45)/(2*$D$5)</f>
        <v>1.5969488272304933</v>
      </c>
      <c r="H45" s="32">
        <f ca="1">C45-D45/G45</f>
        <v>0.93040292655585277</v>
      </c>
      <c r="I45" s="186">
        <f ca="1">(C46-C44)/(B46-B44)</f>
        <v>0.69804083319366506</v>
      </c>
      <c r="J45" s="185">
        <f ca="1">(2*C45-3*(B45^2))/(3*(C45^2)-2*B45)</f>
        <v>0.6955801219964608</v>
      </c>
    </row>
    <row r="46" spans="2:10" x14ac:dyDescent="0.25">
      <c r="B46" s="172">
        <f>B45+$C$5</f>
        <v>0.60000000000000153</v>
      </c>
      <c r="C46" s="32">
        <f ca="1">IF($D$6="n",$D$7,H46)</f>
        <v>0.9909757921765654</v>
      </c>
      <c r="D46" s="32">
        <f ca="1">B46^3+C46^3-2*B46*C46</f>
        <v>0</v>
      </c>
      <c r="E46" s="32">
        <f ca="1">(B46^3+(C46+$D$5)^3-2*B46*(C46+$D$5))</f>
        <v>1.7463963647790237E-4</v>
      </c>
      <c r="F46" s="32">
        <f ca="1">((B46)^3+(C46-$D$5)^3-2*B46*(C46-$D$5))</f>
        <v>-1.7458017793003933E-4</v>
      </c>
      <c r="G46" s="32">
        <f ca="1">(E46-F46)/(2*$D$5)</f>
        <v>1.7460990720397085</v>
      </c>
      <c r="H46" s="32">
        <f ca="1">C46-D46/G46</f>
        <v>0.9909757921765654</v>
      </c>
      <c r="I46" s="186">
        <f ca="1">(C47-C45)/(B47-B45)</f>
        <v>0.51547332589659556</v>
      </c>
      <c r="J46" s="185">
        <f ca="1">(2*C46-3*(B46^2))/(3*(C46^2)-2*B46)</f>
        <v>0.51655235602692817</v>
      </c>
    </row>
    <row r="47" spans="2:10" x14ac:dyDescent="0.25">
      <c r="B47" s="172">
        <f>B46+$C$5</f>
        <v>0.70000000000000151</v>
      </c>
      <c r="C47" s="32">
        <f ca="1">IF($D$6="n",$D$7,H47)</f>
        <v>1.0334975917351719</v>
      </c>
      <c r="D47" s="32">
        <f ca="1">B47^3+C47^3-2*B47*C47</f>
        <v>0</v>
      </c>
      <c r="E47" s="32">
        <f ca="1">(B47^3+(C47+$D$5)^3-2*B47*(C47+$D$5))</f>
        <v>1.8046618756462074E-4</v>
      </c>
      <c r="F47" s="32">
        <f ca="1">((B47)^3+(C47-$D$5)^3-2*B47*(C47-$D$5))</f>
        <v>-1.8040417770892603E-4</v>
      </c>
      <c r="G47" s="32">
        <f ca="1">(E47-F47)/(2*$D$5)</f>
        <v>1.8043518263677338</v>
      </c>
      <c r="H47" s="32">
        <f ca="1">C47-D47/G47</f>
        <v>1.0334975917351719</v>
      </c>
      <c r="I47" s="186">
        <f ca="1">(C48-C46)/(B48-B46)</f>
        <v>0.32516797290246374</v>
      </c>
      <c r="J47" s="185">
        <f ca="1">(2*C47-3*(B47^2))/(3*(C47^2)-2*B47)</f>
        <v>0.33086406877806207</v>
      </c>
    </row>
    <row r="48" spans="2:10" x14ac:dyDescent="0.25">
      <c r="B48" s="172">
        <f>B47+$C$5</f>
        <v>0.80000000000000149</v>
      </c>
      <c r="C48" s="32">
        <f ca="1">IF($D$6="n",$D$7,H48)</f>
        <v>1.0560093867570581</v>
      </c>
      <c r="D48" s="32">
        <f ca="1">B48^3+C48^3-2*B48*C48</f>
        <v>0</v>
      </c>
      <c r="E48" s="32">
        <f ca="1">(B48^3+(C48+$D$5)^3-2*B48*(C48+$D$5))</f>
        <v>1.7457842875723273E-4</v>
      </c>
      <c r="F48" s="32">
        <f ca="1">((B48)^3+(C48-$D$5)^3-2*B48*(C48-$D$5))</f>
        <v>-1.7451506819421425E-4</v>
      </c>
      <c r="G48" s="32">
        <f ca="1">(E48-F48)/(2*$D$5)</f>
        <v>1.7454674847572349</v>
      </c>
      <c r="H48" s="32">
        <f ca="1">C48-D48/G48</f>
        <v>1.0560093867570581</v>
      </c>
      <c r="I48" s="186">
        <f ca="1">(C49-C47)/(B49-B47)</f>
        <v>9.3654152294976326E-2</v>
      </c>
      <c r="J48" s="185">
        <f ca="1">(2*C48-3*(B48^2))/(3*(C48^2)-2*B48)</f>
        <v>0.11000994077007141</v>
      </c>
    </row>
    <row r="49" spans="2:10" x14ac:dyDescent="0.25">
      <c r="B49" s="172">
        <f>B48+$C$5</f>
        <v>0.90000000000000147</v>
      </c>
      <c r="C49" s="32">
        <f ca="1">IF($D$6="n",$D$7,H49)</f>
        <v>1.0522284221941671</v>
      </c>
      <c r="D49" s="32">
        <f ca="1">B49^3+C49^3-2*B49*C49</f>
        <v>0</v>
      </c>
      <c r="E49" s="32">
        <f ca="1">(B49^3+(C49+$D$5)^3-2*B49*(C49+$D$5))</f>
        <v>1.521869635945361E-4</v>
      </c>
      <c r="F49" s="32">
        <f ca="1">((B49)^3+(C49-$D$5)^3-2*B49*(C49-$D$5))</f>
        <v>-1.5212382988938344E-4</v>
      </c>
      <c r="G49" s="32">
        <f ca="1">(E49-F49)/(2*$D$5)</f>
        <v>1.5215539674195977</v>
      </c>
      <c r="H49" s="32">
        <f ca="1">C49-D49/G49</f>
        <v>1.0522284221941671</v>
      </c>
      <c r="I49" s="186">
        <f ca="1">(C50-C48)/(B50-B48)</f>
        <v>-0.28004693378529832</v>
      </c>
      <c r="J49" s="185">
        <f ca="1">(2*C49-3*(B49^2))/(3*(C49^2)-2*B49)</f>
        <v>-0.21395439446902365</v>
      </c>
    </row>
    <row r="50" spans="2:10" x14ac:dyDescent="0.25">
      <c r="B50" s="172">
        <f>B49+$C$5</f>
        <v>1.0000000000000016</v>
      </c>
      <c r="C50" s="32">
        <f ca="1">IF($D$6="n",$D$7,H50)</f>
        <v>0.99999999999999845</v>
      </c>
      <c r="D50" s="32">
        <f ca="1">B50^3+C50^3-2*B50*C50</f>
        <v>0</v>
      </c>
      <c r="E50" s="32">
        <f ca="1">(B50^3+(C50+$D$5)^3-2*B50*(C50+$D$5))</f>
        <v>1.0003000100011761E-4</v>
      </c>
      <c r="F50" s="32">
        <f ca="1">((B50)^3+(C50-$D$5)^3-2*B50*(C50-$D$5))</f>
        <v>-9.9970001000038167E-5</v>
      </c>
      <c r="G50" s="32">
        <f ca="1">(E50-F50)/(2*$D$5)</f>
        <v>1.0000000100007789</v>
      </c>
      <c r="H50" s="32">
        <f ca="1">C50-D50/G50</f>
        <v>0.99999999999999845</v>
      </c>
      <c r="I50" s="186">
        <f ca="1">(C51-C49)/(B51-B49)</f>
        <v>-13.880969826912365</v>
      </c>
      <c r="J50" s="185">
        <f ca="1">(2*C50-3*(B50^2))/(3*(C50^2)-2*B50)</f>
        <v>-1.0000000000000249</v>
      </c>
    </row>
    <row r="51" spans="2:10" x14ac:dyDescent="0.25">
      <c r="B51" s="172">
        <f>B50+$C$5</f>
        <v>1.1000000000000016</v>
      </c>
      <c r="C51" s="32">
        <f ca="1">IF($D$6="n",$D$7,H51)</f>
        <v>-1.7239655431883083</v>
      </c>
      <c r="D51" s="32">
        <f ca="1">B51^3+C51^3-2*B51*C51</f>
        <v>0</v>
      </c>
      <c r="E51" s="32">
        <f ca="1">(B51^3+(C51+$D$5)^3-2*B51*(C51+$D$5))</f>
        <v>6.7156544026403253E-4</v>
      </c>
      <c r="F51" s="32">
        <f ca="1">((B51)^3+(C51-$D$5)^3-2*B51*(C51-$D$5))</f>
        <v>-6.7166887819647414E-4</v>
      </c>
      <c r="G51" s="32">
        <f ca="1">(E51-F51)/(2*$D$5)</f>
        <v>6.7161715923025334</v>
      </c>
      <c r="H51" s="32">
        <f ca="1">C51-D51/G51</f>
        <v>-1.7239655431883083</v>
      </c>
      <c r="I51" s="186">
        <f ca="1">(C52-C50)/(B52-B50)</f>
        <v>-14.144446119030484</v>
      </c>
      <c r="J51" s="185">
        <f ca="1">(2*C51-3*(B51^2))/(3*(C51^2)-2*B51)</f>
        <v>-1.0538639460951618</v>
      </c>
    </row>
    <row r="52" spans="2:10" x14ac:dyDescent="0.25">
      <c r="B52" s="172">
        <f>B51+$C$5</f>
        <v>1.2000000000000017</v>
      </c>
      <c r="C52" s="32">
        <f ca="1">IF($D$6="n",$D$7,H52)</f>
        <v>-1.828889223806101</v>
      </c>
      <c r="D52" s="32">
        <f ca="1">B52^3+C52^3-2*B52*C52</f>
        <v>0</v>
      </c>
      <c r="E52" s="32">
        <f ca="1">(B52^3+(C52+$D$5)^3-2*B52*(C52+$D$5))</f>
        <v>7.6339587220974892E-4</v>
      </c>
      <c r="F52" s="32">
        <f ca="1">((B52)^3+(C52-$D$5)^3-2*B52*(C52-$D$5))</f>
        <v>-7.6350560556193159E-4</v>
      </c>
      <c r="G52" s="32">
        <f ca="1">(E52-F52)/(2*$D$5)</f>
        <v>7.6345073888584025</v>
      </c>
      <c r="H52" s="32">
        <f ca="1">C52-D52/G52</f>
        <v>-1.828889223806101</v>
      </c>
      <c r="I52" s="186">
        <f ca="1">(C53-C51)/(B53-B51)</f>
        <v>-1.0452691314151887</v>
      </c>
      <c r="J52" s="185">
        <f ca="1">(2*C52-3*(B52^2))/(3*(C52^2)-2*B52)</f>
        <v>-1.0449630934538605</v>
      </c>
    </row>
    <row r="53" spans="2:10" x14ac:dyDescent="0.25">
      <c r="B53" s="172">
        <f>B52+$C$5</f>
        <v>1.3000000000000018</v>
      </c>
      <c r="C53" s="32">
        <f ca="1">IF($D$6="n",$D$7,H53)</f>
        <v>-1.9330193694713462</v>
      </c>
      <c r="D53" s="32">
        <f ca="1">B53^3+C53^3-2*B53*C53</f>
        <v>0</v>
      </c>
      <c r="E53" s="32">
        <f ca="1">(B53^3+(C53+$D$5)^3-2*B53*(C53+$D$5))</f>
        <v>8.6091117524311755E-4</v>
      </c>
      <c r="F53" s="32">
        <f ca="1">((B53)^3+(C53-$D$5)^3-2*B53*(C53-$D$5))</f>
        <v>-8.6102715640912209E-4</v>
      </c>
      <c r="G53" s="32">
        <f ca="1">(E53-F53)/(2*$D$5)</f>
        <v>8.6096916582611982</v>
      </c>
      <c r="H53" s="32">
        <f ca="1">C53-D53/G53</f>
        <v>-1.9330193694713462</v>
      </c>
      <c r="I53" s="186">
        <f ca="1">(C54-C52)/(B54-B52)</f>
        <v>-1.0381357474341093</v>
      </c>
      <c r="J53" s="185">
        <f ca="1">(2*C53-3*(B53^2))/(3*(C53^2)-2*B53)</f>
        <v>-1.0379046200515998</v>
      </c>
    </row>
    <row r="54" spans="2:10" x14ac:dyDescent="0.25">
      <c r="B54" s="172">
        <f>B53+$C$5</f>
        <v>1.4000000000000019</v>
      </c>
      <c r="C54" s="32">
        <f ca="1">IF($D$6="n",$D$7,H54)</f>
        <v>-2.036516373292923</v>
      </c>
      <c r="D54" s="32">
        <f ca="1">B54^3+C54^3-2*B54*C54</f>
        <v>0</v>
      </c>
      <c r="E54" s="32">
        <f ca="1">(B54^3+(C54+$D$5)^3-2*B54*(C54+$D$5))</f>
        <v>9.6415858711917934E-4</v>
      </c>
      <c r="F54" s="32">
        <f ca="1">((B54)^3+(C54-$D$5)^3-2*B54*(C54-$D$5))</f>
        <v>-9.6428077809918022E-4</v>
      </c>
      <c r="G54" s="32">
        <f ca="1">(E54-F54)/(2*$D$5)</f>
        <v>9.6421968260917978</v>
      </c>
      <c r="H54" s="32">
        <f ca="1">C54-D54/G54</f>
        <v>-2.036516373292923</v>
      </c>
      <c r="I54" s="186">
        <f ca="1">(C55-C53)/(B55-B53)</f>
        <v>-1.0324142382979931</v>
      </c>
      <c r="J54" s="185">
        <f ca="1">(2*C54-3*(B54^2))/(3*(C54^2)-2*B54)</f>
        <v>-1.0322370447777336</v>
      </c>
    </row>
    <row r="55" spans="2:10" x14ac:dyDescent="0.25">
      <c r="B55" s="172">
        <f>B54+$C$5</f>
        <v>1.500000000000002</v>
      </c>
      <c r="C55" s="32">
        <f ca="1">IF($D$6="n",$D$7,H55)</f>
        <v>-2.139502217130945</v>
      </c>
      <c r="D55" s="32">
        <f ca="1">B55^3+C55^3-2*B55*C55</f>
        <v>0</v>
      </c>
      <c r="E55" s="32">
        <f ca="1">(B55^3+(C55+$D$5)^3-2*B55*(C55+$D$5))</f>
        <v>1.0731767370639744E-3</v>
      </c>
      <c r="F55" s="32">
        <f ca="1">((B55)^3+(C55-$D$5)^3-2*B55*(C55-$D$5))</f>
        <v>-1.0733051072042699E-3</v>
      </c>
      <c r="G55" s="32">
        <f ca="1">(E55-F55)/(2*$D$5)</f>
        <v>10.732409221341221</v>
      </c>
      <c r="H55" s="32">
        <f ca="1">C55-D55/G55</f>
        <v>-2.139502217130945</v>
      </c>
      <c r="I55" s="186">
        <f ca="1">(C56-C54)/(B56-B54)</f>
        <v>-1.0277731419364002</v>
      </c>
      <c r="J55" s="185">
        <f ca="1">(2*C55-3*(B55^2))/(3*(C55^2)-2*B55)</f>
        <v>-1.0276354746727567</v>
      </c>
    </row>
    <row r="56" spans="2:10" x14ac:dyDescent="0.25">
      <c r="B56" s="172">
        <f>B55+$C$5</f>
        <v>1.6000000000000021</v>
      </c>
      <c r="C56" s="32">
        <f ca="1">IF($D$6="n",$D$7,H56)</f>
        <v>-2.2420710016802032</v>
      </c>
      <c r="D56" s="32">
        <f ca="1">B56^3+C56^3-2*B56*C56</f>
        <v>0</v>
      </c>
      <c r="E56" s="32">
        <f ca="1">(B56^3+(C56+$D$5)^3-2*B56*(C56+$D$5))</f>
        <v>1.1879974518462788E-3</v>
      </c>
      <c r="F56" s="32">
        <f ca="1">((B56)^3+(C56-$D$5)^3-2*B56*(C56-$D$5))</f>
        <v>-1.1881319761046782E-3</v>
      </c>
      <c r="G56" s="32">
        <f ca="1">(E56-F56)/(2*$D$5)</f>
        <v>11.880647139754785</v>
      </c>
      <c r="H56" s="32">
        <f ca="1">C56-D56/G56</f>
        <v>-2.2420710016802032</v>
      </c>
      <c r="I56" s="186">
        <f ca="1">(C57-C55)/(B57-B55)</f>
        <v>-1.023970148183321</v>
      </c>
      <c r="J56" s="185">
        <f ca="1">(2*C56-3*(B56^2))/(3*(C56^2)-2*B56)</f>
        <v>-1.0238619050409556</v>
      </c>
    </row>
    <row r="57" spans="2:10" x14ac:dyDescent="0.25">
      <c r="B57" s="172">
        <f>B56+$C$5</f>
        <v>1.7000000000000022</v>
      </c>
      <c r="C57" s="32">
        <f ca="1">IF($D$6="n",$D$7,H57)</f>
        <v>-2.3442962467676094</v>
      </c>
      <c r="D57" s="32">
        <f ca="1">B57^3+C57^3-2*B57*C57</f>
        <v>0</v>
      </c>
      <c r="E57" s="32">
        <f ca="1">(B57^3+(C57+$D$5)^3-2*B57*(C57+$D$5))</f>
        <v>1.3086471398988664E-3</v>
      </c>
      <c r="F57" s="32">
        <f ca="1">((B57)^3+(C57-$D$5)^3-2*B57*(C57-$D$5))</f>
        <v>-1.3087877976714068E-3</v>
      </c>
      <c r="G57" s="32">
        <f ca="1">(E57-F57)/(2*$D$5)</f>
        <v>13.087174687851366</v>
      </c>
      <c r="H57" s="32">
        <f ca="1">C57-D57/G57</f>
        <v>-2.3442962467676094</v>
      </c>
      <c r="I57" s="186">
        <f ca="1">(C58-C56)/(B58-B56)</f>
        <v>-1.0208252531480868</v>
      </c>
      <c r="J57" s="185">
        <f ca="1">(2*C57-3*(B57^2))/(3*(C57^2)-2*B57)</f>
        <v>-1.0207392215960114</v>
      </c>
    </row>
    <row r="58" spans="2:10" x14ac:dyDescent="0.25">
      <c r="B58" s="172">
        <f>B57+$C$5</f>
        <v>1.8000000000000023</v>
      </c>
      <c r="C58" s="32">
        <f ca="1">IF($D$6="n",$D$7,H58)</f>
        <v>-2.4462360523098208</v>
      </c>
      <c r="D58" s="32">
        <f ca="1">B58^3+C58^3-2*B58*C58</f>
        <v>0</v>
      </c>
      <c r="E58" s="32">
        <f ca="1">(B58^3+(C58+$D$5)^3-2*B58*(C58+$D$5))</f>
        <v>1.4351478610059587E-3</v>
      </c>
      <c r="F58" s="32">
        <f ca="1">((B58)^3+(C58-$D$5)^3-2*B58*(C58-$D$5))</f>
        <v>-1.435294635172113E-3</v>
      </c>
      <c r="G58" s="32">
        <f ca="1">(E58-F58)/(2*$D$5)</f>
        <v>14.352212480890358</v>
      </c>
      <c r="H58" s="32">
        <f ca="1">C58-D58/G58</f>
        <v>-2.4462360523098208</v>
      </c>
      <c r="I58" s="186">
        <f ca="1">(C59-C57)/(B59-B57)</f>
        <v>-1.018202816655466</v>
      </c>
      <c r="J58" s="185">
        <f ca="1">(2*C58-3*(B58^2))/(3*(C58^2)-2*B58)</f>
        <v>-1.018133763995416</v>
      </c>
    </row>
    <row r="59" spans="2:10" x14ac:dyDescent="0.25">
      <c r="B59" s="172">
        <f>B58+$C$5</f>
        <v>1.9000000000000024</v>
      </c>
      <c r="C59" s="32">
        <f ca="1">IF($D$6="n",$D$7,H59)</f>
        <v>-2.5479368100987028</v>
      </c>
      <c r="D59" s="32">
        <f ca="1">B59^3+C59^3-2*B59*C59</f>
        <v>0</v>
      </c>
      <c r="E59" s="32">
        <f ca="1">(B59^3+(C59+$D$5)^3-2*B59*(C59+$D$5))</f>
        <v>1.5675181593746146E-3</v>
      </c>
      <c r="F59" s="32">
        <f ca="1">((B59)^3+(C59-$D$5)^3-2*B59*(C59-$D$5))</f>
        <v>-1.5676710355840839E-3</v>
      </c>
      <c r="G59" s="32">
        <f ca="1">(E59-F59)/(2*$D$5)</f>
        <v>15.675945974793493</v>
      </c>
      <c r="H59" s="32">
        <f ca="1">C59-D59/G59</f>
        <v>-2.5479368100987028</v>
      </c>
      <c r="I59" s="186">
        <f ca="1">(C60-C58)/(B60-B58)</f>
        <v>-1.015999310898368</v>
      </c>
      <c r="J59" s="185">
        <f ca="1">(2*C59-3*(B59^2))/(3*(C59^2)-2*B59)</f>
        <v>-1.0159433858722973</v>
      </c>
    </row>
    <row r="60" spans="2:10" x14ac:dyDescent="0.25">
      <c r="B60" s="172">
        <f>B59+$C$5</f>
        <v>2.0000000000000022</v>
      </c>
      <c r="C60" s="32">
        <f ca="1">IF($D$6="n",$D$7,H60)</f>
        <v>-2.6494359144894943</v>
      </c>
      <c r="D60" s="32">
        <f ca="1">B60^3+C60^3-2*B60*C60</f>
        <v>0</v>
      </c>
      <c r="E60" s="32">
        <f ca="1">(B60^3+(C60+$D$5)^3-2*B60*(C60+$D$5))</f>
        <v>1.7057737174202003E-3</v>
      </c>
      <c r="F60" s="32">
        <f ca="1">((B60)^3+(C60-$D$5)^3-2*B60*(C60-$D$5))</f>
        <v>-1.7059326835759947E-3</v>
      </c>
      <c r="G60" s="32">
        <f ca="1">(E60-F60)/(2*$D$5)</f>
        <v>17.058532004980975</v>
      </c>
      <c r="H60" s="32">
        <f ca="1">C60-D60/G60</f>
        <v>-2.6494359144894943</v>
      </c>
      <c r="I60" s="186">
        <f ca="1">(C61-C59)/(B61-B59)</f>
        <v>-1.0141347965568939</v>
      </c>
      <c r="J60" s="185">
        <f ca="1">(2*C60-3*(B60^2))/(3*(C60^2)-2*B60)</f>
        <v>-1.0140891276042789</v>
      </c>
    </row>
    <row r="61" spans="2:10" x14ac:dyDescent="0.25">
      <c r="B61" s="172">
        <f>B60+$C$5</f>
        <v>2.1000000000000023</v>
      </c>
      <c r="C61" s="32">
        <f ca="1">IF($D$6="n",$D$7,H61)</f>
        <v>-2.7507637694100815</v>
      </c>
      <c r="D61" s="32">
        <f ca="1">B61^3+C61^3-2*B61*C61</f>
        <v>0</v>
      </c>
      <c r="E61" s="32">
        <f ca="1">(B61^3+(C61+$D$5)^3-2*B61*(C61+$D$5))</f>
        <v>1.8499278726178403E-3</v>
      </c>
      <c r="F61" s="32">
        <f ca="1">((B61)^3+(C61-$D$5)^3-2*B61*(C61-$D$5))</f>
        <v>-1.8500929184455117E-3</v>
      </c>
      <c r="G61" s="32">
        <f ca="1">(E61-F61)/(2*$D$5)</f>
        <v>18.50010395531676</v>
      </c>
      <c r="H61" s="32">
        <f ca="1">C61-D61/G61</f>
        <v>-2.7507637694100815</v>
      </c>
      <c r="I61" s="186">
        <f ca="1">(C62-C60)/(B62-B60)</f>
        <v>-1.012546892565457</v>
      </c>
      <c r="J61" s="185">
        <f ca="1">(2*C61-3*(B61^2))/(3*(C61^2)-2*B61)</f>
        <v>-1.0125093131480238</v>
      </c>
    </row>
    <row r="62" spans="2:10" x14ac:dyDescent="0.25">
      <c r="B62" s="172">
        <f>B61+$C$5</f>
        <v>2.2000000000000024</v>
      </c>
      <c r="C62" s="32">
        <f ca="1">IF($D$6="n",$D$7,H62)</f>
        <v>-2.8519452930025859</v>
      </c>
      <c r="D62" s="32">
        <f ca="1">B62^3+C62^3-2*B62*C62</f>
        <v>0</v>
      </c>
      <c r="E62" s="32">
        <f ca="1">(B62^3+(C62+$D$5)^3-2*B62*(C62+$D$5))</f>
        <v>1.9999920289297535E-3</v>
      </c>
      <c r="F62" s="32">
        <f ca="1">((B62)^3+(C62-$D$5)^3-2*B62*(C62-$D$5))</f>
        <v>-2.000163145643441E-3</v>
      </c>
      <c r="G62" s="32">
        <f ca="1">(E62-F62)/(2*$D$5)</f>
        <v>20.000775872865972</v>
      </c>
      <c r="H62" s="32">
        <f ca="1">C62-D62/G62</f>
        <v>-2.8519452930025859</v>
      </c>
      <c r="I62" s="186">
        <f ca="1">(C63-C61)/(B63-B61)</f>
        <v>-1.0111864456969046</v>
      </c>
      <c r="J62" s="185">
        <f ca="1">(2*C62-3*(B62^2))/(3*(C62^2)-2*B62)</f>
        <v>-1.011155303409051</v>
      </c>
    </row>
    <row r="63" spans="2:10" x14ac:dyDescent="0.25">
      <c r="B63" s="172">
        <f>B62+$C$5</f>
        <v>2.3000000000000025</v>
      </c>
      <c r="C63" s="32">
        <f ca="1">IF($D$6="n",$D$7,H63)</f>
        <v>-2.9530010585494626</v>
      </c>
      <c r="D63" s="32">
        <f ca="1">B63^3+C63^3-2*B63*C63</f>
        <v>0</v>
      </c>
      <c r="E63" s="32">
        <f ca="1">(B63^3+(C63+$D$5)^3-2*B63*(C63+$D$5))</f>
        <v>2.1559759865130701E-3</v>
      </c>
      <c r="F63" s="32">
        <f ca="1">((B63)^3+(C63-$D$5)^3-2*B63*(C63-$D$5))</f>
        <v>-2.1561531665703626E-3</v>
      </c>
      <c r="G63" s="32">
        <f ca="1">(E63-F63)/(2*$D$5)</f>
        <v>21.560645765417163</v>
      </c>
      <c r="H63" s="32">
        <f ca="1">C63-D63/G63</f>
        <v>-2.9530010585494626</v>
      </c>
      <c r="I63" s="186">
        <f ca="1">(C64-C62)/(B64-B62)</f>
        <v>-1.0100143784202977</v>
      </c>
      <c r="J63" s="185">
        <f ca="1">(2*C63-3*(B63^2))/(3*(C63^2)-2*B63)</f>
        <v>-1.0099884003549597</v>
      </c>
    </row>
    <row r="64" spans="2:10" x14ac:dyDescent="0.25">
      <c r="B64" s="172">
        <f>B63+$C$5</f>
        <v>2.4000000000000026</v>
      </c>
      <c r="C64" s="32">
        <f ca="1">IF($D$6="n",$D$7,H64)</f>
        <v>-3.0539481686866456</v>
      </c>
      <c r="D64" s="32">
        <f ca="1">B64^3+C64^3-2*B64*C64</f>
        <v>0</v>
      </c>
      <c r="E64" s="32">
        <f ca="1">(B64^3+(C64+$D$5)^3-2*B64*(C64+$D$5))</f>
        <v>2.3178882076706486E-3</v>
      </c>
      <c r="F64" s="32">
        <f ca="1">((B64)^3+(C64-$D$5)^3-2*B64*(C64-$D$5))</f>
        <v>-2.3180714445576456E-3</v>
      </c>
      <c r="G64" s="32">
        <f ca="1">(E64-F64)/(2*$D$5)</f>
        <v>23.179798261141471</v>
      </c>
      <c r="H64" s="32">
        <f ca="1">C64-D64/G64</f>
        <v>-3.0539481686866456</v>
      </c>
      <c r="I64" s="186">
        <f ca="1">(C65-C63)/(B65-B63)</f>
        <v>-1.0089993659401233</v>
      </c>
      <c r="J64" s="185">
        <f ca="1">(2*C64-3*(B64^2))/(3*(C64^2)-2*B64)</f>
        <v>-1.008977562446651</v>
      </c>
    </row>
    <row r="65" spans="2:10" x14ac:dyDescent="0.25">
      <c r="B65" s="172">
        <f>B64+$C$5</f>
        <v>2.5000000000000027</v>
      </c>
      <c r="C65" s="32">
        <f ca="1">IF($D$6="n",$D$7,H65)</f>
        <v>-3.1548009317374874</v>
      </c>
      <c r="D65" s="32">
        <f ca="1">B65^3+C65^3-2*B65*C65</f>
        <v>0</v>
      </c>
      <c r="E65" s="32">
        <f ca="1">(B65^3+(C65+$D$5)^3-2*B65*(C65+$D$5))</f>
        <v>2.4857360326446809E-3</v>
      </c>
      <c r="F65" s="32">
        <f ca="1">((B65)^3+(C65-$D$5)^3-2*B65*(C65-$D$5))</f>
        <v>-2.485925320694804E-3</v>
      </c>
      <c r="G65" s="32">
        <f ca="1">(E65-F65)/(2*$D$5)</f>
        <v>24.858306766697424</v>
      </c>
      <c r="H65" s="32">
        <f ca="1">C65-D65/G65</f>
        <v>-3.1548009317374874</v>
      </c>
      <c r="I65" s="186">
        <f ca="1">(C66-C64)/(B66-B64)</f>
        <v>-1.0081161048124412</v>
      </c>
      <c r="J65" s="185">
        <f ca="1">(2*C65-3*(B65^2))/(3*(C65^2)-2*B65)</f>
        <v>-1.0080976998461817</v>
      </c>
    </row>
    <row r="66" spans="2:10" x14ac:dyDescent="0.25">
      <c r="B66" s="172">
        <f>B65+$C$5</f>
        <v>2.6000000000000028</v>
      </c>
      <c r="C66" s="32">
        <f ca="1">IF($D$6="n",$D$7,H66)</f>
        <v>-3.2555713896491341</v>
      </c>
      <c r="D66" s="32">
        <f ca="1">B66^3+C66^3-2*B66*C66</f>
        <v>0</v>
      </c>
      <c r="E66" s="32">
        <f ca="1">(B66^3+(C66+$D$5)^3-2*B66*(C66+$D$5))</f>
        <v>2.6595258557904344E-3</v>
      </c>
      <c r="F66" s="32">
        <f ca="1">((B66)^3+(C66-$D$5)^3-2*B66*(C66-$D$5))</f>
        <v>-2.6597211900813988E-3</v>
      </c>
      <c r="G66" s="32">
        <f ca="1">(E66-F66)/(2*$D$5)</f>
        <v>26.596235229359166</v>
      </c>
      <c r="H66" s="32">
        <f ca="1">C66-D66/G66</f>
        <v>-3.2555713896491341</v>
      </c>
      <c r="I66" s="186">
        <f ca="1">(C67-C65)/(B67-B65)</f>
        <v>-1.0073440089479537</v>
      </c>
      <c r="J66" s="185">
        <f ca="1">(2*C66-3*(B66^2))/(3*(C66^2)-2*B66)</f>
        <v>-1.0073283890891014</v>
      </c>
    </row>
    <row r="67" spans="2:10" x14ac:dyDescent="0.25">
      <c r="B67" s="172">
        <f>B66+$C$5</f>
        <v>2.7000000000000028</v>
      </c>
      <c r="C67" s="32">
        <f ca="1">IF($D$6="n",$D$7,H67)</f>
        <v>-3.3562697335270784</v>
      </c>
      <c r="D67" s="32">
        <f ca="1">B67^3+C67^3-2*B67*C67</f>
        <v>0</v>
      </c>
      <c r="E67" s="32">
        <f ca="1">(B67^3+(C67+$D$5)^3-2*B67*(C67+$D$5))</f>
        <v>2.8392632701752518E-3</v>
      </c>
      <c r="F67" s="32">
        <f ca="1">((B67)^3+(C67-$D$5)^3-2*B67*(C67-$D$5))</f>
        <v>-2.8394646463567597E-3</v>
      </c>
      <c r="G67" s="32">
        <f ca="1">(E67-F67)/(2*$D$5)</f>
        <v>28.393639582660057</v>
      </c>
      <c r="H67" s="32">
        <f ca="1">C67-D67/G67</f>
        <v>-3.3562697335270784</v>
      </c>
      <c r="I67" s="186">
        <f ca="1">(C68-C66)/(B68-B66)</f>
        <v>-1.006666217965523</v>
      </c>
      <c r="J67" s="185">
        <f ca="1">(2*C67-3*(B67^2))/(3*(C67^2)-2*B67)</f>
        <v>-1.0066528947090996</v>
      </c>
    </row>
    <row r="68" spans="2:10" x14ac:dyDescent="0.25">
      <c r="B68" s="172">
        <f>B67+$C$5</f>
        <v>2.8000000000000029</v>
      </c>
      <c r="C68" s="32">
        <f ca="1">IF($D$6="n",$D$7,H68)</f>
        <v>-3.4569046332422388</v>
      </c>
      <c r="D68" s="32">
        <f ca="1">B68^3+C68^3-2*B68*C68</f>
        <v>0</v>
      </c>
      <c r="E68" s="32">
        <f ca="1">(B68^3+(C68+$D$5)^3-2*B68*(C68+$D$5))</f>
        <v>3.024953186873347E-3</v>
      </c>
      <c r="F68" s="32">
        <f ca="1">((B68)^3+(C68-$D$5)^3-2*B68*(C68-$D$5))</f>
        <v>-3.0251606011439947E-3</v>
      </c>
      <c r="G68" s="32">
        <f ca="1">(E68-F68)/(2*$D$5)</f>
        <v>30.250568940086708</v>
      </c>
      <c r="H68" s="32">
        <f ca="1">C68-D68/G68</f>
        <v>-3.4569046332422388</v>
      </c>
      <c r="I68" s="186">
        <f ca="1">(C69-C67)/(B69-B67)</f>
        <v>-1.0060688362706052</v>
      </c>
      <c r="J68" s="185">
        <f ca="1">(2*C68-3*(B68^2))/(3*(C68^2)-2*B68)</f>
        <v>-1.0060574178592674</v>
      </c>
    </row>
    <row r="69" spans="2:10" x14ac:dyDescent="0.25">
      <c r="B69" s="172">
        <f>B68+$C$5</f>
        <v>2.900000000000003</v>
      </c>
      <c r="C69" s="32">
        <f ca="1">IF($D$6="n",$D$7,H69)</f>
        <v>-3.5574835007811996</v>
      </c>
      <c r="D69" s="32">
        <f ca="1">B69^3+C69^3-2*B69*C69</f>
        <v>0</v>
      </c>
      <c r="E69" s="32">
        <f ca="1">(B69^3+(C69+$D$5)^3-2*B69*(C69+$D$5))</f>
        <v>3.2165999339888174E-3</v>
      </c>
      <c r="F69" s="32">
        <f ca="1">((B69)^3+(C69-$D$5)^3-2*B69*(C69-$D$5))</f>
        <v>-3.2168133830197121E-3</v>
      </c>
      <c r="G69" s="32">
        <f ca="1">(E69-F69)/(2*$D$5)</f>
        <v>32.167066585042647</v>
      </c>
      <c r="H69" s="32">
        <f ca="1">C69-D69/G69</f>
        <v>-3.5574835007811996</v>
      </c>
      <c r="I69" s="184">
        <f ca="1">(C70-C68)/(B70-B68)</f>
        <v>-1.0055403442596713</v>
      </c>
      <c r="J69" s="183">
        <f ca="1">(2*C69-3*(B69^2))/(3*(C69^2)-2*B69)</f>
        <v>-1.0055305144519888</v>
      </c>
    </row>
    <row r="70" spans="2:10" x14ac:dyDescent="0.25">
      <c r="B70" s="170">
        <f>B69+$C$5</f>
        <v>3.0000000000000031</v>
      </c>
      <c r="C70" s="169">
        <f ca="1">IF($D$6="n",$D$7,H70)</f>
        <v>-3.6580127020941733</v>
      </c>
      <c r="D70" s="169">
        <f ca="1">B70^3+C70^3-2*B70*C70</f>
        <v>0</v>
      </c>
      <c r="E70" s="169">
        <f ca="1">(B70^3+(C70+$D$5)^3-2*B70*(C70+$D$5))</f>
        <v>3.4142073392260386E-3</v>
      </c>
      <c r="F70" s="169">
        <f ca="1">((B70)^3+(C70-$D$5)^3-2*B70*(C70-$D$5))</f>
        <v>-3.4144268200080319E-3</v>
      </c>
      <c r="G70" s="169">
        <f ca="1">(E70-F70)/(2*$D$5)</f>
        <v>34.143170796170352</v>
      </c>
      <c r="H70" s="169">
        <f ca="1">C70-D70/G70</f>
        <v>-3.6580127020941733</v>
      </c>
      <c r="I70" s="168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"/>
  <sheetViews>
    <sheetView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8:E150"/>
  <sheetViews>
    <sheetView tabSelected="1" workbookViewId="0">
      <selection activeCell="E5" sqref="E5"/>
    </sheetView>
  </sheetViews>
  <sheetFormatPr defaultRowHeight="15" x14ac:dyDescent="0.25"/>
  <cols>
    <col min="5" max="5" width="12.42578125" customWidth="1"/>
  </cols>
  <sheetData>
    <row r="8" spans="1:5" x14ac:dyDescent="0.25">
      <c r="A8" s="197" t="s">
        <v>296</v>
      </c>
      <c r="B8" s="197" t="s">
        <v>295</v>
      </c>
      <c r="C8" s="1" t="s">
        <v>294</v>
      </c>
      <c r="D8" s="1" t="s">
        <v>293</v>
      </c>
      <c r="E8" s="1" t="s">
        <v>292</v>
      </c>
    </row>
    <row r="9" spans="1:5" x14ac:dyDescent="0.25">
      <c r="A9" s="31">
        <v>0</v>
      </c>
      <c r="B9" s="196">
        <v>2.78</v>
      </c>
      <c r="C9" s="31">
        <f>(B10-B9)/(A10-A9)</f>
        <v>6.1728395061728714</v>
      </c>
      <c r="D9" s="31">
        <f>(A10+A9)/2</f>
        <v>4.0500000000000006E-3</v>
      </c>
      <c r="E9" s="31">
        <f>(C10-C9)/(D10-D9)</f>
        <v>618.92824226908499</v>
      </c>
    </row>
    <row r="10" spans="1:5" x14ac:dyDescent="0.25">
      <c r="A10" s="31">
        <v>8.1000000000000013E-3</v>
      </c>
      <c r="B10" s="196">
        <v>2.83</v>
      </c>
      <c r="C10" s="31">
        <f>(B11-B9)/(A11-A9)</f>
        <v>9.917355371900836</v>
      </c>
      <c r="D10" s="31">
        <f>(A11+A10)/2</f>
        <v>1.0100000000000001E-2</v>
      </c>
      <c r="E10" s="31">
        <f>(C11-C10)/(D11-D10)</f>
        <v>945.02828509562096</v>
      </c>
    </row>
    <row r="11" spans="1:5" x14ac:dyDescent="0.25">
      <c r="A11" s="31">
        <v>1.21E-2</v>
      </c>
      <c r="B11" s="196">
        <v>2.9</v>
      </c>
      <c r="C11" s="31">
        <f>(B12-B10)/(A12-A10)</f>
        <v>16.296296296296276</v>
      </c>
      <c r="D11" s="31">
        <f>(A12+A11)/2</f>
        <v>1.685E-2</v>
      </c>
      <c r="E11" s="31">
        <f>(C12-C11)/(D12-D11)</f>
        <v>-128.39506172839256</v>
      </c>
    </row>
    <row r="12" spans="1:5" x14ac:dyDescent="0.25">
      <c r="A12" s="31">
        <v>2.1600000000000001E-2</v>
      </c>
      <c r="B12" s="196">
        <v>3.05</v>
      </c>
      <c r="C12" s="31">
        <f>(B13-B11)/(A13-A11)</f>
        <v>15.333333333333332</v>
      </c>
      <c r="D12" s="31">
        <f>(A13+A12)/2</f>
        <v>2.435E-2</v>
      </c>
      <c r="E12" s="31">
        <f>(C13-C12)/(D13-D12)</f>
        <v>-230.3156434269857</v>
      </c>
    </row>
    <row r="13" spans="1:5" x14ac:dyDescent="0.25">
      <c r="A13" s="31">
        <v>2.7099999999999999E-2</v>
      </c>
      <c r="B13" s="196">
        <v>3.13</v>
      </c>
      <c r="C13" s="31">
        <f>(B14-B12)/(A14-A12)</f>
        <v>13.548387096774192</v>
      </c>
      <c r="D13" s="31">
        <f>(A14+A13)/2</f>
        <v>3.2100000000000004E-2</v>
      </c>
      <c r="E13" s="31">
        <f>(C14-C13)/(D14-D13)</f>
        <v>-110.98292907314483</v>
      </c>
    </row>
    <row r="14" spans="1:5" x14ac:dyDescent="0.25">
      <c r="A14" s="31">
        <v>3.7100000000000001E-2</v>
      </c>
      <c r="B14" s="196">
        <v>3.26</v>
      </c>
      <c r="C14" s="31">
        <f>(B15-B13)/(A15-A13)</f>
        <v>12.765957446808521</v>
      </c>
      <c r="D14" s="31">
        <f>(A15+A14)/2</f>
        <v>3.9150000000000004E-2</v>
      </c>
      <c r="E14" s="31">
        <f>(C15-C14)/(D15-D14)</f>
        <v>-522.83179880723549</v>
      </c>
    </row>
    <row r="15" spans="1:5" x14ac:dyDescent="0.25">
      <c r="A15" s="31">
        <v>4.1200000000000001E-2</v>
      </c>
      <c r="B15" s="196">
        <v>3.31</v>
      </c>
      <c r="C15" s="31">
        <f>(B16-B14)/(A16-A14)</f>
        <v>10.204081632653066</v>
      </c>
      <c r="D15" s="31">
        <f>(A16+A15)/2</f>
        <v>4.4050000000000006E-2</v>
      </c>
      <c r="E15" s="31">
        <f>(C16-C15)/(D16-D15)</f>
        <v>71.70027774423076</v>
      </c>
    </row>
    <row r="16" spans="1:5" x14ac:dyDescent="0.25">
      <c r="A16" s="31">
        <v>4.6900000000000004E-2</v>
      </c>
      <c r="B16" s="196">
        <v>3.36</v>
      </c>
      <c r="C16" s="31">
        <f>(B17-B15)/(A17-A15)</f>
        <v>10.576923076923066</v>
      </c>
      <c r="D16" s="31">
        <f>(A17+A16)/2</f>
        <v>4.9250000000000002E-2</v>
      </c>
      <c r="E16" s="31">
        <f>(C17-C16)/(D17-D16)</f>
        <v>183.62713675214661</v>
      </c>
    </row>
    <row r="17" spans="1:5" x14ac:dyDescent="0.25">
      <c r="A17" s="31">
        <v>5.16E-2</v>
      </c>
      <c r="B17" s="196">
        <v>3.42</v>
      </c>
      <c r="C17" s="31">
        <f>(B18-B16)/(A18-A16)</f>
        <v>11.458333333333369</v>
      </c>
      <c r="D17" s="31">
        <f>(A18+A17)/2</f>
        <v>5.4050000000000001E-2</v>
      </c>
      <c r="E17" s="31">
        <f>(C18-C17)/(D18-D17)</f>
        <v>-291.6666666666722</v>
      </c>
    </row>
    <row r="18" spans="1:5" x14ac:dyDescent="0.25">
      <c r="A18" s="31">
        <v>5.6500000000000002E-2</v>
      </c>
      <c r="B18" s="196">
        <v>3.47</v>
      </c>
      <c r="C18" s="31">
        <f>(B19-B17)/(A19-A17)</f>
        <v>10.000000000000007</v>
      </c>
      <c r="D18" s="31">
        <f>(A19+A18)/2</f>
        <v>5.9050000000000005E-2</v>
      </c>
      <c r="E18" s="31">
        <f>(C19-C18)/(D19-D18)</f>
        <v>-284.79886080456021</v>
      </c>
    </row>
    <row r="19" spans="1:5" x14ac:dyDescent="0.25">
      <c r="A19" s="31">
        <v>6.1600000000000002E-2</v>
      </c>
      <c r="B19" s="196">
        <v>3.52</v>
      </c>
      <c r="C19" s="31">
        <f>(B20-B18)/(A20-A18)</f>
        <v>8.4905660377358423</v>
      </c>
      <c r="D19" s="31">
        <f>(A20+A19)/2</f>
        <v>6.4349999999999991E-2</v>
      </c>
      <c r="E19" s="31">
        <f>(C20-C19)/(D20-D19)</f>
        <v>-166.00350832156423</v>
      </c>
    </row>
    <row r="20" spans="1:5" x14ac:dyDescent="0.25">
      <c r="A20" s="31">
        <v>6.7099999999999993E-2</v>
      </c>
      <c r="B20" s="196">
        <v>3.56</v>
      </c>
      <c r="C20" s="31">
        <f>(B21-B19)/(A21-A19)</f>
        <v>7.6190476190476293</v>
      </c>
      <c r="D20" s="31">
        <f>(A21+A20)/2</f>
        <v>6.9599999999999995E-2</v>
      </c>
      <c r="E20" s="31">
        <f>(C21-C20)/(D21-D20)</f>
        <v>76.190476190474072</v>
      </c>
    </row>
    <row r="21" spans="1:5" x14ac:dyDescent="0.25">
      <c r="A21" s="31">
        <v>7.2099999999999997E-2</v>
      </c>
      <c r="B21" s="196">
        <v>3.6</v>
      </c>
      <c r="C21" s="31">
        <f>(B22-B20)/(A22-A20)</f>
        <v>8</v>
      </c>
      <c r="D21" s="31">
        <f>(A22+A21)/2</f>
        <v>7.46E-2</v>
      </c>
      <c r="E21" s="31">
        <f>(C22-C21)/(D22-D21)</f>
        <v>16.324864809715926</v>
      </c>
    </row>
    <row r="22" spans="1:5" x14ac:dyDescent="0.25">
      <c r="A22" s="31">
        <v>7.7100000000000002E-2</v>
      </c>
      <c r="B22" s="196">
        <v>3.64</v>
      </c>
      <c r="C22" s="31">
        <f>(B23-B21)/(A23-A21)</f>
        <v>8.0808080808080938</v>
      </c>
      <c r="D22" s="31">
        <f>(A23+A22)/2</f>
        <v>7.9549999999999996E-2</v>
      </c>
      <c r="E22" s="31">
        <f>(C23-C22)/(D23-D22)</f>
        <v>-149.97621645821661</v>
      </c>
    </row>
    <row r="23" spans="1:5" x14ac:dyDescent="0.25">
      <c r="A23" s="31">
        <v>8.199999999999999E-2</v>
      </c>
      <c r="B23" s="196">
        <v>3.68</v>
      </c>
      <c r="C23" s="31">
        <f>(B24-B22)/(A24-A22)</f>
        <v>7.3684210526315663</v>
      </c>
      <c r="D23" s="31">
        <f>(A24+A23)/2</f>
        <v>8.4299999999999986E-2</v>
      </c>
      <c r="E23" s="31">
        <f>(C24-C23)/(D24-D23)</f>
        <v>-282.73801846052038</v>
      </c>
    </row>
    <row r="24" spans="1:5" x14ac:dyDescent="0.25">
      <c r="A24" s="31">
        <v>8.6599999999999996E-2</v>
      </c>
      <c r="B24" s="196">
        <v>3.71</v>
      </c>
      <c r="C24" s="31">
        <f>(B25-B23)/(A25-A23)</f>
        <v>5.9405940594059308</v>
      </c>
      <c r="D24" s="31">
        <f>(A25+A24)/2</f>
        <v>8.9350000000000013E-2</v>
      </c>
      <c r="E24" s="31">
        <f>(C25-C24)/(D25-D24)</f>
        <v>319.70543993174977</v>
      </c>
    </row>
    <row r="25" spans="1:5" x14ac:dyDescent="0.25">
      <c r="A25" s="31">
        <v>9.2100000000000015E-2</v>
      </c>
      <c r="B25" s="196">
        <v>3.74</v>
      </c>
      <c r="C25" s="31">
        <f>(B26-B24)/(A26-A24)</f>
        <v>7.6190476190476186</v>
      </c>
      <c r="D25" s="31">
        <f>(A26+A25)/2</f>
        <v>9.4600000000000017E-2</v>
      </c>
      <c r="E25" s="31">
        <f>(C26-C25)/(D26-D25)</f>
        <v>-123.80952380952644</v>
      </c>
    </row>
    <row r="26" spans="1:5" x14ac:dyDescent="0.25">
      <c r="A26" s="31">
        <v>9.7100000000000006E-2</v>
      </c>
      <c r="B26" s="196">
        <v>3.79</v>
      </c>
      <c r="C26" s="31">
        <f>(B27-B25)/(A27-A25)</f>
        <v>6.9999999999999876</v>
      </c>
      <c r="D26" s="31">
        <f>(A27+A26)/2</f>
        <v>9.9600000000000008E-2</v>
      </c>
      <c r="E26" s="31">
        <f>(C27-C26)/(D27-D26)</f>
        <v>-599.99999999999693</v>
      </c>
    </row>
    <row r="27" spans="1:5" x14ac:dyDescent="0.25">
      <c r="A27" s="31">
        <v>0.10210000000000001</v>
      </c>
      <c r="B27" s="196">
        <v>3.81</v>
      </c>
      <c r="C27" s="31">
        <f>(B28-B26)/(A28-A26)</f>
        <v>4</v>
      </c>
      <c r="D27" s="31">
        <f>(A28+A27)/2</f>
        <v>0.10460000000000001</v>
      </c>
      <c r="E27" s="31">
        <f>(C28-C27)/(D28-D27)</f>
        <v>400.00000000000233</v>
      </c>
    </row>
    <row r="28" spans="1:5" x14ac:dyDescent="0.25">
      <c r="A28" s="31">
        <v>0.10710000000000001</v>
      </c>
      <c r="B28" s="196">
        <v>3.83</v>
      </c>
      <c r="C28" s="31">
        <f>(B29-B27)/(A29-A27)</f>
        <v>6.000000000000008</v>
      </c>
      <c r="D28" s="31">
        <f>(A29+A28)/2</f>
        <v>0.1096</v>
      </c>
      <c r="E28" s="31">
        <f>(C29-C28)/(D29-D28)</f>
        <v>0</v>
      </c>
    </row>
    <row r="29" spans="1:5" x14ac:dyDescent="0.25">
      <c r="A29" s="31">
        <v>0.11210000000000001</v>
      </c>
      <c r="B29" s="196">
        <v>3.87</v>
      </c>
      <c r="C29" s="31">
        <f>(B30-B28)/(A30-A28)</f>
        <v>6.000000000000008</v>
      </c>
      <c r="D29" s="31">
        <f>(A30+A29)/2</f>
        <v>0.11460000000000001</v>
      </c>
      <c r="E29" s="31">
        <f>(C30-C29)/(D30-D29)</f>
        <v>-108.22060353798116</v>
      </c>
    </row>
    <row r="30" spans="1:5" x14ac:dyDescent="0.25">
      <c r="A30" s="31">
        <v>0.11710000000000001</v>
      </c>
      <c r="B30" s="196">
        <v>3.89</v>
      </c>
      <c r="C30" s="31">
        <f>(B31-B29)/(A31-A29)</f>
        <v>5.1612903225806548</v>
      </c>
      <c r="D30" s="31">
        <f>(A31+A30)/2</f>
        <v>0.12235</v>
      </c>
      <c r="E30" s="31">
        <f>(C31-C30)/(D31-D30)</f>
        <v>7.3147538585314127</v>
      </c>
    </row>
    <row r="31" spans="1:5" x14ac:dyDescent="0.25">
      <c r="A31" s="31">
        <v>0.12759999999999999</v>
      </c>
      <c r="B31" s="196">
        <v>3.95</v>
      </c>
      <c r="C31" s="31">
        <f>(B32-B30)/(A32-A30)</f>
        <v>5.2380952380952346</v>
      </c>
      <c r="D31" s="31">
        <f>(A32+A31)/2</f>
        <v>0.13285</v>
      </c>
      <c r="E31" s="31">
        <f>(C32-C31)/(D32-D31)</f>
        <v>-28.475266197059511</v>
      </c>
    </row>
    <row r="32" spans="1:5" x14ac:dyDescent="0.25">
      <c r="A32" s="31">
        <v>0.1381</v>
      </c>
      <c r="B32" s="196">
        <v>4</v>
      </c>
      <c r="C32" s="31">
        <f>(B33-B31)/(A33-A31)</f>
        <v>4.9504950495049336</v>
      </c>
      <c r="D32" s="31">
        <f>(A33+A32)/2</f>
        <v>0.14294999999999999</v>
      </c>
      <c r="E32" s="31">
        <f>(C33-C32)/(D33-D32)</f>
        <v>32.911878445461539</v>
      </c>
    </row>
    <row r="33" spans="1:5" x14ac:dyDescent="0.25">
      <c r="A33" s="31">
        <v>0.14779999999999999</v>
      </c>
      <c r="B33" s="196">
        <v>4.05</v>
      </c>
      <c r="C33" s="31">
        <f>(B34-B32)/(A34-A32)</f>
        <v>5.2631578947368185</v>
      </c>
      <c r="D33" s="31">
        <f>(A34+A33)/2</f>
        <v>0.15245</v>
      </c>
      <c r="E33" s="31">
        <f>(C34-C33)/(D34-D33)</f>
        <v>-62.170513938203804</v>
      </c>
    </row>
    <row r="34" spans="1:5" x14ac:dyDescent="0.25">
      <c r="A34" s="31">
        <v>0.15710000000000002</v>
      </c>
      <c r="B34" s="196">
        <v>4.0999999999999996</v>
      </c>
      <c r="C34" s="31">
        <f>(B35-B33)/(A35-A33)</f>
        <v>4.6632124352331505</v>
      </c>
      <c r="D34" s="31">
        <f>(A35+A34)/2</f>
        <v>0.16210000000000002</v>
      </c>
      <c r="E34" s="31">
        <f>(C35-C34)/(D35-D34)</f>
        <v>-16.32124352331109</v>
      </c>
    </row>
    <row r="35" spans="1:5" x14ac:dyDescent="0.25">
      <c r="A35" s="31">
        <v>0.1671</v>
      </c>
      <c r="B35" s="196">
        <v>4.1399999999999997</v>
      </c>
      <c r="C35" s="31">
        <f>(B36-B34)/(A36-A34)</f>
        <v>4.50000000000004</v>
      </c>
      <c r="D35" s="31">
        <f>(A36+A35)/2</f>
        <v>0.1721</v>
      </c>
      <c r="E35" s="31">
        <f>(C36-C35)/(D36-D35)</f>
        <v>-6.2172489379008716E-13</v>
      </c>
    </row>
    <row r="36" spans="1:5" x14ac:dyDescent="0.25">
      <c r="A36" s="31">
        <v>0.17710000000000001</v>
      </c>
      <c r="B36" s="196">
        <v>4.1900000000000004</v>
      </c>
      <c r="C36" s="31">
        <f>(B37-B35)/(A37-A35)</f>
        <v>4.5000000000000338</v>
      </c>
      <c r="D36" s="31">
        <f>(A37+A36)/2</f>
        <v>0.18210000000000001</v>
      </c>
      <c r="E36" s="31">
        <f>(C37-C36)/(D37-D36)</f>
        <v>-3.8191672047105458E-12</v>
      </c>
    </row>
    <row r="37" spans="1:5" x14ac:dyDescent="0.25">
      <c r="A37" s="31">
        <v>0.18710000000000002</v>
      </c>
      <c r="B37" s="196">
        <v>4.2300000000000004</v>
      </c>
      <c r="C37" s="31">
        <f>(B38-B36)/(A38-A36)</f>
        <v>4.4999999999999956</v>
      </c>
      <c r="D37" s="31">
        <f>(A38+A37)/2</f>
        <v>0.19209999999999999</v>
      </c>
      <c r="E37" s="31">
        <f>(C38-C37)/(D38-D37)</f>
        <v>0</v>
      </c>
    </row>
    <row r="38" spans="1:5" x14ac:dyDescent="0.25">
      <c r="A38" s="31">
        <v>0.1971</v>
      </c>
      <c r="B38" s="196">
        <v>4.28</v>
      </c>
      <c r="C38" s="31">
        <f>(B39-B37)/(A39-A37)</f>
        <v>4.4999999999999956</v>
      </c>
      <c r="D38" s="31">
        <f>(A39+A38)/2</f>
        <v>0.2021</v>
      </c>
      <c r="E38" s="31">
        <f>(C39-C38)/(D39-D38)</f>
        <v>-40.76265614727108</v>
      </c>
    </row>
    <row r="39" spans="1:5" x14ac:dyDescent="0.25">
      <c r="A39" s="31">
        <v>0.20710000000000001</v>
      </c>
      <c r="B39" s="196">
        <v>4.32</v>
      </c>
      <c r="C39" s="31">
        <f>(B40-B38)/(A40-A38)</f>
        <v>4.1025641025641022</v>
      </c>
      <c r="D39" s="31">
        <f>(A40+A39)/2</f>
        <v>0.21185000000000001</v>
      </c>
      <c r="E39" s="31">
        <f>(C40-C39)/(D40-D39)</f>
        <v>39.743589743589411</v>
      </c>
    </row>
    <row r="40" spans="1:5" x14ac:dyDescent="0.25">
      <c r="A40" s="31">
        <v>0.21660000000000001</v>
      </c>
      <c r="B40" s="196">
        <v>4.3600000000000003</v>
      </c>
      <c r="C40" s="31">
        <f>(B41-B39)/(A41-A39)</f>
        <v>4.4999999999999956</v>
      </c>
      <c r="D40" s="31">
        <f>(A41+A40)/2</f>
        <v>0.22184999999999999</v>
      </c>
      <c r="E40" s="31">
        <f>(C41-C40)/(D41-D40)</f>
        <v>-10.707911957168395</v>
      </c>
    </row>
    <row r="41" spans="1:5" x14ac:dyDescent="0.25">
      <c r="A41" s="31">
        <v>0.2271</v>
      </c>
      <c r="B41" s="196">
        <v>4.41</v>
      </c>
      <c r="C41" s="31">
        <f>(B42-B40)/(A42-A40)</f>
        <v>4.3902439024390194</v>
      </c>
      <c r="D41" s="31">
        <f>(A42+A41)/2</f>
        <v>0.2321</v>
      </c>
      <c r="E41" s="31">
        <f>(C42-C41)/(D42-D41)</f>
        <v>-55.306675515733886</v>
      </c>
    </row>
    <row r="42" spans="1:5" x14ac:dyDescent="0.25">
      <c r="A42" s="31">
        <v>0.23710000000000001</v>
      </c>
      <c r="B42" s="196">
        <v>4.45</v>
      </c>
      <c r="C42" s="31">
        <f>(B43-B41)/(A43-A41)</f>
        <v>3.8095238095238146</v>
      </c>
      <c r="D42" s="31">
        <f>(A43+A42)/2</f>
        <v>0.24259999999999998</v>
      </c>
      <c r="E42" s="31">
        <f>(C43-C42)/(D43-D42)</f>
        <v>19.047619047619051</v>
      </c>
    </row>
    <row r="43" spans="1:5" x14ac:dyDescent="0.25">
      <c r="A43" s="31">
        <v>0.24809999999999999</v>
      </c>
      <c r="B43" s="196">
        <v>4.49</v>
      </c>
      <c r="C43" s="31">
        <f>(B44-B42)/(A44-A42)</f>
        <v>4.0000000000000053</v>
      </c>
      <c r="D43" s="31">
        <f>(A44+A43)/2</f>
        <v>0.25259999999999999</v>
      </c>
      <c r="E43" s="31">
        <f>(C44-C43)/(D44-D43)</f>
        <v>10.519395134779186</v>
      </c>
    </row>
    <row r="44" spans="1:5" x14ac:dyDescent="0.25">
      <c r="A44" s="31">
        <v>0.2571</v>
      </c>
      <c r="B44" s="196">
        <v>4.53</v>
      </c>
      <c r="C44" s="31">
        <f>(B45-B43)/(A45-A43)</f>
        <v>4.1025641025641022</v>
      </c>
      <c r="D44" s="31">
        <f>(A45+A44)/2</f>
        <v>0.26234999999999997</v>
      </c>
      <c r="E44" s="31">
        <f>(C45-C44)/(D45-D44)</f>
        <v>-10.256410256410211</v>
      </c>
    </row>
    <row r="45" spans="1:5" x14ac:dyDescent="0.25">
      <c r="A45" s="31">
        <v>0.2676</v>
      </c>
      <c r="B45" s="196">
        <v>4.57</v>
      </c>
      <c r="C45" s="31">
        <f>(B46-B44)/(A46-A44)</f>
        <v>4</v>
      </c>
      <c r="D45" s="31">
        <f>(A46+A45)/2</f>
        <v>0.27234999999999998</v>
      </c>
      <c r="E45" s="31">
        <f>(C46-C45)/(D46-D45)</f>
        <v>22.160664819944426</v>
      </c>
    </row>
    <row r="46" spans="1:5" x14ac:dyDescent="0.25">
      <c r="A46" s="31">
        <v>0.27710000000000001</v>
      </c>
      <c r="B46" s="196">
        <v>4.6100000000000003</v>
      </c>
      <c r="C46" s="31">
        <f>(B47-B45)/(A47-A45)</f>
        <v>4.2105263157894735</v>
      </c>
      <c r="D46" s="31">
        <f>(A47+A46)/2</f>
        <v>0.28185000000000004</v>
      </c>
      <c r="E46" s="31">
        <f>(C47-C46)/(D47-D46)</f>
        <v>7.1607590404584149</v>
      </c>
    </row>
    <row r="47" spans="1:5" x14ac:dyDescent="0.25">
      <c r="A47" s="31">
        <v>0.28660000000000002</v>
      </c>
      <c r="B47" s="196">
        <v>4.6500000000000004</v>
      </c>
      <c r="C47" s="31">
        <f>(B48-B46)/(A48-A46)</f>
        <v>4.2857142857142865</v>
      </c>
      <c r="D47" s="31">
        <f>(A48+A47)/2</f>
        <v>0.29235</v>
      </c>
      <c r="E47" s="31">
        <f>(C48-C47)/(D48-D47)</f>
        <v>-37.392708421856845</v>
      </c>
    </row>
    <row r="48" spans="1:5" x14ac:dyDescent="0.25">
      <c r="A48" s="31">
        <v>0.29809999999999998</v>
      </c>
      <c r="B48" s="196">
        <v>4.7</v>
      </c>
      <c r="C48" s="31">
        <f>(B49-B47)/(A49-A47)</f>
        <v>3.9024390243902545</v>
      </c>
      <c r="D48" s="31">
        <f>(A49+A48)/2</f>
        <v>0.30259999999999998</v>
      </c>
      <c r="E48" s="31">
        <f>(C49-C48)/(D49-D48)</f>
        <v>32.430241199917759</v>
      </c>
    </row>
    <row r="49" spans="1:5" x14ac:dyDescent="0.25">
      <c r="A49" s="31">
        <v>0.30709999999999998</v>
      </c>
      <c r="B49" s="196">
        <v>4.7300000000000004</v>
      </c>
      <c r="C49" s="31">
        <f>(B50-B48)/(A50-A48)</f>
        <v>4.2105263157894735</v>
      </c>
      <c r="D49" s="31">
        <f>(A50+A49)/2</f>
        <v>0.31209999999999999</v>
      </c>
      <c r="E49" s="31">
        <f>(C50-C49)/(D50-D49)</f>
        <v>-21.052631578951768</v>
      </c>
    </row>
    <row r="50" spans="1:5" x14ac:dyDescent="0.25">
      <c r="A50" s="31">
        <v>0.31709999999999999</v>
      </c>
      <c r="B50" s="196">
        <v>4.78</v>
      </c>
      <c r="C50" s="31">
        <f>(B51-B49)/(A51-A49)</f>
        <v>3.9999999999999556</v>
      </c>
      <c r="D50" s="31">
        <f>(A51+A50)/2</f>
        <v>0.3221</v>
      </c>
      <c r="E50" s="31">
        <f>(C51-C50)/(D51-D50)</f>
        <v>-18.140589569156774</v>
      </c>
    </row>
    <row r="51" spans="1:5" x14ac:dyDescent="0.25">
      <c r="A51" s="31">
        <v>0.3271</v>
      </c>
      <c r="B51" s="196">
        <v>4.8099999999999996</v>
      </c>
      <c r="C51" s="31">
        <f>(B52-B50)/(A52-A50)</f>
        <v>3.8095238095238093</v>
      </c>
      <c r="D51" s="31">
        <f>(A52+A51)/2</f>
        <v>0.33260000000000001</v>
      </c>
      <c r="E51" s="31">
        <f>(C52-C51)/(D52-D51)</f>
        <v>69.047619047622376</v>
      </c>
    </row>
    <row r="52" spans="1:5" x14ac:dyDescent="0.25">
      <c r="A52" s="31">
        <v>0.33810000000000001</v>
      </c>
      <c r="B52" s="196">
        <v>4.8600000000000003</v>
      </c>
      <c r="C52" s="31">
        <f>(B53-B51)/(A53-A51)</f>
        <v>4.5000000000000338</v>
      </c>
      <c r="D52" s="31">
        <f>(A53+A52)/2</f>
        <v>0.34260000000000002</v>
      </c>
      <c r="E52" s="31">
        <f>(C53-C52)/(D53-D52)</f>
        <v>-196.67590027701294</v>
      </c>
    </row>
    <row r="53" spans="1:5" x14ac:dyDescent="0.25">
      <c r="A53" s="31">
        <v>0.34710000000000002</v>
      </c>
      <c r="B53" s="196">
        <v>4.9000000000000004</v>
      </c>
      <c r="C53" s="31">
        <f>(B54-B52)/(A54-A52)</f>
        <v>2.6315789473684092</v>
      </c>
      <c r="D53" s="31">
        <f>(A54+A53)/2</f>
        <v>0.35210000000000002</v>
      </c>
      <c r="E53" s="31">
        <f>(C54-C53)/(D54-D53)</f>
        <v>136.84210526316079</v>
      </c>
    </row>
    <row r="54" spans="1:5" x14ac:dyDescent="0.25">
      <c r="A54" s="31">
        <v>0.35710000000000003</v>
      </c>
      <c r="B54" s="196">
        <v>4.91</v>
      </c>
      <c r="C54" s="31">
        <f>(B55-B53)/(A55-A53)</f>
        <v>4.0000000000000107</v>
      </c>
      <c r="D54" s="31">
        <f>(A55+A54)/2</f>
        <v>0.36209999999999998</v>
      </c>
      <c r="E54" s="31">
        <f>(C55-C54)/(D55-D54)</f>
        <v>180.84473527662189</v>
      </c>
    </row>
    <row r="55" spans="1:5" x14ac:dyDescent="0.25">
      <c r="A55" s="31">
        <v>0.36709999999999998</v>
      </c>
      <c r="B55" s="196">
        <v>4.9800000000000004</v>
      </c>
      <c r="C55" s="31">
        <f>(B56-B54)/(A56-A54)</f>
        <v>5.8536585365853817</v>
      </c>
      <c r="D55" s="31">
        <f>(A56+A55)/2</f>
        <v>0.37234999999999996</v>
      </c>
      <c r="E55" s="31">
        <f>(C56-C55)/(D56-D55)</f>
        <v>-135.36585365853912</v>
      </c>
    </row>
    <row r="56" spans="1:5" x14ac:dyDescent="0.25">
      <c r="A56" s="31">
        <v>0.37759999999999999</v>
      </c>
      <c r="B56" s="196">
        <v>5.03</v>
      </c>
      <c r="C56" s="31">
        <f>(B57-B55)/(A57-A55)</f>
        <v>4.4999999999999893</v>
      </c>
      <c r="D56" s="31">
        <f>(A57+A56)/2</f>
        <v>0.38234999999999997</v>
      </c>
      <c r="E56" s="31">
        <f>(C57-C56)/(D57-D56)</f>
        <v>-49.999999999997826</v>
      </c>
    </row>
    <row r="57" spans="1:5" x14ac:dyDescent="0.25">
      <c r="A57" s="31">
        <v>0.3871</v>
      </c>
      <c r="B57" s="196">
        <v>5.07</v>
      </c>
      <c r="C57" s="31">
        <f>(B58-B56)/(A58-A56)</f>
        <v>4.0000000000000107</v>
      </c>
      <c r="D57" s="31">
        <f>(A58+A57)/2</f>
        <v>0.39234999999999998</v>
      </c>
      <c r="E57" s="31">
        <f>(C58-C57)/(D58-D57)</f>
        <v>57.718570434691117</v>
      </c>
    </row>
    <row r="58" spans="1:5" x14ac:dyDescent="0.25">
      <c r="A58" s="31">
        <v>0.39759999999999995</v>
      </c>
      <c r="B58" s="196">
        <v>5.1100000000000003</v>
      </c>
      <c r="C58" s="31">
        <f>(B59-B57)/(A59-A57)</f>
        <v>4.5685279187817196</v>
      </c>
      <c r="D58" s="31">
        <f>(A59+A58)/2</f>
        <v>0.4022</v>
      </c>
      <c r="E58" s="31">
        <f>(C59-C58)/(D59-D58)</f>
        <v>57.4027907100891</v>
      </c>
    </row>
    <row r="59" spans="1:5" x14ac:dyDescent="0.25">
      <c r="A59" s="31">
        <v>0.40679999999999999</v>
      </c>
      <c r="B59" s="196">
        <v>5.16</v>
      </c>
      <c r="C59" s="31">
        <f>(B60-B58)/(A60-A58)</f>
        <v>5.1282051282050904</v>
      </c>
      <c r="D59" s="31">
        <f>(A60+A59)/2</f>
        <v>0.41195000000000004</v>
      </c>
      <c r="E59" s="31">
        <f>(C60-C59)/(D60-D59)</f>
        <v>-68.444097661014169</v>
      </c>
    </row>
    <row r="60" spans="1:5" x14ac:dyDescent="0.25">
      <c r="A60" s="31">
        <v>0.41710000000000003</v>
      </c>
      <c r="B60" s="196">
        <v>5.21</v>
      </c>
      <c r="C60" s="31">
        <f>(B61-B59)/(A61-A59)</f>
        <v>4.4334975369457972</v>
      </c>
      <c r="D60" s="31">
        <f>(A61+A60)/2</f>
        <v>0.42210000000000003</v>
      </c>
      <c r="E60" s="31">
        <f>(C61-C60)/(D61-D60)</f>
        <v>6.6502463054204535</v>
      </c>
    </row>
    <row r="61" spans="1:5" x14ac:dyDescent="0.25">
      <c r="A61" s="31">
        <v>0.42710000000000004</v>
      </c>
      <c r="B61" s="196">
        <v>5.25</v>
      </c>
      <c r="C61" s="31">
        <f>(B62-B60)/(A62-A60)</f>
        <v>4.5000000000000018</v>
      </c>
      <c r="D61" s="31">
        <f>(A62+A61)/2</f>
        <v>0.43210000000000004</v>
      </c>
      <c r="E61" s="31">
        <f>(C62-C61)/(D62-D61)</f>
        <v>49.999999999999254</v>
      </c>
    </row>
    <row r="62" spans="1:5" x14ac:dyDescent="0.25">
      <c r="A62" s="31">
        <v>0.43709999999999999</v>
      </c>
      <c r="B62" s="196">
        <v>5.3</v>
      </c>
      <c r="C62" s="31">
        <f>(B63-B61)/(A63-A61)</f>
        <v>4.999999999999992</v>
      </c>
      <c r="D62" s="31">
        <f>(A63+A62)/2</f>
        <v>0.44209999999999999</v>
      </c>
      <c r="E62" s="31">
        <f>(C63-C62)/(D63-D62)</f>
        <v>8.5733882030198227</v>
      </c>
    </row>
    <row r="63" spans="1:5" x14ac:dyDescent="0.25">
      <c r="A63" s="31">
        <v>0.4471</v>
      </c>
      <c r="B63" s="196">
        <v>5.35</v>
      </c>
      <c r="C63" s="31">
        <f>(B64-B62)/(A64-A62)</f>
        <v>5.0925925925926059</v>
      </c>
      <c r="D63" s="31">
        <f>(A64+A63)/2</f>
        <v>0.45289999999999997</v>
      </c>
      <c r="E63" s="31">
        <f>(C64-C63)/(D64-D63)</f>
        <v>90.740740740739326</v>
      </c>
    </row>
    <row r="64" spans="1:5" x14ac:dyDescent="0.25">
      <c r="A64" s="31">
        <v>0.4587</v>
      </c>
      <c r="B64" s="196">
        <v>5.41</v>
      </c>
      <c r="C64" s="31">
        <f>(B65-B63)/(A65-A63)</f>
        <v>6</v>
      </c>
      <c r="D64" s="31">
        <f>(A65+A64)/2</f>
        <v>0.46289999999999998</v>
      </c>
      <c r="E64" s="31">
        <f>(C65-C64)/(D65-D64)</f>
        <v>56.710775047258302</v>
      </c>
    </row>
    <row r="65" spans="1:5" x14ac:dyDescent="0.25">
      <c r="A65" s="31">
        <v>0.46710000000000002</v>
      </c>
      <c r="B65" s="196">
        <v>5.47</v>
      </c>
      <c r="C65" s="31">
        <f>(B66-B64)/(A66-A64)</f>
        <v>6.5217391304347787</v>
      </c>
      <c r="D65" s="31">
        <f>(A66+A65)/2</f>
        <v>0.47210000000000002</v>
      </c>
      <c r="E65" s="31">
        <f>(C66-C65)/(D66-D65)</f>
        <v>-104.34782608694677</v>
      </c>
    </row>
    <row r="66" spans="1:5" x14ac:dyDescent="0.25">
      <c r="A66" s="31">
        <v>0.47710000000000002</v>
      </c>
      <c r="B66" s="196">
        <v>5.53</v>
      </c>
      <c r="C66" s="31">
        <f>(B67-B65)/(A67-A65)</f>
        <v>6.0000000000000444</v>
      </c>
      <c r="D66" s="31">
        <f>(A67+A66)/2</f>
        <v>0.47710000000000002</v>
      </c>
      <c r="E66" s="31">
        <f>(C67-C66)/(D67-D66)</f>
        <v>199.9999999999776</v>
      </c>
    </row>
    <row r="67" spans="1:5" x14ac:dyDescent="0.25">
      <c r="A67" s="31">
        <v>0.47710000000000002</v>
      </c>
      <c r="B67" s="196">
        <v>5.53</v>
      </c>
      <c r="C67" s="31">
        <f>(B68-B66)/(A68-A66)</f>
        <v>6.9999999999999334</v>
      </c>
      <c r="D67" s="31">
        <f>(A68+A67)/2</f>
        <v>0.48210000000000003</v>
      </c>
      <c r="E67" s="31">
        <f>(C68-C67)/(D68-D67)</f>
        <v>20.408163265315331</v>
      </c>
    </row>
    <row r="68" spans="1:5" x14ac:dyDescent="0.25">
      <c r="A68" s="31">
        <v>0.48710000000000003</v>
      </c>
      <c r="B68" s="196">
        <v>5.6</v>
      </c>
      <c r="C68" s="31">
        <f>(B69-B67)/(A69-A67)</f>
        <v>7.1428571428571397</v>
      </c>
      <c r="D68" s="31">
        <f>(A69+A68)/2</f>
        <v>0.48909999999999998</v>
      </c>
      <c r="E68" s="31">
        <f>(C69-C68)/(D69-D68)</f>
        <v>141.09347442682451</v>
      </c>
    </row>
    <row r="69" spans="1:5" x14ac:dyDescent="0.25">
      <c r="A69" s="31">
        <v>0.49109999999999998</v>
      </c>
      <c r="B69" s="196">
        <v>5.63</v>
      </c>
      <c r="C69" s="31">
        <f>(B70-B68)/(A70-A68)</f>
        <v>7.7777777777778505</v>
      </c>
      <c r="D69" s="31">
        <f>(A70+A69)/2</f>
        <v>0.49359999999999998</v>
      </c>
      <c r="E69" s="31">
        <f>(C70-C69)/(D70-D69)</f>
        <v>118.51851851850674</v>
      </c>
    </row>
    <row r="70" spans="1:5" x14ac:dyDescent="0.25">
      <c r="A70" s="31">
        <v>0.49609999999999999</v>
      </c>
      <c r="B70" s="196">
        <v>5.67</v>
      </c>
      <c r="C70" s="31">
        <f>(B71-B69)/(A71-A69)</f>
        <v>8.6666666666666519</v>
      </c>
      <c r="D70" s="31">
        <f>(A71+A70)/2</f>
        <v>0.50109999999999999</v>
      </c>
      <c r="E70" s="31">
        <f>(C71-C70)/(D71-D70)</f>
        <v>177.7777777777828</v>
      </c>
    </row>
    <row r="71" spans="1:5" x14ac:dyDescent="0.25">
      <c r="A71" s="31">
        <v>0.50609999999999999</v>
      </c>
      <c r="B71" s="196">
        <v>5.76</v>
      </c>
      <c r="C71" s="31">
        <f>(B72-B70)/(A72-A70)</f>
        <v>10.000000000000014</v>
      </c>
      <c r="D71" s="31">
        <f>(A72+A71)/2</f>
        <v>0.50859999999999994</v>
      </c>
      <c r="E71" s="31">
        <f>(C72-C71)/(D72-D71)</f>
        <v>-3.5527136788004977E-12</v>
      </c>
    </row>
    <row r="72" spans="1:5" x14ac:dyDescent="0.25">
      <c r="A72" s="31">
        <v>0.5111</v>
      </c>
      <c r="B72" s="196">
        <v>5.82</v>
      </c>
      <c r="C72" s="31">
        <f>(B73-B71)/(A73-A71)</f>
        <v>10</v>
      </c>
      <c r="D72" s="31">
        <f>(A73+A72)/2</f>
        <v>0.51259999999999994</v>
      </c>
      <c r="E72" s="31">
        <f>(C73-C72)/(D73-D72)</f>
        <v>-1.7763568394002094E-11</v>
      </c>
    </row>
    <row r="73" spans="1:5" x14ac:dyDescent="0.25">
      <c r="A73" s="31">
        <v>0.5141</v>
      </c>
      <c r="B73" s="196">
        <v>5.84</v>
      </c>
      <c r="C73" s="31">
        <f>(B74-B72)/(A74-A72)</f>
        <v>9.9999999999999556</v>
      </c>
      <c r="D73" s="31">
        <f>(A74+A73)/2</f>
        <v>0.5151</v>
      </c>
      <c r="E73" s="31">
        <f>(C74-C73)/(D74-D73)</f>
        <v>1249.9999999999936</v>
      </c>
    </row>
    <row r="74" spans="1:5" x14ac:dyDescent="0.25">
      <c r="A74" s="31">
        <v>0.5161</v>
      </c>
      <c r="B74" s="196">
        <v>5.87</v>
      </c>
      <c r="C74" s="31">
        <f>(B75-B73)/(A75-A73)</f>
        <v>12.499999999999945</v>
      </c>
      <c r="D74" s="31">
        <f>(A75+A74)/2</f>
        <v>0.5171</v>
      </c>
      <c r="E74" s="31">
        <f>(C75-C74)/(D75-D74)</f>
        <v>-999.9999999999726</v>
      </c>
    </row>
    <row r="75" spans="1:5" x14ac:dyDescent="0.25">
      <c r="A75" s="31">
        <v>0.5181</v>
      </c>
      <c r="B75" s="196">
        <v>5.89</v>
      </c>
      <c r="C75" s="31">
        <f>(B76-B74)/(A76-A74)</f>
        <v>9.9999999999999556</v>
      </c>
      <c r="D75" s="31">
        <f>(A76+A75)/2</f>
        <v>0.51960000000000006</v>
      </c>
      <c r="E75" s="31">
        <f>(C76-C75)/(D76-D75)</f>
        <v>625.00000000002433</v>
      </c>
    </row>
    <row r="76" spans="1:5" x14ac:dyDescent="0.25">
      <c r="A76" s="31">
        <v>0.52110000000000001</v>
      </c>
      <c r="B76" s="196">
        <v>5.92</v>
      </c>
      <c r="C76" s="31">
        <f>(B77-B75)/(A77-A75)</f>
        <v>12.500000000000055</v>
      </c>
      <c r="D76" s="31">
        <f>(A77+A76)/2</f>
        <v>0.52360000000000007</v>
      </c>
      <c r="E76" s="31">
        <f>(C77-C76)/(D77-D76)</f>
        <v>500.00000000000392</v>
      </c>
    </row>
    <row r="77" spans="1:5" x14ac:dyDescent="0.25">
      <c r="A77" s="31">
        <v>0.52610000000000001</v>
      </c>
      <c r="B77" s="196">
        <v>5.99</v>
      </c>
      <c r="C77" s="31">
        <f>(B78-B76)/(A78-A76)</f>
        <v>15.000000000000021</v>
      </c>
      <c r="D77" s="31">
        <f>(A78+A77)/2</f>
        <v>0.52859999999999996</v>
      </c>
      <c r="E77" s="31">
        <f>(C78-C77)/(D78-D77)</f>
        <v>399.99999999998226</v>
      </c>
    </row>
    <row r="78" spans="1:5" x14ac:dyDescent="0.25">
      <c r="A78" s="31">
        <v>0.53110000000000002</v>
      </c>
      <c r="B78" s="196">
        <v>6.07</v>
      </c>
      <c r="C78" s="31">
        <f>(B79-B77)/(A79-A77)</f>
        <v>16.999999999999979</v>
      </c>
      <c r="D78" s="31">
        <f>(A79+A78)/2</f>
        <v>0.53360000000000007</v>
      </c>
      <c r="E78" s="31">
        <f>(C79-C78)/(D79-D78)</f>
        <v>557.65595463139209</v>
      </c>
    </row>
    <row r="79" spans="1:5" x14ac:dyDescent="0.25">
      <c r="A79" s="31">
        <v>0.53610000000000002</v>
      </c>
      <c r="B79" s="196">
        <v>6.16</v>
      </c>
      <c r="C79" s="31">
        <f>(B80-B78)/(A80-A78)</f>
        <v>19.565217391304348</v>
      </c>
      <c r="D79" s="31">
        <f>(A80+A79)/2</f>
        <v>0.53820000000000001</v>
      </c>
      <c r="E79" s="31">
        <f>(C80-C79)/(D80-D79)</f>
        <v>738.05689747719714</v>
      </c>
    </row>
    <row r="80" spans="1:5" x14ac:dyDescent="0.25">
      <c r="A80" s="31">
        <v>0.5403</v>
      </c>
      <c r="B80" s="196">
        <v>6.25</v>
      </c>
      <c r="C80" s="31">
        <f>(B81-B79)/(A81-A79)</f>
        <v>22.222222222222292</v>
      </c>
      <c r="D80" s="31">
        <f>(A81+A80)/2</f>
        <v>0.54180000000000006</v>
      </c>
      <c r="E80" s="31">
        <f>(C81-C80)/(D81-D80)</f>
        <v>660.58924560702167</v>
      </c>
    </row>
    <row r="81" spans="1:5" x14ac:dyDescent="0.25">
      <c r="A81" s="31">
        <v>0.54330000000000001</v>
      </c>
      <c r="B81" s="196">
        <v>6.32</v>
      </c>
      <c r="C81" s="31">
        <f>(B82-B80)/(A82-A80)</f>
        <v>24.137931034482591</v>
      </c>
      <c r="D81" s="31">
        <f>(A82+A81)/2</f>
        <v>0.54469999999999996</v>
      </c>
      <c r="E81" s="31">
        <f>(C82-C81)/(D82-D81)</f>
        <v>1189.0606420929441</v>
      </c>
    </row>
    <row r="82" spans="1:5" x14ac:dyDescent="0.25">
      <c r="A82" s="31">
        <v>0.54610000000000003</v>
      </c>
      <c r="B82" s="196">
        <v>6.39</v>
      </c>
      <c r="C82" s="31">
        <f>(B83-B81)/(A83-A81)</f>
        <v>27.586206896552145</v>
      </c>
      <c r="D82" s="31">
        <f>(A83+A82)/2</f>
        <v>0.54759999999999998</v>
      </c>
      <c r="E82" s="31">
        <f>(C83-C82)/(D83-D82)</f>
        <v>2554.2784163474271</v>
      </c>
    </row>
    <row r="83" spans="1:5" x14ac:dyDescent="0.25">
      <c r="A83" s="31">
        <v>0.54909999999999992</v>
      </c>
      <c r="B83" s="196">
        <v>6.48</v>
      </c>
      <c r="C83" s="31">
        <f>(B84-B82)/(A84-A82)</f>
        <v>33.33333333333379</v>
      </c>
      <c r="D83" s="31">
        <f>(A84+A83)/2</f>
        <v>0.54984999999999995</v>
      </c>
      <c r="E83" s="31">
        <f>(C84-C83)/(D84-D83)</f>
        <v>6666.6666666627989</v>
      </c>
    </row>
    <row r="84" spans="1:5" x14ac:dyDescent="0.25">
      <c r="A84" s="31">
        <v>0.55059999999999998</v>
      </c>
      <c r="B84" s="196">
        <v>6.54</v>
      </c>
      <c r="C84" s="31">
        <f>(B85-B83)/(A85-A83)</f>
        <v>39.999999999997335</v>
      </c>
      <c r="D84" s="31">
        <f>(A85+A84)/2</f>
        <v>0.55085000000000006</v>
      </c>
      <c r="E84" s="31">
        <f>(C85-C84)/(D85-D84)</f>
        <v>2.6645352591006693E-9</v>
      </c>
    </row>
    <row r="85" spans="1:5" x14ac:dyDescent="0.25">
      <c r="A85" s="31">
        <v>0.55110000000000003</v>
      </c>
      <c r="B85" s="196">
        <v>6.56</v>
      </c>
      <c r="C85" s="31">
        <f>(B86-B84)/(A86-A84)</f>
        <v>40</v>
      </c>
      <c r="D85" s="31">
        <f>(A86+A85)/2</f>
        <v>0.55184999999999995</v>
      </c>
      <c r="E85" s="31">
        <f>(C86-C85)/(D86-D85)</f>
        <v>4444.4444444455248</v>
      </c>
    </row>
    <row r="86" spans="1:5" x14ac:dyDescent="0.25">
      <c r="A86" s="31">
        <v>0.55259999999999998</v>
      </c>
      <c r="B86" s="196">
        <v>6.62</v>
      </c>
      <c r="C86" s="31">
        <f>(B87-B85)/(A87-A85)</f>
        <v>46.66666666666854</v>
      </c>
      <c r="D86" s="31">
        <f>(A87+A86)/2</f>
        <v>0.55335000000000001</v>
      </c>
      <c r="E86" s="31">
        <f>(C87-C86)/(D87-D86)</f>
        <v>10666.666666666248</v>
      </c>
    </row>
    <row r="87" spans="1:5" x14ac:dyDescent="0.25">
      <c r="A87" s="31">
        <v>0.55409999999999993</v>
      </c>
      <c r="B87" s="196">
        <v>6.7</v>
      </c>
      <c r="C87" s="31">
        <f>(B88-B86)/(A88-A86)</f>
        <v>60.000000000001066</v>
      </c>
      <c r="D87" s="31">
        <f>(A88+A87)/2</f>
        <v>0.55459999999999998</v>
      </c>
      <c r="E87" s="31">
        <f>(C88-C87)/(D88-D87)</f>
        <v>-2.2879476091474357E-9</v>
      </c>
    </row>
    <row r="88" spans="1:5" x14ac:dyDescent="0.25">
      <c r="A88" s="31">
        <v>0.55509999999999993</v>
      </c>
      <c r="B88" s="196">
        <v>6.77</v>
      </c>
      <c r="C88" s="31">
        <f>(B89-B87)/(A89-A87)</f>
        <v>59.999999999997634</v>
      </c>
      <c r="D88" s="31">
        <f>(A89+A88)/2</f>
        <v>0.55610000000000004</v>
      </c>
      <c r="E88" s="31">
        <f>(C89-C88)/(D89-D88)</f>
        <v>8.9812601800078576E-10</v>
      </c>
    </row>
    <row r="89" spans="1:5" x14ac:dyDescent="0.25">
      <c r="A89" s="31">
        <v>0.55710000000000004</v>
      </c>
      <c r="B89" s="196">
        <v>6.88</v>
      </c>
      <c r="C89" s="31">
        <f>(B90-B88)/(A90-A88)</f>
        <v>59.999999999998757</v>
      </c>
      <c r="D89" s="31">
        <f>(A90+A89)/2</f>
        <v>0.55735000000000001</v>
      </c>
      <c r="E89" s="31">
        <f>(C90-C89)/(D90-D89)</f>
        <v>60000.000000008644</v>
      </c>
    </row>
    <row r="90" spans="1:5" x14ac:dyDescent="0.25">
      <c r="A90" s="31">
        <v>0.55759999999999998</v>
      </c>
      <c r="B90" s="196">
        <v>6.92</v>
      </c>
      <c r="C90" s="31">
        <f>(B91-B89)/(A91-A89)</f>
        <v>89.999999999999773</v>
      </c>
      <c r="D90" s="31">
        <f>(A91+A90)/2</f>
        <v>0.55784999999999996</v>
      </c>
      <c r="E90" s="31">
        <f>(C91-C90)/(D91-D90)</f>
        <v>19999.999999997337</v>
      </c>
    </row>
    <row r="91" spans="1:5" x14ac:dyDescent="0.25">
      <c r="A91" s="31">
        <v>0.55810000000000004</v>
      </c>
      <c r="B91" s="196">
        <v>6.97</v>
      </c>
      <c r="C91" s="31">
        <f>(B92-B90)/(A92-A90)</f>
        <v>99.999999999999559</v>
      </c>
      <c r="D91" s="31">
        <f>(A92+A91)/2</f>
        <v>0.55835000000000001</v>
      </c>
      <c r="E91" s="31">
        <f>(C92-C91)/(D92-D91)</f>
        <v>20000.000000027954</v>
      </c>
    </row>
    <row r="92" spans="1:5" x14ac:dyDescent="0.25">
      <c r="A92" s="31">
        <v>0.55859999999999999</v>
      </c>
      <c r="B92" s="196">
        <v>7.02</v>
      </c>
      <c r="C92" s="31">
        <f>(B93-B91)/(A93-A91)</f>
        <v>110.00000000001243</v>
      </c>
      <c r="D92" s="31">
        <f>(A93+A92)/2</f>
        <v>0.55884999999999996</v>
      </c>
      <c r="E92" s="31">
        <f>(C93-C92)/(D93-D92)</f>
        <v>13333.333333324532</v>
      </c>
    </row>
    <row r="93" spans="1:5" x14ac:dyDescent="0.25">
      <c r="A93" s="31">
        <v>0.55909999999999993</v>
      </c>
      <c r="B93" s="196">
        <v>7.08</v>
      </c>
      <c r="C93" s="31">
        <f>(B94-B92)/(A94-A92)</f>
        <v>120.00000000000473</v>
      </c>
      <c r="D93" s="31">
        <f>(A94+A93)/2</f>
        <v>0.55959999999999988</v>
      </c>
      <c r="E93" s="31">
        <f>(C94-C93)/(D94-D93)</f>
        <v>35555.555555540268</v>
      </c>
    </row>
    <row r="94" spans="1:5" x14ac:dyDescent="0.25">
      <c r="A94" s="31">
        <v>0.56009999999999993</v>
      </c>
      <c r="B94" s="196">
        <v>7.2</v>
      </c>
      <c r="C94" s="31">
        <f>(B95-B93)/(A95-A93)</f>
        <v>146.66666666666094</v>
      </c>
      <c r="D94" s="31">
        <f>(A95+A94)/2</f>
        <v>0.5603499999999999</v>
      </c>
      <c r="E94" s="31">
        <f>(C95-C94)/(D95-D94)</f>
        <v>88888.888888881833</v>
      </c>
    </row>
    <row r="95" spans="1:5" x14ac:dyDescent="0.25">
      <c r="A95" s="31">
        <v>0.56059999999999999</v>
      </c>
      <c r="B95" s="196">
        <v>7.3</v>
      </c>
      <c r="C95" s="31">
        <f>(B96-B94)/(A96-A94)</f>
        <v>213.33333333332484</v>
      </c>
      <c r="D95" s="31">
        <f>(A96+A95)/2</f>
        <v>0.56109999999999993</v>
      </c>
      <c r="E95" s="31">
        <f>(C96-C95)/(D96-D95)</f>
        <v>97777.777777771465</v>
      </c>
    </row>
    <row r="96" spans="1:5" x14ac:dyDescent="0.25">
      <c r="A96" s="31">
        <v>0.56159999999999999</v>
      </c>
      <c r="B96" s="196">
        <v>7.52</v>
      </c>
      <c r="C96" s="31">
        <f>(B97-B95)/(A97-A95)</f>
        <v>286.66666666665623</v>
      </c>
      <c r="D96" s="31">
        <f>(A97+A96)/2</f>
        <v>0.56184999999999996</v>
      </c>
      <c r="E96" s="31">
        <f>(C97-C96)/(D97-D96)</f>
        <v>546666.66666662635</v>
      </c>
    </row>
    <row r="97" spans="1:5" x14ac:dyDescent="0.25">
      <c r="A97" s="31">
        <v>0.56210000000000004</v>
      </c>
      <c r="B97" s="196">
        <v>7.73</v>
      </c>
      <c r="C97" s="31">
        <f>(B98-B96)/(A98-A96)</f>
        <v>560</v>
      </c>
      <c r="D97" s="31">
        <f>(A98+A97)/2</f>
        <v>0.56235000000000002</v>
      </c>
      <c r="E97" s="31">
        <f>(C98-C97)/(D98-D97)</f>
        <v>1119999.999999871</v>
      </c>
    </row>
    <row r="98" spans="1:5" x14ac:dyDescent="0.25">
      <c r="A98" s="31">
        <v>0.56259999999999999</v>
      </c>
      <c r="B98" s="196">
        <v>8.08</v>
      </c>
      <c r="C98" s="31">
        <f>(B99-B97)/(A99-A97)</f>
        <v>1119.9999999999982</v>
      </c>
      <c r="D98" s="31">
        <f>(A99+A98)/2</f>
        <v>0.56285000000000007</v>
      </c>
      <c r="E98" s="31">
        <f>(C99-C98)/(D99-D98)</f>
        <v>420000.00000004761</v>
      </c>
    </row>
    <row r="99" spans="1:5" x14ac:dyDescent="0.25">
      <c r="A99" s="31">
        <v>0.56310000000000004</v>
      </c>
      <c r="B99" s="196">
        <v>8.85</v>
      </c>
      <c r="C99" s="31">
        <f>(B100-B98)/(A100-A98)</f>
        <v>1329.9999999999989</v>
      </c>
      <c r="D99" s="31">
        <f>(A100+A99)/2</f>
        <v>0.56335000000000002</v>
      </c>
      <c r="E99" s="31">
        <f>(C100-C99)/(D100-D99)</f>
        <v>-919999.99999990535</v>
      </c>
    </row>
    <row r="100" spans="1:5" x14ac:dyDescent="0.25">
      <c r="A100" s="31">
        <v>0.56359999999999999</v>
      </c>
      <c r="B100" s="196">
        <v>9.41</v>
      </c>
      <c r="C100" s="31">
        <f>(B101-B99)/(A101-A99)</f>
        <v>870.00000000009686</v>
      </c>
      <c r="D100" s="31">
        <f>(A101+A100)/2</f>
        <v>0.56384999999999996</v>
      </c>
      <c r="E100" s="31">
        <f>(C101-C100)/(D101-D100)</f>
        <v>-591111.11111119681</v>
      </c>
    </row>
    <row r="101" spans="1:5" x14ac:dyDescent="0.25">
      <c r="A101" s="31">
        <v>0.56409999999999993</v>
      </c>
      <c r="B101" s="196">
        <v>9.7200000000000006</v>
      </c>
      <c r="C101" s="31">
        <f>(B102-B100)/(A102-A100)</f>
        <v>426.66666666668243</v>
      </c>
      <c r="D101" s="31">
        <f>(A102+A101)/2</f>
        <v>0.56459999999999999</v>
      </c>
      <c r="E101" s="31">
        <f>(C102-C101)/(D102-D101)</f>
        <v>-166666.66666669719</v>
      </c>
    </row>
    <row r="102" spans="1:5" x14ac:dyDescent="0.25">
      <c r="A102" s="31">
        <v>0.56509999999999994</v>
      </c>
      <c r="B102" s="196">
        <v>10.050000000000001</v>
      </c>
      <c r="C102" s="31">
        <f>(B103-B101)/(A103-A101)</f>
        <v>259.99999999998511</v>
      </c>
      <c r="D102" s="31">
        <f>(A103+A102)/2</f>
        <v>0.56559999999999999</v>
      </c>
      <c r="E102" s="31">
        <f>(C103-C102)/(D103-D102)</f>
        <v>-106666.66666665224</v>
      </c>
    </row>
    <row r="103" spans="1:5" x14ac:dyDescent="0.25">
      <c r="A103" s="31">
        <v>0.56610000000000005</v>
      </c>
      <c r="B103" s="196">
        <v>10.24</v>
      </c>
      <c r="C103" s="31">
        <f>(B104-B102)/(A104-A102)</f>
        <v>179.99999999999289</v>
      </c>
      <c r="D103" s="31">
        <f>(A104+A103)/2</f>
        <v>0.56635000000000002</v>
      </c>
      <c r="E103" s="31">
        <f>(C104-C103)/(D104-D103)</f>
        <v>-59999.999999978623</v>
      </c>
    </row>
    <row r="104" spans="1:5" x14ac:dyDescent="0.25">
      <c r="A104" s="31">
        <v>0.56659999999999999</v>
      </c>
      <c r="B104" s="196">
        <v>10.32</v>
      </c>
      <c r="C104" s="31">
        <f>(B105-B103)/(A105-A103)</f>
        <v>150.00000000000023</v>
      </c>
      <c r="D104" s="31">
        <f>(A105+A104)/2</f>
        <v>0.56685000000000008</v>
      </c>
      <c r="E104" s="31">
        <f>(C105-C104)/(D105-D104)</f>
        <v>-40000.0000000051</v>
      </c>
    </row>
    <row r="105" spans="1:5" x14ac:dyDescent="0.25">
      <c r="A105" s="31">
        <v>0.56710000000000005</v>
      </c>
      <c r="B105" s="196">
        <v>10.39</v>
      </c>
      <c r="C105" s="31">
        <f>(B106-B104)/(A106-A104)</f>
        <v>119.99999999999527</v>
      </c>
      <c r="D105" s="31">
        <f>(A106+A105)/2</f>
        <v>0.5676000000000001</v>
      </c>
      <c r="E105" s="31">
        <f>(C106-C105)/(D106-D105)</f>
        <v>-8888.8888888781639</v>
      </c>
    </row>
    <row r="106" spans="1:5" x14ac:dyDescent="0.25">
      <c r="A106" s="31">
        <v>0.56810000000000005</v>
      </c>
      <c r="B106" s="196">
        <v>10.5</v>
      </c>
      <c r="C106" s="31">
        <f>(B107-B105)/(A107-A105)</f>
        <v>113.33333333333738</v>
      </c>
      <c r="D106" s="31">
        <f>(A107+A106)/2</f>
        <v>0.56835000000000002</v>
      </c>
      <c r="E106" s="31">
        <f>(C107-C106)/(D107-D106)</f>
        <v>-26666.66666665638</v>
      </c>
    </row>
    <row r="107" spans="1:5" x14ac:dyDescent="0.25">
      <c r="A107" s="31">
        <v>0.56859999999999999</v>
      </c>
      <c r="B107" s="196">
        <v>10.56</v>
      </c>
      <c r="C107" s="31">
        <f>(B108-B106)/(A108-A106)</f>
        <v>100.00000000001066</v>
      </c>
      <c r="D107" s="31">
        <f>(A108+A107)/2</f>
        <v>0.56884999999999997</v>
      </c>
      <c r="E107" s="31">
        <f>(C108-C107)/(D108-D107)</f>
        <v>-38194.444444455636</v>
      </c>
    </row>
    <row r="108" spans="1:5" x14ac:dyDescent="0.25">
      <c r="A108" s="31">
        <v>0.56909999999999994</v>
      </c>
      <c r="B108" s="196">
        <v>10.6</v>
      </c>
      <c r="C108" s="31">
        <f>(B109-B107)/(A109-A107)</f>
        <v>54.166666666664703</v>
      </c>
      <c r="D108" s="31">
        <f>(A109+A108)/2</f>
        <v>0.57004999999999995</v>
      </c>
      <c r="E108" s="31">
        <f>(C109-C108)/(D109-D108)</f>
        <v>2834.4671201839815</v>
      </c>
    </row>
    <row r="109" spans="1:5" x14ac:dyDescent="0.25">
      <c r="A109" s="31">
        <v>0.57100000000000006</v>
      </c>
      <c r="B109" s="196">
        <v>10.69</v>
      </c>
      <c r="C109" s="31">
        <f>(B110-B108)/(A110-A108)</f>
        <v>57.142857142857871</v>
      </c>
      <c r="D109" s="31">
        <f>(A110+A109)/2</f>
        <v>0.57109999999999994</v>
      </c>
      <c r="E109" s="31">
        <f>(C110-C109)/(D110-D109)</f>
        <v>7857.1428571460592</v>
      </c>
    </row>
    <row r="110" spans="1:5" x14ac:dyDescent="0.25">
      <c r="A110" s="31">
        <v>0.57119999999999993</v>
      </c>
      <c r="B110" s="196">
        <v>10.72</v>
      </c>
      <c r="C110" s="31">
        <f>(B111-B109)/(A111-A109)</f>
        <v>65.000000000003936</v>
      </c>
      <c r="D110" s="31">
        <f>(A111+A110)/2</f>
        <v>0.57209999999999994</v>
      </c>
      <c r="E110" s="31">
        <f>(C111-C110)/(D111-D110)</f>
        <v>-5000.0000000077052</v>
      </c>
    </row>
    <row r="111" spans="1:5" x14ac:dyDescent="0.25">
      <c r="A111" s="31">
        <v>0.57299999999999995</v>
      </c>
      <c r="B111" s="196">
        <v>10.82</v>
      </c>
      <c r="C111" s="31">
        <f>(B112-B110)/(A112-A110)</f>
        <v>59.999999999996227</v>
      </c>
      <c r="D111" s="31">
        <f>(A112+A111)/2</f>
        <v>0.57309999999999994</v>
      </c>
      <c r="E111" s="31">
        <f>(C112-C111)/(D112-D111)</f>
        <v>-10185.185185183205</v>
      </c>
    </row>
    <row r="112" spans="1:5" x14ac:dyDescent="0.25">
      <c r="A112" s="31">
        <v>0.57320000000000004</v>
      </c>
      <c r="B112" s="196">
        <v>10.84</v>
      </c>
      <c r="C112" s="31">
        <f>(B113-B111)/(A113-A111)</f>
        <v>41.666666666666217</v>
      </c>
      <c r="D112" s="31">
        <f>(A113+A112)/2</f>
        <v>0.57489999999999997</v>
      </c>
      <c r="E112" s="31">
        <f>(C113-C112)/(D113-D112)</f>
        <v>-328.73109796167665</v>
      </c>
    </row>
    <row r="113" spans="1:5" x14ac:dyDescent="0.25">
      <c r="A113" s="31">
        <v>0.5766</v>
      </c>
      <c r="B113" s="196">
        <v>10.97</v>
      </c>
      <c r="C113" s="31">
        <f>(B114-B112)/(A114-A112)</f>
        <v>41.025641025640908</v>
      </c>
      <c r="D113" s="31">
        <f>(A114+A113)/2</f>
        <v>0.57685000000000008</v>
      </c>
      <c r="E113" s="31">
        <f>(C114-C113)/(D114-D113)</f>
        <v>-820.51282051217572</v>
      </c>
    </row>
    <row r="114" spans="1:5" x14ac:dyDescent="0.25">
      <c r="A114" s="31">
        <v>0.57710000000000006</v>
      </c>
      <c r="B114" s="196">
        <v>11</v>
      </c>
      <c r="C114" s="31">
        <f>(B115-B113)/(A115-A113)</f>
        <v>40.000000000000711</v>
      </c>
      <c r="D114" s="31">
        <f>(A115+A114)/2</f>
        <v>0.57810000000000006</v>
      </c>
      <c r="E114" s="31">
        <f>(C115-C114)/(D115-D114)</f>
        <v>-4938.2716049386636</v>
      </c>
    </row>
    <row r="115" spans="1:5" x14ac:dyDescent="0.25">
      <c r="A115" s="31">
        <v>0.57909999999999995</v>
      </c>
      <c r="B115" s="196">
        <v>11.07</v>
      </c>
      <c r="C115" s="31">
        <f>(B116-B114)/(A116-A114)</f>
        <v>28.888888888889394</v>
      </c>
      <c r="D115" s="31">
        <f>(A116+A115)/2</f>
        <v>0.58034999999999992</v>
      </c>
      <c r="E115" s="31">
        <f>(C116-C115)/(D116-D115)</f>
        <v>-1749.1780778194293</v>
      </c>
    </row>
    <row r="116" spans="1:5" x14ac:dyDescent="0.25">
      <c r="A116" s="31">
        <v>0.58160000000000001</v>
      </c>
      <c r="B116" s="196">
        <v>11.13</v>
      </c>
      <c r="C116" s="31">
        <f>(B117-B115)/(A117-A115)</f>
        <v>23.728813559322063</v>
      </c>
      <c r="D116" s="31">
        <f>(A117+A116)/2</f>
        <v>0.58329999999999993</v>
      </c>
      <c r="E116" s="31">
        <f>(C117-C116)/(D117-D116)</f>
        <v>318.05817116555954</v>
      </c>
    </row>
    <row r="117" spans="1:5" x14ac:dyDescent="0.25">
      <c r="A117" s="31">
        <v>0.58499999999999996</v>
      </c>
      <c r="B117" s="196">
        <v>11.21</v>
      </c>
      <c r="C117" s="31">
        <f>(B118-B116)/(A118-A116)</f>
        <v>24.444444444444599</v>
      </c>
      <c r="D117" s="31">
        <f>(A118+A117)/2</f>
        <v>0.58555000000000001</v>
      </c>
      <c r="E117" s="31">
        <f>(C118-C117)/(D118-D117)</f>
        <v>-4646.0661845282466</v>
      </c>
    </row>
    <row r="118" spans="1:5" x14ac:dyDescent="0.25">
      <c r="A118" s="31">
        <v>0.58609999999999995</v>
      </c>
      <c r="B118" s="196">
        <v>11.24</v>
      </c>
      <c r="C118" s="31">
        <f>(B119-B117)/(A119-A117)</f>
        <v>15.384615384615</v>
      </c>
      <c r="D118" s="31">
        <f>(A119+A118)/2</f>
        <v>0.58749999999999991</v>
      </c>
      <c r="E118" s="31">
        <f>(C119-C118)/(D119-D118)</f>
        <v>2307.6923076924982</v>
      </c>
    </row>
    <row r="119" spans="1:5" x14ac:dyDescent="0.25">
      <c r="A119" s="31">
        <v>0.58889999999999998</v>
      </c>
      <c r="B119" s="196">
        <v>11.27</v>
      </c>
      <c r="C119" s="31">
        <f>(B120-B118)/(A120-A118)</f>
        <v>20</v>
      </c>
      <c r="D119" s="31">
        <f>(A120+A119)/2</f>
        <v>0.58949999999999991</v>
      </c>
      <c r="E119" s="31">
        <f>(C120-C119)/(D120-D119)</f>
        <v>543.23223177896386</v>
      </c>
    </row>
    <row r="120" spans="1:5" x14ac:dyDescent="0.25">
      <c r="A120" s="31">
        <v>0.59009999999999996</v>
      </c>
      <c r="B120" s="196">
        <v>11.32</v>
      </c>
      <c r="C120" s="31">
        <f>(B121-B119)/(A121-A119)</f>
        <v>21.276595744680606</v>
      </c>
      <c r="D120" s="31">
        <f>(A121+A120)/2</f>
        <v>0.59184999999999999</v>
      </c>
      <c r="E120" s="31">
        <f>(C121-C120)/(D121-D120)</f>
        <v>-2194.1489361702065</v>
      </c>
    </row>
    <row r="121" spans="1:5" x14ac:dyDescent="0.25">
      <c r="A121" s="31">
        <v>0.59360000000000002</v>
      </c>
      <c r="B121" s="196">
        <v>11.37</v>
      </c>
      <c r="C121" s="31">
        <f>(B122-B120)/(A122-A120)</f>
        <v>12.499999999999771</v>
      </c>
      <c r="D121" s="31">
        <f>(A122+A121)/2</f>
        <v>0.59584999999999999</v>
      </c>
      <c r="E121" s="31">
        <f>(C122-C121)/(D122-D121)</f>
        <v>-59.171597633033585</v>
      </c>
    </row>
    <row r="122" spans="1:5" x14ac:dyDescent="0.25">
      <c r="A122" s="31">
        <v>0.59810000000000008</v>
      </c>
      <c r="B122" s="196">
        <v>11.42</v>
      </c>
      <c r="C122" s="31">
        <f>(B123-B121)/(A123-A121)</f>
        <v>12.307692307692413</v>
      </c>
      <c r="D122" s="31">
        <f>(A123+A122)/2</f>
        <v>0.59909999999999997</v>
      </c>
      <c r="E122" s="31">
        <f>(C123-C122)/(D123-D122)</f>
        <v>-264.42307692307111</v>
      </c>
    </row>
    <row r="123" spans="1:5" x14ac:dyDescent="0.25">
      <c r="A123" s="31">
        <v>0.60009999999999997</v>
      </c>
      <c r="B123" s="196">
        <v>11.45</v>
      </c>
      <c r="C123" s="31">
        <f>(B124-B122)/(A124-A122)</f>
        <v>11.250000000000128</v>
      </c>
      <c r="D123" s="31">
        <f>(A124+A123)/2</f>
        <v>0.60309999999999997</v>
      </c>
      <c r="E123" s="31">
        <f>(C124-C123)/(D124-D123)</f>
        <v>-347.22222222222791</v>
      </c>
    </row>
    <row r="124" spans="1:5" x14ac:dyDescent="0.25">
      <c r="A124" s="31">
        <v>0.60609999999999997</v>
      </c>
      <c r="B124" s="196">
        <v>11.51</v>
      </c>
      <c r="C124" s="31">
        <f>(B125-B123)/(A125-A123)</f>
        <v>9.1666666666667584</v>
      </c>
      <c r="D124" s="31">
        <f>(A125+A124)/2</f>
        <v>0.60909999999999997</v>
      </c>
      <c r="E124" s="31">
        <f>(C125-C124)/(D125-D124)</f>
        <v>-113.37868480726952</v>
      </c>
    </row>
    <row r="125" spans="1:5" x14ac:dyDescent="0.25">
      <c r="A125" s="31">
        <v>0.61209999999999998</v>
      </c>
      <c r="B125" s="196">
        <v>11.56</v>
      </c>
      <c r="C125" s="31">
        <f>(B126-B124)/(A126-A124)</f>
        <v>8.571428571428596</v>
      </c>
      <c r="D125" s="31">
        <f>(A126+A125)/2</f>
        <v>0.61434999999999995</v>
      </c>
      <c r="E125" s="31">
        <f>(C126-C125)/(D126-D125)</f>
        <v>-176.36684303351169</v>
      </c>
    </row>
    <row r="126" spans="1:5" x14ac:dyDescent="0.25">
      <c r="A126" s="31">
        <v>0.61659999999999993</v>
      </c>
      <c r="B126" s="196">
        <v>11.6</v>
      </c>
      <c r="C126" s="31">
        <f>(B127-B125)/(A127-A125)</f>
        <v>7.7777777777778025</v>
      </c>
      <c r="D126" s="31">
        <f>(A127+A126)/2</f>
        <v>0.6188499999999999</v>
      </c>
      <c r="E126" s="31">
        <f>(C127-C126)/(D127-D126)</f>
        <v>-307.7870113881205</v>
      </c>
    </row>
    <row r="127" spans="1:5" x14ac:dyDescent="0.25">
      <c r="A127" s="31">
        <v>0.62109999999999999</v>
      </c>
      <c r="B127" s="196">
        <v>11.63</v>
      </c>
      <c r="C127" s="31">
        <f>(B128-B126)/(A128-A126)</f>
        <v>6.3157894736842204</v>
      </c>
      <c r="D127" s="31">
        <f>(A128+A127)/2</f>
        <v>0.62359999999999993</v>
      </c>
      <c r="E127" s="31">
        <f>(C128-C127)/(D128-D127)</f>
        <v>-63.157894736869267</v>
      </c>
    </row>
    <row r="128" spans="1:5" x14ac:dyDescent="0.25">
      <c r="A128" s="31">
        <v>0.62609999999999999</v>
      </c>
      <c r="B128" s="196">
        <v>11.66</v>
      </c>
      <c r="C128" s="31">
        <f>(B129-B127)/(A129-A127)</f>
        <v>5.9999999999998668</v>
      </c>
      <c r="D128" s="31">
        <f>(A129+A128)/2</f>
        <v>0.62860000000000005</v>
      </c>
      <c r="E128" s="31">
        <f>(C129-C128)/(D129-D128)</f>
        <v>3.5527136788005765E-11</v>
      </c>
    </row>
    <row r="129" spans="1:5" x14ac:dyDescent="0.25">
      <c r="A129" s="31">
        <v>0.63109999999999999</v>
      </c>
      <c r="B129" s="196">
        <v>11.69</v>
      </c>
      <c r="C129" s="31">
        <f>(B130-B128)/(A130-A128)</f>
        <v>6.0000000000000444</v>
      </c>
      <c r="D129" s="31">
        <f>(A130+A129)/2</f>
        <v>0.63359999999999994</v>
      </c>
      <c r="E129" s="31">
        <f>(C130-C129)/(D130-D129)</f>
        <v>-199.99999999999093</v>
      </c>
    </row>
    <row r="130" spans="1:5" x14ac:dyDescent="0.25">
      <c r="A130" s="31">
        <v>0.6361</v>
      </c>
      <c r="B130" s="196">
        <v>11.72</v>
      </c>
      <c r="C130" s="31">
        <f>(B131-B129)/(A131-A129)</f>
        <v>5.0000000000000666</v>
      </c>
      <c r="D130" s="31">
        <f>(A131+A130)/2</f>
        <v>0.63860000000000006</v>
      </c>
      <c r="E130" s="31">
        <f>(C131-C130)/(D131-D130)</f>
        <v>-44.444444444467429</v>
      </c>
    </row>
    <row r="131" spans="1:5" x14ac:dyDescent="0.25">
      <c r="A131" s="31">
        <v>0.6411</v>
      </c>
      <c r="B131" s="196">
        <v>11.74</v>
      </c>
      <c r="C131" s="31">
        <f>(B132-B130)/(A132-A130)</f>
        <v>4.666666666666563</v>
      </c>
      <c r="D131" s="31">
        <f>(A132+A131)/2</f>
        <v>0.64610000000000001</v>
      </c>
      <c r="E131" s="31">
        <f>(C132-C131)/(D132-D131)</f>
        <v>-16.666666666657356</v>
      </c>
    </row>
    <row r="132" spans="1:5" x14ac:dyDescent="0.25">
      <c r="A132" s="31">
        <v>0.65110000000000001</v>
      </c>
      <c r="B132" s="196">
        <v>11.79</v>
      </c>
      <c r="C132" s="31">
        <f>(B133-B131)/(A133-A131)</f>
        <v>4.4999999999999893</v>
      </c>
      <c r="D132" s="31">
        <f>(A133+A132)/2</f>
        <v>0.65610000000000002</v>
      </c>
      <c r="E132" s="31">
        <f>(C133-C132)/(D133-D132)</f>
        <v>-99.99999999999774</v>
      </c>
    </row>
    <row r="133" spans="1:5" x14ac:dyDescent="0.25">
      <c r="A133" s="31">
        <v>0.66110000000000002</v>
      </c>
      <c r="B133" s="196">
        <v>11.83</v>
      </c>
      <c r="C133" s="31">
        <f>(B134-B132)/(A134-A132)</f>
        <v>3.5000000000000111</v>
      </c>
      <c r="D133" s="31">
        <f>(A134+A133)/2</f>
        <v>0.66610000000000003</v>
      </c>
      <c r="E133" s="31">
        <f>(C134-C133)/(D134-D133)</f>
        <v>-49.999999999998849</v>
      </c>
    </row>
    <row r="134" spans="1:5" x14ac:dyDescent="0.25">
      <c r="A134" s="31">
        <v>0.67110000000000003</v>
      </c>
      <c r="B134" s="196">
        <v>11.86</v>
      </c>
      <c r="C134" s="31">
        <f>(B135-B133)/(A135-A133)</f>
        <v>3.0000000000000222</v>
      </c>
      <c r="D134" s="31">
        <f>(A135+A134)/2</f>
        <v>0.67610000000000003</v>
      </c>
      <c r="E134" s="31">
        <f>(C135-C134)/(D135-D134)</f>
        <v>0</v>
      </c>
    </row>
    <row r="135" spans="1:5" x14ac:dyDescent="0.25">
      <c r="A135" s="31">
        <v>0.68110000000000004</v>
      </c>
      <c r="B135" s="196">
        <v>11.89</v>
      </c>
      <c r="C135" s="31">
        <f>(B136-B134)/(A136-A134)</f>
        <v>3.0000000000000222</v>
      </c>
      <c r="D135" s="31">
        <f>(A136+A135)/2</f>
        <v>0.68610000000000004</v>
      </c>
      <c r="E135" s="31">
        <f>(C136-C135)/(D136-D135)</f>
        <v>-7.1942451995710879E-12</v>
      </c>
    </row>
    <row r="136" spans="1:5" x14ac:dyDescent="0.25">
      <c r="A136" s="31">
        <v>0.69110000000000005</v>
      </c>
      <c r="B136" s="196">
        <v>11.92</v>
      </c>
      <c r="C136" s="31">
        <f>(B137-B135)/(A137-A135)</f>
        <v>2.9999999999999503</v>
      </c>
      <c r="D136" s="31">
        <f>(A137+A136)/2</f>
        <v>0.69609999999999994</v>
      </c>
      <c r="E136" s="31">
        <f>(C137-C136)/(D137-D136)</f>
        <v>-7.1386079714377546</v>
      </c>
    </row>
    <row r="137" spans="1:5" x14ac:dyDescent="0.25">
      <c r="A137" s="31">
        <v>0.70109999999999995</v>
      </c>
      <c r="B137" s="196">
        <v>11.95</v>
      </c>
      <c r="C137" s="31">
        <f>(B138-B136)/(A138-A136)</f>
        <v>2.9268292682927126</v>
      </c>
      <c r="D137" s="31">
        <f>(A138+A137)/2</f>
        <v>0.70635000000000003</v>
      </c>
      <c r="E137" s="31">
        <f>(C138-C137)/(D138-D137)</f>
        <v>-92.682926829266734</v>
      </c>
    </row>
    <row r="138" spans="1:5" x14ac:dyDescent="0.25">
      <c r="A138" s="31">
        <v>0.71160000000000001</v>
      </c>
      <c r="B138" s="196">
        <v>11.98</v>
      </c>
      <c r="C138" s="31">
        <f>(B139-B137)/(A139-A137)</f>
        <v>2.0000000000000444</v>
      </c>
      <c r="D138" s="31">
        <f>(A139+A138)/2</f>
        <v>0.71635000000000004</v>
      </c>
      <c r="E138" s="31">
        <f>(C139-C138)/(D139-D138)</f>
        <v>5.2596975673812878</v>
      </c>
    </row>
    <row r="139" spans="1:5" x14ac:dyDescent="0.25">
      <c r="A139" s="31">
        <v>0.72109999999999996</v>
      </c>
      <c r="B139" s="196">
        <v>11.99</v>
      </c>
      <c r="C139" s="31">
        <f>(B140-B138)/(A140-A138)</f>
        <v>2.0512820512820116</v>
      </c>
      <c r="D139" s="31">
        <f>(A140+A139)/2</f>
        <v>0.72609999999999997</v>
      </c>
      <c r="E139" s="31">
        <f>(C140-C139)/(D140-D139)</f>
        <v>-18.051282051280442</v>
      </c>
    </row>
    <row r="140" spans="1:5" x14ac:dyDescent="0.25">
      <c r="A140" s="31">
        <v>0.73109999999999997</v>
      </c>
      <c r="B140" s="196">
        <v>12.02</v>
      </c>
      <c r="C140" s="31">
        <f>(B141-B139)/(A141-A139)</f>
        <v>1.6</v>
      </c>
      <c r="D140" s="31">
        <f>(A141+A140)/2</f>
        <v>0.75109999999999999</v>
      </c>
      <c r="E140" s="31">
        <f>(C141-C140)/(D141-D140)</f>
        <v>-16.312126262130768</v>
      </c>
    </row>
    <row r="141" spans="1:5" x14ac:dyDescent="0.25">
      <c r="A141" s="31">
        <v>0.77110000000000001</v>
      </c>
      <c r="B141" s="196">
        <v>12.07</v>
      </c>
      <c r="C141" s="31">
        <f>(B142-B140)/(A142-A140)</f>
        <v>1.1881188118811983</v>
      </c>
      <c r="D141" s="31">
        <f>(A142+A141)/2</f>
        <v>0.77634999999999998</v>
      </c>
      <c r="E141" s="31">
        <f>(C142-C141)/(D142-D141)</f>
        <v>3.0766713034938613</v>
      </c>
    </row>
    <row r="142" spans="1:5" x14ac:dyDescent="0.25">
      <c r="A142" s="31">
        <v>0.78159999999999996</v>
      </c>
      <c r="B142" s="196">
        <v>12.08</v>
      </c>
      <c r="C142" s="31">
        <f>(B143-B141)/(A143-A141)</f>
        <v>1.2727272727272794</v>
      </c>
      <c r="D142" s="31">
        <f>(A143+A142)/2</f>
        <v>0.80384999999999995</v>
      </c>
      <c r="E142" s="31">
        <f>(C143-C142)/(D143-D142)</f>
        <v>-5.3658289134761299</v>
      </c>
    </row>
    <row r="143" spans="1:5" x14ac:dyDescent="0.25">
      <c r="A143" s="31">
        <v>0.82609999999999995</v>
      </c>
      <c r="B143" s="196">
        <v>12.14</v>
      </c>
      <c r="C143" s="31">
        <f>(B144-B142)/(A144-A142)</f>
        <v>1.1023622047244119</v>
      </c>
      <c r="D143" s="31">
        <f>(A144+A143)/2</f>
        <v>0.83560000000000001</v>
      </c>
      <c r="E143" s="31">
        <f>(C144-C143)/(D144-D143)</f>
        <v>-30.368738604534116</v>
      </c>
    </row>
    <row r="144" spans="1:5" x14ac:dyDescent="0.25">
      <c r="A144" s="31">
        <v>0.84510000000000007</v>
      </c>
      <c r="B144" s="196">
        <v>12.15</v>
      </c>
      <c r="C144" s="31">
        <f>(B145-B143)/(A145-A143)</f>
        <v>0.54054054054052858</v>
      </c>
      <c r="D144" s="31">
        <f>(A145+A144)/2</f>
        <v>0.85410000000000008</v>
      </c>
      <c r="E144" s="31">
        <f>(C145-C144)/(D145-D144)</f>
        <v>3.5191441441441373</v>
      </c>
    </row>
    <row r="145" spans="1:5" x14ac:dyDescent="0.25">
      <c r="A145" s="31">
        <v>0.86309999999999998</v>
      </c>
      <c r="B145" s="196">
        <v>12.16</v>
      </c>
      <c r="C145" s="31">
        <f>(B146-B144)/(A146-A144)</f>
        <v>0.62499999999998757</v>
      </c>
      <c r="D145" s="31">
        <f>(A146+A145)/2</f>
        <v>0.87809999999999999</v>
      </c>
      <c r="E145" s="31">
        <f>(C146-C145)/(D146-D145)</f>
        <v>2.5826446280991417</v>
      </c>
    </row>
    <row r="146" spans="1:5" x14ac:dyDescent="0.25">
      <c r="A146" s="31">
        <v>0.8931</v>
      </c>
      <c r="B146" s="196">
        <v>12.18</v>
      </c>
      <c r="C146" s="31">
        <f>(B147-B145)/(A147-A145)</f>
        <v>0.68181818181816845</v>
      </c>
      <c r="D146" s="31">
        <f>(A147+A146)/2</f>
        <v>0.9000999999999999</v>
      </c>
      <c r="E146" s="31">
        <f>(C147-C146)/(D147-D146)</f>
        <v>-2.3649607416515899</v>
      </c>
    </row>
    <row r="147" spans="1:5" x14ac:dyDescent="0.25">
      <c r="A147" s="31">
        <v>0.90709999999999991</v>
      </c>
      <c r="B147" s="196">
        <v>12.19</v>
      </c>
      <c r="C147" s="31">
        <f>(B148-B146)/(A148-A146)</f>
        <v>0.64516129032256864</v>
      </c>
      <c r="D147" s="31">
        <f>(A148+A147)/2</f>
        <v>0.91559999999999997</v>
      </c>
      <c r="E147" s="31">
        <f>(C148-C147)/(D148-D147)</f>
        <v>-6.7867065385652268</v>
      </c>
    </row>
    <row r="148" spans="1:5" x14ac:dyDescent="0.25">
      <c r="A148" s="31">
        <v>0.92409999999999992</v>
      </c>
      <c r="B148" s="196">
        <v>12.2</v>
      </c>
      <c r="C148" s="31">
        <f>(B149-B147)/(A149-A147)</f>
        <v>0.51282051282054697</v>
      </c>
      <c r="D148" s="31">
        <f>(A149+A148)/2</f>
        <v>0.93509999999999993</v>
      </c>
      <c r="E148" s="31">
        <f>(C149-C148)/(D149-D148)</f>
        <v>26.542467948717956</v>
      </c>
    </row>
    <row r="149" spans="1:5" x14ac:dyDescent="0.25">
      <c r="A149" s="31">
        <v>0.94609999999999994</v>
      </c>
      <c r="B149" s="196">
        <v>12.21</v>
      </c>
      <c r="C149" s="31">
        <f>(B150-B148)/(A150-A148)</f>
        <v>0.93750000000003464</v>
      </c>
      <c r="D149" s="31">
        <f>(A150+A149)/2</f>
        <v>0.95109999999999995</v>
      </c>
      <c r="E149" s="31">
        <f>(C150-C149)/(D150-D149)</f>
        <v>0.98570076753236746</v>
      </c>
    </row>
    <row r="150" spans="1:5" x14ac:dyDescent="0.25">
      <c r="A150" s="31">
        <v>0.95609999999999995</v>
      </c>
      <c r="B150" s="196">
        <v>12.23</v>
      </c>
      <c r="C150" s="31"/>
      <c r="D150" s="31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H108"/>
  <sheetViews>
    <sheetView workbookViewId="0">
      <selection activeCell="E5" sqref="E5"/>
    </sheetView>
  </sheetViews>
  <sheetFormatPr defaultRowHeight="15" x14ac:dyDescent="0.25"/>
  <sheetData>
    <row r="1" spans="1:8" x14ac:dyDescent="0.25">
      <c r="A1" s="24" t="s">
        <v>305</v>
      </c>
    </row>
    <row r="2" spans="1:8" x14ac:dyDescent="0.25">
      <c r="A2" s="218" t="s">
        <v>304</v>
      </c>
    </row>
    <row r="3" spans="1:8" x14ac:dyDescent="0.25">
      <c r="B3" s="2" t="s">
        <v>90</v>
      </c>
      <c r="C3" s="43">
        <v>0.1</v>
      </c>
      <c r="E3" s="2" t="s">
        <v>90</v>
      </c>
      <c r="F3" s="43">
        <v>0.1</v>
      </c>
    </row>
    <row r="4" spans="1:8" ht="15.75" thickBot="1" x14ac:dyDescent="0.3">
      <c r="B4" s="2" t="s">
        <v>303</v>
      </c>
      <c r="C4" s="43">
        <v>1</v>
      </c>
    </row>
    <row r="5" spans="1:8" x14ac:dyDescent="0.25">
      <c r="B5" s="2" t="s">
        <v>302</v>
      </c>
      <c r="C5" s="43">
        <f>C4/4</f>
        <v>0.25</v>
      </c>
      <c r="E5" s="217" t="s">
        <v>30</v>
      </c>
      <c r="F5" s="216" t="s">
        <v>301</v>
      </c>
      <c r="G5" s="215" t="s">
        <v>300</v>
      </c>
      <c r="H5" s="214" t="s">
        <v>299</v>
      </c>
    </row>
    <row r="6" spans="1:8" ht="15.75" thickBot="1" x14ac:dyDescent="0.3">
      <c r="B6" s="2" t="s">
        <v>298</v>
      </c>
      <c r="C6" s="213">
        <f>C58</f>
        <v>0.24979187478939929</v>
      </c>
      <c r="E6" s="209"/>
      <c r="F6" s="208">
        <f>C5</f>
        <v>0.25</v>
      </c>
      <c r="G6" s="15">
        <f>C6</f>
        <v>0.24979187478939929</v>
      </c>
      <c r="H6" s="207">
        <f>G6/F6-1</f>
        <v>-8.3250084240282796E-4</v>
      </c>
    </row>
    <row r="7" spans="1:8" x14ac:dyDescent="0.25">
      <c r="A7" s="212" t="s">
        <v>96</v>
      </c>
      <c r="B7" s="211" t="s">
        <v>95</v>
      </c>
      <c r="C7" s="210" t="s">
        <v>297</v>
      </c>
      <c r="E7" s="209">
        <v>0.1</v>
      </c>
      <c r="F7" s="208">
        <f t="dataTable" ref="F7:G26" dt2D="0" dtr="0" r1="C4"/>
        <v>2.5000000000000001E-2</v>
      </c>
      <c r="G7" s="15">
        <v>2.4999791668749993E-2</v>
      </c>
      <c r="H7" s="207">
        <f>G7/F7-1</f>
        <v>-8.3332500002697429E-6</v>
      </c>
    </row>
    <row r="8" spans="1:8" x14ac:dyDescent="0.25">
      <c r="A8" s="202">
        <v>-5</v>
      </c>
      <c r="B8" s="32">
        <f>1/(1+EXP(-$C$4*A8))</f>
        <v>6.6928509242848554E-3</v>
      </c>
      <c r="C8" s="201"/>
      <c r="E8" s="209">
        <f>E7+$F$3</f>
        <v>0.2</v>
      </c>
      <c r="F8" s="208">
        <v>0.05</v>
      </c>
      <c r="G8" s="15">
        <v>4.9998333399997874E-2</v>
      </c>
      <c r="H8" s="207">
        <f>G8/F8-1</f>
        <v>-3.3332000042518573E-5</v>
      </c>
    </row>
    <row r="9" spans="1:8" x14ac:dyDescent="0.25">
      <c r="A9" s="202">
        <f>A8+$C$3</f>
        <v>-4.9000000000000004</v>
      </c>
      <c r="B9" s="32">
        <f>1/(1+EXP(-$C$4*A9))</f>
        <v>7.3915413442819707E-3</v>
      </c>
      <c r="C9" s="201">
        <f>(B10-B8)/(A10-A8)</f>
        <v>7.3486011443751973E-3</v>
      </c>
      <c r="E9" s="209">
        <f>E8+$F$3</f>
        <v>0.30000000000000004</v>
      </c>
      <c r="F9" s="208">
        <v>7.5000000000000011E-2</v>
      </c>
      <c r="G9" s="15">
        <v>7.4994375506204081E-2</v>
      </c>
      <c r="H9" s="207">
        <f>G9/F9-1</f>
        <v>-7.4993250612442885E-5</v>
      </c>
    </row>
    <row r="10" spans="1:8" x14ac:dyDescent="0.25">
      <c r="A10" s="202">
        <f>A9+$C$3</f>
        <v>-4.8000000000000007</v>
      </c>
      <c r="B10" s="32">
        <f>1/(1+EXP(-$C$4*A10))</f>
        <v>8.1625711531598897E-3</v>
      </c>
      <c r="C10" s="201">
        <f>(B11-B9)/(A11-A9)</f>
        <v>8.1087865428292518E-3</v>
      </c>
      <c r="E10" s="209">
        <f>E9+$F$3</f>
        <v>0.4</v>
      </c>
      <c r="F10" s="208">
        <v>0.1</v>
      </c>
      <c r="G10" s="15">
        <v>9.9986668799655343E-2</v>
      </c>
      <c r="H10" s="207">
        <f>G10/F10-1</f>
        <v>-1.333120034465729E-4</v>
      </c>
    </row>
    <row r="11" spans="1:8" x14ac:dyDescent="0.25">
      <c r="A11" s="202">
        <f>A10+$C$3</f>
        <v>-4.7000000000000011</v>
      </c>
      <c r="B11" s="32">
        <f>1/(1+EXP(-$C$4*A11))</f>
        <v>9.0132986528478152E-3</v>
      </c>
      <c r="C11" s="201">
        <f>(B12-B10)/(A12-A10)</f>
        <v>8.946153568722125E-3</v>
      </c>
      <c r="E11" s="209">
        <f>E10+$F$3</f>
        <v>0.5</v>
      </c>
      <c r="F11" s="208">
        <v>0.125</v>
      </c>
      <c r="G11" s="15">
        <v>0.12497396484210305</v>
      </c>
      <c r="H11" s="207">
        <f>G11/F11-1</f>
        <v>-2.0828126317562479E-4</v>
      </c>
    </row>
    <row r="12" spans="1:8" x14ac:dyDescent="0.25">
      <c r="A12" s="202">
        <f>A11+$C$3</f>
        <v>-4.6000000000000014</v>
      </c>
      <c r="B12" s="32">
        <f>1/(1+EXP(-$C$4*A12))</f>
        <v>9.9518018669043085E-3</v>
      </c>
      <c r="C12" s="201">
        <f>(B13-B11)/(A13-A11)</f>
        <v>9.8682198887267703E-3</v>
      </c>
      <c r="E12" s="209">
        <f>E11+$F$3</f>
        <v>0.6</v>
      </c>
      <c r="F12" s="208">
        <v>0.15</v>
      </c>
      <c r="G12" s="15">
        <v>0.14995501619410073</v>
      </c>
      <c r="H12" s="207">
        <f>G12/F12-1</f>
        <v>-2.9989203932845321E-4</v>
      </c>
    </row>
    <row r="13" spans="1:8" x14ac:dyDescent="0.25">
      <c r="A13" s="202">
        <f>A12+$C$3</f>
        <v>-4.5000000000000018</v>
      </c>
      <c r="B13" s="32">
        <f>1/(1+EXP(-$C$4*A13))</f>
        <v>1.0986942630593162E-2</v>
      </c>
      <c r="C13" s="201">
        <f>(B14-B12)/(A14-A12)</f>
        <v>1.088316558684956E-2</v>
      </c>
      <c r="E13" s="209">
        <f>E12+$F$3</f>
        <v>0.7</v>
      </c>
      <c r="F13" s="208">
        <v>0.17499999999999999</v>
      </c>
      <c r="G13" s="15">
        <v>0.17492857666389694</v>
      </c>
      <c r="H13" s="207">
        <f>G13/F13-1</f>
        <v>-4.0813334916023347E-4</v>
      </c>
    </row>
    <row r="14" spans="1:8" x14ac:dyDescent="0.25">
      <c r="A14" s="202">
        <f>A13+$C$3</f>
        <v>-4.4000000000000021</v>
      </c>
      <c r="B14" s="32">
        <f>1/(1+EXP(-$C$4*A14))</f>
        <v>1.2128434984274213E-2</v>
      </c>
      <c r="C14" s="201">
        <f>(B15-B13)/(A15-A13)</f>
        <v>1.1999875985357952E-2</v>
      </c>
      <c r="E14" s="209">
        <f>E13+$F$3</f>
        <v>0.79999999999999993</v>
      </c>
      <c r="F14" s="208">
        <v>0.19999999999999998</v>
      </c>
      <c r="G14" s="15">
        <v>0.19989340155581792</v>
      </c>
      <c r="H14" s="207">
        <f>G14/F14-1</f>
        <v>-5.3299222091029996E-4</v>
      </c>
    </row>
    <row r="15" spans="1:8" x14ac:dyDescent="0.25">
      <c r="A15" s="202">
        <f>A14+$C$3</f>
        <v>-4.3000000000000025</v>
      </c>
      <c r="B15" s="32">
        <f>1/(1+EXP(-$C$4*A15))</f>
        <v>1.3386917827664744E-2</v>
      </c>
      <c r="C15" s="201">
        <f>(B16-B14)/(A16-A14)</f>
        <v>1.3227983544994068E-2</v>
      </c>
      <c r="E15" s="209">
        <f>E14+$F$3</f>
        <v>0.89999999999999991</v>
      </c>
      <c r="F15" s="208">
        <v>0.22499999999999998</v>
      </c>
      <c r="G15" s="15">
        <v>0.22484824791800112</v>
      </c>
      <c r="H15" s="207">
        <f>G15/F15-1</f>
        <v>-6.7445369777274777E-4</v>
      </c>
    </row>
    <row r="16" spans="1:8" x14ac:dyDescent="0.25">
      <c r="A16" s="202">
        <f>A15+$C$3</f>
        <v>-4.2000000000000028</v>
      </c>
      <c r="B16" s="32">
        <f>1/(1+EXP(-$C$4*A16))</f>
        <v>1.4774031693273017E-2</v>
      </c>
      <c r="C16" s="201">
        <f>(B17-B15)/(A17-A15)</f>
        <v>1.4577907718880782E-2</v>
      </c>
      <c r="E16" s="209">
        <f>E15+$F$3</f>
        <v>0.99999999999999989</v>
      </c>
      <c r="F16" s="208">
        <v>0.24999999999999997</v>
      </c>
      <c r="G16" s="15">
        <v>0.24979187478939929</v>
      </c>
      <c r="H16" s="207">
        <f>G16/F16-1</f>
        <v>-8.3250084240271693E-4</v>
      </c>
    </row>
    <row r="17" spans="1:8" x14ac:dyDescent="0.25">
      <c r="A17" s="202">
        <f>A16+$C$3</f>
        <v>-4.1000000000000032</v>
      </c>
      <c r="B17" s="32">
        <f>1/(1+EXP(-$C$4*A17))</f>
        <v>1.630249937144089E-2</v>
      </c>
      <c r="C17" s="201">
        <f>(B18-B16)/(A18-A16)</f>
        <v>1.6060891344092453E-2</v>
      </c>
      <c r="E17" s="209">
        <f>E16+$F$3</f>
        <v>1.0999999999999999</v>
      </c>
      <c r="F17" s="208">
        <v>0.27499999999999997</v>
      </c>
      <c r="G17" s="15">
        <v>0.27472304344593718</v>
      </c>
      <c r="H17" s="207">
        <f>G17/F17-1</f>
        <v>-1.007114742046511E-3</v>
      </c>
    </row>
    <row r="18" spans="1:8" x14ac:dyDescent="0.25">
      <c r="A18" s="202">
        <f>A17+$C$3</f>
        <v>-4.0000000000000036</v>
      </c>
      <c r="B18" s="32">
        <f>1/(1+EXP(-$C$4*A18))</f>
        <v>1.7986209962091496E-2</v>
      </c>
      <c r="C18" s="201">
        <f>(B19-B17)/(A19-A17)</f>
        <v>1.7689031813182775E-2</v>
      </c>
      <c r="E18" s="209">
        <f>E17+$F$3</f>
        <v>1.2</v>
      </c>
      <c r="F18" s="208">
        <v>0.3</v>
      </c>
      <c r="G18" s="15">
        <v>0.29964051764571731</v>
      </c>
      <c r="H18" s="207">
        <f>G18/F18-1</f>
        <v>-1.1982745142755657E-3</v>
      </c>
    </row>
    <row r="19" spans="1:8" x14ac:dyDescent="0.25">
      <c r="A19" s="202">
        <f>A18+$C$3</f>
        <v>-3.9000000000000035</v>
      </c>
      <c r="B19" s="32">
        <f>1/(1+EXP(-$C$4*A19))</f>
        <v>1.984030573407744E-2</v>
      </c>
      <c r="C19" s="201">
        <f>(B20-B18)/(A20-A18)</f>
        <v>1.9475304870194519E-2</v>
      </c>
      <c r="E19" s="209">
        <f>E18+$F$3</f>
        <v>1.3</v>
      </c>
      <c r="F19" s="208">
        <v>0.32500000000000001</v>
      </c>
      <c r="G19" s="15">
        <v>0.32454306387318721</v>
      </c>
      <c r="H19" s="207">
        <f>G19/F19-1</f>
        <v>-1.4059573132702008E-3</v>
      </c>
    </row>
    <row r="20" spans="1:8" x14ac:dyDescent="0.25">
      <c r="A20" s="202">
        <f>A19+$C$3</f>
        <v>-3.8000000000000034</v>
      </c>
      <c r="B20" s="32">
        <f>1/(1+EXP(-$C$4*A20))</f>
        <v>2.1881270936130404E-2</v>
      </c>
      <c r="C20" s="201">
        <f>(B21-B19)/(A21-A19)</f>
        <v>2.1433578417958399E-2</v>
      </c>
      <c r="E20" s="209">
        <f>E19+$F$3</f>
        <v>1.4000000000000001</v>
      </c>
      <c r="F20" s="208">
        <v>0.35000000000000003</v>
      </c>
      <c r="G20" s="15">
        <v>0.34942945158214417</v>
      </c>
      <c r="H20" s="207">
        <f>G20/F20-1</f>
        <v>-1.6301383367310907E-3</v>
      </c>
    </row>
    <row r="21" spans="1:8" x14ac:dyDescent="0.25">
      <c r="A21" s="202">
        <f>A20+$C$3</f>
        <v>-3.7000000000000033</v>
      </c>
      <c r="B21" s="32">
        <f>1/(1+EXP(-$C$4*A21))</f>
        <v>2.4127021417669123E-2</v>
      </c>
      <c r="C21" s="201">
        <f>(B22-B20)/(A22-A20)</f>
        <v>2.3578613203676827E-2</v>
      </c>
      <c r="E21" s="209">
        <f>E20+$F$3</f>
        <v>1.5000000000000002</v>
      </c>
      <c r="F21" s="208">
        <v>0.37500000000000006</v>
      </c>
      <c r="G21" s="15">
        <v>0.37429845343749574</v>
      </c>
      <c r="H21" s="207">
        <f>G21/F21-1</f>
        <v>-1.8707908333448486E-3</v>
      </c>
    </row>
    <row r="22" spans="1:8" x14ac:dyDescent="0.25">
      <c r="A22" s="202">
        <f>A21+$C$3</f>
        <v>-3.6000000000000032</v>
      </c>
      <c r="B22" s="32">
        <f>1/(1+EXP(-$C$4*A22))</f>
        <v>2.6596993576865773E-2</v>
      </c>
      <c r="C22" s="201">
        <f>(B23-B21)/(A23-A21)</f>
        <v>2.5926046668435503E-2</v>
      </c>
      <c r="E22" s="209">
        <f>E21+$F$3</f>
        <v>1.6000000000000003</v>
      </c>
      <c r="F22" s="208">
        <v>0.40000000000000008</v>
      </c>
      <c r="G22" s="15">
        <v>0.39914884555565688</v>
      </c>
      <c r="H22" s="207">
        <f>G22/F22-1</f>
        <v>-2.1278861108580127E-3</v>
      </c>
    </row>
    <row r="23" spans="1:8" x14ac:dyDescent="0.25">
      <c r="A23" s="202">
        <f>A22+$C$3</f>
        <v>-3.5000000000000031</v>
      </c>
      <c r="B23" s="32">
        <f>1/(1+EXP(-$C$4*A23))</f>
        <v>2.9312230751356229E-2</v>
      </c>
      <c r="C23" s="201">
        <f>(B24-B22)/(A24-A22)</f>
        <v>2.8492355607923202E-2</v>
      </c>
      <c r="E23" s="209">
        <f>E22+$F$3</f>
        <v>1.7000000000000004</v>
      </c>
      <c r="F23" s="208">
        <v>0.4250000000000001</v>
      </c>
      <c r="G23" s="15">
        <v>0.42397940774350967</v>
      </c>
      <c r="H23" s="207">
        <f>G23/F23-1</f>
        <v>-2.4013935446833834E-3</v>
      </c>
    </row>
    <row r="24" spans="1:8" x14ac:dyDescent="0.25">
      <c r="A24" s="202">
        <f>A23+$C$3</f>
        <v>-3.400000000000003</v>
      </c>
      <c r="B24" s="32">
        <f>1/(1+EXP(-$C$4*A24))</f>
        <v>3.2295464698450418E-2</v>
      </c>
      <c r="C24" s="201">
        <f>(B25-B23)/(A25-A23)</f>
        <v>3.1294792606399176E-2</v>
      </c>
      <c r="E24" s="209">
        <f>E23+$F$3</f>
        <v>1.8000000000000005</v>
      </c>
      <c r="F24" s="208">
        <v>0.45000000000000012</v>
      </c>
      <c r="G24" s="15">
        <v>0.44878892373580032</v>
      </c>
      <c r="H24" s="207">
        <f>G24/F24-1</f>
        <v>-2.691280587110656E-3</v>
      </c>
    </row>
    <row r="25" spans="1:8" x14ac:dyDescent="0.25">
      <c r="A25" s="202">
        <f>A24+$C$3</f>
        <v>-3.3000000000000029</v>
      </c>
      <c r="B25" s="32">
        <f>1/(1+EXP(-$C$4*A25))</f>
        <v>3.557118927263607E-2</v>
      </c>
      <c r="C25" s="201">
        <f>(B26-B24)/(A26-A24)</f>
        <v>3.4351290491569139E-2</v>
      </c>
      <c r="E25" s="209">
        <f>E24+$F$3</f>
        <v>1.9000000000000006</v>
      </c>
      <c r="F25" s="208">
        <v>0.47500000000000014</v>
      </c>
      <c r="G25" s="15">
        <v>0.47357618143089308</v>
      </c>
      <c r="H25" s="207">
        <f>G25/F25-1</f>
        <v>-2.9975127770675014E-3</v>
      </c>
    </row>
    <row r="26" spans="1:8" ht="15.75" thickBot="1" x14ac:dyDescent="0.3">
      <c r="A26" s="202">
        <f>A25+$C$3</f>
        <v>-3.2000000000000028</v>
      </c>
      <c r="B26" s="32">
        <f>1/(1+EXP(-$C$4*A26))</f>
        <v>3.9165722796764252E-2</v>
      </c>
      <c r="C26" s="201">
        <f>(B27-B25)/(A27-A25)</f>
        <v>3.7680328342249679E-2</v>
      </c>
      <c r="E26" s="206">
        <f>E25+$F$3</f>
        <v>2.0000000000000004</v>
      </c>
      <c r="F26" s="205">
        <v>0.50000000000000011</v>
      </c>
      <c r="G26" s="204">
        <v>0.49833997312477896</v>
      </c>
      <c r="H26" s="203">
        <f>G26/F26-1</f>
        <v>-3.3200537504423089E-3</v>
      </c>
    </row>
    <row r="27" spans="1:8" hidden="1" x14ac:dyDescent="0.25">
      <c r="A27" s="202">
        <f>A26+$C$3</f>
        <v>-3.1000000000000028</v>
      </c>
      <c r="B27" s="32">
        <f>1/(1+EXP(-$C$4*A27))</f>
        <v>4.3107254941086012E-2</v>
      </c>
      <c r="C27" s="201">
        <f>(B28-B26)/(A28-A26)</f>
        <v>4.1300751904012022E-2</v>
      </c>
    </row>
    <row r="28" spans="1:8" hidden="1" x14ac:dyDescent="0.25">
      <c r="A28" s="202">
        <f>A27+$C$3</f>
        <v>-3.0000000000000027</v>
      </c>
      <c r="B28" s="32">
        <f>1/(1+EXP(-$C$4*A28))</f>
        <v>4.7425873177566663E-2</v>
      </c>
      <c r="C28" s="201">
        <f>(B29-B27)/(A29-A27)</f>
        <v>4.523154068665796E-2</v>
      </c>
    </row>
    <row r="29" spans="1:8" hidden="1" x14ac:dyDescent="0.25">
      <c r="A29" s="202">
        <f>A28+$C$3</f>
        <v>-2.9000000000000026</v>
      </c>
      <c r="B29" s="32">
        <f>1/(1+EXP(-$C$4*A29))</f>
        <v>5.2153563078417613E-2</v>
      </c>
      <c r="C29" s="201">
        <f>(B30-B28)/(A30-A28)</f>
        <v>4.9491513606509691E-2</v>
      </c>
    </row>
    <row r="30" spans="1:8" hidden="1" x14ac:dyDescent="0.25">
      <c r="A30" s="202">
        <f>A29+$C$3</f>
        <v>-2.8000000000000025</v>
      </c>
      <c r="B30" s="32">
        <f>1/(1+EXP(-$C$4*A30))</f>
        <v>5.732417589886861E-2</v>
      </c>
      <c r="C30" s="201">
        <f>(B31-B29)/(A31-A29)</f>
        <v>5.409896489289362E-2</v>
      </c>
    </row>
    <row r="31" spans="1:8" hidden="1" x14ac:dyDescent="0.25">
      <c r="A31" s="202">
        <f>A30+$C$3</f>
        <v>-2.7000000000000024</v>
      </c>
      <c r="B31" s="32">
        <f>1/(1+EXP(-$C$4*A31))</f>
        <v>6.2973356056996346E-2</v>
      </c>
      <c r="C31" s="201">
        <f>(B32-B30)/(A32-A30)</f>
        <v>5.907122222239021E-2</v>
      </c>
    </row>
    <row r="32" spans="1:8" hidden="1" x14ac:dyDescent="0.25">
      <c r="A32" s="202">
        <f>A31+$C$3</f>
        <v>-2.6000000000000023</v>
      </c>
      <c r="B32" s="32">
        <f>1/(1+EXP(-$C$4*A32))</f>
        <v>6.9138420343346663E-2</v>
      </c>
      <c r="C32" s="201">
        <f>(B33-B31)/(A33-A31)</f>
        <v>6.4424119821235179E-2</v>
      </c>
    </row>
    <row r="33" spans="1:3" hidden="1" x14ac:dyDescent="0.25">
      <c r="A33" s="202">
        <f>A32+$C$3</f>
        <v>-2.5000000000000022</v>
      </c>
      <c r="B33" s="32">
        <f>1/(1+EXP(-$C$4*A33))</f>
        <v>7.5858180021243393E-2</v>
      </c>
      <c r="C33" s="201">
        <f>(B34-B32)/(A34-A32)</f>
        <v>7.0171380752877696E-2</v>
      </c>
    </row>
    <row r="34" spans="1:3" hidden="1" x14ac:dyDescent="0.25">
      <c r="A34" s="202">
        <f>A33+$C$3</f>
        <v>-2.4000000000000021</v>
      </c>
      <c r="B34" s="32">
        <f>1/(1+EXP(-$C$4*A34))</f>
        <v>8.3172696493922213E-2</v>
      </c>
      <c r="C34" s="201">
        <f>(B35-B33)/(A35-A33)</f>
        <v>7.6323904968062795E-2</v>
      </c>
    </row>
    <row r="35" spans="1:3" hidden="1" x14ac:dyDescent="0.25">
      <c r="A35" s="202">
        <f>A34+$C$3</f>
        <v>-2.300000000000002</v>
      </c>
      <c r="B35" s="32">
        <f>1/(1+EXP(-$C$4*A35))</f>
        <v>9.1122961014855966E-2</v>
      </c>
      <c r="C35" s="201">
        <f>(B36-B34)/(A36-A34)</f>
        <v>8.2888963128813775E-2</v>
      </c>
    </row>
    <row r="36" spans="1:3" hidden="1" x14ac:dyDescent="0.25">
      <c r="A36" s="202">
        <f>A35+$C$3</f>
        <v>-2.200000000000002</v>
      </c>
      <c r="B36" s="32">
        <f>1/(1+EXP(-$C$4*A36))</f>
        <v>9.9750489119684982E-2</v>
      </c>
      <c r="C36" s="201">
        <f>(B37-B35)/(A37-A35)</f>
        <v>8.9869300903783811E-2</v>
      </c>
    </row>
    <row r="37" spans="1:3" hidden="1" x14ac:dyDescent="0.25">
      <c r="A37" s="202">
        <f>A36+$C$3</f>
        <v>-2.1000000000000019</v>
      </c>
      <c r="B37" s="32">
        <f>1/(1+EXP(-$C$4*A37))</f>
        <v>0.10909682119561274</v>
      </c>
      <c r="C37" s="201">
        <f>(B38-B36)/(A38-A36)</f>
        <v>9.7262164512161908E-2</v>
      </c>
    </row>
    <row r="38" spans="1:3" hidden="1" x14ac:dyDescent="0.25">
      <c r="A38" s="202">
        <f>A37+$C$3</f>
        <v>-2.0000000000000018</v>
      </c>
      <c r="B38" s="32">
        <f>1/(1+EXP(-$C$4*A38))</f>
        <v>0.11920292202211738</v>
      </c>
      <c r="C38" s="201">
        <f>(B39-B37)/(A39-A37)</f>
        <v>0.10505826583692449</v>
      </c>
    </row>
    <row r="39" spans="1:3" hidden="1" x14ac:dyDescent="0.25">
      <c r="A39" s="202">
        <f>A38+$C$3</f>
        <v>-1.9000000000000017</v>
      </c>
      <c r="B39" s="32">
        <f>1/(1+EXP(-$C$4*A39))</f>
        <v>0.13010847436299766</v>
      </c>
      <c r="C39" s="201">
        <f>(B40-B38)/(A40-A38)</f>
        <v>0.113240714391851</v>
      </c>
    </row>
    <row r="40" spans="1:3" hidden="1" x14ac:dyDescent="0.25">
      <c r="A40" s="202">
        <f>A39+$C$3</f>
        <v>-1.8000000000000016</v>
      </c>
      <c r="B40" s="32">
        <f>1/(1+EXP(-$C$4*A40))</f>
        <v>0.1418510649004876</v>
      </c>
      <c r="C40" s="201">
        <f>(B41-B39)/(A41-A39)</f>
        <v>0.1217839536026841</v>
      </c>
    </row>
    <row r="41" spans="1:3" hidden="1" x14ac:dyDescent="0.25">
      <c r="A41" s="202">
        <f>A40+$C$3</f>
        <v>-1.7000000000000015</v>
      </c>
      <c r="B41" s="32">
        <f>1/(1+EXP(-$C$4*A41))</f>
        <v>0.1544652650835345</v>
      </c>
      <c r="C41" s="201">
        <f>(B42-B40)/(A42-A40)</f>
        <v>0.13065274982793851</v>
      </c>
    </row>
    <row r="42" spans="1:3" hidden="1" x14ac:dyDescent="0.25">
      <c r="A42" s="202">
        <f>A41+$C$3</f>
        <v>-1.6000000000000014</v>
      </c>
      <c r="B42" s="32">
        <f>1/(1+EXP(-$C$4*A42))</f>
        <v>0.16798161486607532</v>
      </c>
      <c r="C42" s="201">
        <f>(B43-B41)/(A43-A41)</f>
        <v>0.13980129361410815</v>
      </c>
    </row>
    <row r="43" spans="1:3" hidden="1" x14ac:dyDescent="0.25">
      <c r="A43" s="202">
        <f>A42+$C$3</f>
        <v>-1.5000000000000013</v>
      </c>
      <c r="B43" s="32">
        <f>1/(1+EXP(-$C$4*A43))</f>
        <v>0.18242552380635615</v>
      </c>
      <c r="C43" s="201">
        <f>(B44-B42)/(A44-A42)</f>
        <v>0.14917248287671353</v>
      </c>
    </row>
    <row r="44" spans="1:3" hidden="1" x14ac:dyDescent="0.25">
      <c r="A44" s="202">
        <f>A43+$C$3</f>
        <v>-1.4000000000000012</v>
      </c>
      <c r="B44" s="32">
        <f>1/(1+EXP(-$C$4*A44))</f>
        <v>0.19781611144141806</v>
      </c>
      <c r="C44" s="201">
        <f>(B45-B43)/(A45-A43)</f>
        <v>0.1586974657554252</v>
      </c>
    </row>
    <row r="45" spans="1:3" hidden="1" x14ac:dyDescent="0.25">
      <c r="A45" s="202">
        <f>A44+$C$3</f>
        <v>-1.3000000000000012</v>
      </c>
      <c r="B45" s="32">
        <f>1/(1+EXP(-$C$4*A45))</f>
        <v>0.21416501695744122</v>
      </c>
      <c r="C45" s="201">
        <f>(B46-B44)/(A46-A44)</f>
        <v>0.16829552529782049</v>
      </c>
    </row>
    <row r="46" spans="1:3" hidden="1" x14ac:dyDescent="0.25">
      <c r="A46" s="202">
        <f>A45+$C$3</f>
        <v>-1.2000000000000011</v>
      </c>
      <c r="B46" s="32">
        <f>1/(1+EXP(-$C$4*A46))</f>
        <v>0.23147521650098218</v>
      </c>
      <c r="C46" s="201">
        <f>(B47-B45)/(A47-A45)</f>
        <v>0.17787438723720486</v>
      </c>
    </row>
    <row r="47" spans="1:3" hidden="1" x14ac:dyDescent="0.25">
      <c r="A47" s="202">
        <f>A46+$C$3</f>
        <v>-1.100000000000001</v>
      </c>
      <c r="B47" s="32">
        <f>1/(1+EXP(-$C$4*A47))</f>
        <v>0.24973989440488223</v>
      </c>
      <c r="C47" s="201">
        <f>(B48-B46)/(A48-A46)</f>
        <v>0.1873310243450636</v>
      </c>
    </row>
    <row r="48" spans="1:3" hidden="1" x14ac:dyDescent="0.25">
      <c r="A48" s="202">
        <f>A47+$C$3</f>
        <v>-1.0000000000000009</v>
      </c>
      <c r="B48" s="32">
        <f>1/(1+EXP(-$C$4*A48))</f>
        <v>0.26894142136999494</v>
      </c>
      <c r="C48" s="201">
        <f>(B49-B47)/(A49-A47)</f>
        <v>0.19655301485056795</v>
      </c>
    </row>
    <row r="49" spans="1:3" hidden="1" x14ac:dyDescent="0.25">
      <c r="A49" s="202">
        <f>A48+$C$3</f>
        <v>-0.90000000000000091</v>
      </c>
      <c r="B49" s="32">
        <f>1/(1+EXP(-$C$4*A49))</f>
        <v>0.28905049737499583</v>
      </c>
      <c r="C49" s="201">
        <f>(B50-B48)/(A50-A48)</f>
        <v>0.20542048751196229</v>
      </c>
    </row>
    <row r="50" spans="1:3" hidden="1" x14ac:dyDescent="0.25">
      <c r="A50" s="202">
        <f>A49+$C$3</f>
        <v>-0.80000000000000093</v>
      </c>
      <c r="B50" s="32">
        <f>1/(1+EXP(-$C$4*A50))</f>
        <v>0.31002551887238738</v>
      </c>
      <c r="C50" s="201">
        <f>(B51-B49)/(A51-A49)</f>
        <v>0.21380865228418927</v>
      </c>
    </row>
    <row r="51" spans="1:3" hidden="1" x14ac:dyDescent="0.25">
      <c r="A51" s="202">
        <f>A50+$C$3</f>
        <v>-0.70000000000000095</v>
      </c>
      <c r="B51" s="32">
        <f>1/(1+EXP(-$C$4*A51))</f>
        <v>0.33181222783183367</v>
      </c>
      <c r="C51" s="201">
        <f>(B52-B50)/(A52-A50)</f>
        <v>0.22159087450908477</v>
      </c>
    </row>
    <row r="52" spans="1:3" hidden="1" x14ac:dyDescent="0.25">
      <c r="A52" s="202">
        <f>A51+$C$3</f>
        <v>-0.60000000000000098</v>
      </c>
      <c r="B52" s="32">
        <f>1/(1+EXP(-$C$4*A52))</f>
        <v>0.35434369377420433</v>
      </c>
      <c r="C52" s="201">
        <f>(B53-B51)/(A53-A51)</f>
        <v>0.22864220483155762</v>
      </c>
    </row>
    <row r="53" spans="1:3" hidden="1" x14ac:dyDescent="0.25">
      <c r="A53" s="202">
        <f>A52+$C$3</f>
        <v>-0.500000000000001</v>
      </c>
      <c r="B53" s="32">
        <f>1/(1+EXP(-$C$4*A53))</f>
        <v>0.37754066879814518</v>
      </c>
      <c r="C53" s="201">
        <f>(B54-B52)/(A54-A52)</f>
        <v>0.23484323056671702</v>
      </c>
    </row>
    <row r="54" spans="1:3" hidden="1" x14ac:dyDescent="0.25">
      <c r="A54" s="202">
        <f>A53+$C$3</f>
        <v>-0.40000000000000102</v>
      </c>
      <c r="B54" s="32">
        <f>1/(1+EXP(-$C$4*A54))</f>
        <v>0.40131233988754772</v>
      </c>
      <c r="C54" s="201">
        <f>(B55-B53)/(A55-A53)</f>
        <v>0.24008407195097786</v>
      </c>
    </row>
    <row r="55" spans="1:3" hidden="1" x14ac:dyDescent="0.25">
      <c r="A55" s="202">
        <f>A54+$C$3</f>
        <v>-0.30000000000000104</v>
      </c>
      <c r="B55" s="32">
        <f>1/(1+EXP(-$C$4*A55))</f>
        <v>0.42555748318834075</v>
      </c>
      <c r="C55" s="201">
        <f>(B56-B54)/(A56-A54)</f>
        <v>0.24426831399987028</v>
      </c>
    </row>
    <row r="56" spans="1:3" hidden="1" x14ac:dyDescent="0.25">
      <c r="A56" s="202">
        <f>A55+$C$3</f>
        <v>-0.20000000000000104</v>
      </c>
      <c r="B56" s="32">
        <f>1/(1+EXP(-$C$4*A56))</f>
        <v>0.45016600268752177</v>
      </c>
      <c r="C56" s="201">
        <f>(B57-B55)/(A57-A55)</f>
        <v>0.24731664666359537</v>
      </c>
    </row>
    <row r="57" spans="1:3" hidden="1" x14ac:dyDescent="0.25">
      <c r="A57" s="202">
        <f>A56+$C$3</f>
        <v>-0.10000000000000103</v>
      </c>
      <c r="B57" s="32">
        <f>1/(1+EXP(-$C$4*A57))</f>
        <v>0.47502081252105982</v>
      </c>
      <c r="C57" s="201">
        <f>(B58-B56)/(A58-A56)</f>
        <v>0.24916998656239003</v>
      </c>
    </row>
    <row r="58" spans="1:3" x14ac:dyDescent="0.25">
      <c r="A58" s="202">
        <f>A57+$C$3</f>
        <v>-1.0269562977782698E-15</v>
      </c>
      <c r="B58" s="32">
        <f>1/(1+EXP(-$C$4*A58))</f>
        <v>0.49999999999999978</v>
      </c>
      <c r="C58" s="201">
        <f>(B59-B57)/(A59-A57)</f>
        <v>0.24979187478939929</v>
      </c>
    </row>
    <row r="59" spans="1:3" x14ac:dyDescent="0.25">
      <c r="A59" s="202">
        <f>A58+$C$3</f>
        <v>9.9999999999998979E-2</v>
      </c>
      <c r="B59" s="32">
        <f>1/(1+EXP(-$C$4*A59))</f>
        <v>0.52497918747893968</v>
      </c>
      <c r="C59" s="201">
        <f>(B60-B58)/(A60-A58)</f>
        <v>0.24916998656238976</v>
      </c>
    </row>
    <row r="60" spans="1:3" hidden="1" x14ac:dyDescent="0.25">
      <c r="A60" s="202">
        <f>A59+$C$3</f>
        <v>0.19999999999999898</v>
      </c>
      <c r="B60" s="32">
        <f>1/(1+EXP(-$C$4*A60))</f>
        <v>0.54983399731247773</v>
      </c>
      <c r="C60" s="201">
        <f>(B61-B59)/(A61-A59)</f>
        <v>0.2473166466635951</v>
      </c>
    </row>
    <row r="61" spans="1:3" hidden="1" x14ac:dyDescent="0.25">
      <c r="A61" s="202">
        <f>A60+$C$3</f>
        <v>0.29999999999999899</v>
      </c>
      <c r="B61" s="32">
        <f>1/(1+EXP(-$C$4*A61))</f>
        <v>0.5744425168116587</v>
      </c>
      <c r="C61" s="201">
        <f>(B62-B60)/(A62-A60)</f>
        <v>0.2442683139998702</v>
      </c>
    </row>
    <row r="62" spans="1:3" hidden="1" x14ac:dyDescent="0.25">
      <c r="A62" s="202">
        <f>A61+$C$3</f>
        <v>0.39999999999999902</v>
      </c>
      <c r="B62" s="32">
        <f>1/(1+EXP(-$C$4*A62))</f>
        <v>0.59868766011245178</v>
      </c>
      <c r="C62" s="201">
        <f>(B63-B61)/(A63-A61)</f>
        <v>0.24008407195097781</v>
      </c>
    </row>
    <row r="63" spans="1:3" hidden="1" x14ac:dyDescent="0.25">
      <c r="A63" s="202">
        <f>A62+$C$3</f>
        <v>0.499999999999999</v>
      </c>
      <c r="B63" s="32">
        <f>1/(1+EXP(-$C$4*A63))</f>
        <v>0.62245933120185426</v>
      </c>
      <c r="C63" s="201">
        <f>(B64-B62)/(A64-A62)</f>
        <v>0.23484323056671758</v>
      </c>
    </row>
    <row r="64" spans="1:3" hidden="1" x14ac:dyDescent="0.25">
      <c r="A64" s="202">
        <f>A63+$C$3</f>
        <v>0.59999999999999898</v>
      </c>
      <c r="B64" s="32">
        <f>1/(1+EXP(-$C$4*A64))</f>
        <v>0.64565630622579528</v>
      </c>
      <c r="C64" s="201">
        <f>(B65-B63)/(A65-A63)</f>
        <v>0.22864220483155789</v>
      </c>
    </row>
    <row r="65" spans="1:3" hidden="1" x14ac:dyDescent="0.25">
      <c r="A65" s="202">
        <f>A64+$C$3</f>
        <v>0.69999999999999896</v>
      </c>
      <c r="B65" s="32">
        <f>1/(1+EXP(-$C$4*A65))</f>
        <v>0.66818777216816583</v>
      </c>
      <c r="C65" s="201">
        <f>(B66-B64)/(A66-A64)</f>
        <v>0.22159087450908505</v>
      </c>
    </row>
    <row r="66" spans="1:3" hidden="1" x14ac:dyDescent="0.25">
      <c r="A66" s="202">
        <f>A65+$C$3</f>
        <v>0.79999999999999893</v>
      </c>
      <c r="B66" s="32">
        <f>1/(1+EXP(-$C$4*A66))</f>
        <v>0.68997448112761228</v>
      </c>
      <c r="C66" s="201">
        <f>(B67-B65)/(A67-A65)</f>
        <v>0.21380865228418927</v>
      </c>
    </row>
    <row r="67" spans="1:3" hidden="1" x14ac:dyDescent="0.25">
      <c r="A67" s="202">
        <f>A66+$C$3</f>
        <v>0.89999999999999891</v>
      </c>
      <c r="B67" s="32">
        <f>1/(1+EXP(-$C$4*A67))</f>
        <v>0.71094950262500367</v>
      </c>
      <c r="C67" s="201">
        <f>(B68-B66)/(A68-A66)</f>
        <v>0.20542048751196201</v>
      </c>
    </row>
    <row r="68" spans="1:3" hidden="1" x14ac:dyDescent="0.25">
      <c r="A68" s="202">
        <f>A67+$C$3</f>
        <v>0.99999999999999889</v>
      </c>
      <c r="B68" s="32">
        <f>1/(1+EXP(-$C$4*A68))</f>
        <v>0.73105857863000467</v>
      </c>
      <c r="C68" s="201">
        <f>(B69-B67)/(A69-A67)</f>
        <v>0.19655301485056836</v>
      </c>
    </row>
    <row r="69" spans="1:3" hidden="1" x14ac:dyDescent="0.25">
      <c r="A69" s="202">
        <f>A68+$C$3</f>
        <v>1.099999999999999</v>
      </c>
      <c r="B69" s="32">
        <f>1/(1+EXP(-$C$4*A69))</f>
        <v>0.75026010559511735</v>
      </c>
      <c r="C69" s="201">
        <f>(B70-B68)/(A70-A68)</f>
        <v>0.1873310243450636</v>
      </c>
    </row>
    <row r="70" spans="1:3" hidden="1" x14ac:dyDescent="0.25">
      <c r="A70" s="202">
        <f>A69+$C$3</f>
        <v>1.1999999999999991</v>
      </c>
      <c r="B70" s="32">
        <f>1/(1+EXP(-$C$4*A70))</f>
        <v>0.76852478349901743</v>
      </c>
      <c r="C70" s="201">
        <f>(B71-B69)/(A71-A69)</f>
        <v>0.17787438723720556</v>
      </c>
    </row>
    <row r="71" spans="1:3" hidden="1" x14ac:dyDescent="0.25">
      <c r="A71" s="202">
        <f>A70+$C$3</f>
        <v>1.2999999999999992</v>
      </c>
      <c r="B71" s="32">
        <f>1/(1+EXP(-$C$4*A71))</f>
        <v>0.7858349830425585</v>
      </c>
      <c r="C71" s="201">
        <f>(B72-B70)/(A72-A70)</f>
        <v>0.16829552529782119</v>
      </c>
    </row>
    <row r="72" spans="1:3" hidden="1" x14ac:dyDescent="0.25">
      <c r="A72" s="202">
        <f>A71+$C$3</f>
        <v>1.3999999999999992</v>
      </c>
      <c r="B72" s="32">
        <f>1/(1+EXP(-$C$4*A72))</f>
        <v>0.80218388855858169</v>
      </c>
      <c r="C72" s="201">
        <f>(B73-B71)/(A73-A71)</f>
        <v>0.15869746575542562</v>
      </c>
    </row>
    <row r="73" spans="1:3" hidden="1" x14ac:dyDescent="0.25">
      <c r="A73" s="202">
        <f>A72+$C$3</f>
        <v>1.4999999999999993</v>
      </c>
      <c r="B73" s="32">
        <f>1/(1+EXP(-$C$4*A73))</f>
        <v>0.81757447619364365</v>
      </c>
      <c r="C73" s="201">
        <f>(B74-B72)/(A74-A72)</f>
        <v>0.14917248287671367</v>
      </c>
    </row>
    <row r="74" spans="1:3" hidden="1" x14ac:dyDescent="0.25">
      <c r="A74" s="202">
        <f>A73+$C$3</f>
        <v>1.5999999999999994</v>
      </c>
      <c r="B74" s="32">
        <f>1/(1+EXP(-$C$4*A74))</f>
        <v>0.83201838513392445</v>
      </c>
      <c r="C74" s="201">
        <f>(B75-B73)/(A75-A73)</f>
        <v>0.13980129361410787</v>
      </c>
    </row>
    <row r="75" spans="1:3" hidden="1" x14ac:dyDescent="0.25">
      <c r="A75" s="202">
        <f>A74+$C$3</f>
        <v>1.6999999999999995</v>
      </c>
      <c r="B75" s="32">
        <f>1/(1+EXP(-$C$4*A75))</f>
        <v>0.84553473491646525</v>
      </c>
      <c r="C75" s="201">
        <f>(B76-B74)/(A76-A74)</f>
        <v>0.13065274982793795</v>
      </c>
    </row>
    <row r="76" spans="1:3" hidden="1" x14ac:dyDescent="0.25">
      <c r="A76" s="202">
        <f>A75+$C$3</f>
        <v>1.7999999999999996</v>
      </c>
      <c r="B76" s="32">
        <f>1/(1+EXP(-$C$4*A76))</f>
        <v>0.85814893509951207</v>
      </c>
      <c r="C76" s="201">
        <f>(B77-B75)/(A77-A75)</f>
        <v>0.12178395360268424</v>
      </c>
    </row>
    <row r="77" spans="1:3" hidden="1" x14ac:dyDescent="0.25">
      <c r="A77" s="202">
        <f>A76+$C$3</f>
        <v>1.8999999999999997</v>
      </c>
      <c r="B77" s="32">
        <f>1/(1+EXP(-$C$4*A77))</f>
        <v>0.86989152563700212</v>
      </c>
      <c r="C77" s="201">
        <f>(B78-B76)/(A78-A76)</f>
        <v>0.11324071439185114</v>
      </c>
    </row>
    <row r="78" spans="1:3" hidden="1" x14ac:dyDescent="0.25">
      <c r="A78" s="202">
        <f>A77+$C$3</f>
        <v>1.9999999999999998</v>
      </c>
      <c r="B78" s="32">
        <f>1/(1+EXP(-$C$4*A78))</f>
        <v>0.88079707797788231</v>
      </c>
      <c r="C78" s="201">
        <f>(B79-B77)/(A79-A77)</f>
        <v>0.10505826583692482</v>
      </c>
    </row>
    <row r="79" spans="1:3" hidden="1" x14ac:dyDescent="0.25">
      <c r="A79" s="202">
        <f>A78+$C$3</f>
        <v>2.0999999999999996</v>
      </c>
      <c r="B79" s="32">
        <f>1/(1+EXP(-$C$4*A79))</f>
        <v>0.89090317880438707</v>
      </c>
      <c r="C79" s="201">
        <f>(B80-B78)/(A80-A78)</f>
        <v>9.7262164512162436E-2</v>
      </c>
    </row>
    <row r="80" spans="1:3" hidden="1" x14ac:dyDescent="0.25">
      <c r="A80" s="202">
        <f>A79+$C$3</f>
        <v>2.1999999999999997</v>
      </c>
      <c r="B80" s="32">
        <f>1/(1+EXP(-$C$4*A80))</f>
        <v>0.9002495108803148</v>
      </c>
      <c r="C80" s="201">
        <f>(B81-B79)/(A81-A79)</f>
        <v>8.9869300903783672E-2</v>
      </c>
    </row>
    <row r="81" spans="1:3" hidden="1" x14ac:dyDescent="0.25">
      <c r="A81" s="202">
        <f>A80+$C$3</f>
        <v>2.2999999999999998</v>
      </c>
      <c r="B81" s="32">
        <f>1/(1+EXP(-$C$4*A81))</f>
        <v>0.90887703898514383</v>
      </c>
      <c r="C81" s="201">
        <f>(B82-B80)/(A82-A80)</f>
        <v>8.2888963128814261E-2</v>
      </c>
    </row>
    <row r="82" spans="1:3" hidden="1" x14ac:dyDescent="0.25">
      <c r="A82" s="202">
        <f>A81+$C$3</f>
        <v>2.4</v>
      </c>
      <c r="B82" s="32">
        <f>1/(1+EXP(-$C$4*A82))</f>
        <v>0.91682730350607766</v>
      </c>
      <c r="C82" s="201">
        <f>(B83-B81)/(A83-A81)</f>
        <v>7.6323904968063558E-2</v>
      </c>
    </row>
    <row r="83" spans="1:3" hidden="1" x14ac:dyDescent="0.25">
      <c r="A83" s="202">
        <f>A82+$C$3</f>
        <v>2.5</v>
      </c>
      <c r="B83" s="32">
        <f>1/(1+EXP(-$C$4*A83))</f>
        <v>0.92414181997875655</v>
      </c>
      <c r="C83" s="201">
        <f>(B84-B82)/(A84-A82)</f>
        <v>7.0171380752878043E-2</v>
      </c>
    </row>
    <row r="84" spans="1:3" hidden="1" x14ac:dyDescent="0.25">
      <c r="A84" s="202">
        <f>A83+$C$3</f>
        <v>2.6</v>
      </c>
      <c r="B84" s="32">
        <f>1/(1+EXP(-$C$4*A84))</f>
        <v>0.93086157965665328</v>
      </c>
      <c r="C84" s="201">
        <f>(B85-B83)/(A85-A83)</f>
        <v>6.4424119821234693E-2</v>
      </c>
    </row>
    <row r="85" spans="1:3" hidden="1" x14ac:dyDescent="0.25">
      <c r="A85" s="202">
        <f>A84+$C$3</f>
        <v>2.7</v>
      </c>
      <c r="B85" s="32">
        <f>1/(1+EXP(-$C$4*A85))</f>
        <v>0.9370266439430035</v>
      </c>
      <c r="C85" s="201">
        <f>(B86-B84)/(A86-A84)</f>
        <v>5.9071222222389863E-2</v>
      </c>
    </row>
    <row r="86" spans="1:3" hidden="1" x14ac:dyDescent="0.25">
      <c r="A86" s="202">
        <f>A85+$C$3</f>
        <v>2.8000000000000003</v>
      </c>
      <c r="B86" s="32">
        <f>1/(1+EXP(-$C$4*A86))</f>
        <v>0.94267582410113127</v>
      </c>
      <c r="C86" s="201">
        <f>(B87-B85)/(A87-A85)</f>
        <v>5.4098964892894071E-2</v>
      </c>
    </row>
    <row r="87" spans="1:3" hidden="1" x14ac:dyDescent="0.25">
      <c r="A87" s="202">
        <f>A86+$C$3</f>
        <v>2.9000000000000004</v>
      </c>
      <c r="B87" s="32">
        <f>1/(1+EXP(-$C$4*A87))</f>
        <v>0.94784643692158232</v>
      </c>
      <c r="C87" s="201">
        <f>(B88-B86)/(A88-A86)</f>
        <v>4.9491513606510454E-2</v>
      </c>
    </row>
    <row r="88" spans="1:3" hidden="1" x14ac:dyDescent="0.25">
      <c r="A88" s="202">
        <f>A87+$C$3</f>
        <v>3.0000000000000004</v>
      </c>
      <c r="B88" s="32">
        <f>1/(1+EXP(-$C$4*A88))</f>
        <v>0.95257412682243336</v>
      </c>
      <c r="C88" s="201">
        <f>(B89-B87)/(A89-A87)</f>
        <v>4.5231540686657648E-2</v>
      </c>
    </row>
    <row r="89" spans="1:3" hidden="1" x14ac:dyDescent="0.25">
      <c r="A89" s="202">
        <f>A88+$C$3</f>
        <v>3.1000000000000005</v>
      </c>
      <c r="B89" s="32">
        <f>1/(1+EXP(-$C$4*A89))</f>
        <v>0.95689274505891386</v>
      </c>
      <c r="C89" s="201">
        <f>(B90-B88)/(A90-A88)</f>
        <v>4.1300751904011467E-2</v>
      </c>
    </row>
    <row r="90" spans="1:3" hidden="1" x14ac:dyDescent="0.25">
      <c r="A90" s="202">
        <f>A89+$C$3</f>
        <v>3.2000000000000006</v>
      </c>
      <c r="B90" s="32">
        <f>1/(1+EXP(-$C$4*A90))</f>
        <v>0.96083427720323566</v>
      </c>
      <c r="C90" s="201">
        <f>(B91-B89)/(A91-A89)</f>
        <v>3.7680328342249957E-2</v>
      </c>
    </row>
    <row r="91" spans="1:3" hidden="1" x14ac:dyDescent="0.25">
      <c r="A91" s="202">
        <f>A90+$C$3</f>
        <v>3.3000000000000007</v>
      </c>
      <c r="B91" s="32">
        <f>1/(1+EXP(-$C$4*A91))</f>
        <v>0.96442881072736386</v>
      </c>
      <c r="C91" s="201">
        <f>(B92-B90)/(A92-A90)</f>
        <v>3.4351290491569347E-2</v>
      </c>
    </row>
    <row r="92" spans="1:3" hidden="1" x14ac:dyDescent="0.25">
      <c r="A92" s="202">
        <f>A91+$C$3</f>
        <v>3.4000000000000008</v>
      </c>
      <c r="B92" s="32">
        <f>1/(1+EXP(-$C$4*A92))</f>
        <v>0.96770453530154954</v>
      </c>
      <c r="C92" s="201">
        <f>(B93-B91)/(A93-A91)</f>
        <v>3.1294792606399419E-2</v>
      </c>
    </row>
    <row r="93" spans="1:3" hidden="1" x14ac:dyDescent="0.25">
      <c r="A93" s="202">
        <f>A92+$C$3</f>
        <v>3.5000000000000009</v>
      </c>
      <c r="B93" s="32">
        <f>1/(1+EXP(-$C$4*A93))</f>
        <v>0.97068776924864375</v>
      </c>
      <c r="C93" s="201">
        <f>(B94-B92)/(A94-A92)</f>
        <v>2.8492355607922491E-2</v>
      </c>
    </row>
    <row r="94" spans="1:3" hidden="1" x14ac:dyDescent="0.25">
      <c r="A94" s="202">
        <f>A93+$C$3</f>
        <v>3.600000000000001</v>
      </c>
      <c r="B94" s="32">
        <f>1/(1+EXP(-$C$4*A94))</f>
        <v>0.97340300642313404</v>
      </c>
      <c r="C94" s="201">
        <f>(B95-B93)/(A95-A93)</f>
        <v>2.5926046668435208E-2</v>
      </c>
    </row>
    <row r="95" spans="1:3" hidden="1" x14ac:dyDescent="0.25">
      <c r="A95" s="202">
        <f>A94+$C$3</f>
        <v>3.7000000000000011</v>
      </c>
      <c r="B95" s="32">
        <f>1/(1+EXP(-$C$4*A95))</f>
        <v>0.9758729785823308</v>
      </c>
      <c r="C95" s="201">
        <f>(B96-B94)/(A96-A94)</f>
        <v>2.3578613203676914E-2</v>
      </c>
    </row>
    <row r="96" spans="1:3" hidden="1" x14ac:dyDescent="0.25">
      <c r="A96" s="202">
        <f>A95+$C$3</f>
        <v>3.8000000000000012</v>
      </c>
      <c r="B96" s="32">
        <f>1/(1+EXP(-$C$4*A96))</f>
        <v>0.97811872906386943</v>
      </c>
      <c r="C96" s="201">
        <f>(B97-B95)/(A97-A95)</f>
        <v>2.1433578417958659E-2</v>
      </c>
    </row>
    <row r="97" spans="1:3" hidden="1" x14ac:dyDescent="0.25">
      <c r="A97" s="202">
        <f>A96+$C$3</f>
        <v>3.9000000000000012</v>
      </c>
      <c r="B97" s="32">
        <f>1/(1+EXP(-$C$4*A97))</f>
        <v>0.98015969426592253</v>
      </c>
      <c r="C97" s="201">
        <f>(B98-B96)/(A98-A96)</f>
        <v>1.9475304870195134E-2</v>
      </c>
    </row>
    <row r="98" spans="1:3" hidden="1" x14ac:dyDescent="0.25">
      <c r="A98" s="202">
        <f>A97+$C$3</f>
        <v>4.0000000000000009</v>
      </c>
      <c r="B98" s="32">
        <f>1/(1+EXP(-$C$4*A98))</f>
        <v>0.98201379003790845</v>
      </c>
      <c r="C98" s="201">
        <f>(B99-B97)/(A99-A97)</f>
        <v>1.7689031813182883E-2</v>
      </c>
    </row>
    <row r="99" spans="1:3" hidden="1" x14ac:dyDescent="0.25">
      <c r="A99" s="202">
        <f>A98+$C$3</f>
        <v>4.1000000000000005</v>
      </c>
      <c r="B99" s="32">
        <f>1/(1+EXP(-$C$4*A99))</f>
        <v>0.9836975006285591</v>
      </c>
      <c r="C99" s="201">
        <f>(B100-B98)/(A100-A98)</f>
        <v>1.6060891344092443E-2</v>
      </c>
    </row>
    <row r="100" spans="1:3" hidden="1" x14ac:dyDescent="0.25">
      <c r="A100" s="202">
        <f>A99+$C$3</f>
        <v>4.2</v>
      </c>
      <c r="B100" s="32">
        <f>1/(1+EXP(-$C$4*A100))</f>
        <v>0.98522596830672693</v>
      </c>
      <c r="C100" s="201">
        <f>(B101-B99)/(A101-A99)</f>
        <v>1.4577907718880175E-2</v>
      </c>
    </row>
    <row r="101" spans="1:3" hidden="1" x14ac:dyDescent="0.25">
      <c r="A101" s="202">
        <f>A100+$C$3</f>
        <v>4.3</v>
      </c>
      <c r="B101" s="32">
        <f>1/(1+EXP(-$C$4*A101))</f>
        <v>0.98661308217233512</v>
      </c>
      <c r="C101" s="201">
        <f>(B102-B100)/(A102-A100)</f>
        <v>1.3227983544993929E-2</v>
      </c>
    </row>
    <row r="102" spans="1:3" hidden="1" x14ac:dyDescent="0.25">
      <c r="A102" s="202">
        <f>A101+$C$3</f>
        <v>4.3999999999999995</v>
      </c>
      <c r="B102" s="32">
        <f>1/(1+EXP(-$C$4*A102))</f>
        <v>0.98787156501572571</v>
      </c>
      <c r="C102" s="201">
        <f>(B103-B101)/(A103-A101)</f>
        <v>1.1999875985358498E-2</v>
      </c>
    </row>
    <row r="103" spans="1:3" hidden="1" x14ac:dyDescent="0.25">
      <c r="A103" s="202">
        <f>A102+$C$3</f>
        <v>4.4999999999999991</v>
      </c>
      <c r="B103" s="32">
        <f>1/(1+EXP(-$C$4*A103))</f>
        <v>0.98901305736940681</v>
      </c>
      <c r="C103" s="201">
        <f>(B104-B102)/(A104-A102)</f>
        <v>1.0883165586850246E-2</v>
      </c>
    </row>
    <row r="104" spans="1:3" hidden="1" x14ac:dyDescent="0.25">
      <c r="A104" s="202">
        <f>A103+$C$3</f>
        <v>4.5999999999999988</v>
      </c>
      <c r="B104" s="32">
        <f>1/(1+EXP(-$C$4*A104))</f>
        <v>0.99004819813309575</v>
      </c>
      <c r="C104" s="201">
        <f>(B105-B103)/(A105-A103)</f>
        <v>9.8682198887262498E-3</v>
      </c>
    </row>
    <row r="105" spans="1:3" hidden="1" x14ac:dyDescent="0.25">
      <c r="A105" s="202">
        <f>A104+$C$3</f>
        <v>4.6999999999999984</v>
      </c>
      <c r="B105" s="32">
        <f>1/(1+EXP(-$C$4*A105))</f>
        <v>0.99098670134715205</v>
      </c>
      <c r="C105" s="201">
        <f>(B106-B104)/(A106-A104)</f>
        <v>8.9461535687218909E-3</v>
      </c>
    </row>
    <row r="106" spans="1:3" hidden="1" x14ac:dyDescent="0.25">
      <c r="A106" s="202">
        <f>A105+$C$3</f>
        <v>4.799999999999998</v>
      </c>
      <c r="B106" s="32">
        <f>1/(1+EXP(-$C$4*A106))</f>
        <v>0.99183742884684012</v>
      </c>
      <c r="C106" s="201">
        <f>(B107-B105)/(A107-A105)</f>
        <v>8.1087865428303447E-3</v>
      </c>
    </row>
    <row r="107" spans="1:3" x14ac:dyDescent="0.25">
      <c r="A107" s="202">
        <f>A106+$C$3</f>
        <v>4.8999999999999977</v>
      </c>
      <c r="B107" s="32">
        <f>1/(1+EXP(-$C$4*A107))</f>
        <v>0.99260845865571812</v>
      </c>
      <c r="C107" s="201">
        <f>(B108-B106)/(A108-A106)</f>
        <v>7.3486011443746595E-3</v>
      </c>
    </row>
    <row r="108" spans="1:3" ht="15.75" thickBot="1" x14ac:dyDescent="0.3">
      <c r="A108" s="200">
        <f>A107+$C$3</f>
        <v>4.9999999999999973</v>
      </c>
      <c r="B108" s="199">
        <f>1/(1+EXP(-$C$4*A108))</f>
        <v>0.99330714907571505</v>
      </c>
      <c r="C108" s="198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D132"/>
  <sheetViews>
    <sheetView zoomScale="115" zoomScaleNormal="115" workbookViewId="0">
      <selection activeCell="E5" sqref="E5"/>
    </sheetView>
  </sheetViews>
  <sheetFormatPr defaultRowHeight="15" x14ac:dyDescent="0.25"/>
  <cols>
    <col min="1" max="2" width="9.28515625" customWidth="1"/>
  </cols>
  <sheetData>
    <row r="1" spans="1:4" x14ac:dyDescent="0.25">
      <c r="A1" s="24" t="s">
        <v>307</v>
      </c>
    </row>
    <row r="2" spans="1:4" x14ac:dyDescent="0.25">
      <c r="A2" t="s">
        <v>306</v>
      </c>
    </row>
    <row r="3" spans="1:4" x14ac:dyDescent="0.25">
      <c r="A3" s="2" t="s">
        <v>90</v>
      </c>
      <c r="B3" s="43">
        <v>6.0000000000000095E-2</v>
      </c>
      <c r="D3" s="16">
        <f>A106</f>
        <v>3.0000000000000062</v>
      </c>
    </row>
    <row r="5" spans="1:4" x14ac:dyDescent="0.25">
      <c r="A5" t="s">
        <v>96</v>
      </c>
      <c r="B5" t="s">
        <v>95</v>
      </c>
      <c r="C5" t="s">
        <v>297</v>
      </c>
    </row>
    <row r="6" spans="1:4" x14ac:dyDescent="0.25">
      <c r="A6" s="16">
        <v>-3</v>
      </c>
      <c r="B6" s="31">
        <f>EXP(-(A6^2))</f>
        <v>1.2340980408667956E-4</v>
      </c>
    </row>
    <row r="7" spans="1:4" x14ac:dyDescent="0.25">
      <c r="A7" s="16">
        <f>A6+$B$3</f>
        <v>-2.94</v>
      </c>
      <c r="B7" s="31">
        <f>EXP(-(A7^2))</f>
        <v>1.7625125424738458E-4</v>
      </c>
      <c r="C7" s="31">
        <f>(B8-B6)/(A8-A6)</f>
        <v>1.0541885106753566E-3</v>
      </c>
    </row>
    <row r="8" spans="1:4" x14ac:dyDescent="0.25">
      <c r="A8" s="16">
        <f>A7+$B$3</f>
        <v>-2.88</v>
      </c>
      <c r="B8" s="31">
        <f>EXP(-(A8^2))</f>
        <v>2.4991242536772247E-4</v>
      </c>
      <c r="C8" s="31">
        <f>(B9-B7)/(A9-A7)</f>
        <v>1.4630461336729282E-3</v>
      </c>
    </row>
    <row r="9" spans="1:4" x14ac:dyDescent="0.25">
      <c r="A9" s="16">
        <f>A8+$B$3</f>
        <v>-2.82</v>
      </c>
      <c r="B9" s="31">
        <f>EXP(-(A9^2))</f>
        <v>3.5181679028813611E-4</v>
      </c>
      <c r="C9" s="31">
        <f>(B10-B8)/(A10-A8)</f>
        <v>2.0150676669271673E-3</v>
      </c>
    </row>
    <row r="10" spans="1:4" x14ac:dyDescent="0.25">
      <c r="A10" s="16">
        <f>A9+$B$3</f>
        <v>-2.76</v>
      </c>
      <c r="B10" s="31">
        <f>EXP(-(A10^2))</f>
        <v>4.9172054539898277E-4</v>
      </c>
      <c r="C10" s="31">
        <f>(B11-B9)/(A11-A9)</f>
        <v>2.7542605205686781E-3</v>
      </c>
    </row>
    <row r="11" spans="1:4" x14ac:dyDescent="0.25">
      <c r="A11" s="16">
        <f>A10+$B$3</f>
        <v>-2.6999999999999997</v>
      </c>
      <c r="B11" s="31">
        <f>EXP(-(A11^2))</f>
        <v>6.8232805275637777E-4</v>
      </c>
      <c r="C11" s="31">
        <f>(B12-B10)/(A12-A10)</f>
        <v>3.7359024731808792E-3</v>
      </c>
    </row>
    <row r="12" spans="1:4" x14ac:dyDescent="0.25">
      <c r="A12" s="16">
        <f>A11+$B$3</f>
        <v>-2.6399999999999997</v>
      </c>
      <c r="B12" s="31">
        <f>EXP(-(A12^2))</f>
        <v>9.4002884218068866E-4</v>
      </c>
      <c r="C12" s="31">
        <f>(B13-B11)/(A13-A11)</f>
        <v>5.0286563030072151E-3</v>
      </c>
    </row>
    <row r="13" spans="1:4" x14ac:dyDescent="0.25">
      <c r="A13" s="16">
        <f>A12+$B$3</f>
        <v>-2.5799999999999996</v>
      </c>
      <c r="B13" s="31">
        <f>EXP(-(A13^2))</f>
        <v>1.2857668091172442E-3</v>
      </c>
      <c r="C13" s="31">
        <f>(B14-B12)/(A14-A12)</f>
        <v>6.7168311245589139E-3</v>
      </c>
    </row>
    <row r="14" spans="1:4" x14ac:dyDescent="0.25">
      <c r="A14" s="16">
        <f>A13+$B$3</f>
        <v>-2.5199999999999996</v>
      </c>
      <c r="B14" s="31">
        <f>EXP(-(A14^2))</f>
        <v>1.746048577127759E-3</v>
      </c>
      <c r="C14" s="31">
        <f>(B15-B13)/(A15-A13)</f>
        <v>8.9027136218082174E-3</v>
      </c>
    </row>
    <row r="15" spans="1:4" x14ac:dyDescent="0.25">
      <c r="A15" s="16">
        <f>A14+$B$3</f>
        <v>-2.4599999999999995</v>
      </c>
      <c r="B15" s="31">
        <f>EXP(-(A15^2))</f>
        <v>2.3540924437342311E-3</v>
      </c>
      <c r="C15" s="31">
        <f>(B16-B14)/(A16-A14)</f>
        <v>1.1708858510972411E-2</v>
      </c>
    </row>
    <row r="16" spans="1:4" x14ac:dyDescent="0.25">
      <c r="A16" s="16">
        <f>A15+$B$3</f>
        <v>-2.3999999999999995</v>
      </c>
      <c r="B16" s="31">
        <f>EXP(-(A16^2))</f>
        <v>3.1511115984444497E-3</v>
      </c>
      <c r="C16" s="31">
        <f>(B17-B15)/(A17-A15)</f>
        <v>1.5280189360088991E-2</v>
      </c>
    </row>
    <row r="17" spans="1:3" x14ac:dyDescent="0.25">
      <c r="A17" s="16">
        <f>A16+$B$3</f>
        <v>-2.3399999999999994</v>
      </c>
      <c r="B17" s="31">
        <f>EXP(-(A17^2))</f>
        <v>4.1877151669449117E-3</v>
      </c>
      <c r="C17" s="31">
        <f>(B18-B16)/(A18-A16)</f>
        <v>1.9785719919662461E-2</v>
      </c>
    </row>
    <row r="18" spans="1:3" x14ac:dyDescent="0.25">
      <c r="A18" s="16">
        <f>A17+$B$3</f>
        <v>-2.2799999999999994</v>
      </c>
      <c r="B18" s="31">
        <f>EXP(-(A18^2))</f>
        <v>5.5253979888039472E-3</v>
      </c>
      <c r="C18" s="31">
        <f>(B19-B17)/(A19-A17)</f>
        <v>2.5419664787843622E-2</v>
      </c>
    </row>
    <row r="19" spans="1:3" x14ac:dyDescent="0.25">
      <c r="A19" s="16">
        <f>A18+$B$3</f>
        <v>-2.2199999999999993</v>
      </c>
      <c r="B19" s="31">
        <f>EXP(-(A19^2))</f>
        <v>7.2380749414861492E-3</v>
      </c>
      <c r="C19" s="31">
        <f>(B20-B18)/(A20-A18)</f>
        <v>3.2401669840814294E-2</v>
      </c>
    </row>
    <row r="20" spans="1:3" x14ac:dyDescent="0.25">
      <c r="A20" s="16">
        <f>A19+$B$3</f>
        <v>-2.1599999999999993</v>
      </c>
      <c r="B20" s="31">
        <f>EXP(-(A20^2))</f>
        <v>9.4135983697016656E-3</v>
      </c>
      <c r="C20" s="31">
        <f>(B21-B19)/(A21-A19)</f>
        <v>4.0975861570240205E-2</v>
      </c>
    </row>
    <row r="21" spans="1:3" x14ac:dyDescent="0.25">
      <c r="A21" s="16">
        <f>A20+$B$3</f>
        <v>-2.0999999999999992</v>
      </c>
      <c r="B21" s="31">
        <f>EXP(-(A21^2))</f>
        <v>1.2155178329914978E-2</v>
      </c>
      <c r="C21" s="31">
        <f>(B22-B20)/(A22-A20)</f>
        <v>5.1408395205274023E-2</v>
      </c>
    </row>
    <row r="22" spans="1:3" x14ac:dyDescent="0.25">
      <c r="A22" s="16">
        <f>A21+$B$3</f>
        <v>-2.0399999999999991</v>
      </c>
      <c r="B22" s="31">
        <f>EXP(-(A22^2))</f>
        <v>1.5582605794334554E-2</v>
      </c>
      <c r="C22" s="31">
        <f>(B23-B21)/(A23-A21)</f>
        <v>6.3983179696946585E-2</v>
      </c>
    </row>
    <row r="23" spans="1:3" x14ac:dyDescent="0.25">
      <c r="A23" s="16">
        <f>A22+$B$3</f>
        <v>-1.9799999999999991</v>
      </c>
      <c r="B23" s="31">
        <f>EXP(-(A23^2))</f>
        <v>1.9833159893548575E-2</v>
      </c>
      <c r="C23" s="31">
        <f>(B24-B22)/(A24-A22)</f>
        <v>7.8995478901869073E-2</v>
      </c>
    </row>
    <row r="24" spans="1:3" hidden="1" x14ac:dyDescent="0.25">
      <c r="A24" s="16">
        <f>A23+$B$3</f>
        <v>-1.919999999999999</v>
      </c>
      <c r="B24" s="31">
        <f>EXP(-(A24^2))</f>
        <v>2.5062063262558852E-2</v>
      </c>
      <c r="C24" s="31">
        <f>(B25-B23)/(A25-A23)</f>
        <v>9.6743137869523668E-2</v>
      </c>
    </row>
    <row r="25" spans="1:3" hidden="1" x14ac:dyDescent="0.25">
      <c r="A25" s="16">
        <f>A24+$B$3</f>
        <v>-1.859999999999999</v>
      </c>
      <c r="B25" s="31">
        <f>EXP(-(A25^2))</f>
        <v>3.1442336437891426E-2</v>
      </c>
      <c r="C25" s="31">
        <f>(B26-B24)/(A26-A24)</f>
        <v>0.11751526530356968</v>
      </c>
    </row>
    <row r="26" spans="1:3" hidden="1" x14ac:dyDescent="0.25">
      <c r="A26" s="16">
        <f>A25+$B$3</f>
        <v>-1.7999999999999989</v>
      </c>
      <c r="B26" s="31">
        <f>EXP(-(A26^2))</f>
        <v>3.9163895098987225E-2</v>
      </c>
      <c r="C26" s="31">
        <f>(B27-B25)/(A27-A25)</f>
        <v>0.14157832066752454</v>
      </c>
    </row>
    <row r="27" spans="1:3" hidden="1" x14ac:dyDescent="0.25">
      <c r="A27" s="16">
        <f>A26+$B$3</f>
        <v>-1.7399999999999989</v>
      </c>
      <c r="B27" s="31">
        <f>EXP(-(A27^2))</f>
        <v>4.8431734917994386E-2</v>
      </c>
      <c r="C27" s="31">
        <f>(B28-B26)/(A28-A26)</f>
        <v>0.16915970729430138</v>
      </c>
    </row>
    <row r="28" spans="1:3" hidden="1" x14ac:dyDescent="0.25">
      <c r="A28" s="16">
        <f>A27+$B$3</f>
        <v>-1.6799999999999988</v>
      </c>
      <c r="B28" s="31">
        <f>EXP(-(A28^2))</f>
        <v>5.9463059974303407E-2</v>
      </c>
      <c r="C28" s="31">
        <f>(B29-B27)/(A29-A27)</f>
        <v>0.20042915843535314</v>
      </c>
    </row>
    <row r="29" spans="1:3" hidden="1" x14ac:dyDescent="0.25">
      <c r="A29" s="16">
        <f>A28+$B$3</f>
        <v>-1.6199999999999988</v>
      </c>
      <c r="B29" s="31">
        <f>EXP(-(A29^2))</f>
        <v>7.2483233930236785E-2</v>
      </c>
      <c r="C29" s="31">
        <f>(B30-B28)/(A30-A28)</f>
        <v>0.23547841504574435</v>
      </c>
    </row>
    <row r="30" spans="1:3" hidden="1" x14ac:dyDescent="0.25">
      <c r="A30" s="16">
        <f>A29+$B$3</f>
        <v>-1.5599999999999987</v>
      </c>
      <c r="B30" s="31">
        <f>EXP(-(A30^2))</f>
        <v>8.7720469779792754E-2</v>
      </c>
      <c r="C30" s="31">
        <f>(B31-B29)/(A31-A29)</f>
        <v>0.27429992193023289</v>
      </c>
    </row>
    <row r="31" spans="1:3" hidden="1" x14ac:dyDescent="0.25">
      <c r="A31" s="16">
        <f>A30+$B$3</f>
        <v>-1.4999999999999987</v>
      </c>
      <c r="B31" s="31">
        <f>EXP(-(A31^2))</f>
        <v>0.10539922456186476</v>
      </c>
      <c r="C31" s="31">
        <f>(B32-B30)/(A32-A30)</f>
        <v>0.31676549845529678</v>
      </c>
    </row>
    <row r="32" spans="1:3" hidden="1" x14ac:dyDescent="0.25">
      <c r="A32" s="16">
        <f>A31+$B$3</f>
        <v>-1.4399999999999986</v>
      </c>
      <c r="B32" s="31">
        <f>EXP(-(A32^2))</f>
        <v>0.1257323295944284</v>
      </c>
      <c r="C32" s="31">
        <f>(B33-B31)/(A33-A31)</f>
        <v>0.36260615366069615</v>
      </c>
    </row>
    <row r="33" spans="1:3" hidden="1" x14ac:dyDescent="0.25">
      <c r="A33" s="16">
        <f>A32+$B$3</f>
        <v>-1.3799999999999986</v>
      </c>
      <c r="B33" s="31">
        <f>EXP(-(A33^2))</f>
        <v>0.14891196300114834</v>
      </c>
      <c r="C33" s="31">
        <f>(B34-B32)/(A34-A32)</f>
        <v>0.41139439296404695</v>
      </c>
    </row>
    <row r="34" spans="1:3" hidden="1" x14ac:dyDescent="0.25">
      <c r="A34" s="16">
        <f>A33+$B$3</f>
        <v>-1.3199999999999985</v>
      </c>
      <c r="B34" s="31">
        <f>EXP(-(A34^2))</f>
        <v>0.17509965675011407</v>
      </c>
      <c r="C34" s="31">
        <f>(B35-B33)/(A35-A33)</f>
        <v>0.46253048314263673</v>
      </c>
    </row>
    <row r="35" spans="1:3" hidden="1" x14ac:dyDescent="0.25">
      <c r="A35" s="16">
        <f>A34+$B$3</f>
        <v>-1.2599999999999985</v>
      </c>
      <c r="B35" s="31">
        <f>EXP(-(A35^2))</f>
        <v>0.20441562097826479</v>
      </c>
      <c r="C35" s="31">
        <f>(B36-B34)/(A36-A34)</f>
        <v>0.51523418276673771</v>
      </c>
    </row>
    <row r="36" spans="1:3" hidden="1" x14ac:dyDescent="0.25">
      <c r="A36" s="16">
        <f>A35+$B$3</f>
        <v>-1.1999999999999984</v>
      </c>
      <c r="B36" s="31">
        <f>EXP(-(A36^2))</f>
        <v>0.23692775868212265</v>
      </c>
      <c r="C36" s="31">
        <f>(B37-B35)/(A37-A35)</f>
        <v>0.56854338815344252</v>
      </c>
    </row>
    <row r="37" spans="1:3" hidden="1" x14ac:dyDescent="0.25">
      <c r="A37" s="16">
        <f>A36+$B$3</f>
        <v>-1.1399999999999983</v>
      </c>
      <c r="B37" s="31">
        <f>EXP(-(A37^2))</f>
        <v>0.27264082755667796</v>
      </c>
      <c r="C37" s="31">
        <f>(B38-B36)/(A38-A36)</f>
        <v>0.62132097637737971</v>
      </c>
    </row>
    <row r="38" spans="1:3" hidden="1" x14ac:dyDescent="0.25">
      <c r="A38" s="16">
        <f>A37+$B$3</f>
        <v>-1.0799999999999983</v>
      </c>
      <c r="B38" s="31">
        <f>EXP(-(A38^2))</f>
        <v>0.31148627584740829</v>
      </c>
      <c r="C38" s="31">
        <f>(B39-B37)/(A39-A37)</f>
        <v>0.67227084001603832</v>
      </c>
    </row>
    <row r="39" spans="1:3" hidden="1" x14ac:dyDescent="0.25">
      <c r="A39" s="16">
        <f>A38+$B$3</f>
        <v>-1.0199999999999982</v>
      </c>
      <c r="B39" s="31">
        <f>EXP(-(A39^2))</f>
        <v>0.35331332835860263</v>
      </c>
      <c r="C39" s="31">
        <f>(B40-B38)/(A40-A38)</f>
        <v>0.71996370503164708</v>
      </c>
    </row>
    <row r="40" spans="1:3" hidden="1" x14ac:dyDescent="0.25">
      <c r="A40" s="16">
        <f>A39+$B$3</f>
        <v>-0.95999999999999819</v>
      </c>
      <c r="B40" s="31">
        <f>EXP(-(A40^2))</f>
        <v>0.39788192045120602</v>
      </c>
      <c r="C40" s="31">
        <f>(B41-B39)/(A41-A39)</f>
        <v>0.76287281553616626</v>
      </c>
    </row>
    <row r="41" spans="1:3" hidden="1" x14ac:dyDescent="0.25">
      <c r="A41" s="16">
        <f>A40+$B$3</f>
        <v>-0.89999999999999813</v>
      </c>
      <c r="B41" s="31">
        <f>EXP(-(A41^2))</f>
        <v>0.44485806622294266</v>
      </c>
      <c r="C41" s="31">
        <f>(B42-B40)/(A42-A40)</f>
        <v>0.79941897985117993</v>
      </c>
    </row>
    <row r="42" spans="1:3" hidden="1" x14ac:dyDescent="0.25">
      <c r="A42" s="16">
        <f>A41+$B$3</f>
        <v>-0.83999999999999808</v>
      </c>
      <c r="B42" s="31">
        <f>EXP(-(A42^2))</f>
        <v>0.49381219803334769</v>
      </c>
      <c r="C42" s="31">
        <f>(B43-B41)/(A43-A41)</f>
        <v>0.82802383418555225</v>
      </c>
    </row>
    <row r="43" spans="1:3" hidden="1" x14ac:dyDescent="0.25">
      <c r="A43" s="16">
        <f>A42+$B$3</f>
        <v>-0.77999999999999803</v>
      </c>
      <c r="B43" s="31">
        <f>EXP(-(A43^2))</f>
        <v>0.54422092632520902</v>
      </c>
      <c r="C43" s="31">
        <f>(B44-B42)/(A44-A42)</f>
        <v>0.8471695350493651</v>
      </c>
    </row>
    <row r="44" spans="1:3" hidden="1" x14ac:dyDescent="0.25">
      <c r="A44" s="16">
        <f>A43+$B$3</f>
        <v>-0.71999999999999797</v>
      </c>
      <c r="B44" s="31">
        <f>EXP(-(A44^2))</f>
        <v>0.5954725422392716</v>
      </c>
      <c r="C44" s="31">
        <f>(B45-B43)/(A45-A43)</f>
        <v>0.8554624869743539</v>
      </c>
    </row>
    <row r="45" spans="1:3" hidden="1" x14ac:dyDescent="0.25">
      <c r="A45" s="16">
        <f>A44+$B$3</f>
        <v>-0.65999999999999792</v>
      </c>
      <c r="B45" s="31">
        <f>EXP(-(A45^2))</f>
        <v>0.64687642476213159</v>
      </c>
      <c r="C45" s="31">
        <f>(B46-B44)/(A46-A44)</f>
        <v>0.85169819859800933</v>
      </c>
    </row>
    <row r="46" spans="1:3" hidden="1" x14ac:dyDescent="0.25">
      <c r="A46" s="16">
        <f>A45+$B$3</f>
        <v>-0.59999999999999787</v>
      </c>
      <c r="B46" s="31">
        <f>EXP(-(A46^2))</f>
        <v>0.6976763260710328</v>
      </c>
      <c r="C46" s="31">
        <f>(B47-B45)/(A47-A45)</f>
        <v>0.83492398645888177</v>
      </c>
    </row>
    <row r="47" spans="1:3" hidden="1" x14ac:dyDescent="0.25">
      <c r="A47" s="16">
        <f>A46+$B$3</f>
        <v>-0.53999999999999782</v>
      </c>
      <c r="B47" s="31">
        <f>EXP(-(A47^2))</f>
        <v>0.74706730313719749</v>
      </c>
      <c r="C47" s="31">
        <f>(B48-B46)/(A48-A46)</f>
        <v>0.80449605454596285</v>
      </c>
    </row>
    <row r="48" spans="1:3" hidden="1" x14ac:dyDescent="0.25">
      <c r="A48" s="16">
        <f>A47+$B$3</f>
        <v>-0.47999999999999771</v>
      </c>
      <c r="B48" s="31">
        <f>EXP(-(A48^2))</f>
        <v>0.79421585261654848</v>
      </c>
      <c r="C48" s="31">
        <f>(B49-B47)/(A49-A47)</f>
        <v>0.76012750072531288</v>
      </c>
    </row>
    <row r="49" spans="1:3" hidden="1" x14ac:dyDescent="0.25">
      <c r="A49" s="16">
        <f>A48+$B$3</f>
        <v>-0.4199999999999976</v>
      </c>
      <c r="B49" s="31">
        <f>EXP(-(A49^2))</f>
        <v>0.8382826032242352</v>
      </c>
      <c r="C49" s="31">
        <f>(B50-B48)/(A50-A48)</f>
        <v>0.70192405611153552</v>
      </c>
    </row>
    <row r="50" spans="1:3" hidden="1" x14ac:dyDescent="0.25">
      <c r="A50" s="16">
        <f>A49+$B$3</f>
        <v>-0.35999999999999749</v>
      </c>
      <c r="B50" s="31">
        <f>EXP(-(A50^2))</f>
        <v>0.87844673934993289</v>
      </c>
      <c r="C50" s="31">
        <f>(B51-B49)/(A51-A49)</f>
        <v>0.63040485039161909</v>
      </c>
    </row>
    <row r="51" spans="1:3" hidden="1" x14ac:dyDescent="0.25">
      <c r="A51" s="16">
        <f>A50+$B$3</f>
        <v>-0.29999999999999738</v>
      </c>
      <c r="B51" s="31">
        <f>EXP(-(A51^2))</f>
        <v>0.91393118527122963</v>
      </c>
      <c r="C51" s="31">
        <f>(B52-B50)/(A52-A50)</f>
        <v>0.54650619639919895</v>
      </c>
    </row>
    <row r="52" spans="1:3" hidden="1" x14ac:dyDescent="0.25">
      <c r="A52" s="16">
        <f>A51+$B$3</f>
        <v>-0.23999999999999727</v>
      </c>
      <c r="B52" s="31">
        <f>EXP(-(A52^2))</f>
        <v>0.94402748291783689</v>
      </c>
      <c r="C52" s="31">
        <f>(B53-B51)/(A53-A51)</f>
        <v>0.45156726371111688</v>
      </c>
    </row>
    <row r="53" spans="1:3" hidden="1" x14ac:dyDescent="0.25">
      <c r="A53" s="16">
        <f>A52+$B$3</f>
        <v>-0.17999999999999716</v>
      </c>
      <c r="B53" s="31">
        <f>EXP(-(A53^2))</f>
        <v>0.96811925691656375</v>
      </c>
      <c r="C53" s="31">
        <f>(B54-B52)/(A54-A52)</f>
        <v>0.34729751003838882</v>
      </c>
    </row>
    <row r="54" spans="1:3" hidden="1" x14ac:dyDescent="0.25">
      <c r="A54" s="16">
        <f>A53+$B$3</f>
        <v>-0.11999999999999707</v>
      </c>
      <c r="B54" s="31">
        <f>EXP(-(A54^2))</f>
        <v>0.98570318412244362</v>
      </c>
      <c r="C54" s="31">
        <f>(B55-B53)/(A55-A53)</f>
        <v>0.23572679428691642</v>
      </c>
    </row>
    <row r="55" spans="1:3" hidden="1" x14ac:dyDescent="0.25">
      <c r="A55" s="16">
        <f>A54+$B$3</f>
        <v>-5.9999999999996972E-2</v>
      </c>
      <c r="B55" s="31">
        <f>EXP(-(A55^2))</f>
        <v>0.99640647223099377</v>
      </c>
      <c r="C55" s="31">
        <f>(B56-B54)/(A56-A54)</f>
        <v>0.11914013231296963</v>
      </c>
    </row>
    <row r="56" spans="1:3" hidden="1" x14ac:dyDescent="0.25">
      <c r="A56" s="16">
        <f>A55+$B$3</f>
        <v>3.1225022567582528E-15</v>
      </c>
      <c r="B56" s="31">
        <f>EXP(-(A56^2))</f>
        <v>1</v>
      </c>
      <c r="C56" s="31">
        <f>(B57-B55)/(A57-A55)</f>
        <v>-6.4763009769800698E-15</v>
      </c>
    </row>
    <row r="57" spans="1:3" hidden="1" x14ac:dyDescent="0.25">
      <c r="A57" s="16">
        <f>A56+$B$3</f>
        <v>6.0000000000003217E-2</v>
      </c>
      <c r="B57" s="31">
        <f>EXP(-(A57^2))</f>
        <v>0.99640647223099299</v>
      </c>
      <c r="C57" s="31">
        <f>(B58-B56)/(A58-A56)</f>
        <v>-0.11914013231298166</v>
      </c>
    </row>
    <row r="58" spans="1:3" hidden="1" x14ac:dyDescent="0.25">
      <c r="A58" s="16">
        <f>A57+$B$3</f>
        <v>0.12000000000000331</v>
      </c>
      <c r="B58" s="31">
        <f>EXP(-(A58^2))</f>
        <v>0.98570318412244218</v>
      </c>
      <c r="C58" s="31">
        <f>(B59-B57)/(A59-A57)</f>
        <v>-0.23572679428692844</v>
      </c>
    </row>
    <row r="59" spans="1:3" hidden="1" x14ac:dyDescent="0.25">
      <c r="A59" s="16">
        <f>A58+$B$3</f>
        <v>0.18000000000000341</v>
      </c>
      <c r="B59" s="31">
        <f>EXP(-(A59^2))</f>
        <v>0.96811925691656153</v>
      </c>
      <c r="C59" s="31">
        <f>(B60-B58)/(A60-A58)</f>
        <v>-0.34729751003840093</v>
      </c>
    </row>
    <row r="60" spans="1:3" hidden="1" x14ac:dyDescent="0.25">
      <c r="A60" s="16">
        <f>A59+$B$3</f>
        <v>0.24000000000000349</v>
      </c>
      <c r="B60" s="31">
        <f>EXP(-(A60^2))</f>
        <v>0.944027482917834</v>
      </c>
      <c r="C60" s="31">
        <f>(B61-B59)/(A61-A59)</f>
        <v>-0.45156726371112715</v>
      </c>
    </row>
    <row r="61" spans="1:3" hidden="1" x14ac:dyDescent="0.25">
      <c r="A61" s="16">
        <f>A60+$B$3</f>
        <v>0.3000000000000036</v>
      </c>
      <c r="B61" s="31">
        <f>EXP(-(A61^2))</f>
        <v>0.91393118527122619</v>
      </c>
      <c r="C61" s="31">
        <f>(B62-B60)/(A62-A60)</f>
        <v>-0.54650619639920728</v>
      </c>
    </row>
    <row r="62" spans="1:3" hidden="1" x14ac:dyDescent="0.25">
      <c r="A62" s="16">
        <f>A61+$B$3</f>
        <v>0.36000000000000371</v>
      </c>
      <c r="B62" s="31">
        <f>EXP(-(A62^2))</f>
        <v>0.87844673934992901</v>
      </c>
      <c r="C62" s="31">
        <f>(B63-B61)/(A63-A61)</f>
        <v>-0.63040485039162741</v>
      </c>
    </row>
    <row r="63" spans="1:3" hidden="1" x14ac:dyDescent="0.25">
      <c r="A63" s="16">
        <f>A62+$B$3</f>
        <v>0.42000000000000381</v>
      </c>
      <c r="B63" s="31">
        <f>EXP(-(A63^2))</f>
        <v>0.83828260322423076</v>
      </c>
      <c r="C63" s="31">
        <f>(B64-B62)/(A64-A62)</f>
        <v>-0.70192405611154296</v>
      </c>
    </row>
    <row r="64" spans="1:3" hidden="1" x14ac:dyDescent="0.25">
      <c r="A64" s="16">
        <f>A63+$B$3</f>
        <v>0.48000000000000392</v>
      </c>
      <c r="B64" s="31">
        <f>EXP(-(A64^2))</f>
        <v>0.7942158526165437</v>
      </c>
      <c r="C64" s="31">
        <f>(B65-B63)/(A65-A63)</f>
        <v>-0.76012750072531843</v>
      </c>
    </row>
    <row r="65" spans="1:3" hidden="1" x14ac:dyDescent="0.25">
      <c r="A65" s="16">
        <f>A64+$B$3</f>
        <v>0.54000000000000403</v>
      </c>
      <c r="B65" s="31">
        <f>EXP(-(A65^2))</f>
        <v>0.74706730313719238</v>
      </c>
      <c r="C65" s="31">
        <f>(B66-B64)/(A66-A64)</f>
        <v>-0.80449605454596662</v>
      </c>
    </row>
    <row r="66" spans="1:3" hidden="1" x14ac:dyDescent="0.25">
      <c r="A66" s="16">
        <f>A65+$B$3</f>
        <v>0.60000000000000409</v>
      </c>
      <c r="B66" s="31">
        <f>EXP(-(A66^2))</f>
        <v>0.69767632607102759</v>
      </c>
      <c r="C66" s="31">
        <f>(B67-B65)/(A67-A65)</f>
        <v>-0.83492398645888366</v>
      </c>
    </row>
    <row r="67" spans="1:3" hidden="1" x14ac:dyDescent="0.25">
      <c r="A67" s="16">
        <f>A66+$B$3</f>
        <v>0.66000000000000414</v>
      </c>
      <c r="B67" s="31">
        <f>EXP(-(A67^2))</f>
        <v>0.64687642476212626</v>
      </c>
      <c r="C67" s="31">
        <f>(B68-B66)/(A68-A66)</f>
        <v>-0.85169819859801121</v>
      </c>
    </row>
    <row r="68" spans="1:3" hidden="1" x14ac:dyDescent="0.25">
      <c r="A68" s="16">
        <f>A67+$B$3</f>
        <v>0.72000000000000419</v>
      </c>
      <c r="B68" s="31">
        <f>EXP(-(A68^2))</f>
        <v>0.59547254223926616</v>
      </c>
      <c r="C68" s="31">
        <f>(B69-B67)/(A69-A67)</f>
        <v>-0.85546248697435301</v>
      </c>
    </row>
    <row r="69" spans="1:3" hidden="1" x14ac:dyDescent="0.25">
      <c r="A69" s="16">
        <f>A68+$B$3</f>
        <v>0.78000000000000425</v>
      </c>
      <c r="B69" s="31">
        <f>EXP(-(A69^2))</f>
        <v>0.5442209263252038</v>
      </c>
      <c r="C69" s="31">
        <f>(B70-B68)/(A70-A68)</f>
        <v>-0.84716953504936232</v>
      </c>
    </row>
    <row r="70" spans="1:3" hidden="1" x14ac:dyDescent="0.25">
      <c r="A70" s="16">
        <f>A69+$B$3</f>
        <v>0.8400000000000043</v>
      </c>
      <c r="B70" s="31">
        <f>EXP(-(A70^2))</f>
        <v>0.49381219803334259</v>
      </c>
      <c r="C70" s="31">
        <f>(B71-B69)/(A71-A69)</f>
        <v>-0.82802383418555037</v>
      </c>
    </row>
    <row r="71" spans="1:3" hidden="1" x14ac:dyDescent="0.25">
      <c r="A71" s="16">
        <f>A70+$B$3</f>
        <v>0.90000000000000435</v>
      </c>
      <c r="B71" s="31">
        <f>EXP(-(A71^2))</f>
        <v>0.44485806622293766</v>
      </c>
      <c r="C71" s="31">
        <f>(B72-B70)/(A72-A70)</f>
        <v>-0.79941897985117671</v>
      </c>
    </row>
    <row r="72" spans="1:3" hidden="1" x14ac:dyDescent="0.25">
      <c r="A72" s="16">
        <f>A71+$B$3</f>
        <v>0.96000000000000441</v>
      </c>
      <c r="B72" s="31">
        <f>EXP(-(A72^2))</f>
        <v>0.3978819204512013</v>
      </c>
      <c r="C72" s="31">
        <f>(B73-B71)/(A73-A71)</f>
        <v>-0.7628728155361616</v>
      </c>
    </row>
    <row r="73" spans="1:3" hidden="1" x14ac:dyDescent="0.25">
      <c r="A73" s="16">
        <f>A72+$B$3</f>
        <v>1.0200000000000045</v>
      </c>
      <c r="B73" s="31">
        <f>EXP(-(A73^2))</f>
        <v>0.35331332835859819</v>
      </c>
      <c r="C73" s="31">
        <f>(B74-B72)/(A74-A72)</f>
        <v>-0.71996370503164242</v>
      </c>
    </row>
    <row r="74" spans="1:3" hidden="1" x14ac:dyDescent="0.25">
      <c r="A74" s="16">
        <f>A73+$B$3</f>
        <v>1.0800000000000045</v>
      </c>
      <c r="B74" s="31">
        <f>EXP(-(A74^2))</f>
        <v>0.31148627584740413</v>
      </c>
      <c r="C74" s="31">
        <f>(B75-B73)/(A75-A73)</f>
        <v>-0.67227084001603321</v>
      </c>
    </row>
    <row r="75" spans="1:3" hidden="1" x14ac:dyDescent="0.25">
      <c r="A75" s="16">
        <f>A74+$B$3</f>
        <v>1.1400000000000046</v>
      </c>
      <c r="B75" s="31">
        <f>EXP(-(A75^2))</f>
        <v>0.27264082755667413</v>
      </c>
      <c r="C75" s="31">
        <f>(B76-B74)/(A76-A74)</f>
        <v>-0.62132097637737449</v>
      </c>
    </row>
    <row r="76" spans="1:3" hidden="1" x14ac:dyDescent="0.25">
      <c r="A76" s="16">
        <f>A75+$B$3</f>
        <v>1.2000000000000046</v>
      </c>
      <c r="B76" s="31">
        <f>EXP(-(A76^2))</f>
        <v>0.23692775868211913</v>
      </c>
      <c r="C76" s="31">
        <f>(B77-B75)/(A77-A75)</f>
        <v>-0.56854338815343719</v>
      </c>
    </row>
    <row r="77" spans="1:3" hidden="1" x14ac:dyDescent="0.25">
      <c r="A77" s="16">
        <f>A76+$B$3</f>
        <v>1.2600000000000047</v>
      </c>
      <c r="B77" s="31">
        <f>EXP(-(A77^2))</f>
        <v>0.2044156209782616</v>
      </c>
      <c r="C77" s="31">
        <f>(B78-B76)/(A78-A76)</f>
        <v>-0.51523418276673216</v>
      </c>
    </row>
    <row r="78" spans="1:3" hidden="1" x14ac:dyDescent="0.25">
      <c r="A78" s="16">
        <f>A77+$B$3</f>
        <v>1.3200000000000047</v>
      </c>
      <c r="B78" s="31">
        <f>EXP(-(A78^2))</f>
        <v>0.17509965675011122</v>
      </c>
      <c r="C78" s="31">
        <f>(B79-B77)/(A79-A77)</f>
        <v>-0.4625304831426314</v>
      </c>
    </row>
    <row r="79" spans="1:3" hidden="1" x14ac:dyDescent="0.25">
      <c r="A79" s="16">
        <f>A78+$B$3</f>
        <v>1.3800000000000048</v>
      </c>
      <c r="B79" s="31">
        <f>EXP(-(A79^2))</f>
        <v>0.14891196300114579</v>
      </c>
      <c r="C79" s="31">
        <f>(B80-B78)/(A80-A78)</f>
        <v>-0.41139439296404207</v>
      </c>
    </row>
    <row r="80" spans="1:3" hidden="1" x14ac:dyDescent="0.25">
      <c r="A80" s="16">
        <f>A79+$B$3</f>
        <v>1.4400000000000048</v>
      </c>
      <c r="B80" s="31">
        <f>EXP(-(A80^2))</f>
        <v>0.12573232959442612</v>
      </c>
      <c r="C80" s="31">
        <f>(B81-B79)/(A81-A79)</f>
        <v>-0.36260615366069132</v>
      </c>
    </row>
    <row r="81" spans="1:3" hidden="1" x14ac:dyDescent="0.25">
      <c r="A81" s="16">
        <f>A80+$B$3</f>
        <v>1.5000000000000049</v>
      </c>
      <c r="B81" s="31">
        <f>EXP(-(A81^2))</f>
        <v>0.10539922456186279</v>
      </c>
      <c r="C81" s="31">
        <f>(B82-B80)/(A82-A80)</f>
        <v>-0.31676549845529178</v>
      </c>
    </row>
    <row r="82" spans="1:3" hidden="1" x14ac:dyDescent="0.25">
      <c r="A82" s="16">
        <f>A81+$B$3</f>
        <v>1.5600000000000049</v>
      </c>
      <c r="B82" s="31">
        <f>EXP(-(A82^2))</f>
        <v>8.7720469779791074E-2</v>
      </c>
      <c r="C82" s="31">
        <f>(B83-B81)/(A83-A81)</f>
        <v>-0.27429992193022851</v>
      </c>
    </row>
    <row r="83" spans="1:3" hidden="1" x14ac:dyDescent="0.25">
      <c r="A83" s="16">
        <f>A82+$B$3</f>
        <v>1.620000000000005</v>
      </c>
      <c r="B83" s="31">
        <f>EXP(-(A83^2))</f>
        <v>7.2483233930235341E-2</v>
      </c>
      <c r="C83" s="31">
        <f>(B84-B82)/(A84-A82)</f>
        <v>-0.23547841504574069</v>
      </c>
    </row>
    <row r="84" spans="1:3" hidden="1" x14ac:dyDescent="0.25">
      <c r="A84" s="16">
        <f>A83+$B$3</f>
        <v>1.680000000000005</v>
      </c>
      <c r="B84" s="31">
        <f>EXP(-(A84^2))</f>
        <v>5.9463059974302165E-2</v>
      </c>
      <c r="C84" s="31">
        <f>(B85-B83)/(A85-A83)</f>
        <v>-0.20042915843534992</v>
      </c>
    </row>
    <row r="85" spans="1:3" hidden="1" x14ac:dyDescent="0.25">
      <c r="A85" s="16">
        <f>A84+$B$3</f>
        <v>1.7400000000000051</v>
      </c>
      <c r="B85" s="31">
        <f>EXP(-(A85^2))</f>
        <v>4.8431734917993331E-2</v>
      </c>
      <c r="C85" s="31">
        <f>(B86-B84)/(A86-A84)</f>
        <v>-0.1691597072942983</v>
      </c>
    </row>
    <row r="86" spans="1:3" hidden="1" x14ac:dyDescent="0.25">
      <c r="A86" s="16">
        <f>A85+$B$3</f>
        <v>1.8000000000000052</v>
      </c>
      <c r="B86" s="31">
        <f>EXP(-(A86^2))</f>
        <v>3.9163895098986351E-2</v>
      </c>
      <c r="C86" s="31">
        <f>(B87-B85)/(A87-A85)</f>
        <v>-0.14157832066752188</v>
      </c>
    </row>
    <row r="87" spans="1:3" hidden="1" x14ac:dyDescent="0.25">
      <c r="A87" s="16">
        <f>A86+$B$3</f>
        <v>1.8600000000000052</v>
      </c>
      <c r="B87" s="31">
        <f>EXP(-(A87^2))</f>
        <v>3.144233643789069E-2</v>
      </c>
      <c r="C87" s="31">
        <f>(B88-B86)/(A88-A86)</f>
        <v>-0.11751526530356739</v>
      </c>
    </row>
    <row r="88" spans="1:3" hidden="1" x14ac:dyDescent="0.25">
      <c r="A88" s="16">
        <f>A87+$B$3</f>
        <v>1.9200000000000053</v>
      </c>
      <c r="B88" s="31">
        <f>EXP(-(A88^2))</f>
        <v>2.5062063262558252E-2</v>
      </c>
      <c r="C88" s="31">
        <f>(B89-B87)/(A89-A87)</f>
        <v>-9.674313786952167E-2</v>
      </c>
    </row>
    <row r="89" spans="1:3" hidden="1" x14ac:dyDescent="0.25">
      <c r="A89" s="16">
        <f>A88+$B$3</f>
        <v>1.9800000000000053</v>
      </c>
      <c r="B89" s="31">
        <f>EXP(-(A89^2))</f>
        <v>1.9833159893548079E-2</v>
      </c>
      <c r="C89" s="31">
        <f>(B90-B88)/(A90-A88)</f>
        <v>-7.8995478901867422E-2</v>
      </c>
    </row>
    <row r="90" spans="1:3" hidden="1" x14ac:dyDescent="0.25">
      <c r="A90" s="16">
        <f>A89+$B$3</f>
        <v>2.0400000000000054</v>
      </c>
      <c r="B90" s="31">
        <f>EXP(-(A90^2))</f>
        <v>1.5582605794334153E-2</v>
      </c>
      <c r="C90" s="31">
        <f>(B91-B89)/(A91-A89)</f>
        <v>-6.3983179696945044E-2</v>
      </c>
    </row>
    <row r="91" spans="1:3" hidden="1" x14ac:dyDescent="0.25">
      <c r="A91" s="16">
        <f>A90+$B$3</f>
        <v>2.1000000000000054</v>
      </c>
      <c r="B91" s="31">
        <f>EXP(-(A91^2))</f>
        <v>1.2155178329914666E-2</v>
      </c>
      <c r="C91" s="31">
        <f>(B92-B90)/(A92-A90)</f>
        <v>-5.1408395205272781E-2</v>
      </c>
    </row>
    <row r="92" spans="1:3" hidden="1" x14ac:dyDescent="0.25">
      <c r="A92" s="16">
        <f>A91+$B$3</f>
        <v>2.1600000000000055</v>
      </c>
      <c r="B92" s="31">
        <f>EXP(-(A92^2))</f>
        <v>9.413598369701414E-3</v>
      </c>
      <c r="C92" s="31">
        <f>(B93-B91)/(A93-A91)</f>
        <v>-4.0975861570239261E-2</v>
      </c>
    </row>
    <row r="93" spans="1:3" hidden="1" x14ac:dyDescent="0.25">
      <c r="A93" s="16">
        <f>A92+$B$3</f>
        <v>2.2200000000000055</v>
      </c>
      <c r="B93" s="31">
        <f>EXP(-(A93^2))</f>
        <v>7.2380749414859506E-3</v>
      </c>
      <c r="C93" s="31">
        <f>(B94-B92)/(A94-A92)</f>
        <v>-3.2401669840813503E-2</v>
      </c>
    </row>
    <row r="94" spans="1:3" hidden="1" x14ac:dyDescent="0.25">
      <c r="A94" s="16">
        <f>A93+$B$3</f>
        <v>2.2800000000000056</v>
      </c>
      <c r="B94" s="31">
        <f>EXP(-(A94^2))</f>
        <v>5.5253979888037902E-3</v>
      </c>
      <c r="C94" s="31">
        <f>(B95-B93)/(A95-A93)</f>
        <v>-2.5419664787842987E-2</v>
      </c>
    </row>
    <row r="95" spans="1:3" hidden="1" x14ac:dyDescent="0.25">
      <c r="A95" s="16">
        <f>A94+$B$3</f>
        <v>2.3400000000000056</v>
      </c>
      <c r="B95" s="31">
        <f>EXP(-(A95^2))</f>
        <v>4.1877151669447894E-3</v>
      </c>
      <c r="C95" s="31">
        <f>(B96-B94)/(A96-A94)</f>
        <v>-1.9785719919661944E-2</v>
      </c>
    </row>
    <row r="96" spans="1:3" hidden="1" x14ac:dyDescent="0.25">
      <c r="A96" s="16">
        <f>A95+$B$3</f>
        <v>2.4000000000000057</v>
      </c>
      <c r="B96" s="31">
        <f>EXP(-(A96^2))</f>
        <v>3.1511115984443547E-3</v>
      </c>
      <c r="C96" s="31">
        <f>(B97-B95)/(A97-A95)</f>
        <v>-1.5280189360088564E-2</v>
      </c>
    </row>
    <row r="97" spans="1:3" hidden="1" x14ac:dyDescent="0.25">
      <c r="A97" s="16">
        <f>A96+$B$3</f>
        <v>2.4600000000000057</v>
      </c>
      <c r="B97" s="31">
        <f>EXP(-(A97^2))</f>
        <v>2.35409244373416E-3</v>
      </c>
      <c r="C97" s="31">
        <f>(B98-B96)/(A98-A96)</f>
        <v>-1.1708858510972071E-2</v>
      </c>
    </row>
    <row r="98" spans="1:3" hidden="1" x14ac:dyDescent="0.25">
      <c r="A98" s="16">
        <f>A97+$B$3</f>
        <v>2.5200000000000058</v>
      </c>
      <c r="B98" s="31">
        <f>EXP(-(A98^2))</f>
        <v>1.7460485771277048E-3</v>
      </c>
      <c r="C98" s="31">
        <f>(B99-B97)/(A99-A97)</f>
        <v>-8.9027136218079676E-3</v>
      </c>
    </row>
    <row r="99" spans="1:3" hidden="1" x14ac:dyDescent="0.25">
      <c r="A99" s="16">
        <f>A98+$B$3</f>
        <v>2.5800000000000058</v>
      </c>
      <c r="B99" s="31">
        <f>EXP(-(A99^2))</f>
        <v>1.285766809117203E-3</v>
      </c>
      <c r="C99" s="31">
        <f>(B100-B98)/(A100-A98)</f>
        <v>-6.7168311245587196E-3</v>
      </c>
    </row>
    <row r="100" spans="1:3" hidden="1" x14ac:dyDescent="0.25">
      <c r="A100" s="16">
        <f>A99+$B$3</f>
        <v>2.6400000000000059</v>
      </c>
      <c r="B100" s="31">
        <f>EXP(-(A100^2))</f>
        <v>9.4002884218065776E-4</v>
      </c>
      <c r="C100" s="31">
        <f>(B101-B99)/(A101-A99)</f>
        <v>-5.0286563030070633E-3</v>
      </c>
    </row>
    <row r="101" spans="1:3" hidden="1" x14ac:dyDescent="0.25">
      <c r="A101" s="16">
        <f>A100+$B$3</f>
        <v>2.700000000000006</v>
      </c>
      <c r="B101" s="31">
        <f>EXP(-(A101^2))</f>
        <v>6.8232805275635479E-4</v>
      </c>
      <c r="C101" s="31">
        <f>(B102-B100)/(A102-A100)</f>
        <v>-3.7359024731807634E-3</v>
      </c>
    </row>
    <row r="102" spans="1:3" hidden="1" x14ac:dyDescent="0.25">
      <c r="A102" s="16">
        <f>A101+$B$3</f>
        <v>2.760000000000006</v>
      </c>
      <c r="B102" s="31">
        <f>EXP(-(A102^2))</f>
        <v>4.9172054539896575E-4</v>
      </c>
      <c r="C102" s="31">
        <f>(B103-B101)/(A103-A101)</f>
        <v>-2.7542605205685905E-3</v>
      </c>
    </row>
    <row r="103" spans="1:3" x14ac:dyDescent="0.25">
      <c r="A103" s="16">
        <f>A102+$B$3</f>
        <v>2.8200000000000061</v>
      </c>
      <c r="B103" s="31">
        <f>EXP(-(A103^2))</f>
        <v>3.5181679028812365E-4</v>
      </c>
      <c r="C103" s="31">
        <f>(B104-B102)/(A104-A102)</f>
        <v>-2.0150676669270996E-3</v>
      </c>
    </row>
    <row r="104" spans="1:3" x14ac:dyDescent="0.25">
      <c r="A104" s="16">
        <f>A103+$B$3</f>
        <v>2.8800000000000061</v>
      </c>
      <c r="B104" s="31">
        <f>EXP(-(A104^2))</f>
        <v>2.4991242536771357E-4</v>
      </c>
      <c r="C104" s="31">
        <f>(B105-B103)/(A105-A103)</f>
        <v>-1.4630461336728789E-3</v>
      </c>
    </row>
    <row r="105" spans="1:3" x14ac:dyDescent="0.25">
      <c r="A105" s="16">
        <f>A104+$B$3</f>
        <v>2.9400000000000062</v>
      </c>
      <c r="B105" s="31">
        <f>EXP(-(A105^2))</f>
        <v>1.7625125424737802E-4</v>
      </c>
      <c r="C105" s="31">
        <f>(B106-B104)/(A106-A104)</f>
        <v>-1.054188510675321E-3</v>
      </c>
    </row>
    <row r="106" spans="1:3" x14ac:dyDescent="0.25">
      <c r="A106" s="16">
        <f>A105+$B$3</f>
        <v>3.0000000000000062</v>
      </c>
      <c r="B106" s="31">
        <f>EXP(-(A106^2))</f>
        <v>1.2340980408667495E-4</v>
      </c>
      <c r="C106" s="31"/>
    </row>
    <row r="107" spans="1:3" x14ac:dyDescent="0.25">
      <c r="A107" s="16"/>
    </row>
    <row r="108" spans="1:3" x14ac:dyDescent="0.25">
      <c r="A108" s="16"/>
    </row>
    <row r="109" spans="1:3" x14ac:dyDescent="0.25">
      <c r="A109" s="16"/>
    </row>
    <row r="110" spans="1:3" x14ac:dyDescent="0.25">
      <c r="A110" s="16"/>
    </row>
    <row r="111" spans="1:3" x14ac:dyDescent="0.25">
      <c r="A111" s="16"/>
    </row>
    <row r="112" spans="1:3" x14ac:dyDescent="0.25">
      <c r="A112" s="16"/>
    </row>
    <row r="113" spans="1:1" x14ac:dyDescent="0.25">
      <c r="A113" s="16"/>
    </row>
    <row r="114" spans="1:1" x14ac:dyDescent="0.25">
      <c r="A114" s="16"/>
    </row>
    <row r="115" spans="1:1" x14ac:dyDescent="0.25">
      <c r="A115" s="16"/>
    </row>
    <row r="116" spans="1:1" x14ac:dyDescent="0.25">
      <c r="A116" s="16"/>
    </row>
    <row r="117" spans="1:1" x14ac:dyDescent="0.25">
      <c r="A117" s="16"/>
    </row>
    <row r="118" spans="1:1" x14ac:dyDescent="0.25">
      <c r="A118" s="16"/>
    </row>
    <row r="119" spans="1:1" x14ac:dyDescent="0.25">
      <c r="A119" s="16"/>
    </row>
    <row r="120" spans="1:1" x14ac:dyDescent="0.25">
      <c r="A120" s="16"/>
    </row>
    <row r="121" spans="1:1" x14ac:dyDescent="0.25">
      <c r="A121" s="16"/>
    </row>
    <row r="122" spans="1:1" x14ac:dyDescent="0.25">
      <c r="A122" s="16"/>
    </row>
    <row r="123" spans="1:1" x14ac:dyDescent="0.25">
      <c r="A123" s="16"/>
    </row>
    <row r="124" spans="1:1" x14ac:dyDescent="0.25">
      <c r="A124" s="16"/>
    </row>
    <row r="125" spans="1:1" x14ac:dyDescent="0.25">
      <c r="A125" s="16"/>
    </row>
    <row r="126" spans="1:1" x14ac:dyDescent="0.25">
      <c r="A126" s="16"/>
    </row>
    <row r="127" spans="1:1" x14ac:dyDescent="0.25">
      <c r="A127" s="16"/>
    </row>
    <row r="128" spans="1:1" x14ac:dyDescent="0.25">
      <c r="A128" s="16"/>
    </row>
    <row r="129" spans="1:1" x14ac:dyDescent="0.25">
      <c r="A129" s="16"/>
    </row>
    <row r="130" spans="1:1" x14ac:dyDescent="0.25">
      <c r="A130" s="16"/>
    </row>
    <row r="131" spans="1:1" x14ac:dyDescent="0.25">
      <c r="A131" s="16"/>
    </row>
    <row r="132" spans="1:1" x14ac:dyDescent="0.25">
      <c r="A1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/>
  <dimension ref="B1:H15"/>
  <sheetViews>
    <sheetView zoomScale="190" zoomScaleNormal="190" workbookViewId="0">
      <selection activeCell="E5" sqref="E5"/>
    </sheetView>
  </sheetViews>
  <sheetFormatPr defaultRowHeight="15" x14ac:dyDescent="0.25"/>
  <sheetData>
    <row r="1" spans="2:8" x14ac:dyDescent="0.25">
      <c r="B1" s="24" t="s">
        <v>323</v>
      </c>
    </row>
    <row r="2" spans="2:8" x14ac:dyDescent="0.25">
      <c r="C2" s="2" t="s">
        <v>90</v>
      </c>
      <c r="D2" s="43">
        <v>1E-3</v>
      </c>
    </row>
    <row r="3" spans="2:8" x14ac:dyDescent="0.25">
      <c r="C3" s="2" t="s">
        <v>88</v>
      </c>
      <c r="D3" t="s">
        <v>225</v>
      </c>
    </row>
    <row r="4" spans="2:8" x14ac:dyDescent="0.25">
      <c r="C4" t="s">
        <v>322</v>
      </c>
      <c r="D4" s="43">
        <v>1</v>
      </c>
    </row>
    <row r="5" spans="2:8" ht="15.75" thickBot="1" x14ac:dyDescent="0.3"/>
    <row r="6" spans="2:8" x14ac:dyDescent="0.25">
      <c r="B6" s="225" t="s">
        <v>96</v>
      </c>
      <c r="C6" s="214" t="s">
        <v>321</v>
      </c>
      <c r="D6" s="225" t="s">
        <v>219</v>
      </c>
      <c r="E6" s="214" t="s">
        <v>320</v>
      </c>
      <c r="F6" s="225" t="s">
        <v>221</v>
      </c>
      <c r="G6" s="214" t="s">
        <v>319</v>
      </c>
      <c r="H6" s="224" t="s">
        <v>318</v>
      </c>
    </row>
    <row r="7" spans="2:8" ht="15.75" thickBot="1" x14ac:dyDescent="0.3">
      <c r="B7" s="221">
        <f ca="1">IF(D3="n",D4,H10)</f>
        <v>0.70710689904860557</v>
      </c>
      <c r="C7" s="220">
        <f ca="1">EXP(-(B7^2))</f>
        <v>0.60653055861481664</v>
      </c>
      <c r="D7" s="221">
        <f ca="1">B7+$D$2</f>
        <v>0.70810689904860558</v>
      </c>
      <c r="E7" s="220">
        <f ca="1">EXP(-(D7^2))</f>
        <v>0.60567279530169826</v>
      </c>
      <c r="F7" s="221">
        <f ca="1">B7-$D$2</f>
        <v>0.70610689904860557</v>
      </c>
      <c r="G7" s="220">
        <f ca="1">EXP(-(F7^2))</f>
        <v>0.60738832192793502</v>
      </c>
      <c r="H7" s="219">
        <f ca="1">(E7-G7)/(2*D2)</f>
        <v>-0.85776331311837595</v>
      </c>
    </row>
    <row r="8" spans="2:8" ht="15.75" thickBot="1" x14ac:dyDescent="0.3">
      <c r="B8" s="31"/>
      <c r="C8" s="31"/>
      <c r="D8" s="31"/>
      <c r="E8" s="31"/>
      <c r="F8" s="31"/>
      <c r="G8" s="31"/>
      <c r="H8" s="31"/>
    </row>
    <row r="9" spans="2:8" x14ac:dyDescent="0.25">
      <c r="B9" s="222" t="s">
        <v>317</v>
      </c>
      <c r="C9" s="223" t="s">
        <v>316</v>
      </c>
      <c r="D9" s="210" t="s">
        <v>315</v>
      </c>
      <c r="E9" s="223" t="s">
        <v>314</v>
      </c>
      <c r="F9" s="210" t="s">
        <v>313</v>
      </c>
      <c r="G9" s="222" t="s">
        <v>312</v>
      </c>
      <c r="H9" s="222" t="s">
        <v>74</v>
      </c>
    </row>
    <row r="10" spans="2:8" ht="15.75" thickBot="1" x14ac:dyDescent="0.3">
      <c r="B10" s="219">
        <f ca="1">(E7-2*C7+G7)/($D$2^2)</f>
        <v>0</v>
      </c>
      <c r="C10" s="221">
        <f ca="1">B7+2*D2</f>
        <v>0.70910689904860558</v>
      </c>
      <c r="D10" s="220">
        <f ca="1">EXP(-(C10^2))</f>
        <v>0.60481503541720372</v>
      </c>
      <c r="E10" s="221">
        <f ca="1">B7+3*D2</f>
        <v>0.71010689904860558</v>
      </c>
      <c r="F10" s="220">
        <f ca="1">EXP(-(E10^2))</f>
        <v>0.60395728238508373</v>
      </c>
      <c r="G10" s="219">
        <f ca="1">(F10-3*D10+3*E7-C7)/(D2^3)</f>
        <v>3.4237506163492526</v>
      </c>
      <c r="H10" s="219">
        <f ca="1">B7-B10/G10</f>
        <v>0.70710689904860557</v>
      </c>
    </row>
    <row r="12" spans="2:8" x14ac:dyDescent="0.25">
      <c r="B12" t="s">
        <v>311</v>
      </c>
    </row>
    <row r="13" spans="2:8" x14ac:dyDescent="0.25">
      <c r="B13" t="s">
        <v>125</v>
      </c>
      <c r="C13" t="s">
        <v>310</v>
      </c>
    </row>
    <row r="14" spans="2:8" x14ac:dyDescent="0.25">
      <c r="C14" t="s">
        <v>309</v>
      </c>
    </row>
    <row r="15" spans="2:8" x14ac:dyDescent="0.25">
      <c r="C15" t="s">
        <v>308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2:M17"/>
  <sheetViews>
    <sheetView zoomScale="145" zoomScaleNormal="145" workbookViewId="0">
      <selection activeCell="M1" sqref="M1"/>
    </sheetView>
  </sheetViews>
  <sheetFormatPr defaultRowHeight="15" x14ac:dyDescent="0.25"/>
  <cols>
    <col min="4" max="4" width="6.42578125" customWidth="1"/>
    <col min="6" max="6" width="4.7109375" customWidth="1"/>
    <col min="11" max="11" width="4.7109375" customWidth="1"/>
    <col min="13" max="13" width="3.28515625" customWidth="1"/>
  </cols>
  <sheetData>
    <row r="2" spans="1:13" x14ac:dyDescent="0.25">
      <c r="A2" t="s">
        <v>15</v>
      </c>
      <c r="B2" s="2" t="s">
        <v>0</v>
      </c>
      <c r="C2" s="8">
        <v>0.98351011737505245</v>
      </c>
      <c r="D2" s="1" t="s">
        <v>2</v>
      </c>
      <c r="E2" s="3">
        <f>D_máximo</f>
        <v>1</v>
      </c>
      <c r="F2" t="s">
        <v>5</v>
      </c>
      <c r="I2" s="2" t="s">
        <v>18</v>
      </c>
      <c r="J2" s="10">
        <f>(Diâmetro_Interno/2+Espessura)^2*PI()*Comprimento</f>
        <v>0.90058632986648457</v>
      </c>
    </row>
    <row r="3" spans="1:13" x14ac:dyDescent="0.25">
      <c r="A3" t="s">
        <v>16</v>
      </c>
      <c r="B3" s="2" t="s">
        <v>1</v>
      </c>
      <c r="C3" s="8">
        <v>1.0530333866977735</v>
      </c>
      <c r="D3" s="1" t="s">
        <v>2</v>
      </c>
      <c r="E3" s="3">
        <f>L_máximo</f>
        <v>2</v>
      </c>
      <c r="F3" t="s">
        <v>5</v>
      </c>
      <c r="I3" s="2" t="s">
        <v>17</v>
      </c>
      <c r="J3" s="7">
        <f>(Diâmetro_Interno/2)^2*PI()*Comprimento</f>
        <v>0.7999994454174405</v>
      </c>
      <c r="K3" s="1" t="s">
        <v>3</v>
      </c>
      <c r="L3" s="3">
        <v>0.8</v>
      </c>
      <c r="M3" t="s">
        <v>4</v>
      </c>
    </row>
    <row r="4" spans="1:13" x14ac:dyDescent="0.25">
      <c r="B4" s="2"/>
      <c r="I4" s="2" t="s">
        <v>19</v>
      </c>
      <c r="J4" s="10">
        <f>(Diâmetro_Interno/2+Espessura)^2*PI()*Espessura</f>
        <v>2.5656916710608282E-2</v>
      </c>
    </row>
    <row r="5" spans="1:13" x14ac:dyDescent="0.25">
      <c r="B5" s="2"/>
      <c r="H5" s="9"/>
      <c r="I5" s="6" t="s">
        <v>20</v>
      </c>
      <c r="J5" s="14">
        <f>Volume_Externo-Volume_Interno+2*Volume_da_Tampa</f>
        <v>0.15190071787026063</v>
      </c>
    </row>
    <row r="6" spans="1:13" x14ac:dyDescent="0.25">
      <c r="B6" s="2"/>
      <c r="H6" s="13"/>
      <c r="I6" s="11"/>
      <c r="J6" s="15"/>
    </row>
    <row r="7" spans="1:13" x14ac:dyDescent="0.25">
      <c r="B7" s="2"/>
      <c r="H7" s="13"/>
      <c r="I7" s="11" t="s">
        <v>22</v>
      </c>
      <c r="J7" s="15">
        <f>PI()*Diâmetro_Interno</f>
        <v>3.0897881594766998</v>
      </c>
      <c r="K7" t="s">
        <v>5</v>
      </c>
    </row>
    <row r="8" spans="1:13" x14ac:dyDescent="0.25">
      <c r="B8" s="2" t="s">
        <v>24</v>
      </c>
      <c r="C8">
        <v>1</v>
      </c>
      <c r="D8" t="s">
        <v>5</v>
      </c>
      <c r="H8" s="13"/>
      <c r="I8" s="11" t="s">
        <v>23</v>
      </c>
      <c r="J8" s="15">
        <f>(Diâmetro_Interno/2+Espessura)*2*PI()</f>
        <v>3.2782837186920877</v>
      </c>
      <c r="K8" t="s">
        <v>5</v>
      </c>
    </row>
    <row r="9" spans="1:13" x14ac:dyDescent="0.25">
      <c r="B9" s="2" t="s">
        <v>25</v>
      </c>
      <c r="C9">
        <v>2</v>
      </c>
      <c r="D9" t="s">
        <v>5</v>
      </c>
      <c r="H9" s="13"/>
      <c r="I9" s="11"/>
      <c r="J9" s="13"/>
    </row>
    <row r="10" spans="1:13" x14ac:dyDescent="0.25">
      <c r="B10" s="2" t="s">
        <v>6</v>
      </c>
      <c r="C10" s="2">
        <v>0.03</v>
      </c>
      <c r="D10" t="s">
        <v>5</v>
      </c>
    </row>
    <row r="11" spans="1:13" x14ac:dyDescent="0.25">
      <c r="B11" s="2" t="s">
        <v>7</v>
      </c>
      <c r="C11" s="12">
        <v>8000</v>
      </c>
      <c r="D11" t="s">
        <v>21</v>
      </c>
    </row>
    <row r="12" spans="1:13" x14ac:dyDescent="0.25">
      <c r="B12" s="4" t="s">
        <v>8</v>
      </c>
      <c r="C12" s="5">
        <v>4.5</v>
      </c>
      <c r="D12" t="s">
        <v>9</v>
      </c>
      <c r="I12" s="2" t="s">
        <v>26</v>
      </c>
      <c r="J12" s="16">
        <f>Volume_Total*Densidade</f>
        <v>1215.205742962085</v>
      </c>
      <c r="K12" t="s">
        <v>28</v>
      </c>
    </row>
    <row r="13" spans="1:13" x14ac:dyDescent="0.25">
      <c r="B13" s="2" t="s">
        <v>10</v>
      </c>
      <c r="C13" s="5">
        <v>20</v>
      </c>
      <c r="D13" t="s">
        <v>11</v>
      </c>
      <c r="I13" s="2" t="s">
        <v>27</v>
      </c>
      <c r="J13" s="16">
        <f>2*(Compr_solda_Interno+Compr_Solda_Externo)</f>
        <v>12.736143756337576</v>
      </c>
      <c r="K13" t="s">
        <v>5</v>
      </c>
    </row>
    <row r="15" spans="1:13" x14ac:dyDescent="0.25">
      <c r="I15" s="2" t="s">
        <v>12</v>
      </c>
      <c r="J15" s="17">
        <f>Custo_por_Kg*Massa_Total</f>
        <v>5468.4258433293826</v>
      </c>
    </row>
    <row r="16" spans="1:13" ht="15.75" thickBot="1" x14ac:dyDescent="0.3">
      <c r="I16" s="2" t="s">
        <v>13</v>
      </c>
      <c r="J16" s="17">
        <f>Custo_por_metro*Comprimento_Total</f>
        <v>254.72287512675152</v>
      </c>
    </row>
    <row r="17" spans="9:11" ht="15.75" thickBot="1" x14ac:dyDescent="0.3">
      <c r="I17" s="6" t="s">
        <v>14</v>
      </c>
      <c r="J17" s="18">
        <f>SUM(J15:J16)</f>
        <v>5723.1487184561338</v>
      </c>
      <c r="K17" t="s">
        <v>29</v>
      </c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H14"/>
  <sheetViews>
    <sheetView zoomScale="145" zoomScaleNormal="145" workbookViewId="0">
      <selection activeCell="A18" sqref="A18"/>
    </sheetView>
  </sheetViews>
  <sheetFormatPr defaultRowHeight="15" x14ac:dyDescent="0.25"/>
  <cols>
    <col min="1" max="1" width="18.140625" customWidth="1"/>
  </cols>
  <sheetData>
    <row r="1" spans="1:8" x14ac:dyDescent="0.25">
      <c r="A1" t="s">
        <v>52</v>
      </c>
      <c r="B1">
        <v>0.8</v>
      </c>
      <c r="C1" t="s">
        <v>4</v>
      </c>
      <c r="E1" s="2" t="s">
        <v>51</v>
      </c>
      <c r="F1" s="30">
        <v>1.1527753452329979</v>
      </c>
    </row>
    <row r="2" spans="1:8" x14ac:dyDescent="0.25">
      <c r="A2" t="s">
        <v>50</v>
      </c>
      <c r="B2">
        <v>0.03</v>
      </c>
      <c r="C2" t="s">
        <v>5</v>
      </c>
      <c r="E2" s="2" t="s">
        <v>49</v>
      </c>
      <c r="F2" s="30">
        <v>0.94</v>
      </c>
    </row>
    <row r="3" spans="1:8" x14ac:dyDescent="0.25">
      <c r="A3" t="s">
        <v>7</v>
      </c>
      <c r="B3">
        <v>8000</v>
      </c>
      <c r="C3" t="s">
        <v>21</v>
      </c>
    </row>
    <row r="4" spans="1:8" x14ac:dyDescent="0.25">
      <c r="A4" t="s">
        <v>48</v>
      </c>
      <c r="B4">
        <v>2</v>
      </c>
      <c r="C4" t="s">
        <v>5</v>
      </c>
      <c r="E4" s="28" t="s">
        <v>47</v>
      </c>
      <c r="F4" s="26">
        <f>PI()*(D_/2)^2*L_</f>
        <v>0.80000051778139425</v>
      </c>
      <c r="G4" s="27" t="s">
        <v>3</v>
      </c>
      <c r="H4" s="26">
        <f>Vol_pedido</f>
        <v>0.8</v>
      </c>
    </row>
    <row r="5" spans="1:8" x14ac:dyDescent="0.25">
      <c r="A5" t="s">
        <v>46</v>
      </c>
      <c r="B5">
        <v>1</v>
      </c>
      <c r="C5" t="s">
        <v>5</v>
      </c>
      <c r="E5" s="28" t="s">
        <v>45</v>
      </c>
      <c r="F5" s="26">
        <f>L_+2*Espessura</f>
        <v>1.2127753452329979</v>
      </c>
      <c r="G5" s="27" t="s">
        <v>2</v>
      </c>
      <c r="H5" s="26">
        <f>Lmax</f>
        <v>2</v>
      </c>
    </row>
    <row r="6" spans="1:8" x14ac:dyDescent="0.25">
      <c r="A6" t="s">
        <v>44</v>
      </c>
      <c r="B6" s="29">
        <v>4.5</v>
      </c>
      <c r="C6" t="s">
        <v>43</v>
      </c>
      <c r="E6" s="28" t="s">
        <v>42</v>
      </c>
      <c r="F6" s="26">
        <f>D_+2*Espessura</f>
        <v>1</v>
      </c>
      <c r="G6" s="27" t="s">
        <v>2</v>
      </c>
      <c r="H6" s="26">
        <f>Dmax</f>
        <v>1</v>
      </c>
    </row>
    <row r="7" spans="1:8" x14ac:dyDescent="0.25">
      <c r="A7" t="s">
        <v>41</v>
      </c>
      <c r="B7" s="17">
        <v>20</v>
      </c>
      <c r="C7" t="s">
        <v>40</v>
      </c>
    </row>
    <row r="9" spans="1:8" x14ac:dyDescent="0.25">
      <c r="A9" s="24" t="s">
        <v>39</v>
      </c>
      <c r="B9" s="25">
        <f>PI()*(D_/2+Espessura)^2*L_</f>
        <v>0.90538763895585594</v>
      </c>
      <c r="C9" s="10"/>
      <c r="D9" s="23" t="s">
        <v>38</v>
      </c>
      <c r="E9" s="10">
        <f>PI()*(D_+2*Espessura)</f>
        <v>3.1415926535897931</v>
      </c>
    </row>
    <row r="10" spans="1:8" x14ac:dyDescent="0.25">
      <c r="A10" s="24" t="s">
        <v>37</v>
      </c>
      <c r="B10" s="10">
        <f>PI()*(D_/2+Espessura)^2*Espessura</f>
        <v>2.3561944901923447E-2</v>
      </c>
      <c r="C10" s="10"/>
      <c r="D10" s="23" t="s">
        <v>36</v>
      </c>
      <c r="E10" s="10">
        <f>PI()*D_</f>
        <v>2.9530970943744053</v>
      </c>
    </row>
    <row r="11" spans="1:8" x14ac:dyDescent="0.25">
      <c r="A11" s="9" t="s">
        <v>20</v>
      </c>
      <c r="B11" s="14">
        <f>2*Vol_Tampa+Vol_Ext-Vol_Interno</f>
        <v>0.15251101097830855</v>
      </c>
      <c r="C11" s="10"/>
      <c r="D11" s="22" t="s">
        <v>35</v>
      </c>
      <c r="E11" s="14">
        <f>2*(E9+E10)</f>
        <v>12.189379495928396</v>
      </c>
    </row>
    <row r="12" spans="1:8" x14ac:dyDescent="0.25">
      <c r="A12" s="21" t="s">
        <v>34</v>
      </c>
      <c r="B12" s="10">
        <f>Vol_Total*Densidade</f>
        <v>1220.0880878264684</v>
      </c>
      <c r="D12" s="20" t="s">
        <v>33</v>
      </c>
      <c r="E12" s="17">
        <f>E11*Cust_Solda_m</f>
        <v>243.7875899185679</v>
      </c>
    </row>
    <row r="13" spans="1:8" x14ac:dyDescent="0.25">
      <c r="A13" s="21" t="s">
        <v>32</v>
      </c>
      <c r="B13" s="17">
        <f>B12*Cust_Mat_kg</f>
        <v>5490.3963952191079</v>
      </c>
    </row>
    <row r="14" spans="1:8" x14ac:dyDescent="0.25">
      <c r="D14" s="20" t="s">
        <v>31</v>
      </c>
      <c r="E14" s="19">
        <f>B13+E12</f>
        <v>5734.1839851376762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1:P30"/>
  <sheetViews>
    <sheetView workbookViewId="0">
      <selection activeCell="G27" sqref="G27"/>
    </sheetView>
  </sheetViews>
  <sheetFormatPr defaultRowHeight="15" x14ac:dyDescent="0.25"/>
  <sheetData>
    <row r="1" spans="3:16" x14ac:dyDescent="0.25">
      <c r="C1" t="s">
        <v>91</v>
      </c>
    </row>
    <row r="3" spans="3:16" x14ac:dyDescent="0.25">
      <c r="C3" t="s">
        <v>90</v>
      </c>
      <c r="D3">
        <v>1E-3</v>
      </c>
    </row>
    <row r="4" spans="3:16" x14ac:dyDescent="0.25">
      <c r="C4" t="s">
        <v>88</v>
      </c>
      <c r="D4" s="37" t="s">
        <v>89</v>
      </c>
      <c r="J4" t="s">
        <v>88</v>
      </c>
      <c r="K4" s="35" t="str">
        <f>D4</f>
        <v>n</v>
      </c>
    </row>
    <row r="5" spans="3:16" x14ac:dyDescent="0.25">
      <c r="C5" t="s">
        <v>87</v>
      </c>
      <c r="D5" t="s">
        <v>86</v>
      </c>
    </row>
    <row r="6" spans="3:16" x14ac:dyDescent="0.25">
      <c r="C6" s="36">
        <v>0.8</v>
      </c>
      <c r="D6" s="36">
        <v>1.2</v>
      </c>
      <c r="E6" s="31"/>
      <c r="F6" s="31"/>
      <c r="G6" s="31"/>
      <c r="H6" s="31"/>
      <c r="I6" s="31"/>
      <c r="J6" t="s">
        <v>85</v>
      </c>
      <c r="K6" s="35">
        <v>0</v>
      </c>
      <c r="L6" s="31"/>
      <c r="M6" s="31"/>
      <c r="N6" s="31"/>
      <c r="O6" s="31"/>
      <c r="P6" s="31"/>
    </row>
    <row r="7" spans="3:16" x14ac:dyDescent="0.25"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</row>
    <row r="8" spans="3:16" x14ac:dyDescent="0.25">
      <c r="C8" s="31" t="s">
        <v>84</v>
      </c>
      <c r="D8" s="31" t="s">
        <v>83</v>
      </c>
      <c r="E8" s="31" t="s">
        <v>82</v>
      </c>
      <c r="F8" s="31" t="s">
        <v>81</v>
      </c>
      <c r="G8" s="31" t="s">
        <v>80</v>
      </c>
      <c r="H8" s="31" t="s">
        <v>79</v>
      </c>
      <c r="I8" s="31"/>
      <c r="J8" s="31" t="s">
        <v>78</v>
      </c>
      <c r="K8" s="31" t="s">
        <v>77</v>
      </c>
      <c r="L8" s="31" t="s">
        <v>76</v>
      </c>
      <c r="M8" s="31" t="s">
        <v>75</v>
      </c>
      <c r="N8" s="31"/>
      <c r="O8" s="31" t="s">
        <v>74</v>
      </c>
      <c r="P8" s="31" t="s">
        <v>73</v>
      </c>
    </row>
    <row r="9" spans="3:16" x14ac:dyDescent="0.25">
      <c r="C9" s="34">
        <f>IF($D$4="n",C6,O9)</f>
        <v>0.8</v>
      </c>
      <c r="D9" s="34">
        <f>IF($D$4="n",D6,P9)</f>
        <v>1.2</v>
      </c>
      <c r="E9" s="31">
        <f>fxy(C9,D9)</f>
        <v>0.41999999999999993</v>
      </c>
      <c r="F9" s="31">
        <f>fxy(C9+D3,D9)</f>
        <v>0.42029850000000035</v>
      </c>
      <c r="G9" s="31">
        <f>fxy(C9-D3,D9)</f>
        <v>0.41969850000000086</v>
      </c>
      <c r="H9" s="31">
        <f>(F9-G9)/(2*$D$3)</f>
        <v>0.29999999999974492</v>
      </c>
      <c r="I9" s="31"/>
      <c r="J9" s="31">
        <f>IF(K4="n",K6,O21)</f>
        <v>0</v>
      </c>
      <c r="K9" s="31">
        <f>$C$9+$H$9*J9</f>
        <v>0.8</v>
      </c>
      <c r="L9" s="31">
        <f>$D$9+$H$12*J9</f>
        <v>1.2</v>
      </c>
      <c r="M9" s="31">
        <f>fxy(K9,L9)</f>
        <v>0.41999999999999993</v>
      </c>
      <c r="N9" s="31"/>
      <c r="O9" s="31">
        <f>K9</f>
        <v>0.8</v>
      </c>
      <c r="P9" s="31">
        <f>L9</f>
        <v>1.2</v>
      </c>
    </row>
    <row r="10" spans="3:16" x14ac:dyDescent="0.25"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</row>
    <row r="11" spans="3:16" x14ac:dyDescent="0.25">
      <c r="F11" s="31" t="s">
        <v>72</v>
      </c>
      <c r="G11" s="31" t="s">
        <v>71</v>
      </c>
      <c r="H11" s="31" t="s">
        <v>70</v>
      </c>
      <c r="I11" s="31"/>
      <c r="J11" s="31" t="s">
        <v>69</v>
      </c>
      <c r="K11" s="31" t="s">
        <v>68</v>
      </c>
      <c r="L11" s="31" t="s">
        <v>67</v>
      </c>
      <c r="M11" s="31" t="s">
        <v>66</v>
      </c>
      <c r="N11" s="31"/>
      <c r="O11" s="31"/>
      <c r="P11" s="31"/>
    </row>
    <row r="12" spans="3:16" x14ac:dyDescent="0.25">
      <c r="F12" s="31">
        <f>fxy(C9,D9+D3)</f>
        <v>0.41874800000000034</v>
      </c>
      <c r="G12" s="31">
        <f>fxy(C9,D9-D3)</f>
        <v>0.42124800000000073</v>
      </c>
      <c r="H12" s="31">
        <f>(F12-G12)/(2*$D$3)</f>
        <v>-1.2500000000001954</v>
      </c>
      <c r="I12" s="31"/>
      <c r="J12" s="31">
        <f>J9+D3</f>
        <v>1E-3</v>
      </c>
      <c r="K12" s="31">
        <f>$C$9+$H$9*J12</f>
        <v>0.80029999999999979</v>
      </c>
      <c r="L12" s="31">
        <f>$D$9+$H$12*J12</f>
        <v>1.1987499999999998</v>
      </c>
      <c r="M12" s="31">
        <f>fxy(K12,L12)</f>
        <v>0.42164839624999972</v>
      </c>
      <c r="N12" s="31"/>
      <c r="O12" s="31"/>
      <c r="P12" s="31"/>
    </row>
    <row r="13" spans="3:16" x14ac:dyDescent="0.25"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</row>
    <row r="14" spans="3:16" x14ac:dyDescent="0.25">
      <c r="F14" s="31"/>
      <c r="G14" s="31"/>
      <c r="H14" s="31"/>
      <c r="I14" s="31"/>
      <c r="J14" s="31" t="s">
        <v>65</v>
      </c>
      <c r="K14" s="31" t="s">
        <v>64</v>
      </c>
      <c r="L14" s="31" t="s">
        <v>63</v>
      </c>
      <c r="M14" s="31" t="s">
        <v>62</v>
      </c>
      <c r="N14" s="31"/>
      <c r="O14" s="31"/>
      <c r="P14" s="31"/>
    </row>
    <row r="15" spans="3:16" x14ac:dyDescent="0.25">
      <c r="F15" s="31"/>
      <c r="G15" s="31"/>
      <c r="H15" s="31"/>
      <c r="I15" s="31"/>
      <c r="J15" s="31">
        <f>J9-D3</f>
        <v>-1E-3</v>
      </c>
      <c r="K15" s="31">
        <f>$C$9+$H$9*J15</f>
        <v>0.7997000000000003</v>
      </c>
      <c r="L15" s="31">
        <f>$D$9+$H$12*J15</f>
        <v>1.2012500000000002</v>
      </c>
      <c r="M15" s="31">
        <f>fxy(K15,L15)</f>
        <v>0.41834339625000005</v>
      </c>
      <c r="N15" s="31"/>
      <c r="O15" s="31"/>
      <c r="P15" s="31"/>
    </row>
    <row r="16" spans="3:16" x14ac:dyDescent="0.25"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  <row r="17" spans="3:16" x14ac:dyDescent="0.25">
      <c r="F17" s="32"/>
      <c r="G17" s="32"/>
      <c r="H17" s="32"/>
      <c r="I17" s="31"/>
      <c r="J17" s="24" t="s">
        <v>55</v>
      </c>
      <c r="K17" s="31"/>
      <c r="L17" s="31"/>
      <c r="M17" s="31" t="s">
        <v>61</v>
      </c>
      <c r="N17" s="31"/>
      <c r="O17" s="31" t="s">
        <v>60</v>
      </c>
      <c r="P17" s="31"/>
    </row>
    <row r="18" spans="3:16" x14ac:dyDescent="0.25">
      <c r="C18" t="s">
        <v>59</v>
      </c>
      <c r="F18" s="32"/>
      <c r="G18" s="32"/>
      <c r="H18" s="32"/>
      <c r="I18" s="31"/>
      <c r="J18" s="24" t="s">
        <v>58</v>
      </c>
      <c r="K18" s="31"/>
      <c r="L18" s="31"/>
      <c r="M18" s="31">
        <f>(M12-M15)/(2*D3)</f>
        <v>1.6524999999998347</v>
      </c>
      <c r="N18" s="31"/>
      <c r="O18" s="31">
        <f>(M12-2*M9+M15)/($D$3^2)</f>
        <v>-8.2075000000791931</v>
      </c>
      <c r="P18" s="31"/>
    </row>
    <row r="19" spans="3:16" x14ac:dyDescent="0.25">
      <c r="C19" t="s">
        <v>57</v>
      </c>
      <c r="F19" s="31"/>
      <c r="G19" s="31"/>
      <c r="H19" s="31"/>
      <c r="I19" s="31"/>
      <c r="J19" s="33" t="s">
        <v>56</v>
      </c>
      <c r="K19" s="31"/>
      <c r="L19" s="31"/>
      <c r="M19" s="31"/>
      <c r="N19" s="31"/>
      <c r="O19" s="31"/>
      <c r="P19" s="31"/>
    </row>
    <row r="20" spans="3:16" x14ac:dyDescent="0.25">
      <c r="I20" s="31"/>
      <c r="K20" s="31"/>
      <c r="L20" s="31"/>
      <c r="N20" s="31"/>
      <c r="O20" s="31" t="s">
        <v>55</v>
      </c>
      <c r="P20" s="31"/>
    </row>
    <row r="21" spans="3:16" x14ac:dyDescent="0.25">
      <c r="C21" t="s">
        <v>54</v>
      </c>
      <c r="I21" s="31"/>
      <c r="K21" s="31"/>
      <c r="L21" s="31"/>
      <c r="N21" s="31"/>
      <c r="O21" s="31">
        <f>J9-M18/O18</f>
        <v>0.20134023758560948</v>
      </c>
      <c r="P21" s="31"/>
    </row>
    <row r="22" spans="3:16" x14ac:dyDescent="0.25">
      <c r="D22" t="s">
        <v>53</v>
      </c>
      <c r="I22" s="31"/>
      <c r="J22" s="31"/>
      <c r="K22" s="31"/>
      <c r="L22" s="31"/>
      <c r="M22" s="31"/>
      <c r="N22" s="31"/>
      <c r="O22" s="31"/>
      <c r="P22" s="31"/>
    </row>
    <row r="23" spans="3:16" x14ac:dyDescent="0.25"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</row>
    <row r="24" spans="3:16" x14ac:dyDescent="0.25"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</row>
    <row r="25" spans="3:16" x14ac:dyDescent="0.25"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</row>
    <row r="26" spans="3:16" x14ac:dyDescent="0.25"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</row>
    <row r="27" spans="3:16" x14ac:dyDescent="0.25"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</row>
    <row r="28" spans="3:16" x14ac:dyDescent="0.25"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</row>
    <row r="29" spans="3:16" x14ac:dyDescent="0.25">
      <c r="F29" s="32"/>
      <c r="G29" s="32"/>
      <c r="H29" s="32"/>
      <c r="I29" s="31"/>
      <c r="K29" s="31"/>
      <c r="L29" s="31"/>
      <c r="M29" s="31"/>
      <c r="N29" s="31"/>
      <c r="O29" s="31"/>
      <c r="P29" s="31"/>
    </row>
    <row r="30" spans="3:16" x14ac:dyDescent="0.25">
      <c r="F30" s="32"/>
      <c r="G30" s="32"/>
      <c r="H30" s="32"/>
      <c r="I30" s="31"/>
      <c r="K30" s="31"/>
      <c r="L30" s="31"/>
      <c r="M30" s="31"/>
      <c r="N30" s="31"/>
      <c r="O30" s="31"/>
      <c r="P30" s="31"/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1:N18"/>
  <sheetViews>
    <sheetView workbookViewId="0">
      <selection activeCell="D4" sqref="D4"/>
    </sheetView>
  </sheetViews>
  <sheetFormatPr defaultRowHeight="15" x14ac:dyDescent="0.25"/>
  <sheetData>
    <row r="1" spans="3:14" x14ac:dyDescent="0.25">
      <c r="C1" t="s">
        <v>91</v>
      </c>
    </row>
    <row r="3" spans="3:14" x14ac:dyDescent="0.25">
      <c r="C3" t="s">
        <v>88</v>
      </c>
      <c r="D3" t="s">
        <v>89</v>
      </c>
    </row>
    <row r="4" spans="3:14" x14ac:dyDescent="0.25">
      <c r="C4" s="2" t="s">
        <v>90</v>
      </c>
      <c r="D4" s="43">
        <v>1E-4</v>
      </c>
    </row>
    <row r="5" spans="3:14" x14ac:dyDescent="0.25">
      <c r="C5" s="1" t="s">
        <v>84</v>
      </c>
      <c r="D5" s="1" t="s">
        <v>83</v>
      </c>
      <c r="E5" s="1"/>
      <c r="F5" s="1"/>
      <c r="G5" s="1"/>
    </row>
    <row r="6" spans="3:14" x14ac:dyDescent="0.25">
      <c r="C6" s="42">
        <v>-1</v>
      </c>
      <c r="D6" s="42">
        <v>1</v>
      </c>
      <c r="E6" s="1"/>
      <c r="F6" s="1"/>
      <c r="G6" s="1"/>
    </row>
    <row r="8" spans="3:14" x14ac:dyDescent="0.25">
      <c r="C8" t="s">
        <v>96</v>
      </c>
      <c r="D8" t="s">
        <v>95</v>
      </c>
      <c r="E8" t="s">
        <v>82</v>
      </c>
      <c r="F8" t="s">
        <v>79</v>
      </c>
      <c r="G8" t="s">
        <v>70</v>
      </c>
      <c r="I8" s="1" t="s">
        <v>94</v>
      </c>
      <c r="J8" s="1" t="s">
        <v>93</v>
      </c>
      <c r="K8" s="1" t="s">
        <v>92</v>
      </c>
      <c r="M8" t="s">
        <v>74</v>
      </c>
      <c r="N8" t="s">
        <v>73</v>
      </c>
    </row>
    <row r="9" spans="3:14" x14ac:dyDescent="0.25">
      <c r="C9" s="39">
        <f>IF($D$3="n",C6,M9)</f>
        <v>-1</v>
      </c>
      <c r="D9" s="39">
        <f>IF($D$3="n",D6,N9)</f>
        <v>1</v>
      </c>
      <c r="E9" s="39">
        <f>fxy(C9,D9)</f>
        <v>-4</v>
      </c>
      <c r="F9" s="39">
        <f>gradx(C9,D9,D4)</f>
        <v>5.2499999999988667</v>
      </c>
      <c r="G9" s="39">
        <f>grady(C9,D9,D4)</f>
        <v>-4.4999999999983942</v>
      </c>
      <c r="H9" s="39"/>
      <c r="I9" s="41">
        <v>0</v>
      </c>
      <c r="J9" s="40">
        <f>next_k(C9,D9,F9,G9,K9,D4)</f>
        <v>0.1770833333609573</v>
      </c>
      <c r="K9" s="39">
        <f>IF(D3="n",I9,J9)</f>
        <v>0</v>
      </c>
      <c r="L9" s="39"/>
      <c r="M9" s="39">
        <f>C9+F9*$K$9</f>
        <v>-1</v>
      </c>
      <c r="N9" s="39">
        <f>D9+G9*$K$9</f>
        <v>1</v>
      </c>
    </row>
    <row r="17" spans="3:3" x14ac:dyDescent="0.25">
      <c r="C17" s="38"/>
    </row>
    <row r="18" spans="3:3" x14ac:dyDescent="0.25">
      <c r="C18" s="38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H15"/>
  <sheetViews>
    <sheetView workbookViewId="0">
      <selection activeCell="H13" sqref="H13"/>
    </sheetView>
  </sheetViews>
  <sheetFormatPr defaultColWidth="12" defaultRowHeight="15" x14ac:dyDescent="0.25"/>
  <cols>
    <col min="1" max="16384" width="12" style="1"/>
  </cols>
  <sheetData>
    <row r="1" spans="1:8" ht="17.25" x14ac:dyDescent="0.25">
      <c r="A1" s="1" t="s">
        <v>116</v>
      </c>
      <c r="B1" s="1" t="s">
        <v>115</v>
      </c>
      <c r="C1" s="1" t="s">
        <v>114</v>
      </c>
      <c r="D1" s="1" t="s">
        <v>113</v>
      </c>
      <c r="E1" s="1" t="s">
        <v>109</v>
      </c>
      <c r="F1" s="1" t="s">
        <v>112</v>
      </c>
      <c r="G1" s="1" t="s">
        <v>111</v>
      </c>
      <c r="H1" s="1" t="s">
        <v>110</v>
      </c>
    </row>
    <row r="2" spans="1:8" x14ac:dyDescent="0.25">
      <c r="A2" s="1">
        <v>1</v>
      </c>
      <c r="B2" s="53">
        <v>1000000000</v>
      </c>
      <c r="C2" s="1">
        <v>2</v>
      </c>
      <c r="D2" s="1">
        <v>100</v>
      </c>
      <c r="E2" s="50" t="s">
        <v>105</v>
      </c>
      <c r="F2" s="53">
        <v>10000000</v>
      </c>
      <c r="G2" s="52">
        <v>0.5</v>
      </c>
      <c r="H2" s="51">
        <v>20</v>
      </c>
    </row>
    <row r="3" spans="1:8" x14ac:dyDescent="0.25">
      <c r="A3" s="1">
        <v>2</v>
      </c>
      <c r="B3" s="53">
        <v>2000000000</v>
      </c>
      <c r="C3" s="1">
        <v>2</v>
      </c>
      <c r="D3" s="1">
        <v>40</v>
      </c>
      <c r="E3" s="1" t="s">
        <v>103</v>
      </c>
      <c r="F3" s="53">
        <v>50000000</v>
      </c>
      <c r="G3" s="52">
        <v>0.35</v>
      </c>
      <c r="H3" s="51">
        <v>20</v>
      </c>
    </row>
    <row r="4" spans="1:8" x14ac:dyDescent="0.25">
      <c r="A4" s="1">
        <v>3</v>
      </c>
      <c r="B4" s="53">
        <v>4000000000</v>
      </c>
      <c r="C4" s="1">
        <v>4</v>
      </c>
      <c r="D4" s="1">
        <v>47.3</v>
      </c>
      <c r="E4" s="1" t="s">
        <v>101</v>
      </c>
      <c r="F4" s="53">
        <v>110000000</v>
      </c>
      <c r="G4" s="52">
        <v>0.6</v>
      </c>
      <c r="H4" s="51">
        <v>20</v>
      </c>
    </row>
    <row r="5" spans="1:8" x14ac:dyDescent="0.25">
      <c r="A5" s="1">
        <v>4</v>
      </c>
      <c r="B5" s="53">
        <v>2500000000</v>
      </c>
      <c r="C5" s="1">
        <v>4</v>
      </c>
      <c r="D5" s="1">
        <v>22.5</v>
      </c>
      <c r="E5" s="1" t="s">
        <v>99</v>
      </c>
      <c r="F5" s="53">
        <v>250000000</v>
      </c>
      <c r="G5" s="52">
        <v>0</v>
      </c>
      <c r="H5" s="51">
        <v>20</v>
      </c>
    </row>
    <row r="9" spans="1:8" x14ac:dyDescent="0.25">
      <c r="A9" s="1" t="s">
        <v>109</v>
      </c>
      <c r="B9" s="1" t="s">
        <v>108</v>
      </c>
      <c r="C9" s="1" t="s">
        <v>107</v>
      </c>
      <c r="H9" s="1" t="s">
        <v>106</v>
      </c>
    </row>
    <row r="10" spans="1:8" x14ac:dyDescent="0.25">
      <c r="A10" s="50" t="s">
        <v>105</v>
      </c>
      <c r="B10" s="49">
        <v>0.8</v>
      </c>
      <c r="C10" s="48">
        <f>B10*C2*B2*0.00001</f>
        <v>16000.000000000002</v>
      </c>
      <c r="G10" s="46" t="s">
        <v>104</v>
      </c>
      <c r="H10" s="45">
        <f>(1-x_1)*P_1/Q_13</f>
        <v>19.999999999999996</v>
      </c>
    </row>
    <row r="11" spans="1:8" x14ac:dyDescent="0.25">
      <c r="A11" s="1" t="s">
        <v>103</v>
      </c>
      <c r="B11" s="49">
        <v>0.50000000000000011</v>
      </c>
      <c r="C11" s="48">
        <f>B11*C3*B3*0.00001</f>
        <v>20000.000000000007</v>
      </c>
      <c r="D11" s="47"/>
      <c r="G11" s="46" t="s">
        <v>102</v>
      </c>
      <c r="H11" s="45">
        <f>(1-x_2)*P_2/Q_23</f>
        <v>19.999999999999996</v>
      </c>
    </row>
    <row r="12" spans="1:8" x14ac:dyDescent="0.25">
      <c r="A12" s="1" t="s">
        <v>101</v>
      </c>
      <c r="B12" s="49">
        <v>0.5625</v>
      </c>
      <c r="C12" s="48">
        <f>B12*C4*B4*0.00001</f>
        <v>90000.000000000015</v>
      </c>
      <c r="D12" s="47"/>
      <c r="G12" s="46" t="s">
        <v>100</v>
      </c>
      <c r="H12" s="45">
        <f>(R_13*cf_1*Q_13+R_23*cf_2*Q_23+(1-x_3)*P_3)/Q_34</f>
        <v>20</v>
      </c>
    </row>
    <row r="13" spans="1:8" x14ac:dyDescent="0.25">
      <c r="A13" s="1" t="s">
        <v>99</v>
      </c>
      <c r="B13" s="49">
        <v>0</v>
      </c>
      <c r="C13" s="48">
        <f>B13*C5*B5*0.00001</f>
        <v>0</v>
      </c>
      <c r="D13" s="47"/>
      <c r="G13" s="46" t="s">
        <v>98</v>
      </c>
      <c r="H13" s="45">
        <f>(R_34*cf_3*Q_34+(1-x_4)*P_4)/Q_45</f>
        <v>15.28</v>
      </c>
    </row>
    <row r="15" spans="1:8" x14ac:dyDescent="0.25">
      <c r="B15" s="1" t="s">
        <v>97</v>
      </c>
      <c r="C15" s="44">
        <f>SUM(C10:C13)</f>
        <v>126000.00000000003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I14"/>
  <sheetViews>
    <sheetView zoomScale="200" workbookViewId="0">
      <selection activeCell="H13" sqref="H13"/>
    </sheetView>
  </sheetViews>
  <sheetFormatPr defaultRowHeight="12.75" x14ac:dyDescent="0.2"/>
  <cols>
    <col min="1" max="1" width="9.140625" style="54"/>
    <col min="2" max="2" width="9.28515625" style="54" bestFit="1" customWidth="1"/>
    <col min="3" max="3" width="10" style="54" customWidth="1"/>
    <col min="4" max="5" width="9.28515625" style="54" bestFit="1" customWidth="1"/>
    <col min="6" max="6" width="9.140625" style="54"/>
    <col min="7" max="7" width="9.28515625" style="54" bestFit="1" customWidth="1"/>
    <col min="8" max="8" width="3" style="54" customWidth="1"/>
    <col min="9" max="16384" width="9.140625" style="54"/>
  </cols>
  <sheetData>
    <row r="1" spans="1:9" x14ac:dyDescent="0.2">
      <c r="B1" s="54" t="s">
        <v>129</v>
      </c>
      <c r="C1" s="54" t="s">
        <v>128</v>
      </c>
      <c r="D1" s="54" t="s">
        <v>127</v>
      </c>
      <c r="F1" s="54" t="s">
        <v>126</v>
      </c>
      <c r="H1" s="54" t="s">
        <v>125</v>
      </c>
    </row>
    <row r="2" spans="1:9" x14ac:dyDescent="0.2">
      <c r="A2" s="54" t="s">
        <v>116</v>
      </c>
      <c r="B2" s="54" t="s">
        <v>124</v>
      </c>
      <c r="C2" s="67" t="s">
        <v>123</v>
      </c>
      <c r="D2" s="54" t="s">
        <v>112</v>
      </c>
      <c r="E2" s="54" t="s">
        <v>109</v>
      </c>
      <c r="F2" s="62" t="s">
        <v>111</v>
      </c>
    </row>
    <row r="3" spans="1:9" x14ac:dyDescent="0.2">
      <c r="A3" s="63">
        <v>1</v>
      </c>
      <c r="B3" s="65">
        <v>1000000000</v>
      </c>
      <c r="C3" s="62">
        <v>2</v>
      </c>
      <c r="D3" s="65">
        <v>10000000</v>
      </c>
      <c r="E3" s="66" t="s">
        <v>105</v>
      </c>
      <c r="F3" s="64">
        <v>0.5</v>
      </c>
    </row>
    <row r="4" spans="1:9" x14ac:dyDescent="0.2">
      <c r="A4" s="62">
        <v>2</v>
      </c>
      <c r="B4" s="65">
        <v>2000000000</v>
      </c>
      <c r="C4" s="62">
        <v>2</v>
      </c>
      <c r="D4" s="65">
        <v>50000000</v>
      </c>
      <c r="E4" s="62" t="s">
        <v>103</v>
      </c>
      <c r="F4" s="64">
        <v>0.35</v>
      </c>
    </row>
    <row r="5" spans="1:9" x14ac:dyDescent="0.2">
      <c r="A5" s="62">
        <v>3</v>
      </c>
      <c r="B5" s="65">
        <v>4000000000</v>
      </c>
      <c r="C5" s="62">
        <v>4</v>
      </c>
      <c r="D5" s="65">
        <v>110000000</v>
      </c>
      <c r="E5" s="62" t="s">
        <v>101</v>
      </c>
      <c r="F5" s="64">
        <v>0.6</v>
      </c>
    </row>
    <row r="6" spans="1:9" x14ac:dyDescent="0.2">
      <c r="A6" s="62">
        <v>4</v>
      </c>
      <c r="B6" s="65">
        <v>2500000000</v>
      </c>
      <c r="C6" s="62">
        <v>4</v>
      </c>
      <c r="D6" s="65">
        <v>250000000</v>
      </c>
      <c r="E6" s="62" t="s">
        <v>99</v>
      </c>
      <c r="F6" s="64">
        <v>0</v>
      </c>
    </row>
    <row r="8" spans="1:9" x14ac:dyDescent="0.2">
      <c r="B8" s="54" t="s">
        <v>122</v>
      </c>
      <c r="C8" s="54" t="s">
        <v>121</v>
      </c>
      <c r="F8" s="54" t="s">
        <v>120</v>
      </c>
      <c r="G8" s="54" t="s">
        <v>119</v>
      </c>
      <c r="I8" s="54" t="s">
        <v>118</v>
      </c>
    </row>
    <row r="9" spans="1:9" x14ac:dyDescent="0.2">
      <c r="A9" s="63">
        <v>1</v>
      </c>
      <c r="B9" s="61">
        <v>0.80000000000139848</v>
      </c>
      <c r="C9" s="60">
        <f>B3*B9</f>
        <v>800000000.00139844</v>
      </c>
      <c r="F9" s="59">
        <f>B3/D3</f>
        <v>100</v>
      </c>
      <c r="G9" s="58">
        <f>(1-B9)*B3/D3</f>
        <v>19.999999999860151</v>
      </c>
      <c r="H9" s="54" t="s">
        <v>2</v>
      </c>
      <c r="I9" s="57">
        <v>20</v>
      </c>
    </row>
    <row r="10" spans="1:9" x14ac:dyDescent="0.2">
      <c r="A10" s="62">
        <v>2</v>
      </c>
      <c r="B10" s="61">
        <v>0.49999999999987399</v>
      </c>
      <c r="C10" s="60">
        <f>B4*B10</f>
        <v>999999999.99974799</v>
      </c>
      <c r="F10" s="59">
        <f>B4/D4</f>
        <v>40</v>
      </c>
      <c r="G10" s="58">
        <f>(1-B10)*B4/D4</f>
        <v>20.000000000005041</v>
      </c>
      <c r="H10" s="54" t="s">
        <v>2</v>
      </c>
      <c r="I10" s="57">
        <v>20</v>
      </c>
    </row>
    <row r="11" spans="1:9" x14ac:dyDescent="0.2">
      <c r="A11" s="62">
        <v>3</v>
      </c>
      <c r="B11" s="61">
        <v>0.56249999999773381</v>
      </c>
      <c r="C11" s="60">
        <f>B5*B11</f>
        <v>2249999999.9909353</v>
      </c>
      <c r="F11" s="59">
        <f>B5/D5</f>
        <v>36.363636363636367</v>
      </c>
      <c r="G11" s="58">
        <f>(G9*D3*F3+G10*D4*F4+(1-B11)*B5)/D5</f>
        <v>20.000000000076849</v>
      </c>
      <c r="H11" s="54" t="s">
        <v>2</v>
      </c>
      <c r="I11" s="57">
        <v>20</v>
      </c>
    </row>
    <row r="12" spans="1:9" x14ac:dyDescent="0.2">
      <c r="A12" s="62">
        <v>4</v>
      </c>
      <c r="B12" s="61">
        <v>0</v>
      </c>
      <c r="C12" s="60">
        <f>B6*B12</f>
        <v>0</v>
      </c>
      <c r="F12" s="59">
        <f>B6/D6</f>
        <v>10</v>
      </c>
      <c r="G12" s="58">
        <f>(G11*D5*F5+(1-B11)*B5)/D6</f>
        <v>12.280000000056546</v>
      </c>
      <c r="H12" s="54" t="s">
        <v>2</v>
      </c>
      <c r="I12" s="57">
        <v>20</v>
      </c>
    </row>
    <row r="14" spans="1:9" x14ac:dyDescent="0.2">
      <c r="B14" s="56" t="s">
        <v>117</v>
      </c>
      <c r="C14" s="55">
        <f>SUMPRODUCT(C3:C6,C9:C12)*0.000001</f>
        <v>12599.999999966034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I12"/>
  <sheetViews>
    <sheetView zoomScale="160" zoomScaleNormal="160" workbookViewId="0">
      <selection activeCell="H13" sqref="H13"/>
    </sheetView>
  </sheetViews>
  <sheetFormatPr defaultRowHeight="15" x14ac:dyDescent="0.25"/>
  <cols>
    <col min="1" max="1" width="4.28515625" customWidth="1"/>
    <col min="2" max="2" width="7.5703125" customWidth="1"/>
    <col min="4" max="4" width="5.140625" customWidth="1"/>
    <col min="6" max="7" width="9.28515625" customWidth="1"/>
    <col min="8" max="8" width="2.85546875" customWidth="1"/>
  </cols>
  <sheetData>
    <row r="1" spans="1:9" x14ac:dyDescent="0.25">
      <c r="B1" s="1" t="s">
        <v>145</v>
      </c>
      <c r="C1" s="1" t="s">
        <v>144</v>
      </c>
      <c r="E1" t="s">
        <v>143</v>
      </c>
      <c r="F1" t="s">
        <v>142</v>
      </c>
      <c r="G1" s="1" t="s">
        <v>141</v>
      </c>
      <c r="I1" s="1" t="s">
        <v>140</v>
      </c>
    </row>
    <row r="2" spans="1:9" x14ac:dyDescent="0.25">
      <c r="A2" s="2" t="s">
        <v>139</v>
      </c>
      <c r="B2" s="1">
        <v>1</v>
      </c>
      <c r="C2" s="74">
        <v>1</v>
      </c>
      <c r="D2" s="2" t="s">
        <v>138</v>
      </c>
      <c r="E2" s="73">
        <v>10000000</v>
      </c>
      <c r="F2" s="52">
        <v>0.5</v>
      </c>
      <c r="G2" s="72">
        <f>B2*(1-C2)/E2*1000000000</f>
        <v>0</v>
      </c>
      <c r="H2" t="s">
        <v>2</v>
      </c>
      <c r="I2" s="71">
        <v>20</v>
      </c>
    </row>
    <row r="3" spans="1:9" x14ac:dyDescent="0.25">
      <c r="A3" s="2" t="s">
        <v>137</v>
      </c>
      <c r="B3" s="1">
        <v>2</v>
      </c>
      <c r="C3" s="74">
        <v>0.68571428583320082</v>
      </c>
      <c r="D3" s="2" t="s">
        <v>136</v>
      </c>
      <c r="E3" s="73">
        <v>50000000</v>
      </c>
      <c r="F3" s="52">
        <v>0.65</v>
      </c>
      <c r="G3" s="72">
        <f>B3*(1-C3)/E3*1000000000</f>
        <v>12.571428566671967</v>
      </c>
      <c r="H3" t="s">
        <v>2</v>
      </c>
      <c r="I3" s="71">
        <v>20</v>
      </c>
    </row>
    <row r="4" spans="1:9" x14ac:dyDescent="0.25">
      <c r="A4" s="2" t="s">
        <v>135</v>
      </c>
      <c r="B4" s="1">
        <v>4</v>
      </c>
      <c r="C4" s="74">
        <v>1</v>
      </c>
      <c r="D4" s="2" t="s">
        <v>134</v>
      </c>
      <c r="E4" s="73">
        <v>11000000</v>
      </c>
      <c r="F4" s="52">
        <v>0.4</v>
      </c>
      <c r="G4" s="72">
        <f>(G2*0.000000001*E2*(1-F2)+G3*0.000000001*E3*(1-F3)+B4*(1-C4))/E4*1000000000</f>
        <v>19.999999992432674</v>
      </c>
      <c r="H4" t="s">
        <v>2</v>
      </c>
      <c r="I4" s="71">
        <v>20</v>
      </c>
    </row>
    <row r="5" spans="1:9" x14ac:dyDescent="0.25">
      <c r="A5" s="2" t="s">
        <v>133</v>
      </c>
      <c r="B5" s="1">
        <v>2.5</v>
      </c>
      <c r="C5" s="74">
        <v>0.85279999998055445</v>
      </c>
      <c r="D5" s="2" t="s">
        <v>132</v>
      </c>
      <c r="E5" s="73">
        <v>25000000</v>
      </c>
      <c r="F5" s="52">
        <v>1</v>
      </c>
      <c r="G5" s="72">
        <f>(G4*0.000000001*E4*(1-F4)+B5*(1-C5))/E5*1000000000</f>
        <v>19.99999999994678</v>
      </c>
      <c r="H5" t="s">
        <v>2</v>
      </c>
      <c r="I5" s="71">
        <v>20</v>
      </c>
    </row>
    <row r="7" spans="1:9" x14ac:dyDescent="0.25">
      <c r="B7" t="s">
        <v>131</v>
      </c>
    </row>
    <row r="8" spans="1:9" x14ac:dyDescent="0.25">
      <c r="B8" s="70">
        <v>2000</v>
      </c>
      <c r="C8" s="17">
        <f>B8*B2*C2</f>
        <v>2000</v>
      </c>
    </row>
    <row r="9" spans="1:9" x14ac:dyDescent="0.25">
      <c r="B9" s="70">
        <v>2000</v>
      </c>
      <c r="C9" s="17">
        <f>B9*B3*C3</f>
        <v>2742.8571433328034</v>
      </c>
    </row>
    <row r="10" spans="1:9" x14ac:dyDescent="0.25">
      <c r="B10" s="70">
        <v>4000</v>
      </c>
      <c r="C10" s="17">
        <f>B10*B4*C4</f>
        <v>16000</v>
      </c>
    </row>
    <row r="11" spans="1:9" ht="15.75" thickBot="1" x14ac:dyDescent="0.3">
      <c r="B11" s="70">
        <v>4000</v>
      </c>
      <c r="C11" s="17">
        <f>B11*B5*C5</f>
        <v>8527.9999998055446</v>
      </c>
    </row>
    <row r="12" spans="1:9" x14ac:dyDescent="0.25">
      <c r="B12" s="69" t="s">
        <v>130</v>
      </c>
      <c r="C12" s="68">
        <f>SUM(C8:C11)</f>
        <v>29270.857143138346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I12"/>
  <sheetViews>
    <sheetView zoomScale="160" zoomScaleNormal="160" workbookViewId="0">
      <selection activeCell="H13" sqref="H13"/>
    </sheetView>
  </sheetViews>
  <sheetFormatPr defaultRowHeight="15" x14ac:dyDescent="0.25"/>
  <cols>
    <col min="1" max="1" width="4.28515625" customWidth="1"/>
    <col min="2" max="2" width="7.5703125" customWidth="1"/>
    <col min="4" max="4" width="5.140625" customWidth="1"/>
    <col min="6" max="7" width="9.28515625" customWidth="1"/>
    <col min="8" max="8" width="2.85546875" customWidth="1"/>
  </cols>
  <sheetData>
    <row r="1" spans="1:9" x14ac:dyDescent="0.25">
      <c r="B1" s="1" t="s">
        <v>145</v>
      </c>
      <c r="C1" s="1" t="s">
        <v>144</v>
      </c>
      <c r="E1" t="s">
        <v>143</v>
      </c>
      <c r="F1" t="s">
        <v>142</v>
      </c>
      <c r="G1" s="1" t="s">
        <v>141</v>
      </c>
      <c r="I1" s="1" t="s">
        <v>140</v>
      </c>
    </row>
    <row r="2" spans="1:9" x14ac:dyDescent="0.25">
      <c r="A2" s="2" t="s">
        <v>139</v>
      </c>
      <c r="B2" s="1">
        <v>1</v>
      </c>
      <c r="C2" s="74">
        <v>0.79999999999997795</v>
      </c>
      <c r="D2" s="2" t="s">
        <v>138</v>
      </c>
      <c r="E2" s="73">
        <v>10000000</v>
      </c>
      <c r="F2" s="52">
        <v>0.5</v>
      </c>
      <c r="G2" s="72">
        <f>B2*(1-C2)/E2*1000000000</f>
        <v>20.000000000002203</v>
      </c>
      <c r="H2" t="s">
        <v>2</v>
      </c>
      <c r="I2" s="71">
        <v>20</v>
      </c>
    </row>
    <row r="3" spans="1:9" x14ac:dyDescent="0.25">
      <c r="A3" s="2" t="s">
        <v>137</v>
      </c>
      <c r="B3" s="1">
        <v>2</v>
      </c>
      <c r="C3" s="74">
        <v>1</v>
      </c>
      <c r="D3" s="2" t="s">
        <v>136</v>
      </c>
      <c r="E3" s="73">
        <v>50000000</v>
      </c>
      <c r="F3" s="52">
        <v>0.35</v>
      </c>
      <c r="G3" s="72">
        <f>B3*(1-C3)/E3*1000000000</f>
        <v>0</v>
      </c>
      <c r="H3" t="s">
        <v>2</v>
      </c>
      <c r="I3" s="71">
        <v>20</v>
      </c>
    </row>
    <row r="4" spans="1:9" x14ac:dyDescent="0.25">
      <c r="A4" s="2" t="s">
        <v>135</v>
      </c>
      <c r="B4" s="1">
        <v>4</v>
      </c>
      <c r="C4" s="74">
        <v>0.97000000000007369</v>
      </c>
      <c r="D4" s="2" t="s">
        <v>134</v>
      </c>
      <c r="E4" s="73">
        <v>11000000</v>
      </c>
      <c r="F4" s="52">
        <v>0.6</v>
      </c>
      <c r="G4" s="72">
        <f>(G2*0.000000001*E2*(1-F2)+G3*0.000000001*E3*(1-F3)+B4*(1-C4))/E4*1000000000</f>
        <v>19.999999999974207</v>
      </c>
      <c r="H4" t="s">
        <v>2</v>
      </c>
      <c r="I4" s="71">
        <v>20</v>
      </c>
    </row>
    <row r="5" spans="1:9" x14ac:dyDescent="0.25">
      <c r="A5" s="2" t="s">
        <v>133</v>
      </c>
      <c r="B5" s="1">
        <v>2.5</v>
      </c>
      <c r="C5" s="74">
        <v>0.83519999999982208</v>
      </c>
      <c r="D5" s="2" t="s">
        <v>132</v>
      </c>
      <c r="E5" s="73">
        <v>25000000</v>
      </c>
      <c r="F5" s="52">
        <v>0</v>
      </c>
      <c r="G5" s="72">
        <f>(G4*0.000000001*E4*(1-F4)+B5*(1-C5))/E5*1000000000</f>
        <v>20.000000000013252</v>
      </c>
      <c r="H5" t="s">
        <v>2</v>
      </c>
      <c r="I5" s="71">
        <v>20</v>
      </c>
    </row>
    <row r="7" spans="1:9" x14ac:dyDescent="0.25">
      <c r="B7" t="s">
        <v>131</v>
      </c>
    </row>
    <row r="8" spans="1:9" x14ac:dyDescent="0.25">
      <c r="B8" s="70">
        <v>2000</v>
      </c>
      <c r="C8" s="17">
        <f>B8*B2*C2</f>
        <v>1599.9999999999559</v>
      </c>
    </row>
    <row r="9" spans="1:9" x14ac:dyDescent="0.25">
      <c r="B9" s="70">
        <v>2000</v>
      </c>
      <c r="C9" s="17">
        <f>B9*B3*C3</f>
        <v>4000</v>
      </c>
    </row>
    <row r="10" spans="1:9" x14ac:dyDescent="0.25">
      <c r="B10" s="70">
        <v>4000</v>
      </c>
      <c r="C10" s="17">
        <f>B10*B4*C4</f>
        <v>15520.000000001179</v>
      </c>
    </row>
    <row r="11" spans="1:9" ht="15.75" thickBot="1" x14ac:dyDescent="0.3">
      <c r="B11" s="70">
        <v>4000</v>
      </c>
      <c r="C11" s="17">
        <f>B11*B5*C5</f>
        <v>8351.999999998221</v>
      </c>
    </row>
    <row r="12" spans="1:9" x14ac:dyDescent="0.25">
      <c r="B12" s="69" t="s">
        <v>130</v>
      </c>
      <c r="C12" s="68">
        <f>SUM(C8:C11)</f>
        <v>29471.999999999356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K27"/>
  <sheetViews>
    <sheetView zoomScale="170" zoomScaleNormal="170" workbookViewId="0">
      <selection activeCell="C16" sqref="C16"/>
    </sheetView>
  </sheetViews>
  <sheetFormatPr defaultRowHeight="15" x14ac:dyDescent="0.25"/>
  <cols>
    <col min="1" max="1" width="11.42578125" customWidth="1"/>
    <col min="2" max="2" width="4.5703125" customWidth="1"/>
    <col min="3" max="3" width="10" customWidth="1"/>
    <col min="4" max="4" width="4.42578125" customWidth="1"/>
    <col min="5" max="5" width="10.140625" customWidth="1"/>
    <col min="9" max="9" width="9.28515625" customWidth="1"/>
    <col min="10" max="10" width="2.28515625" customWidth="1"/>
  </cols>
  <sheetData>
    <row r="1" spans="1:11" x14ac:dyDescent="0.25">
      <c r="A1" s="82" t="s">
        <v>161</v>
      </c>
      <c r="B1" s="82"/>
      <c r="C1" s="83" t="s">
        <v>160</v>
      </c>
      <c r="D1" s="83"/>
      <c r="E1" s="83" t="s">
        <v>159</v>
      </c>
      <c r="F1" s="83" t="s">
        <v>158</v>
      </c>
      <c r="I1" t="s">
        <v>157</v>
      </c>
    </row>
    <row r="2" spans="1:11" x14ac:dyDescent="0.25">
      <c r="A2" s="78">
        <v>5.1159076974727213E-10</v>
      </c>
      <c r="B2" s="82"/>
      <c r="C2" s="77" t="s">
        <v>155</v>
      </c>
      <c r="D2" s="77"/>
      <c r="E2" s="77" t="s">
        <v>154</v>
      </c>
      <c r="F2" s="76">
        <v>5</v>
      </c>
      <c r="H2" t="s">
        <v>155</v>
      </c>
      <c r="I2" s="80">
        <f t="array" ref="I2">SUM(($A$2:$A$21)*($C$2:$C$21=H2))-SUM(($A$2:$A$21)*($E$2:$E$21=H2))</f>
        <v>100.00000000014211</v>
      </c>
      <c r="J2" t="s">
        <v>3</v>
      </c>
      <c r="K2" s="79">
        <v>100</v>
      </c>
    </row>
    <row r="3" spans="1:11" x14ac:dyDescent="0.25">
      <c r="A3" s="78">
        <v>99.999999999630518</v>
      </c>
      <c r="B3" s="77"/>
      <c r="C3" s="77" t="s">
        <v>155</v>
      </c>
      <c r="D3" s="77"/>
      <c r="E3" s="77" t="s">
        <v>152</v>
      </c>
      <c r="F3" s="76">
        <v>13</v>
      </c>
      <c r="I3" s="81"/>
    </row>
    <row r="4" spans="1:11" x14ac:dyDescent="0.25">
      <c r="A4" s="78">
        <v>0</v>
      </c>
      <c r="B4" s="77"/>
      <c r="C4" s="77" t="s">
        <v>155</v>
      </c>
      <c r="D4" s="77"/>
      <c r="E4" s="77" t="s">
        <v>150</v>
      </c>
      <c r="F4" s="76">
        <v>45</v>
      </c>
      <c r="I4" s="81" t="s">
        <v>156</v>
      </c>
    </row>
    <row r="5" spans="1:11" x14ac:dyDescent="0.25">
      <c r="A5" s="78">
        <v>0</v>
      </c>
      <c r="B5" s="77"/>
      <c r="C5" s="77" t="s">
        <v>155</v>
      </c>
      <c r="D5" s="77"/>
      <c r="E5" s="77" t="s">
        <v>148</v>
      </c>
      <c r="F5" s="76">
        <v>105</v>
      </c>
      <c r="H5" t="s">
        <v>154</v>
      </c>
      <c r="I5" s="80">
        <f t="array" ref="I5">SUM(($A$2:$A$21)*($C$2:$C$21=H5))-SUM(($A$2:$A$21)*($E$2:$E$21=H5))</f>
        <v>-5.1159076974727213E-10</v>
      </c>
      <c r="J5" t="s">
        <v>3</v>
      </c>
      <c r="K5" s="79">
        <v>0</v>
      </c>
    </row>
    <row r="6" spans="1:11" x14ac:dyDescent="0.25">
      <c r="A6" s="78">
        <v>0</v>
      </c>
      <c r="B6" s="77"/>
      <c r="C6" s="77" t="s">
        <v>154</v>
      </c>
      <c r="D6" s="77"/>
      <c r="E6" s="77" t="s">
        <v>152</v>
      </c>
      <c r="F6" s="76">
        <v>27</v>
      </c>
      <c r="H6" t="s">
        <v>152</v>
      </c>
      <c r="I6" s="80">
        <f t="array" ref="I6">SUM(($A$2:$A$21)*($C$2:$C$21=H6))-SUM(($A$2:$A$21)*($E$2:$E$21=H6))</f>
        <v>4.4769876694772393E-10</v>
      </c>
      <c r="J6" t="s">
        <v>3</v>
      </c>
      <c r="K6" s="79">
        <v>0</v>
      </c>
    </row>
    <row r="7" spans="1:11" x14ac:dyDescent="0.25">
      <c r="A7" s="78">
        <v>0</v>
      </c>
      <c r="B7" s="77"/>
      <c r="C7" s="77" t="s">
        <v>154</v>
      </c>
      <c r="D7" s="77"/>
      <c r="E7" s="77" t="s">
        <v>151</v>
      </c>
      <c r="F7" s="76">
        <v>19</v>
      </c>
      <c r="H7" t="s">
        <v>151</v>
      </c>
      <c r="I7" s="80">
        <f t="array" ref="I7">SUM(($A$2:$A$21)*($C$2:$C$21=H7))-SUM(($A$2:$A$21)*($E$2:$E$21=H7))</f>
        <v>4.2291503632441163E-10</v>
      </c>
      <c r="J7" t="s">
        <v>3</v>
      </c>
      <c r="K7" s="79">
        <v>0</v>
      </c>
    </row>
    <row r="8" spans="1:11" x14ac:dyDescent="0.25">
      <c r="A8" s="78">
        <v>0</v>
      </c>
      <c r="B8" s="77"/>
      <c r="C8" s="77" t="s">
        <v>154</v>
      </c>
      <c r="D8" s="77"/>
      <c r="E8" s="77" t="s">
        <v>150</v>
      </c>
      <c r="F8" s="76">
        <v>50</v>
      </c>
      <c r="H8" t="s">
        <v>150</v>
      </c>
      <c r="I8" s="80">
        <f t="array" ref="I8">SUM(($A$2:$A$21)*($C$2:$C$21=H8))-SUM(($A$2:$A$21)*($E$2:$E$21=H8))</f>
        <v>-7.5947070854454068E-10</v>
      </c>
      <c r="J8" t="s">
        <v>3</v>
      </c>
      <c r="K8" s="79">
        <v>0</v>
      </c>
    </row>
    <row r="9" spans="1:11" x14ac:dyDescent="0.25">
      <c r="A9" s="78">
        <v>0</v>
      </c>
      <c r="B9" s="77"/>
      <c r="C9" s="77" t="s">
        <v>154</v>
      </c>
      <c r="D9" s="77"/>
      <c r="E9" s="77" t="s">
        <v>148</v>
      </c>
      <c r="F9" s="76">
        <v>95</v>
      </c>
      <c r="H9" t="s">
        <v>149</v>
      </c>
      <c r="I9" s="80">
        <f t="array" ref="I9">SUM(($A$2:$A$21)*($C$2:$C$21=H9))-SUM(($A$2:$A$21)*($E$2:$E$21=H9))</f>
        <v>1.3099565876473207E-10</v>
      </c>
      <c r="J9" t="s">
        <v>3</v>
      </c>
      <c r="K9" s="79">
        <v>0</v>
      </c>
    </row>
    <row r="10" spans="1:11" x14ac:dyDescent="0.25">
      <c r="A10" s="78">
        <v>0</v>
      </c>
      <c r="B10" s="77"/>
      <c r="C10" s="77" t="s">
        <v>152</v>
      </c>
      <c r="D10" s="77"/>
      <c r="E10" s="77" t="s">
        <v>151</v>
      </c>
      <c r="F10" s="76">
        <v>14</v>
      </c>
      <c r="I10" s="81"/>
    </row>
    <row r="11" spans="1:11" x14ac:dyDescent="0.25">
      <c r="A11" s="78">
        <v>7.5947070854454068E-10</v>
      </c>
      <c r="B11" s="77"/>
      <c r="C11" s="77" t="s">
        <v>152</v>
      </c>
      <c r="D11" s="77"/>
      <c r="E11" s="77" t="s">
        <v>150</v>
      </c>
      <c r="F11" s="76">
        <v>30</v>
      </c>
      <c r="I11" s="81" t="s">
        <v>153</v>
      </c>
    </row>
    <row r="12" spans="1:11" x14ac:dyDescent="0.25">
      <c r="A12" s="78">
        <v>99.999999999318746</v>
      </c>
      <c r="B12" s="77"/>
      <c r="C12" s="77" t="s">
        <v>152</v>
      </c>
      <c r="D12" s="77"/>
      <c r="E12" s="77" t="s">
        <v>149</v>
      </c>
      <c r="F12" s="76">
        <v>32</v>
      </c>
      <c r="H12" t="s">
        <v>148</v>
      </c>
      <c r="I12" s="80">
        <f t="array" ref="I12">-SUM(($A$2:$A$21)*($C$2:$C$21=H12))+SUM(($A$2:$A$21)*($E$2:$E$21=H12))</f>
        <v>99.999999999872657</v>
      </c>
      <c r="J12" t="s">
        <v>3</v>
      </c>
      <c r="K12" s="79">
        <v>100</v>
      </c>
    </row>
    <row r="13" spans="1:11" x14ac:dyDescent="0.25">
      <c r="A13" s="78">
        <v>0</v>
      </c>
      <c r="B13" s="77"/>
      <c r="C13" s="77" t="s">
        <v>151</v>
      </c>
      <c r="D13" s="77"/>
      <c r="E13" s="77" t="s">
        <v>152</v>
      </c>
      <c r="F13" s="76">
        <v>14</v>
      </c>
    </row>
    <row r="14" spans="1:11" x14ac:dyDescent="0.25">
      <c r="A14" s="78">
        <v>0</v>
      </c>
      <c r="B14" s="77"/>
      <c r="C14" s="77" t="s">
        <v>151</v>
      </c>
      <c r="D14" s="77"/>
      <c r="E14" s="77" t="s">
        <v>150</v>
      </c>
      <c r="F14" s="76">
        <v>35</v>
      </c>
    </row>
    <row r="15" spans="1:11" x14ac:dyDescent="0.25">
      <c r="A15" s="78">
        <v>4.2291503632441163E-10</v>
      </c>
      <c r="B15" s="77"/>
      <c r="C15" s="77" t="s">
        <v>151</v>
      </c>
      <c r="D15" s="77"/>
      <c r="E15" s="77" t="s">
        <v>149</v>
      </c>
      <c r="F15" s="76">
        <v>24</v>
      </c>
    </row>
    <row r="16" spans="1:11" x14ac:dyDescent="0.25">
      <c r="A16" s="78">
        <v>0</v>
      </c>
      <c r="B16" s="77"/>
      <c r="C16" s="77" t="s">
        <v>150</v>
      </c>
      <c r="D16" s="77"/>
      <c r="E16" s="77" t="s">
        <v>151</v>
      </c>
      <c r="F16" s="76">
        <v>35</v>
      </c>
    </row>
    <row r="17" spans="1:6" x14ac:dyDescent="0.25">
      <c r="A17" s="78">
        <v>0</v>
      </c>
      <c r="B17" s="77"/>
      <c r="C17" s="77" t="s">
        <v>150</v>
      </c>
      <c r="D17" s="77"/>
      <c r="E17" s="77" t="s">
        <v>149</v>
      </c>
      <c r="F17" s="76">
        <v>18</v>
      </c>
    </row>
    <row r="18" spans="1:6" x14ac:dyDescent="0.25">
      <c r="A18" s="78">
        <v>0</v>
      </c>
      <c r="B18" s="77"/>
      <c r="C18" s="77" t="s">
        <v>150</v>
      </c>
      <c r="D18" s="77"/>
      <c r="E18" s="77" t="s">
        <v>148</v>
      </c>
      <c r="F18" s="76">
        <v>25</v>
      </c>
    </row>
    <row r="19" spans="1:6" x14ac:dyDescent="0.25">
      <c r="A19" s="78">
        <v>0</v>
      </c>
      <c r="B19" s="77"/>
      <c r="C19" s="77" t="s">
        <v>149</v>
      </c>
      <c r="D19" s="77"/>
      <c r="E19" s="77" t="s">
        <v>151</v>
      </c>
      <c r="F19" s="76">
        <v>24</v>
      </c>
    </row>
    <row r="20" spans="1:6" x14ac:dyDescent="0.25">
      <c r="A20" s="78">
        <v>0</v>
      </c>
      <c r="B20" s="77"/>
      <c r="C20" s="77" t="s">
        <v>149</v>
      </c>
      <c r="D20" s="77"/>
      <c r="E20" s="77" t="s">
        <v>150</v>
      </c>
      <c r="F20" s="76">
        <v>18</v>
      </c>
    </row>
    <row r="21" spans="1:6" x14ac:dyDescent="0.25">
      <c r="A21" s="78">
        <v>99.999999999872657</v>
      </c>
      <c r="B21" s="77"/>
      <c r="C21" s="77" t="s">
        <v>149</v>
      </c>
      <c r="D21" s="77"/>
      <c r="E21" s="77" t="s">
        <v>148</v>
      </c>
      <c r="F21" s="76">
        <v>17</v>
      </c>
    </row>
    <row r="22" spans="1:6" x14ac:dyDescent="0.25">
      <c r="F22" s="17"/>
    </row>
    <row r="23" spans="1:6" x14ac:dyDescent="0.25">
      <c r="E23" s="2" t="s">
        <v>147</v>
      </c>
      <c r="F23" s="75">
        <f>SUMPRODUCT(A2:A21,F2:F21)</f>
        <v>6200.0000000067239</v>
      </c>
    </row>
    <row r="27" spans="1:6" x14ac:dyDescent="0.25">
      <c r="A27" t="s">
        <v>146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B5:N18"/>
  <sheetViews>
    <sheetView topLeftCell="A5" workbookViewId="0">
      <selection activeCell="I25" sqref="I25"/>
    </sheetView>
  </sheetViews>
  <sheetFormatPr defaultRowHeight="15" x14ac:dyDescent="0.25"/>
  <cols>
    <col min="2" max="2" width="3.85546875" customWidth="1"/>
    <col min="13" max="13" width="3" customWidth="1"/>
  </cols>
  <sheetData>
    <row r="5" spans="2:14" ht="15.75" thickBot="1" x14ac:dyDescent="0.3">
      <c r="B5" s="87"/>
      <c r="C5" s="113" t="s">
        <v>170</v>
      </c>
      <c r="D5" s="116" t="s">
        <v>180</v>
      </c>
      <c r="E5" s="116"/>
      <c r="F5" s="116" t="s">
        <v>179</v>
      </c>
      <c r="G5" s="115"/>
      <c r="H5" s="113" t="s">
        <v>178</v>
      </c>
      <c r="I5" s="114"/>
      <c r="J5" s="114" t="s">
        <v>177</v>
      </c>
      <c r="K5" s="114" t="s">
        <v>176</v>
      </c>
      <c r="L5" s="113" t="s">
        <v>170</v>
      </c>
      <c r="M5" s="114"/>
      <c r="N5" s="113" t="s">
        <v>175</v>
      </c>
    </row>
    <row r="6" spans="2:14" x14ac:dyDescent="0.25">
      <c r="B6" s="87"/>
      <c r="C6" s="112">
        <v>120.00000000008527</v>
      </c>
      <c r="D6" s="84">
        <v>1</v>
      </c>
      <c r="E6" s="102" t="s">
        <v>174</v>
      </c>
      <c r="F6" s="84">
        <v>2</v>
      </c>
      <c r="G6" s="102" t="s">
        <v>168</v>
      </c>
      <c r="H6" s="108">
        <v>30</v>
      </c>
      <c r="I6" s="102"/>
      <c r="J6" s="108">
        <v>1</v>
      </c>
      <c r="K6" s="107" t="s">
        <v>174</v>
      </c>
      <c r="L6" s="106">
        <f t="array" ref="L6">-SUM(($C$6:$C$16)*(J6=$F$6:$F$16))+SUM(($C$6:$C$16)*(J6=$D$6:$D$16))</f>
        <v>199.9999999973852</v>
      </c>
      <c r="M6" s="105" t="s">
        <v>2</v>
      </c>
      <c r="N6" s="104">
        <v>200</v>
      </c>
    </row>
    <row r="7" spans="2:14" ht="15.75" thickBot="1" x14ac:dyDescent="0.3">
      <c r="B7" s="87"/>
      <c r="C7" s="103">
        <v>79.999999997299938</v>
      </c>
      <c r="D7" s="84">
        <v>1</v>
      </c>
      <c r="E7" s="102" t="s">
        <v>174</v>
      </c>
      <c r="F7" s="84">
        <v>4</v>
      </c>
      <c r="G7" s="102" t="s">
        <v>166</v>
      </c>
      <c r="H7" s="101">
        <v>40</v>
      </c>
      <c r="I7" s="102"/>
      <c r="J7" s="94">
        <v>7</v>
      </c>
      <c r="K7" s="93" t="s">
        <v>173</v>
      </c>
      <c r="L7" s="92">
        <f t="array" ref="L7">-SUM(($C$6:$C$16)*(J7=$F$6:$F$16))+SUM(($C$6:$C$16)*(J7=$D$6:$D$16))</f>
        <v>279.99999999755573</v>
      </c>
      <c r="M7" s="91" t="s">
        <v>2</v>
      </c>
      <c r="N7" s="90">
        <v>300</v>
      </c>
    </row>
    <row r="8" spans="2:14" x14ac:dyDescent="0.25">
      <c r="B8" s="87"/>
      <c r="C8" s="103">
        <v>20.000000000085265</v>
      </c>
      <c r="D8" s="84">
        <v>2</v>
      </c>
      <c r="E8" s="102" t="s">
        <v>168</v>
      </c>
      <c r="F8" s="84">
        <v>3</v>
      </c>
      <c r="G8" s="102" t="s">
        <v>167</v>
      </c>
      <c r="H8" s="101">
        <v>50</v>
      </c>
      <c r="I8" s="102"/>
      <c r="J8" s="102"/>
      <c r="K8" s="111"/>
      <c r="L8" s="109" t="s">
        <v>172</v>
      </c>
      <c r="M8" s="102"/>
      <c r="N8" s="109"/>
    </row>
    <row r="9" spans="2:14" x14ac:dyDescent="0.25">
      <c r="B9" s="87"/>
      <c r="C9" s="103">
        <v>0</v>
      </c>
      <c r="D9" s="84">
        <v>3</v>
      </c>
      <c r="E9" s="102" t="s">
        <v>167</v>
      </c>
      <c r="F9" s="84">
        <v>5</v>
      </c>
      <c r="G9" s="102" t="s">
        <v>165</v>
      </c>
      <c r="H9" s="101">
        <v>35</v>
      </c>
      <c r="I9" s="102"/>
      <c r="J9" s="102"/>
      <c r="K9" s="111"/>
      <c r="L9" s="109"/>
      <c r="M9" s="102"/>
      <c r="N9" s="109"/>
    </row>
    <row r="10" spans="2:14" x14ac:dyDescent="0.25">
      <c r="B10" s="87"/>
      <c r="C10" s="103">
        <v>39.999999998649969</v>
      </c>
      <c r="D10" s="84">
        <v>5</v>
      </c>
      <c r="E10" s="102" t="s">
        <v>165</v>
      </c>
      <c r="F10" s="84">
        <v>3</v>
      </c>
      <c r="G10" s="102" t="s">
        <v>167</v>
      </c>
      <c r="H10" s="101">
        <v>40</v>
      </c>
      <c r="I10" s="102"/>
      <c r="J10" s="102"/>
      <c r="K10" s="111"/>
      <c r="L10" s="109"/>
      <c r="M10" s="102"/>
      <c r="N10" s="109"/>
    </row>
    <row r="11" spans="2:14" ht="15.75" thickBot="1" x14ac:dyDescent="0.3">
      <c r="B11" s="87"/>
      <c r="C11" s="103">
        <v>0</v>
      </c>
      <c r="D11" s="84">
        <v>5</v>
      </c>
      <c r="E11" s="102" t="s">
        <v>165</v>
      </c>
      <c r="F11" s="84">
        <v>4</v>
      </c>
      <c r="G11" s="102" t="s">
        <v>166</v>
      </c>
      <c r="H11" s="101">
        <v>30</v>
      </c>
      <c r="I11" s="102"/>
      <c r="J11" s="102"/>
      <c r="K11" s="110" t="s">
        <v>171</v>
      </c>
      <c r="L11" s="109" t="s">
        <v>170</v>
      </c>
      <c r="M11" s="102"/>
      <c r="N11" s="109" t="s">
        <v>169</v>
      </c>
    </row>
    <row r="12" spans="2:14" x14ac:dyDescent="0.25">
      <c r="B12" s="87"/>
      <c r="C12" s="103">
        <v>0</v>
      </c>
      <c r="D12" s="84">
        <v>5</v>
      </c>
      <c r="E12" s="102" t="s">
        <v>165</v>
      </c>
      <c r="F12" s="84">
        <v>6</v>
      </c>
      <c r="G12" s="102" t="s">
        <v>164</v>
      </c>
      <c r="H12" s="101">
        <v>35</v>
      </c>
      <c r="I12" s="102"/>
      <c r="J12" s="108">
        <v>2</v>
      </c>
      <c r="K12" s="107" t="s">
        <v>168</v>
      </c>
      <c r="L12" s="106">
        <f t="array" ref="L12">SUM(($C$6:$C$16)*(J12=$F$6:$F$16))-SUM(($C$6:$C$16)*(J12=$D$6:$D$16))</f>
        <v>100</v>
      </c>
      <c r="M12" s="105" t="s">
        <v>163</v>
      </c>
      <c r="N12" s="104">
        <v>100</v>
      </c>
    </row>
    <row r="13" spans="2:14" x14ac:dyDescent="0.25">
      <c r="B13" s="87"/>
      <c r="C13" s="103">
        <v>0</v>
      </c>
      <c r="D13" s="84">
        <v>6</v>
      </c>
      <c r="E13" s="102" t="s">
        <v>164</v>
      </c>
      <c r="F13" s="84">
        <v>5</v>
      </c>
      <c r="G13" s="102" t="s">
        <v>165</v>
      </c>
      <c r="H13" s="101">
        <v>25</v>
      </c>
      <c r="I13" s="102"/>
      <c r="J13" s="101">
        <v>3</v>
      </c>
      <c r="K13" s="100" t="s">
        <v>167</v>
      </c>
      <c r="L13" s="99">
        <f t="array" ref="L13">SUM(($C$6:$C$16)*(J13=$F$6:$F$16))-SUM(($C$6:$C$16)*(J13=$D$6:$D$16))</f>
        <v>59.999999998735234</v>
      </c>
      <c r="M13" s="95" t="s">
        <v>163</v>
      </c>
      <c r="N13" s="98">
        <v>60</v>
      </c>
    </row>
    <row r="14" spans="2:14" x14ac:dyDescent="0.25">
      <c r="B14" s="87"/>
      <c r="C14" s="103">
        <v>0</v>
      </c>
      <c r="D14" s="84">
        <v>7</v>
      </c>
      <c r="E14" s="102" t="s">
        <v>164</v>
      </c>
      <c r="F14" s="84">
        <v>4</v>
      </c>
      <c r="G14" s="102" t="s">
        <v>166</v>
      </c>
      <c r="H14" s="101">
        <v>50</v>
      </c>
      <c r="I14" s="102"/>
      <c r="J14" s="101">
        <v>4</v>
      </c>
      <c r="K14" s="100" t="s">
        <v>166</v>
      </c>
      <c r="L14" s="99">
        <f t="array" ref="L14">SUM(($C$6:$C$16)*(J14=$F$6:$F$16))-SUM(($C$6:$C$16)*(J14=$D$6:$D$16))</f>
        <v>79.999999997299938</v>
      </c>
      <c r="M14" s="95" t="s">
        <v>163</v>
      </c>
      <c r="N14" s="98">
        <v>80</v>
      </c>
    </row>
    <row r="15" spans="2:14" x14ac:dyDescent="0.25">
      <c r="B15" s="87"/>
      <c r="C15" s="103">
        <v>209.99999999982947</v>
      </c>
      <c r="D15" s="84">
        <v>7</v>
      </c>
      <c r="E15" s="102" t="s">
        <v>164</v>
      </c>
      <c r="F15" s="84">
        <v>5</v>
      </c>
      <c r="G15" s="102" t="s">
        <v>165</v>
      </c>
      <c r="H15" s="101">
        <v>45</v>
      </c>
      <c r="I15" s="102"/>
      <c r="J15" s="101">
        <v>5</v>
      </c>
      <c r="K15" s="100" t="s">
        <v>165</v>
      </c>
      <c r="L15" s="99">
        <f t="array" ref="L15">SUM(($C$6:$C$16)*(J15=$F$6:$F$16))-SUM(($C$6:$C$16)*(J15=$D$6:$D$16))</f>
        <v>170.0000000011795</v>
      </c>
      <c r="M15" s="95" t="s">
        <v>163</v>
      </c>
      <c r="N15" s="98">
        <v>170</v>
      </c>
    </row>
    <row r="16" spans="2:14" ht="15.75" thickBot="1" x14ac:dyDescent="0.3">
      <c r="B16" s="87"/>
      <c r="C16" s="97">
        <v>69.999999997726263</v>
      </c>
      <c r="D16" s="96">
        <v>7</v>
      </c>
      <c r="E16" s="91" t="s">
        <v>164</v>
      </c>
      <c r="F16" s="96">
        <v>6</v>
      </c>
      <c r="G16" s="91" t="s">
        <v>164</v>
      </c>
      <c r="H16" s="94">
        <v>50</v>
      </c>
      <c r="I16" s="95"/>
      <c r="J16" s="94">
        <v>6</v>
      </c>
      <c r="K16" s="93" t="s">
        <v>164</v>
      </c>
      <c r="L16" s="92">
        <f t="array" ref="L16">SUM(($C$6:$C$16)*(J16=$F$6:$F$16))-SUM(($C$6:$C$16)*(J16=$D$6:$D$16))</f>
        <v>69.999999997726263</v>
      </c>
      <c r="M16" s="91" t="s">
        <v>163</v>
      </c>
      <c r="N16" s="90">
        <v>70</v>
      </c>
    </row>
    <row r="17" spans="2:14" x14ac:dyDescent="0.25">
      <c r="B17" s="87"/>
      <c r="C17" s="89"/>
      <c r="D17" s="88"/>
      <c r="E17" s="89"/>
      <c r="F17" s="88"/>
      <c r="G17" s="89"/>
      <c r="H17" s="89"/>
      <c r="I17" s="89"/>
      <c r="J17" s="89"/>
      <c r="K17" s="89"/>
      <c r="L17" s="88" t="s">
        <v>162</v>
      </c>
      <c r="M17" s="89"/>
      <c r="N17" s="88"/>
    </row>
    <row r="18" spans="2:14" x14ac:dyDescent="0.25">
      <c r="B18" s="87"/>
      <c r="C18" s="85"/>
      <c r="D18" s="87"/>
      <c r="E18" s="87"/>
      <c r="F18" s="87"/>
      <c r="G18" s="85" t="s">
        <v>147</v>
      </c>
      <c r="H18" s="86">
        <f>SUMPRODUCT(C6:C16,H6:H16)</f>
        <v>22349.999999723455</v>
      </c>
      <c r="I18" s="85"/>
      <c r="J18" s="85"/>
      <c r="K18" s="85"/>
      <c r="L18" s="84"/>
      <c r="M18" s="85"/>
      <c r="N18" s="84"/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/>
  <dimension ref="B5:T22"/>
  <sheetViews>
    <sheetView workbookViewId="0">
      <selection activeCell="I25" sqref="I25"/>
    </sheetView>
  </sheetViews>
  <sheetFormatPr defaultRowHeight="15" x14ac:dyDescent="0.25"/>
  <cols>
    <col min="2" max="2" width="3.85546875" customWidth="1"/>
    <col min="13" max="13" width="3" customWidth="1"/>
  </cols>
  <sheetData>
    <row r="5" spans="2:20" ht="15.75" thickBot="1" x14ac:dyDescent="0.3">
      <c r="B5" s="87"/>
      <c r="C5" s="113" t="s">
        <v>170</v>
      </c>
      <c r="D5" s="116" t="s">
        <v>180</v>
      </c>
      <c r="E5" s="116"/>
      <c r="F5" s="116" t="s">
        <v>179</v>
      </c>
      <c r="G5" s="115"/>
      <c r="H5" s="113" t="s">
        <v>178</v>
      </c>
      <c r="I5" s="114"/>
      <c r="J5" s="114" t="s">
        <v>177</v>
      </c>
      <c r="K5" s="114" t="s">
        <v>176</v>
      </c>
      <c r="L5" s="113" t="s">
        <v>170</v>
      </c>
      <c r="M5" s="114"/>
      <c r="N5" s="113" t="s">
        <v>175</v>
      </c>
    </row>
    <row r="6" spans="2:20" x14ac:dyDescent="0.25">
      <c r="B6" s="87"/>
      <c r="C6" s="112">
        <v>120</v>
      </c>
      <c r="D6" s="84">
        <v>1</v>
      </c>
      <c r="E6" s="102" t="s">
        <v>174</v>
      </c>
      <c r="F6" s="84">
        <v>2</v>
      </c>
      <c r="G6" s="102" t="s">
        <v>168</v>
      </c>
      <c r="H6" s="108">
        <v>30</v>
      </c>
      <c r="I6" s="102"/>
      <c r="J6" s="108">
        <v>1</v>
      </c>
      <c r="K6" s="107" t="s">
        <v>174</v>
      </c>
      <c r="L6" s="106">
        <f t="array" ref="L6">-SUM(($C$6:$C$16)*(J6=$F$6:$F$16))+SUM(($C$6:$C$16)*(J6=$D$6:$D$16))</f>
        <v>200</v>
      </c>
      <c r="M6" s="105" t="s">
        <v>2</v>
      </c>
      <c r="N6" s="104">
        <f>200*(1+$P$8)</f>
        <v>200</v>
      </c>
    </row>
    <row r="7" spans="2:20" ht="15.75" thickBot="1" x14ac:dyDescent="0.3">
      <c r="B7" s="87"/>
      <c r="C7" s="103">
        <v>80</v>
      </c>
      <c r="D7" s="84">
        <v>1</v>
      </c>
      <c r="E7" s="102" t="s">
        <v>174</v>
      </c>
      <c r="F7" s="84">
        <v>4</v>
      </c>
      <c r="G7" s="102" t="s">
        <v>166</v>
      </c>
      <c r="H7" s="101">
        <v>40</v>
      </c>
      <c r="I7" s="102"/>
      <c r="J7" s="94">
        <v>7</v>
      </c>
      <c r="K7" s="93" t="s">
        <v>173</v>
      </c>
      <c r="L7" s="92">
        <f t="array" ref="L7">-SUM(($C$6:$C$16)*(J7=$F$6:$F$16))+SUM(($C$6:$C$16)*(J7=$D$6:$D$16))</f>
        <v>280</v>
      </c>
      <c r="M7" s="91" t="s">
        <v>2</v>
      </c>
      <c r="N7" s="90">
        <f>300*(1+$P$8)</f>
        <v>300</v>
      </c>
      <c r="P7" s="43" t="s">
        <v>185</v>
      </c>
      <c r="S7" s="1" t="s">
        <v>184</v>
      </c>
      <c r="T7" s="1" t="s">
        <v>183</v>
      </c>
    </row>
    <row r="8" spans="2:20" x14ac:dyDescent="0.25">
      <c r="B8" s="87"/>
      <c r="C8" s="103">
        <v>20</v>
      </c>
      <c r="D8" s="84">
        <v>2</v>
      </c>
      <c r="E8" s="102" t="s">
        <v>168</v>
      </c>
      <c r="F8" s="84">
        <v>3</v>
      </c>
      <c r="G8" s="102" t="s">
        <v>167</v>
      </c>
      <c r="H8" s="101">
        <v>50</v>
      </c>
      <c r="I8" s="102"/>
      <c r="J8" s="102"/>
      <c r="K8" s="111"/>
      <c r="L8" s="109" t="s">
        <v>182</v>
      </c>
      <c r="M8" s="102"/>
      <c r="N8" s="109">
        <f>SUM(N6:N7)</f>
        <v>500</v>
      </c>
      <c r="P8" s="52">
        <v>0</v>
      </c>
      <c r="R8" s="119">
        <v>-0.10000000149011612</v>
      </c>
      <c r="S8" s="125" t="s">
        <v>181</v>
      </c>
      <c r="T8" s="124"/>
    </row>
    <row r="9" spans="2:20" x14ac:dyDescent="0.25">
      <c r="B9" s="87"/>
      <c r="C9" s="103">
        <v>0</v>
      </c>
      <c r="D9" s="84">
        <v>3</v>
      </c>
      <c r="E9" s="102" t="s">
        <v>167</v>
      </c>
      <c r="F9" s="84">
        <v>5</v>
      </c>
      <c r="G9" s="102" t="s">
        <v>165</v>
      </c>
      <c r="H9" s="101">
        <v>35</v>
      </c>
      <c r="I9" s="102"/>
      <c r="J9" s="102"/>
      <c r="K9" s="111"/>
      <c r="L9" s="109"/>
      <c r="M9" s="102"/>
      <c r="N9" s="109"/>
      <c r="R9" s="119">
        <v>-5.000000074505806E-2</v>
      </c>
      <c r="S9" s="123" t="s">
        <v>181</v>
      </c>
      <c r="T9" s="122"/>
    </row>
    <row r="10" spans="2:20" x14ac:dyDescent="0.25">
      <c r="B10" s="87"/>
      <c r="C10" s="103">
        <v>40</v>
      </c>
      <c r="D10" s="84">
        <v>5</v>
      </c>
      <c r="E10" s="102" t="s">
        <v>165</v>
      </c>
      <c r="F10" s="84">
        <v>3</v>
      </c>
      <c r="G10" s="102" t="s">
        <v>167</v>
      </c>
      <c r="H10" s="101">
        <v>40</v>
      </c>
      <c r="I10" s="102"/>
      <c r="J10" s="102"/>
      <c r="K10" s="111"/>
      <c r="L10" s="109"/>
      <c r="M10" s="102"/>
      <c r="N10" s="109"/>
      <c r="R10" s="119">
        <v>0</v>
      </c>
      <c r="S10" s="121">
        <v>500</v>
      </c>
      <c r="T10" s="120">
        <v>22350.000000554814</v>
      </c>
    </row>
    <row r="11" spans="2:20" ht="15.75" thickBot="1" x14ac:dyDescent="0.3">
      <c r="B11" s="87"/>
      <c r="C11" s="103">
        <v>0</v>
      </c>
      <c r="D11" s="84">
        <v>5</v>
      </c>
      <c r="E11" s="102" t="s">
        <v>165</v>
      </c>
      <c r="F11" s="84">
        <v>4</v>
      </c>
      <c r="G11" s="102" t="s">
        <v>166</v>
      </c>
      <c r="H11" s="101">
        <v>30</v>
      </c>
      <c r="I11" s="102"/>
      <c r="J11" s="102"/>
      <c r="K11" s="110" t="s">
        <v>171</v>
      </c>
      <c r="L11" s="109" t="s">
        <v>170</v>
      </c>
      <c r="M11" s="102"/>
      <c r="N11" s="109" t="s">
        <v>169</v>
      </c>
      <c r="R11" s="119">
        <v>5.000000074505806E-2</v>
      </c>
      <c r="S11" s="121">
        <v>525.00000037252903</v>
      </c>
      <c r="T11" s="120">
        <v>22299.999999255786</v>
      </c>
    </row>
    <row r="12" spans="2:20" x14ac:dyDescent="0.25">
      <c r="B12" s="87"/>
      <c r="C12" s="103">
        <v>0</v>
      </c>
      <c r="D12" s="84">
        <v>5</v>
      </c>
      <c r="E12" s="102" t="s">
        <v>165</v>
      </c>
      <c r="F12" s="84">
        <v>6</v>
      </c>
      <c r="G12" s="102" t="s">
        <v>164</v>
      </c>
      <c r="H12" s="101">
        <v>35</v>
      </c>
      <c r="I12" s="102"/>
      <c r="J12" s="108">
        <v>2</v>
      </c>
      <c r="K12" s="107" t="s">
        <v>168</v>
      </c>
      <c r="L12" s="106">
        <f t="array" ref="L12">SUM(($C$6:$C$16)*(J12=$F$6:$F$16))-SUM(($C$6:$C$16)*(J12=$D$6:$D$16))</f>
        <v>100</v>
      </c>
      <c r="M12" s="105" t="s">
        <v>163</v>
      </c>
      <c r="N12" s="104">
        <v>100</v>
      </c>
      <c r="R12" s="119">
        <v>0.10000000149011612</v>
      </c>
      <c r="S12" s="121">
        <v>550.00000074505806</v>
      </c>
      <c r="T12" s="120">
        <v>22249.999998511015</v>
      </c>
    </row>
    <row r="13" spans="2:20" x14ac:dyDescent="0.25">
      <c r="B13" s="87"/>
      <c r="C13" s="103">
        <v>0</v>
      </c>
      <c r="D13" s="84">
        <v>6</v>
      </c>
      <c r="E13" s="102" t="s">
        <v>164</v>
      </c>
      <c r="F13" s="84">
        <v>5</v>
      </c>
      <c r="G13" s="102" t="s">
        <v>165</v>
      </c>
      <c r="H13" s="101">
        <v>25</v>
      </c>
      <c r="I13" s="102"/>
      <c r="J13" s="101">
        <v>3</v>
      </c>
      <c r="K13" s="100" t="s">
        <v>167</v>
      </c>
      <c r="L13" s="99">
        <f t="array" ref="L13">SUM(($C$6:$C$16)*(J13=$F$6:$F$16))-SUM(($C$6:$C$16)*(J13=$D$6:$D$16))</f>
        <v>60</v>
      </c>
      <c r="M13" s="95" t="s">
        <v>163</v>
      </c>
      <c r="N13" s="98">
        <v>60</v>
      </c>
      <c r="R13" s="119">
        <v>0.15000000596046448</v>
      </c>
      <c r="S13" s="121">
        <v>575.00000298023224</v>
      </c>
      <c r="T13" s="120">
        <v>22199.999994038426</v>
      </c>
    </row>
    <row r="14" spans="2:20" x14ac:dyDescent="0.25">
      <c r="B14" s="87"/>
      <c r="C14" s="103">
        <v>0</v>
      </c>
      <c r="D14" s="84">
        <v>7</v>
      </c>
      <c r="E14" s="102" t="s">
        <v>164</v>
      </c>
      <c r="F14" s="84">
        <v>4</v>
      </c>
      <c r="G14" s="102" t="s">
        <v>166</v>
      </c>
      <c r="H14" s="101">
        <v>50</v>
      </c>
      <c r="I14" s="102"/>
      <c r="J14" s="101">
        <v>4</v>
      </c>
      <c r="K14" s="100" t="s">
        <v>166</v>
      </c>
      <c r="L14" s="99">
        <f t="array" ref="L14">SUM(($C$6:$C$16)*(J14=$F$6:$F$16))-SUM(($C$6:$C$16)*(J14=$D$6:$D$16))</f>
        <v>80</v>
      </c>
      <c r="M14" s="95" t="s">
        <v>163</v>
      </c>
      <c r="N14" s="98">
        <v>80</v>
      </c>
      <c r="R14" s="119">
        <v>0.20000000298023224</v>
      </c>
      <c r="S14" s="121">
        <v>600.00000149011612</v>
      </c>
      <c r="T14" s="120">
        <v>22150.000000007833</v>
      </c>
    </row>
    <row r="15" spans="2:20" x14ac:dyDescent="0.25">
      <c r="B15" s="87"/>
      <c r="C15" s="103">
        <v>210</v>
      </c>
      <c r="D15" s="84">
        <v>7</v>
      </c>
      <c r="E15" s="102" t="s">
        <v>164</v>
      </c>
      <c r="F15" s="84">
        <v>5</v>
      </c>
      <c r="G15" s="102" t="s">
        <v>165</v>
      </c>
      <c r="H15" s="101">
        <v>45</v>
      </c>
      <c r="I15" s="102"/>
      <c r="J15" s="101">
        <v>5</v>
      </c>
      <c r="K15" s="100" t="s">
        <v>165</v>
      </c>
      <c r="L15" s="99">
        <f t="array" ref="L15">SUM(($C$6:$C$16)*(J15=$F$6:$F$16))-SUM(($C$6:$C$16)*(J15=$D$6:$D$16))</f>
        <v>170</v>
      </c>
      <c r="M15" s="95" t="s">
        <v>163</v>
      </c>
      <c r="N15" s="98">
        <v>170</v>
      </c>
      <c r="R15" s="119">
        <v>0.25</v>
      </c>
      <c r="S15" s="121">
        <v>625</v>
      </c>
      <c r="T15" s="120">
        <v>22150</v>
      </c>
    </row>
    <row r="16" spans="2:20" ht="15.75" thickBot="1" x14ac:dyDescent="0.3">
      <c r="B16" s="87"/>
      <c r="C16" s="97">
        <v>70</v>
      </c>
      <c r="D16" s="96">
        <v>7</v>
      </c>
      <c r="E16" s="91" t="s">
        <v>164</v>
      </c>
      <c r="F16" s="96">
        <v>6</v>
      </c>
      <c r="G16" s="91" t="s">
        <v>164</v>
      </c>
      <c r="H16" s="94">
        <v>50</v>
      </c>
      <c r="I16" s="95"/>
      <c r="J16" s="94">
        <v>6</v>
      </c>
      <c r="K16" s="93" t="s">
        <v>164</v>
      </c>
      <c r="L16" s="92">
        <f t="array" ref="L16">SUM(($C$6:$C$16)*(J16=$F$6:$F$16))-SUM(($C$6:$C$16)*(J16=$D$6:$D$16))</f>
        <v>70</v>
      </c>
      <c r="M16" s="91" t="s">
        <v>163</v>
      </c>
      <c r="N16" s="90">
        <v>70</v>
      </c>
      <c r="R16" s="119">
        <v>0.30000001192092896</v>
      </c>
      <c r="S16" s="121">
        <v>650.00000596046448</v>
      </c>
      <c r="T16" s="120">
        <v>22150</v>
      </c>
    </row>
    <row r="17" spans="2:20" x14ac:dyDescent="0.25">
      <c r="B17" s="87"/>
      <c r="C17" s="89"/>
      <c r="D17" s="88"/>
      <c r="E17" s="89"/>
      <c r="F17" s="88"/>
      <c r="G17" s="89"/>
      <c r="H17" s="89"/>
      <c r="I17" s="89"/>
      <c r="J17" s="89"/>
      <c r="K17" s="89"/>
      <c r="L17" s="88" t="s">
        <v>162</v>
      </c>
      <c r="M17" s="89"/>
      <c r="N17" s="88">
        <f>SUM(N12:N16)</f>
        <v>480</v>
      </c>
      <c r="R17" s="119">
        <v>0.34999999403953552</v>
      </c>
      <c r="S17" s="121">
        <v>674.99999701976776</v>
      </c>
      <c r="T17" s="120">
        <v>22150</v>
      </c>
    </row>
    <row r="18" spans="2:20" x14ac:dyDescent="0.25">
      <c r="B18" s="87"/>
      <c r="C18" s="85"/>
      <c r="D18" s="87"/>
      <c r="E18" s="87"/>
      <c r="F18" s="87"/>
      <c r="G18" s="85" t="s">
        <v>147</v>
      </c>
      <c r="H18" s="86">
        <f>SUMPRODUCT(C6:C16,H6:H16)</f>
        <v>22350</v>
      </c>
      <c r="I18" s="85"/>
      <c r="J18" s="85"/>
      <c r="K18" s="85"/>
      <c r="L18" s="84"/>
      <c r="M18" s="85"/>
      <c r="N18" s="84"/>
      <c r="R18" s="119">
        <v>0.40000000596046448</v>
      </c>
      <c r="S18" s="121">
        <v>700.00000298023224</v>
      </c>
      <c r="T18" s="120">
        <v>22150</v>
      </c>
    </row>
    <row r="19" spans="2:20" x14ac:dyDescent="0.25">
      <c r="R19" s="119">
        <v>0.45000001788139343</v>
      </c>
      <c r="S19" s="121">
        <v>725.00000894069672</v>
      </c>
      <c r="T19" s="120">
        <v>22150</v>
      </c>
    </row>
    <row r="20" spans="2:20" x14ac:dyDescent="0.25">
      <c r="R20" s="119">
        <v>0.5</v>
      </c>
      <c r="S20" s="121">
        <v>750</v>
      </c>
      <c r="T20" s="120">
        <v>22150</v>
      </c>
    </row>
    <row r="21" spans="2:20" x14ac:dyDescent="0.25">
      <c r="R21" s="119">
        <v>0.55000001192092896</v>
      </c>
      <c r="S21" s="121">
        <v>775.00000596046448</v>
      </c>
      <c r="T21" s="120">
        <v>22150</v>
      </c>
    </row>
    <row r="22" spans="2:20" x14ac:dyDescent="0.25">
      <c r="R22" s="119">
        <v>0.60000002384185791</v>
      </c>
      <c r="S22" s="118">
        <v>800.00001192092896</v>
      </c>
      <c r="T22" s="117">
        <v>22150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2"/>
  <dimension ref="A5:P33"/>
  <sheetViews>
    <sheetView topLeftCell="A4" workbookViewId="0">
      <selection activeCell="I25" sqref="I25"/>
    </sheetView>
  </sheetViews>
  <sheetFormatPr defaultRowHeight="15" x14ac:dyDescent="0.25"/>
  <cols>
    <col min="1" max="1" width="3.85546875" customWidth="1"/>
    <col min="13" max="13" width="3" customWidth="1"/>
  </cols>
  <sheetData>
    <row r="5" spans="1:16" ht="15.75" thickBot="1" x14ac:dyDescent="0.3">
      <c r="A5" s="87"/>
      <c r="B5" s="113" t="s">
        <v>170</v>
      </c>
      <c r="C5" s="116" t="s">
        <v>180</v>
      </c>
      <c r="D5" s="116"/>
      <c r="E5" s="116" t="s">
        <v>179</v>
      </c>
      <c r="F5" s="115"/>
      <c r="G5" s="113" t="s">
        <v>178</v>
      </c>
      <c r="H5" s="113" t="s">
        <v>190</v>
      </c>
      <c r="I5" s="114"/>
      <c r="J5" s="114" t="s">
        <v>177</v>
      </c>
      <c r="K5" s="114" t="s">
        <v>176</v>
      </c>
      <c r="L5" s="113" t="s">
        <v>170</v>
      </c>
      <c r="M5" s="114"/>
      <c r="N5" s="113" t="s">
        <v>175</v>
      </c>
    </row>
    <row r="6" spans="1:16" x14ac:dyDescent="0.25">
      <c r="A6" s="87"/>
      <c r="B6" s="112">
        <v>150</v>
      </c>
      <c r="C6" s="84">
        <v>1</v>
      </c>
      <c r="D6" s="102" t="s">
        <v>174</v>
      </c>
      <c r="E6" s="84">
        <v>2</v>
      </c>
      <c r="F6" s="102" t="s">
        <v>168</v>
      </c>
      <c r="G6" s="108">
        <v>30</v>
      </c>
      <c r="H6" s="108">
        <f t="shared" ref="H6:H16" si="0">IF(B6&gt;=Fluxo_Máximo,1,0)</f>
        <v>0</v>
      </c>
      <c r="I6" s="102"/>
      <c r="J6" s="108">
        <v>1</v>
      </c>
      <c r="K6" s="107" t="s">
        <v>174</v>
      </c>
      <c r="L6" s="106">
        <f t="array" ref="L6">-SUM(($B$6:$B$16)*(J6=$E$6:$E$16))+SUM(($B$6:$B$16)*(J6=$C$6:$C$16))</f>
        <v>200</v>
      </c>
      <c r="M6" s="105" t="s">
        <v>2</v>
      </c>
      <c r="N6" s="104">
        <f>200*(1+$P$8)</f>
        <v>200</v>
      </c>
    </row>
    <row r="7" spans="1:16" ht="15.75" thickBot="1" x14ac:dyDescent="0.3">
      <c r="A7" s="87"/>
      <c r="B7" s="103">
        <v>50</v>
      </c>
      <c r="C7" s="84">
        <v>1</v>
      </c>
      <c r="D7" s="102" t="s">
        <v>174</v>
      </c>
      <c r="E7" s="84">
        <v>4</v>
      </c>
      <c r="F7" s="102" t="s">
        <v>166</v>
      </c>
      <c r="G7" s="101">
        <v>40</v>
      </c>
      <c r="H7" s="101">
        <f t="shared" si="0"/>
        <v>0</v>
      </c>
      <c r="I7" s="102"/>
      <c r="J7" s="94">
        <v>7</v>
      </c>
      <c r="K7" s="93" t="s">
        <v>173</v>
      </c>
      <c r="L7" s="92">
        <f t="array" ref="L7">-SUM(($B$6:$B$16)*(J7=$E$6:$E$16))+SUM(($B$6:$B$16)*(J7=$C$6:$C$16))</f>
        <v>280</v>
      </c>
      <c r="M7" s="91" t="s">
        <v>2</v>
      </c>
      <c r="N7" s="90">
        <f>300*(1+$P$8)</f>
        <v>300</v>
      </c>
      <c r="P7" s="43" t="s">
        <v>185</v>
      </c>
    </row>
    <row r="8" spans="1:16" x14ac:dyDescent="0.25">
      <c r="A8" s="87"/>
      <c r="B8" s="103">
        <v>50</v>
      </c>
      <c r="C8" s="84">
        <v>2</v>
      </c>
      <c r="D8" s="102" t="s">
        <v>168</v>
      </c>
      <c r="E8" s="84">
        <v>3</v>
      </c>
      <c r="F8" s="102" t="s">
        <v>167</v>
      </c>
      <c r="G8" s="101">
        <v>50</v>
      </c>
      <c r="H8" s="101">
        <f t="shared" si="0"/>
        <v>0</v>
      </c>
      <c r="I8" s="102"/>
      <c r="J8" s="102"/>
      <c r="K8" s="111"/>
      <c r="L8" s="109" t="s">
        <v>182</v>
      </c>
      <c r="M8" s="102"/>
      <c r="N8" s="109">
        <f>SUM(N6:N7)</f>
        <v>500</v>
      </c>
      <c r="P8" s="52">
        <v>0</v>
      </c>
    </row>
    <row r="9" spans="1:16" x14ac:dyDescent="0.25">
      <c r="A9" s="87"/>
      <c r="B9" s="103">
        <v>0</v>
      </c>
      <c r="C9" s="84">
        <v>3</v>
      </c>
      <c r="D9" s="102" t="s">
        <v>167</v>
      </c>
      <c r="E9" s="84">
        <v>5</v>
      </c>
      <c r="F9" s="102" t="s">
        <v>165</v>
      </c>
      <c r="G9" s="101">
        <v>35</v>
      </c>
      <c r="H9" s="101">
        <f t="shared" si="0"/>
        <v>0</v>
      </c>
      <c r="I9" s="102"/>
      <c r="J9" s="102"/>
      <c r="K9" s="111"/>
      <c r="L9" s="109"/>
      <c r="M9" s="102"/>
      <c r="N9" s="109"/>
    </row>
    <row r="10" spans="1:16" x14ac:dyDescent="0.25">
      <c r="A10" s="87"/>
      <c r="B10" s="103">
        <v>10</v>
      </c>
      <c r="C10" s="84">
        <v>5</v>
      </c>
      <c r="D10" s="102" t="s">
        <v>165</v>
      </c>
      <c r="E10" s="84">
        <v>3</v>
      </c>
      <c r="F10" s="102" t="s">
        <v>167</v>
      </c>
      <c r="G10" s="101">
        <v>40</v>
      </c>
      <c r="H10" s="101">
        <f t="shared" si="0"/>
        <v>0</v>
      </c>
      <c r="I10" s="102"/>
      <c r="J10" s="102"/>
      <c r="K10" s="111"/>
      <c r="L10" s="109"/>
      <c r="M10" s="102"/>
      <c r="N10" s="109"/>
      <c r="P10" t="s">
        <v>189</v>
      </c>
    </row>
    <row r="11" spans="1:16" ht="15.75" thickBot="1" x14ac:dyDescent="0.3">
      <c r="A11" s="87"/>
      <c r="B11" s="103">
        <v>0</v>
      </c>
      <c r="C11" s="84">
        <v>5</v>
      </c>
      <c r="D11" s="102" t="s">
        <v>165</v>
      </c>
      <c r="E11" s="84">
        <v>4</v>
      </c>
      <c r="F11" s="102" t="s">
        <v>166</v>
      </c>
      <c r="G11" s="101">
        <v>30</v>
      </c>
      <c r="H11" s="101">
        <f t="shared" si="0"/>
        <v>0</v>
      </c>
      <c r="I11" s="102"/>
      <c r="J11" s="102"/>
      <c r="K11" s="110" t="s">
        <v>171</v>
      </c>
      <c r="L11" s="109" t="s">
        <v>170</v>
      </c>
      <c r="M11" s="102"/>
      <c r="N11" s="109" t="s">
        <v>169</v>
      </c>
      <c r="P11">
        <v>180</v>
      </c>
    </row>
    <row r="12" spans="1:16" x14ac:dyDescent="0.25">
      <c r="A12" s="87"/>
      <c r="B12" s="103">
        <v>0</v>
      </c>
      <c r="C12" s="84">
        <v>5</v>
      </c>
      <c r="D12" s="102" t="s">
        <v>165</v>
      </c>
      <c r="E12" s="84">
        <v>6</v>
      </c>
      <c r="F12" s="102" t="s">
        <v>164</v>
      </c>
      <c r="G12" s="101">
        <v>35</v>
      </c>
      <c r="H12" s="101">
        <f t="shared" si="0"/>
        <v>0</v>
      </c>
      <c r="I12" s="102"/>
      <c r="J12" s="108">
        <v>2</v>
      </c>
      <c r="K12" s="107" t="s">
        <v>168</v>
      </c>
      <c r="L12" s="106">
        <f t="array" ref="L12">SUM(($B$6:$B$16)*(J12=$E$6:$E$16))-SUM(($B$6:$B$16)*(J12=$C$6:$C$16))</f>
        <v>100</v>
      </c>
      <c r="M12" s="105" t="s">
        <v>163</v>
      </c>
      <c r="N12" s="104">
        <v>100</v>
      </c>
    </row>
    <row r="13" spans="1:16" x14ac:dyDescent="0.25">
      <c r="A13" s="87"/>
      <c r="B13" s="103">
        <v>0</v>
      </c>
      <c r="C13" s="84">
        <v>6</v>
      </c>
      <c r="D13" s="102" t="s">
        <v>164</v>
      </c>
      <c r="E13" s="84">
        <v>5</v>
      </c>
      <c r="F13" s="102" t="s">
        <v>165</v>
      </c>
      <c r="G13" s="101">
        <v>25</v>
      </c>
      <c r="H13" s="101">
        <f t="shared" si="0"/>
        <v>0</v>
      </c>
      <c r="I13" s="102"/>
      <c r="J13" s="101">
        <v>3</v>
      </c>
      <c r="K13" s="100" t="s">
        <v>167</v>
      </c>
      <c r="L13" s="99">
        <f t="array" ref="L13">SUM(($B$6:$B$16)*(J13=$E$6:$E$16))-SUM(($B$6:$B$16)*(J13=$C$6:$C$16))</f>
        <v>60</v>
      </c>
      <c r="M13" s="95" t="s">
        <v>163</v>
      </c>
      <c r="N13" s="98">
        <v>60</v>
      </c>
    </row>
    <row r="14" spans="1:16" x14ac:dyDescent="0.25">
      <c r="A14" s="87"/>
      <c r="B14" s="103">
        <v>30</v>
      </c>
      <c r="C14" s="84">
        <v>7</v>
      </c>
      <c r="D14" s="102" t="s">
        <v>164</v>
      </c>
      <c r="E14" s="84">
        <v>4</v>
      </c>
      <c r="F14" s="102" t="s">
        <v>166</v>
      </c>
      <c r="G14" s="101">
        <v>50</v>
      </c>
      <c r="H14" s="101">
        <f t="shared" si="0"/>
        <v>0</v>
      </c>
      <c r="I14" s="102"/>
      <c r="J14" s="101">
        <v>4</v>
      </c>
      <c r="K14" s="100" t="s">
        <v>166</v>
      </c>
      <c r="L14" s="99">
        <f t="array" ref="L14">SUM(($B$6:$B$16)*(J14=$E$6:$E$16))-SUM(($B$6:$B$16)*(J14=$C$6:$C$16))</f>
        <v>80</v>
      </c>
      <c r="M14" s="95" t="s">
        <v>163</v>
      </c>
      <c r="N14" s="98">
        <v>80</v>
      </c>
    </row>
    <row r="15" spans="1:16" x14ac:dyDescent="0.25">
      <c r="A15" s="87"/>
      <c r="B15" s="103">
        <v>180</v>
      </c>
      <c r="C15" s="84">
        <v>7</v>
      </c>
      <c r="D15" s="102" t="s">
        <v>164</v>
      </c>
      <c r="E15" s="84">
        <v>5</v>
      </c>
      <c r="F15" s="102" t="s">
        <v>165</v>
      </c>
      <c r="G15" s="101">
        <v>45</v>
      </c>
      <c r="H15" s="101">
        <f t="shared" si="0"/>
        <v>0</v>
      </c>
      <c r="I15" s="102"/>
      <c r="J15" s="101">
        <v>5</v>
      </c>
      <c r="K15" s="100" t="s">
        <v>165</v>
      </c>
      <c r="L15" s="99">
        <f t="array" ref="L15">SUM(($B$6:$B$16)*(J15=$E$6:$E$16))-SUM(($B$6:$B$16)*(J15=$C$6:$C$16))</f>
        <v>170</v>
      </c>
      <c r="M15" s="95" t="s">
        <v>163</v>
      </c>
      <c r="N15" s="98">
        <v>170</v>
      </c>
    </row>
    <row r="16" spans="1:16" ht="15.75" thickBot="1" x14ac:dyDescent="0.3">
      <c r="A16" s="87"/>
      <c r="B16" s="97">
        <v>70</v>
      </c>
      <c r="C16" s="96">
        <v>7</v>
      </c>
      <c r="D16" s="91" t="s">
        <v>164</v>
      </c>
      <c r="E16" s="96">
        <v>6</v>
      </c>
      <c r="F16" s="91" t="s">
        <v>164</v>
      </c>
      <c r="G16" s="94">
        <v>50</v>
      </c>
      <c r="H16" s="94">
        <f t="shared" si="0"/>
        <v>0</v>
      </c>
      <c r="I16" s="95"/>
      <c r="J16" s="94">
        <v>6</v>
      </c>
      <c r="K16" s="93" t="s">
        <v>164</v>
      </c>
      <c r="L16" s="92">
        <f t="array" ref="L16">SUM(($B$6:$B$16)*(J16=$E$6:$E$16))-SUM(($B$6:$B$16)*(J16=$C$6:$C$16))</f>
        <v>70</v>
      </c>
      <c r="M16" s="91" t="s">
        <v>163</v>
      </c>
      <c r="N16" s="90">
        <v>70</v>
      </c>
    </row>
    <row r="17" spans="1:14" x14ac:dyDescent="0.25">
      <c r="A17" s="87"/>
      <c r="B17" s="89"/>
      <c r="C17" s="88"/>
      <c r="D17" s="89"/>
      <c r="E17" s="88"/>
      <c r="F17" s="89"/>
      <c r="G17" s="133" t="s">
        <v>188</v>
      </c>
      <c r="H17" s="88">
        <f>SUM(H6:H16)</f>
        <v>0</v>
      </c>
      <c r="I17" s="89"/>
      <c r="J17" s="89"/>
      <c r="K17" s="89"/>
      <c r="L17" s="88" t="s">
        <v>162</v>
      </c>
      <c r="M17" s="89"/>
      <c r="N17" s="88">
        <f>SUM(N12:N16)</f>
        <v>480</v>
      </c>
    </row>
    <row r="18" spans="1:14" x14ac:dyDescent="0.25">
      <c r="A18" s="87"/>
      <c r="B18" s="85"/>
      <c r="C18" s="87"/>
      <c r="D18" s="87"/>
      <c r="E18" s="87"/>
      <c r="F18" s="85" t="s">
        <v>147</v>
      </c>
      <c r="G18" s="86">
        <f>SUMPRODUCT(B6:B16,G6:G16)</f>
        <v>22500</v>
      </c>
      <c r="I18" s="85"/>
      <c r="J18" s="85"/>
      <c r="K18" s="85"/>
      <c r="L18" s="84"/>
      <c r="M18" s="85"/>
      <c r="N18" s="84"/>
    </row>
    <row r="20" spans="1:14" x14ac:dyDescent="0.25">
      <c r="E20" s="132" t="s">
        <v>187</v>
      </c>
      <c r="F20" s="132" t="s">
        <v>186</v>
      </c>
      <c r="G20" s="131" t="s">
        <v>183</v>
      </c>
    </row>
    <row r="21" spans="1:14" x14ac:dyDescent="0.25">
      <c r="E21" s="127">
        <v>120</v>
      </c>
      <c r="F21" s="130"/>
      <c r="G21" s="124"/>
    </row>
    <row r="22" spans="1:14" x14ac:dyDescent="0.25">
      <c r="E22" s="127">
        <v>130</v>
      </c>
      <c r="F22" s="129"/>
      <c r="G22" s="122"/>
    </row>
    <row r="23" spans="1:14" x14ac:dyDescent="0.25">
      <c r="E23" s="127">
        <v>140</v>
      </c>
      <c r="F23" s="128">
        <v>2</v>
      </c>
      <c r="G23" s="120">
        <v>23950.000000005864</v>
      </c>
    </row>
    <row r="24" spans="1:14" x14ac:dyDescent="0.25">
      <c r="E24" s="127">
        <v>150</v>
      </c>
      <c r="F24" s="128">
        <v>2</v>
      </c>
      <c r="G24" s="120">
        <v>23400.000000004107</v>
      </c>
    </row>
    <row r="25" spans="1:14" x14ac:dyDescent="0.25">
      <c r="E25" s="127">
        <v>160</v>
      </c>
      <c r="F25" s="128">
        <v>2</v>
      </c>
      <c r="G25" s="120">
        <v>22850.000000004307</v>
      </c>
    </row>
    <row r="26" spans="1:14" x14ac:dyDescent="0.25">
      <c r="E26" s="127">
        <v>170</v>
      </c>
      <c r="F26" s="128">
        <v>1</v>
      </c>
      <c r="G26" s="120">
        <v>22550.000000001324</v>
      </c>
    </row>
    <row r="27" spans="1:14" x14ac:dyDescent="0.25">
      <c r="E27" s="127">
        <v>180</v>
      </c>
      <c r="F27" s="128">
        <v>1</v>
      </c>
      <c r="G27" s="120">
        <v>22499.999999986463</v>
      </c>
    </row>
    <row r="28" spans="1:14" x14ac:dyDescent="0.25">
      <c r="E28" s="127">
        <v>190</v>
      </c>
      <c r="F28" s="128">
        <v>1</v>
      </c>
      <c r="G28" s="120">
        <v>22449.999999993372</v>
      </c>
    </row>
    <row r="29" spans="1:14" x14ac:dyDescent="0.25">
      <c r="E29" s="127">
        <v>200</v>
      </c>
      <c r="F29" s="128">
        <v>1</v>
      </c>
      <c r="G29" s="120">
        <v>22400.000000005755</v>
      </c>
    </row>
    <row r="30" spans="1:14" x14ac:dyDescent="0.25">
      <c r="E30" s="127">
        <v>210</v>
      </c>
      <c r="F30" s="128">
        <v>0</v>
      </c>
      <c r="G30" s="120">
        <v>22349.999999994936</v>
      </c>
    </row>
    <row r="31" spans="1:14" x14ac:dyDescent="0.25">
      <c r="E31" s="127">
        <v>220</v>
      </c>
      <c r="F31" s="128">
        <v>0</v>
      </c>
      <c r="G31" s="120">
        <v>22350</v>
      </c>
    </row>
    <row r="32" spans="1:14" x14ac:dyDescent="0.25">
      <c r="E32" s="127">
        <v>230</v>
      </c>
      <c r="F32" s="126">
        <v>0</v>
      </c>
      <c r="G32" s="117">
        <v>22350</v>
      </c>
    </row>
    <row r="33" spans="5:7" x14ac:dyDescent="0.25">
      <c r="E33" s="127">
        <v>220</v>
      </c>
      <c r="F33" s="126">
        <v>0</v>
      </c>
      <c r="G33" s="117">
        <v>22350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5:V18"/>
  <sheetViews>
    <sheetView workbookViewId="0">
      <selection activeCell="I18" sqref="I18"/>
    </sheetView>
  </sheetViews>
  <sheetFormatPr defaultRowHeight="15" x14ac:dyDescent="0.25"/>
  <cols>
    <col min="1" max="1" width="3.85546875" customWidth="1"/>
    <col min="15" max="15" width="3" customWidth="1"/>
    <col min="17" max="17" width="3" style="13" customWidth="1"/>
    <col min="19" max="19" width="3" customWidth="1"/>
  </cols>
  <sheetData>
    <row r="5" spans="1:22" ht="15.75" thickBot="1" x14ac:dyDescent="0.3">
      <c r="A5" s="87"/>
      <c r="B5" s="113" t="s">
        <v>194</v>
      </c>
      <c r="C5" s="96" t="s">
        <v>192</v>
      </c>
      <c r="D5" s="96" t="s">
        <v>197</v>
      </c>
      <c r="E5" s="116" t="s">
        <v>180</v>
      </c>
      <c r="F5" s="116"/>
      <c r="G5" s="116" t="s">
        <v>179</v>
      </c>
      <c r="H5" s="115"/>
      <c r="I5" s="113" t="s">
        <v>178</v>
      </c>
      <c r="J5" s="113" t="s">
        <v>190</v>
      </c>
      <c r="K5" s="114"/>
      <c r="L5" s="114" t="s">
        <v>177</v>
      </c>
      <c r="M5" s="114" t="s">
        <v>176</v>
      </c>
      <c r="N5" s="113" t="s">
        <v>194</v>
      </c>
      <c r="O5" s="114"/>
      <c r="P5" s="113" t="s">
        <v>196</v>
      </c>
      <c r="Q5" s="114"/>
      <c r="R5" s="113" t="s">
        <v>192</v>
      </c>
      <c r="S5" s="114"/>
      <c r="T5" s="113" t="s">
        <v>195</v>
      </c>
      <c r="U5" s="114"/>
    </row>
    <row r="6" spans="1:22" x14ac:dyDescent="0.25">
      <c r="A6" s="87"/>
      <c r="B6" s="140">
        <v>120</v>
      </c>
      <c r="C6" s="140">
        <v>280</v>
      </c>
      <c r="D6" s="139">
        <f t="shared" ref="D6:D16" si="0">SUM(B6:C6)</f>
        <v>400</v>
      </c>
      <c r="E6" s="84">
        <v>1</v>
      </c>
      <c r="F6" s="102" t="s">
        <v>174</v>
      </c>
      <c r="G6" s="84">
        <v>2</v>
      </c>
      <c r="H6" s="102" t="s">
        <v>168</v>
      </c>
      <c r="I6" s="108">
        <v>30</v>
      </c>
      <c r="J6" s="108">
        <f t="shared" ref="J6:J16" si="1">IF(B6&gt;=Fluxo_Máximo,1,0)</f>
        <v>0</v>
      </c>
      <c r="K6" s="102"/>
      <c r="L6" s="108">
        <v>1</v>
      </c>
      <c r="M6" s="107" t="s">
        <v>174</v>
      </c>
      <c r="N6" s="106">
        <f t="array" ref="N6">-SUM(($B$6:$B$16)*(L6=$G$6:$G$16))+SUM(($B$6:$B$16)*(L6=$E$6:$E$16))</f>
        <v>200</v>
      </c>
      <c r="O6" s="105" t="s">
        <v>2</v>
      </c>
      <c r="P6" s="104">
        <f>200*(1+$V$8)</f>
        <v>200</v>
      </c>
      <c r="Q6" s="95"/>
      <c r="R6" s="106">
        <f t="array" ref="R6">-SUM(($C$6:$C$16)*(L6=$G$6:$G$16))+SUM(($C$6:$C$16)*(L6=$E$6:$E$16))</f>
        <v>300</v>
      </c>
      <c r="S6" s="105" t="s">
        <v>2</v>
      </c>
      <c r="T6" s="104">
        <f>300*(1+$V$8)</f>
        <v>300</v>
      </c>
      <c r="U6" s="102"/>
    </row>
    <row r="7" spans="1:22" ht="15.75" thickBot="1" x14ac:dyDescent="0.3">
      <c r="A7" s="87"/>
      <c r="B7" s="138">
        <v>80</v>
      </c>
      <c r="C7" s="138">
        <v>20</v>
      </c>
      <c r="D7" s="137">
        <f t="shared" si="0"/>
        <v>100</v>
      </c>
      <c r="E7" s="84">
        <v>1</v>
      </c>
      <c r="F7" s="102" t="s">
        <v>174</v>
      </c>
      <c r="G7" s="84">
        <v>4</v>
      </c>
      <c r="H7" s="102" t="s">
        <v>166</v>
      </c>
      <c r="I7" s="101">
        <v>40</v>
      </c>
      <c r="J7" s="101">
        <f t="shared" si="1"/>
        <v>0</v>
      </c>
      <c r="K7" s="102"/>
      <c r="L7" s="94">
        <v>7</v>
      </c>
      <c r="M7" s="93" t="s">
        <v>173</v>
      </c>
      <c r="N7" s="92">
        <f t="array" ref="N7">-SUM(($B$6:$B$16)*(L7=$G$6:$G$16))+SUM(($B$6:$B$16)*(L7=$E$6:$E$16))</f>
        <v>280</v>
      </c>
      <c r="O7" s="91" t="s">
        <v>2</v>
      </c>
      <c r="P7" s="90">
        <f>300*(1+$V$8)</f>
        <v>300</v>
      </c>
      <c r="Q7" s="95"/>
      <c r="R7" s="92">
        <f t="array" ref="R7">-SUM(($C$6:$C$16)*(L7=$G$6:$G$16))+SUM(($C$6:$C$16)*(L7=$E$6:$E$16))</f>
        <v>180</v>
      </c>
      <c r="S7" s="91" t="s">
        <v>2</v>
      </c>
      <c r="T7" s="90">
        <f>200*(1+$V$8)</f>
        <v>200</v>
      </c>
      <c r="U7" s="102"/>
      <c r="V7" s="43" t="s">
        <v>185</v>
      </c>
    </row>
    <row r="8" spans="1:22" x14ac:dyDescent="0.25">
      <c r="A8" s="87"/>
      <c r="B8" s="138">
        <v>20</v>
      </c>
      <c r="C8" s="138">
        <v>220</v>
      </c>
      <c r="D8" s="137">
        <f t="shared" si="0"/>
        <v>240</v>
      </c>
      <c r="E8" s="84">
        <v>2</v>
      </c>
      <c r="F8" s="102" t="s">
        <v>168</v>
      </c>
      <c r="G8" s="84">
        <v>3</v>
      </c>
      <c r="H8" s="102" t="s">
        <v>167</v>
      </c>
      <c r="I8" s="101">
        <v>50</v>
      </c>
      <c r="J8" s="101">
        <f t="shared" si="1"/>
        <v>0</v>
      </c>
      <c r="K8" s="102"/>
      <c r="L8" s="102"/>
      <c r="M8" s="111"/>
      <c r="N8" s="109" t="s">
        <v>182</v>
      </c>
      <c r="O8" s="102"/>
      <c r="P8" s="109">
        <f>SUM(Capacidade_1)</f>
        <v>500</v>
      </c>
      <c r="Q8" s="95"/>
      <c r="R8" s="109"/>
      <c r="S8" s="102"/>
      <c r="T8" s="109">
        <f>SUM(Capacidade_2)</f>
        <v>500</v>
      </c>
      <c r="U8" s="102"/>
      <c r="V8" s="52">
        <v>0</v>
      </c>
    </row>
    <row r="9" spans="1:22" x14ac:dyDescent="0.25">
      <c r="A9" s="87"/>
      <c r="B9" s="138">
        <v>0</v>
      </c>
      <c r="C9" s="138">
        <v>120</v>
      </c>
      <c r="D9" s="137">
        <f t="shared" si="0"/>
        <v>120</v>
      </c>
      <c r="E9" s="84">
        <v>3</v>
      </c>
      <c r="F9" s="102" t="s">
        <v>167</v>
      </c>
      <c r="G9" s="84">
        <v>5</v>
      </c>
      <c r="H9" s="102" t="s">
        <v>165</v>
      </c>
      <c r="I9" s="101">
        <v>35</v>
      </c>
      <c r="J9" s="101">
        <f t="shared" si="1"/>
        <v>0</v>
      </c>
      <c r="K9" s="102"/>
      <c r="L9" s="102"/>
      <c r="M9" s="111"/>
      <c r="N9" s="109"/>
      <c r="O9" s="102"/>
      <c r="P9" s="109"/>
      <c r="Q9" s="95"/>
      <c r="R9" s="109"/>
      <c r="S9" s="102"/>
      <c r="T9" s="109"/>
      <c r="U9" s="102"/>
    </row>
    <row r="10" spans="1:22" x14ac:dyDescent="0.25">
      <c r="A10" s="87"/>
      <c r="B10" s="138">
        <v>40</v>
      </c>
      <c r="C10" s="138">
        <v>0</v>
      </c>
      <c r="D10" s="137">
        <f t="shared" si="0"/>
        <v>40</v>
      </c>
      <c r="E10" s="84">
        <v>5</v>
      </c>
      <c r="F10" s="102" t="s">
        <v>165</v>
      </c>
      <c r="G10" s="84">
        <v>3</v>
      </c>
      <c r="H10" s="102" t="s">
        <v>167</v>
      </c>
      <c r="I10" s="101">
        <v>40</v>
      </c>
      <c r="J10" s="101">
        <f t="shared" si="1"/>
        <v>0</v>
      </c>
      <c r="K10" s="102"/>
      <c r="L10" s="102"/>
      <c r="M10" s="111"/>
      <c r="N10" s="109"/>
      <c r="O10" s="102"/>
      <c r="P10" s="109"/>
      <c r="Q10" s="95"/>
      <c r="R10" s="109"/>
      <c r="S10" s="102"/>
      <c r="T10" s="109"/>
      <c r="U10" s="102"/>
      <c r="V10" t="s">
        <v>189</v>
      </c>
    </row>
    <row r="11" spans="1:22" ht="15.75" thickBot="1" x14ac:dyDescent="0.3">
      <c r="A11" s="87"/>
      <c r="B11" s="138">
        <v>0</v>
      </c>
      <c r="C11" s="138">
        <v>0</v>
      </c>
      <c r="D11" s="137">
        <f t="shared" si="0"/>
        <v>0</v>
      </c>
      <c r="E11" s="84">
        <v>5</v>
      </c>
      <c r="F11" s="102" t="s">
        <v>165</v>
      </c>
      <c r="G11" s="84">
        <v>4</v>
      </c>
      <c r="H11" s="102" t="s">
        <v>166</v>
      </c>
      <c r="I11" s="101">
        <v>30</v>
      </c>
      <c r="J11" s="101">
        <f t="shared" si="1"/>
        <v>0</v>
      </c>
      <c r="K11" s="102"/>
      <c r="L11" s="102"/>
      <c r="M11" s="110" t="s">
        <v>171</v>
      </c>
      <c r="N11" s="113" t="s">
        <v>194</v>
      </c>
      <c r="O11" s="102"/>
      <c r="P11" s="84" t="s">
        <v>193</v>
      </c>
      <c r="Q11" s="95"/>
      <c r="R11" s="113" t="s">
        <v>192</v>
      </c>
      <c r="S11" s="102"/>
      <c r="T11" s="84" t="s">
        <v>191</v>
      </c>
      <c r="U11" s="102"/>
      <c r="V11">
        <v>400</v>
      </c>
    </row>
    <row r="12" spans="1:22" x14ac:dyDescent="0.25">
      <c r="A12" s="87"/>
      <c r="B12" s="138">
        <v>0</v>
      </c>
      <c r="C12" s="138">
        <v>70</v>
      </c>
      <c r="D12" s="137">
        <f t="shared" si="0"/>
        <v>70</v>
      </c>
      <c r="E12" s="84">
        <v>5</v>
      </c>
      <c r="F12" s="102" t="s">
        <v>165</v>
      </c>
      <c r="G12" s="84">
        <v>6</v>
      </c>
      <c r="H12" s="102" t="s">
        <v>164</v>
      </c>
      <c r="I12" s="101">
        <v>35</v>
      </c>
      <c r="J12" s="101">
        <f t="shared" si="1"/>
        <v>0</v>
      </c>
      <c r="K12" s="102"/>
      <c r="L12" s="108">
        <v>2</v>
      </c>
      <c r="M12" s="107" t="s">
        <v>168</v>
      </c>
      <c r="N12" s="106">
        <f t="array" ref="N12">SUM(($B$6:$B$16)*(L12=$G$6:$G$16))-SUM(($B$6:$B$16)*(L12=$E$6:$E$16))</f>
        <v>100</v>
      </c>
      <c r="O12" s="105" t="s">
        <v>163</v>
      </c>
      <c r="P12" s="104">
        <v>100</v>
      </c>
      <c r="Q12" s="95"/>
      <c r="R12" s="106">
        <f t="array" ref="R12">SUM(($C$6:$C$16)*(L12=$G$6:$G$16))-SUM(($C$6:$C$16)*(L12=$E$6:$E$16))</f>
        <v>60</v>
      </c>
      <c r="S12" s="105" t="s">
        <v>163</v>
      </c>
      <c r="T12" s="104">
        <v>60</v>
      </c>
      <c r="U12" s="102"/>
    </row>
    <row r="13" spans="1:22" x14ac:dyDescent="0.25">
      <c r="A13" s="87"/>
      <c r="B13" s="138">
        <v>0</v>
      </c>
      <c r="C13" s="138">
        <v>0</v>
      </c>
      <c r="D13" s="137">
        <f t="shared" si="0"/>
        <v>0</v>
      </c>
      <c r="E13" s="84">
        <v>6</v>
      </c>
      <c r="F13" s="102" t="s">
        <v>164</v>
      </c>
      <c r="G13" s="84">
        <v>5</v>
      </c>
      <c r="H13" s="102" t="s">
        <v>165</v>
      </c>
      <c r="I13" s="101">
        <v>25</v>
      </c>
      <c r="J13" s="101">
        <f t="shared" si="1"/>
        <v>0</v>
      </c>
      <c r="K13" s="102"/>
      <c r="L13" s="101">
        <v>3</v>
      </c>
      <c r="M13" s="100" t="s">
        <v>167</v>
      </c>
      <c r="N13" s="99">
        <f t="array" ref="N13">SUM(($B$6:$B$16)*(L13=$G$6:$G$16))-SUM(($B$6:$B$16)*(L13=$E$6:$E$16))</f>
        <v>60</v>
      </c>
      <c r="O13" s="95" t="s">
        <v>163</v>
      </c>
      <c r="P13" s="98">
        <v>60</v>
      </c>
      <c r="Q13" s="95"/>
      <c r="R13" s="99">
        <f t="array" ref="R13">SUM(($C$6:$C$16)*(L13=$G$6:$G$16))-SUM(($C$6:$C$16)*(L13=$E$6:$E$16))</f>
        <v>100</v>
      </c>
      <c r="S13" s="95" t="s">
        <v>163</v>
      </c>
      <c r="T13" s="98">
        <v>100</v>
      </c>
      <c r="U13" s="102"/>
    </row>
    <row r="14" spans="1:22" x14ac:dyDescent="0.25">
      <c r="A14" s="87"/>
      <c r="B14" s="138">
        <v>0</v>
      </c>
      <c r="C14" s="138">
        <v>150</v>
      </c>
      <c r="D14" s="137">
        <f t="shared" si="0"/>
        <v>150</v>
      </c>
      <c r="E14" s="84">
        <v>7</v>
      </c>
      <c r="F14" s="102" t="s">
        <v>164</v>
      </c>
      <c r="G14" s="84">
        <v>4</v>
      </c>
      <c r="H14" s="102" t="s">
        <v>166</v>
      </c>
      <c r="I14" s="101">
        <v>50</v>
      </c>
      <c r="J14" s="101">
        <f t="shared" si="1"/>
        <v>0</v>
      </c>
      <c r="K14" s="102"/>
      <c r="L14" s="101">
        <v>4</v>
      </c>
      <c r="M14" s="100" t="s">
        <v>166</v>
      </c>
      <c r="N14" s="99">
        <f t="array" ref="N14">SUM(($B$6:$B$16)*(L14=$G$6:$G$16))-SUM(($B$6:$B$16)*(L14=$E$6:$E$16))</f>
        <v>80</v>
      </c>
      <c r="O14" s="95" t="s">
        <v>163</v>
      </c>
      <c r="P14" s="98">
        <v>80</v>
      </c>
      <c r="Q14" s="95"/>
      <c r="R14" s="99">
        <f t="array" ref="R14">SUM(($C$6:$C$16)*(L14=$G$6:$G$16))-SUM(($C$6:$C$16)*(L14=$E$6:$E$16))</f>
        <v>170</v>
      </c>
      <c r="S14" s="95" t="s">
        <v>163</v>
      </c>
      <c r="T14" s="98">
        <v>170</v>
      </c>
      <c r="U14" s="102"/>
    </row>
    <row r="15" spans="1:22" x14ac:dyDescent="0.25">
      <c r="A15" s="87"/>
      <c r="B15" s="138">
        <v>210</v>
      </c>
      <c r="C15" s="138">
        <v>30</v>
      </c>
      <c r="D15" s="137">
        <f t="shared" si="0"/>
        <v>240</v>
      </c>
      <c r="E15" s="84">
        <v>7</v>
      </c>
      <c r="F15" s="102" t="s">
        <v>164</v>
      </c>
      <c r="G15" s="84">
        <v>5</v>
      </c>
      <c r="H15" s="102" t="s">
        <v>165</v>
      </c>
      <c r="I15" s="101">
        <v>45</v>
      </c>
      <c r="J15" s="101">
        <f t="shared" si="1"/>
        <v>0</v>
      </c>
      <c r="K15" s="102"/>
      <c r="L15" s="101">
        <v>5</v>
      </c>
      <c r="M15" s="100" t="s">
        <v>165</v>
      </c>
      <c r="N15" s="99">
        <f t="array" ref="N15">SUM(($B$6:$B$16)*(L15=$G$6:$G$16))-SUM(($B$6:$B$16)*(L15=$E$6:$E$16))</f>
        <v>170</v>
      </c>
      <c r="O15" s="95" t="s">
        <v>163</v>
      </c>
      <c r="P15" s="98">
        <v>170</v>
      </c>
      <c r="Q15" s="95"/>
      <c r="R15" s="99">
        <f t="array" ref="R15">SUM(($C$6:$C$16)*(L15=$G$6:$G$16))-SUM(($C$6:$C$16)*(L15=$E$6:$E$16))</f>
        <v>80</v>
      </c>
      <c r="S15" s="95" t="s">
        <v>163</v>
      </c>
      <c r="T15" s="98">
        <v>80</v>
      </c>
      <c r="U15" s="102"/>
    </row>
    <row r="16" spans="1:22" ht="15.75" thickBot="1" x14ac:dyDescent="0.3">
      <c r="A16" s="87"/>
      <c r="B16" s="136">
        <v>70</v>
      </c>
      <c r="C16" s="136">
        <v>0</v>
      </c>
      <c r="D16" s="135">
        <f t="shared" si="0"/>
        <v>70</v>
      </c>
      <c r="E16" s="96">
        <v>7</v>
      </c>
      <c r="F16" s="91" t="s">
        <v>164</v>
      </c>
      <c r="G16" s="96">
        <v>6</v>
      </c>
      <c r="H16" s="91" t="s">
        <v>164</v>
      </c>
      <c r="I16" s="94">
        <v>50</v>
      </c>
      <c r="J16" s="94">
        <f t="shared" si="1"/>
        <v>0</v>
      </c>
      <c r="K16" s="95"/>
      <c r="L16" s="94">
        <v>6</v>
      </c>
      <c r="M16" s="93" t="s">
        <v>164</v>
      </c>
      <c r="N16" s="92">
        <f t="array" ref="N16">SUM(($B$6:$B$16)*(L16=$G$6:$G$16))-SUM(($B$6:$B$16)*(L16=$E$6:$E$16))</f>
        <v>70</v>
      </c>
      <c r="O16" s="91" t="s">
        <v>163</v>
      </c>
      <c r="P16" s="90">
        <v>70</v>
      </c>
      <c r="Q16" s="95"/>
      <c r="R16" s="92">
        <f t="array" ref="R16">SUM(($C$6:$C$16)*(L16=$G$6:$G$16))-SUM(($C$6:$C$16)*(L16=$E$6:$E$16))</f>
        <v>70</v>
      </c>
      <c r="S16" s="91" t="s">
        <v>163</v>
      </c>
      <c r="T16" s="90">
        <v>70</v>
      </c>
      <c r="U16" s="95"/>
    </row>
    <row r="17" spans="1:21" x14ac:dyDescent="0.25">
      <c r="A17" s="87"/>
      <c r="B17" s="89"/>
      <c r="C17" s="89"/>
      <c r="D17" s="89"/>
      <c r="E17" s="88"/>
      <c r="F17" s="89"/>
      <c r="G17" s="88"/>
      <c r="H17" s="89"/>
      <c r="I17" s="133" t="s">
        <v>188</v>
      </c>
      <c r="J17" s="88">
        <f>SUM(J6:J16)</f>
        <v>0</v>
      </c>
      <c r="K17" s="89"/>
      <c r="L17" s="89"/>
      <c r="M17" s="89"/>
      <c r="N17" s="88" t="s">
        <v>162</v>
      </c>
      <c r="O17" s="89"/>
      <c r="P17" s="88">
        <f>SUM(Demanda_1)</f>
        <v>480</v>
      </c>
      <c r="Q17" s="89"/>
      <c r="R17" s="88"/>
      <c r="S17" s="89"/>
      <c r="T17" s="88">
        <f>SUM(Demanda_2)</f>
        <v>480</v>
      </c>
      <c r="U17" s="89"/>
    </row>
    <row r="18" spans="1:21" x14ac:dyDescent="0.25">
      <c r="A18" s="87"/>
      <c r="B18" s="85"/>
      <c r="C18" s="85"/>
      <c r="D18" s="85"/>
      <c r="E18" s="87"/>
      <c r="F18" s="87"/>
      <c r="G18" s="87"/>
      <c r="H18" s="85" t="s">
        <v>147</v>
      </c>
      <c r="I18" s="86">
        <f>SUMPRODUCT(B6:B16,I6:I16)</f>
        <v>22350</v>
      </c>
      <c r="K18" s="85"/>
      <c r="L18" s="85"/>
      <c r="M18" s="85"/>
      <c r="N18" s="84"/>
      <c r="O18" s="85"/>
      <c r="P18" s="84"/>
      <c r="Q18" s="134"/>
      <c r="R18" s="84"/>
      <c r="S18" s="85"/>
      <c r="T18" s="84"/>
      <c r="U18" s="8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G5"/>
  <sheetViews>
    <sheetView zoomScale="280" zoomScaleNormal="24" workbookViewId="0">
      <selection activeCell="D9" sqref="D9"/>
    </sheetView>
  </sheetViews>
  <sheetFormatPr defaultRowHeight="15" x14ac:dyDescent="0.25"/>
  <cols>
    <col min="2" max="4" width="9.28515625" bestFit="1" customWidth="1"/>
    <col min="5" max="5" width="10.5703125" bestFit="1" customWidth="1"/>
    <col min="6" max="6" width="2.85546875" customWidth="1"/>
  </cols>
  <sheetData>
    <row r="1" spans="1:7" x14ac:dyDescent="0.25">
      <c r="B1" t="s">
        <v>205</v>
      </c>
      <c r="C1" t="s">
        <v>204</v>
      </c>
      <c r="D1" t="s">
        <v>203</v>
      </c>
      <c r="E1" t="s">
        <v>197</v>
      </c>
    </row>
    <row r="2" spans="1:7" x14ac:dyDescent="0.25">
      <c r="A2" t="s">
        <v>202</v>
      </c>
      <c r="B2" s="143">
        <v>0</v>
      </c>
      <c r="C2" s="143">
        <v>362.50000000079854</v>
      </c>
      <c r="D2" s="143">
        <v>87.499999999974236</v>
      </c>
      <c r="E2" s="79">
        <f>SUM(B2:D2)</f>
        <v>450.00000000077279</v>
      </c>
      <c r="F2" t="s">
        <v>2</v>
      </c>
      <c r="G2" s="79">
        <v>450</v>
      </c>
    </row>
    <row r="3" spans="1:7" x14ac:dyDescent="0.25">
      <c r="A3" t="s">
        <v>201</v>
      </c>
      <c r="B3">
        <v>6</v>
      </c>
      <c r="C3">
        <v>4</v>
      </c>
      <c r="D3">
        <v>12</v>
      </c>
      <c r="E3" s="79">
        <f>SUMPRODUCT($B$2:$D$2,B3:D3)</f>
        <v>2500.0000000028849</v>
      </c>
      <c r="F3" t="s">
        <v>2</v>
      </c>
      <c r="G3" s="79">
        <v>2500</v>
      </c>
    </row>
    <row r="4" spans="1:7" x14ac:dyDescent="0.25">
      <c r="A4" t="s">
        <v>200</v>
      </c>
      <c r="B4">
        <v>0.05</v>
      </c>
      <c r="C4">
        <v>0.1</v>
      </c>
      <c r="D4">
        <v>0.2</v>
      </c>
      <c r="E4" s="79">
        <f>SUMPRODUCT($B$2:$D$2,B4:D4)</f>
        <v>53.750000000074706</v>
      </c>
      <c r="F4" t="s">
        <v>2</v>
      </c>
      <c r="G4" s="79">
        <v>55</v>
      </c>
    </row>
    <row r="5" spans="1:7" x14ac:dyDescent="0.25">
      <c r="A5" t="s">
        <v>199</v>
      </c>
      <c r="B5" s="142">
        <v>30</v>
      </c>
      <c r="C5" s="142">
        <v>30</v>
      </c>
      <c r="D5" s="142">
        <v>35</v>
      </c>
      <c r="E5" s="141">
        <f>SUMPRODUCT($B$2:$D$2,B5:D5)</f>
        <v>13937.500000023054</v>
      </c>
      <c r="F5" t="s">
        <v>198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J96"/>
  <sheetViews>
    <sheetView workbookViewId="0">
      <selection activeCell="B20" sqref="B20"/>
    </sheetView>
  </sheetViews>
  <sheetFormatPr defaultRowHeight="15" x14ac:dyDescent="0.25"/>
  <sheetData>
    <row r="2" spans="2:10" x14ac:dyDescent="0.25">
      <c r="B2" s="2" t="s">
        <v>217</v>
      </c>
      <c r="C2" s="144">
        <v>200000000000</v>
      </c>
      <c r="D2" t="s">
        <v>216</v>
      </c>
      <c r="F2" s="2" t="s">
        <v>215</v>
      </c>
      <c r="G2" s="1" t="s">
        <v>96</v>
      </c>
      <c r="H2" s="1" t="s">
        <v>95</v>
      </c>
      <c r="I2" s="1" t="s">
        <v>209</v>
      </c>
    </row>
    <row r="3" spans="2:10" x14ac:dyDescent="0.25">
      <c r="B3" s="2" t="s">
        <v>214</v>
      </c>
      <c r="C3" s="149">
        <v>1E-4</v>
      </c>
      <c r="D3" t="s">
        <v>213</v>
      </c>
      <c r="F3" s="1">
        <v>90</v>
      </c>
      <c r="G3" s="148">
        <v>0</v>
      </c>
      <c r="H3" s="148">
        <v>1.7561599952316324E-4</v>
      </c>
      <c r="I3" s="147">
        <f>$C$2*$C$3/$C$5*($C$4/(2*$C$5))^2*G3^2+$C$2*$C$3/$C$5*($C$6/$C$5)^2*H3^2-$C$7*G3*COS(F3*PI()/180)-$C$7*H3*SIN(F3*PI()/180)</f>
        <v>-0.8780800000000003</v>
      </c>
    </row>
    <row r="4" spans="2:10" x14ac:dyDescent="0.25">
      <c r="B4" s="2" t="s">
        <v>212</v>
      </c>
      <c r="C4" s="146">
        <v>0.44</v>
      </c>
      <c r="D4" t="s">
        <v>5</v>
      </c>
    </row>
    <row r="5" spans="2:10" x14ac:dyDescent="0.25">
      <c r="B5" s="2" t="s">
        <v>211</v>
      </c>
      <c r="C5" s="146">
        <v>0.56000000000000005</v>
      </c>
      <c r="D5" t="s">
        <v>5</v>
      </c>
      <c r="F5" t="s">
        <v>210</v>
      </c>
      <c r="G5" t="s">
        <v>96</v>
      </c>
      <c r="H5" t="s">
        <v>95</v>
      </c>
      <c r="I5" t="s">
        <v>209</v>
      </c>
      <c r="J5" t="s">
        <v>208</v>
      </c>
    </row>
    <row r="6" spans="2:10" x14ac:dyDescent="0.25">
      <c r="B6" s="2" t="s">
        <v>90</v>
      </c>
      <c r="C6" s="146">
        <v>0.5</v>
      </c>
      <c r="D6" t="s">
        <v>5</v>
      </c>
      <c r="F6">
        <v>0</v>
      </c>
      <c r="G6">
        <v>9.0710743753969164E-4</v>
      </c>
      <c r="H6">
        <v>0</v>
      </c>
      <c r="I6">
        <v>-4.5355371900826462</v>
      </c>
      <c r="J6">
        <f t="shared" ref="J6:J37" si="0">SQRT(G6^2+H6^2)</f>
        <v>9.0710743753969164E-4</v>
      </c>
    </row>
    <row r="7" spans="2:10" x14ac:dyDescent="0.25">
      <c r="B7" s="2" t="s">
        <v>207</v>
      </c>
      <c r="C7" s="145">
        <v>10000</v>
      </c>
      <c r="D7" t="s">
        <v>206</v>
      </c>
      <c r="F7">
        <v>1</v>
      </c>
      <c r="G7">
        <v>9.0695970586060373E-4</v>
      </c>
      <c r="H7">
        <v>3.0648324526939341E-6</v>
      </c>
      <c r="I7">
        <v>-4.5344231775275352</v>
      </c>
      <c r="J7">
        <f t="shared" si="0"/>
        <v>9.0696488424454229E-4</v>
      </c>
    </row>
    <row r="8" spans="2:10" x14ac:dyDescent="0.25">
      <c r="B8" s="2"/>
      <c r="C8" s="144"/>
      <c r="F8">
        <v>2</v>
      </c>
      <c r="G8">
        <v>9.0655485219890341E-4</v>
      </c>
      <c r="H8">
        <v>6.1289095247643694E-6</v>
      </c>
      <c r="I8">
        <v>-4.531082499136704</v>
      </c>
      <c r="J8">
        <f t="shared" si="0"/>
        <v>9.0657556970025308E-4</v>
      </c>
    </row>
    <row r="9" spans="2:10" x14ac:dyDescent="0.25">
      <c r="B9" s="2"/>
      <c r="C9" s="144"/>
      <c r="F9">
        <v>3</v>
      </c>
      <c r="G9">
        <v>9.058642768935087E-4</v>
      </c>
      <c r="H9">
        <v>9.1910293646186271E-6</v>
      </c>
      <c r="I9">
        <v>-4.5255192234959791</v>
      </c>
      <c r="J9">
        <f t="shared" si="0"/>
        <v>9.0591090244713395E-4</v>
      </c>
    </row>
    <row r="10" spans="2:10" x14ac:dyDescent="0.25">
      <c r="F10">
        <v>4</v>
      </c>
      <c r="G10">
        <v>9.0489776989108957E-4</v>
      </c>
      <c r="H10">
        <v>1.2250352871199398E-5</v>
      </c>
      <c r="I10">
        <v>-4.5177401291053787</v>
      </c>
      <c r="J10">
        <f t="shared" si="0"/>
        <v>9.0498068769412755E-4</v>
      </c>
    </row>
    <row r="11" spans="2:10" x14ac:dyDescent="0.25">
      <c r="F11">
        <v>5</v>
      </c>
      <c r="G11">
        <v>9.0365561930829134E-4</v>
      </c>
      <c r="H11">
        <v>1.5305941467939978E-5</v>
      </c>
      <c r="I11">
        <v>-4.5077546935931405</v>
      </c>
      <c r="J11">
        <f t="shared" si="0"/>
        <v>9.0378523452846451E-4</v>
      </c>
    </row>
    <row r="12" spans="2:10" x14ac:dyDescent="0.25">
      <c r="F12">
        <v>6</v>
      </c>
      <c r="G12">
        <v>9.0213820856398078E-4</v>
      </c>
      <c r="H12">
        <v>1.8356870572156554E-5</v>
      </c>
      <c r="I12">
        <v>-4.4955750826742955</v>
      </c>
      <c r="J12">
        <f t="shared" si="0"/>
        <v>9.0232495368809977E-4</v>
      </c>
    </row>
    <row r="13" spans="2:10" x14ac:dyDescent="0.25">
      <c r="F13">
        <v>7</v>
      </c>
      <c r="G13">
        <v>9.0034599625728564E-4</v>
      </c>
      <c r="H13">
        <v>2.1402206102738842E-5</v>
      </c>
      <c r="I13">
        <v>-4.4812161353286255</v>
      </c>
      <c r="J13">
        <f t="shared" si="0"/>
        <v>9.0060033722100523E-4</v>
      </c>
    </row>
    <row r="14" spans="2:10" x14ac:dyDescent="0.25">
      <c r="F14">
        <v>8</v>
      </c>
      <c r="G14">
        <v>8.9827952959978046E-4</v>
      </c>
      <c r="H14">
        <v>2.4441022076957834E-5</v>
      </c>
      <c r="I14">
        <v>-4.4646953457216458</v>
      </c>
      <c r="J14">
        <f t="shared" si="0"/>
        <v>8.9861197235412409E-4</v>
      </c>
    </row>
    <row r="15" spans="2:10" x14ac:dyDescent="0.25">
      <c r="F15">
        <v>9</v>
      </c>
      <c r="G15">
        <v>8.959394397231341E-4</v>
      </c>
      <c r="H15">
        <v>2.7472394517615317E-5</v>
      </c>
      <c r="I15">
        <v>-4.4460328418906547</v>
      </c>
      <c r="J15">
        <f t="shared" si="0"/>
        <v>8.9636053690015543E-4</v>
      </c>
    </row>
    <row r="16" spans="2:10" x14ac:dyDescent="0.25">
      <c r="F16">
        <v>10</v>
      </c>
      <c r="G16">
        <v>8.9332643730128281E-4</v>
      </c>
      <c r="H16">
        <v>3.0495397874373363E-5</v>
      </c>
      <c r="I16">
        <v>-4.4252513612218358</v>
      </c>
      <c r="J16">
        <f t="shared" si="0"/>
        <v>8.9384679496707883E-4</v>
      </c>
    </row>
    <row r="17" spans="6:10" x14ac:dyDescent="0.25">
      <c r="F17">
        <v>11</v>
      </c>
      <c r="G17">
        <v>8.9044131899156716E-4</v>
      </c>
      <c r="H17">
        <v>3.3509112041101671E-5</v>
      </c>
      <c r="I17">
        <v>-4.4023762227482424</v>
      </c>
      <c r="J17">
        <f t="shared" si="0"/>
        <v>8.9107160383283736E-4</v>
      </c>
    </row>
    <row r="18" spans="6:10" x14ac:dyDescent="0.25">
      <c r="F18">
        <v>12</v>
      </c>
      <c r="G18">
        <v>8.8728496387136717E-4</v>
      </c>
      <c r="H18">
        <v>3.6512619234801353E-5</v>
      </c>
      <c r="I18">
        <v>-4.3774352963024601</v>
      </c>
      <c r="J18">
        <f t="shared" si="0"/>
        <v>8.8803591057771915E-4</v>
      </c>
    </row>
    <row r="19" spans="6:10" x14ac:dyDescent="0.25">
      <c r="F19">
        <v>13</v>
      </c>
      <c r="G19">
        <v>8.8385833220873693E-4</v>
      </c>
      <c r="H19">
        <v>3.9505003357276034E-5</v>
      </c>
      <c r="I19">
        <v>-4.3504589685615054</v>
      </c>
      <c r="J19">
        <f t="shared" si="0"/>
        <v>8.8474075112716965E-4</v>
      </c>
    </row>
    <row r="20" spans="6:10" x14ac:dyDescent="0.25">
      <c r="F20">
        <v>14</v>
      </c>
      <c r="G20">
        <v>8.8016246992286677E-4</v>
      </c>
      <c r="H20">
        <v>4.2485355083031511E-5</v>
      </c>
      <c r="I20">
        <v>-4.3214801060253469</v>
      </c>
      <c r="J20">
        <f t="shared" si="0"/>
        <v>8.8118725527395851E-4</v>
      </c>
    </row>
    <row r="21" spans="6:10" x14ac:dyDescent="0.25">
      <c r="F21">
        <v>15</v>
      </c>
      <c r="G21">
        <v>8.7619850137733279E-4</v>
      </c>
      <c r="H21">
        <v>4.5452765138910026E-5</v>
      </c>
      <c r="I21">
        <v>-4.290534014974134</v>
      </c>
      <c r="J21">
        <f t="shared" si="0"/>
        <v>8.7737663957655992E-4</v>
      </c>
    </row>
    <row r="22" spans="6:10" x14ac:dyDescent="0.25">
      <c r="F22">
        <v>16</v>
      </c>
      <c r="G22">
        <v>8.7196763380406942E-4</v>
      </c>
      <c r="H22">
        <v>4.8406329362933984E-5</v>
      </c>
      <c r="I22">
        <v>-4.257658398452933</v>
      </c>
      <c r="J22">
        <f t="shared" si="0"/>
        <v>8.7331021242411939E-4</v>
      </c>
    </row>
    <row r="23" spans="6:10" x14ac:dyDescent="0.25">
      <c r="F23">
        <v>17</v>
      </c>
      <c r="G23">
        <v>8.6747115567476483E-4</v>
      </c>
      <c r="H23">
        <v>5.1345147611795688E-5</v>
      </c>
      <c r="I23">
        <v>-4.2228933103363735</v>
      </c>
      <c r="J23">
        <f t="shared" si="0"/>
        <v>8.689893728412271E-4</v>
      </c>
    </row>
    <row r="24" spans="6:10" x14ac:dyDescent="0.25">
      <c r="F24">
        <v>18</v>
      </c>
      <c r="G24">
        <v>8.6271043991770159E-4</v>
      </c>
      <c r="H24">
        <v>5.4268328455206538E-5</v>
      </c>
      <c r="I24">
        <v>-4.1862811065291741</v>
      </c>
      <c r="J24">
        <f t="shared" si="0"/>
        <v>8.6441561451440496E-4</v>
      </c>
    </row>
    <row r="25" spans="6:10" x14ac:dyDescent="0.25">
      <c r="F25">
        <v>19</v>
      </c>
      <c r="G25">
        <v>8.576869327029332E-4</v>
      </c>
      <c r="H25">
        <v>5.7174977026739845E-5</v>
      </c>
      <c r="I25">
        <v>-4.1478663933619977</v>
      </c>
      <c r="J25">
        <f t="shared" si="0"/>
        <v>8.5959051444706755E-4</v>
      </c>
    </row>
    <row r="26" spans="6:10" x14ac:dyDescent="0.25">
      <c r="F26">
        <v>20</v>
      </c>
      <c r="G26">
        <v>8.5240216531622343E-4</v>
      </c>
      <c r="H26">
        <v>6.0064208952152814E-5</v>
      </c>
      <c r="I26">
        <v>-4.1076959732455052</v>
      </c>
      <c r="J26">
        <f t="shared" si="0"/>
        <v>8.5451574627553478E-4</v>
      </c>
    </row>
    <row r="27" spans="6:10" x14ac:dyDescent="0.25">
      <c r="F27">
        <v>21</v>
      </c>
      <c r="G27">
        <v>8.468577486628417E-4</v>
      </c>
      <c r="H27">
        <v>6.2935145510125142E-5</v>
      </c>
      <c r="I27">
        <v>-4.0658187876488272</v>
      </c>
      <c r="J27">
        <f t="shared" si="0"/>
        <v>8.4919307522534433E-4</v>
      </c>
    </row>
    <row r="28" spans="6:10" x14ac:dyDescent="0.25">
      <c r="F28">
        <v>22</v>
      </c>
      <c r="G28">
        <v>8.4105537093861127E-4</v>
      </c>
      <c r="H28">
        <v>6.5786911408647836E-5</v>
      </c>
      <c r="I28">
        <v>-4.02228585747193</v>
      </c>
      <c r="J28">
        <f t="shared" si="0"/>
        <v>8.4362435639173802E-4</v>
      </c>
    </row>
    <row r="29" spans="6:10" x14ac:dyDescent="0.25">
      <c r="F29">
        <v>23</v>
      </c>
      <c r="G29">
        <v>8.3499679761316135E-4</v>
      </c>
      <c r="H29">
        <v>6.8618636220535618E-5</v>
      </c>
      <c r="I29">
        <v>-3.9771502208845004</v>
      </c>
      <c r="J29">
        <f t="shared" si="0"/>
        <v>8.3781153564569701E-4</v>
      </c>
    </row>
    <row r="30" spans="6:10" x14ac:dyDescent="0.25">
      <c r="F30">
        <v>24</v>
      </c>
      <c r="G30">
        <v>8.2868387933800235E-4</v>
      </c>
      <c r="H30">
        <v>7.1429462102622955E-5</v>
      </c>
      <c r="I30">
        <v>-3.9304668687071063</v>
      </c>
      <c r="J30">
        <f t="shared" si="0"/>
        <v>8.3175665908422449E-4</v>
      </c>
    </row>
    <row r="31" spans="6:10" x14ac:dyDescent="0.25">
      <c r="F31">
        <v>25</v>
      </c>
      <c r="G31">
        <v>8.2211853426906534E-4</v>
      </c>
      <c r="H31">
        <v>7.4218528189629973E-5</v>
      </c>
      <c r="I31">
        <v>-3.8822926774133579</v>
      </c>
      <c r="J31">
        <f t="shared" si="0"/>
        <v>8.2546185515464695E-4</v>
      </c>
    </row>
    <row r="32" spans="6:10" x14ac:dyDescent="0.25">
      <c r="F32">
        <v>26</v>
      </c>
      <c r="G32">
        <v>8.1530276466627871E-4</v>
      </c>
      <c r="H32">
        <v>7.6984987277180724E-5</v>
      </c>
      <c r="I32">
        <v>-3.8326863398346824</v>
      </c>
      <c r="J32">
        <f t="shared" si="0"/>
        <v>8.1892935369209051E-4</v>
      </c>
    </row>
    <row r="33" spans="6:10" x14ac:dyDescent="0.25">
      <c r="F33">
        <v>27</v>
      </c>
      <c r="G33">
        <v>8.0823864440936319E-4</v>
      </c>
      <c r="H33">
        <v>7.9727994725043157E-5</v>
      </c>
      <c r="I33">
        <v>-3.781708293652148</v>
      </c>
      <c r="J33">
        <f t="shared" si="0"/>
        <v>8.1216147375972074E-4</v>
      </c>
    </row>
    <row r="34" spans="6:10" x14ac:dyDescent="0.25">
      <c r="F34">
        <v>28</v>
      </c>
      <c r="G34">
        <v>8.0092832884185719E-4</v>
      </c>
      <c r="H34">
        <v>8.2446717998523256E-5</v>
      </c>
      <c r="I34">
        <v>-3.7294206477624612</v>
      </c>
      <c r="J34">
        <f t="shared" si="0"/>
        <v>8.0516063568094166E-4</v>
      </c>
    </row>
    <row r="35" spans="6:10" x14ac:dyDescent="0.25">
      <c r="F35">
        <v>29</v>
      </c>
      <c r="G35">
        <v>7.9337404127361615E-4</v>
      </c>
      <c r="H35">
        <v>8.5140325837051691E-5</v>
      </c>
      <c r="I35">
        <v>-3.6758871066078438</v>
      </c>
      <c r="J35">
        <f t="shared" si="0"/>
        <v>7.9792934803180971E-4</v>
      </c>
    </row>
    <row r="36" spans="6:10" x14ac:dyDescent="0.25">
      <c r="F36">
        <v>30</v>
      </c>
      <c r="G36">
        <v>7.8557808383785928E-4</v>
      </c>
      <c r="H36">
        <v>8.7807998591749446E-5</v>
      </c>
      <c r="I36">
        <v>-3.6211728925619848</v>
      </c>
      <c r="J36">
        <f t="shared" si="0"/>
        <v>7.9047022108555821E-4</v>
      </c>
    </row>
    <row r="37" spans="6:10" x14ac:dyDescent="0.25">
      <c r="F37">
        <v>31</v>
      </c>
      <c r="G37">
        <v>7.7754283418960497E-4</v>
      </c>
      <c r="H37">
        <v>9.0448926436234787E-5</v>
      </c>
      <c r="I37">
        <v>-3.5653446664666197</v>
      </c>
      <c r="J37">
        <f t="shared" si="0"/>
        <v>7.8278596518657057E-4</v>
      </c>
    </row>
    <row r="38" spans="6:10" x14ac:dyDescent="0.25">
      <c r="F38">
        <v>32</v>
      </c>
      <c r="G38">
        <v>7.6927073507709572E-4</v>
      </c>
      <c r="H38">
        <v>9.3062300826314174E-5</v>
      </c>
      <c r="I38">
        <v>-3.5084704464155663</v>
      </c>
      <c r="J38">
        <f t="shared" ref="J38:J69" si="1">SQRT(G38^2+H38^2)</f>
        <v>7.7487938137567097E-4</v>
      </c>
    </row>
    <row r="39" spans="6:10" x14ac:dyDescent="0.25">
      <c r="F39">
        <v>33</v>
      </c>
      <c r="G39">
        <v>7.6076431026108292E-4</v>
      </c>
      <c r="H39">
        <v>9.5647328734612002E-5</v>
      </c>
      <c r="I39">
        <v>-3.4506195248851559</v>
      </c>
      <c r="J39">
        <f t="shared" si="1"/>
        <v>7.6675338099097294E-4</v>
      </c>
    </row>
    <row r="40" spans="6:10" x14ac:dyDescent="0.25">
      <c r="F40">
        <v>34</v>
      </c>
      <c r="G40">
        <v>7.5202614715800891E-4</v>
      </c>
      <c r="H40">
        <v>9.8203219358456334E-5</v>
      </c>
      <c r="I40">
        <v>-3.3918623843120197</v>
      </c>
      <c r="J40">
        <f t="shared" si="1"/>
        <v>7.5841096926513685E-4</v>
      </c>
    </row>
    <row r="41" spans="6:10" x14ac:dyDescent="0.25">
      <c r="F41">
        <v>35</v>
      </c>
      <c r="G41">
        <v>7.4305891165036631E-4</v>
      </c>
      <c r="H41">
        <v>1.0072919909546497E-4</v>
      </c>
      <c r="I41">
        <v>-3.3322706112211051</v>
      </c>
      <c r="J41">
        <f t="shared" si="1"/>
        <v>7.4985526452338834E-4</v>
      </c>
    </row>
    <row r="42" spans="6:10" x14ac:dyDescent="0.25">
      <c r="F42">
        <v>36</v>
      </c>
      <c r="G42">
        <v>7.3386533290591995E-4</v>
      </c>
      <c r="H42">
        <v>1.0322449455916418E-4</v>
      </c>
      <c r="I42">
        <v>-3.2719168090085131</v>
      </c>
      <c r="J42">
        <f t="shared" si="1"/>
        <v>7.4108948388039594E-4</v>
      </c>
    </row>
    <row r="43" spans="6:10" x14ac:dyDescent="0.25">
      <c r="F43">
        <v>37</v>
      </c>
      <c r="G43">
        <v>7.2444821114462331E-4</v>
      </c>
      <c r="H43">
        <v>1.0568834691363578E-4</v>
      </c>
      <c r="I43">
        <v>-3.2108745094854489</v>
      </c>
      <c r="J43">
        <f t="shared" si="1"/>
        <v>7.3211695602818933E-4</v>
      </c>
    </row>
    <row r="44" spans="6:10" x14ac:dyDescent="0.25">
      <c r="F44">
        <v>38</v>
      </c>
      <c r="G44">
        <v>7.1481041570846621E-4</v>
      </c>
      <c r="H44">
        <v>1.0812000530110455E-4</v>
      </c>
      <c r="I44">
        <v>-3.1492180832910375</v>
      </c>
      <c r="J44">
        <f t="shared" si="1"/>
        <v>7.2294112205048978E-4</v>
      </c>
    </row>
    <row r="45" spans="6:10" x14ac:dyDescent="0.25">
      <c r="F45">
        <v>39</v>
      </c>
      <c r="G45">
        <v>7.0495488116794985E-4</v>
      </c>
      <c r="H45">
        <v>1.1051872878517475E-4</v>
      </c>
      <c r="I45">
        <v>-3.0870226492831501</v>
      </c>
      <c r="J45">
        <f t="shared" si="1"/>
        <v>7.135655358092972E-4</v>
      </c>
    </row>
    <row r="46" spans="6:10" x14ac:dyDescent="0.25">
      <c r="F46">
        <v>40</v>
      </c>
      <c r="G46">
        <v>6.9488461166128585E-4</v>
      </c>
      <c r="H46">
        <v>1.1288378844661161E-4</v>
      </c>
      <c r="I46">
        <v>-3.0243639830176541</v>
      </c>
      <c r="J46">
        <f t="shared" si="1"/>
        <v>7.039938729972836E-4</v>
      </c>
    </row>
    <row r="47" spans="6:10" x14ac:dyDescent="0.25">
      <c r="F47">
        <v>41</v>
      </c>
      <c r="G47">
        <v>6.8460267297578185E-4</v>
      </c>
      <c r="H47">
        <v>1.1521446178293719E-4</v>
      </c>
      <c r="I47">
        <v>-2.961318424427569</v>
      </c>
      <c r="J47">
        <f t="shared" si="1"/>
        <v>6.94229927365219E-4</v>
      </c>
    </row>
    <row r="48" spans="6:10" x14ac:dyDescent="0.25">
      <c r="F48">
        <v>42</v>
      </c>
      <c r="G48">
        <v>6.7411219863812899E-4</v>
      </c>
      <c r="H48">
        <v>1.1751004063036583E-4</v>
      </c>
      <c r="I48">
        <v>-2.8979627848146072</v>
      </c>
      <c r="J48">
        <f t="shared" si="1"/>
        <v>6.8427762348456384E-4</v>
      </c>
    </row>
    <row r="49" spans="6:10" x14ac:dyDescent="0.25">
      <c r="F49">
        <v>43</v>
      </c>
      <c r="G49">
        <v>6.6341638179723999E-4</v>
      </c>
      <c r="H49">
        <v>1.19769823324165E-4</v>
      </c>
      <c r="I49">
        <v>-2.8343742532664549</v>
      </c>
      <c r="J49">
        <f t="shared" si="1"/>
        <v>6.7414101359881897E-4</v>
      </c>
    </row>
    <row r="50" spans="6:10" x14ac:dyDescent="0.25">
      <c r="F50">
        <v>44</v>
      </c>
      <c r="G50">
        <v>6.5251848247034193E-4</v>
      </c>
      <c r="H50">
        <v>1.219931233744062E-4</v>
      </c>
      <c r="I50">
        <v>-2.7706303026137373</v>
      </c>
      <c r="J50">
        <f t="shared" si="1"/>
        <v>6.638242931047651E-4</v>
      </c>
    </row>
    <row r="51" spans="6:10" x14ac:dyDescent="0.25">
      <c r="F51">
        <v>45</v>
      </c>
      <c r="G51">
        <v>6.4142182024224802E-4</v>
      </c>
      <c r="H51">
        <v>1.241792639836002E-4</v>
      </c>
      <c r="I51">
        <v>-2.7068085950413234</v>
      </c>
      <c r="J51">
        <f t="shared" si="1"/>
        <v>6.5333180014934787E-4</v>
      </c>
    </row>
    <row r="52" spans="6:10" x14ac:dyDescent="0.25">
      <c r="F52">
        <v>46</v>
      </c>
      <c r="G52">
        <v>6.3012977385825026E-4</v>
      </c>
      <c r="H52">
        <v>1.2632757735945579E-4</v>
      </c>
      <c r="I52">
        <v>-2.6429868874689095</v>
      </c>
      <c r="J52">
        <f t="shared" si="1"/>
        <v>6.4266802371376695E-4</v>
      </c>
    </row>
    <row r="53" spans="6:10" x14ac:dyDescent="0.25">
      <c r="F53">
        <v>47</v>
      </c>
      <c r="G53">
        <v>6.1864578499191763E-4</v>
      </c>
      <c r="H53">
        <v>1.2843741095036756E-4</v>
      </c>
      <c r="I53">
        <v>-2.5792429368161924</v>
      </c>
      <c r="J53">
        <f t="shared" si="1"/>
        <v>6.318376182373914E-4</v>
      </c>
    </row>
    <row r="54" spans="6:10" x14ac:dyDescent="0.25">
      <c r="F54">
        <v>48</v>
      </c>
      <c r="G54">
        <v>6.0697334882707597E-4</v>
      </c>
      <c r="H54">
        <v>1.3050812009128028E-4</v>
      </c>
      <c r="I54">
        <v>-2.5156544052680383</v>
      </c>
      <c r="J54">
        <f t="shared" si="1"/>
        <v>6.2084540394216929E-4</v>
      </c>
    </row>
    <row r="55" spans="6:10" x14ac:dyDescent="0.25">
      <c r="F55">
        <v>49</v>
      </c>
      <c r="G55">
        <v>5.9511602483467384E-4</v>
      </c>
      <c r="H55">
        <v>1.325390777303178E-4</v>
      </c>
      <c r="I55">
        <v>-2.4522987656550788</v>
      </c>
      <c r="J55">
        <f t="shared" si="1"/>
        <v>6.0969639177268174E-4</v>
      </c>
    </row>
    <row r="56" spans="6:10" x14ac:dyDescent="0.25">
      <c r="F56">
        <v>50</v>
      </c>
      <c r="G56">
        <v>5.8307742162638234E-4</v>
      </c>
      <c r="H56">
        <v>1.3452966103646042E-4</v>
      </c>
      <c r="I56">
        <v>-2.3892532070649919</v>
      </c>
      <c r="J56">
        <f t="shared" si="1"/>
        <v>5.9839577982223017E-4</v>
      </c>
    </row>
    <row r="57" spans="6:10" x14ac:dyDescent="0.25">
      <c r="F57">
        <v>51</v>
      </c>
      <c r="G57">
        <v>5.7086120679364133E-4</v>
      </c>
      <c r="H57">
        <v>1.3647926413710821E-4</v>
      </c>
      <c r="I57">
        <v>-2.3265945407994968</v>
      </c>
      <c r="J57">
        <f t="shared" si="1"/>
        <v>5.869489815659442E-4</v>
      </c>
    </row>
    <row r="58" spans="6:10" x14ac:dyDescent="0.25">
      <c r="F58">
        <v>52</v>
      </c>
      <c r="G58">
        <v>5.5847110256799831E-4</v>
      </c>
      <c r="H58">
        <v>1.3838729520550922E-4</v>
      </c>
      <c r="I58">
        <v>-2.2643991067916094</v>
      </c>
      <c r="J58">
        <f t="shared" si="1"/>
        <v>5.7536163921294964E-4</v>
      </c>
    </row>
    <row r="59" spans="6:10" x14ac:dyDescent="0.25">
      <c r="F59">
        <v>53</v>
      </c>
      <c r="G59">
        <v>5.4591088315411747E-4</v>
      </c>
      <c r="H59">
        <v>1.4025317335324334E-4</v>
      </c>
      <c r="I59">
        <v>-2.2027426805971975</v>
      </c>
      <c r="J59">
        <f t="shared" si="1"/>
        <v>5.6363964106666894E-4</v>
      </c>
    </row>
    <row r="60" spans="6:10" x14ac:dyDescent="0.25">
      <c r="F60">
        <v>54</v>
      </c>
      <c r="G60">
        <v>5.3318437358038171E-4</v>
      </c>
      <c r="H60">
        <v>1.4207632741556058E-4</v>
      </c>
      <c r="I60">
        <v>-2.1417003810741333</v>
      </c>
      <c r="J60">
        <f t="shared" si="1"/>
        <v>5.5178914364292959E-4</v>
      </c>
    </row>
    <row r="61" spans="6:10" x14ac:dyDescent="0.25">
      <c r="F61">
        <v>55</v>
      </c>
      <c r="G61">
        <v>5.2029545118914783E-4</v>
      </c>
      <c r="H61">
        <v>1.4385620494261007E-4</v>
      </c>
      <c r="I61">
        <v>-2.0813465788615413</v>
      </c>
      <c r="J61">
        <f t="shared" si="1"/>
        <v>5.3981660240178713E-4</v>
      </c>
    </row>
    <row r="62" spans="6:10" x14ac:dyDescent="0.25">
      <c r="F62">
        <v>56</v>
      </c>
      <c r="G62">
        <v>5.0724804142935037E-4</v>
      </c>
      <c r="H62">
        <v>1.4559226157017201E-4</v>
      </c>
      <c r="I62">
        <v>-2.0217548057706267</v>
      </c>
      <c r="J62">
        <f t="shared" si="1"/>
        <v>5.2772879603355861E-4</v>
      </c>
    </row>
    <row r="63" spans="6:10" x14ac:dyDescent="0.25">
      <c r="F63">
        <v>57</v>
      </c>
      <c r="G63">
        <v>4.940461191534325E-4</v>
      </c>
      <c r="H63">
        <v>1.4728397001328281E-4</v>
      </c>
      <c r="I63">
        <v>-1.9629976651974914</v>
      </c>
      <c r="J63">
        <f t="shared" si="1"/>
        <v>5.1553286575488203E-4</v>
      </c>
    </row>
    <row r="64" spans="6:10" x14ac:dyDescent="0.25">
      <c r="F64">
        <v>58</v>
      </c>
      <c r="G64">
        <v>4.8069370606759418E-4</v>
      </c>
      <c r="H64">
        <v>1.4893081448308265E-4</v>
      </c>
      <c r="I64">
        <v>-1.9051467436670799</v>
      </c>
      <c r="J64">
        <f t="shared" si="1"/>
        <v>5.0323635257758649E-4</v>
      </c>
    </row>
    <row r="65" spans="6:10" x14ac:dyDescent="0.25">
      <c r="F65">
        <v>59</v>
      </c>
      <c r="G65">
        <v>4.671948685507182E-4</v>
      </c>
      <c r="H65">
        <v>1.5053229270526179E-4</v>
      </c>
      <c r="I65">
        <v>-1.8482725236160278</v>
      </c>
      <c r="J65">
        <f t="shared" si="1"/>
        <v>4.908472433937318E-4</v>
      </c>
    </row>
    <row r="66" spans="6:10" x14ac:dyDescent="0.25">
      <c r="F66">
        <v>60</v>
      </c>
      <c r="G66">
        <v>4.5355371919348578E-4</v>
      </c>
      <c r="H66">
        <v>1.5208791723959512E-4</v>
      </c>
      <c r="I66">
        <v>-1.792444297520662</v>
      </c>
      <c r="J66">
        <f t="shared" si="1"/>
        <v>4.7837402810407809E-4</v>
      </c>
    </row>
    <row r="67" spans="6:10" x14ac:dyDescent="0.25">
      <c r="F67">
        <v>61</v>
      </c>
      <c r="G67">
        <v>4.3977441140656949E-4</v>
      </c>
      <c r="H67">
        <v>1.5359721360392188E-4</v>
      </c>
      <c r="I67">
        <v>-1.7377300834748031</v>
      </c>
      <c r="J67">
        <f t="shared" si="1"/>
        <v>4.658257581487776E-4</v>
      </c>
    </row>
    <row r="68" spans="6:10" x14ac:dyDescent="0.25">
      <c r="F68">
        <v>62</v>
      </c>
      <c r="G68">
        <v>4.2586114662610441E-4</v>
      </c>
      <c r="H68">
        <v>1.5505972443792627E-4</v>
      </c>
      <c r="I68">
        <v>-1.6841965423201866</v>
      </c>
      <c r="J68">
        <f t="shared" si="1"/>
        <v>4.532121295248683E-4</v>
      </c>
    </row>
    <row r="69" spans="6:10" x14ac:dyDescent="0.25">
      <c r="F69">
        <v>63</v>
      </c>
      <c r="G69">
        <v>4.1181815924019432E-4</v>
      </c>
      <c r="H69">
        <v>1.5647500170713421E-4</v>
      </c>
      <c r="I69">
        <v>-1.6319088964304995</v>
      </c>
      <c r="J69">
        <f t="shared" si="1"/>
        <v>4.4054355339651687E-4</v>
      </c>
    </row>
    <row r="70" spans="6:10" x14ac:dyDescent="0.25">
      <c r="F70">
        <v>64</v>
      </c>
      <c r="G70">
        <v>3.9764972753813437E-4</v>
      </c>
      <c r="H70">
        <v>1.5784261502328965E-4</v>
      </c>
      <c r="I70">
        <v>-1.5809308502479642</v>
      </c>
      <c r="J70">
        <f t="shared" ref="J70:J96" si="2">SQRT(G70^2+H70^2)</f>
        <v>4.2783127156455371E-4</v>
      </c>
    </row>
    <row r="71" spans="6:10" x14ac:dyDescent="0.25">
      <c r="F71">
        <v>65</v>
      </c>
      <c r="G71">
        <v>3.8336016811050307E-4</v>
      </c>
      <c r="H71">
        <v>1.5916214787418207E-4</v>
      </c>
      <c r="I71">
        <v>-1.531324512669288</v>
      </c>
      <c r="J71">
        <f t="shared" si="2"/>
        <v>4.1508747007063001E-4</v>
      </c>
    </row>
    <row r="72" spans="6:10" x14ac:dyDescent="0.25">
      <c r="F72">
        <v>66</v>
      </c>
      <c r="G72">
        <v>3.6895383420629507E-4</v>
      </c>
      <c r="H72">
        <v>1.6043319910048694E-4</v>
      </c>
      <c r="I72">
        <v>-1.4831503213755397</v>
      </c>
      <c r="J72">
        <f t="shared" si="2"/>
        <v>4.0232541946680768E-4</v>
      </c>
    </row>
    <row r="73" spans="6:10" x14ac:dyDescent="0.25">
      <c r="F73">
        <v>67</v>
      </c>
      <c r="G73">
        <v>3.54435112298457E-4</v>
      </c>
      <c r="H73">
        <v>1.6165537990240318E-4</v>
      </c>
      <c r="I73">
        <v>-1.4364669691981469</v>
      </c>
      <c r="J73">
        <f t="shared" si="2"/>
        <v>3.8955963687400946E-4</v>
      </c>
    </row>
    <row r="74" spans="6:10" x14ac:dyDescent="0.25">
      <c r="F74">
        <v>68</v>
      </c>
      <c r="G74">
        <v>3.3980842623972189E-4</v>
      </c>
      <c r="H74">
        <v>1.6282831885566058E-4</v>
      </c>
      <c r="I74">
        <v>-1.3913313326107157</v>
      </c>
      <c r="J74">
        <f t="shared" si="2"/>
        <v>3.7680608801461419E-4</v>
      </c>
    </row>
    <row r="75" spans="6:10" x14ac:dyDescent="0.25">
      <c r="F75">
        <v>69</v>
      </c>
      <c r="G75">
        <v>3.2507823162671918E-4</v>
      </c>
      <c r="H75">
        <v>1.6395165922597631E-4</v>
      </c>
      <c r="I75">
        <v>-1.3477984024338192</v>
      </c>
      <c r="J75">
        <f t="shared" si="2"/>
        <v>3.6408241270419195E-4</v>
      </c>
    </row>
    <row r="76" spans="6:10" x14ac:dyDescent="0.25">
      <c r="F76">
        <v>70</v>
      </c>
      <c r="G76">
        <v>3.10249014553163E-4</v>
      </c>
      <c r="H76">
        <v>1.6502505785748235E-4</v>
      </c>
      <c r="I76">
        <v>-1.3059212168371421</v>
      </c>
      <c r="J76">
        <f t="shared" si="2"/>
        <v>3.5140819676278775E-4</v>
      </c>
    </row>
    <row r="77" spans="6:10" x14ac:dyDescent="0.25">
      <c r="F77">
        <v>71</v>
      </c>
      <c r="G77">
        <v>2.9532529380795044E-4</v>
      </c>
      <c r="H77">
        <v>1.6604818945136521E-4</v>
      </c>
      <c r="I77">
        <v>-1.2657507967206487</v>
      </c>
      <c r="J77">
        <f t="shared" si="2"/>
        <v>3.388052986345236E-4</v>
      </c>
    </row>
    <row r="78" spans="6:10" x14ac:dyDescent="0.25">
      <c r="F78">
        <v>72</v>
      </c>
      <c r="G78">
        <v>2.8031161411000703E-4</v>
      </c>
      <c r="H78">
        <v>1.6702074115956209E-4</v>
      </c>
      <c r="I78">
        <v>-1.2273360835534719</v>
      </c>
      <c r="J78">
        <f t="shared" si="2"/>
        <v>3.2629822093055753E-4</v>
      </c>
    </row>
    <row r="79" spans="6:10" x14ac:dyDescent="0.25">
      <c r="F79">
        <v>73</v>
      </c>
      <c r="G79">
        <v>2.6521254750729338E-4</v>
      </c>
      <c r="H79">
        <v>1.6794241555136049E-4</v>
      </c>
      <c r="I79">
        <v>-1.1907238797462731</v>
      </c>
      <c r="J79">
        <f t="shared" si="2"/>
        <v>3.1391455891139263E-4</v>
      </c>
    </row>
    <row r="80" spans="6:10" x14ac:dyDescent="0.25">
      <c r="F80">
        <v>74</v>
      </c>
      <c r="G80">
        <v>2.5003269564623015E-4</v>
      </c>
      <c r="H80">
        <v>1.6881293399519963E-4</v>
      </c>
      <c r="I80">
        <v>-1.1559587916297136</v>
      </c>
      <c r="J80">
        <f t="shared" si="2"/>
        <v>3.0168552430666606E-4</v>
      </c>
    </row>
    <row r="81" spans="6:10" x14ac:dyDescent="0.25">
      <c r="F81">
        <v>75</v>
      </c>
      <c r="G81">
        <v>2.3477668069222577E-4</v>
      </c>
      <c r="H81">
        <v>1.6963202966931029E-4</v>
      </c>
      <c r="I81">
        <v>-1.1230831751085124</v>
      </c>
      <c r="J81">
        <f t="shared" si="2"/>
        <v>2.8964653508472892E-4</v>
      </c>
    </row>
    <row r="82" spans="6:10" x14ac:dyDescent="0.25">
      <c r="F82">
        <v>76</v>
      </c>
      <c r="G82">
        <v>2.1944914973248138E-4</v>
      </c>
      <c r="H82">
        <v>1.7039945307303133E-4</v>
      </c>
      <c r="I82">
        <v>-1.0921370840572999</v>
      </c>
      <c r="J82">
        <f t="shared" si="2"/>
        <v>2.778379076474217E-4</v>
      </c>
    </row>
    <row r="83" spans="6:10" x14ac:dyDescent="0.25">
      <c r="F83">
        <v>77</v>
      </c>
      <c r="G83">
        <v>2.0405477291449701E-4</v>
      </c>
      <c r="H83">
        <v>1.7111497162856283E-4</v>
      </c>
      <c r="I83">
        <v>-1.0631582215211417</v>
      </c>
      <c r="J83">
        <f t="shared" si="2"/>
        <v>2.6630562116604074E-4</v>
      </c>
    </row>
    <row r="84" spans="6:10" x14ac:dyDescent="0.25">
      <c r="F84">
        <v>78</v>
      </c>
      <c r="G84">
        <v>1.8859824071272774E-4</v>
      </c>
      <c r="H84">
        <v>1.7177836857370694E-4</v>
      </c>
      <c r="I84">
        <v>-1.0361818937801874</v>
      </c>
      <c r="J84">
        <f t="shared" si="2"/>
        <v>2.5510214485531145E-4</v>
      </c>
    </row>
    <row r="85" spans="6:10" x14ac:dyDescent="0.25">
      <c r="F85">
        <v>79</v>
      </c>
      <c r="G85">
        <v>1.7307402673025346E-4</v>
      </c>
      <c r="H85">
        <v>1.7233410213653424E-4</v>
      </c>
      <c r="I85">
        <v>-1.0112408795722507</v>
      </c>
      <c r="J85">
        <f t="shared" si="2"/>
        <v>2.4424099059705334E-4</v>
      </c>
    </row>
    <row r="86" spans="6:10" x14ac:dyDescent="0.25">
      <c r="F86">
        <v>80</v>
      </c>
      <c r="G86">
        <v>1.5750922535511343E-4</v>
      </c>
      <c r="H86">
        <v>1.7290395970252244E-4</v>
      </c>
      <c r="I86">
        <v>-0.98836577326135933</v>
      </c>
      <c r="J86">
        <f t="shared" si="2"/>
        <v>2.3389086205488966E-4</v>
      </c>
    </row>
    <row r="87" spans="6:10" x14ac:dyDescent="0.25">
      <c r="F87">
        <v>81</v>
      </c>
      <c r="G87">
        <v>1.41878093592998E-4</v>
      </c>
      <c r="H87">
        <v>1.7315374784826509E-4</v>
      </c>
      <c r="I87">
        <v>-0.96758178021711694</v>
      </c>
      <c r="J87">
        <f t="shared" si="2"/>
        <v>2.2385623474784899E-4</v>
      </c>
    </row>
    <row r="88" spans="6:10" x14ac:dyDescent="0.25">
      <c r="F88">
        <v>82</v>
      </c>
      <c r="G88">
        <v>1.262449543353758E-4</v>
      </c>
      <c r="H88">
        <v>1.7390691644503595E-4</v>
      </c>
      <c r="I88">
        <v>-0.94892184436100224</v>
      </c>
      <c r="J88">
        <f t="shared" si="2"/>
        <v>2.1489859022934943E-4</v>
      </c>
    </row>
    <row r="89" spans="6:10" x14ac:dyDescent="0.25">
      <c r="F89">
        <v>83</v>
      </c>
      <c r="G89">
        <v>1.1054858737551312E-4</v>
      </c>
      <c r="H89">
        <v>1.7430698448927466E-4</v>
      </c>
      <c r="I89">
        <v>-0.93240105475402013</v>
      </c>
      <c r="J89">
        <f t="shared" si="2"/>
        <v>2.0640715833629826E-4</v>
      </c>
    </row>
    <row r="90" spans="6:10" x14ac:dyDescent="0.25">
      <c r="F90">
        <v>84</v>
      </c>
      <c r="G90">
        <v>9.4818545533791222E-5</v>
      </c>
      <c r="H90">
        <v>1.7465395622199819E-4</v>
      </c>
      <c r="I90">
        <v>-0.91804210740835002</v>
      </c>
      <c r="J90">
        <f t="shared" si="2"/>
        <v>1.9873238538582305E-4</v>
      </c>
    </row>
    <row r="91" spans="6:10" x14ac:dyDescent="0.25">
      <c r="F91">
        <v>85</v>
      </c>
      <c r="G91">
        <v>7.9059622251505805E-5</v>
      </c>
      <c r="H91">
        <v>1.749477278601944E-4</v>
      </c>
      <c r="I91">
        <v>-0.90586249648950579</v>
      </c>
      <c r="J91">
        <f t="shared" si="2"/>
        <v>1.9198211206775343E-4</v>
      </c>
    </row>
    <row r="92" spans="6:10" x14ac:dyDescent="0.25">
      <c r="F92">
        <v>86</v>
      </c>
      <c r="G92">
        <v>6.3276616144948886E-5</v>
      </c>
      <c r="H92">
        <v>1.7518820824728864E-4</v>
      </c>
      <c r="I92">
        <v>-0.89587706097726716</v>
      </c>
      <c r="J92">
        <f t="shared" si="2"/>
        <v>1.8626550528654139E-4</v>
      </c>
    </row>
    <row r="93" spans="6:10" x14ac:dyDescent="0.25">
      <c r="F93">
        <v>87</v>
      </c>
      <c r="G93">
        <v>4.7474334671415899E-5</v>
      </c>
      <c r="H93">
        <v>1.7537532389510219E-4</v>
      </c>
      <c r="I93">
        <v>-0.88809796658666718</v>
      </c>
      <c r="J93">
        <f t="shared" si="2"/>
        <v>1.8168741476449492E-4</v>
      </c>
    </row>
    <row r="94" spans="6:10" x14ac:dyDescent="0.25">
      <c r="F94">
        <v>88</v>
      </c>
      <c r="G94">
        <v>3.1657592992488262E-5</v>
      </c>
      <c r="H94">
        <v>1.7550901947205734E-4</v>
      </c>
      <c r="I94">
        <v>-0.88253469094594339</v>
      </c>
      <c r="J94">
        <f t="shared" si="2"/>
        <v>1.7834129950777258E-4</v>
      </c>
    </row>
    <row r="95" spans="6:10" x14ac:dyDescent="0.25">
      <c r="F95">
        <v>89</v>
      </c>
      <c r="G95">
        <v>1.5831207702844349E-5</v>
      </c>
      <c r="H95">
        <v>1.7558925283421814E-4</v>
      </c>
      <c r="I95">
        <v>-0.87919401204950653</v>
      </c>
      <c r="J95">
        <f t="shared" si="2"/>
        <v>1.7630148283043334E-4</v>
      </c>
    </row>
    <row r="96" spans="6:10" x14ac:dyDescent="0.25">
      <c r="F96">
        <v>90</v>
      </c>
      <c r="G96">
        <v>0</v>
      </c>
      <c r="H96">
        <v>1.7561599952316324E-4</v>
      </c>
      <c r="I96">
        <v>-0.8780800000000003</v>
      </c>
      <c r="J96">
        <f t="shared" si="2"/>
        <v>1.7561599952316324E-4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8193" r:id="rId3" name="macro_01">
          <controlPr autoLine="0" r:id="rId4">
            <anchor moveWithCells="1">
              <from>
                <xdr:col>13</xdr:col>
                <xdr:colOff>0</xdr:colOff>
                <xdr:row>3</xdr:row>
                <xdr:rowOff>123825</xdr:rowOff>
              </from>
              <to>
                <xdr:col>14</xdr:col>
                <xdr:colOff>304800</xdr:colOff>
                <xdr:row>5</xdr:row>
                <xdr:rowOff>47625</xdr:rowOff>
              </to>
            </anchor>
          </controlPr>
        </control>
      </mc:Choice>
      <mc:Fallback>
        <control shapeId="8193" r:id="rId3" name="macro_0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71</vt:i4>
      </vt:variant>
    </vt:vector>
  </HeadingPairs>
  <TitlesOfParts>
    <vt:vector size="102" baseType="lpstr">
      <vt:lpstr>Plan1 - Atingir Meta</vt:lpstr>
      <vt:lpstr>Plan1 - Solver</vt:lpstr>
      <vt:lpstr>Plan1 - Iteração</vt:lpstr>
      <vt:lpstr>Plan2 (2)</vt:lpstr>
      <vt:lpstr>Plan3 (2)</vt:lpstr>
      <vt:lpstr>Plan4</vt:lpstr>
      <vt:lpstr>Plan5</vt:lpstr>
      <vt:lpstr>Plan6</vt:lpstr>
      <vt:lpstr>Plan7</vt:lpstr>
      <vt:lpstr>Plan7 - Gráfico</vt:lpstr>
      <vt:lpstr>Plan7 - Derivada Algébrica</vt:lpstr>
      <vt:lpstr>Plan7 - Der Alg Gráfico</vt:lpstr>
      <vt:lpstr>Titration</vt:lpstr>
      <vt:lpstr>Plan1</vt:lpstr>
      <vt:lpstr>Plan8</vt:lpstr>
      <vt:lpstr>Plan9</vt:lpstr>
      <vt:lpstr>tanque v.1</vt:lpstr>
      <vt:lpstr>tanque v.2</vt:lpstr>
      <vt:lpstr>multidimensional v.1</vt:lpstr>
      <vt:lpstr>multidimensional v.2</vt:lpstr>
      <vt:lpstr>efluentes v.1</vt:lpstr>
      <vt:lpstr>efluentes v.2</vt:lpstr>
      <vt:lpstr>efluentes v.3</vt:lpstr>
      <vt:lpstr>efluentes v.4</vt:lpstr>
      <vt:lpstr>transportes Ortega Co.</vt:lpstr>
      <vt:lpstr>BMC v.1</vt:lpstr>
      <vt:lpstr>BMC v.2</vt:lpstr>
      <vt:lpstr>BMC v.3</vt:lpstr>
      <vt:lpstr>BMC v.4</vt:lpstr>
      <vt:lpstr>Prod.Químicos</vt:lpstr>
      <vt:lpstr>Mountain Bike</vt:lpstr>
      <vt:lpstr>Capacidade_1</vt:lpstr>
      <vt:lpstr>Capacidade_2</vt:lpstr>
      <vt:lpstr>cf_1</vt:lpstr>
      <vt:lpstr>cf_2</vt:lpstr>
      <vt:lpstr>cf_3</vt:lpstr>
      <vt:lpstr>cf_4</vt:lpstr>
      <vt:lpstr>Chegadas_1</vt:lpstr>
      <vt:lpstr>Chegadas_2</vt:lpstr>
      <vt:lpstr>ci_1</vt:lpstr>
      <vt:lpstr>ci_2</vt:lpstr>
      <vt:lpstr>ci_3</vt:lpstr>
      <vt:lpstr>ci_4</vt:lpstr>
      <vt:lpstr>Compr_Solda_Externo</vt:lpstr>
      <vt:lpstr>Compr_solda_Interno</vt:lpstr>
      <vt:lpstr>'tanque v.1'!Comprimento</vt:lpstr>
      <vt:lpstr>Comprimento_Total</vt:lpstr>
      <vt:lpstr>Cust_Mat_kg</vt:lpstr>
      <vt:lpstr>Cust_Solda_m</vt:lpstr>
      <vt:lpstr>'tanque v.1'!Custo_por_Kg</vt:lpstr>
      <vt:lpstr>'tanque v.1'!Custo_por_metro</vt:lpstr>
      <vt:lpstr>Custo_Total</vt:lpstr>
      <vt:lpstr>Custo_Total2</vt:lpstr>
      <vt:lpstr>D_</vt:lpstr>
      <vt:lpstr>d_1</vt:lpstr>
      <vt:lpstr>d_2</vt:lpstr>
      <vt:lpstr>d_3</vt:lpstr>
      <vt:lpstr>d_4</vt:lpstr>
      <vt:lpstr>D_máximo</vt:lpstr>
      <vt:lpstr>Demanda_1</vt:lpstr>
      <vt:lpstr>Demanda_2</vt:lpstr>
      <vt:lpstr>'tanque v.2'!Densidade</vt:lpstr>
      <vt:lpstr>Densidade</vt:lpstr>
      <vt:lpstr>'tanque v.1'!Diâmetro_Interno</vt:lpstr>
      <vt:lpstr>Dmax</vt:lpstr>
      <vt:lpstr>'tanque v.2'!Espessura</vt:lpstr>
      <vt:lpstr>Espessura</vt:lpstr>
      <vt:lpstr>Fluxo_1</vt:lpstr>
      <vt:lpstr>Fluxo_Máximo</vt:lpstr>
      <vt:lpstr>Fluxos</vt:lpstr>
      <vt:lpstr>Fluxos_Totais</vt:lpstr>
      <vt:lpstr>L_</vt:lpstr>
      <vt:lpstr>L_máximo</vt:lpstr>
      <vt:lpstr>Lmax</vt:lpstr>
      <vt:lpstr>Massa_Total</vt:lpstr>
      <vt:lpstr>P_1</vt:lpstr>
      <vt:lpstr>P_2</vt:lpstr>
      <vt:lpstr>P_3</vt:lpstr>
      <vt:lpstr>P_4</vt:lpstr>
      <vt:lpstr>Q_13</vt:lpstr>
      <vt:lpstr>Q_23</vt:lpstr>
      <vt:lpstr>Q_34</vt:lpstr>
      <vt:lpstr>Q_45</vt:lpstr>
      <vt:lpstr>R_13</vt:lpstr>
      <vt:lpstr>R_23</vt:lpstr>
      <vt:lpstr>R_34</vt:lpstr>
      <vt:lpstr>R_45</vt:lpstr>
      <vt:lpstr>Saidas_1</vt:lpstr>
      <vt:lpstr>Saidas_2</vt:lpstr>
      <vt:lpstr>Vol_Ext</vt:lpstr>
      <vt:lpstr>Vol_Interno</vt:lpstr>
      <vt:lpstr>Vol_pedido</vt:lpstr>
      <vt:lpstr>Vol_Tampa</vt:lpstr>
      <vt:lpstr>Vol_Total</vt:lpstr>
      <vt:lpstr>Volume_da_Tampa</vt:lpstr>
      <vt:lpstr>Volume_Externo</vt:lpstr>
      <vt:lpstr>Volume_Interno</vt:lpstr>
      <vt:lpstr>Volume_Total</vt:lpstr>
      <vt:lpstr>x_1</vt:lpstr>
      <vt:lpstr>x_2</vt:lpstr>
      <vt:lpstr>x_3</vt:lpstr>
      <vt:lpstr>x_4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Gustavo</cp:lastModifiedBy>
  <dcterms:created xsi:type="dcterms:W3CDTF">2010-02-25T14:29:26Z</dcterms:created>
  <dcterms:modified xsi:type="dcterms:W3CDTF">2017-09-28T12:10:57Z</dcterms:modified>
</cp:coreProperties>
</file>