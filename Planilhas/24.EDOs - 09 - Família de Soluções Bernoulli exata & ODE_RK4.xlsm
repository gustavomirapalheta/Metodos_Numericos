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13_ncr:40009_{98CA56D2-0900-4311-97DB-2FC5E1447DA8}" xr6:coauthVersionLast="47" xr6:coauthVersionMax="47" xr10:uidLastSave="{00000000-0000-0000-0000-000000000000}"/>
  <bookViews>
    <workbookView xWindow="-120" yWindow="-120" windowWidth="27960" windowHeight="14220"/>
  </bookViews>
  <sheets>
    <sheet name="edo - bernoulli - edo" sheetId="1" r:id="rId1"/>
    <sheet name="edo - bernoulli - exata" sheetId="2" r:id="rId2"/>
    <sheet name="edo - bernoulli - erro" sheetId="3" r:id="rId3"/>
  </sheets>
  <functionGroups builtInGroupCount="19"/>
  <externalReferences>
    <externalReference r:id="rId4"/>
    <externalReference r:id="rId5"/>
    <externalReference r:id="rId6"/>
    <externalReference r:id="rId7"/>
  </externalReferences>
  <definedNames>
    <definedName name="a_">'[1]corr rand var - via atingir met'!$D$1</definedName>
    <definedName name="A1_">'[2]edo - i - SEDOLS - xnum'!$G$23</definedName>
    <definedName name="A2_">'[2]edo - i - SEDOLS - xnum'!$G$24</definedName>
    <definedName name="b_">'[1]corr rand var - via atingir met'!$D$2</definedName>
    <definedName name="C_">'[2]karris - s&amp;s - 11.2.1 - PB'!$C$3</definedName>
    <definedName name="C_b2">'[2]edo - i - SEDOLS - xnum'!$B$25</definedName>
    <definedName name="correl_">'[1]corr rand var - via atingir met'!$D$3</definedName>
    <definedName name="E0_">'[2]edo - i - SEDOLS - xnum'!$B$26</definedName>
    <definedName name="K_">'[2]noceti - gráficos - 1.5.1'!$C$1</definedName>
    <definedName name="K_2">'[2]noceti - ex.1'!#REF!</definedName>
    <definedName name="K_b2">'[2]edo - i - SEDOLS - xnum'!$G$22</definedName>
    <definedName name="L_">'[2]edo - i - SEDOLS - xnum'!$B$24</definedName>
    <definedName name="n_">'[1]corr rand var - via atingir met'!$D$7</definedName>
    <definedName name="p_">'[2]edo - i - SEDOLS - xnum'!$G$21</definedName>
    <definedName name="Q_">'[2]noceti - gráficos - 1.5.1'!$C$3</definedName>
    <definedName name="R_">'[2]karris - s&amp;s - 11.2.1 - PB'!$B$3</definedName>
    <definedName name="rho">'[3]corr rand var - via formula'!$C$4</definedName>
    <definedName name="sigma">'[1]corr rand var - via atingir met'!$D$6</definedName>
    <definedName name="V1_">'[2]karris - 4.18'!$D$2:$E$2</definedName>
    <definedName name="V1_b">#REF!</definedName>
    <definedName name="V2_">'[2]karris - 4.18'!$D$3:$E$3</definedName>
    <definedName name="V2_b">#REF!</definedName>
    <definedName name="variação">'[1]corr rand var - via atingir met'!$D$8</definedName>
    <definedName name="Vs_">'[2]karris - 4.18'!$D$6:$E$6</definedName>
    <definedName name="Vs_b">#REF!</definedName>
    <definedName name="w_">'[2]edo - i - SEDOLS - xnum'!$D$27</definedName>
    <definedName name="w0_">'[2]noceti - gráficos - 1.5.1'!$C$2</definedName>
    <definedName name="w0_2">'[2]noceti - ex.1'!#REF!</definedName>
  </definedNames>
  <calcPr calcId="181029" calcMode="manual" iterate="1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" l="1"/>
  <c r="C7" i="2"/>
  <c r="C8" i="2"/>
  <c r="C8" i="3"/>
  <c r="D7" i="2"/>
  <c r="E7" i="2"/>
  <c r="E8" i="2"/>
  <c r="E8" i="3"/>
  <c r="F7" i="2"/>
  <c r="G7" i="2"/>
  <c r="G8" i="2"/>
  <c r="G8" i="3"/>
  <c r="H7" i="2"/>
  <c r="I7" i="2"/>
  <c r="I8" i="2"/>
  <c r="I8" i="3"/>
  <c r="J7" i="2"/>
  <c r="K7" i="2"/>
  <c r="K8" i="2"/>
  <c r="K8" i="3"/>
  <c r="L7" i="2"/>
  <c r="M7" i="2"/>
  <c r="M8" i="2"/>
  <c r="M8" i="3"/>
  <c r="N7" i="2"/>
  <c r="O7" i="2"/>
  <c r="O8" i="2"/>
  <c r="O8" i="3"/>
  <c r="P7" i="2"/>
  <c r="Q7" i="2"/>
  <c r="Q8" i="2"/>
  <c r="Q8" i="3"/>
  <c r="R7" i="2"/>
  <c r="S7" i="2"/>
  <c r="S8" i="2"/>
  <c r="S8" i="3"/>
  <c r="T7" i="2"/>
  <c r="U7" i="2"/>
  <c r="U8" i="2"/>
  <c r="U8" i="3"/>
  <c r="V7" i="2"/>
  <c r="B8" i="2"/>
  <c r="B8" i="3"/>
  <c r="D8" i="2"/>
  <c r="D8" i="3"/>
  <c r="F8" i="2"/>
  <c r="F8" i="3"/>
  <c r="H8" i="2"/>
  <c r="H8" i="3"/>
  <c r="J8" i="2"/>
  <c r="J8" i="3"/>
  <c r="L8" i="2"/>
  <c r="L8" i="3"/>
  <c r="N8" i="2"/>
  <c r="N8" i="3"/>
  <c r="P8" i="2"/>
  <c r="P8" i="3"/>
  <c r="R8" i="2"/>
  <c r="R8" i="3"/>
  <c r="T8" i="2"/>
  <c r="T8" i="3"/>
  <c r="V8" i="2"/>
  <c r="V8" i="3"/>
  <c r="A9" i="2"/>
  <c r="A9" i="3"/>
  <c r="B9" i="2"/>
  <c r="B9" i="3"/>
  <c r="D9" i="2"/>
  <c r="D9" i="3"/>
  <c r="F9" i="2"/>
  <c r="F9" i="3"/>
  <c r="H9" i="2"/>
  <c r="H9" i="3"/>
  <c r="J9" i="2"/>
  <c r="J9" i="3"/>
  <c r="L9" i="2"/>
  <c r="L9" i="3"/>
  <c r="N9" i="2"/>
  <c r="N9" i="3"/>
  <c r="P9" i="2"/>
  <c r="P9" i="3"/>
  <c r="R9" i="2"/>
  <c r="R9" i="3"/>
  <c r="T9" i="2"/>
  <c r="T9" i="3"/>
  <c r="V9" i="2"/>
  <c r="V9" i="3"/>
  <c r="B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U9" i="2"/>
  <c r="U9" i="3"/>
  <c r="S9" i="2"/>
  <c r="S9" i="3"/>
  <c r="Q9" i="2"/>
  <c r="Q9" i="3"/>
  <c r="O9" i="2"/>
  <c r="O9" i="3"/>
  <c r="M9" i="2"/>
  <c r="M9" i="3"/>
  <c r="K9" i="2"/>
  <c r="K9" i="3"/>
  <c r="I9" i="2"/>
  <c r="I9" i="3"/>
  <c r="G9" i="2"/>
  <c r="G9" i="3"/>
  <c r="E9" i="2"/>
  <c r="E9" i="3"/>
  <c r="C9" i="2"/>
  <c r="C9" i="3"/>
  <c r="A14" i="1" a="1"/>
  <c r="A14" i="1" l="1"/>
  <c r="B14" i="1"/>
  <c r="A10" i="2"/>
  <c r="A15" i="1" a="1"/>
  <c r="A15" i="1" l="1"/>
  <c r="B15" i="1"/>
  <c r="A11" i="2"/>
  <c r="B10" i="2"/>
  <c r="B10" i="3" s="1"/>
  <c r="D10" i="2"/>
  <c r="D10" i="3" s="1"/>
  <c r="H10" i="2"/>
  <c r="H10" i="3" s="1"/>
  <c r="J10" i="2"/>
  <c r="J10" i="3" s="1"/>
  <c r="N10" i="2"/>
  <c r="N10" i="3" s="1"/>
  <c r="R10" i="2"/>
  <c r="R10" i="3" s="1"/>
  <c r="V10" i="2"/>
  <c r="V10" i="3" s="1"/>
  <c r="A10" i="3"/>
  <c r="C10" i="2"/>
  <c r="C10" i="3" s="1"/>
  <c r="E10" i="2"/>
  <c r="E10" i="3" s="1"/>
  <c r="G10" i="2"/>
  <c r="G10" i="3" s="1"/>
  <c r="I10" i="2"/>
  <c r="I10" i="3" s="1"/>
  <c r="K10" i="2"/>
  <c r="K10" i="3" s="1"/>
  <c r="M10" i="2"/>
  <c r="M10" i="3" s="1"/>
  <c r="O10" i="2"/>
  <c r="O10" i="3" s="1"/>
  <c r="Q10" i="2"/>
  <c r="Q10" i="3" s="1"/>
  <c r="S10" i="2"/>
  <c r="S10" i="3" s="1"/>
  <c r="U10" i="2"/>
  <c r="U10" i="3" s="1"/>
  <c r="F10" i="2"/>
  <c r="F10" i="3" s="1"/>
  <c r="L10" i="2"/>
  <c r="L10" i="3" s="1"/>
  <c r="P10" i="2"/>
  <c r="P10" i="3" s="1"/>
  <c r="T10" i="2"/>
  <c r="T10" i="3" s="1"/>
  <c r="A16" i="1" a="1"/>
  <c r="A16" i="1" l="1"/>
  <c r="B16" i="1"/>
  <c r="A12" i="2"/>
  <c r="D11" i="2"/>
  <c r="D11" i="3" s="1"/>
  <c r="H11" i="2"/>
  <c r="H11" i="3" s="1"/>
  <c r="L11" i="2"/>
  <c r="L11" i="3" s="1"/>
  <c r="P11" i="2"/>
  <c r="P11" i="3" s="1"/>
  <c r="T11" i="2"/>
  <c r="T11" i="3" s="1"/>
  <c r="A11" i="3"/>
  <c r="C11" i="2"/>
  <c r="C11" i="3" s="1"/>
  <c r="E11" i="2"/>
  <c r="E11" i="3" s="1"/>
  <c r="G11" i="2"/>
  <c r="G11" i="3" s="1"/>
  <c r="I11" i="2"/>
  <c r="I11" i="3" s="1"/>
  <c r="K11" i="2"/>
  <c r="K11" i="3" s="1"/>
  <c r="M11" i="2"/>
  <c r="M11" i="3" s="1"/>
  <c r="O11" i="2"/>
  <c r="O11" i="3" s="1"/>
  <c r="Q11" i="2"/>
  <c r="Q11" i="3" s="1"/>
  <c r="S11" i="2"/>
  <c r="S11" i="3" s="1"/>
  <c r="U11" i="2"/>
  <c r="U11" i="3" s="1"/>
  <c r="B11" i="2"/>
  <c r="B11" i="3" s="1"/>
  <c r="F11" i="2"/>
  <c r="F11" i="3" s="1"/>
  <c r="J11" i="2"/>
  <c r="J11" i="3" s="1"/>
  <c r="N11" i="2"/>
  <c r="N11" i="3" s="1"/>
  <c r="R11" i="2"/>
  <c r="R11" i="3" s="1"/>
  <c r="V11" i="2"/>
  <c r="V11" i="3" s="1"/>
  <c r="A17" i="1" a="1"/>
  <c r="A17" i="1" l="1"/>
  <c r="B17" i="1"/>
  <c r="A13" i="2"/>
  <c r="B12" i="2"/>
  <c r="B12" i="3" s="1"/>
  <c r="D12" i="2"/>
  <c r="D12" i="3" s="1"/>
  <c r="J12" i="2"/>
  <c r="J12" i="3" s="1"/>
  <c r="N12" i="2"/>
  <c r="N12" i="3" s="1"/>
  <c r="R12" i="2"/>
  <c r="R12" i="3" s="1"/>
  <c r="V12" i="2"/>
  <c r="V12" i="3" s="1"/>
  <c r="A12" i="3"/>
  <c r="C12" i="2"/>
  <c r="C12" i="3" s="1"/>
  <c r="E12" i="2"/>
  <c r="E12" i="3" s="1"/>
  <c r="G12" i="2"/>
  <c r="G12" i="3" s="1"/>
  <c r="I12" i="2"/>
  <c r="I12" i="3" s="1"/>
  <c r="K12" i="2"/>
  <c r="K12" i="3" s="1"/>
  <c r="M12" i="2"/>
  <c r="M12" i="3" s="1"/>
  <c r="O12" i="2"/>
  <c r="O12" i="3" s="1"/>
  <c r="Q12" i="2"/>
  <c r="Q12" i="3" s="1"/>
  <c r="S12" i="2"/>
  <c r="S12" i="3" s="1"/>
  <c r="U12" i="2"/>
  <c r="U12" i="3" s="1"/>
  <c r="F12" i="2"/>
  <c r="F12" i="3" s="1"/>
  <c r="H12" i="2"/>
  <c r="H12" i="3" s="1"/>
  <c r="L12" i="2"/>
  <c r="L12" i="3" s="1"/>
  <c r="P12" i="2"/>
  <c r="P12" i="3" s="1"/>
  <c r="T12" i="2"/>
  <c r="T12" i="3" s="1"/>
  <c r="A18" i="1" a="1"/>
  <c r="A18" i="1" l="1"/>
  <c r="B18" i="1"/>
  <c r="A14" i="2"/>
  <c r="F13" i="2"/>
  <c r="F13" i="3" s="1"/>
  <c r="J13" i="2"/>
  <c r="J13" i="3" s="1"/>
  <c r="N13" i="2"/>
  <c r="N13" i="3" s="1"/>
  <c r="R13" i="2"/>
  <c r="R13" i="3" s="1"/>
  <c r="V13" i="2"/>
  <c r="V13" i="3" s="1"/>
  <c r="A13" i="3"/>
  <c r="C13" i="2"/>
  <c r="C13" i="3" s="1"/>
  <c r="E13" i="2"/>
  <c r="E13" i="3" s="1"/>
  <c r="G13" i="2"/>
  <c r="G13" i="3" s="1"/>
  <c r="I13" i="2"/>
  <c r="I13" i="3" s="1"/>
  <c r="K13" i="2"/>
  <c r="K13" i="3" s="1"/>
  <c r="M13" i="2"/>
  <c r="M13" i="3" s="1"/>
  <c r="O13" i="2"/>
  <c r="O13" i="3" s="1"/>
  <c r="Q13" i="2"/>
  <c r="Q13" i="3" s="1"/>
  <c r="S13" i="2"/>
  <c r="S13" i="3" s="1"/>
  <c r="U13" i="2"/>
  <c r="U13" i="3" s="1"/>
  <c r="B13" i="2"/>
  <c r="B13" i="3" s="1"/>
  <c r="D13" i="2"/>
  <c r="D13" i="3" s="1"/>
  <c r="H13" i="2"/>
  <c r="H13" i="3" s="1"/>
  <c r="L13" i="2"/>
  <c r="L13" i="3" s="1"/>
  <c r="P13" i="2"/>
  <c r="P13" i="3" s="1"/>
  <c r="T13" i="2"/>
  <c r="T13" i="3" s="1"/>
  <c r="A19" i="1" a="1"/>
  <c r="A19" i="1" l="1"/>
  <c r="B19" i="1"/>
  <c r="A15" i="2"/>
  <c r="D14" i="2"/>
  <c r="D14" i="3" s="1"/>
  <c r="H14" i="2"/>
  <c r="H14" i="3" s="1"/>
  <c r="L14" i="2"/>
  <c r="L14" i="3" s="1"/>
  <c r="P14" i="2"/>
  <c r="P14" i="3" s="1"/>
  <c r="T14" i="2"/>
  <c r="T14" i="3" s="1"/>
  <c r="A14" i="3"/>
  <c r="C14" i="2"/>
  <c r="C14" i="3" s="1"/>
  <c r="E14" i="2"/>
  <c r="E14" i="3" s="1"/>
  <c r="G14" i="2"/>
  <c r="G14" i="3" s="1"/>
  <c r="I14" i="2"/>
  <c r="I14" i="3" s="1"/>
  <c r="K14" i="2"/>
  <c r="K14" i="3" s="1"/>
  <c r="M14" i="2"/>
  <c r="M14" i="3" s="1"/>
  <c r="O14" i="2"/>
  <c r="O14" i="3" s="1"/>
  <c r="Q14" i="2"/>
  <c r="Q14" i="3" s="1"/>
  <c r="S14" i="2"/>
  <c r="S14" i="3" s="1"/>
  <c r="U14" i="2"/>
  <c r="U14" i="3" s="1"/>
  <c r="B14" i="2"/>
  <c r="B14" i="3" s="1"/>
  <c r="F14" i="2"/>
  <c r="F14" i="3" s="1"/>
  <c r="J14" i="2"/>
  <c r="J14" i="3" s="1"/>
  <c r="N14" i="2"/>
  <c r="N14" i="3" s="1"/>
  <c r="R14" i="2"/>
  <c r="R14" i="3" s="1"/>
  <c r="V14" i="2"/>
  <c r="V14" i="3" s="1"/>
  <c r="A20" i="1" a="1"/>
  <c r="A20" i="1" l="1"/>
  <c r="B20" i="1"/>
  <c r="A16" i="2"/>
  <c r="B15" i="2"/>
  <c r="B15" i="3" s="1"/>
  <c r="F15" i="2"/>
  <c r="F15" i="3" s="1"/>
  <c r="J15" i="2"/>
  <c r="J15" i="3" s="1"/>
  <c r="N15" i="2"/>
  <c r="N15" i="3" s="1"/>
  <c r="R15" i="2"/>
  <c r="R15" i="3" s="1"/>
  <c r="V15" i="2"/>
  <c r="V15" i="3" s="1"/>
  <c r="A15" i="3"/>
  <c r="C15" i="2"/>
  <c r="C15" i="3" s="1"/>
  <c r="E15" i="2"/>
  <c r="E15" i="3" s="1"/>
  <c r="G15" i="2"/>
  <c r="G15" i="3" s="1"/>
  <c r="I15" i="2"/>
  <c r="I15" i="3" s="1"/>
  <c r="K15" i="2"/>
  <c r="K15" i="3" s="1"/>
  <c r="M15" i="2"/>
  <c r="M15" i="3" s="1"/>
  <c r="O15" i="2"/>
  <c r="O15" i="3" s="1"/>
  <c r="Q15" i="2"/>
  <c r="Q15" i="3" s="1"/>
  <c r="S15" i="2"/>
  <c r="S15" i="3" s="1"/>
  <c r="U15" i="2"/>
  <c r="U15" i="3" s="1"/>
  <c r="D15" i="2"/>
  <c r="D15" i="3" s="1"/>
  <c r="H15" i="2"/>
  <c r="H15" i="3" s="1"/>
  <c r="L15" i="2"/>
  <c r="L15" i="3" s="1"/>
  <c r="P15" i="2"/>
  <c r="P15" i="3" s="1"/>
  <c r="T15" i="2"/>
  <c r="T15" i="3" s="1"/>
  <c r="A21" i="1" a="1"/>
  <c r="A21" i="1" l="1"/>
  <c r="B21" i="1"/>
  <c r="A17" i="2"/>
  <c r="D16" i="2"/>
  <c r="D16" i="3" s="1"/>
  <c r="H16" i="2"/>
  <c r="H16" i="3" s="1"/>
  <c r="N16" i="2"/>
  <c r="N16" i="3" s="1"/>
  <c r="R16" i="2"/>
  <c r="R16" i="3" s="1"/>
  <c r="V16" i="2"/>
  <c r="V16" i="3" s="1"/>
  <c r="A16" i="3"/>
  <c r="C16" i="2"/>
  <c r="C16" i="3" s="1"/>
  <c r="E16" i="2"/>
  <c r="E16" i="3" s="1"/>
  <c r="G16" i="2"/>
  <c r="G16" i="3" s="1"/>
  <c r="I16" i="2"/>
  <c r="I16" i="3" s="1"/>
  <c r="K16" i="2"/>
  <c r="K16" i="3" s="1"/>
  <c r="M16" i="2"/>
  <c r="M16" i="3" s="1"/>
  <c r="O16" i="2"/>
  <c r="O16" i="3" s="1"/>
  <c r="Q16" i="2"/>
  <c r="Q16" i="3" s="1"/>
  <c r="S16" i="2"/>
  <c r="S16" i="3" s="1"/>
  <c r="U16" i="2"/>
  <c r="U16" i="3" s="1"/>
  <c r="B16" i="2"/>
  <c r="B16" i="3" s="1"/>
  <c r="F16" i="2"/>
  <c r="F16" i="3" s="1"/>
  <c r="J16" i="2"/>
  <c r="J16" i="3" s="1"/>
  <c r="L16" i="2"/>
  <c r="L16" i="3" s="1"/>
  <c r="P16" i="2"/>
  <c r="P16" i="3" s="1"/>
  <c r="T16" i="2"/>
  <c r="T16" i="3" s="1"/>
  <c r="A22" i="1" a="1"/>
  <c r="A22" i="1" l="1"/>
  <c r="B22" i="1"/>
  <c r="A18" i="2"/>
  <c r="D17" i="2"/>
  <c r="D17" i="3" s="1"/>
  <c r="H17" i="2"/>
  <c r="H17" i="3" s="1"/>
  <c r="L17" i="2"/>
  <c r="L17" i="3" s="1"/>
  <c r="R17" i="2"/>
  <c r="R17" i="3" s="1"/>
  <c r="V17" i="2"/>
  <c r="V17" i="3" s="1"/>
  <c r="A17" i="3"/>
  <c r="C17" i="2"/>
  <c r="C17" i="3" s="1"/>
  <c r="E17" i="2"/>
  <c r="E17" i="3" s="1"/>
  <c r="G17" i="2"/>
  <c r="G17" i="3" s="1"/>
  <c r="I17" i="2"/>
  <c r="I17" i="3" s="1"/>
  <c r="K17" i="2"/>
  <c r="K17" i="3" s="1"/>
  <c r="M17" i="2"/>
  <c r="M17" i="3" s="1"/>
  <c r="O17" i="2"/>
  <c r="O17" i="3" s="1"/>
  <c r="Q17" i="2"/>
  <c r="Q17" i="3" s="1"/>
  <c r="S17" i="2"/>
  <c r="S17" i="3" s="1"/>
  <c r="U17" i="2"/>
  <c r="U17" i="3" s="1"/>
  <c r="B17" i="2"/>
  <c r="B17" i="3" s="1"/>
  <c r="F17" i="2"/>
  <c r="F17" i="3" s="1"/>
  <c r="J17" i="2"/>
  <c r="J17" i="3" s="1"/>
  <c r="N17" i="2"/>
  <c r="N17" i="3" s="1"/>
  <c r="P17" i="2"/>
  <c r="P17" i="3" s="1"/>
  <c r="T17" i="2"/>
  <c r="T17" i="3" s="1"/>
  <c r="A23" i="1" a="1"/>
  <c r="A23" i="1" l="1"/>
  <c r="B23" i="1"/>
  <c r="A19" i="2"/>
  <c r="D18" i="2"/>
  <c r="D18" i="3" s="1"/>
  <c r="H18" i="2"/>
  <c r="H18" i="3" s="1"/>
  <c r="L18" i="2"/>
  <c r="L18" i="3" s="1"/>
  <c r="P18" i="2"/>
  <c r="P18" i="3" s="1"/>
  <c r="T18" i="2"/>
  <c r="T18" i="3" s="1"/>
  <c r="A18" i="3"/>
  <c r="C18" i="2"/>
  <c r="C18" i="3" s="1"/>
  <c r="E18" i="2"/>
  <c r="E18" i="3" s="1"/>
  <c r="G18" i="2"/>
  <c r="G18" i="3" s="1"/>
  <c r="I18" i="2"/>
  <c r="I18" i="3" s="1"/>
  <c r="K18" i="2"/>
  <c r="K18" i="3" s="1"/>
  <c r="M18" i="2"/>
  <c r="M18" i="3" s="1"/>
  <c r="O18" i="2"/>
  <c r="O18" i="3" s="1"/>
  <c r="Q18" i="2"/>
  <c r="Q18" i="3" s="1"/>
  <c r="S18" i="2"/>
  <c r="S18" i="3" s="1"/>
  <c r="U18" i="2"/>
  <c r="U18" i="3" s="1"/>
  <c r="B18" i="2"/>
  <c r="B18" i="3" s="1"/>
  <c r="F18" i="2"/>
  <c r="F18" i="3" s="1"/>
  <c r="J18" i="2"/>
  <c r="J18" i="3" s="1"/>
  <c r="N18" i="2"/>
  <c r="N18" i="3" s="1"/>
  <c r="R18" i="2"/>
  <c r="R18" i="3" s="1"/>
  <c r="V18" i="2"/>
  <c r="V18" i="3" s="1"/>
  <c r="A24" i="1" a="1"/>
  <c r="A24" i="1" l="1"/>
  <c r="B24" i="1"/>
  <c r="A20" i="2"/>
  <c r="B19" i="2"/>
  <c r="B19" i="3" s="1"/>
  <c r="F19" i="2"/>
  <c r="F19" i="3" s="1"/>
  <c r="J19" i="2"/>
  <c r="J19" i="3" s="1"/>
  <c r="N19" i="2"/>
  <c r="N19" i="3" s="1"/>
  <c r="R19" i="2"/>
  <c r="R19" i="3" s="1"/>
  <c r="V19" i="2"/>
  <c r="V19" i="3" s="1"/>
  <c r="A19" i="3"/>
  <c r="C19" i="2"/>
  <c r="C19" i="3" s="1"/>
  <c r="E19" i="2"/>
  <c r="E19" i="3" s="1"/>
  <c r="G19" i="2"/>
  <c r="G19" i="3" s="1"/>
  <c r="I19" i="2"/>
  <c r="I19" i="3" s="1"/>
  <c r="K19" i="2"/>
  <c r="K19" i="3" s="1"/>
  <c r="M19" i="2"/>
  <c r="M19" i="3" s="1"/>
  <c r="O19" i="2"/>
  <c r="O19" i="3" s="1"/>
  <c r="Q19" i="2"/>
  <c r="Q19" i="3" s="1"/>
  <c r="S19" i="2"/>
  <c r="S19" i="3" s="1"/>
  <c r="U19" i="2"/>
  <c r="U19" i="3" s="1"/>
  <c r="D19" i="2"/>
  <c r="D19" i="3" s="1"/>
  <c r="H19" i="2"/>
  <c r="H19" i="3" s="1"/>
  <c r="L19" i="2"/>
  <c r="L19" i="3" s="1"/>
  <c r="P19" i="2"/>
  <c r="P19" i="3" s="1"/>
  <c r="T19" i="2"/>
  <c r="T19" i="3" s="1"/>
  <c r="A25" i="1" a="1"/>
  <c r="A25" i="1" l="1"/>
  <c r="B25" i="1"/>
  <c r="A21" i="2"/>
  <c r="D20" i="2"/>
  <c r="D20" i="3" s="1"/>
  <c r="H20" i="2"/>
  <c r="H20" i="3" s="1"/>
  <c r="L20" i="2"/>
  <c r="L20" i="3" s="1"/>
  <c r="P20" i="2"/>
  <c r="P20" i="3" s="1"/>
  <c r="T20" i="2"/>
  <c r="T20" i="3" s="1"/>
  <c r="A20" i="3"/>
  <c r="C20" i="2"/>
  <c r="C20" i="3" s="1"/>
  <c r="E20" i="2"/>
  <c r="E20" i="3" s="1"/>
  <c r="G20" i="2"/>
  <c r="G20" i="3" s="1"/>
  <c r="I20" i="2"/>
  <c r="I20" i="3" s="1"/>
  <c r="K20" i="2"/>
  <c r="K20" i="3" s="1"/>
  <c r="M20" i="2"/>
  <c r="M20" i="3" s="1"/>
  <c r="O20" i="2"/>
  <c r="O20" i="3" s="1"/>
  <c r="Q20" i="2"/>
  <c r="Q20" i="3" s="1"/>
  <c r="S20" i="2"/>
  <c r="S20" i="3" s="1"/>
  <c r="U20" i="2"/>
  <c r="U20" i="3" s="1"/>
  <c r="B20" i="2"/>
  <c r="B20" i="3" s="1"/>
  <c r="F20" i="2"/>
  <c r="F20" i="3" s="1"/>
  <c r="J20" i="2"/>
  <c r="J20" i="3" s="1"/>
  <c r="N20" i="2"/>
  <c r="N20" i="3" s="1"/>
  <c r="R20" i="2"/>
  <c r="R20" i="3" s="1"/>
  <c r="V20" i="2"/>
  <c r="V20" i="3" s="1"/>
  <c r="A26" i="1" a="1"/>
  <c r="A26" i="1" l="1"/>
  <c r="B26" i="1"/>
  <c r="A22" i="2"/>
  <c r="D21" i="2"/>
  <c r="D21" i="3" s="1"/>
  <c r="H21" i="2"/>
  <c r="H21" i="3" s="1"/>
  <c r="L21" i="2"/>
  <c r="L21" i="3" s="1"/>
  <c r="P21" i="2"/>
  <c r="P21" i="3" s="1"/>
  <c r="T21" i="2"/>
  <c r="T21" i="3" s="1"/>
  <c r="A21" i="3"/>
  <c r="C21" i="2"/>
  <c r="C21" i="3" s="1"/>
  <c r="E21" i="2"/>
  <c r="E21" i="3" s="1"/>
  <c r="G21" i="2"/>
  <c r="G21" i="3" s="1"/>
  <c r="I21" i="2"/>
  <c r="I21" i="3" s="1"/>
  <c r="K21" i="2"/>
  <c r="K21" i="3" s="1"/>
  <c r="M21" i="2"/>
  <c r="M21" i="3" s="1"/>
  <c r="O21" i="2"/>
  <c r="O21" i="3" s="1"/>
  <c r="Q21" i="2"/>
  <c r="Q21" i="3" s="1"/>
  <c r="S21" i="2"/>
  <c r="S21" i="3" s="1"/>
  <c r="U21" i="2"/>
  <c r="U21" i="3" s="1"/>
  <c r="B21" i="2"/>
  <c r="B21" i="3" s="1"/>
  <c r="F21" i="2"/>
  <c r="F21" i="3" s="1"/>
  <c r="J21" i="2"/>
  <c r="J21" i="3" s="1"/>
  <c r="N21" i="2"/>
  <c r="N21" i="3" s="1"/>
  <c r="R21" i="2"/>
  <c r="R21" i="3" s="1"/>
  <c r="V21" i="2"/>
  <c r="V21" i="3" s="1"/>
  <c r="A27" i="1" a="1"/>
  <c r="A27" i="1" l="1"/>
  <c r="B27" i="1"/>
  <c r="A23" i="2"/>
  <c r="B22" i="2"/>
  <c r="B22" i="3" s="1"/>
  <c r="F22" i="2"/>
  <c r="F22" i="3" s="1"/>
  <c r="J22" i="2"/>
  <c r="J22" i="3" s="1"/>
  <c r="N22" i="2"/>
  <c r="N22" i="3" s="1"/>
  <c r="R22" i="2"/>
  <c r="R22" i="3" s="1"/>
  <c r="V22" i="2"/>
  <c r="V22" i="3" s="1"/>
  <c r="A22" i="3"/>
  <c r="C22" i="2"/>
  <c r="C22" i="3" s="1"/>
  <c r="E22" i="2"/>
  <c r="E22" i="3" s="1"/>
  <c r="G22" i="2"/>
  <c r="G22" i="3" s="1"/>
  <c r="I22" i="2"/>
  <c r="I22" i="3" s="1"/>
  <c r="K22" i="2"/>
  <c r="K22" i="3" s="1"/>
  <c r="M22" i="2"/>
  <c r="M22" i="3" s="1"/>
  <c r="O22" i="2"/>
  <c r="O22" i="3" s="1"/>
  <c r="Q22" i="2"/>
  <c r="Q22" i="3" s="1"/>
  <c r="S22" i="2"/>
  <c r="S22" i="3" s="1"/>
  <c r="U22" i="2"/>
  <c r="U22" i="3" s="1"/>
  <c r="D22" i="2"/>
  <c r="D22" i="3" s="1"/>
  <c r="H22" i="2"/>
  <c r="H22" i="3" s="1"/>
  <c r="L22" i="2"/>
  <c r="L22" i="3" s="1"/>
  <c r="P22" i="2"/>
  <c r="P22" i="3" s="1"/>
  <c r="T22" i="2"/>
  <c r="T22" i="3" s="1"/>
  <c r="A28" i="1" a="1"/>
  <c r="A28" i="1" l="1"/>
  <c r="B28" i="1"/>
  <c r="A24" i="2"/>
  <c r="D23" i="2"/>
  <c r="D23" i="3" s="1"/>
  <c r="H23" i="2"/>
  <c r="H23" i="3" s="1"/>
  <c r="J23" i="2"/>
  <c r="J23" i="3" s="1"/>
  <c r="N23" i="2"/>
  <c r="N23" i="3" s="1"/>
  <c r="R23" i="2"/>
  <c r="R23" i="3" s="1"/>
  <c r="V23" i="2"/>
  <c r="V23" i="3" s="1"/>
  <c r="A23" i="3"/>
  <c r="C23" i="2"/>
  <c r="C23" i="3" s="1"/>
  <c r="E23" i="2"/>
  <c r="E23" i="3" s="1"/>
  <c r="G23" i="2"/>
  <c r="G23" i="3" s="1"/>
  <c r="I23" i="2"/>
  <c r="I23" i="3" s="1"/>
  <c r="K23" i="2"/>
  <c r="K23" i="3" s="1"/>
  <c r="M23" i="2"/>
  <c r="M23" i="3" s="1"/>
  <c r="O23" i="2"/>
  <c r="O23" i="3" s="1"/>
  <c r="Q23" i="2"/>
  <c r="Q23" i="3" s="1"/>
  <c r="S23" i="2"/>
  <c r="S23" i="3" s="1"/>
  <c r="U23" i="2"/>
  <c r="U23" i="3" s="1"/>
  <c r="B23" i="2"/>
  <c r="B23" i="3" s="1"/>
  <c r="F23" i="2"/>
  <c r="F23" i="3" s="1"/>
  <c r="L23" i="2"/>
  <c r="L23" i="3" s="1"/>
  <c r="P23" i="2"/>
  <c r="P23" i="3" s="1"/>
  <c r="T23" i="2"/>
  <c r="T23" i="3" s="1"/>
  <c r="A29" i="1" a="1"/>
  <c r="A29" i="1" l="1"/>
  <c r="B29" i="1"/>
  <c r="A25" i="2"/>
  <c r="D24" i="2"/>
  <c r="D24" i="3" s="1"/>
  <c r="J24" i="2"/>
  <c r="J24" i="3" s="1"/>
  <c r="P24" i="2"/>
  <c r="P24" i="3" s="1"/>
  <c r="T24" i="2"/>
  <c r="T24" i="3" s="1"/>
  <c r="A24" i="3"/>
  <c r="C24" i="2"/>
  <c r="C24" i="3" s="1"/>
  <c r="E24" i="2"/>
  <c r="E24" i="3" s="1"/>
  <c r="G24" i="2"/>
  <c r="G24" i="3" s="1"/>
  <c r="I24" i="2"/>
  <c r="I24" i="3" s="1"/>
  <c r="K24" i="2"/>
  <c r="K24" i="3" s="1"/>
  <c r="M24" i="2"/>
  <c r="M24" i="3" s="1"/>
  <c r="O24" i="2"/>
  <c r="O24" i="3" s="1"/>
  <c r="Q24" i="2"/>
  <c r="Q24" i="3" s="1"/>
  <c r="S24" i="2"/>
  <c r="S24" i="3" s="1"/>
  <c r="U24" i="2"/>
  <c r="U24" i="3" s="1"/>
  <c r="B24" i="2"/>
  <c r="B24" i="3" s="1"/>
  <c r="F24" i="2"/>
  <c r="F24" i="3" s="1"/>
  <c r="H24" i="2"/>
  <c r="H24" i="3" s="1"/>
  <c r="L24" i="2"/>
  <c r="L24" i="3" s="1"/>
  <c r="N24" i="2"/>
  <c r="N24" i="3" s="1"/>
  <c r="R24" i="2"/>
  <c r="R24" i="3" s="1"/>
  <c r="V24" i="2"/>
  <c r="V24" i="3" s="1"/>
  <c r="A30" i="1" a="1"/>
  <c r="A30" i="1" l="1"/>
  <c r="B30" i="1"/>
  <c r="A26" i="2"/>
  <c r="B25" i="2"/>
  <c r="B25" i="3" s="1"/>
  <c r="F25" i="2"/>
  <c r="F25" i="3" s="1"/>
  <c r="J25" i="2"/>
  <c r="J25" i="3" s="1"/>
  <c r="N25" i="2"/>
  <c r="N25" i="3" s="1"/>
  <c r="R25" i="2"/>
  <c r="R25" i="3" s="1"/>
  <c r="V25" i="2"/>
  <c r="V25" i="3" s="1"/>
  <c r="A25" i="3"/>
  <c r="C25" i="2"/>
  <c r="C25" i="3" s="1"/>
  <c r="E25" i="2"/>
  <c r="E25" i="3" s="1"/>
  <c r="G25" i="2"/>
  <c r="G25" i="3" s="1"/>
  <c r="I25" i="2"/>
  <c r="I25" i="3" s="1"/>
  <c r="K25" i="2"/>
  <c r="K25" i="3" s="1"/>
  <c r="M25" i="2"/>
  <c r="M25" i="3" s="1"/>
  <c r="O25" i="2"/>
  <c r="O25" i="3" s="1"/>
  <c r="Q25" i="2"/>
  <c r="Q25" i="3" s="1"/>
  <c r="S25" i="2"/>
  <c r="S25" i="3" s="1"/>
  <c r="U25" i="2"/>
  <c r="U25" i="3" s="1"/>
  <c r="D25" i="2"/>
  <c r="D25" i="3" s="1"/>
  <c r="H25" i="2"/>
  <c r="H25" i="3" s="1"/>
  <c r="L25" i="2"/>
  <c r="L25" i="3" s="1"/>
  <c r="P25" i="2"/>
  <c r="P25" i="3" s="1"/>
  <c r="T25" i="2"/>
  <c r="T25" i="3" s="1"/>
  <c r="A31" i="1" a="1"/>
  <c r="A31" i="1" l="1"/>
  <c r="B31" i="1"/>
  <c r="A27" i="2"/>
  <c r="D26" i="2"/>
  <c r="D26" i="3" s="1"/>
  <c r="H26" i="2"/>
  <c r="H26" i="3" s="1"/>
  <c r="L26" i="2"/>
  <c r="L26" i="3" s="1"/>
  <c r="P26" i="2"/>
  <c r="P26" i="3" s="1"/>
  <c r="T26" i="2"/>
  <c r="T26" i="3" s="1"/>
  <c r="A26" i="3"/>
  <c r="C26" i="2"/>
  <c r="C26" i="3" s="1"/>
  <c r="E26" i="2"/>
  <c r="E26" i="3" s="1"/>
  <c r="G26" i="2"/>
  <c r="G26" i="3" s="1"/>
  <c r="I26" i="2"/>
  <c r="I26" i="3" s="1"/>
  <c r="K26" i="2"/>
  <c r="K26" i="3" s="1"/>
  <c r="M26" i="2"/>
  <c r="M26" i="3" s="1"/>
  <c r="O26" i="2"/>
  <c r="O26" i="3" s="1"/>
  <c r="Q26" i="2"/>
  <c r="Q26" i="3" s="1"/>
  <c r="S26" i="2"/>
  <c r="S26" i="3" s="1"/>
  <c r="U26" i="2"/>
  <c r="U26" i="3" s="1"/>
  <c r="B26" i="2"/>
  <c r="B26" i="3" s="1"/>
  <c r="F26" i="2"/>
  <c r="F26" i="3" s="1"/>
  <c r="J26" i="2"/>
  <c r="J26" i="3" s="1"/>
  <c r="N26" i="2"/>
  <c r="N26" i="3" s="1"/>
  <c r="R26" i="2"/>
  <c r="R26" i="3" s="1"/>
  <c r="V26" i="2"/>
  <c r="V26" i="3" s="1"/>
  <c r="A32" i="1" a="1"/>
  <c r="A32" i="1" l="1"/>
  <c r="B32" i="1"/>
  <c r="A28" i="2"/>
  <c r="B27" i="2"/>
  <c r="B27" i="3" s="1"/>
  <c r="F27" i="2"/>
  <c r="F27" i="3" s="1"/>
  <c r="J27" i="2"/>
  <c r="J27" i="3" s="1"/>
  <c r="N27" i="2"/>
  <c r="N27" i="3" s="1"/>
  <c r="R27" i="2"/>
  <c r="R27" i="3" s="1"/>
  <c r="V27" i="2"/>
  <c r="V27" i="3" s="1"/>
  <c r="A27" i="3"/>
  <c r="C27" i="2"/>
  <c r="C27" i="3" s="1"/>
  <c r="E27" i="2"/>
  <c r="E27" i="3" s="1"/>
  <c r="G27" i="2"/>
  <c r="G27" i="3" s="1"/>
  <c r="I27" i="2"/>
  <c r="I27" i="3" s="1"/>
  <c r="K27" i="2"/>
  <c r="K27" i="3" s="1"/>
  <c r="M27" i="2"/>
  <c r="M27" i="3" s="1"/>
  <c r="O27" i="2"/>
  <c r="O27" i="3" s="1"/>
  <c r="Q27" i="2"/>
  <c r="Q27" i="3" s="1"/>
  <c r="S27" i="2"/>
  <c r="S27" i="3" s="1"/>
  <c r="U27" i="2"/>
  <c r="U27" i="3" s="1"/>
  <c r="D27" i="2"/>
  <c r="D27" i="3" s="1"/>
  <c r="H27" i="2"/>
  <c r="H27" i="3" s="1"/>
  <c r="L27" i="2"/>
  <c r="L27" i="3" s="1"/>
  <c r="P27" i="2"/>
  <c r="P27" i="3" s="1"/>
  <c r="T27" i="2"/>
  <c r="T27" i="3" s="1"/>
  <c r="A33" i="1" a="1"/>
  <c r="A33" i="1" l="1"/>
  <c r="B33" i="1"/>
  <c r="D28" i="2"/>
  <c r="D28" i="3" s="1"/>
  <c r="H28" i="2"/>
  <c r="H28" i="3" s="1"/>
  <c r="L28" i="2"/>
  <c r="L28" i="3" s="1"/>
  <c r="P28" i="2"/>
  <c r="P28" i="3" s="1"/>
  <c r="T28" i="2"/>
  <c r="T28" i="3" s="1"/>
  <c r="A28" i="3"/>
  <c r="C28" i="2"/>
  <c r="C28" i="3" s="1"/>
  <c r="E28" i="2"/>
  <c r="E28" i="3" s="1"/>
  <c r="G28" i="2"/>
  <c r="G28" i="3" s="1"/>
  <c r="I28" i="2"/>
  <c r="I28" i="3" s="1"/>
  <c r="K28" i="2"/>
  <c r="K28" i="3" s="1"/>
  <c r="M28" i="2"/>
  <c r="M28" i="3" s="1"/>
  <c r="O28" i="2"/>
  <c r="O28" i="3" s="1"/>
  <c r="Q28" i="2"/>
  <c r="Q28" i="3" s="1"/>
  <c r="S28" i="2"/>
  <c r="S28" i="3" s="1"/>
  <c r="U28" i="2"/>
  <c r="U28" i="3" s="1"/>
  <c r="B28" i="2"/>
  <c r="B28" i="3" s="1"/>
  <c r="F28" i="2"/>
  <c r="F28" i="3" s="1"/>
  <c r="J28" i="2"/>
  <c r="J28" i="3" s="1"/>
  <c r="N28" i="2"/>
  <c r="N28" i="3" s="1"/>
  <c r="R28" i="2"/>
  <c r="R28" i="3" s="1"/>
  <c r="V28" i="2"/>
  <c r="V28" i="3" s="1"/>
  <c r="A34" i="1" a="1"/>
  <c r="A34" i="1" l="1"/>
  <c r="B34" i="1"/>
  <c r="A30" i="2"/>
  <c r="A29" i="2"/>
  <c r="A35" i="1" a="1"/>
  <c r="A35" i="1" l="1"/>
  <c r="B35" i="1"/>
  <c r="B29" i="2"/>
  <c r="B29" i="3" s="1"/>
  <c r="F29" i="2"/>
  <c r="F29" i="3" s="1"/>
  <c r="J29" i="2"/>
  <c r="J29" i="3" s="1"/>
  <c r="N29" i="2"/>
  <c r="N29" i="3" s="1"/>
  <c r="R29" i="2"/>
  <c r="R29" i="3" s="1"/>
  <c r="V29" i="2"/>
  <c r="V29" i="3" s="1"/>
  <c r="A29" i="3"/>
  <c r="C29" i="2"/>
  <c r="C29" i="3" s="1"/>
  <c r="E29" i="2"/>
  <c r="E29" i="3" s="1"/>
  <c r="G29" i="2"/>
  <c r="G29" i="3" s="1"/>
  <c r="I29" i="2"/>
  <c r="I29" i="3" s="1"/>
  <c r="K29" i="2"/>
  <c r="K29" i="3" s="1"/>
  <c r="M29" i="2"/>
  <c r="M29" i="3" s="1"/>
  <c r="O29" i="2"/>
  <c r="O29" i="3" s="1"/>
  <c r="Q29" i="2"/>
  <c r="Q29" i="3" s="1"/>
  <c r="S29" i="2"/>
  <c r="S29" i="3" s="1"/>
  <c r="U29" i="2"/>
  <c r="U29" i="3" s="1"/>
  <c r="D29" i="2"/>
  <c r="D29" i="3" s="1"/>
  <c r="H29" i="2"/>
  <c r="H29" i="3" s="1"/>
  <c r="L29" i="2"/>
  <c r="L29" i="3" s="1"/>
  <c r="P29" i="2"/>
  <c r="P29" i="3" s="1"/>
  <c r="T29" i="2"/>
  <c r="T29" i="3" s="1"/>
  <c r="D30" i="2"/>
  <c r="D30" i="3" s="1"/>
  <c r="H30" i="2"/>
  <c r="H30" i="3" s="1"/>
  <c r="L30" i="2"/>
  <c r="L30" i="3" s="1"/>
  <c r="R30" i="2"/>
  <c r="R30" i="3" s="1"/>
  <c r="V30" i="2"/>
  <c r="V30" i="3" s="1"/>
  <c r="A30" i="3"/>
  <c r="C30" i="2"/>
  <c r="C30" i="3" s="1"/>
  <c r="E30" i="2"/>
  <c r="E30" i="3" s="1"/>
  <c r="G30" i="2"/>
  <c r="G30" i="3" s="1"/>
  <c r="I30" i="2"/>
  <c r="I30" i="3" s="1"/>
  <c r="K30" i="2"/>
  <c r="K30" i="3" s="1"/>
  <c r="M30" i="2"/>
  <c r="M30" i="3" s="1"/>
  <c r="O30" i="2"/>
  <c r="O30" i="3" s="1"/>
  <c r="Q30" i="2"/>
  <c r="Q30" i="3" s="1"/>
  <c r="S30" i="2"/>
  <c r="S30" i="3" s="1"/>
  <c r="U30" i="2"/>
  <c r="U30" i="3" s="1"/>
  <c r="B30" i="2"/>
  <c r="B30" i="3" s="1"/>
  <c r="F30" i="2"/>
  <c r="F30" i="3" s="1"/>
  <c r="J30" i="2"/>
  <c r="J30" i="3" s="1"/>
  <c r="N30" i="2"/>
  <c r="N30" i="3" s="1"/>
  <c r="P30" i="2"/>
  <c r="P30" i="3" s="1"/>
  <c r="T30" i="2"/>
  <c r="T30" i="3" s="1"/>
  <c r="A36" i="1" a="1"/>
  <c r="A36" i="1" l="1"/>
  <c r="B36" i="1"/>
  <c r="A32" i="2"/>
  <c r="A31" i="2"/>
  <c r="A37" i="1" a="1"/>
  <c r="A37" i="1" l="1"/>
  <c r="B37" i="1"/>
  <c r="D31" i="2"/>
  <c r="D31" i="3" s="1"/>
  <c r="H31" i="2"/>
  <c r="H31" i="3" s="1"/>
  <c r="L31" i="2"/>
  <c r="L31" i="3" s="1"/>
  <c r="P31" i="2"/>
  <c r="P31" i="3" s="1"/>
  <c r="T31" i="2"/>
  <c r="T31" i="3" s="1"/>
  <c r="A31" i="3"/>
  <c r="C31" i="2"/>
  <c r="C31" i="3" s="1"/>
  <c r="E31" i="2"/>
  <c r="E31" i="3" s="1"/>
  <c r="G31" i="2"/>
  <c r="G31" i="3" s="1"/>
  <c r="I31" i="2"/>
  <c r="I31" i="3" s="1"/>
  <c r="K31" i="2"/>
  <c r="K31" i="3" s="1"/>
  <c r="M31" i="2"/>
  <c r="M31" i="3" s="1"/>
  <c r="O31" i="2"/>
  <c r="O31" i="3" s="1"/>
  <c r="Q31" i="2"/>
  <c r="Q31" i="3" s="1"/>
  <c r="S31" i="2"/>
  <c r="S31" i="3" s="1"/>
  <c r="U31" i="2"/>
  <c r="U31" i="3" s="1"/>
  <c r="B31" i="2"/>
  <c r="B31" i="3" s="1"/>
  <c r="F31" i="2"/>
  <c r="F31" i="3" s="1"/>
  <c r="J31" i="2"/>
  <c r="J31" i="3" s="1"/>
  <c r="N31" i="2"/>
  <c r="N31" i="3" s="1"/>
  <c r="R31" i="2"/>
  <c r="R31" i="3" s="1"/>
  <c r="V31" i="2"/>
  <c r="V31" i="3" s="1"/>
  <c r="B32" i="2"/>
  <c r="B32" i="3" s="1"/>
  <c r="F32" i="2"/>
  <c r="F32" i="3" s="1"/>
  <c r="J32" i="2"/>
  <c r="J32" i="3" s="1"/>
  <c r="N32" i="2"/>
  <c r="N32" i="3" s="1"/>
  <c r="R32" i="2"/>
  <c r="R32" i="3" s="1"/>
  <c r="A32" i="3"/>
  <c r="C32" i="2"/>
  <c r="C32" i="3" s="1"/>
  <c r="E32" i="2"/>
  <c r="E32" i="3" s="1"/>
  <c r="G32" i="2"/>
  <c r="G32" i="3" s="1"/>
  <c r="I32" i="2"/>
  <c r="I32" i="3" s="1"/>
  <c r="K32" i="2"/>
  <c r="K32" i="3" s="1"/>
  <c r="M32" i="2"/>
  <c r="M32" i="3" s="1"/>
  <c r="O32" i="2"/>
  <c r="O32" i="3" s="1"/>
  <c r="Q32" i="2"/>
  <c r="Q32" i="3" s="1"/>
  <c r="S32" i="2"/>
  <c r="S32" i="3" s="1"/>
  <c r="U32" i="2"/>
  <c r="U32" i="3" s="1"/>
  <c r="D32" i="2"/>
  <c r="D32" i="3" s="1"/>
  <c r="H32" i="2"/>
  <c r="H32" i="3" s="1"/>
  <c r="L32" i="2"/>
  <c r="L32" i="3" s="1"/>
  <c r="P32" i="2"/>
  <c r="P32" i="3" s="1"/>
  <c r="T32" i="2"/>
  <c r="T32" i="3" s="1"/>
  <c r="V32" i="2"/>
  <c r="V32" i="3" s="1"/>
  <c r="A38" i="1" a="1"/>
  <c r="A38" i="1" l="1"/>
  <c r="B38" i="1"/>
  <c r="A34" i="2"/>
  <c r="A33" i="2"/>
  <c r="A39" i="1" a="1"/>
  <c r="A39" i="1" l="1"/>
  <c r="B39" i="1"/>
  <c r="B33" i="2"/>
  <c r="B33" i="3" s="1"/>
  <c r="F33" i="2"/>
  <c r="F33" i="3" s="1"/>
  <c r="J33" i="2"/>
  <c r="J33" i="3" s="1"/>
  <c r="N33" i="2"/>
  <c r="N33" i="3" s="1"/>
  <c r="R33" i="2"/>
  <c r="R33" i="3" s="1"/>
  <c r="V33" i="2"/>
  <c r="V33" i="3" s="1"/>
  <c r="A33" i="3"/>
  <c r="C33" i="2"/>
  <c r="C33" i="3" s="1"/>
  <c r="E33" i="2"/>
  <c r="E33" i="3" s="1"/>
  <c r="G33" i="2"/>
  <c r="G33" i="3" s="1"/>
  <c r="I33" i="2"/>
  <c r="I33" i="3" s="1"/>
  <c r="K33" i="2"/>
  <c r="K33" i="3" s="1"/>
  <c r="M33" i="2"/>
  <c r="M33" i="3" s="1"/>
  <c r="O33" i="2"/>
  <c r="O33" i="3" s="1"/>
  <c r="Q33" i="2"/>
  <c r="Q33" i="3" s="1"/>
  <c r="S33" i="2"/>
  <c r="S33" i="3" s="1"/>
  <c r="U33" i="2"/>
  <c r="U33" i="3" s="1"/>
  <c r="D33" i="2"/>
  <c r="D33" i="3" s="1"/>
  <c r="H33" i="2"/>
  <c r="H33" i="3" s="1"/>
  <c r="L33" i="2"/>
  <c r="L33" i="3" s="1"/>
  <c r="P33" i="2"/>
  <c r="P33" i="3" s="1"/>
  <c r="T33" i="2"/>
  <c r="T33" i="3" s="1"/>
  <c r="D34" i="2"/>
  <c r="D34" i="3" s="1"/>
  <c r="J34" i="2"/>
  <c r="J34" i="3" s="1"/>
  <c r="N34" i="2"/>
  <c r="N34" i="3" s="1"/>
  <c r="P34" i="2"/>
  <c r="P34" i="3" s="1"/>
  <c r="T34" i="2"/>
  <c r="T34" i="3" s="1"/>
  <c r="A34" i="3"/>
  <c r="C34" i="2"/>
  <c r="C34" i="3" s="1"/>
  <c r="E34" i="2"/>
  <c r="E34" i="3" s="1"/>
  <c r="G34" i="2"/>
  <c r="G34" i="3" s="1"/>
  <c r="I34" i="2"/>
  <c r="I34" i="3" s="1"/>
  <c r="K34" i="2"/>
  <c r="K34" i="3" s="1"/>
  <c r="M34" i="2"/>
  <c r="M34" i="3" s="1"/>
  <c r="O34" i="2"/>
  <c r="O34" i="3" s="1"/>
  <c r="Q34" i="2"/>
  <c r="Q34" i="3" s="1"/>
  <c r="S34" i="2"/>
  <c r="S34" i="3" s="1"/>
  <c r="U34" i="2"/>
  <c r="U34" i="3" s="1"/>
  <c r="B34" i="2"/>
  <c r="B34" i="3" s="1"/>
  <c r="F34" i="2"/>
  <c r="F34" i="3" s="1"/>
  <c r="H34" i="2"/>
  <c r="H34" i="3" s="1"/>
  <c r="L34" i="2"/>
  <c r="L34" i="3" s="1"/>
  <c r="R34" i="2"/>
  <c r="R34" i="3" s="1"/>
  <c r="V34" i="2"/>
  <c r="V34" i="3" s="1"/>
  <c r="A40" i="1" a="1"/>
  <c r="A40" i="1" l="1"/>
  <c r="B40" i="1"/>
  <c r="A36" i="2"/>
  <c r="A35" i="2"/>
  <c r="A41" i="1" a="1"/>
  <c r="A41" i="1" l="1"/>
  <c r="B41" i="1"/>
  <c r="B35" i="2"/>
  <c r="B35" i="3" s="1"/>
  <c r="F35" i="2"/>
  <c r="F35" i="3" s="1"/>
  <c r="J35" i="2"/>
  <c r="J35" i="3" s="1"/>
  <c r="N35" i="2"/>
  <c r="N35" i="3" s="1"/>
  <c r="R35" i="2"/>
  <c r="R35" i="3" s="1"/>
  <c r="V35" i="2"/>
  <c r="V35" i="3" s="1"/>
  <c r="A35" i="3"/>
  <c r="C35" i="2"/>
  <c r="C35" i="3" s="1"/>
  <c r="E35" i="2"/>
  <c r="E35" i="3" s="1"/>
  <c r="G35" i="2"/>
  <c r="G35" i="3" s="1"/>
  <c r="I35" i="2"/>
  <c r="I35" i="3" s="1"/>
  <c r="K35" i="2"/>
  <c r="K35" i="3" s="1"/>
  <c r="M35" i="2"/>
  <c r="M35" i="3" s="1"/>
  <c r="O35" i="2"/>
  <c r="O35" i="3" s="1"/>
  <c r="Q35" i="2"/>
  <c r="Q35" i="3" s="1"/>
  <c r="S35" i="2"/>
  <c r="S35" i="3" s="1"/>
  <c r="U35" i="2"/>
  <c r="U35" i="3" s="1"/>
  <c r="D35" i="2"/>
  <c r="D35" i="3" s="1"/>
  <c r="H35" i="2"/>
  <c r="H35" i="3" s="1"/>
  <c r="L35" i="2"/>
  <c r="L35" i="3" s="1"/>
  <c r="P35" i="2"/>
  <c r="P35" i="3" s="1"/>
  <c r="T35" i="2"/>
  <c r="T35" i="3" s="1"/>
  <c r="D36" i="2"/>
  <c r="D36" i="3" s="1"/>
  <c r="J36" i="2"/>
  <c r="J36" i="3" s="1"/>
  <c r="N36" i="2"/>
  <c r="N36" i="3" s="1"/>
  <c r="R36" i="2"/>
  <c r="R36" i="3" s="1"/>
  <c r="V36" i="2"/>
  <c r="V36" i="3" s="1"/>
  <c r="A36" i="3"/>
  <c r="C36" i="2"/>
  <c r="C36" i="3" s="1"/>
  <c r="E36" i="2"/>
  <c r="E36" i="3" s="1"/>
  <c r="G36" i="2"/>
  <c r="G36" i="3" s="1"/>
  <c r="I36" i="2"/>
  <c r="I36" i="3" s="1"/>
  <c r="K36" i="2"/>
  <c r="K36" i="3" s="1"/>
  <c r="M36" i="2"/>
  <c r="M36" i="3" s="1"/>
  <c r="O36" i="2"/>
  <c r="O36" i="3" s="1"/>
  <c r="Q36" i="2"/>
  <c r="Q36" i="3" s="1"/>
  <c r="S36" i="2"/>
  <c r="S36" i="3" s="1"/>
  <c r="U36" i="2"/>
  <c r="U36" i="3" s="1"/>
  <c r="B36" i="2"/>
  <c r="B36" i="3" s="1"/>
  <c r="F36" i="2"/>
  <c r="F36" i="3" s="1"/>
  <c r="H36" i="2"/>
  <c r="H36" i="3" s="1"/>
  <c r="L36" i="2"/>
  <c r="L36" i="3" s="1"/>
  <c r="P36" i="2"/>
  <c r="P36" i="3" s="1"/>
  <c r="T36" i="2"/>
  <c r="T36" i="3" s="1"/>
  <c r="A42" i="1" a="1"/>
  <c r="A42" i="1" l="1"/>
  <c r="B42" i="1"/>
  <c r="A38" i="2"/>
  <c r="A37" i="2"/>
  <c r="A43" i="1" a="1"/>
  <c r="A43" i="1" l="1"/>
  <c r="B43" i="1"/>
  <c r="A39" i="2"/>
  <c r="D37" i="2"/>
  <c r="D37" i="3" s="1"/>
  <c r="H37" i="2"/>
  <c r="H37" i="3" s="1"/>
  <c r="L37" i="2"/>
  <c r="L37" i="3" s="1"/>
  <c r="P37" i="2"/>
  <c r="P37" i="3" s="1"/>
  <c r="T37" i="2"/>
  <c r="T37" i="3" s="1"/>
  <c r="A37" i="3"/>
  <c r="C37" i="2"/>
  <c r="C37" i="3" s="1"/>
  <c r="E37" i="2"/>
  <c r="E37" i="3" s="1"/>
  <c r="G37" i="2"/>
  <c r="G37" i="3" s="1"/>
  <c r="I37" i="2"/>
  <c r="I37" i="3" s="1"/>
  <c r="K37" i="2"/>
  <c r="K37" i="3" s="1"/>
  <c r="M37" i="2"/>
  <c r="M37" i="3" s="1"/>
  <c r="O37" i="2"/>
  <c r="O37" i="3" s="1"/>
  <c r="Q37" i="2"/>
  <c r="Q37" i="3" s="1"/>
  <c r="S37" i="2"/>
  <c r="S37" i="3" s="1"/>
  <c r="U37" i="2"/>
  <c r="U37" i="3" s="1"/>
  <c r="B37" i="2"/>
  <c r="B37" i="3" s="1"/>
  <c r="F37" i="2"/>
  <c r="F37" i="3" s="1"/>
  <c r="J37" i="2"/>
  <c r="J37" i="3" s="1"/>
  <c r="N37" i="2"/>
  <c r="N37" i="3" s="1"/>
  <c r="R37" i="2"/>
  <c r="R37" i="3" s="1"/>
  <c r="V37" i="2"/>
  <c r="V37" i="3" s="1"/>
  <c r="B38" i="2"/>
  <c r="B38" i="3" s="1"/>
  <c r="F38" i="2"/>
  <c r="F38" i="3" s="1"/>
  <c r="J38" i="2"/>
  <c r="J38" i="3" s="1"/>
  <c r="N38" i="2"/>
  <c r="N38" i="3" s="1"/>
  <c r="R38" i="2"/>
  <c r="R38" i="3" s="1"/>
  <c r="V38" i="2"/>
  <c r="V38" i="3" s="1"/>
  <c r="A38" i="3"/>
  <c r="C38" i="2"/>
  <c r="C38" i="3" s="1"/>
  <c r="E38" i="2"/>
  <c r="E38" i="3" s="1"/>
  <c r="G38" i="2"/>
  <c r="G38" i="3" s="1"/>
  <c r="I38" i="2"/>
  <c r="I38" i="3" s="1"/>
  <c r="K38" i="2"/>
  <c r="K38" i="3" s="1"/>
  <c r="M38" i="2"/>
  <c r="M38" i="3" s="1"/>
  <c r="O38" i="2"/>
  <c r="O38" i="3" s="1"/>
  <c r="Q38" i="2"/>
  <c r="Q38" i="3" s="1"/>
  <c r="S38" i="2"/>
  <c r="S38" i="3" s="1"/>
  <c r="U38" i="2"/>
  <c r="U38" i="3" s="1"/>
  <c r="D38" i="2"/>
  <c r="D38" i="3" s="1"/>
  <c r="H38" i="2"/>
  <c r="H38" i="3" s="1"/>
  <c r="L38" i="2"/>
  <c r="L38" i="3" s="1"/>
  <c r="P38" i="2"/>
  <c r="P38" i="3" s="1"/>
  <c r="T38" i="2"/>
  <c r="T38" i="3" s="1"/>
  <c r="A44" i="1" a="1"/>
  <c r="A44" i="1" l="1"/>
  <c r="B44" i="1"/>
  <c r="A40" i="2"/>
  <c r="F39" i="2"/>
  <c r="F39" i="3" s="1"/>
  <c r="J39" i="2"/>
  <c r="J39" i="3" s="1"/>
  <c r="P39" i="2"/>
  <c r="P39" i="3" s="1"/>
  <c r="T39" i="2"/>
  <c r="T39" i="3" s="1"/>
  <c r="A39" i="3"/>
  <c r="C39" i="2"/>
  <c r="C39" i="3" s="1"/>
  <c r="E39" i="2"/>
  <c r="E39" i="3" s="1"/>
  <c r="G39" i="2"/>
  <c r="G39" i="3" s="1"/>
  <c r="I39" i="2"/>
  <c r="I39" i="3" s="1"/>
  <c r="K39" i="2"/>
  <c r="K39" i="3" s="1"/>
  <c r="M39" i="2"/>
  <c r="M39" i="3" s="1"/>
  <c r="O39" i="2"/>
  <c r="O39" i="3" s="1"/>
  <c r="Q39" i="2"/>
  <c r="Q39" i="3" s="1"/>
  <c r="S39" i="2"/>
  <c r="S39" i="3" s="1"/>
  <c r="U39" i="2"/>
  <c r="U39" i="3" s="1"/>
  <c r="B39" i="2"/>
  <c r="B39" i="3" s="1"/>
  <c r="D39" i="2"/>
  <c r="D39" i="3" s="1"/>
  <c r="H39" i="2"/>
  <c r="H39" i="3" s="1"/>
  <c r="L39" i="2"/>
  <c r="L39" i="3" s="1"/>
  <c r="N39" i="2"/>
  <c r="N39" i="3" s="1"/>
  <c r="R39" i="2"/>
  <c r="R39" i="3" s="1"/>
  <c r="V39" i="2"/>
  <c r="V39" i="3" s="1"/>
  <c r="A45" i="1" a="1"/>
  <c r="A45" i="1" l="1"/>
  <c r="B45" i="1"/>
  <c r="A41" i="2"/>
  <c r="B40" i="2"/>
  <c r="B40" i="3" s="1"/>
  <c r="F40" i="2"/>
  <c r="F40" i="3" s="1"/>
  <c r="H40" i="2"/>
  <c r="H40" i="3" s="1"/>
  <c r="L40" i="2"/>
  <c r="L40" i="3" s="1"/>
  <c r="P40" i="2"/>
  <c r="P40" i="3" s="1"/>
  <c r="T40" i="2"/>
  <c r="T40" i="3" s="1"/>
  <c r="A40" i="3"/>
  <c r="C40" i="2"/>
  <c r="C40" i="3" s="1"/>
  <c r="E40" i="2"/>
  <c r="E40" i="3" s="1"/>
  <c r="G40" i="2"/>
  <c r="G40" i="3" s="1"/>
  <c r="I40" i="2"/>
  <c r="I40" i="3" s="1"/>
  <c r="K40" i="2"/>
  <c r="K40" i="3" s="1"/>
  <c r="M40" i="2"/>
  <c r="M40" i="3" s="1"/>
  <c r="O40" i="2"/>
  <c r="O40" i="3" s="1"/>
  <c r="Q40" i="2"/>
  <c r="Q40" i="3" s="1"/>
  <c r="S40" i="2"/>
  <c r="S40" i="3" s="1"/>
  <c r="U40" i="2"/>
  <c r="U40" i="3" s="1"/>
  <c r="D40" i="2"/>
  <c r="D40" i="3" s="1"/>
  <c r="J40" i="2"/>
  <c r="J40" i="3" s="1"/>
  <c r="N40" i="2"/>
  <c r="N40" i="3" s="1"/>
  <c r="R40" i="2"/>
  <c r="R40" i="3" s="1"/>
  <c r="V40" i="2"/>
  <c r="V40" i="3" s="1"/>
  <c r="A46" i="1" a="1"/>
  <c r="A46" i="1" l="1"/>
  <c r="B46" i="1"/>
  <c r="A42" i="2"/>
  <c r="B41" i="2"/>
  <c r="B41" i="3" s="1"/>
  <c r="F41" i="2"/>
  <c r="F41" i="3" s="1"/>
  <c r="J41" i="2"/>
  <c r="J41" i="3" s="1"/>
  <c r="N41" i="2"/>
  <c r="N41" i="3" s="1"/>
  <c r="R41" i="2"/>
  <c r="R41" i="3" s="1"/>
  <c r="V41" i="2"/>
  <c r="V41" i="3" s="1"/>
  <c r="A41" i="3"/>
  <c r="C41" i="2"/>
  <c r="C41" i="3" s="1"/>
  <c r="E41" i="2"/>
  <c r="E41" i="3" s="1"/>
  <c r="G41" i="2"/>
  <c r="G41" i="3" s="1"/>
  <c r="I41" i="2"/>
  <c r="I41" i="3" s="1"/>
  <c r="K41" i="2"/>
  <c r="K41" i="3" s="1"/>
  <c r="M41" i="2"/>
  <c r="M41" i="3" s="1"/>
  <c r="O41" i="2"/>
  <c r="O41" i="3" s="1"/>
  <c r="Q41" i="2"/>
  <c r="Q41" i="3" s="1"/>
  <c r="S41" i="2"/>
  <c r="S41" i="3" s="1"/>
  <c r="U41" i="2"/>
  <c r="U41" i="3" s="1"/>
  <c r="D41" i="2"/>
  <c r="D41" i="3" s="1"/>
  <c r="H41" i="2"/>
  <c r="H41" i="3" s="1"/>
  <c r="L41" i="2"/>
  <c r="L41" i="3" s="1"/>
  <c r="P41" i="2"/>
  <c r="P41" i="3" s="1"/>
  <c r="T41" i="2"/>
  <c r="T41" i="3" s="1"/>
  <c r="A47" i="1" a="1"/>
  <c r="A47" i="1" l="1"/>
  <c r="B47" i="1"/>
  <c r="A43" i="2"/>
  <c r="D42" i="2"/>
  <c r="D42" i="3" s="1"/>
  <c r="J42" i="2"/>
  <c r="J42" i="3" s="1"/>
  <c r="N42" i="2"/>
  <c r="N42" i="3" s="1"/>
  <c r="R42" i="2"/>
  <c r="R42" i="3" s="1"/>
  <c r="V42" i="2"/>
  <c r="V42" i="3" s="1"/>
  <c r="A42" i="3"/>
  <c r="C42" i="2"/>
  <c r="C42" i="3" s="1"/>
  <c r="E42" i="2"/>
  <c r="E42" i="3" s="1"/>
  <c r="G42" i="2"/>
  <c r="G42" i="3" s="1"/>
  <c r="I42" i="2"/>
  <c r="I42" i="3" s="1"/>
  <c r="K42" i="2"/>
  <c r="K42" i="3" s="1"/>
  <c r="M42" i="2"/>
  <c r="M42" i="3" s="1"/>
  <c r="O42" i="2"/>
  <c r="O42" i="3" s="1"/>
  <c r="Q42" i="2"/>
  <c r="Q42" i="3" s="1"/>
  <c r="S42" i="2"/>
  <c r="S42" i="3" s="1"/>
  <c r="U42" i="2"/>
  <c r="U42" i="3" s="1"/>
  <c r="B42" i="2"/>
  <c r="B42" i="3" s="1"/>
  <c r="F42" i="2"/>
  <c r="F42" i="3" s="1"/>
  <c r="H42" i="2"/>
  <c r="H42" i="3" s="1"/>
  <c r="L42" i="2"/>
  <c r="L42" i="3" s="1"/>
  <c r="P42" i="2"/>
  <c r="P42" i="3" s="1"/>
  <c r="T42" i="2"/>
  <c r="T42" i="3" s="1"/>
  <c r="A48" i="1" a="1"/>
  <c r="A48" i="1" l="1"/>
  <c r="B48" i="1"/>
  <c r="A44" i="2"/>
  <c r="D43" i="2"/>
  <c r="D43" i="3" s="1"/>
  <c r="H43" i="2"/>
  <c r="H43" i="3" s="1"/>
  <c r="L43" i="2"/>
  <c r="L43" i="3" s="1"/>
  <c r="P43" i="2"/>
  <c r="P43" i="3" s="1"/>
  <c r="T43" i="2"/>
  <c r="T43" i="3" s="1"/>
  <c r="A43" i="3"/>
  <c r="C43" i="2"/>
  <c r="C43" i="3" s="1"/>
  <c r="E43" i="2"/>
  <c r="E43" i="3" s="1"/>
  <c r="G43" i="2"/>
  <c r="G43" i="3" s="1"/>
  <c r="I43" i="2"/>
  <c r="I43" i="3" s="1"/>
  <c r="K43" i="2"/>
  <c r="K43" i="3" s="1"/>
  <c r="M43" i="2"/>
  <c r="M43" i="3" s="1"/>
  <c r="O43" i="2"/>
  <c r="O43" i="3" s="1"/>
  <c r="Q43" i="2"/>
  <c r="Q43" i="3" s="1"/>
  <c r="S43" i="2"/>
  <c r="S43" i="3" s="1"/>
  <c r="U43" i="2"/>
  <c r="U43" i="3" s="1"/>
  <c r="B43" i="2"/>
  <c r="B43" i="3" s="1"/>
  <c r="F43" i="2"/>
  <c r="F43" i="3" s="1"/>
  <c r="J43" i="2"/>
  <c r="J43" i="3" s="1"/>
  <c r="N43" i="2"/>
  <c r="N43" i="3" s="1"/>
  <c r="R43" i="2"/>
  <c r="R43" i="3" s="1"/>
  <c r="V43" i="2"/>
  <c r="V43" i="3" s="1"/>
  <c r="A49" i="1" a="1"/>
  <c r="A49" i="1" l="1"/>
  <c r="B49" i="1"/>
  <c r="A45" i="2"/>
  <c r="B44" i="2"/>
  <c r="B44" i="3" s="1"/>
  <c r="D44" i="2"/>
  <c r="D44" i="3" s="1"/>
  <c r="H44" i="2"/>
  <c r="H44" i="3" s="1"/>
  <c r="L44" i="2"/>
  <c r="L44" i="3" s="1"/>
  <c r="P44" i="2"/>
  <c r="P44" i="3" s="1"/>
  <c r="T44" i="2"/>
  <c r="T44" i="3" s="1"/>
  <c r="A44" i="3"/>
  <c r="C44" i="2"/>
  <c r="C44" i="3" s="1"/>
  <c r="E44" i="2"/>
  <c r="E44" i="3" s="1"/>
  <c r="G44" i="2"/>
  <c r="G44" i="3" s="1"/>
  <c r="I44" i="2"/>
  <c r="I44" i="3" s="1"/>
  <c r="K44" i="2"/>
  <c r="K44" i="3" s="1"/>
  <c r="M44" i="2"/>
  <c r="M44" i="3" s="1"/>
  <c r="O44" i="2"/>
  <c r="O44" i="3" s="1"/>
  <c r="Q44" i="2"/>
  <c r="Q44" i="3" s="1"/>
  <c r="S44" i="2"/>
  <c r="S44" i="3" s="1"/>
  <c r="U44" i="2"/>
  <c r="U44" i="3" s="1"/>
  <c r="F44" i="2"/>
  <c r="F44" i="3" s="1"/>
  <c r="J44" i="2"/>
  <c r="J44" i="3" s="1"/>
  <c r="N44" i="2"/>
  <c r="N44" i="3" s="1"/>
  <c r="R44" i="2"/>
  <c r="R44" i="3" s="1"/>
  <c r="V44" i="2"/>
  <c r="V44" i="3" s="1"/>
  <c r="A50" i="1" a="1"/>
  <c r="A50" i="1" l="1"/>
  <c r="B50" i="1"/>
  <c r="A46" i="2"/>
  <c r="B45" i="2"/>
  <c r="B45" i="3" s="1"/>
  <c r="H45" i="2"/>
  <c r="H45" i="3" s="1"/>
  <c r="L45" i="2"/>
  <c r="L45" i="3" s="1"/>
  <c r="R45" i="2"/>
  <c r="R45" i="3" s="1"/>
  <c r="V45" i="2"/>
  <c r="V45" i="3" s="1"/>
  <c r="A45" i="3"/>
  <c r="C45" i="2"/>
  <c r="C45" i="3" s="1"/>
  <c r="E45" i="2"/>
  <c r="E45" i="3" s="1"/>
  <c r="G45" i="2"/>
  <c r="G45" i="3" s="1"/>
  <c r="I45" i="2"/>
  <c r="I45" i="3" s="1"/>
  <c r="K45" i="2"/>
  <c r="K45" i="3" s="1"/>
  <c r="M45" i="2"/>
  <c r="M45" i="3" s="1"/>
  <c r="O45" i="2"/>
  <c r="O45" i="3" s="1"/>
  <c r="Q45" i="2"/>
  <c r="Q45" i="3" s="1"/>
  <c r="S45" i="2"/>
  <c r="S45" i="3" s="1"/>
  <c r="U45" i="2"/>
  <c r="U45" i="3" s="1"/>
  <c r="D45" i="2"/>
  <c r="D45" i="3" s="1"/>
  <c r="F45" i="2"/>
  <c r="F45" i="3" s="1"/>
  <c r="J45" i="2"/>
  <c r="J45" i="3" s="1"/>
  <c r="N45" i="2"/>
  <c r="N45" i="3" s="1"/>
  <c r="P45" i="2"/>
  <c r="P45" i="3" s="1"/>
  <c r="T45" i="2"/>
  <c r="T45" i="3" s="1"/>
  <c r="A51" i="1" a="1"/>
  <c r="A51" i="1" l="1"/>
  <c r="B51" i="1"/>
  <c r="A47" i="2"/>
  <c r="D46" i="2"/>
  <c r="D46" i="3" s="1"/>
  <c r="H46" i="2"/>
  <c r="H46" i="3" s="1"/>
  <c r="L46" i="2"/>
  <c r="L46" i="3" s="1"/>
  <c r="P46" i="2"/>
  <c r="P46" i="3" s="1"/>
  <c r="T46" i="2"/>
  <c r="T46" i="3" s="1"/>
  <c r="A46" i="3"/>
  <c r="C46" i="2"/>
  <c r="C46" i="3" s="1"/>
  <c r="E46" i="2"/>
  <c r="E46" i="3" s="1"/>
  <c r="G46" i="2"/>
  <c r="G46" i="3" s="1"/>
  <c r="I46" i="2"/>
  <c r="I46" i="3" s="1"/>
  <c r="K46" i="2"/>
  <c r="K46" i="3" s="1"/>
  <c r="M46" i="2"/>
  <c r="M46" i="3" s="1"/>
  <c r="O46" i="2"/>
  <c r="O46" i="3" s="1"/>
  <c r="Q46" i="2"/>
  <c r="Q46" i="3" s="1"/>
  <c r="S46" i="2"/>
  <c r="S46" i="3" s="1"/>
  <c r="U46" i="2"/>
  <c r="U46" i="3" s="1"/>
  <c r="B46" i="2"/>
  <c r="B46" i="3" s="1"/>
  <c r="F46" i="2"/>
  <c r="F46" i="3" s="1"/>
  <c r="J46" i="2"/>
  <c r="J46" i="3" s="1"/>
  <c r="N46" i="2"/>
  <c r="N46" i="3" s="1"/>
  <c r="R46" i="2"/>
  <c r="R46" i="3" s="1"/>
  <c r="V46" i="2"/>
  <c r="V46" i="3" s="1"/>
  <c r="A52" i="1" a="1"/>
  <c r="A52" i="1" l="1"/>
  <c r="B52" i="1"/>
  <c r="A48" i="2"/>
  <c r="B47" i="2"/>
  <c r="B47" i="3" s="1"/>
  <c r="F47" i="2"/>
  <c r="F47" i="3" s="1"/>
  <c r="J47" i="2"/>
  <c r="J47" i="3" s="1"/>
  <c r="P47" i="2"/>
  <c r="P47" i="3" s="1"/>
  <c r="T47" i="2"/>
  <c r="T47" i="3" s="1"/>
  <c r="A47" i="3"/>
  <c r="C47" i="2"/>
  <c r="C47" i="3" s="1"/>
  <c r="E47" i="2"/>
  <c r="E47" i="3" s="1"/>
  <c r="G47" i="2"/>
  <c r="G47" i="3" s="1"/>
  <c r="I47" i="2"/>
  <c r="I47" i="3" s="1"/>
  <c r="K47" i="2"/>
  <c r="K47" i="3" s="1"/>
  <c r="M47" i="2"/>
  <c r="M47" i="3" s="1"/>
  <c r="O47" i="2"/>
  <c r="O47" i="3" s="1"/>
  <c r="Q47" i="2"/>
  <c r="Q47" i="3" s="1"/>
  <c r="S47" i="2"/>
  <c r="S47" i="3" s="1"/>
  <c r="U47" i="2"/>
  <c r="U47" i="3" s="1"/>
  <c r="D47" i="2"/>
  <c r="D47" i="3" s="1"/>
  <c r="H47" i="2"/>
  <c r="H47" i="3" s="1"/>
  <c r="L47" i="2"/>
  <c r="L47" i="3" s="1"/>
  <c r="N47" i="2"/>
  <c r="N47" i="3" s="1"/>
  <c r="R47" i="2"/>
  <c r="R47" i="3" s="1"/>
  <c r="V47" i="2"/>
  <c r="V47" i="3" s="1"/>
  <c r="A53" i="1" a="1"/>
  <c r="A53" i="1" l="1"/>
  <c r="B53" i="1"/>
  <c r="A49" i="2"/>
  <c r="G3" i="1"/>
  <c r="D12" i="1" s="1"/>
  <c r="B48" i="2"/>
  <c r="B48" i="3" s="1"/>
  <c r="F48" i="2"/>
  <c r="F48" i="3" s="1"/>
  <c r="J48" i="2"/>
  <c r="J48" i="3" s="1"/>
  <c r="N48" i="2"/>
  <c r="N48" i="3" s="1"/>
  <c r="R48" i="2"/>
  <c r="R48" i="3" s="1"/>
  <c r="V48" i="2"/>
  <c r="V48" i="3" s="1"/>
  <c r="A48" i="3"/>
  <c r="C48" i="2"/>
  <c r="C48" i="3" s="1"/>
  <c r="E48" i="2"/>
  <c r="E48" i="3" s="1"/>
  <c r="G48" i="2"/>
  <c r="G48" i="3" s="1"/>
  <c r="I48" i="2"/>
  <c r="I48" i="3" s="1"/>
  <c r="K48" i="2"/>
  <c r="K48" i="3" s="1"/>
  <c r="M48" i="2"/>
  <c r="M48" i="3" s="1"/>
  <c r="O48" i="2"/>
  <c r="O48" i="3" s="1"/>
  <c r="Q48" i="2"/>
  <c r="Q48" i="3" s="1"/>
  <c r="S48" i="2"/>
  <c r="S48" i="3" s="1"/>
  <c r="U48" i="2"/>
  <c r="U48" i="3" s="1"/>
  <c r="D48" i="2"/>
  <c r="D48" i="3" s="1"/>
  <c r="H48" i="2"/>
  <c r="H48" i="3" s="1"/>
  <c r="L48" i="2"/>
  <c r="L48" i="3" s="1"/>
  <c r="P48" i="2"/>
  <c r="P48" i="3" s="1"/>
  <c r="T48" i="2"/>
  <c r="T48" i="3" s="1"/>
  <c r="D49" i="2" l="1"/>
  <c r="D49" i="3" s="1"/>
  <c r="H49" i="2"/>
  <c r="H49" i="3" s="1"/>
  <c r="L49" i="2"/>
  <c r="L49" i="3" s="1"/>
  <c r="P49" i="2"/>
  <c r="P49" i="3" s="1"/>
  <c r="T49" i="2"/>
  <c r="T49" i="3" s="1"/>
  <c r="A49" i="3"/>
  <c r="C49" i="2"/>
  <c r="C49" i="3" s="1"/>
  <c r="E49" i="2"/>
  <c r="E49" i="3" s="1"/>
  <c r="G49" i="2"/>
  <c r="G49" i="3" s="1"/>
  <c r="I49" i="2"/>
  <c r="I49" i="3" s="1"/>
  <c r="K49" i="2"/>
  <c r="K49" i="3" s="1"/>
  <c r="M49" i="2"/>
  <c r="M49" i="3" s="1"/>
  <c r="O49" i="2"/>
  <c r="O49" i="3" s="1"/>
  <c r="Q49" i="2"/>
  <c r="Q49" i="3" s="1"/>
  <c r="S49" i="2"/>
  <c r="S49" i="3" s="1"/>
  <c r="U49" i="2"/>
  <c r="U49" i="3" s="1"/>
  <c r="B49" i="2"/>
  <c r="B49" i="3" s="1"/>
  <c r="F49" i="2"/>
  <c r="F49" i="3" s="1"/>
  <c r="J49" i="2"/>
  <c r="J49" i="3" s="1"/>
  <c r="N49" i="2"/>
  <c r="N49" i="3" s="1"/>
  <c r="R49" i="2"/>
  <c r="R49" i="3" s="1"/>
  <c r="V49" i="2"/>
  <c r="V49" i="3" s="1"/>
</calcChain>
</file>

<file path=xl/sharedStrings.xml><?xml version="1.0" encoding="utf-8"?>
<sst xmlns="http://schemas.openxmlformats.org/spreadsheetml/2006/main" count="46" uniqueCount="43">
  <si>
    <t>y</t>
  </si>
  <si>
    <t>x</t>
  </si>
  <si>
    <t>Série 21</t>
  </si>
  <si>
    <t>Série 20</t>
  </si>
  <si>
    <t>Série 19</t>
  </si>
  <si>
    <t>Série 18</t>
  </si>
  <si>
    <t>Série 17</t>
  </si>
  <si>
    <t>Série 16</t>
  </si>
  <si>
    <t>Série 15</t>
  </si>
  <si>
    <t>Série 14</t>
  </si>
  <si>
    <t>Série 13</t>
  </si>
  <si>
    <t>Série 12</t>
  </si>
  <si>
    <t>Série 11</t>
  </si>
  <si>
    <t>Série 10</t>
  </si>
  <si>
    <t>Série 9</t>
  </si>
  <si>
    <t>Série 8</t>
  </si>
  <si>
    <t>Série 7</t>
  </si>
  <si>
    <t>Série 6</t>
  </si>
  <si>
    <t>Série 5</t>
  </si>
  <si>
    <t>Série 4</t>
  </si>
  <si>
    <t>Série 3</t>
  </si>
  <si>
    <t>Série 2</t>
  </si>
  <si>
    <t>Série 1</t>
  </si>
  <si>
    <t>y(0)</t>
  </si>
  <si>
    <t>t</t>
  </si>
  <si>
    <t xml:space="preserve">        EM RECÁLCULO MANUAL</t>
  </si>
  <si>
    <t xml:space="preserve">  VOLTE O RECÁLCULO PARA AUTOMÁTICO E ESPERE O RECÁLCULO</t>
  </si>
  <si>
    <t xml:space="preserve">  ALTERE OS VALORES DE ENTRADA DA LINHA</t>
  </si>
  <si>
    <t>ATENÇÃO : PARA ATUALIZAR PASSE O RECÁLCULO PARA MANUAL</t>
  </si>
  <si>
    <t>Gráfico da Família de curvas a direita  --&gt;&gt;</t>
  </si>
  <si>
    <t xml:space="preserve"> --&gt;cel. de retorno</t>
  </si>
  <si>
    <t>f(y,x)=</t>
  </si>
  <si>
    <t xml:space="preserve"> &lt;-cel.entrada linha</t>
  </si>
  <si>
    <t>y(0)=</t>
  </si>
  <si>
    <t xml:space="preserve"> &lt;-cel.entrada coluna</t>
  </si>
  <si>
    <t>x=</t>
  </si>
  <si>
    <t>h(fam.)</t>
  </si>
  <si>
    <t>h(rk4)</t>
  </si>
  <si>
    <t>y' = y-x^2*y^2</t>
  </si>
  <si>
    <t>h=</t>
  </si>
  <si>
    <t>y(x) = 1/[ x^2 -2*x + 2 + (1/y0 -2)*exp(-x) ]</t>
  </si>
  <si>
    <t>Erro % ( família de erros )</t>
  </si>
  <si>
    <t xml:space="preserve">  F9 NEM SEMPRE RECALCULA FUNÇÕES DO VBA QUANDO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</si>
</sst>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"/>
    <numFmt numFmtId="165" formatCode="0.0"/>
    <numFmt numFmtId="166" formatCode="0E+00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4">
    <xf numFmtId="0" fontId="0" fillId="0" borderId="0" xfId="0"/>
    <xf numFmtId="164" fontId="0" fillId="0" borderId="1" xfId="0" applyNumberFormat="1" applyBorder="1"/>
    <xf numFmtId="164" fontId="0" fillId="0" borderId="2" xfId="0" applyNumberFormat="1" applyBorder="1"/>
    <xf numFmtId="165" fontId="0" fillId="2" borderId="3" xfId="0" applyNumberFormat="1" applyFill="1" applyBorder="1"/>
    <xf numFmtId="164" fontId="0" fillId="0" borderId="0" xfId="0" applyNumberFormat="1"/>
    <xf numFmtId="165" fontId="0" fillId="0" borderId="0" xfId="0" applyNumberFormat="1"/>
    <xf numFmtId="164" fontId="0" fillId="0" borderId="4" xfId="0" applyNumberFormat="1" applyBorder="1"/>
    <xf numFmtId="164" fontId="0" fillId="0" borderId="0" xfId="0" applyNumberFormat="1" applyBorder="1"/>
    <xf numFmtId="165" fontId="0" fillId="2" borderId="5" xfId="0" applyNumberFormat="1" applyFill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2" fontId="0" fillId="2" borderId="3" xfId="0" applyNumberFormat="1" applyFill="1" applyBorder="1"/>
    <xf numFmtId="164" fontId="0" fillId="3" borderId="3" xfId="0" applyNumberFormat="1" applyFill="1" applyBorder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0" fillId="0" borderId="0" xfId="0" applyNumberFormat="1"/>
    <xf numFmtId="166" fontId="2" fillId="0" borderId="0" xfId="2" applyNumberFormat="1" applyFont="1"/>
    <xf numFmtId="2" fontId="0" fillId="2" borderId="3" xfId="0" applyNumberFormat="1" applyFill="1" applyBorder="1" applyAlignment="1">
      <alignment horizontal="left"/>
    </xf>
    <xf numFmtId="2" fontId="0" fillId="3" borderId="3" xfId="0" applyNumberFormat="1" applyFill="1" applyBorder="1" applyAlignment="1">
      <alignment horizontal="left"/>
    </xf>
  </cellXfs>
  <cellStyles count="4">
    <cellStyle name="Normal" xfId="0" builtinId="0"/>
    <cellStyle name="Normal 2" xfId="1"/>
    <cellStyle name="Porcentagem" xfId="2" builtinId="5"/>
    <cellStyle name="Separador de milhares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Família</a:t>
            </a:r>
            <a:r>
              <a:rPr lang="pt-BR" baseline="0"/>
              <a:t> de Soluções</a:t>
            </a:r>
            <a:endParaRPr lang="pt-BR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edo'!$E$13:$E$53</c:f>
              <c:numCache>
                <c:formatCode>0.000</c:formatCode>
                <c:ptCount val="41"/>
                <c:pt idx="0">
                  <c:v>1E-3</c:v>
                </c:pt>
                <c:pt idx="1">
                  <c:v>1.1051704361100961E-3</c:v>
                </c:pt>
                <c:pt idx="2">
                  <c:v>1.2213987837083669E-3</c:v>
                </c:pt>
                <c:pt idx="3">
                  <c:v>1.3498432575476042E-3</c:v>
                </c:pt>
                <c:pt idx="4">
                  <c:v>1.4917811546409409E-3</c:v>
                </c:pt>
                <c:pt idx="5">
                  <c:v>1.6486202344615241E-3</c:v>
                </c:pt>
                <c:pt idx="6">
                  <c:v>1.8219108871153512E-3</c:v>
                </c:pt>
                <c:pt idx="7">
                  <c:v>2.0133590403761305E-3</c:v>
                </c:pt>
                <c:pt idx="8">
                  <c:v>2.2248397120489677E-3</c:v>
                </c:pt>
                <c:pt idx="9">
                  <c:v>2.4584110543474178E-3</c:v>
                </c:pt>
                <c:pt idx="10">
                  <c:v>2.7163286576796968E-3</c:v>
                </c:pt>
                <c:pt idx="11">
                  <c:v>3.00105977744201E-3</c:v>
                </c:pt>
                <c:pt idx="12">
                  <c:v>3.3152970131910989E-3</c:v>
                </c:pt>
                <c:pt idx="13">
                  <c:v>3.6619707980880167E-3</c:v>
                </c:pt>
                <c:pt idx="14">
                  <c:v>4.044259840170406E-3</c:v>
                </c:pt>
                <c:pt idx="15">
                  <c:v>4.4655983877844576E-3</c:v>
                </c:pt>
                <c:pt idx="16">
                  <c:v>4.9296788615770179E-3</c:v>
                </c:pt>
                <c:pt idx="17">
                  <c:v>5.4404479983640244E-3</c:v>
                </c:pt>
                <c:pt idx="18">
                  <c:v>6.0020941847020353E-3</c:v>
                </c:pt>
                <c:pt idx="19">
                  <c:v>6.6190231228256333E-3</c:v>
                </c:pt>
                <c:pt idx="20">
                  <c:v>7.295818381517322E-3</c:v>
                </c:pt>
                <c:pt idx="21">
                  <c:v>8.0371827677581161E-3</c:v>
                </c:pt>
                <c:pt idx="22">
                  <c:v>8.8478558627993215E-3</c:v>
                </c:pt>
                <c:pt idx="23">
                  <c:v>9.7325025814055145E-3</c:v>
                </c:pt>
                <c:pt idx="24">
                  <c:v>1.069556735971241E-2</c:v>
                </c:pt>
                <c:pt idx="25">
                  <c:v>1.174108873025851E-2</c:v>
                </c:pt>
                <c:pt idx="26">
                  <c:v>1.2872469833050357E-2</c:v>
                </c:pt>
                <c:pt idx="27">
                  <c:v>1.4092202122239463E-2</c:v>
                </c:pt>
                <c:pt idx="28">
                  <c:v>1.5401542475202841E-2</c:v>
                </c:pt>
                <c:pt idx="29">
                  <c:v>1.6800148398426862E-2</c:v>
                </c:pt>
                <c:pt idx="30">
                  <c:v>1.828568226449764E-2</c:v>
                </c:pt>
                <c:pt idx="31">
                  <c:v>1.9853403506452885E-2</c:v>
                </c:pt>
                <c:pt idx="32">
                  <c:v>2.1495777071907536E-2</c:v>
                </c:pt>
                <c:pt idx="33">
                  <c:v>2.3202136298204504E-2</c:v>
                </c:pt>
                <c:pt idx="34">
                  <c:v>2.4958447152153899E-2</c:v>
                </c:pt>
                <c:pt idx="35">
                  <c:v>2.6747226267468786E-2</c:v>
                </c:pt>
                <c:pt idx="36">
                  <c:v>2.8547664760269199E-2</c:v>
                </c:pt>
                <c:pt idx="37">
                  <c:v>3.0336000848562503E-2</c:v>
                </c:pt>
                <c:pt idx="38">
                  <c:v>3.2086165192568405E-2</c:v>
                </c:pt>
                <c:pt idx="39">
                  <c:v>3.3770693819450394E-2</c:v>
                </c:pt>
                <c:pt idx="40">
                  <c:v>3.5361867344527023E-2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2A-4C7D-BAAA-14E496202042}"/>
            </c:ext>
          </c:extLst>
        </c:ser>
        <c:ser>
          <c:idx val="1"/>
          <c:order val="1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edo'!$F$13:$F$53</c:f>
              <c:numCache>
                <c:formatCode>0.000</c:formatCode>
                <c:ptCount val="41"/>
                <c:pt idx="0">
                  <c:v>0.05</c:v>
                </c:pt>
                <c:pt idx="1">
                  <c:v>5.5257548624803116E-2</c:v>
                </c:pt>
                <c:pt idx="2">
                  <c:v>6.1060662121349599E-2</c:v>
                </c:pt>
                <c:pt idx="3">
                  <c:v>6.7454847122915176E-2</c:v>
                </c:pt>
                <c:pt idx="4">
                  <c:v>7.4483650609429658E-2</c:v>
                </c:pt>
                <c:pt idx="5">
                  <c:v>8.2185768357394606E-2</c:v>
                </c:pt>
                <c:pt idx="6">
                  <c:v>9.0591077451329757E-2</c:v>
                </c:pt>
                <c:pt idx="7">
                  <c:v>9.9715402570332137E-2</c:v>
                </c:pt>
                <c:pt idx="8">
                  <c:v>0.10955390017529908</c:v>
                </c:pt>
                <c:pt idx="9">
                  <c:v>0.12007310781958438</c:v>
                </c:pt>
                <c:pt idx="10">
                  <c:v>0.13120199251808459</c:v>
                </c:pt>
                <c:pt idx="11">
                  <c:v>0.14282276602480684</c:v>
                </c:pt>
                <c:pt idx="12">
                  <c:v>0.15476280283538474</c:v>
                </c:pt>
                <c:pt idx="13">
                  <c:v>0.16678961311894638</c:v>
                </c:pt>
                <c:pt idx="14">
                  <c:v>0.17861129599580094</c:v>
                </c:pt>
                <c:pt idx="15">
                  <c:v>0.18988492943000249</c:v>
                </c:pt>
                <c:pt idx="16">
                  <c:v>0.20023460683413885</c:v>
                </c:pt>
                <c:pt idx="17">
                  <c:v>0.20927910896753946</c:v>
                </c:pt>
                <c:pt idx="18">
                  <c:v>0.21666667181301197</c:v>
                </c:pt>
                <c:pt idx="19">
                  <c:v>0.22211166067938345</c:v>
                </c:pt>
                <c:pt idx="20">
                  <c:v>0.22542625833354352</c:v>
                </c:pt>
                <c:pt idx="21">
                  <c:v>0.22654049993306294</c:v>
                </c:pt>
                <c:pt idx="22">
                  <c:v>0.22550641291130877</c:v>
                </c:pt>
                <c:pt idx="23">
                  <c:v>0.22248589867350882</c:v>
                </c:pt>
                <c:pt idx="24">
                  <c:v>0.21772586151215964</c:v>
                </c:pt>
                <c:pt idx="25">
                  <c:v>0.21152654270603768</c:v>
                </c:pt>
                <c:pt idx="26">
                  <c:v>0.20420941410147445</c:v>
                </c:pt>
                <c:pt idx="27">
                  <c:v>0.19608963069007052</c:v>
                </c:pt>
                <c:pt idx="28">
                  <c:v>0.18745582229498595</c:v>
                </c:pt>
                <c:pt idx="29">
                  <c:v>0.17855783632814184</c:v>
                </c:pt>
                <c:pt idx="30">
                  <c:v>0.16960149688014425</c:v>
                </c:pt>
                <c:pt idx="31">
                  <c:v>0.16074867061449932</c:v>
                </c:pt>
                <c:pt idx="32">
                  <c:v>0.15212078894258801</c:v>
                </c:pt>
                <c:pt idx="33">
                  <c:v>0.14380422187514599</c:v>
                </c:pt>
                <c:pt idx="34">
                  <c:v>0.13585630455471612</c:v>
                </c:pt>
                <c:pt idx="35">
                  <c:v>0.12831122957070204</c:v>
                </c:pt>
                <c:pt idx="36">
                  <c:v>0.12118535925173735</c:v>
                </c:pt>
                <c:pt idx="37">
                  <c:v>0.11448175903805943</c:v>
                </c:pt>
                <c:pt idx="38">
                  <c:v>0.10819391274224333</c:v>
                </c:pt>
                <c:pt idx="39">
                  <c:v>0.1023086721077998</c:v>
                </c:pt>
                <c:pt idx="40">
                  <c:v>9.6808537233935815E-2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2A-4C7D-BAAA-14E496202042}"/>
            </c:ext>
          </c:extLst>
        </c:ser>
        <c:ser>
          <c:idx val="2"/>
          <c:order val="2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edo'!$G$13:$G$53</c:f>
              <c:numCache>
                <c:formatCode>0.000</c:formatCode>
                <c:ptCount val="41"/>
                <c:pt idx="0">
                  <c:v>0.1</c:v>
                </c:pt>
                <c:pt idx="1">
                  <c:v>0.11051311123212072</c:v>
                </c:pt>
                <c:pt idx="2">
                  <c:v>0.12210239725417028</c:v>
                </c:pt>
                <c:pt idx="3">
                  <c:v>0.13483362463665896</c:v>
                </c:pt>
                <c:pt idx="4">
                  <c:v>0.14875279790058787</c:v>
                </c:pt>
                <c:pt idx="5">
                  <c:v>0.1638740393192091</c:v>
                </c:pt>
                <c:pt idx="6">
                  <c:v>0.18016408455927521</c:v>
                </c:pt>
                <c:pt idx="7">
                  <c:v>0.19752363508171678</c:v>
                </c:pt>
                <c:pt idx="8">
                  <c:v>0.21576674017440806</c:v>
                </c:pt>
                <c:pt idx="9">
                  <c:v>0.23460079502228307</c:v>
                </c:pt>
                <c:pt idx="10">
                  <c:v>0.25361153289747335</c:v>
                </c:pt>
                <c:pt idx="11">
                  <c:v>0.2722591284593085</c:v>
                </c:pt>
                <c:pt idx="12">
                  <c:v>0.28989234520281354</c:v>
                </c:pt>
                <c:pt idx="13">
                  <c:v>0.30578635577419744</c:v>
                </c:pt>
                <c:pt idx="14">
                  <c:v>0.31920544861893307</c:v>
                </c:pt>
                <c:pt idx="15">
                  <c:v>0.32948446337141546</c:v>
                </c:pt>
                <c:pt idx="16">
                  <c:v>0.33611458816399165</c:v>
                </c:pt>
                <c:pt idx="17">
                  <c:v>0.3388139210561637</c:v>
                </c:pt>
                <c:pt idx="18">
                  <c:v>0.33756454911428402</c:v>
                </c:pt>
                <c:pt idx="19">
                  <c:v>0.33260656354026735</c:v>
                </c:pt>
                <c:pt idx="20">
                  <c:v>0.32439206081411343</c:v>
                </c:pt>
                <c:pt idx="21">
                  <c:v>0.31351309191515697</c:v>
                </c:pt>
                <c:pt idx="22">
                  <c:v>0.30062224689814115</c:v>
                </c:pt>
                <c:pt idx="23">
                  <c:v>0.28636233785466303</c:v>
                </c:pt>
                <c:pt idx="24">
                  <c:v>0.27131507152528467</c:v>
                </c:pt>
                <c:pt idx="25">
                  <c:v>0.25597135525918746</c:v>
                </c:pt>
                <c:pt idx="26">
                  <c:v>0.2407205661201916</c:v>
                </c:pt>
                <c:pt idx="27">
                  <c:v>0.22585355424777165</c:v>
                </c:pt>
                <c:pt idx="28">
                  <c:v>0.21157385383216856</c:v>
                </c:pt>
                <c:pt idx="29">
                  <c:v>0.1980125617708608</c:v>
                </c:pt>
                <c:pt idx="30">
                  <c:v>0.18524375269076782</c:v>
                </c:pt>
                <c:pt idx="31">
                  <c:v>0.17329860276741549</c:v>
                </c:pt>
                <c:pt idx="32">
                  <c:v>0.16217737611400415</c:v>
                </c:pt>
                <c:pt idx="33">
                  <c:v>0.15185906370641575</c:v>
                </c:pt>
                <c:pt idx="34">
                  <c:v>0.1423088214220822</c:v>
                </c:pt>
                <c:pt idx="35">
                  <c:v>0.13348351718469165</c:v>
                </c:pt>
                <c:pt idx="36">
                  <c:v>0.12533574270706985</c:v>
                </c:pt>
                <c:pt idx="37">
                  <c:v>0.11781662751117725</c:v>
                </c:pt>
                <c:pt idx="38">
                  <c:v>0.1108777468454825</c:v>
                </c:pt>
                <c:pt idx="39">
                  <c:v>0.10447236111548897</c:v>
                </c:pt>
                <c:pt idx="40">
                  <c:v>9.8556172958691207E-2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2A-4C7D-BAAA-14E496202042}"/>
            </c:ext>
          </c:extLst>
        </c:ser>
        <c:ser>
          <c:idx val="3"/>
          <c:order val="3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edo'!$H$13:$H$53</c:f>
              <c:numCache>
                <c:formatCode>0.000</c:formatCode>
                <c:ptCount val="41"/>
                <c:pt idx="0">
                  <c:v>0.15</c:v>
                </c:pt>
                <c:pt idx="1">
                  <c:v>0.16576668792131041</c:v>
                </c:pt>
                <c:pt idx="2">
                  <c:v>0.18312521417512004</c:v>
                </c:pt>
                <c:pt idx="3">
                  <c:v>0.20213646109987315</c:v>
                </c:pt>
                <c:pt idx="4">
                  <c:v>0.22280836706762053</c:v>
                </c:pt>
                <c:pt idx="5">
                  <c:v>0.24506931634948875</c:v>
                </c:pt>
                <c:pt idx="6">
                  <c:v>0.26873608675466865</c:v>
                </c:pt>
                <c:pt idx="7">
                  <c:v>0.29347889336553923</c:v>
                </c:pt>
                <c:pt idx="8">
                  <c:v>0.31878906004067359</c:v>
                </c:pt>
                <c:pt idx="9">
                  <c:v>0.34395854671859238</c:v>
                </c:pt>
                <c:pt idx="10">
                  <c:v>0.36808378727988839</c:v>
                </c:pt>
                <c:pt idx="11">
                  <c:v>0.39010681958231969</c:v>
                </c:pt>
                <c:pt idx="12">
                  <c:v>0.40890175846046434</c:v>
                </c:pt>
                <c:pt idx="13">
                  <c:v>0.42340273255797206</c:v>
                </c:pt>
                <c:pt idx="14">
                  <c:v>0.43275265413312874</c:v>
                </c:pt>
                <c:pt idx="15">
                  <c:v>0.4364376933961901</c:v>
                </c:pt>
                <c:pt idx="16">
                  <c:v>0.43436931372438237</c:v>
                </c:pt>
                <c:pt idx="17">
                  <c:v>0.42688908800386993</c:v>
                </c:pt>
                <c:pt idx="18">
                  <c:v>0.41469658215378763</c:v>
                </c:pt>
                <c:pt idx="19">
                  <c:v>0.39872495115825629</c:v>
                </c:pt>
                <c:pt idx="20">
                  <c:v>0.38000088844307561</c:v>
                </c:pt>
                <c:pt idx="21">
                  <c:v>0.35952193702265439</c:v>
                </c:pt>
                <c:pt idx="22">
                  <c:v>0.33817042447957546</c:v>
                </c:pt>
                <c:pt idx="23">
                  <c:v>0.31666806353950794</c:v>
                </c:pt>
                <c:pt idx="24">
                  <c:v>0.29556462712147175</c:v>
                </c:pt>
                <c:pt idx="25">
                  <c:v>0.275249660973302</c:v>
                </c:pt>
                <c:pt idx="26">
                  <c:v>0.25597645536163471</c:v>
                </c:pt>
                <c:pt idx="27">
                  <c:v>0.23789008709665999</c:v>
                </c:pt>
                <c:pt idx="28">
                  <c:v>0.22105439713576944</c:v>
                </c:pt>
                <c:pt idx="29">
                  <c:v>0.20547530373964948</c:v>
                </c:pt>
                <c:pt idx="30">
                  <c:v>0.19111957635140478</c:v>
                </c:pt>
                <c:pt idx="31">
                  <c:v>0.17792919094825038</c:v>
                </c:pt>
                <c:pt idx="32">
                  <c:v>0.16583185880487311</c:v>
                </c:pt>
                <c:pt idx="33">
                  <c:v>0.15474846853984286</c:v>
                </c:pt>
                <c:pt idx="34">
                  <c:v>0.14459815668538864</c:v>
                </c:pt>
                <c:pt idx="35">
                  <c:v>0.1353016215645596</c:v>
                </c:pt>
                <c:pt idx="36">
                  <c:v>0.12678317389643143</c:v>
                </c:pt>
                <c:pt idx="37">
                  <c:v>0.11897190260137884</c:v>
                </c:pt>
                <c:pt idx="38">
                  <c:v>0.11180223681111985</c:v>
                </c:pt>
                <c:pt idx="39">
                  <c:v>0.10521410754662008</c:v>
                </c:pt>
                <c:pt idx="40">
                  <c:v>9.9152853338812019E-2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2A-4C7D-BAAA-14E496202042}"/>
            </c:ext>
          </c:extLst>
        </c:ser>
        <c:ser>
          <c:idx val="4"/>
          <c:order val="4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edo'!$I$13:$I$53</c:f>
              <c:numCache>
                <c:formatCode>0.000</c:formatCode>
                <c:ptCount val="41"/>
                <c:pt idx="0">
                  <c:v>0.2</c:v>
                </c:pt>
                <c:pt idx="1">
                  <c:v>0.22101827879172345</c:v>
                </c:pt>
                <c:pt idx="2">
                  <c:v>0.24412912165538808</c:v>
                </c:pt>
                <c:pt idx="3">
                  <c:v>0.26936348478086652</c:v>
                </c:pt>
                <c:pt idx="4">
                  <c:v>0.29665127798562918</c:v>
                </c:pt>
                <c:pt idx="5">
                  <c:v>0.32577604869210464</c:v>
                </c:pt>
                <c:pt idx="6">
                  <c:v>0.3563237700699986</c:v>
                </c:pt>
                <c:pt idx="7">
                  <c:v>0.38763333876284461</c:v>
                </c:pt>
                <c:pt idx="8">
                  <c:v>0.41876248880670808</c:v>
                </c:pt>
                <c:pt idx="9">
                  <c:v>0.44848869489510712</c:v>
                </c:pt>
                <c:pt idx="10">
                  <c:v>0.47536650014162224</c:v>
                </c:pt>
                <c:pt idx="11">
                  <c:v>0.49785545259351172</c:v>
                </c:pt>
                <c:pt idx="12">
                  <c:v>0.51451316411968107</c:v>
                </c:pt>
                <c:pt idx="13">
                  <c:v>0.52421941552253692</c:v>
                </c:pt>
                <c:pt idx="14">
                  <c:v>0.52637272056541984</c:v>
                </c:pt>
                <c:pt idx="15">
                  <c:v>0.52099746806533864</c:v>
                </c:pt>
                <c:pt idx="16">
                  <c:v>0.50872583215659495</c:v>
                </c:pt>
                <c:pt idx="17">
                  <c:v>0.49066330524641666</c:v>
                </c:pt>
                <c:pt idx="18">
                  <c:v>0.4681857654787055</c:v>
                </c:pt>
                <c:pt idx="19">
                  <c:v>0.44272983859308679</c:v>
                </c:pt>
                <c:pt idx="20">
                  <c:v>0.41562527434638397</c:v>
                </c:pt>
                <c:pt idx="21">
                  <c:v>0.38799153481821946</c:v>
                </c:pt>
                <c:pt idx="22">
                  <c:v>0.36069645859740951</c:v>
                </c:pt>
                <c:pt idx="23">
                  <c:v>0.3343610570075673</c:v>
                </c:pt>
                <c:pt idx="24">
                  <c:v>0.30939125939928158</c:v>
                </c:pt>
                <c:pt idx="25">
                  <c:v>0.28602063318797599</c:v>
                </c:pt>
                <c:pt idx="26">
                  <c:v>0.26435349960523563</c:v>
                </c:pt>
                <c:pt idx="27">
                  <c:v>0.24440282024914259</c:v>
                </c:pt>
                <c:pt idx="28">
                  <c:v>0.22612074767080936</c:v>
                </c:pt>
                <c:pt idx="29">
                  <c:v>0.20942180275006092</c:v>
                </c:pt>
                <c:pt idx="30">
                  <c:v>0.19419963288945602</c:v>
                </c:pt>
                <c:pt idx="31">
                  <c:v>0.18033862759057934</c:v>
                </c:pt>
                <c:pt idx="32">
                  <c:v>0.16772163698540565</c:v>
                </c:pt>
                <c:pt idx="33">
                  <c:v>0.15623485610979918</c:v>
                </c:pt>
                <c:pt idx="34">
                  <c:v>0.14577071541359732</c:v>
                </c:pt>
                <c:pt idx="35">
                  <c:v>0.13622941013801648</c:v>
                </c:pt>
                <c:pt idx="36">
                  <c:v>0.12751952821775492</c:v>
                </c:pt>
                <c:pt idx="37">
                  <c:v>0.11955810168375507</c:v>
                </c:pt>
                <c:pt idx="38">
                  <c:v>0.11227030608658077</c:v>
                </c:pt>
                <c:pt idx="39">
                  <c:v>0.10558895975916327</c:v>
                </c:pt>
                <c:pt idx="40">
                  <c:v>9.9453923305019995E-2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12A-4C7D-BAAA-14E496202042}"/>
            </c:ext>
          </c:extLst>
        </c:ser>
        <c:ser>
          <c:idx val="5"/>
          <c:order val="5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edo'!$J$13:$J$53</c:f>
              <c:numCache>
                <c:formatCode>0.000</c:formatCode>
                <c:ptCount val="41"/>
                <c:pt idx="0">
                  <c:v>0.25</c:v>
                </c:pt>
                <c:pt idx="1">
                  <c:v>0.27626788394270468</c:v>
                </c:pt>
                <c:pt idx="2">
                  <c:v>0.30511412846069863</c:v>
                </c:pt>
                <c:pt idx="3">
                  <c:v>0.336514823658423</c:v>
                </c:pt>
                <c:pt idx="4">
                  <c:v>0.37028244524869658</c:v>
                </c:pt>
                <c:pt idx="5">
                  <c:v>0.40599863218313376</c:v>
                </c:pt>
                <c:pt idx="6">
                  <c:v>0.44294345161798554</c:v>
                </c:pt>
                <c:pt idx="7">
                  <c:v>0.48003719267616857</c:v>
                </c:pt>
                <c:pt idx="8">
                  <c:v>0.51582039413700087</c:v>
                </c:pt>
                <c:pt idx="9">
                  <c:v>0.5485039982572455</c:v>
                </c:pt>
                <c:pt idx="10">
                  <c:v>0.57611634792427779</c:v>
                </c:pt>
                <c:pt idx="11">
                  <c:v>0.59674982249402209</c:v>
                </c:pt>
                <c:pt idx="12">
                  <c:v>0.60886844329064915</c:v>
                </c:pt>
                <c:pt idx="13">
                  <c:v>0.61159577208968785</c:v>
                </c:pt>
                <c:pt idx="14">
                  <c:v>0.60488811252090946</c:v>
                </c:pt>
                <c:pt idx="15">
                  <c:v>0.58953021697581287</c:v>
                </c:pt>
                <c:pt idx="16">
                  <c:v>0.56695778788274498</c:v>
                </c:pt>
                <c:pt idx="17">
                  <c:v>0.53897472561421567</c:v>
                </c:pt>
                <c:pt idx="18">
                  <c:v>0.50745822525126316</c:v>
                </c:pt>
                <c:pt idx="19">
                  <c:v>0.47412587091370101</c:v>
                </c:pt>
                <c:pt idx="20">
                  <c:v>0.44039736443591948</c:v>
                </c:pt>
                <c:pt idx="21">
                  <c:v>0.40734576775328157</c:v>
                </c:pt>
                <c:pt idx="22">
                  <c:v>0.37571277928150515</c:v>
                </c:pt>
                <c:pt idx="23">
                  <c:v>0.34595901905958493</c:v>
                </c:pt>
                <c:pt idx="24">
                  <c:v>0.31832632711124836</c:v>
                </c:pt>
                <c:pt idx="25">
                  <c:v>0.29289775407655627</c:v>
                </c:pt>
                <c:pt idx="26">
                  <c:v>0.26964832946569789</c:v>
                </c:pt>
                <c:pt idx="27">
                  <c:v>0.24848461095553623</c:v>
                </c:pt>
                <c:pt idx="28">
                  <c:v>0.22927368428511175</c:v>
                </c:pt>
                <c:pt idx="29">
                  <c:v>0.21186339862783696</c:v>
                </c:pt>
                <c:pt idx="30">
                  <c:v>0.19609584893367751</c:v>
                </c:pt>
                <c:pt idx="31">
                  <c:v>0.18181591994612364</c:v>
                </c:pt>
                <c:pt idx="32">
                  <c:v>0.16887636107004364</c:v>
                </c:pt>
                <c:pt idx="33">
                  <c:v>0.15714050646733324</c:v>
                </c:pt>
                <c:pt idx="34">
                  <c:v>0.14648344908852709</c:v>
                </c:pt>
                <c:pt idx="35">
                  <c:v>0.13679223655431544</c:v>
                </c:pt>
                <c:pt idx="36">
                  <c:v>0.12796547717050416</c:v>
                </c:pt>
                <c:pt idx="37">
                  <c:v>0.11991261519496912</c:v>
                </c:pt>
                <c:pt idx="38">
                  <c:v>0.11255304406067744</c:v>
                </c:pt>
                <c:pt idx="39">
                  <c:v>0.10581516430053023</c:v>
                </c:pt>
                <c:pt idx="40">
                  <c:v>9.9635451235673758E-2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12A-4C7D-BAAA-14E496202042}"/>
            </c:ext>
          </c:extLst>
        </c:ser>
        <c:ser>
          <c:idx val="6"/>
          <c:order val="6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edo'!$K$13:$K$53</c:f>
              <c:numCache>
                <c:formatCode>0.000</c:formatCode>
                <c:ptCount val="41"/>
                <c:pt idx="0">
                  <c:v>0.3</c:v>
                </c:pt>
                <c:pt idx="1">
                  <c:v>0.3315155034735926</c:v>
                </c:pt>
                <c:pt idx="2">
                  <c:v>0.36608024335131512</c:v>
                </c:pt>
                <c:pt idx="3">
                  <c:v>0.4035906054226075</c:v>
                </c:pt>
                <c:pt idx="4">
                  <c:v>0.4437027782075908</c:v>
                </c:pt>
                <c:pt idx="5">
                  <c:v>0.48574141004876387</c:v>
                </c:pt>
                <c:pt idx="6">
                  <c:v>0.52861108972580872</c:v>
                </c:pt>
                <c:pt idx="7">
                  <c:v>0.5707388259050763</c:v>
                </c:pt>
                <c:pt idx="8">
                  <c:v>0.61008847600123683</c:v>
                </c:pt>
                <c:pt idx="9">
                  <c:v>0.64429076821877074</c:v>
                </c:pt>
                <c:pt idx="10">
                  <c:v>0.67091239397591784</c:v>
                </c:pt>
                <c:pt idx="11">
                  <c:v>0.6878382184278703</c:v>
                </c:pt>
                <c:pt idx="12">
                  <c:v>0.6936760240169958</c:v>
                </c:pt>
                <c:pt idx="13">
                  <c:v>0.68805147220871687</c:v>
                </c:pt>
                <c:pt idx="14">
                  <c:v>0.67168139833665208</c:v>
                </c:pt>
                <c:pt idx="15">
                  <c:v>0.64619802565203588</c:v>
                </c:pt>
                <c:pt idx="16">
                  <c:v>0.61379718378475401</c:v>
                </c:pt>
                <c:pt idx="17">
                  <c:v>0.57683909025305913</c:v>
                </c:pt>
                <c:pt idx="18">
                  <c:v>0.53751713913831611</c:v>
                </c:pt>
                <c:pt idx="19">
                  <c:v>0.49765335654610393</c:v>
                </c:pt>
                <c:pt idx="20">
                  <c:v>0.45862073103404633</c:v>
                </c:pt>
                <c:pt idx="21">
                  <c:v>0.42135844868977984</c:v>
                </c:pt>
                <c:pt idx="22">
                  <c:v>0.38643831788652466</c:v>
                </c:pt>
                <c:pt idx="23">
                  <c:v>0.35414876206542484</c:v>
                </c:pt>
                <c:pt idx="24">
                  <c:v>0.32457553874984713</c:v>
                </c:pt>
                <c:pt idx="25">
                  <c:v>0.29766935326639998</c:v>
                </c:pt>
                <c:pt idx="26">
                  <c:v>0.27329775304175052</c:v>
                </c:pt>
                <c:pt idx="27">
                  <c:v>0.25128248779716178</c:v>
                </c:pt>
                <c:pt idx="28">
                  <c:v>0.23142501632035714</c:v>
                </c:pt>
                <c:pt idx="29">
                  <c:v>0.21352305948730618</c:v>
                </c:pt>
                <c:pt idx="30">
                  <c:v>0.19738074250437937</c:v>
                </c:pt>
                <c:pt idx="31">
                  <c:v>0.18281433501434516</c:v>
                </c:pt>
                <c:pt idx="32">
                  <c:v>0.16965507753726672</c:v>
                </c:pt>
                <c:pt idx="33">
                  <c:v>0.15775014992014263</c:v>
                </c:pt>
                <c:pt idx="34">
                  <c:v>0.14696250604657166</c:v>
                </c:pt>
                <c:pt idx="35">
                  <c:v>0.13717005800696833</c:v>
                </c:pt>
                <c:pt idx="36">
                  <c:v>0.12826452369870886</c:v>
                </c:pt>
                <c:pt idx="37">
                  <c:v>0.12015013611205551</c:v>
                </c:pt>
                <c:pt idx="38">
                  <c:v>0.11274233512616563</c:v>
                </c:pt>
                <c:pt idx="39">
                  <c:v>0.10596651182958448</c:v>
                </c:pt>
                <c:pt idx="40">
                  <c:v>9.9756842698874373E-2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12A-4C7D-BAAA-14E496202042}"/>
            </c:ext>
          </c:extLst>
        </c:ser>
        <c:ser>
          <c:idx val="7"/>
          <c:order val="7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edo'!$L$13:$L$53</c:f>
              <c:numCache>
                <c:formatCode>0.000</c:formatCode>
                <c:ptCount val="41"/>
                <c:pt idx="0">
                  <c:v>0.35</c:v>
                </c:pt>
                <c:pt idx="1">
                  <c:v>0.38676113748371932</c:v>
                </c:pt>
                <c:pt idx="2">
                  <c:v>0.42702747508204397</c:v>
                </c:pt>
                <c:pt idx="3">
                  <c:v>0.47059095747556934</c:v>
                </c:pt>
                <c:pt idx="4">
                  <c:v>0.51691318100715178</c:v>
                </c:pt>
                <c:pt idx="5">
                  <c:v>0.56500867368902008</c:v>
                </c:pt>
                <c:pt idx="6">
                  <c:v>0.61334229373803728</c:v>
                </c:pt>
                <c:pt idx="7">
                  <c:v>0.65978484309701924</c:v>
                </c:pt>
                <c:pt idx="8">
                  <c:v>0.70168530991433653</c:v>
                </c:pt>
                <c:pt idx="9">
                  <c:v>0.73611160671370046</c:v>
                </c:pt>
                <c:pt idx="10">
                  <c:v>0.76026722673278324</c:v>
                </c:pt>
                <c:pt idx="11">
                  <c:v>0.77200972987090632</c:v>
                </c:pt>
                <c:pt idx="12">
                  <c:v>0.77031525309043902</c:v>
                </c:pt>
                <c:pt idx="13">
                  <c:v>0.75551342353194073</c:v>
                </c:pt>
                <c:pt idx="14">
                  <c:v>0.72919533093837208</c:v>
                </c:pt>
                <c:pt idx="15">
                  <c:v>0.69383667944904304</c:v>
                </c:pt>
                <c:pt idx="16">
                  <c:v>0.65228946602768512</c:v>
                </c:pt>
                <c:pt idx="17">
                  <c:v>0.60731452526037544</c:v>
                </c:pt>
                <c:pt idx="18">
                  <c:v>0.561264538569064</c:v>
                </c:pt>
                <c:pt idx="19">
                  <c:v>0.51594105356418918</c:v>
                </c:pt>
                <c:pt idx="20">
                  <c:v>0.47258911810285498</c:v>
                </c:pt>
                <c:pt idx="21">
                  <c:v>0.43197282655531388</c:v>
                </c:pt>
                <c:pt idx="22">
                  <c:v>0.39448231752551577</c:v>
                </c:pt>
                <c:pt idx="23">
                  <c:v>0.36024020563994935</c:v>
                </c:pt>
                <c:pt idx="24">
                  <c:v>0.32919174187510858</c:v>
                </c:pt>
                <c:pt idx="25">
                  <c:v>0.30117404207881732</c:v>
                </c:pt>
                <c:pt idx="26">
                  <c:v>0.27596563191917561</c:v>
                </c:pt>
                <c:pt idx="27">
                  <c:v>0.25331992133378761</c:v>
                </c:pt>
                <c:pt idx="28">
                  <c:v>0.23298661545689056</c:v>
                </c:pt>
                <c:pt idx="29">
                  <c:v>0.21472457891467328</c:v>
                </c:pt>
                <c:pt idx="30">
                  <c:v>0.19830891097815026</c:v>
                </c:pt>
                <c:pt idx="31">
                  <c:v>0.18353425185640523</c:v>
                </c:pt>
                <c:pt idx="32">
                  <c:v>0.17021573332585152</c:v>
                </c:pt>
                <c:pt idx="33">
                  <c:v>0.1581885281331129</c:v>
                </c:pt>
                <c:pt idx="34">
                  <c:v>0.14730662386282367</c:v>
                </c:pt>
                <c:pt idx="35">
                  <c:v>0.13744121980843144</c:v>
                </c:pt>
                <c:pt idx="36">
                  <c:v>0.12847899266580043</c:v>
                </c:pt>
                <c:pt idx="37">
                  <c:v>0.12032037649929883</c:v>
                </c:pt>
                <c:pt idx="38">
                  <c:v>0.11287793784453272</c:v>
                </c:pt>
                <c:pt idx="39">
                  <c:v>0.10607488617317014</c:v>
                </c:pt>
                <c:pt idx="40">
                  <c:v>9.9843735054879326E-2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12A-4C7D-BAAA-14E496202042}"/>
            </c:ext>
          </c:extLst>
        </c:ser>
        <c:ser>
          <c:idx val="8"/>
          <c:order val="8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edo'!$M$13:$M$53</c:f>
              <c:numCache>
                <c:formatCode>0.000</c:formatCode>
                <c:ptCount val="41"/>
                <c:pt idx="0">
                  <c:v>0.4</c:v>
                </c:pt>
                <c:pt idx="1">
                  <c:v>0.44200478607241073</c:v>
                </c:pt>
                <c:pt idx="2">
                  <c:v>0.48795583240223878</c:v>
                </c:pt>
                <c:pt idx="3">
                  <c:v>0.53751600693234292</c:v>
                </c:pt>
                <c:pt idx="4">
                  <c:v>0.58991455262336212</c:v>
                </c:pt>
                <c:pt idx="5">
                  <c:v>0.64380466344760279</c:v>
                </c:pt>
                <c:pt idx="6">
                  <c:v>0.69715233350076389</c:v>
                </c:pt>
                <c:pt idx="7">
                  <c:v>0.74722016262136215</c:v>
                </c:pt>
                <c:pt idx="8">
                  <c:v>0.79072284466387899</c:v>
                </c:pt>
                <c:pt idx="9">
                  <c:v>0.82420781088161232</c:v>
                </c:pt>
                <c:pt idx="10">
                  <c:v>0.84463623338804994</c:v>
                </c:pt>
                <c:pt idx="11">
                  <c:v>0.8500233644971551</c:v>
                </c:pt>
                <c:pt idx="12">
                  <c:v>0.83991199402733907</c:v>
                </c:pt>
                <c:pt idx="13">
                  <c:v>0.81548040295551127</c:v>
                </c:pt>
                <c:pt idx="14">
                  <c:v>0.77923804583894762</c:v>
                </c:pt>
                <c:pt idx="15">
                  <c:v>0.73444497783058993</c:v>
                </c:pt>
                <c:pt idx="16">
                  <c:v>0.68448343295791114</c:v>
                </c:pt>
                <c:pt idx="17">
                  <c:v>0.6323716854916811</c:v>
                </c:pt>
                <c:pt idx="18">
                  <c:v>0.5804995024791787</c:v>
                </c:pt>
                <c:pt idx="19">
                  <c:v>0.53056408096627783</c:v>
                </c:pt>
                <c:pt idx="20">
                  <c:v>0.48363704992564194</c:v>
                </c:pt>
                <c:pt idx="21">
                  <c:v>0.44029148445871291</c:v>
                </c:pt>
                <c:pt idx="22">
                  <c:v>0.4007387159478113</c:v>
                </c:pt>
                <c:pt idx="23">
                  <c:v>0.36494822111327135</c:v>
                </c:pt>
                <c:pt idx="24">
                  <c:v>0.33274108845072908</c:v>
                </c:pt>
                <c:pt idx="25">
                  <c:v>0.30385727513069538</c:v>
                </c:pt>
                <c:pt idx="26">
                  <c:v>0.27800103449271552</c:v>
                </c:pt>
                <c:pt idx="27">
                  <c:v>0.25486985783707589</c:v>
                </c:pt>
                <c:pt idx="28">
                  <c:v>0.23417175156133704</c:v>
                </c:pt>
                <c:pt idx="29">
                  <c:v>0.21563465824287867</c:v>
                </c:pt>
                <c:pt idx="30">
                  <c:v>0.19901080820518285</c:v>
                </c:pt>
                <c:pt idx="31">
                  <c:v>0.18407793864367711</c:v>
                </c:pt>
                <c:pt idx="32">
                  <c:v>0.1706386764469833</c:v>
                </c:pt>
                <c:pt idx="33">
                  <c:v>0.15851892461548336</c:v>
                </c:pt>
                <c:pt idx="34">
                  <c:v>0.14756577996502274</c:v>
                </c:pt>
                <c:pt idx="35">
                  <c:v>0.13764530232394856</c:v>
                </c:pt>
                <c:pt idx="36">
                  <c:v>0.12864032086013252</c:v>
                </c:pt>
                <c:pt idx="37">
                  <c:v>0.12044837785363792</c:v>
                </c:pt>
                <c:pt idx="38">
                  <c:v>0.1129798574400961</c:v>
                </c:pt>
                <c:pt idx="39">
                  <c:v>0.10615631515275485</c:v>
                </c:pt>
                <c:pt idx="40">
                  <c:v>9.9909005841164258E-2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12A-4C7D-BAAA-14E496202042}"/>
            </c:ext>
          </c:extLst>
        </c:ser>
        <c:ser>
          <c:idx val="9"/>
          <c:order val="9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edo'!$N$13:$N$53</c:f>
              <c:numCache>
                <c:formatCode>0.000</c:formatCode>
                <c:ptCount val="41"/>
                <c:pt idx="0">
                  <c:v>0.45</c:v>
                </c:pt>
                <c:pt idx="1">
                  <c:v>0.49724644933898604</c:v>
                </c:pt>
                <c:pt idx="2">
                  <c:v>0.5488653240558039</c:v>
                </c:pt>
                <c:pt idx="3">
                  <c:v>0.60436588062164509</c:v>
                </c:pt>
                <c:pt idx="4">
                  <c:v>0.66270778690010446</c:v>
                </c:pt>
                <c:pt idx="5">
                  <c:v>0.72213356936811812</c:v>
                </c:pt>
                <c:pt idx="6">
                  <c:v>0.78005614853890204</c:v>
                </c:pt>
                <c:pt idx="7">
                  <c:v>0.83308809215255275</c:v>
                </c:pt>
                <c:pt idx="8">
                  <c:v>0.87730685890581872</c:v>
                </c:pt>
                <c:pt idx="9">
                  <c:v>0.90880149094400775</c:v>
                </c:pt>
                <c:pt idx="10">
                  <c:v>0.92442536320496849</c:v>
                </c:pt>
                <c:pt idx="11">
                  <c:v>0.92253100038408564</c:v>
                </c:pt>
                <c:pt idx="12">
                  <c:v>0.90339429939683757</c:v>
                </c:pt>
                <c:pt idx="13">
                  <c:v>0.86913570498589643</c:v>
                </c:pt>
                <c:pt idx="14">
                  <c:v>0.82317657836895675</c:v>
                </c:pt>
                <c:pt idx="15">
                  <c:v>0.76947230647252784</c:v>
                </c:pt>
                <c:pt idx="16">
                  <c:v>0.7118080976259884</c:v>
                </c:pt>
                <c:pt idx="17">
                  <c:v>0.65333766709477947</c:v>
                </c:pt>
                <c:pt idx="18">
                  <c:v>0.59639667562683585</c:v>
                </c:pt>
                <c:pt idx="19">
                  <c:v>0.54252372865601772</c:v>
                </c:pt>
                <c:pt idx="20">
                  <c:v>0.49259379060488234</c:v>
                </c:pt>
                <c:pt idx="21">
                  <c:v>0.44698657211719084</c:v>
                </c:pt>
                <c:pt idx="22">
                  <c:v>0.40574383823374732</c:v>
                </c:pt>
                <c:pt idx="23">
                  <c:v>0.3686960595199637</c:v>
                </c:pt>
                <c:pt idx="24">
                  <c:v>0.33555513073185156</c:v>
                </c:pt>
                <c:pt idx="25">
                  <c:v>0.30597757938243664</c:v>
                </c:pt>
                <c:pt idx="26">
                  <c:v>0.27960504943622971</c:v>
                </c:pt>
                <c:pt idx="27">
                  <c:v>0.25608857554386244</c:v>
                </c:pt>
                <c:pt idx="28">
                  <c:v>0.23510192085435427</c:v>
                </c:pt>
                <c:pt idx="29">
                  <c:v>0.21634787056936536</c:v>
                </c:pt>
                <c:pt idx="30">
                  <c:v>0.19956018973456591</c:v>
                </c:pt>
                <c:pt idx="31">
                  <c:v>0.18450305141236267</c:v>
                </c:pt>
                <c:pt idx="32">
                  <c:v>0.17096909840733632</c:v>
                </c:pt>
                <c:pt idx="33">
                  <c:v>0.15877686344260522</c:v>
                </c:pt>
                <c:pt idx="34">
                  <c:v>0.14776798344527861</c:v>
                </c:pt>
                <c:pt idx="35">
                  <c:v>0.13780445766375798</c:v>
                </c:pt>
                <c:pt idx="36">
                  <c:v>0.12876608267918752</c:v>
                </c:pt>
                <c:pt idx="37">
                  <c:v>0.12054812604814544</c:v>
                </c:pt>
                <c:pt idx="38">
                  <c:v>0.11305925807401376</c:v>
                </c:pt>
                <c:pt idx="39">
                  <c:v>0.106219737289205</c:v>
                </c:pt>
                <c:pt idx="40">
                  <c:v>9.9959832642871616E-2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12A-4C7D-BAAA-14E496202042}"/>
            </c:ext>
          </c:extLst>
        </c:ser>
        <c:ser>
          <c:idx val="10"/>
          <c:order val="10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edo'!$O$13:$O$53</c:f>
              <c:numCache>
                <c:formatCode>0.000</c:formatCode>
                <c:ptCount val="41"/>
                <c:pt idx="0">
                  <c:v>0.5</c:v>
                </c:pt>
                <c:pt idx="1">
                  <c:v>0.55248612738275837</c:v>
                </c:pt>
                <c:pt idx="2">
                  <c:v>0.6097559587811987</c:v>
                </c:pt>
                <c:pt idx="3">
                  <c:v>0.67114070508667156</c:v>
                </c:pt>
                <c:pt idx="4">
                  <c:v>0.73529377258561246</c:v>
                </c:pt>
                <c:pt idx="5">
                  <c:v>0.7999995319369837</c:v>
                </c:pt>
                <c:pt idx="6">
                  <c:v>0.86206835693811346</c:v>
                </c:pt>
                <c:pt idx="7">
                  <c:v>0.91743040022826516</c:v>
                </c:pt>
                <c:pt idx="8">
                  <c:v>0.96153738053515525</c:v>
                </c:pt>
                <c:pt idx="9">
                  <c:v>0.99009744038147507</c:v>
                </c:pt>
                <c:pt idx="10">
                  <c:v>0.99999765982216315</c:v>
                </c:pt>
                <c:pt idx="11">
                  <c:v>0.99009564377860459</c:v>
                </c:pt>
                <c:pt idx="12">
                  <c:v>0.96153402707242952</c:v>
                </c:pt>
                <c:pt idx="13">
                  <c:v>0.91742599978044248</c:v>
                </c:pt>
                <c:pt idx="14">
                  <c:v>0.86206363878253955</c:v>
                </c:pt>
                <c:pt idx="15">
                  <c:v>0.79999526860451264</c:v>
                </c:pt>
                <c:pt idx="16">
                  <c:v>0.7352905713159108</c:v>
                </c:pt>
                <c:pt idx="17">
                  <c:v>0.67113888526236576</c:v>
                </c:pt>
                <c:pt idx="18">
                  <c:v>0.60975555181934515</c:v>
                </c:pt>
                <c:pt idx="19">
                  <c:v>0.55248695780472301</c:v>
                </c:pt>
                <c:pt idx="20">
                  <c:v>0.50000178734617651</c:v>
                </c:pt>
                <c:pt idx="21">
                  <c:v>0.4524911739500237</c:v>
                </c:pt>
                <c:pt idx="22">
                  <c:v>0.40983896431414368</c:v>
                </c:pt>
                <c:pt idx="23">
                  <c:v>0.37175029287757133</c:v>
                </c:pt>
                <c:pt idx="24">
                  <c:v>0.33784093081359301</c:v>
                </c:pt>
                <c:pt idx="25">
                  <c:v>0.30769529625711883</c:v>
                </c:pt>
                <c:pt idx="26">
                  <c:v>0.28090168766271251</c:v>
                </c:pt>
                <c:pt idx="27">
                  <c:v>0.25707200253572582</c:v>
                </c:pt>
                <c:pt idx="28">
                  <c:v>0.23585141604780993</c:v>
                </c:pt>
                <c:pt idx="29">
                  <c:v>0.21692186357793644</c:v>
                </c:pt>
                <c:pt idx="30">
                  <c:v>0.20000189706328378</c:v>
                </c:pt>
                <c:pt idx="31">
                  <c:v>0.18484456837243518</c:v>
                </c:pt>
                <c:pt idx="32">
                  <c:v>0.17123436685476356</c:v>
                </c:pt>
                <c:pt idx="33">
                  <c:v>0.1589838260208998</c:v>
                </c:pt>
                <c:pt idx="34">
                  <c:v>0.14793015063151566</c:v>
                </c:pt>
                <c:pt idx="35">
                  <c:v>0.13793205110621107</c:v>
                </c:pt>
                <c:pt idx="36">
                  <c:v>0.12886687242397307</c:v>
                </c:pt>
                <c:pt idx="37">
                  <c:v>0.12062804610036811</c:v>
                </c:pt>
                <c:pt idx="38">
                  <c:v>0.11312286094475611</c:v>
                </c:pt>
                <c:pt idx="39">
                  <c:v>0.10627053115704838</c:v>
                </c:pt>
                <c:pt idx="40">
                  <c:v>0.1000005325920483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12A-4C7D-BAAA-14E496202042}"/>
            </c:ext>
          </c:extLst>
        </c:ser>
        <c:ser>
          <c:idx val="11"/>
          <c:order val="11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edo'!$P$13:$P$53</c:f>
              <c:numCache>
                <c:formatCode>0.000</c:formatCode>
                <c:ptCount val="41"/>
                <c:pt idx="0">
                  <c:v>0.55000000000000004</c:v>
                </c:pt>
                <c:pt idx="1">
                  <c:v>0.6077238203030344</c:v>
                </c:pt>
                <c:pt idx="2">
                  <c:v>0.67062774531144165</c:v>
                </c:pt>
                <c:pt idx="3">
                  <c:v>0.73784060658588924</c:v>
                </c:pt>
                <c:pt idx="4">
                  <c:v>0.8076733933686131</c:v>
                </c:pt>
                <c:pt idx="5">
                  <c:v>0.87740664281327319</c:v>
                </c:pt>
                <c:pt idx="6">
                  <c:v>0.94320326394233323</c:v>
                </c:pt>
                <c:pt idx="7">
                  <c:v>1.0002873840297566</c:v>
                </c:pt>
                <c:pt idx="8">
                  <c:v>1.0435090723207316</c:v>
                </c:pt>
                <c:pt idx="9">
                  <c:v>1.0682847915491385</c:v>
                </c:pt>
                <c:pt idx="10">
                  <c:v>1.0716787843952427</c:v>
                </c:pt>
                <c:pt idx="11">
                  <c:v>1.0532060757095936</c:v>
                </c:pt>
                <c:pt idx="12">
                  <c:v>1.0149783737512399</c:v>
                </c:pt>
                <c:pt idx="13">
                  <c:v>0.96111766336741677</c:v>
                </c:pt>
                <c:pt idx="14">
                  <c:v>0.89672304096541855</c:v>
                </c:pt>
                <c:pt idx="15">
                  <c:v>0.82683029145074061</c:v>
                </c:pt>
                <c:pt idx="16">
                  <c:v>0.75568807058359744</c:v>
                </c:pt>
                <c:pt idx="17">
                  <c:v>0.68644167863748085</c:v>
                </c:pt>
                <c:pt idx="18">
                  <c:v>0.62113916665936109</c:v>
                </c:pt>
                <c:pt idx="19">
                  <c:v>0.56091519008310298</c:v>
                </c:pt>
                <c:pt idx="20">
                  <c:v>0.50623080357550643</c:v>
                </c:pt>
                <c:pt idx="21">
                  <c:v>0.45709691679620923</c:v>
                </c:pt>
                <c:pt idx="22">
                  <c:v>0.41325160509581754</c:v>
                </c:pt>
                <c:pt idx="23">
                  <c:v>0.37428717277394741</c:v>
                </c:pt>
                <c:pt idx="24">
                  <c:v>0.33973447591298284</c:v>
                </c:pt>
                <c:pt idx="25">
                  <c:v>0.30911515215554608</c:v>
                </c:pt>
                <c:pt idx="26">
                  <c:v>0.28197158325814259</c:v>
                </c:pt>
                <c:pt idx="27">
                  <c:v>0.25788228391839135</c:v>
                </c:pt>
                <c:pt idx="28">
                  <c:v>0.23646822125832423</c:v>
                </c:pt>
                <c:pt idx="29">
                  <c:v>0.21739377856604677</c:v>
                </c:pt>
                <c:pt idx="30">
                  <c:v>0.20036476183314939</c:v>
                </c:pt>
                <c:pt idx="31">
                  <c:v>0.1851249415626991</c:v>
                </c:pt>
                <c:pt idx="32">
                  <c:v>0.17145202426866915</c:v>
                </c:pt>
                <c:pt idx="33">
                  <c:v>0.1591535659012322</c:v>
                </c:pt>
                <c:pt idx="34">
                  <c:v>0.14806310187905625</c:v>
                </c:pt>
                <c:pt idx="35">
                  <c:v>0.13803662478366521</c:v>
                </c:pt>
                <c:pt idx="36">
                  <c:v>0.12894945669814095</c:v>
                </c:pt>
                <c:pt idx="37">
                  <c:v>0.12069351608305245</c:v>
                </c:pt>
                <c:pt idx="38">
                  <c:v>0.11317495449031593</c:v>
                </c:pt>
                <c:pt idx="39">
                  <c:v>0.10631212718674647</c:v>
                </c:pt>
                <c:pt idx="40">
                  <c:v>0.10003385822314606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12A-4C7D-BAAA-14E496202042}"/>
            </c:ext>
          </c:extLst>
        </c:ser>
        <c:ser>
          <c:idx val="12"/>
          <c:order val="12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edo'!$Q$13:$Q$53</c:f>
              <c:numCache>
                <c:formatCode>0.000</c:formatCode>
                <c:ptCount val="41"/>
                <c:pt idx="0">
                  <c:v>0.6</c:v>
                </c:pt>
                <c:pt idx="1">
                  <c:v>0.6629595281991143</c:v>
                </c:pt>
                <c:pt idx="2">
                  <c:v>0.73148069237411373</c:v>
                </c:pt>
                <c:pt idx="3">
                  <c:v>0.8044657110938267</c:v>
                </c:pt>
                <c:pt idx="4">
                  <c:v>0.87984752791416632</c:v>
                </c:pt>
                <c:pt idx="5">
                  <c:v>0.95435894554576861</c:v>
                </c:pt>
                <c:pt idx="6">
                  <c:v>1.0234748702774137</c:v>
                </c:pt>
                <c:pt idx="7">
                  <c:v>1.0816979336145509</c:v>
                </c:pt>
                <c:pt idx="8">
                  <c:v>1.1233115869252668</c:v>
                </c:pt>
                <c:pt idx="9">
                  <c:v>1.1435384849008856</c:v>
                </c:pt>
                <c:pt idx="10">
                  <c:v>1.139761706889145</c:v>
                </c:pt>
                <c:pt idx="11">
                  <c:v>1.1122886941769354</c:v>
                </c:pt>
                <c:pt idx="12">
                  <c:v>1.0642740652469547</c:v>
                </c:pt>
                <c:pt idx="13">
                  <c:v>1.0008377472814007</c:v>
                </c:pt>
                <c:pt idx="14">
                  <c:v>0.92780870596295451</c:v>
                </c:pt>
                <c:pt idx="15">
                  <c:v>0.85060774067448919</c:v>
                </c:pt>
                <c:pt idx="16">
                  <c:v>0.77357110195201206</c:v>
                </c:pt>
                <c:pt idx="17">
                  <c:v>0.6997375890572759</c:v>
                </c:pt>
                <c:pt idx="18">
                  <c:v>0.63095549738593715</c:v>
                </c:pt>
                <c:pt idx="19">
                  <c:v>0.56813782137635915</c:v>
                </c:pt>
                <c:pt idx="20">
                  <c:v>0.51154156931781536</c:v>
                </c:pt>
                <c:pt idx="21">
                  <c:v>0.4610073652412674</c:v>
                </c:pt>
                <c:pt idx="22">
                  <c:v>0.41613926331100587</c:v>
                </c:pt>
                <c:pt idx="23">
                  <c:v>0.37642789658521858</c:v>
                </c:pt>
                <c:pt idx="24">
                  <c:v>0.34132876435709297</c:v>
                </c:pt>
                <c:pt idx="25">
                  <c:v>0.31030844740481278</c:v>
                </c:pt>
                <c:pt idx="26">
                  <c:v>0.28286943407793941</c:v>
                </c:pt>
                <c:pt idx="27">
                  <c:v>0.2585614502116364</c:v>
                </c:pt>
                <c:pt idx="28">
                  <c:v>0.23698471047852904</c:v>
                </c:pt>
                <c:pt idx="29">
                  <c:v>0.21778862399403265</c:v>
                </c:pt>
                <c:pt idx="30">
                  <c:v>0.20066816542447669</c:v>
                </c:pt>
                <c:pt idx="31">
                  <c:v>0.1853592433690715</c:v>
                </c:pt>
                <c:pt idx="32">
                  <c:v>0.17163383397909868</c:v>
                </c:pt>
                <c:pt idx="33">
                  <c:v>0.15929529713606286</c:v>
                </c:pt>
                <c:pt idx="34">
                  <c:v>0.14817408058366732</c:v>
                </c:pt>
                <c:pt idx="35">
                  <c:v>0.13812389332334393</c:v>
                </c:pt>
                <c:pt idx="36">
                  <c:v>0.12901835988508711</c:v>
                </c:pt>
                <c:pt idx="37">
                  <c:v>0.1207481303468679</c:v>
                </c:pt>
                <c:pt idx="38">
                  <c:v>0.11321840374282843</c:v>
                </c:pt>
                <c:pt idx="39">
                  <c:v>0.10634681646578034</c:v>
                </c:pt>
                <c:pt idx="40">
                  <c:v>0.10006164738673684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12A-4C7D-BAAA-14E496202042}"/>
            </c:ext>
          </c:extLst>
        </c:ser>
        <c:ser>
          <c:idx val="13"/>
          <c:order val="13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edo'!$R$13:$R$53</c:f>
              <c:numCache>
                <c:formatCode>0.000</c:formatCode>
                <c:ptCount val="41"/>
                <c:pt idx="0">
                  <c:v>0.65</c:v>
                </c:pt>
                <c:pt idx="1">
                  <c:v>0.71819325117029231</c:v>
                </c:pt>
                <c:pt idx="2">
                  <c:v>0.79231480869136317</c:v>
                </c:pt>
                <c:pt idx="3">
                  <c:v>0.87101614430186225</c:v>
                </c:pt>
                <c:pt idx="4">
                  <c:v>0.95181704989920513</c:v>
                </c:pt>
                <c:pt idx="5">
                  <c:v>1.0308604362774765</c:v>
                </c:pt>
                <c:pt idx="6">
                  <c:v>1.1028968802109622</c:v>
                </c:pt>
                <c:pt idx="7">
                  <c:v>1.1616995928157392</c:v>
                </c:pt>
                <c:pt idx="8">
                  <c:v>1.2010298941066244</c:v>
                </c:pt>
                <c:pt idx="9">
                  <c:v>1.2160205758468852</c:v>
                </c:pt>
                <c:pt idx="10">
                  <c:v>1.2045107081098583</c:v>
                </c:pt>
                <c:pt idx="11">
                  <c:v>1.1677171590505986</c:v>
                </c:pt>
                <c:pt idx="12">
                  <c:v>1.1098861241488116</c:v>
                </c:pt>
                <c:pt idx="13">
                  <c:v>1.0371042620476005</c:v>
                </c:pt>
                <c:pt idx="14">
                  <c:v>0.95584630909704194</c:v>
                </c:pt>
                <c:pt idx="15">
                  <c:v>0.87182206588388478</c:v>
                </c:pt>
                <c:pt idx="16">
                  <c:v>0.78937766716885494</c:v>
                </c:pt>
                <c:pt idx="17">
                  <c:v>0.71139715060296804</c:v>
                </c:pt>
                <c:pt idx="18">
                  <c:v>0.63950740290878771</c:v>
                </c:pt>
                <c:pt idx="19">
                  <c:v>0.57439629011496796</c:v>
                </c:pt>
                <c:pt idx="20">
                  <c:v>0.51612321102801639</c:v>
                </c:pt>
                <c:pt idx="21">
                  <c:v>0.46436892872184687</c:v>
                </c:pt>
                <c:pt idx="22">
                  <c:v>0.41861443824672484</c:v>
                </c:pt>
                <c:pt idx="23">
                  <c:v>0.37825854662539182</c:v>
                </c:pt>
                <c:pt idx="24">
                  <c:v>0.34268954882348057</c:v>
                </c:pt>
                <c:pt idx="25">
                  <c:v>0.31132540683947729</c:v>
                </c:pt>
                <c:pt idx="26">
                  <c:v>0.28363365377807909</c:v>
                </c:pt>
                <c:pt idx="27">
                  <c:v>0.25913894632908807</c:v>
                </c:pt>
                <c:pt idx="28">
                  <c:v>0.23742351801605391</c:v>
                </c:pt>
                <c:pt idx="29">
                  <c:v>0.21812385571855142</c:v>
                </c:pt>
                <c:pt idx="30">
                  <c:v>0.20092561767084283</c:v>
                </c:pt>
                <c:pt idx="31">
                  <c:v>0.18555796830062818</c:v>
                </c:pt>
                <c:pt idx="32">
                  <c:v>0.17178797893113812</c:v>
                </c:pt>
                <c:pt idx="33">
                  <c:v>0.15941542441546203</c:v>
                </c:pt>
                <c:pt idx="34">
                  <c:v>0.14826811843736129</c:v>
                </c:pt>
                <c:pt idx="35">
                  <c:v>0.13819782434754896</c:v>
                </c:pt>
                <c:pt idx="36">
                  <c:v>0.12907672184549146</c:v>
                </c:pt>
                <c:pt idx="37">
                  <c:v>0.12079438240288758</c:v>
                </c:pt>
                <c:pt idx="38">
                  <c:v>0.11325519564855309</c:v>
                </c:pt>
                <c:pt idx="39">
                  <c:v>0.10637618748794098</c:v>
                </c:pt>
                <c:pt idx="40">
                  <c:v>0.10008517405253237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12A-4C7D-BAAA-14E496202042}"/>
            </c:ext>
          </c:extLst>
        </c:ser>
        <c:ser>
          <c:idx val="14"/>
          <c:order val="14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edo'!$S$13:$S$53</c:f>
              <c:numCache>
                <c:formatCode>0.000</c:formatCode>
                <c:ptCount val="41"/>
                <c:pt idx="0">
                  <c:v>0.7</c:v>
                </c:pt>
                <c:pt idx="1">
                  <c:v>0.77342498931585557</c:v>
                </c:pt>
                <c:pt idx="2">
                  <c:v>0.8531301029799081</c:v>
                </c:pt>
                <c:pt idx="3">
                  <c:v>0.9374920316190084</c:v>
                </c:pt>
                <c:pt idx="4">
                  <c:v>1.0235828280477761</c:v>
                </c:pt>
                <c:pt idx="5">
                  <c:v>1.1069150644378616</c:v>
                </c:pt>
                <c:pt idx="6">
                  <c:v>1.181482709358032</c:v>
                </c:pt>
                <c:pt idx="7">
                  <c:v>1.2403286170075718</c:v>
                </c:pt>
                <c:pt idx="8">
                  <c:v>1.2767445826087274</c:v>
                </c:pt>
                <c:pt idx="9">
                  <c:v>1.2858813997961771</c:v>
                </c:pt>
                <c:pt idx="10">
                  <c:v>1.2661648078031265</c:v>
                </c:pt>
                <c:pt idx="11">
                  <c:v>1.2198203011007156</c:v>
                </c:pt>
                <c:pt idx="12">
                  <c:v>1.1522125820048013</c:v>
                </c:pt>
                <c:pt idx="13">
                  <c:v>1.0703488909225283</c:v>
                </c:pt>
                <c:pt idx="14">
                  <c:v>0.98126324874524784</c:v>
                </c:pt>
                <c:pt idx="15">
                  <c:v>0.89086655819015537</c:v>
                </c:pt>
                <c:pt idx="16">
                  <c:v>0.80344962088450955</c:v>
                </c:pt>
                <c:pt idx="17">
                  <c:v>0.72170496776352455</c:v>
                </c:pt>
                <c:pt idx="18">
                  <c:v>0.64702443074595584</c:v>
                </c:pt>
                <c:pt idx="19">
                  <c:v>0.57987159894174567</c:v>
                </c:pt>
                <c:pt idx="20">
                  <c:v>0.52011625296244857</c:v>
                </c:pt>
                <c:pt idx="21">
                  <c:v>0.46728960544763187</c:v>
                </c:pt>
                <c:pt idx="22">
                  <c:v>0.42075962786563692</c:v>
                </c:pt>
                <c:pt idx="23">
                  <c:v>0.37984194885561862</c:v>
                </c:pt>
                <c:pt idx="24">
                  <c:v>0.34386463318427424</c:v>
                </c:pt>
                <c:pt idx="25">
                  <c:v>0.31220243109411189</c:v>
                </c:pt>
                <c:pt idx="26">
                  <c:v>0.28429201207638749</c:v>
                </c:pt>
                <c:pt idx="27">
                  <c:v>0.25963601431684447</c:v>
                </c:pt>
                <c:pt idx="28">
                  <c:v>0.23780094503134303</c:v>
                </c:pt>
                <c:pt idx="29">
                  <c:v>0.2184120279920071</c:v>
                </c:pt>
                <c:pt idx="30">
                  <c:v>0.20114682379976825</c:v>
                </c:pt>
                <c:pt idx="31">
                  <c:v>0.18572864837179415</c:v>
                </c:pt>
                <c:pt idx="32">
                  <c:v>0.17192032756746753</c:v>
                </c:pt>
                <c:pt idx="33">
                  <c:v>0.1595185379579887</c:v>
                </c:pt>
                <c:pt idx="34">
                  <c:v>0.14834881972040126</c:v>
                </c:pt>
                <c:pt idx="35">
                  <c:v>0.13826125867031339</c:v>
                </c:pt>
                <c:pt idx="36">
                  <c:v>0.12912678988770201</c:v>
                </c:pt>
                <c:pt idx="37">
                  <c:v>0.12083405639396431</c:v>
                </c:pt>
                <c:pt idx="38">
                  <c:v>0.11328675152844687</c:v>
                </c:pt>
                <c:pt idx="39">
                  <c:v>0.10640137630268524</c:v>
                </c:pt>
                <c:pt idx="40">
                  <c:v>0.10010534916398695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412A-4C7D-BAAA-14E496202042}"/>
            </c:ext>
          </c:extLst>
        </c:ser>
        <c:ser>
          <c:idx val="15"/>
          <c:order val="15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edo'!$T$13:$T$53</c:f>
              <c:numCache>
                <c:formatCode>0.000</c:formatCode>
                <c:ptCount val="41"/>
                <c:pt idx="0">
                  <c:v>0.75</c:v>
                </c:pt>
                <c:pt idx="1">
                  <c:v>0.82865474273508555</c:v>
                </c:pt>
                <c:pt idx="2">
                  <c:v>0.91392658395104243</c:v>
                </c:pt>
                <c:pt idx="3">
                  <c:v>1.0038934981726964</c:v>
                </c:pt>
                <c:pt idx="4">
                  <c:v>1.0951457261659892</c:v>
                </c:pt>
                <c:pt idx="5">
                  <c:v>1.1825267334230452</c:v>
                </c:pt>
                <c:pt idx="6">
                  <c:v>1.2592454922419256</c:v>
                </c:pt>
                <c:pt idx="7">
                  <c:v>1.3176200279235175</c:v>
                </c:pt>
                <c:pt idx="8">
                  <c:v>1.3505321389957257</c:v>
                </c:pt>
                <c:pt idx="9">
                  <c:v>1.3532606130175036</c:v>
                </c:pt>
                <c:pt idx="10">
                  <c:v>1.3249407126112969</c:v>
                </c:pt>
                <c:pt idx="11">
                  <c:v>1.2688886490615856</c:v>
                </c:pt>
                <c:pt idx="12">
                  <c:v>1.1915961229318668</c:v>
                </c:pt>
                <c:pt idx="13">
                  <c:v>1.1009342531391311</c:v>
                </c:pt>
                <c:pt idx="14">
                  <c:v>1.0044105867066937</c:v>
                </c:pt>
                <c:pt idx="15">
                  <c:v>0.90805796075117917</c:v>
                </c:pt>
                <c:pt idx="16">
                  <c:v>0.816057679920968</c:v>
                </c:pt>
                <c:pt idx="17">
                  <c:v>0.73088326004228632</c:v>
                </c:pt>
                <c:pt idx="18">
                  <c:v>0.65368373394235424</c:v>
                </c:pt>
                <c:pt idx="19">
                  <c:v>0.58470211120467608</c:v>
                </c:pt>
                <c:pt idx="20">
                  <c:v>0.52362728724017704</c:v>
                </c:pt>
                <c:pt idx="21">
                  <c:v>0.46985080389120132</c:v>
                </c:pt>
                <c:pt idx="22">
                  <c:v>0.42263670476308263</c:v>
                </c:pt>
                <c:pt idx="23">
                  <c:v>0.38122502985971779</c:v>
                </c:pt>
                <c:pt idx="24">
                  <c:v>0.3448896057694692</c:v>
                </c:pt>
                <c:pt idx="25">
                  <c:v>0.31296654675499264</c:v>
                </c:pt>
                <c:pt idx="26">
                  <c:v>0.28486508257818099</c:v>
                </c:pt>
                <c:pt idx="27">
                  <c:v>0.26006836387077137</c:v>
                </c:pt>
                <c:pt idx="28">
                  <c:v>0.23812902978577793</c:v>
                </c:pt>
                <c:pt idx="29">
                  <c:v>0.21866240108682941</c:v>
                </c:pt>
                <c:pt idx="30">
                  <c:v>0.20133893565837443</c:v>
                </c:pt>
                <c:pt idx="31">
                  <c:v>0.18587682955463655</c:v>
                </c:pt>
                <c:pt idx="32">
                  <c:v>0.17203519809931758</c:v>
                </c:pt>
                <c:pt idx="33">
                  <c:v>0.15960801357438043</c:v>
                </c:pt>
                <c:pt idx="34">
                  <c:v>0.14841883395278052</c:v>
                </c:pt>
                <c:pt idx="35">
                  <c:v>0.13831628380044317</c:v>
                </c:pt>
                <c:pt idx="36">
                  <c:v>0.12917021487879474</c:v>
                </c:pt>
                <c:pt idx="37">
                  <c:v>0.12086846260366832</c:v>
                </c:pt>
                <c:pt idx="38">
                  <c:v>0.11331411497869795</c:v>
                </c:pt>
                <c:pt idx="39">
                  <c:v>0.10642321689355258</c:v>
                </c:pt>
                <c:pt idx="40">
                  <c:v>0.10012284134862694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412A-4C7D-BAAA-14E496202042}"/>
            </c:ext>
          </c:extLst>
        </c:ser>
        <c:ser>
          <c:idx val="16"/>
          <c:order val="16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edo'!$U$13:$U$53</c:f>
              <c:numCache>
                <c:formatCode>0.000</c:formatCode>
                <c:ptCount val="41"/>
                <c:pt idx="0">
                  <c:v>0.8</c:v>
                </c:pt>
                <c:pt idx="1">
                  <c:v>0.88388251152725705</c:v>
                </c:pt>
                <c:pt idx="2">
                  <c:v>0.97470426031063773</c:v>
                </c:pt>
                <c:pt idx="3">
                  <c:v>1.0702206688095539</c:v>
                </c:pt>
                <c:pt idx="4">
                  <c:v>1.1665066031766695</c:v>
                </c:pt>
                <c:pt idx="5">
                  <c:v>1.2576993012642055</c:v>
                </c:pt>
                <c:pt idx="6">
                  <c:v>1.3361980896189871</c:v>
                </c:pt>
                <c:pt idx="7">
                  <c:v>1.3936076657004617</c:v>
                </c:pt>
                <c:pt idx="8">
                  <c:v>1.4224652054568796</c:v>
                </c:pt>
                <c:pt idx="9">
                  <c:v>1.4182881244906482</c:v>
                </c:pt>
                <c:pt idx="10">
                  <c:v>1.3810353605630437</c:v>
                </c:pt>
                <c:pt idx="11">
                  <c:v>1.3151798485013322</c:v>
                </c:pt>
                <c:pt idx="12">
                  <c:v>1.2283333802905221</c:v>
                </c:pt>
                <c:pt idx="13">
                  <c:v>1.1291671838961586</c:v>
                </c:pt>
                <c:pt idx="14">
                  <c:v>1.025579362094422</c:v>
                </c:pt>
                <c:pt idx="15">
                  <c:v>0.92365422790575047</c:v>
                </c:pt>
                <c:pt idx="16">
                  <c:v>0.82741901231120718</c:v>
                </c:pt>
                <c:pt idx="17">
                  <c:v>0.73910806735004808</c:v>
                </c:pt>
                <c:pt idx="18">
                  <c:v>0.65962421306689256</c:v>
                </c:pt>
                <c:pt idx="19">
                  <c:v>0.58899540856852106</c:v>
                </c:pt>
                <c:pt idx="20">
                  <c:v>0.52673863278845889</c:v>
                </c:pt>
                <c:pt idx="21">
                  <c:v>0.47211505156612638</c:v>
                </c:pt>
                <c:pt idx="22">
                  <c:v>0.4242929827647367</c:v>
                </c:pt>
                <c:pt idx="23">
                  <c:v>0.38244354719714879</c:v>
                </c:pt>
                <c:pt idx="24">
                  <c:v>0.34579150697753325</c:v>
                </c:pt>
                <c:pt idx="25">
                  <c:v>0.31363824142574859</c:v>
                </c:pt>
                <c:pt idx="26">
                  <c:v>0.28536843193746686</c:v>
                </c:pt>
                <c:pt idx="27">
                  <c:v>0.26044786333357955</c:v>
                </c:pt>
                <c:pt idx="28">
                  <c:v>0.23841685562670845</c:v>
                </c:pt>
                <c:pt idx="29">
                  <c:v>0.21888195514491493</c:v>
                </c:pt>
                <c:pt idx="30">
                  <c:v>0.20150733962040318</c:v>
                </c:pt>
                <c:pt idx="31">
                  <c:v>0.18600668590234526</c:v>
                </c:pt>
                <c:pt idx="32">
                  <c:v>0.17213583869383223</c:v>
                </c:pt>
                <c:pt idx="33">
                  <c:v>0.15968638936741575</c:v>
                </c:pt>
                <c:pt idx="34">
                  <c:v>0.14848015240194423</c:v>
                </c:pt>
                <c:pt idx="35">
                  <c:v>0.13836446811456504</c:v>
                </c:pt>
                <c:pt idx="36">
                  <c:v>0.12920823680570234</c:v>
                </c:pt>
                <c:pt idx="37">
                  <c:v>0.1208985849806849</c:v>
                </c:pt>
                <c:pt idx="38">
                  <c:v>0.11333806953294399</c:v>
                </c:pt>
                <c:pt idx="39">
                  <c:v>0.10644233531740398</c:v>
                </c:pt>
                <c:pt idx="40">
                  <c:v>0.10013815246646744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412A-4C7D-BAAA-14E496202042}"/>
            </c:ext>
          </c:extLst>
        </c:ser>
        <c:ser>
          <c:idx val="17"/>
          <c:order val="17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edo'!$V$13:$V$53</c:f>
              <c:numCache>
                <c:formatCode>0.000</c:formatCode>
                <c:ptCount val="41"/>
                <c:pt idx="0">
                  <c:v>0.85</c:v>
                </c:pt>
                <c:pt idx="1">
                  <c:v>0.93910829579163846</c:v>
                </c:pt>
                <c:pt idx="2">
                  <c:v>1.0354631407591486</c:v>
                </c:pt>
                <c:pt idx="3">
                  <c:v>1.1364736680961853</c:v>
                </c:pt>
                <c:pt idx="4">
                  <c:v>1.2376663131537264</c:v>
                </c:pt>
                <c:pt idx="5">
                  <c:v>1.3324365812844223</c:v>
                </c:pt>
                <c:pt idx="6">
                  <c:v>1.4123530955759014</c:v>
                </c:pt>
                <c:pt idx="7">
                  <c:v>1.4683242383111639</c:v>
                </c:pt>
                <c:pt idx="8">
                  <c:v>1.4926128184086678</c:v>
                </c:pt>
                <c:pt idx="9">
                  <c:v>1.4810849318391075</c:v>
                </c:pt>
                <c:pt idx="10">
                  <c:v>1.4346281250893664</c:v>
                </c:pt>
                <c:pt idx="11">
                  <c:v>1.3589231859875877</c:v>
                </c:pt>
                <c:pt idx="12">
                  <c:v>1.2626824204042695</c:v>
                </c:pt>
                <c:pt idx="13">
                  <c:v>1.155309063643756</c:v>
                </c:pt>
                <c:pt idx="14">
                  <c:v>1.0450128930872327</c:v>
                </c:pt>
                <c:pt idx="15">
                  <c:v>0.93786755947999267</c:v>
                </c:pt>
                <c:pt idx="16">
                  <c:v>0.83770985356266781</c:v>
                </c:pt>
                <c:pt idx="17">
                  <c:v>0.74652065339166329</c:v>
                </c:pt>
                <c:pt idx="18">
                  <c:v>0.66495631226441276</c:v>
                </c:pt>
                <c:pt idx="19">
                  <c:v>0.5928364001018851</c:v>
                </c:pt>
                <c:pt idx="20">
                  <c:v>0.52951487263258601</c:v>
                </c:pt>
                <c:pt idx="21">
                  <c:v>0.47413116889826529</c:v>
                </c:pt>
                <c:pt idx="22">
                  <c:v>0.42576526121453162</c:v>
                </c:pt>
                <c:pt idx="23">
                  <c:v>0.38352522575578613</c:v>
                </c:pt>
                <c:pt idx="24">
                  <c:v>0.34659125032977206</c:v>
                </c:pt>
                <c:pt idx="25">
                  <c:v>0.31423332855726627</c:v>
                </c:pt>
                <c:pt idx="26">
                  <c:v>0.2858140556795486</c:v>
                </c:pt>
                <c:pt idx="27">
                  <c:v>0.26078364618364347</c:v>
                </c:pt>
                <c:pt idx="28">
                  <c:v>0.23867140522001973</c:v>
                </c:pt>
                <c:pt idx="29">
                  <c:v>0.21907605127790283</c:v>
                </c:pt>
                <c:pt idx="30">
                  <c:v>0.20165616969740499</c:v>
                </c:pt>
                <c:pt idx="31">
                  <c:v>0.18612141906477811</c:v>
                </c:pt>
                <c:pt idx="32">
                  <c:v>0.17222473958600396</c:v>
                </c:pt>
                <c:pt idx="33">
                  <c:v>0.15975561040267688</c:v>
                </c:pt>
                <c:pt idx="34">
                  <c:v>0.14853430055272443</c:v>
                </c:pt>
                <c:pt idx="35">
                  <c:v>0.13840701278859738</c:v>
                </c:pt>
                <c:pt idx="36">
                  <c:v>0.12924180511733119</c:v>
                </c:pt>
                <c:pt idx="37">
                  <c:v>0.12092517677975635</c:v>
                </c:pt>
                <c:pt idx="38">
                  <c:v>0.11335921492121584</c:v>
                </c:pt>
                <c:pt idx="39">
                  <c:v>0.10645921070281744</c:v>
                </c:pt>
                <c:pt idx="40">
                  <c:v>0.1001516665522537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412A-4C7D-BAAA-14E496202042}"/>
            </c:ext>
          </c:extLst>
        </c:ser>
        <c:ser>
          <c:idx val="18"/>
          <c:order val="18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edo'!$W$13:$W$53</c:f>
              <c:numCache>
                <c:formatCode>0.000</c:formatCode>
                <c:ptCount val="41"/>
                <c:pt idx="0">
                  <c:v>0.9</c:v>
                </c:pt>
                <c:pt idx="1">
                  <c:v>0.99433209562749192</c:v>
                </c:pt>
                <c:pt idx="2">
                  <c:v>1.0962032339916161</c:v>
                </c:pt>
                <c:pt idx="3">
                  <c:v>1.2026526203199455</c:v>
                </c:pt>
                <c:pt idx="4">
                  <c:v>1.3086257053562327</c:v>
                </c:pt>
                <c:pt idx="5">
                  <c:v>1.4067423427441907</c:v>
                </c:pt>
                <c:pt idx="6">
                  <c:v>1.4877228444076667</c:v>
                </c:pt>
                <c:pt idx="7">
                  <c:v>1.5418013685363865</c:v>
                </c:pt>
                <c:pt idx="8">
                  <c:v>1.5610406295417427</c:v>
                </c:pt>
                <c:pt idx="9">
                  <c:v>1.5417638726690681</c:v>
                </c:pt>
                <c:pt idx="10">
                  <c:v>1.4858827305639588</c:v>
                </c:pt>
                <c:pt idx="11">
                  <c:v>1.4003233862911353</c:v>
                </c:pt>
                <c:pt idx="12">
                  <c:v>1.2948688128203245</c:v>
                </c:pt>
                <c:pt idx="13">
                  <c:v>1.179583934238539</c:v>
                </c:pt>
                <c:pt idx="14">
                  <c:v>1.062916172370775</c:v>
                </c:pt>
                <c:pt idx="15">
                  <c:v>0.95087411452762827</c:v>
                </c:pt>
                <c:pt idx="16">
                  <c:v>0.84707471654203803</c:v>
                </c:pt>
                <c:pt idx="17">
                  <c:v>0.75323568900452564</c:v>
                </c:pt>
                <c:pt idx="18">
                  <c:v>0.66976895157759131</c:v>
                </c:pt>
                <c:pt idx="19">
                  <c:v>0.59629299616120335</c:v>
                </c:pt>
                <c:pt idx="20">
                  <c:v>0.53200738640159084</c:v>
                </c:pt>
                <c:pt idx="21">
                  <c:v>0.47593783015452634</c:v>
                </c:pt>
                <c:pt idx="22">
                  <c:v>0.42708259205537424</c:v>
                </c:pt>
                <c:pt idx="23">
                  <c:v>0.38449189344075962</c:v>
                </c:pt>
                <c:pt idx="24">
                  <c:v>0.34730526476702378</c:v>
                </c:pt>
                <c:pt idx="25">
                  <c:v>0.31476420852093234</c:v>
                </c:pt>
                <c:pt idx="26">
                  <c:v>0.28621134672761911</c:v>
                </c:pt>
                <c:pt idx="27">
                  <c:v>0.2610828558904924</c:v>
                </c:pt>
                <c:pt idx="28">
                  <c:v>0.23889813463929715</c:v>
                </c:pt>
                <c:pt idx="29">
                  <c:v>0.21924887525817432</c:v>
                </c:pt>
                <c:pt idx="30">
                  <c:v>0.20178865152498779</c:v>
                </c:pt>
                <c:pt idx="31">
                  <c:v>0.18622352587577001</c:v>
                </c:pt>
                <c:pt idx="32">
                  <c:v>0.17230384196697687</c:v>
                </c:pt>
                <c:pt idx="33">
                  <c:v>0.1598171923579548</c:v>
                </c:pt>
                <c:pt idx="34">
                  <c:v>0.14858246677521758</c:v>
                </c:pt>
                <c:pt idx="35">
                  <c:v>0.13844485332152187</c:v>
                </c:pt>
                <c:pt idx="36">
                  <c:v>0.12927165911076466</c:v>
                </c:pt>
                <c:pt idx="37">
                  <c:v>0.12094882442878258</c:v>
                </c:pt>
                <c:pt idx="38">
                  <c:v>0.11337801798130737</c:v>
                </c:pt>
                <c:pt idx="39">
                  <c:v>0.10647421596472503</c:v>
                </c:pt>
                <c:pt idx="40">
                  <c:v>0.1001636824771561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12A-4C7D-BAAA-14E496202042}"/>
            </c:ext>
          </c:extLst>
        </c:ser>
        <c:ser>
          <c:idx val="19"/>
          <c:order val="19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edo'!$X$13:$X$53</c:f>
              <c:numCache>
                <c:formatCode>0.000</c:formatCode>
                <c:ptCount val="41"/>
                <c:pt idx="0">
                  <c:v>0.95</c:v>
                </c:pt>
                <c:pt idx="1">
                  <c:v>1.049553911134073</c:v>
                </c:pt>
                <c:pt idx="2">
                  <c:v>1.1569245486976714</c:v>
                </c:pt>
                <c:pt idx="3">
                  <c:v>1.2687576494897124</c:v>
                </c:pt>
                <c:pt idx="4">
                  <c:v>1.3793856242622196</c:v>
                </c:pt>
                <c:pt idx="5">
                  <c:v>1.4806203114758314</c:v>
                </c:pt>
                <c:pt idx="6">
                  <c:v>1.562319417284076</c:v>
                </c:pt>
                <c:pt idx="7">
                  <c:v>1.614069638618179</c:v>
                </c:pt>
                <c:pt idx="8">
                  <c:v>1.6278111108009117</c:v>
                </c:pt>
                <c:pt idx="9">
                  <c:v>1.6004303011371774</c:v>
                </c:pt>
                <c:pt idx="10">
                  <c:v>1.5349489224835482</c:v>
                </c:pt>
                <c:pt idx="11">
                  <c:v>1.4395638153626102</c:v>
                </c:pt>
                <c:pt idx="12">
                  <c:v>1.3250905890669291</c:v>
                </c:pt>
                <c:pt idx="13">
                  <c:v>1.2021849360988766</c:v>
                </c:pt>
                <c:pt idx="14">
                  <c:v>1.0794631269650468</c:v>
                </c:pt>
                <c:pt idx="15">
                  <c:v>0.96282135121578283</c:v>
                </c:pt>
                <c:pt idx="16">
                  <c:v>0.85563322177191259</c:v>
                </c:pt>
                <c:pt idx="17">
                  <c:v>0.75934722857451098</c:v>
                </c:pt>
                <c:pt idx="18">
                  <c:v>0.67413452685908104</c:v>
                </c:pt>
                <c:pt idx="19">
                  <c:v>0.59942015959440831</c:v>
                </c:pt>
                <c:pt idx="20">
                  <c:v>0.53425756044617212</c:v>
                </c:pt>
                <c:pt idx="21">
                  <c:v>0.47756606909237542</c:v>
                </c:pt>
                <c:pt idx="22">
                  <c:v>0.42826821674798377</c:v>
                </c:pt>
                <c:pt idx="23">
                  <c:v>0.38536096987019225</c:v>
                </c:pt>
                <c:pt idx="24">
                  <c:v>0.34794663556453032</c:v>
                </c:pt>
                <c:pt idx="25">
                  <c:v>0.31524074230115012</c:v>
                </c:pt>
                <c:pt idx="26">
                  <c:v>0.28656776493609415</c:v>
                </c:pt>
                <c:pt idx="27">
                  <c:v>0.2613511599055347</c:v>
                </c:pt>
                <c:pt idx="28">
                  <c:v>0.239101368941466</c:v>
                </c:pt>
                <c:pt idx="29">
                  <c:v>0.2194037428798907</c:v>
                </c:pt>
                <c:pt idx="30">
                  <c:v>0.2019073388732118</c:v>
                </c:pt>
                <c:pt idx="31">
                  <c:v>0.18631498218729392</c:v>
                </c:pt>
                <c:pt idx="32">
                  <c:v>0.17237468139671072</c:v>
                </c:pt>
                <c:pt idx="33">
                  <c:v>0.15987233381560548</c:v>
                </c:pt>
                <c:pt idx="34">
                  <c:v>0.14862559057358993</c:v>
                </c:pt>
                <c:pt idx="35">
                  <c:v>0.13847872914072371</c:v>
                </c:pt>
                <c:pt idx="36">
                  <c:v>0.12929838302721591</c:v>
                </c:pt>
                <c:pt idx="37">
                  <c:v>0.12096999129122546</c:v>
                </c:pt>
                <c:pt idx="38">
                  <c:v>0.11339484753609279</c:v>
                </c:pt>
                <c:pt idx="39">
                  <c:v>0.10648764569120193</c:v>
                </c:pt>
                <c:pt idx="40">
                  <c:v>0.10017443631635255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412A-4C7D-BAAA-14E496202042}"/>
            </c:ext>
          </c:extLst>
        </c:ser>
        <c:ser>
          <c:idx val="20"/>
          <c:order val="20"/>
          <c:marker>
            <c:symbol val="none"/>
          </c:marker>
          <c:xVal>
            <c:numRef>
              <c:f>'edo - bernoulli - edo'!$D$13:$D$53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edo'!$Y$13:$Y$53</c:f>
              <c:numCache>
                <c:formatCode>0.000</c:formatCode>
                <c:ptCount val="41"/>
                <c:pt idx="0">
                  <c:v>1</c:v>
                </c:pt>
                <c:pt idx="1">
                  <c:v>1.1047737424106316</c:v>
                </c:pt>
                <c:pt idx="2">
                  <c:v>1.2176270935615405</c:v>
                </c:pt>
                <c:pt idx="3">
                  <c:v>1.3347888793366589</c:v>
                </c:pt>
                <c:pt idx="4">
                  <c:v>1.4499469096021942</c:v>
                </c:pt>
                <c:pt idx="5">
                  <c:v>1.5540741705070178</c:v>
                </c:pt>
                <c:pt idx="6">
                  <c:v>1.636154648712228</c:v>
                </c:pt>
                <c:pt idx="7">
                  <c:v>1.6851586327266117</c:v>
                </c:pt>
                <c:pt idx="8">
                  <c:v>1.6929837446440024</c:v>
                </c:pt>
                <c:pt idx="9">
                  <c:v>1.6571826982876052</c:v>
                </c:pt>
                <c:pt idx="10">
                  <c:v>1.5819639281925502</c:v>
                </c:pt>
                <c:pt idx="11">
                  <c:v>1.4768091948210311</c:v>
                </c:pt>
                <c:pt idx="12">
                  <c:v>1.353522320321721</c:v>
                </c:pt>
                <c:pt idx="13">
                  <c:v>1.2232794580747961</c:v>
                </c:pt>
                <c:pt idx="14">
                  <c:v>1.0948022880930006</c:v>
                </c:pt>
                <c:pt idx="15">
                  <c:v>0.9738336431718766</c:v>
                </c:pt>
                <c:pt idx="16">
                  <c:v>0.86348523581312797</c:v>
                </c:pt>
                <c:pt idx="17">
                  <c:v>0.76493314402887602</c:v>
                </c:pt>
                <c:pt idx="18">
                  <c:v>0.67811257781730749</c:v>
                </c:pt>
                <c:pt idx="19">
                  <c:v>0.60226285105022659</c:v>
                </c:pt>
                <c:pt idx="20">
                  <c:v>0.53629910481540988</c:v>
                </c:pt>
                <c:pt idx="21">
                  <c:v>0.47904107701221721</c:v>
                </c:pt>
                <c:pt idx="22">
                  <c:v>0.42934094976154247</c:v>
                </c:pt>
                <c:pt idx="23">
                  <c:v>0.3861465257574288</c:v>
                </c:pt>
                <c:pt idx="24">
                  <c:v>0.34852591379890724</c:v>
                </c:pt>
                <c:pt idx="25">
                  <c:v>0.31567086987586929</c:v>
                </c:pt>
                <c:pt idx="26">
                  <c:v>0.28688931004731605</c:v>
                </c:pt>
                <c:pt idx="27">
                  <c:v>0.26159311216916753</c:v>
                </c:pt>
                <c:pt idx="28">
                  <c:v>0.23928458079871487</c:v>
                </c:pt>
                <c:pt idx="29">
                  <c:v>0.21954331482006606</c:v>
                </c:pt>
                <c:pt idx="30">
                  <c:v>0.20201427991884049</c:v>
                </c:pt>
                <c:pt idx="31">
                  <c:v>0.18639737201753057</c:v>
                </c:pt>
                <c:pt idx="32">
                  <c:v>0.17243848849608748</c:v>
                </c:pt>
                <c:pt idx="33">
                  <c:v>0.15992199506655397</c:v>
                </c:pt>
                <c:pt idx="34">
                  <c:v>0.14866442449210399</c:v>
                </c:pt>
                <c:pt idx="35">
                  <c:v>0.13850923241347257</c:v>
                </c:pt>
                <c:pt idx="36">
                  <c:v>0.12932244467791926</c:v>
                </c:pt>
                <c:pt idx="37">
                  <c:v>0.12098904833931645</c:v>
                </c:pt>
                <c:pt idx="38">
                  <c:v>0.1134099988343958</c:v>
                </c:pt>
                <c:pt idx="39">
                  <c:v>0.10649973568241433</c:v>
                </c:pt>
                <c:pt idx="40">
                  <c:v>0.10018411701877745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12A-4C7D-BAAA-14E496202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536664"/>
        <c:axId val="1"/>
      </c:scatterChart>
      <c:valAx>
        <c:axId val="424536664"/>
        <c:scaling>
          <c:orientation val="minMax"/>
          <c:max val="4"/>
          <c:min val="0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"/>
          <c:min val="0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24536664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8740157499999996" l="0.511811024" r="0.511811024" t="0.78740157499999996" header="0.31496062000000036" footer="0.3149606200000003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122236671001401E-2"/>
          <c:y val="2.8112449799196759E-2"/>
          <c:w val="0.89336801040312164"/>
          <c:h val="0.881526104417669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'edo - bernoulli - exata'!$B$8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exata'!$B$9:$B$49</c:f>
              <c:numCache>
                <c:formatCode>0.000</c:formatCode>
                <c:ptCount val="41"/>
                <c:pt idx="0">
                  <c:v>1E-3</c:v>
                </c:pt>
                <c:pt idx="1">
                  <c:v>1.1051705209196719E-3</c:v>
                </c:pt>
                <c:pt idx="2">
                  <c:v>1.2213989711841002E-3</c:v>
                </c:pt>
                <c:pt idx="3">
                  <c:v>1.3498435683506184E-3</c:v>
                </c:pt>
                <c:pt idx="4">
                  <c:v>1.4917816126181669E-3</c:v>
                </c:pt>
                <c:pt idx="5">
                  <c:v>1.6486208670706949E-3</c:v>
                </c:pt>
                <c:pt idx="6">
                  <c:v>1.8219117258965491E-3</c:v>
                </c:pt>
                <c:pt idx="7">
                  <c:v>2.0133601214720777E-3</c:v>
                </c:pt>
                <c:pt idx="8">
                  <c:v>2.2248410767752333E-3</c:v>
                </c:pt>
                <c:pt idx="9">
                  <c:v>2.4584127498121482E-3</c:v>
                </c:pt>
                <c:pt idx="10">
                  <c:v>2.7163307374502496E-3</c:v>
                </c:pt>
                <c:pt idx="11">
                  <c:v>3.0010623022527225E-3</c:v>
                </c:pt>
                <c:pt idx="12">
                  <c:v>3.3153000516821505E-3</c:v>
                </c:pt>
                <c:pt idx="13">
                  <c:v>3.6619744275596566E-3</c:v>
                </c:pt>
                <c:pt idx="14">
                  <c:v>4.0442641473293871E-3</c:v>
                </c:pt>
                <c:pt idx="15">
                  <c:v>4.4656034694500928E-3</c:v>
                </c:pt>
                <c:pt idx="16">
                  <c:v>4.9296848253025114E-3</c:v>
                </c:pt>
                <c:pt idx="17">
                  <c:v>5.4404549629144885E-3</c:v>
                </c:pt>
                <c:pt idx="18">
                  <c:v>6.0021022803139305E-3</c:v>
                </c:pt>
                <c:pt idx="19">
                  <c:v>6.6190324911535566E-3</c:v>
                </c:pt>
                <c:pt idx="20">
                  <c:v>7.2958291751541058E-3</c:v>
                </c:pt>
                <c:pt idx="21">
                  <c:v>8.0371951491946224E-3</c:v>
                </c:pt>
                <c:pt idx="22">
                  <c:v>8.8478700026739694E-3</c:v>
                </c:pt>
                <c:pt idx="23">
                  <c:v>9.7325186558842522E-3</c:v>
                </c:pt>
                <c:pt idx="24">
                  <c:v>1.0695585546843101E-2</c:v>
                </c:pt>
                <c:pt idx="25">
                  <c:v>1.1741109205166153E-2</c:v>
                </c:pt>
                <c:pt idx="26">
                  <c:v>1.2872492761888923E-2</c:v>
                </c:pt>
                <c:pt idx="27">
                  <c:v>1.4092227654899857E-2</c:v>
                </c:pt>
                <c:pt idx="28">
                  <c:v>1.5401570736900107E-2</c:v>
                </c:pt>
                <c:pt idx="29">
                  <c:v>1.6800179480454515E-2</c:v>
                </c:pt>
                <c:pt idx="30">
                  <c:v>1.8285716214636864E-2</c:v>
                </c:pt>
                <c:pt idx="31">
                  <c:v>1.985344031974326E-2</c:v>
                </c:pt>
                <c:pt idx="32">
                  <c:v>2.1495816682696817E-2</c:v>
                </c:pt>
                <c:pt idx="33">
                  <c:v>2.3202178574558516E-2</c:v>
                </c:pt>
                <c:pt idx="34">
                  <c:v>2.4958491893776653E-2</c:v>
                </c:pt>
                <c:pt idx="35">
                  <c:v>2.6747273208204487E-2</c:v>
                </c:pt>
                <c:pt idx="36">
                  <c:v>2.8547713575980647E-2</c:v>
                </c:pt>
                <c:pt idx="37">
                  <c:v>3.0336051170662841E-2</c:v>
                </c:pt>
                <c:pt idx="38">
                  <c:v>3.2086216626710497E-2</c:v>
                </c:pt>
                <c:pt idx="39">
                  <c:v>3.3770745967891778E-2</c:v>
                </c:pt>
                <c:pt idx="40">
                  <c:v>3.5361919829624798E-2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9D-4C85-A3C3-BCFCBF02D0EE}"/>
            </c:ext>
          </c:extLst>
        </c:ser>
        <c:ser>
          <c:idx val="1"/>
          <c:order val="1"/>
          <c:tx>
            <c:strRef>
              <c:f>'edo - bernoulli - exata'!$C$8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exata'!$C$9:$C$49</c:f>
              <c:numCache>
                <c:formatCode>0.000</c:formatCode>
                <c:ptCount val="41"/>
                <c:pt idx="0">
                  <c:v>0.05</c:v>
                </c:pt>
                <c:pt idx="1">
                  <c:v>5.5257553031325873E-2</c:v>
                </c:pt>
                <c:pt idx="2">
                  <c:v>6.1060671905958167E-2</c:v>
                </c:pt>
                <c:pt idx="3">
                  <c:v>6.7454863378974717E-2</c:v>
                </c:pt>
                <c:pt idx="4">
                  <c:v>7.4483674539075298E-2</c:v>
                </c:pt>
                <c:pt idx="5">
                  <c:v>8.2185801243126827E-2</c:v>
                </c:pt>
                <c:pt idx="6">
                  <c:v>9.0591120607846048E-2</c:v>
                </c:pt>
                <c:pt idx="7">
                  <c:v>9.9715457273539823E-2</c:v>
                </c:pt>
                <c:pt idx="8">
                  <c:v>0.10955396756893993</c:v>
                </c:pt>
                <c:pt idx="9">
                  <c:v>0.12007318880637287</c:v>
                </c:pt>
                <c:pt idx="10">
                  <c:v>0.1312020876521314</c:v>
                </c:pt>
                <c:pt idx="11">
                  <c:v>0.1428228754347162</c:v>
                </c:pt>
                <c:pt idx="12">
                  <c:v>0.15476292622033036</c:v>
                </c:pt>
                <c:pt idx="13">
                  <c:v>0.16678974986831874</c:v>
                </c:pt>
                <c:pt idx="14">
                  <c:v>0.17861144547867544</c:v>
                </c:pt>
                <c:pt idx="15">
                  <c:v>0.18988509147218252</c:v>
                </c:pt>
                <c:pt idx="16">
                  <c:v>0.20023478233440409</c:v>
                </c:pt>
                <c:pt idx="17">
                  <c:v>0.20927930049490157</c:v>
                </c:pt>
                <c:pt idx="18">
                  <c:v>0.21666688389742167</c:v>
                </c:pt>
                <c:pt idx="19">
                  <c:v>0.22211189943883697</c:v>
                </c:pt>
                <c:pt idx="20">
                  <c:v>0.22542653018964193</c:v>
                </c:pt>
                <c:pt idx="21">
                  <c:v>0.22654080951736086</c:v>
                </c:pt>
                <c:pt idx="22">
                  <c:v>0.22550676073943152</c:v>
                </c:pt>
                <c:pt idx="23">
                  <c:v>0.22248627946919594</c:v>
                </c:pt>
                <c:pt idx="24">
                  <c:v>0.21772626393604386</c:v>
                </c:pt>
                <c:pt idx="25">
                  <c:v>0.21152695069930483</c:v>
                </c:pt>
                <c:pt idx="26">
                  <c:v>0.2042098094051272</c:v>
                </c:pt>
                <c:pt idx="27">
                  <c:v>0.19608999571024194</c:v>
                </c:pt>
                <c:pt idx="28">
                  <c:v>0.18745614250593814</c:v>
                </c:pt>
                <c:pt idx="29">
                  <c:v>0.17855810172759035</c:v>
                </c:pt>
                <c:pt idx="30">
                  <c:v>0.16960170240873296</c:v>
                </c:pt>
                <c:pt idx="31">
                  <c:v>0.16074881574325861</c:v>
                </c:pt>
                <c:pt idx="32">
                  <c:v>0.15212087675697838</c:v>
                </c:pt>
                <c:pt idx="33">
                  <c:v>0.14380425797197932</c:v>
                </c:pt>
                <c:pt idx="34">
                  <c:v>0.13585629598370752</c:v>
                </c:pt>
                <c:pt idx="35">
                  <c:v>0.12831118395237667</c:v>
                </c:pt>
                <c:pt idx="36">
                  <c:v>0.12118528412060081</c:v>
                </c:pt>
                <c:pt idx="37">
                  <c:v>0.1144816614052839</c:v>
                </c:pt>
                <c:pt idx="38">
                  <c:v>0.10819379884352406</c:v>
                </c:pt>
                <c:pt idx="39">
                  <c:v>0.10230854729225319</c:v>
                </c:pt>
                <c:pt idx="40">
                  <c:v>9.680840595136149E-2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9D-4C85-A3C3-BCFCBF02D0EE}"/>
            </c:ext>
          </c:extLst>
        </c:ser>
        <c:ser>
          <c:idx val="2"/>
          <c:order val="2"/>
          <c:tx>
            <c:strRef>
              <c:f>'edo - bernoulli - exata'!$D$8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exata'!$D$9:$D$49</c:f>
              <c:numCache>
                <c:formatCode>0.000</c:formatCode>
                <c:ptCount val="41"/>
                <c:pt idx="0">
                  <c:v>0.1</c:v>
                </c:pt>
                <c:pt idx="1">
                  <c:v>0.11051312038909622</c:v>
                </c:pt>
                <c:pt idx="2">
                  <c:v>0.12210241767590842</c:v>
                </c:pt>
                <c:pt idx="3">
                  <c:v>0.13483365863634231</c:v>
                </c:pt>
                <c:pt idx="4">
                  <c:v>0.14875284790564017</c:v>
                </c:pt>
                <c:pt idx="5">
                  <c:v>0.16387410772461369</c:v>
                </c:pt>
                <c:pt idx="6">
                  <c:v>0.18016417352657343</c:v>
                </c:pt>
                <c:pt idx="7">
                  <c:v>0.19752374630667188</c:v>
                </c:pt>
                <c:pt idx="8">
                  <c:v>0.21576687468142444</c:v>
                </c:pt>
                <c:pt idx="9">
                  <c:v>0.23460095308956069</c:v>
                </c:pt>
                <c:pt idx="10">
                  <c:v>0.25361171426202822</c:v>
                </c:pt>
                <c:pt idx="11">
                  <c:v>0.27225933296977634</c:v>
                </c:pt>
                <c:pt idx="12">
                  <c:v>0.28989257403448621</c:v>
                </c:pt>
                <c:pt idx="13">
                  <c:v>0.30578661312735961</c:v>
                </c:pt>
                <c:pt idx="14">
                  <c:v>0.31920574343022623</c:v>
                </c:pt>
                <c:pt idx="15">
                  <c:v>0.32948481004144925</c:v>
                </c:pt>
                <c:pt idx="16">
                  <c:v>0.33611500498586655</c:v>
                </c:pt>
                <c:pt idx="17">
                  <c:v>0.33881442550103613</c:v>
                </c:pt>
                <c:pt idx="18">
                  <c:v>0.33756515068227833</c:v>
                </c:pt>
                <c:pt idx="19">
                  <c:v>0.33260725681595343</c:v>
                </c:pt>
                <c:pt idx="20">
                  <c:v>0.32439282214196963</c:v>
                </c:pt>
                <c:pt idx="21">
                  <c:v>0.31351388174932221</c:v>
                </c:pt>
                <c:pt idx="22">
                  <c:v>0.30062301713224138</c:v>
                </c:pt>
                <c:pt idx="23">
                  <c:v>0.28636304120192968</c:v>
                </c:pt>
                <c:pt idx="24">
                  <c:v>0.2713156696141984</c:v>
                </c:pt>
                <c:pt idx="25">
                  <c:v>0.25597182334308022</c:v>
                </c:pt>
                <c:pt idx="26">
                  <c:v>0.24072089404172473</c:v>
                </c:pt>
                <c:pt idx="27">
                  <c:v>0.22585374456063717</c:v>
                </c:pt>
                <c:pt idx="28">
                  <c:v>0.21157391843424647</c:v>
                </c:pt>
                <c:pt idx="29">
                  <c:v>0.19801251823866464</c:v>
                </c:pt>
                <c:pt idx="30">
                  <c:v>0.1852436210764126</c:v>
                </c:pt>
                <c:pt idx="31">
                  <c:v>0.17329840319412548</c:v>
                </c:pt>
                <c:pt idx="32">
                  <c:v>0.16217712720577096</c:v>
                </c:pt>
                <c:pt idx="33">
                  <c:v>0.15185878172622344</c:v>
                </c:pt>
                <c:pt idx="34">
                  <c:v>0.14230851993668456</c:v>
                </c:pt>
                <c:pt idx="35">
                  <c:v>0.13348320707905426</c:v>
                </c:pt>
                <c:pt idx="36">
                  <c:v>0.12533543240430237</c:v>
                </c:pt>
                <c:pt idx="37">
                  <c:v>0.11781632329305283</c:v>
                </c:pt>
                <c:pt idx="38">
                  <c:v>0.11087745320396496</c:v>
                </c:pt>
                <c:pt idx="39">
                  <c:v>0.10447208109326343</c:v>
                </c:pt>
                <c:pt idx="40">
                  <c:v>9.8555908456290642E-2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9D-4C85-A3C3-BCFCBF02D0EE}"/>
            </c:ext>
          </c:extLst>
        </c:ser>
        <c:ser>
          <c:idx val="3"/>
          <c:order val="3"/>
          <c:tx>
            <c:strRef>
              <c:f>'edo - bernoulli - exata'!$E$8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exata'!$E$9:$E$49</c:f>
              <c:numCache>
                <c:formatCode>0.000</c:formatCode>
                <c:ptCount val="41"/>
                <c:pt idx="0">
                  <c:v>0.15</c:v>
                </c:pt>
                <c:pt idx="1">
                  <c:v>0.16576670218034156</c:v>
                </c:pt>
                <c:pt idx="2">
                  <c:v>0.18312524610789802</c:v>
                </c:pt>
                <c:pt idx="3">
                  <c:v>0.20213651437139266</c:v>
                </c:pt>
                <c:pt idx="4">
                  <c:v>0.22280844536143918</c:v>
                </c:pt>
                <c:pt idx="5">
                  <c:v>0.24506942303625537</c:v>
                </c:pt>
                <c:pt idx="6">
                  <c:v>0.26873622450913054</c:v>
                </c:pt>
                <c:pt idx="7">
                  <c:v>0.29347906386108463</c:v>
                </c:pt>
                <c:pt idx="8">
                  <c:v>0.31878926395883778</c:v>
                </c:pt>
                <c:pt idx="9">
                  <c:v>0.34395878441511424</c:v>
                </c:pt>
                <c:pt idx="10">
                  <c:v>0.3680840604715378</c:v>
                </c:pt>
                <c:pt idx="11">
                  <c:v>0.39010713421312238</c:v>
                </c:pt>
                <c:pt idx="12">
                  <c:v>0.40890212826571093</c:v>
                </c:pt>
                <c:pt idx="13">
                  <c:v>0.42340318167895746</c:v>
                </c:pt>
                <c:pt idx="14">
                  <c:v>0.43275321592759647</c:v>
                </c:pt>
                <c:pt idx="15">
                  <c:v>0.43643840273254919</c:v>
                </c:pt>
                <c:pt idx="16">
                  <c:v>0.43437019296190132</c:v>
                </c:pt>
                <c:pt idx="17">
                  <c:v>0.42689013174395707</c:v>
                </c:pt>
                <c:pt idx="18">
                  <c:v>0.41469774884964111</c:v>
                </c:pt>
                <c:pt idx="19">
                  <c:v>0.39872616723182819</c:v>
                </c:pt>
                <c:pt idx="20">
                  <c:v>0.38000206381416324</c:v>
                </c:pt>
                <c:pt idx="21">
                  <c:v>0.35952298509571623</c:v>
                </c:pt>
                <c:pt idx="22">
                  <c:v>0.33817127863828961</c:v>
                </c:pt>
                <c:pt idx="23">
                  <c:v>0.31666868555221822</c:v>
                </c:pt>
                <c:pt idx="24">
                  <c:v>0.29556500728116564</c:v>
                </c:pt>
                <c:pt idx="25">
                  <c:v>0.27524981262853482</c:v>
                </c:pt>
                <c:pt idx="26">
                  <c:v>0.25597640713918773</c:v>
                </c:pt>
                <c:pt idx="27">
                  <c:v>0.23788987534893832</c:v>
                </c:pt>
                <c:pt idx="28">
                  <c:v>0.22105405996682542</c:v>
                </c:pt>
                <c:pt idx="29">
                  <c:v>0.20547487699073433</c:v>
                </c:pt>
                <c:pt idx="30">
                  <c:v>0.19111909135036612</c:v>
                </c:pt>
                <c:pt idx="31">
                  <c:v>0.17792867359236483</c:v>
                </c:pt>
                <c:pt idx="32">
                  <c:v>0.16583132952503168</c:v>
                </c:pt>
                <c:pt idx="33">
                  <c:v>0.15474794277183268</c:v>
                </c:pt>
                <c:pt idx="34">
                  <c:v>0.14459764557882548</c:v>
                </c:pt>
                <c:pt idx="35">
                  <c:v>0.13530113275558053</c:v>
                </c:pt>
                <c:pt idx="36">
                  <c:v>0.12678271224370824</c:v>
                </c:pt>
                <c:pt idx="37">
                  <c:v>0.11897147083562998</c:v>
                </c:pt>
                <c:pt idx="38">
                  <c:v>0.11180183608021434</c:v>
                </c:pt>
                <c:pt idx="39">
                  <c:v>0.10521373785674459</c:v>
                </c:pt>
                <c:pt idx="40">
                  <c:v>9.9152513901552081E-2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9D-4C85-A3C3-BCFCBF02D0EE}"/>
            </c:ext>
          </c:extLst>
        </c:ser>
        <c:ser>
          <c:idx val="4"/>
          <c:order val="4"/>
          <c:tx>
            <c:strRef>
              <c:f>'edo - bernoulli - exata'!$F$8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exata'!$F$9:$F$49</c:f>
              <c:numCache>
                <c:formatCode>0.000</c:formatCode>
                <c:ptCount val="41"/>
                <c:pt idx="0">
                  <c:v>0.2</c:v>
                </c:pt>
                <c:pt idx="1">
                  <c:v>0.2210182985120846</c:v>
                </c:pt>
                <c:pt idx="2">
                  <c:v>0.244129165994522</c:v>
                </c:pt>
                <c:pt idx="3">
                  <c:v>0.26936355889370245</c:v>
                </c:pt>
                <c:pt idx="4">
                  <c:v>0.29665138685430598</c:v>
                </c:pt>
                <c:pt idx="5">
                  <c:v>0.32577619657478107</c:v>
                </c:pt>
                <c:pt idx="6">
                  <c:v>0.3563239599995342</c:v>
                </c:pt>
                <c:pt idx="7">
                  <c:v>0.3876335724596916</c:v>
                </c:pt>
                <c:pt idx="8">
                  <c:v>0.41876276758588493</c:v>
                </c:pt>
                <c:pt idx="9">
                  <c:v>0.4484890222530365</c:v>
                </c:pt>
                <c:pt idx="10">
                  <c:v>0.47536688641867159</c:v>
                </c:pt>
                <c:pt idx="11">
                  <c:v>0.49785592097195752</c:v>
                </c:pt>
                <c:pt idx="12">
                  <c:v>0.51451375496622809</c:v>
                </c:pt>
                <c:pt idx="13">
                  <c:v>0.52422018366952106</c:v>
                </c:pt>
                <c:pt idx="14">
                  <c:v>0.52637372055166709</c:v>
                </c:pt>
                <c:pt idx="15">
                  <c:v>0.52099872860055274</c:v>
                </c:pt>
                <c:pt idx="16">
                  <c:v>0.50872733081032417</c:v>
                </c:pt>
                <c:pt idx="17">
                  <c:v>0.4906649587900288</c:v>
                </c:pt>
                <c:pt idx="18">
                  <c:v>0.46818744396370654</c:v>
                </c:pt>
                <c:pt idx="19">
                  <c:v>0.44273139709855414</c:v>
                </c:pt>
                <c:pt idx="20">
                  <c:v>0.41562658715921186</c:v>
                </c:pt>
                <c:pt idx="21">
                  <c:v>0.38799251853951033</c:v>
                </c:pt>
                <c:pt idx="22">
                  <c:v>0.36069707919628946</c:v>
                </c:pt>
                <c:pt idx="23">
                  <c:v>0.33436132374936345</c:v>
                </c:pt>
                <c:pt idx="24">
                  <c:v>0.30939121197676073</c:v>
                </c:pt>
                <c:pt idx="25">
                  <c:v>0.28602032780239944</c:v>
                </c:pt>
                <c:pt idx="26">
                  <c:v>0.26435299744500657</c:v>
                </c:pt>
                <c:pt idx="27">
                  <c:v>0.24440217959310981</c:v>
                </c:pt>
                <c:pt idx="28">
                  <c:v>0.22612001942767951</c:v>
                </c:pt>
                <c:pt idx="29">
                  <c:v>0.20942102862737305</c:v>
                </c:pt>
                <c:pt idx="30">
                  <c:v>0.19419884528762277</c:v>
                </c:pt>
                <c:pt idx="31">
                  <c:v>0.18033785046678499</c:v>
                </c:pt>
                <c:pt idx="32">
                  <c:v>0.16772088715061664</c:v>
                </c:pt>
                <c:pt idx="33">
                  <c:v>0.15623414462168292</c:v>
                </c:pt>
                <c:pt idx="34">
                  <c:v>0.14577004887868697</c:v>
                </c:pt>
                <c:pt idx="35">
                  <c:v>0.13622879183713152</c:v>
                </c:pt>
                <c:pt idx="36">
                  <c:v>0.12751895902965424</c:v>
                </c:pt>
                <c:pt idx="37">
                  <c:v>0.11955758081519377</c:v>
                </c:pt>
                <c:pt idx="38">
                  <c:v>0.11226983163242775</c:v>
                </c:pt>
                <c:pt idx="39">
                  <c:v>0.1055885291213071</c:v>
                </c:pt>
                <c:pt idx="40">
                  <c:v>9.9453533498271018E-2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59D-4C85-A3C3-BCFCBF02D0EE}"/>
            </c:ext>
          </c:extLst>
        </c:ser>
        <c:ser>
          <c:idx val="5"/>
          <c:order val="5"/>
          <c:tx>
            <c:strRef>
              <c:f>'edo - bernoulli - exata'!$G$8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exata'!$G$9:$G$49</c:f>
              <c:numCache>
                <c:formatCode>0.000</c:formatCode>
                <c:ptCount val="41"/>
                <c:pt idx="0">
                  <c:v>0.25</c:v>
                </c:pt>
                <c:pt idx="1">
                  <c:v>0.27626790949134056</c:v>
                </c:pt>
                <c:pt idx="2">
                  <c:v>0.30511418612292718</c:v>
                </c:pt>
                <c:pt idx="3">
                  <c:v>0.33651492022395024</c:v>
                </c:pt>
                <c:pt idx="4">
                  <c:v>0.37028258705625661</c:v>
                </c:pt>
                <c:pt idx="5">
                  <c:v>0.40599882435462104</c:v>
                </c:pt>
                <c:pt idx="6">
                  <c:v>0.4429436976129395</c:v>
                </c:pt>
                <c:pt idx="7">
                  <c:v>0.48003749494158687</c:v>
                </c:pt>
                <c:pt idx="8">
                  <c:v>0.51582075694535279</c:v>
                </c:pt>
                <c:pt idx="9">
                  <c:v>0.54850443370645152</c:v>
                </c:pt>
                <c:pt idx="10">
                  <c:v>0.57611688476582912</c:v>
                </c:pt>
                <c:pt idx="11">
                  <c:v>0.59675051416402758</c:v>
                </c:pt>
                <c:pt idx="12">
                  <c:v>0.60886936701090311</c:v>
                </c:pt>
                <c:pt idx="13">
                  <c:v>0.61159700975592268</c:v>
                </c:pt>
                <c:pt idx="14">
                  <c:v>0.60488971265483815</c:v>
                </c:pt>
                <c:pt idx="15">
                  <c:v>0.58953215378226353</c:v>
                </c:pt>
                <c:pt idx="16">
                  <c:v>0.56695994348288159</c:v>
                </c:pt>
                <c:pt idx="17">
                  <c:v>0.53897691080646715</c:v>
                </c:pt>
                <c:pt idx="18">
                  <c:v>0.50746022955782888</c:v>
                </c:pt>
                <c:pt idx="19">
                  <c:v>0.47412751611039772</c:v>
                </c:pt>
                <c:pt idx="20">
                  <c:v>0.4403985389889411</c:v>
                </c:pt>
                <c:pt idx="21">
                  <c:v>0.40734643486420241</c:v>
                </c:pt>
                <c:pt idx="22">
                  <c:v>0.37571296465458659</c:v>
                </c:pt>
                <c:pt idx="23">
                  <c:v>0.34595878943875757</c:v>
                </c:pt>
                <c:pt idx="24">
                  <c:v>0.31832576876892177</c:v>
                </c:pt>
                <c:pt idx="25">
                  <c:v>0.29289695615804456</c:v>
                </c:pt>
                <c:pt idx="26">
                  <c:v>0.26964737343747291</c:v>
                </c:pt>
                <c:pt idx="27">
                  <c:v>0.2484835653388191</c:v>
                </c:pt>
                <c:pt idx="28">
                  <c:v>0.22927260313450179</c:v>
                </c:pt>
                <c:pt idx="29">
                  <c:v>0.21186232226479915</c:v>
                </c:pt>
                <c:pt idx="30">
                  <c:v>0.19609480579884381</c:v>
                </c:pt>
                <c:pt idx="31">
                  <c:v>0.18181492882556974</c:v>
                </c:pt>
                <c:pt idx="32">
                  <c:v>0.16887543326787649</c:v>
                </c:pt>
                <c:pt idx="33">
                  <c:v>0.15713964771634517</c:v>
                </c:pt>
                <c:pt idx="34">
                  <c:v>0.14648266112595737</c:v>
                </c:pt>
                <c:pt idx="35">
                  <c:v>0.13679151836442147</c:v>
                </c:pt>
                <c:pt idx="36">
                  <c:v>0.12796482593124689</c:v>
                </c:pt>
                <c:pt idx="37">
                  <c:v>0.11991202697874029</c:v>
                </c:pt>
                <c:pt idx="38">
                  <c:v>0.11255251433933854</c:v>
                </c:pt>
                <c:pt idx="39">
                  <c:v>0.10581468829963289</c:v>
                </c:pt>
                <c:pt idx="40">
                  <c:v>9.9635024175306855E-2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9D-4C85-A3C3-BCFCBF02D0EE}"/>
            </c:ext>
          </c:extLst>
        </c:ser>
        <c:ser>
          <c:idx val="6"/>
          <c:order val="6"/>
          <c:tx>
            <c:strRef>
              <c:f>'edo - bernoulli - exata'!$H$8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exata'!$H$9:$H$49</c:f>
              <c:numCache>
                <c:formatCode>0.000</c:formatCode>
                <c:ptCount val="41"/>
                <c:pt idx="0">
                  <c:v>0.3</c:v>
                </c:pt>
                <c:pt idx="1">
                  <c:v>0.33151553522511679</c:v>
                </c:pt>
                <c:pt idx="2">
                  <c:v>0.36608031527481655</c:v>
                </c:pt>
                <c:pt idx="3">
                  <c:v>0.40359072609472935</c:v>
                </c:pt>
                <c:pt idx="4">
                  <c:v>0.44370295540125587</c:v>
                </c:pt>
                <c:pt idx="5">
                  <c:v>0.48574164980608991</c:v>
                </c:pt>
                <c:pt idx="6">
                  <c:v>0.52861139627015041</c:v>
                </c:pt>
                <c:pt idx="7">
                  <c:v>0.57073920379148435</c:v>
                </c:pt>
                <c:pt idx="8">
                  <c:v>0.61008893623406424</c:v>
                </c:pt>
                <c:pt idx="9">
                  <c:v>0.64429133920312787</c:v>
                </c:pt>
                <c:pt idx="10">
                  <c:v>0.67091313461679192</c:v>
                </c:pt>
                <c:pt idx="11">
                  <c:v>0.68783922392394692</c:v>
                </c:pt>
                <c:pt idx="12">
                  <c:v>0.69367740942078171</c:v>
                </c:pt>
                <c:pt idx="13">
                  <c:v>0.68805332541029607</c:v>
                </c:pt>
                <c:pt idx="14">
                  <c:v>0.67168371777806657</c:v>
                </c:pt>
                <c:pt idx="15">
                  <c:v>0.64620068110592987</c:v>
                </c:pt>
                <c:pt idx="16">
                  <c:v>0.61379993228140162</c:v>
                </c:pt>
                <c:pt idx="17">
                  <c:v>0.57684164283378514</c:v>
                </c:pt>
                <c:pt idx="18">
                  <c:v>0.53751924145509156</c:v>
                </c:pt>
                <c:pt idx="19">
                  <c:v>0.49765484493125411</c:v>
                </c:pt>
                <c:pt idx="20">
                  <c:v>0.45862154855218401</c:v>
                </c:pt>
                <c:pt idx="21">
                  <c:v>0.42135862883796599</c:v>
                </c:pt>
                <c:pt idx="22">
                  <c:v>0.38643795315793694</c:v>
                </c:pt>
                <c:pt idx="23">
                  <c:v>0.35414797214661897</c:v>
                </c:pt>
                <c:pt idx="24">
                  <c:v>0.32457444619424025</c:v>
                </c:pt>
                <c:pt idx="25">
                  <c:v>0.29766806851510103</c:v>
                </c:pt>
                <c:pt idx="26">
                  <c:v>0.27329636737165813</c:v>
                </c:pt>
                <c:pt idx="27">
                  <c:v>0.25128107171670422</c:v>
                </c:pt>
                <c:pt idx="28">
                  <c:v>0.23142362110307135</c:v>
                </c:pt>
                <c:pt idx="29">
                  <c:v>0.21352172014622445</c:v>
                </c:pt>
                <c:pt idx="30">
                  <c:v>0.19737948114080758</c:v>
                </c:pt>
                <c:pt idx="31">
                  <c:v>0.18281316396215927</c:v>
                </c:pt>
                <c:pt idx="32">
                  <c:v>0.16965400204631081</c:v>
                </c:pt>
                <c:pt idx="33">
                  <c:v>0.15774917031139316</c:v>
                </c:pt>
                <c:pt idx="34">
                  <c:v>0.14696161936942342</c:v>
                </c:pt>
                <c:pt idx="35">
                  <c:v>0.13716925927062962</c:v>
                </c:pt>
                <c:pt idx="36">
                  <c:v>0.12826380676014634</c:v>
                </c:pt>
                <c:pt idx="37">
                  <c:v>0.12014949429792145</c:v>
                </c:pt>
                <c:pt idx="38">
                  <c:v>0.11274176165480501</c:v>
                </c:pt>
                <c:pt idx="39">
                  <c:v>0.10596600008643051</c:v>
                </c:pt>
                <c:pt idx="40">
                  <c:v>9.9756386406630704E-2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59D-4C85-A3C3-BCFCBF02D0EE}"/>
            </c:ext>
          </c:extLst>
        </c:ser>
        <c:ser>
          <c:idx val="7"/>
          <c:order val="7"/>
          <c:tx>
            <c:strRef>
              <c:f>'edo - bernoulli - exata'!$I$8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exata'!$I$9:$I$49</c:f>
              <c:numCache>
                <c:formatCode>0.000</c:formatCode>
                <c:ptCount val="41"/>
                <c:pt idx="0">
                  <c:v>0.35</c:v>
                </c:pt>
                <c:pt idx="1">
                  <c:v>0.38676117582041308</c:v>
                </c:pt>
                <c:pt idx="2">
                  <c:v>0.42702756222645344</c:v>
                </c:pt>
                <c:pt idx="3">
                  <c:v>0.47059110395135756</c:v>
                </c:pt>
                <c:pt idx="4">
                  <c:v>0.51691339612265974</c:v>
                </c:pt>
                <c:pt idx="5">
                  <c:v>0.56500896455929195</c:v>
                </c:pt>
                <c:pt idx="6">
                  <c:v>0.61334266599979026</c:v>
                </c:pt>
                <c:pt idx="7">
                  <c:v>0.65978530557748205</c:v>
                </c:pt>
                <c:pt idx="8">
                  <c:v>0.70168588561584411</c:v>
                </c:pt>
                <c:pt idx="9">
                  <c:v>0.73611234994509467</c:v>
                </c:pt>
                <c:pt idx="10">
                  <c:v>0.76026823873691463</c:v>
                </c:pt>
                <c:pt idx="11">
                  <c:v>0.77201115449255298</c:v>
                </c:pt>
                <c:pt idx="12">
                  <c:v>0.7703172321488061</c:v>
                </c:pt>
                <c:pt idx="13">
                  <c:v>0.75551601501584731</c:v>
                </c:pt>
                <c:pt idx="14">
                  <c:v>0.7291984336153744</c:v>
                </c:pt>
                <c:pt idx="15">
                  <c:v>0.69384002161764435</c:v>
                </c:pt>
                <c:pt idx="16">
                  <c:v>0.65229267641868838</c:v>
                </c:pt>
                <c:pt idx="17">
                  <c:v>0.60731724564570044</c:v>
                </c:pt>
                <c:pt idx="18">
                  <c:v>0.56126651678378281</c:v>
                </c:pt>
                <c:pt idx="19">
                  <c:v>0.51594218166812211</c:v>
                </c:pt>
                <c:pt idx="20">
                  <c:v>0.47258941878058691</c:v>
                </c:pt>
                <c:pt idx="21">
                  <c:v>0.43197241164799954</c:v>
                </c:pt>
                <c:pt idx="22">
                  <c:v>0.39448134239382343</c:v>
                </c:pt>
                <c:pt idx="23">
                  <c:v>0.36023883307442539</c:v>
                </c:pt>
                <c:pt idx="24">
                  <c:v>0.32919011953081084</c:v>
                </c:pt>
                <c:pt idx="25">
                  <c:v>0.30117229173986182</c:v>
                </c:pt>
                <c:pt idx="26">
                  <c:v>0.27596384694138121</c:v>
                </c:pt>
                <c:pt idx="27">
                  <c:v>0.25331816876572982</c:v>
                </c:pt>
                <c:pt idx="28">
                  <c:v>0.23298494026783942</c:v>
                </c:pt>
                <c:pt idx="29">
                  <c:v>0.21472300873367314</c:v>
                </c:pt>
                <c:pt idx="30">
                  <c:v>0.19830746049822567</c:v>
                </c:pt>
                <c:pt idx="31">
                  <c:v>0.18353292654547188</c:v>
                </c:pt>
                <c:pt idx="32">
                  <c:v>0.17021453236472586</c:v>
                </c:pt>
                <c:pt idx="33">
                  <c:v>0.15818744663976506</c:v>
                </c:pt>
                <c:pt idx="34">
                  <c:v>0.14730565451713221</c:v>
                </c:pt>
                <c:pt idx="35">
                  <c:v>0.13744035400187249</c:v>
                </c:pt>
                <c:pt idx="36">
                  <c:v>0.12847822128950248</c:v>
                </c:pt>
                <c:pt idx="37">
                  <c:v>0.12031969046505765</c:v>
                </c:pt>
                <c:pt idx="38">
                  <c:v>0.11287732841354162</c:v>
                </c:pt>
                <c:pt idx="39">
                  <c:v>0.10607434514942875</c:v>
                </c:pt>
                <c:pt idx="40">
                  <c:v>9.9843254885546226E-2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9D-4C85-A3C3-BCFCBF02D0EE}"/>
            </c:ext>
          </c:extLst>
        </c:ser>
        <c:ser>
          <c:idx val="8"/>
          <c:order val="8"/>
          <c:tx>
            <c:strRef>
              <c:f>'edo - bernoulli - exata'!$J$8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exata'!$J$9:$J$49</c:f>
              <c:numCache>
                <c:formatCode>0.000</c:formatCode>
                <c:ptCount val="41"/>
                <c:pt idx="0">
                  <c:v>0.4</c:v>
                </c:pt>
                <c:pt idx="1">
                  <c:v>0.44200483138422142</c:v>
                </c:pt>
                <c:pt idx="2">
                  <c:v>0.48795593574866569</c:v>
                </c:pt>
                <c:pt idx="3">
                  <c:v>0.53751618095268461</c:v>
                </c:pt>
                <c:pt idx="4">
                  <c:v>0.58991480829033682</c:v>
                </c:pt>
                <c:pt idx="5">
                  <c:v>0.64380500921404338</c:v>
                </c:pt>
                <c:pt idx="6">
                  <c:v>0.69715277742077908</c:v>
                </c:pt>
                <c:pt idx="7">
                  <c:v>0.74722072080683555</c:v>
                </c:pt>
                <c:pt idx="8">
                  <c:v>0.79072355884638112</c:v>
                </c:pt>
                <c:pt idx="9">
                  <c:v>0.82420877223602984</c:v>
                </c:pt>
                <c:pt idx="10">
                  <c:v>0.84463759650303638</c:v>
                </c:pt>
                <c:pt idx="11">
                  <c:v>0.85002532176838974</c:v>
                </c:pt>
                <c:pt idx="12">
                  <c:v>0.83991469070215541</c:v>
                </c:pt>
                <c:pt idx="13">
                  <c:v>0.81548382193480629</c:v>
                </c:pt>
                <c:pt idx="14">
                  <c:v>0.77924194102081956</c:v>
                </c:pt>
                <c:pt idx="15">
                  <c:v>0.73444891811230395</c:v>
                </c:pt>
                <c:pt idx="16">
                  <c:v>0.68448693774159797</c:v>
                </c:pt>
                <c:pt idx="17">
                  <c:v>0.63237436967362248</c:v>
                </c:pt>
                <c:pt idx="18">
                  <c:v>0.58050115966350035</c:v>
                </c:pt>
                <c:pt idx="19">
                  <c:v>0.53056468843706617</c:v>
                </c:pt>
                <c:pt idx="20">
                  <c:v>0.48363672181730682</c:v>
                </c:pt>
                <c:pt idx="21">
                  <c:v>0.44029040929495378</c:v>
                </c:pt>
                <c:pt idx="22">
                  <c:v>0.40073710313517408</c:v>
                </c:pt>
                <c:pt idx="23">
                  <c:v>0.36494626568430022</c:v>
                </c:pt>
                <c:pt idx="24">
                  <c:v>0.33273895324026687</c:v>
                </c:pt>
                <c:pt idx="25">
                  <c:v>0.30385508549618151</c:v>
                </c:pt>
                <c:pt idx="26">
                  <c:v>0.27799888039515053</c:v>
                </c:pt>
                <c:pt idx="27">
                  <c:v>0.25486779933991105</c:v>
                </c:pt>
                <c:pt idx="28">
                  <c:v>0.23416982526658034</c:v>
                </c:pt>
                <c:pt idx="29">
                  <c:v>0.21563288334148609</c:v>
                </c:pt>
                <c:pt idx="30">
                  <c:v>0.19900919157731053</c:v>
                </c:pt>
                <c:pt idx="31">
                  <c:v>0.18407647887681911</c:v>
                </c:pt>
                <c:pt idx="32">
                  <c:v>0.17063736685325295</c:v>
                </c:pt>
                <c:pt idx="33">
                  <c:v>0.15851775541264262</c:v>
                </c:pt>
                <c:pt idx="34">
                  <c:v>0.14756473980044471</c:v>
                </c:pt>
                <c:pt idx="35">
                  <c:v>0.13764437930360274</c:v>
                </c:pt>
                <c:pt idx="36">
                  <c:v>0.12863950321638887</c:v>
                </c:pt>
                <c:pt idx="37">
                  <c:v>0.12044765435640692</c:v>
                </c:pt>
                <c:pt idx="38">
                  <c:v>0.11297921762997225</c:v>
                </c:pt>
                <c:pt idx="39">
                  <c:v>0.10615574945377741</c:v>
                </c:pt>
                <c:pt idx="40">
                  <c:v>9.990850559448082E-2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59D-4C85-A3C3-BCFCBF02D0EE}"/>
            </c:ext>
          </c:extLst>
        </c:ser>
        <c:ser>
          <c:idx val="9"/>
          <c:order val="9"/>
          <c:tx>
            <c:strRef>
              <c:f>'edo - bernoulli - exata'!$K$8</c:f>
              <c:strCache>
                <c:ptCount val="1"/>
                <c:pt idx="0">
                  <c:v>000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exata'!$K$9:$K$49</c:f>
              <c:numCache>
                <c:formatCode>0.000</c:formatCode>
                <c:ptCount val="41"/>
                <c:pt idx="0">
                  <c:v>0.44999999999999996</c:v>
                </c:pt>
                <c:pt idx="1">
                  <c:v>0.49724650202352605</c:v>
                </c:pt>
                <c:pt idx="2">
                  <c:v>0.54886544460684983</c:v>
                </c:pt>
                <c:pt idx="3">
                  <c:v>0.60436608397189595</c:v>
                </c:pt>
                <c:pt idx="4">
                  <c:v>0.66270808584747254</c:v>
                </c:pt>
                <c:pt idx="5">
                  <c:v>0.72213397409610391</c:v>
                </c:pt>
                <c:pt idx="6">
                  <c:v>0.78005667091721509</c:v>
                </c:pt>
                <c:pt idx="7">
                  <c:v>0.83308875948722294</c:v>
                </c:pt>
                <c:pt idx="8">
                  <c:v>0.87730773976093934</c:v>
                </c:pt>
                <c:pt idx="9">
                  <c:v>0.90880272504047621</c:v>
                </c:pt>
                <c:pt idx="10">
                  <c:v>0.92442716677409875</c:v>
                </c:pt>
                <c:pt idx="11">
                  <c:v>0.92253360590833766</c:v>
                </c:pt>
                <c:pt idx="12">
                  <c:v>0.90339782159839155</c:v>
                </c:pt>
                <c:pt idx="13">
                  <c:v>0.86914000336114161</c:v>
                </c:pt>
                <c:pt idx="14">
                  <c:v>0.82318122767831481</c:v>
                </c:pt>
                <c:pt idx="15">
                  <c:v>0.7694767176464119</c:v>
                </c:pt>
                <c:pt idx="16">
                  <c:v>0.71181171460038806</c:v>
                </c:pt>
                <c:pt idx="17">
                  <c:v>0.65334012288534771</c:v>
                </c:pt>
                <c:pt idx="18">
                  <c:v>0.59639784542195129</c:v>
                </c:pt>
                <c:pt idx="19">
                  <c:v>0.54252369310337156</c:v>
                </c:pt>
                <c:pt idx="20">
                  <c:v>0.49259275773463079</c:v>
                </c:pt>
                <c:pt idx="21">
                  <c:v>0.44698480018958359</c:v>
                </c:pt>
                <c:pt idx="22">
                  <c:v>0.40574158027564045</c:v>
                </c:pt>
                <c:pt idx="23">
                  <c:v>0.36869353265001487</c:v>
                </c:pt>
                <c:pt idx="24">
                  <c:v>0.33555250477072524</c:v>
                </c:pt>
                <c:pt idx="25">
                  <c:v>0.30597497739497997</c:v>
                </c:pt>
                <c:pt idx="26">
                  <c:v>0.27960255417127516</c:v>
                </c:pt>
                <c:pt idx="27">
                  <c:v>0.25608623782242484</c:v>
                </c:pt>
                <c:pt idx="28">
                  <c:v>0.23509976773589109</c:v>
                </c:pt>
                <c:pt idx="29">
                  <c:v>0.21634591232863981</c:v>
                </c:pt>
                <c:pt idx="30">
                  <c:v>0.19955842537921145</c:v>
                </c:pt>
                <c:pt idx="31">
                  <c:v>0.18450147282025084</c:v>
                </c:pt>
                <c:pt idx="32">
                  <c:v>0.17096769330334299</c:v>
                </c:pt>
                <c:pt idx="33">
                  <c:v>0.15877561746411695</c:v>
                </c:pt>
                <c:pt idx="34">
                  <c:v>0.14776688152438153</c:v>
                </c:pt>
                <c:pt idx="35">
                  <c:v>0.13780348491430208</c:v>
                </c:pt>
                <c:pt idx="36">
                  <c:v>0.12876522493508033</c:v>
                </c:pt>
                <c:pt idx="37">
                  <c:v>0.12054737016225327</c:v>
                </c:pt>
                <c:pt idx="38">
                  <c:v>0.11305859205708162</c:v>
                </c:pt>
                <c:pt idx="39">
                  <c:v>0.10621915034513778</c:v>
                </c:pt>
                <c:pt idx="40">
                  <c:v>9.9959315139562965E-2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9D-4C85-A3C3-BCFCBF02D0EE}"/>
            </c:ext>
          </c:extLst>
        </c:ser>
        <c:ser>
          <c:idx val="10"/>
          <c:order val="10"/>
          <c:tx>
            <c:strRef>
              <c:f>'edo - bernoulli - exata'!$L$8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exata'!$L$9:$L$49</c:f>
              <c:numCache>
                <c:formatCode>0.000</c:formatCode>
                <c:ptCount val="41"/>
                <c:pt idx="0">
                  <c:v>0.5</c:v>
                </c:pt>
                <c:pt idx="1">
                  <c:v>0.5524861878453039</c:v>
                </c:pt>
                <c:pt idx="2">
                  <c:v>0.6097560975609756</c:v>
                </c:pt>
                <c:pt idx="3">
                  <c:v>0.67114093959731547</c:v>
                </c:pt>
                <c:pt idx="4">
                  <c:v>0.73529411764705888</c:v>
                </c:pt>
                <c:pt idx="5">
                  <c:v>0.8</c:v>
                </c:pt>
                <c:pt idx="6">
                  <c:v>0.86206896551724133</c:v>
                </c:pt>
                <c:pt idx="7">
                  <c:v>0.9174311926605504</c:v>
                </c:pt>
                <c:pt idx="8">
                  <c:v>0.96153846153846145</c:v>
                </c:pt>
                <c:pt idx="9">
                  <c:v>0.99009900990099009</c:v>
                </c:pt>
                <c:pt idx="10">
                  <c:v>1</c:v>
                </c:pt>
                <c:pt idx="11">
                  <c:v>0.99009900990099009</c:v>
                </c:pt>
                <c:pt idx="12">
                  <c:v>0.96153846153846145</c:v>
                </c:pt>
                <c:pt idx="13">
                  <c:v>0.9174311926605504</c:v>
                </c:pt>
                <c:pt idx="14">
                  <c:v>0.86206896551724133</c:v>
                </c:pt>
                <c:pt idx="15">
                  <c:v>0.79999999999999971</c:v>
                </c:pt>
                <c:pt idx="16">
                  <c:v>0.73529411764705865</c:v>
                </c:pt>
                <c:pt idx="17">
                  <c:v>0.67114093959731513</c:v>
                </c:pt>
                <c:pt idx="18">
                  <c:v>0.60975609756097537</c:v>
                </c:pt>
                <c:pt idx="19">
                  <c:v>0.55248618784530357</c:v>
                </c:pt>
                <c:pt idx="20">
                  <c:v>0.49999999999999978</c:v>
                </c:pt>
                <c:pt idx="21">
                  <c:v>0.45248868778280527</c:v>
                </c:pt>
                <c:pt idx="22">
                  <c:v>0.40983606557377028</c:v>
                </c:pt>
                <c:pt idx="23">
                  <c:v>0.37174721189591048</c:v>
                </c:pt>
                <c:pt idx="24">
                  <c:v>0.33783783783783755</c:v>
                </c:pt>
                <c:pt idx="25">
                  <c:v>0.30769230769230743</c:v>
                </c:pt>
                <c:pt idx="26">
                  <c:v>0.28089887640449412</c:v>
                </c:pt>
                <c:pt idx="27">
                  <c:v>0.25706940874035966</c:v>
                </c:pt>
                <c:pt idx="28">
                  <c:v>0.23584905660377337</c:v>
                </c:pt>
                <c:pt idx="29">
                  <c:v>0.21691973969631215</c:v>
                </c:pt>
                <c:pt idx="30">
                  <c:v>0.19999999999999982</c:v>
                </c:pt>
                <c:pt idx="31">
                  <c:v>0.18484288354898318</c:v>
                </c:pt>
                <c:pt idx="32">
                  <c:v>0.17123287671232859</c:v>
                </c:pt>
                <c:pt idx="33">
                  <c:v>0.1589825119236882</c:v>
                </c:pt>
                <c:pt idx="34">
                  <c:v>0.14792899408284008</c:v>
                </c:pt>
                <c:pt idx="35">
                  <c:v>0.13793103448275845</c:v>
                </c:pt>
                <c:pt idx="36">
                  <c:v>0.12886597938144315</c:v>
                </c:pt>
                <c:pt idx="37">
                  <c:v>0.12062726176115787</c:v>
                </c:pt>
                <c:pt idx="38">
                  <c:v>0.11312217194570122</c:v>
                </c:pt>
                <c:pt idx="39">
                  <c:v>0.10626992561105193</c:v>
                </c:pt>
                <c:pt idx="40">
                  <c:v>9.9999999999999895E-2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59D-4C85-A3C3-BCFCBF02D0EE}"/>
            </c:ext>
          </c:extLst>
        </c:ser>
        <c:ser>
          <c:idx val="11"/>
          <c:order val="11"/>
          <c:tx>
            <c:strRef>
              <c:f>'edo - bernoulli - exata'!$M$8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exata'!$M$9:$M$49</c:f>
              <c:numCache>
                <c:formatCode>0.000</c:formatCode>
                <c:ptCount val="41"/>
                <c:pt idx="0">
                  <c:v>0.55000000000000004</c:v>
                </c:pt>
                <c:pt idx="1">
                  <c:v>0.60772388895652374</c:v>
                </c:pt>
                <c:pt idx="2">
                  <c:v>0.67062790336558942</c:v>
                </c:pt>
                <c:pt idx="3">
                  <c:v>0.73784087413320354</c:v>
                </c:pt>
                <c:pt idx="4">
                  <c:v>0.80767378748807284</c:v>
                </c:pt>
                <c:pt idx="5">
                  <c:v>0.87740717891871556</c:v>
                </c:pt>
                <c:pt idx="6">
                  <c:v>0.94320396748697544</c:v>
                </c:pt>
                <c:pt idx="7">
                  <c:v>1.0002883201575361</c:v>
                </c:pt>
                <c:pt idx="8">
                  <c:v>1.0435103922358173</c:v>
                </c:pt>
                <c:pt idx="9">
                  <c:v>1.0682867663550606</c:v>
                </c:pt>
                <c:pt idx="10">
                  <c:v>1.0716817613605347</c:v>
                </c:pt>
                <c:pt idx="11">
                  <c:v>1.0532103071662304</c:v>
                </c:pt>
                <c:pt idx="12">
                  <c:v>1.0149837833440518</c:v>
                </c:pt>
                <c:pt idx="13">
                  <c:v>0.96112373211699531</c:v>
                </c:pt>
                <c:pt idx="14">
                  <c:v>0.89672893949172983</c:v>
                </c:pt>
                <c:pt idx="15">
                  <c:v>0.82683518054567429</c:v>
                </c:pt>
                <c:pt idx="16">
                  <c:v>0.75569137119283958</c:v>
                </c:pt>
                <c:pt idx="17">
                  <c:v>0.68644317988572134</c:v>
                </c:pt>
                <c:pt idx="18">
                  <c:v>0.62113897810553609</c:v>
                </c:pt>
                <c:pt idx="19">
                  <c:v>0.56091361883192969</c:v>
                </c:pt>
                <c:pt idx="20">
                  <c:v>0.50622823100227821</c:v>
                </c:pt>
                <c:pt idx="21">
                  <c:v>0.45709371150038952</c:v>
                </c:pt>
                <c:pt idx="22">
                  <c:v>0.41324807690824072</c:v>
                </c:pt>
                <c:pt idx="23">
                  <c:v>0.37428355773728916</c:v>
                </c:pt>
                <c:pt idx="24">
                  <c:v>0.33973093952721084</c:v>
                </c:pt>
                <c:pt idx="25">
                  <c:v>0.30911180093731838</c:v>
                </c:pt>
                <c:pt idx="26">
                  <c:v>0.28196847843908668</c:v>
                </c:pt>
                <c:pt idx="27">
                  <c:v>0.25787945412195878</c:v>
                </c:pt>
                <c:pt idx="28">
                  <c:v>0.23646567291503742</c:v>
                </c:pt>
                <c:pt idx="29">
                  <c:v>0.21739150386731132</c:v>
                </c:pt>
                <c:pt idx="30">
                  <c:v>0.20036274449667726</c:v>
                </c:pt>
                <c:pt idx="31">
                  <c:v>0.18512316083818953</c:v>
                </c:pt>
                <c:pt idx="32">
                  <c:v>0.17145045761287031</c:v>
                </c:pt>
                <c:pt idx="33">
                  <c:v>0.15915219068915898</c:v>
                </c:pt>
                <c:pt idx="34">
                  <c:v>0.148061896440041</c:v>
                </c:pt>
                <c:pt idx="35">
                  <c:v>0.1380355689781152</c:v>
                </c:pt>
                <c:pt idx="36">
                  <c:v>0.12894853219080507</c:v>
                </c:pt>
                <c:pt idx="37">
                  <c:v>0.1206927064222393</c:v>
                </c:pt>
                <c:pt idx="38">
                  <c:v>0.11317424506821078</c:v>
                </c:pt>
                <c:pt idx="39">
                  <c:v>0.10631150513134058</c:v>
                </c:pt>
                <c:pt idx="40">
                  <c:v>0.10003331225498366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9D-4C85-A3C3-BCFCBF02D0EE}"/>
            </c:ext>
          </c:extLst>
        </c:ser>
        <c:ser>
          <c:idx val="12"/>
          <c:order val="12"/>
          <c:tx>
            <c:strRef>
              <c:f>'edo - bernoulli - exata'!$N$8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exata'!$N$9:$N$49</c:f>
              <c:numCache>
                <c:formatCode>0.000</c:formatCode>
                <c:ptCount val="41"/>
                <c:pt idx="0">
                  <c:v>0.6</c:v>
                </c:pt>
                <c:pt idx="1">
                  <c:v>0.66295960546414667</c:v>
                </c:pt>
                <c:pt idx="2">
                  <c:v>0.73148087076981938</c:v>
                </c:pt>
                <c:pt idx="3">
                  <c:v>0.80446601360055414</c:v>
                </c:pt>
                <c:pt idx="4">
                  <c:v>0.87984797415134686</c:v>
                </c:pt>
                <c:pt idx="5">
                  <c:v>0.95435955476052103</c:v>
                </c:pt>
                <c:pt idx="6">
                  <c:v>1.0234756786501193</c:v>
                </c:pt>
                <c:pt idx="7">
                  <c:v>1.0816990348039779</c:v>
                </c:pt>
                <c:pt idx="8">
                  <c:v>1.123313189716143</c:v>
                </c:pt>
                <c:pt idx="9">
                  <c:v>1.1435409410197506</c:v>
                </c:pt>
                <c:pt idx="10">
                  <c:v>1.1397654221944793</c:v>
                </c:pt>
                <c:pt idx="11">
                  <c:v>1.1122938847555539</c:v>
                </c:pt>
                <c:pt idx="12">
                  <c:v>1.06428048809816</c:v>
                </c:pt>
                <c:pt idx="13">
                  <c:v>1.0008446438324612</c:v>
                </c:pt>
                <c:pt idx="14">
                  <c:v>0.92781505013277932</c:v>
                </c:pt>
                <c:pt idx="15">
                  <c:v>0.85061262145309413</c:v>
                </c:pt>
                <c:pt idx="16">
                  <c:v>0.7735739940721531</c:v>
                </c:pt>
                <c:pt idx="17">
                  <c:v>0.69973840672379117</c:v>
                </c:pt>
                <c:pt idx="18">
                  <c:v>0.63095448682743827</c:v>
                </c:pt>
                <c:pt idx="19">
                  <c:v>0.56813540100550453</c:v>
                </c:pt>
                <c:pt idx="20">
                  <c:v>0.51153819440434267</c:v>
                </c:pt>
                <c:pt idx="21">
                  <c:v>0.46100344422198275</c:v>
                </c:pt>
                <c:pt idx="22">
                  <c:v>0.41613512099893057</c:v>
                </c:pt>
                <c:pt idx="23">
                  <c:v>0.37642376849806614</c:v>
                </c:pt>
                <c:pt idx="24">
                  <c:v>0.34132480719773411</c:v>
                </c:pt>
                <c:pt idx="25">
                  <c:v>0.31030475542792696</c:v>
                </c:pt>
                <c:pt idx="26">
                  <c:v>0.28286605562798339</c:v>
                </c:pt>
                <c:pt idx="27">
                  <c:v>0.25855840188275048</c:v>
                </c:pt>
                <c:pt idx="28">
                  <c:v>0.23698198817152169</c:v>
                </c:pt>
                <c:pt idx="29">
                  <c:v>0.2177862110350709</c:v>
                </c:pt>
                <c:pt idx="30">
                  <c:v>0.20066603825103399</c:v>
                </c:pt>
                <c:pt idx="31">
                  <c:v>0.18535737534918306</c:v>
                </c:pt>
                <c:pt idx="32">
                  <c:v>0.1716321978686515</c:v>
                </c:pt>
                <c:pt idx="33">
                  <c:v>0.15929386657906849</c:v>
                </c:pt>
                <c:pt idx="34">
                  <c:v>0.14817283096096856</c:v>
                </c:pt>
                <c:pt idx="35">
                  <c:v>0.13812280217087428</c:v>
                </c:pt>
                <c:pt idx="36">
                  <c:v>0.12901740703697354</c:v>
                </c:pt>
                <c:pt idx="37">
                  <c:v>0.12074729790977445</c:v>
                </c:pt>
                <c:pt idx="38">
                  <c:v>0.11321767597282315</c:v>
                </c:pt>
                <c:pt idx="39">
                  <c:v>0.10634617959440119</c:v>
                </c:pt>
                <c:pt idx="40">
                  <c:v>0.10006108942602457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59D-4C85-A3C3-BCFCBF02D0EE}"/>
            </c:ext>
          </c:extLst>
        </c:ser>
        <c:ser>
          <c:idx val="13"/>
          <c:order val="13"/>
          <c:tx>
            <c:strRef>
              <c:f>'edo - bernoulli - exata'!$O$8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exata'!$O$9:$O$49</c:f>
              <c:numCache>
                <c:formatCode>0.000</c:formatCode>
                <c:ptCount val="41"/>
                <c:pt idx="0">
                  <c:v>0.65</c:v>
                </c:pt>
                <c:pt idx="1">
                  <c:v>0.71819333747512681</c:v>
                </c:pt>
                <c:pt idx="2">
                  <c:v>0.79231500851737946</c:v>
                </c:pt>
                <c:pt idx="3">
                  <c:v>0.8710164837378882</c:v>
                </c:pt>
                <c:pt idx="4">
                  <c:v>0.95181755143513436</c:v>
                </c:pt>
                <c:pt idx="5">
                  <c:v>1.0308611240532053</c:v>
                </c:pt>
                <c:pt idx="6">
                  <c:v>1.1028978044434066</c:v>
                </c:pt>
                <c:pt idx="7">
                  <c:v>1.1617008832936264</c:v>
                </c:pt>
                <c:pt idx="8">
                  <c:v>1.2010318287688746</c:v>
                </c:pt>
                <c:pt idx="9">
                  <c:v>1.2160235943624427</c:v>
                </c:pt>
                <c:pt idx="10">
                  <c:v>1.204515262259638</c:v>
                </c:pt>
                <c:pt idx="11">
                  <c:v>1.1677233891945737</c:v>
                </c:pt>
                <c:pt idx="12">
                  <c:v>1.109893574126706</c:v>
                </c:pt>
                <c:pt idx="13">
                  <c:v>1.0371119136502651</c:v>
                </c:pt>
                <c:pt idx="14">
                  <c:v>0.9558529593135201</c:v>
                </c:pt>
                <c:pt idx="15">
                  <c:v>0.87182677458518676</c:v>
                </c:pt>
                <c:pt idx="16">
                  <c:v>0.78938000244390372</c:v>
                </c:pt>
                <c:pt idx="17">
                  <c:v>0.71139717378684642</c:v>
                </c:pt>
                <c:pt idx="18">
                  <c:v>0.63950550142509044</c:v>
                </c:pt>
                <c:pt idx="19">
                  <c:v>0.5743929875138839</c:v>
                </c:pt>
                <c:pt idx="20">
                  <c:v>0.51611902645279839</c:v>
                </c:pt>
                <c:pt idx="21">
                  <c:v>0.46436430080432078</c:v>
                </c:pt>
                <c:pt idx="22">
                  <c:v>0.41860969926861313</c:v>
                </c:pt>
                <c:pt idx="23">
                  <c:v>0.3782539264453566</c:v>
                </c:pt>
                <c:pt idx="24">
                  <c:v>0.34268519219203453</c:v>
                </c:pt>
                <c:pt idx="25">
                  <c:v>0.3113213940164874</c:v>
                </c:pt>
                <c:pt idx="26">
                  <c:v>0.28363001941629828</c:v>
                </c:pt>
                <c:pt idx="27">
                  <c:v>0.25913569474803777</c:v>
                </c:pt>
                <c:pt idx="28">
                  <c:v>0.2374206346511232</c:v>
                </c:pt>
                <c:pt idx="29">
                  <c:v>0.21812131524723907</c:v>
                </c:pt>
                <c:pt idx="30">
                  <c:v>0.20092338952594116</c:v>
                </c:pt>
                <c:pt idx="31">
                  <c:v>0.18555602025124179</c:v>
                </c:pt>
                <c:pt idx="32">
                  <c:v>0.17178627929589105</c:v>
                </c:pt>
                <c:pt idx="33">
                  <c:v>0.15941394334046585</c:v>
                </c:pt>
                <c:pt idx="34">
                  <c:v>0.14826682855454093</c:v>
                </c:pt>
                <c:pt idx="35">
                  <c:v>0.13819670103568413</c:v>
                </c:pt>
                <c:pt idx="36">
                  <c:v>0.12907574324641993</c:v>
                </c:pt>
                <c:pt idx="37">
                  <c:v>0.1207935292949225</c:v>
                </c:pt>
                <c:pt idx="38">
                  <c:v>0.11325445124384625</c:v>
                </c:pt>
                <c:pt idx="39">
                  <c:v>0.10637553719630138</c:v>
                </c:pt>
                <c:pt idx="40">
                  <c:v>0.10008460523790108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9D-4C85-A3C3-BCFCBF02D0EE}"/>
            </c:ext>
          </c:extLst>
        </c:ser>
        <c:ser>
          <c:idx val="14"/>
          <c:order val="14"/>
          <c:tx>
            <c:strRef>
              <c:f>'edo - bernoulli - exata'!$P$8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exata'!$P$9:$P$49</c:f>
              <c:numCache>
                <c:formatCode>0.000</c:formatCode>
                <c:ptCount val="41"/>
                <c:pt idx="0">
                  <c:v>0.7</c:v>
                </c:pt>
                <c:pt idx="1">
                  <c:v>0.77342508509640961</c:v>
                </c:pt>
                <c:pt idx="2">
                  <c:v>0.85313032534657229</c:v>
                </c:pt>
                <c:pt idx="3">
                  <c:v>0.93749241000204409</c:v>
                </c:pt>
                <c:pt idx="4">
                  <c:v>1.0235833881903724</c:v>
                </c:pt>
                <c:pt idx="5">
                  <c:v>1.106915836635965</c:v>
                </c:pt>
                <c:pt idx="6">
                  <c:v>1.1814837617176221</c:v>
                </c:pt>
                <c:pt idx="7">
                  <c:v>1.2403301239278315</c:v>
                </c:pt>
                <c:pt idx="8">
                  <c:v>1.2767469029305891</c:v>
                </c:pt>
                <c:pt idx="9">
                  <c:v>1.285885065701776</c:v>
                </c:pt>
                <c:pt idx="10">
                  <c:v>1.2661702981129559</c:v>
                </c:pt>
                <c:pt idx="11">
                  <c:v>1.2198276363416818</c:v>
                </c:pt>
                <c:pt idx="12">
                  <c:v>1.1522210500680798</c:v>
                </c:pt>
                <c:pt idx="13">
                  <c:v>1.0703572048336505</c:v>
                </c:pt>
                <c:pt idx="14">
                  <c:v>0.98127005764652075</c:v>
                </c:pt>
                <c:pt idx="15">
                  <c:v>0.89087093707986831</c:v>
                </c:pt>
                <c:pt idx="16">
                  <c:v>0.80345126595583183</c:v>
                </c:pt>
                <c:pt idx="17">
                  <c:v>0.72170410311830047</c:v>
                </c:pt>
                <c:pt idx="18">
                  <c:v>0.64702158489125161</c:v>
                </c:pt>
                <c:pt idx="19">
                  <c:v>0.5798673923292551</c:v>
                </c:pt>
                <c:pt idx="20">
                  <c:v>0.52011125842083838</c:v>
                </c:pt>
                <c:pt idx="21">
                  <c:v>0.46728428293923563</c:v>
                </c:pt>
                <c:pt idx="22">
                  <c:v>0.42075431065939739</c:v>
                </c:pt>
                <c:pt idx="23">
                  <c:v>0.37983685694760905</c:v>
                </c:pt>
                <c:pt idx="24">
                  <c:v>0.34385989692418312</c:v>
                </c:pt>
                <c:pt idx="25">
                  <c:v>0.31219811549553111</c:v>
                </c:pt>
                <c:pt idx="26">
                  <c:v>0.28428813759601007</c:v>
                </c:pt>
                <c:pt idx="27">
                  <c:v>0.2596325729250632</c:v>
                </c:pt>
                <c:pt idx="28">
                  <c:v>0.23779791184792679</c:v>
                </c:pt>
                <c:pt idx="29">
                  <c:v>0.21840936929521035</c:v>
                </c:pt>
                <c:pt idx="30">
                  <c:v>0.20114450229572753</c:v>
                </c:pt>
                <c:pt idx="31">
                  <c:v>0.18572662649982163</c:v>
                </c:pt>
                <c:pt idx="32">
                  <c:v>0.17191856945162959</c:v>
                </c:pt>
                <c:pt idx="33">
                  <c:v>0.15951701045650787</c:v>
                </c:pt>
                <c:pt idx="34">
                  <c:v>0.14834749289334448</c:v>
                </c:pt>
                <c:pt idx="35">
                  <c:v>0.13826010588606499</c:v>
                </c:pt>
                <c:pt idx="36">
                  <c:v>0.12912578771607805</c:v>
                </c:pt>
                <c:pt idx="37">
                  <c:v>0.12083318438273859</c:v>
                </c:pt>
                <c:pt idx="38">
                  <c:v>0.11328599192500657</c:v>
                </c:pt>
                <c:pt idx="39">
                  <c:v>0.10640071375896018</c:v>
                </c:pt>
                <c:pt idx="40">
                  <c:v>0.10010477044723137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59D-4C85-A3C3-BCFCBF02D0EE}"/>
            </c:ext>
          </c:extLst>
        </c:ser>
        <c:ser>
          <c:idx val="15"/>
          <c:order val="15"/>
          <c:tx>
            <c:strRef>
              <c:f>'edo - bernoulli - exata'!$Q$8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exata'!$Q$9:$Q$49</c:f>
              <c:numCache>
                <c:formatCode>0.000</c:formatCode>
                <c:ptCount val="41"/>
                <c:pt idx="0">
                  <c:v>0.75</c:v>
                </c:pt>
                <c:pt idx="1">
                  <c:v>0.82865484843493364</c:v>
                </c:pt>
                <c:pt idx="2">
                  <c:v>0.91392682999029573</c:v>
                </c:pt>
                <c:pt idx="3">
                  <c:v>1.0038939175689672</c:v>
                </c:pt>
                <c:pt idx="4">
                  <c:v>1.0951463483556469</c:v>
                </c:pt>
                <c:pt idx="5">
                  <c:v>1.1825275963392077</c:v>
                </c:pt>
                <c:pt idx="6">
                  <c:v>1.2592466862935225</c:v>
                </c:pt>
                <c:pt idx="7">
                  <c:v>1.317621781408518</c:v>
                </c:pt>
                <c:pt idx="8">
                  <c:v>1.3505349032603313</c:v>
                </c:pt>
                <c:pt idx="9">
                  <c:v>1.3532650140639078</c:v>
                </c:pt>
                <c:pt idx="10">
                  <c:v>1.32494723137269</c:v>
                </c:pt>
                <c:pt idx="11">
                  <c:v>1.268897139148311</c:v>
                </c:pt>
                <c:pt idx="12">
                  <c:v>1.1916055790294631</c:v>
                </c:pt>
                <c:pt idx="13">
                  <c:v>1.100943120970342</c:v>
                </c:pt>
                <c:pt idx="14">
                  <c:v>1.0044174035958959</c:v>
                </c:pt>
                <c:pt idx="15">
                  <c:v>0.90806186045190029</c:v>
                </c:pt>
                <c:pt idx="16">
                  <c:v>0.81605851611984381</c:v>
                </c:pt>
                <c:pt idx="17">
                  <c:v>0.73088142963314695</c:v>
                </c:pt>
                <c:pt idx="18">
                  <c:v>0.65367990292970501</c:v>
                </c:pt>
                <c:pt idx="19">
                  <c:v>0.58469698750838395</c:v>
                </c:pt>
                <c:pt idx="20">
                  <c:v>0.52362148743702164</c:v>
                </c:pt>
                <c:pt idx="21">
                  <c:v>0.46984480126583583</c:v>
                </c:pt>
                <c:pt idx="22">
                  <c:v>0.42263082802357932</c:v>
                </c:pt>
                <c:pt idx="23">
                  <c:v>0.38121948571051723</c:v>
                </c:pt>
                <c:pt idx="24">
                  <c:v>0.34488450826831663</c:v>
                </c:pt>
                <c:pt idx="25">
                  <c:v>0.31296194478085498</c:v>
                </c:pt>
                <c:pt idx="26">
                  <c:v>0.28486098210383898</c:v>
                </c:pt>
                <c:pt idx="27">
                  <c:v>0.26006474455932133</c:v>
                </c:pt>
                <c:pt idx="28">
                  <c:v>0.23812585664389904</c:v>
                </c:pt>
                <c:pt idx="29">
                  <c:v>0.21865963225787077</c:v>
                </c:pt>
                <c:pt idx="30">
                  <c:v>0.20133652739390767</c:v>
                </c:pt>
                <c:pt idx="31">
                  <c:v>0.18587473921710901</c:v>
                </c:pt>
                <c:pt idx="32">
                  <c:v>0.17203338584072225</c:v>
                </c:pt>
                <c:pt idx="33">
                  <c:v>0.1596064431543377</c:v>
                </c:pt>
                <c:pt idx="34">
                  <c:v>0.14841747301714289</c:v>
                </c:pt>
                <c:pt idx="35">
                  <c:v>0.1383151038366576</c:v>
                </c:pt>
                <c:pt idx="36">
                  <c:v>0.12916919098997848</c:v>
                </c:pt>
                <c:pt idx="37">
                  <c:v>0.12086757319221726</c:v>
                </c:pt>
                <c:pt idx="38">
                  <c:v>0.11331334139582382</c:v>
                </c:pt>
                <c:pt idx="39">
                  <c:v>0.10642254308841878</c:v>
                </c:pt>
                <c:pt idx="40">
                  <c:v>0.1001222535360327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59D-4C85-A3C3-BCFCBF02D0EE}"/>
            </c:ext>
          </c:extLst>
        </c:ser>
        <c:ser>
          <c:idx val="16"/>
          <c:order val="16"/>
          <c:tx>
            <c:strRef>
              <c:f>'edo - bernoulli - exata'!$R$8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exata'!$R$9:$R$49</c:f>
              <c:numCache>
                <c:formatCode>0.000</c:formatCode>
                <c:ptCount val="41"/>
                <c:pt idx="0">
                  <c:v>0.8</c:v>
                </c:pt>
                <c:pt idx="1">
                  <c:v>0.88388262759762914</c:v>
                </c:pt>
                <c:pt idx="2">
                  <c:v>0.97470453117604461</c:v>
                </c:pt>
                <c:pt idx="3">
                  <c:v>1.0702211313344943</c:v>
                </c:pt>
                <c:pt idx="4">
                  <c:v>1.1665072909918599</c:v>
                </c:pt>
                <c:pt idx="5">
                  <c:v>1.2577002616525088</c:v>
                </c:pt>
                <c:pt idx="6">
                  <c:v>1.3361994402815922</c:v>
                </c:pt>
                <c:pt idx="7">
                  <c:v>1.3936096988584472</c:v>
                </c:pt>
                <c:pt idx="8">
                  <c:v>1.4224684760965318</c:v>
                </c:pt>
                <c:pt idx="9">
                  <c:v>1.4182933500587045</c:v>
                </c:pt>
                <c:pt idx="10">
                  <c:v>1.3810429935164166</c:v>
                </c:pt>
                <c:pt idx="11">
                  <c:v>1.3151895270929064</c:v>
                </c:pt>
                <c:pt idx="12">
                  <c:v>1.2283437755543372</c:v>
                </c:pt>
                <c:pt idx="13">
                  <c:v>1.1291764854874318</c:v>
                </c:pt>
                <c:pt idx="14">
                  <c:v>1.0255860363013996</c:v>
                </c:pt>
                <c:pt idx="15">
                  <c:v>0.92365750870360008</c:v>
                </c:pt>
                <c:pt idx="16">
                  <c:v>0.82741893485479567</c:v>
                </c:pt>
                <c:pt idx="17">
                  <c:v>0.73910520660484769</c:v>
                </c:pt>
                <c:pt idx="18">
                  <c:v>0.65961936642672114</c:v>
                </c:pt>
                <c:pt idx="19">
                  <c:v>0.58898936140416069</c:v>
                </c:pt>
                <c:pt idx="20">
                  <c:v>0.52673203597966434</c:v>
                </c:pt>
                <c:pt idx="21">
                  <c:v>0.47210838456638604</c:v>
                </c:pt>
                <c:pt idx="22">
                  <c:v>0.42428656499555717</c:v>
                </c:pt>
                <c:pt idx="23">
                  <c:v>0.3824375692822673</c:v>
                </c:pt>
                <c:pt idx="24">
                  <c:v>0.34578606523153793</c:v>
                </c:pt>
                <c:pt idx="25">
                  <c:v>0.31363336797977559</c:v>
                </c:pt>
                <c:pt idx="26">
                  <c:v>0.28536411814935303</c:v>
                </c:pt>
                <c:pt idx="27">
                  <c:v>0.26044407667994313</c:v>
                </c:pt>
                <c:pt idx="28">
                  <c:v>0.23841355123489863</c:v>
                </c:pt>
                <c:pt idx="29">
                  <c:v>0.2188790832915993</c:v>
                </c:pt>
                <c:pt idx="30">
                  <c:v>0.20150485036423085</c:v>
                </c:pt>
                <c:pt idx="31">
                  <c:v>0.18600453176491616</c:v>
                </c:pt>
                <c:pt idx="32">
                  <c:v>0.17213397605869568</c:v>
                </c:pt>
                <c:pt idx="33">
                  <c:v>0.15968477906650297</c:v>
                </c:pt>
                <c:pt idx="34">
                  <c:v>0.148478759807815</c:v>
                </c:pt>
                <c:pt idx="35">
                  <c:v>0.13836326294856752</c:v>
                </c:pt>
                <c:pt idx="36">
                  <c:v>0.12920719279711798</c:v>
                </c:pt>
                <c:pt idx="37">
                  <c:v>0.12089767946125102</c:v>
                </c:pt>
                <c:pt idx="38">
                  <c:v>0.11333728301763435</c:v>
                </c:pt>
                <c:pt idx="39">
                  <c:v>0.10644165110061546</c:v>
                </c:pt>
                <c:pt idx="40">
                  <c:v>0.10013755624895912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759D-4C85-A3C3-BCFCBF02D0EE}"/>
            </c:ext>
          </c:extLst>
        </c:ser>
        <c:ser>
          <c:idx val="17"/>
          <c:order val="17"/>
          <c:tx>
            <c:strRef>
              <c:f>'edo - bernoulli - exata'!$S$8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exata'!$S$9:$S$49</c:f>
              <c:numCache>
                <c:formatCode>0.000</c:formatCode>
                <c:ptCount val="41"/>
                <c:pt idx="0">
                  <c:v>0.85</c:v>
                </c:pt>
                <c:pt idx="1">
                  <c:v>0.93910842269141903</c:v>
                </c:pt>
                <c:pt idx="2">
                  <c:v>1.0354634376259164</c:v>
                </c:pt>
                <c:pt idx="3">
                  <c:v>1.1364741759151376</c:v>
                </c:pt>
                <c:pt idx="4">
                  <c:v>1.2376670703166046</c:v>
                </c:pt>
                <c:pt idx="5">
                  <c:v>1.3324376463809671</c:v>
                </c:pt>
                <c:pt idx="6">
                  <c:v>1.412354619174204</c:v>
                </c:pt>
                <c:pt idx="7">
                  <c:v>1.4683265872310951</c:v>
                </c:pt>
                <c:pt idx="8">
                  <c:v>1.4926166616213943</c:v>
                </c:pt>
                <c:pt idx="9">
                  <c:v>1.4810910718597587</c:v>
                </c:pt>
                <c:pt idx="10">
                  <c:v>1.4346369501939826</c:v>
                </c:pt>
                <c:pt idx="11">
                  <c:v>1.35893407078914</c:v>
                </c:pt>
                <c:pt idx="12">
                  <c:v>1.2626936894536878</c:v>
                </c:pt>
                <c:pt idx="13">
                  <c:v>1.1553186704180072</c:v>
                </c:pt>
                <c:pt idx="14">
                  <c:v>1.0450192764542008</c:v>
                </c:pt>
                <c:pt idx="15">
                  <c:v>0.93787009192107262</c:v>
                </c:pt>
                <c:pt idx="16">
                  <c:v>0.83770877050224057</c:v>
                </c:pt>
                <c:pt idx="17">
                  <c:v>0.74651670923410618</c:v>
                </c:pt>
                <c:pt idx="18">
                  <c:v>0.66495042791989878</c:v>
                </c:pt>
                <c:pt idx="19">
                  <c:v>0.59282942821505946</c:v>
                </c:pt>
                <c:pt idx="20">
                  <c:v>0.52950748956053373</c:v>
                </c:pt>
                <c:pt idx="21">
                  <c:v>0.47412385392094092</c:v>
                </c:pt>
                <c:pt idx="22">
                  <c:v>0.42575832045507472</c:v>
                </c:pt>
                <c:pt idx="23">
                  <c:v>0.38351883149536475</c:v>
                </c:pt>
                <c:pt idx="24">
                  <c:v>0.34658548003661543</c:v>
                </c:pt>
                <c:pt idx="25">
                  <c:v>0.31422819721084116</c:v>
                </c:pt>
                <c:pt idx="26">
                  <c:v>0.28580954000555286</c:v>
                </c:pt>
                <c:pt idx="27">
                  <c:v>0.26077970164611264</c:v>
                </c:pt>
                <c:pt idx="28">
                  <c:v>0.23866797731773787</c:v>
                </c:pt>
                <c:pt idx="29">
                  <c:v>0.21907308268622042</c:v>
                </c:pt>
                <c:pt idx="30">
                  <c:v>0.20165360453100878</c:v>
                </c:pt>
                <c:pt idx="31">
                  <c:v>0.18611920522383799</c:v>
                </c:pt>
                <c:pt idx="32">
                  <c:v>0.17222282987201476</c:v>
                </c:pt>
                <c:pt idx="33">
                  <c:v>0.15975396287459073</c:v>
                </c:pt>
                <c:pt idx="34">
                  <c:v>0.14853287843630814</c:v>
                </c:pt>
                <c:pt idx="35">
                  <c:v>0.13840578414151897</c:v>
                </c:pt>
                <c:pt idx="36">
                  <c:v>0.12924074237742889</c:v>
                </c:pt>
                <c:pt idx="37">
                  <c:v>0.12092425627412597</c:v>
                </c:pt>
                <c:pt idx="38">
                  <c:v>0.11335841638136672</c:v>
                </c:pt>
                <c:pt idx="39">
                  <c:v>0.10645851681052072</c:v>
                </c:pt>
                <c:pt idx="40">
                  <c:v>0.10015106252787147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759D-4C85-A3C3-BCFCBF02D0EE}"/>
            </c:ext>
          </c:extLst>
        </c:ser>
        <c:ser>
          <c:idx val="18"/>
          <c:order val="18"/>
          <c:tx>
            <c:strRef>
              <c:f>'edo - bernoulli - exata'!$T$8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exata'!$T$9:$T$49</c:f>
              <c:numCache>
                <c:formatCode>0.000</c:formatCode>
                <c:ptCount val="41"/>
                <c:pt idx="0">
                  <c:v>0.89999999999999991</c:v>
                </c:pt>
                <c:pt idx="1">
                  <c:v>0.99433223382321867</c:v>
                </c:pt>
                <c:pt idx="2">
                  <c:v>1.0962035580566156</c:v>
                </c:pt>
                <c:pt idx="3">
                  <c:v>1.2026531756488645</c:v>
                </c:pt>
                <c:pt idx="4">
                  <c:v>1.3086265357382507</c:v>
                </c:pt>
                <c:pt idx="5">
                  <c:v>1.4067435202901921</c:v>
                </c:pt>
                <c:pt idx="6">
                  <c:v>1.4877245587183952</c:v>
                </c:pt>
                <c:pt idx="7">
                  <c:v>1.5418040722616984</c:v>
                </c:pt>
                <c:pt idx="8">
                  <c:v>1.5610451148795552</c:v>
                </c:pt>
                <c:pt idx="9">
                  <c:v>1.541771016607167</c:v>
                </c:pt>
                <c:pt idx="10">
                  <c:v>1.4858928170444052</c:v>
                </c:pt>
                <c:pt idx="11">
                  <c:v>1.400335479525094</c:v>
                </c:pt>
                <c:pt idx="12">
                  <c:v>1.2948808760540993</c:v>
                </c:pt>
                <c:pt idx="13">
                  <c:v>1.1795937120450937</c:v>
                </c:pt>
                <c:pt idx="14">
                  <c:v>1.0629221210377668</c:v>
                </c:pt>
                <c:pt idx="15">
                  <c:v>0.95087577953315172</c:v>
                </c:pt>
                <c:pt idx="16">
                  <c:v>0.84707254761603923</c:v>
                </c:pt>
                <c:pt idx="17">
                  <c:v>0.75323061819962855</c:v>
                </c:pt>
                <c:pt idx="18">
                  <c:v>0.66976201427222115</c:v>
                </c:pt>
                <c:pt idx="19">
                  <c:v>0.59628510222349684</c:v>
                </c:pt>
                <c:pt idx="20">
                  <c:v>0.53199922951467915</c:v>
                </c:pt>
                <c:pt idx="21">
                  <c:v>0.47592988383014401</c:v>
                </c:pt>
                <c:pt idx="22">
                  <c:v>0.4270751457209222</c:v>
                </c:pt>
                <c:pt idx="23">
                  <c:v>0.3844850992069852</c:v>
                </c:pt>
                <c:pt idx="24">
                  <c:v>0.34729918042870306</c:v>
                </c:pt>
                <c:pt idx="25">
                  <c:v>0.31475883166190122</c:v>
                </c:pt>
                <c:pt idx="26">
                  <c:v>0.28620663950683434</c:v>
                </c:pt>
                <c:pt idx="27">
                  <c:v>0.26107876196824542</c:v>
                </c:pt>
                <c:pt idx="28">
                  <c:v>0.2388945901441277</c:v>
                </c:pt>
                <c:pt idx="29">
                  <c:v>0.21924581552257291</c:v>
                </c:pt>
                <c:pt idx="30">
                  <c:v>0.20178601495506587</c:v>
                </c:pt>
                <c:pt idx="31">
                  <c:v>0.1862212559539041</c:v>
                </c:pt>
                <c:pt idx="32">
                  <c:v>0.17230188808339603</c:v>
                </c:pt>
                <c:pt idx="33">
                  <c:v>0.15981550993907734</c:v>
                </c:pt>
                <c:pt idx="34">
                  <c:v>0.14858101701404183</c:v>
                </c:pt>
                <c:pt idx="35">
                  <c:v>0.13844360270384229</c:v>
                </c:pt>
                <c:pt idx="36">
                  <c:v>0.12927057885650339</c:v>
                </c:pt>
                <c:pt idx="37">
                  <c:v>0.12094788991909343</c:v>
                </c:pt>
                <c:pt idx="38">
                  <c:v>0.11337720821101824</c:v>
                </c:pt>
                <c:pt idx="39">
                  <c:v>0.10647351304024398</c:v>
                </c:pt>
                <c:pt idx="40">
                  <c:v>0.10016307116813342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759D-4C85-A3C3-BCFCBF02D0EE}"/>
            </c:ext>
          </c:extLst>
        </c:ser>
        <c:ser>
          <c:idx val="19"/>
          <c:order val="19"/>
          <c:tx>
            <c:strRef>
              <c:f>'edo - bernoulli - exata'!$U$8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exata'!$U$9:$U$49</c:f>
              <c:numCache>
                <c:formatCode>0.000</c:formatCode>
                <c:ptCount val="41"/>
                <c:pt idx="0">
                  <c:v>0.95000000000000007</c:v>
                </c:pt>
                <c:pt idx="1">
                  <c:v>1.0495540610999357</c:v>
                </c:pt>
                <c:pt idx="2">
                  <c:v>1.1569249011794567</c:v>
                </c:pt>
                <c:pt idx="3">
                  <c:v>1.2687582545958767</c:v>
                </c:pt>
                <c:pt idx="4">
                  <c:v>1.3793865318897405</c:v>
                </c:pt>
                <c:pt idx="5">
                  <c:v>1.4806216097401483</c:v>
                </c:pt>
                <c:pt idx="6">
                  <c:v>1.5623213415771391</c:v>
                </c:pt>
                <c:pt idx="7">
                  <c:v>1.6140727391010454</c:v>
                </c:pt>
                <c:pt idx="8">
                  <c:v>1.6278163107383026</c:v>
                </c:pt>
                <c:pt idx="9">
                  <c:v>1.6004385370504546</c:v>
                </c:pt>
                <c:pt idx="10">
                  <c:v>1.534960330127094</c:v>
                </c:pt>
                <c:pt idx="11">
                  <c:v>1.4395771044847294</c:v>
                </c:pt>
                <c:pt idx="12">
                  <c:v>1.3251033548609283</c:v>
                </c:pt>
                <c:pt idx="13">
                  <c:v>1.2021947475819672</c:v>
                </c:pt>
                <c:pt idx="14">
                  <c:v>1.0794685026061095</c:v>
                </c:pt>
                <c:pt idx="15">
                  <c:v>0.96282203988007653</c:v>
                </c:pt>
                <c:pt idx="16">
                  <c:v>0.85562989725469196</c:v>
                </c:pt>
                <c:pt idx="17">
                  <c:v>0.75934099628638629</c:v>
                </c:pt>
                <c:pt idx="18">
                  <c:v>0.67412652687539376</c:v>
                </c:pt>
                <c:pt idx="19">
                  <c:v>0.59941134927079243</c:v>
                </c:pt>
                <c:pt idx="20">
                  <c:v>0.53424864332463329</c:v>
                </c:pt>
                <c:pt idx="21">
                  <c:v>0.47755750799877689</c:v>
                </c:pt>
                <c:pt idx="22">
                  <c:v>0.42826028154291956</c:v>
                </c:pt>
                <c:pt idx="23">
                  <c:v>0.38535379102367784</c:v>
                </c:pt>
                <c:pt idx="24">
                  <c:v>0.34794025059051137</c:v>
                </c:pt>
                <c:pt idx="25">
                  <c:v>0.31523513126625913</c:v>
                </c:pt>
                <c:pt idx="26">
                  <c:v>0.28656287555764298</c:v>
                </c:pt>
                <c:pt idx="27">
                  <c:v>0.26134692427106848</c:v>
                </c:pt>
                <c:pt idx="28">
                  <c:v>0.23909771406888455</c:v>
                </c:pt>
                <c:pt idx="29">
                  <c:v>0.21940059700804004</c:v>
                </c:pt>
                <c:pt idx="30">
                  <c:v>0.20190463492133781</c:v>
                </c:pt>
                <c:pt idx="31">
                  <c:v>0.18631265940888658</c:v>
                </c:pt>
                <c:pt idx="32">
                  <c:v>0.17237268592748134</c:v>
                </c:pt>
                <c:pt idx="33">
                  <c:v>0.15987061857731957</c:v>
                </c:pt>
                <c:pt idx="34">
                  <c:v>0.14862411482967011</c:v>
                </c:pt>
                <c:pt idx="35">
                  <c:v>0.13847745788777721</c:v>
                </c:pt>
                <c:pt idx="36">
                  <c:v>0.12929728633321488</c:v>
                </c:pt>
                <c:pt idx="37">
                  <c:v>0.12096904364387757</c:v>
                </c:pt>
                <c:pt idx="38">
                  <c:v>0.11339402723527242</c:v>
                </c:pt>
                <c:pt idx="39">
                  <c:v>0.10648693430111654</c:v>
                </c:pt>
                <c:pt idx="40">
                  <c:v>0.10017381818230932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759D-4C85-A3C3-BCFCBF02D0EE}"/>
            </c:ext>
          </c:extLst>
        </c:ser>
        <c:ser>
          <c:idx val="20"/>
          <c:order val="20"/>
          <c:tx>
            <c:strRef>
              <c:f>'edo - bernoulli - exata'!$V$8</c:f>
              <c:strCache>
                <c:ptCount val="1"/>
                <c:pt idx="0">
                  <c:v>001</c:v>
                </c:pt>
              </c:strCache>
            </c:strRef>
          </c:tx>
          <c:marker>
            <c:symbol val="none"/>
          </c:marker>
          <c:xVal>
            <c:numRef>
              <c:f>'edo - bernoulli - exata'!$A$9:$A$49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'edo - bernoulli - exata'!$V$9:$V$49</c:f>
              <c:numCache>
                <c:formatCode>0.000</c:formatCode>
                <c:ptCount val="41"/>
                <c:pt idx="0">
                  <c:v>1</c:v>
                </c:pt>
                <c:pt idx="1">
                  <c:v>1.1047739046284695</c:v>
                </c:pt>
                <c:pt idx="2">
                  <c:v>1.2176274757003687</c:v>
                </c:pt>
                <c:pt idx="3">
                  <c:v>1.3347895365393829</c:v>
                </c:pt>
                <c:pt idx="4">
                  <c:v>1.4499478986621022</c:v>
                </c:pt>
                <c:pt idx="5">
                  <c:v>1.5540755983080883</c:v>
                </c:pt>
                <c:pt idx="6">
                  <c:v>1.6361568037866665</c:v>
                </c:pt>
                <c:pt idx="7">
                  <c:v>1.6851621747643593</c:v>
                </c:pt>
                <c:pt idx="8">
                  <c:v>1.6929897341342717</c:v>
                </c:pt>
                <c:pt idx="9">
                  <c:v>1.6571921119679249</c:v>
                </c:pt>
                <c:pt idx="10">
                  <c:v>1.5819767068693265</c:v>
                </c:pt>
                <c:pt idx="11">
                  <c:v>1.4768236534062249</c:v>
                </c:pt>
                <c:pt idx="12">
                  <c:v>1.3535356870825739</c:v>
                </c:pt>
                <c:pt idx="13">
                  <c:v>1.2232891646165354</c:v>
                </c:pt>
                <c:pt idx="14">
                  <c:v>1.0948069587279872</c:v>
                </c:pt>
                <c:pt idx="15">
                  <c:v>0.97383325635948714</c:v>
                </c:pt>
                <c:pt idx="16">
                  <c:v>0.86348069541110717</c:v>
                </c:pt>
                <c:pt idx="17">
                  <c:v>0.76492572257640346</c:v>
                </c:pt>
                <c:pt idx="18">
                  <c:v>0.67810350993365098</c:v>
                </c:pt>
                <c:pt idx="19">
                  <c:v>0.60225313227447486</c:v>
                </c:pt>
                <c:pt idx="20">
                  <c:v>0.53628944174787663</c:v>
                </c:pt>
                <c:pt idx="21">
                  <c:v>0.47903191748142626</c:v>
                </c:pt>
                <c:pt idx="22">
                  <c:v>0.42933254163993112</c:v>
                </c:pt>
                <c:pt idx="23">
                  <c:v>0.38613897669893726</c:v>
                </c:pt>
                <c:pt idx="24">
                  <c:v>0.34851924060460443</c:v>
                </c:pt>
                <c:pt idx="25">
                  <c:v>0.315665035067422</c:v>
                </c:pt>
                <c:pt idx="26">
                  <c:v>0.28688424706828242</c:v>
                </c:pt>
                <c:pt idx="27">
                  <c:v>0.26158874177844876</c:v>
                </c:pt>
                <c:pt idx="28">
                  <c:v>0.23928082116032356</c:v>
                </c:pt>
                <c:pt idx="29">
                  <c:v>0.21954008731793856</c:v>
                </c:pt>
                <c:pt idx="30">
                  <c:v>0.20201151219373684</c:v>
                </c:pt>
                <c:pt idx="31">
                  <c:v>0.18639499926935885</c:v>
                </c:pt>
                <c:pt idx="32">
                  <c:v>0.17243645375018321</c:v>
                </c:pt>
                <c:pt idx="33">
                  <c:v>0.1599202488568256</c:v>
                </c:pt>
                <c:pt idx="34">
                  <c:v>0.14866292424614749</c:v>
                </c:pt>
                <c:pt idx="35">
                  <c:v>0.13850794171351141</c:v>
                </c:pt>
                <c:pt idx="36">
                  <c:v>0.12932133249944944</c:v>
                </c:pt>
                <c:pt idx="37">
                  <c:v>0.12098808832379589</c:v>
                </c:pt>
                <c:pt idx="38">
                  <c:v>0.1134091686241728</c:v>
                </c:pt>
                <c:pt idx="39">
                  <c:v>0.10649901632918164</c:v>
                </c:pt>
                <c:pt idx="40">
                  <c:v>0.10018349246706378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759D-4C85-A3C3-BCFCBF02D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537320"/>
        <c:axId val="1"/>
      </c:scatterChart>
      <c:valAx>
        <c:axId val="424537320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24537320"/>
        <c:crosses val="autoZero"/>
        <c:crossBetween val="midCat"/>
      </c:valAx>
    </c:plotArea>
    <c:plotVisOnly val="0"/>
    <c:dispBlanksAs val="gap"/>
    <c:showDLblsOverMax val="0"/>
  </c:chart>
  <c:printSettings>
    <c:headerFooter/>
    <c:pageMargins b="0.78740157499999996" l="0.511811024" r="0.511811024" t="0.78740157499999996" header="0.31496062000000047" footer="0.3149606200000004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209550</xdr:colOff>
      <xdr:row>1</xdr:row>
      <xdr:rowOff>0</xdr:rowOff>
    </xdr:from>
    <xdr:to>
      <xdr:col>36</xdr:col>
      <xdr:colOff>542925</xdr:colOff>
      <xdr:row>29</xdr:row>
      <xdr:rowOff>85725</xdr:rowOff>
    </xdr:to>
    <xdr:graphicFrame macro="">
      <xdr:nvGraphicFramePr>
        <xdr:cNvPr id="1136" name="Gráfico 14">
          <a:extLst>
            <a:ext uri="{FF2B5EF4-FFF2-40B4-BE49-F238E27FC236}">
              <a16:creationId xmlns:a16="http://schemas.microsoft.com/office/drawing/2014/main" id="{01535F25-FB18-43ED-811C-12C805437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1</xdr:row>
      <xdr:rowOff>19050</xdr:rowOff>
    </xdr:from>
    <xdr:to>
      <xdr:col>35</xdr:col>
      <xdr:colOff>9525</xdr:colOff>
      <xdr:row>26</xdr:row>
      <xdr:rowOff>0</xdr:rowOff>
    </xdr:to>
    <xdr:graphicFrame macro="">
      <xdr:nvGraphicFramePr>
        <xdr:cNvPr id="5124" name="Gráfico 3">
          <a:extLst>
            <a:ext uri="{FF2B5EF4-FFF2-40B4-BE49-F238E27FC236}">
              <a16:creationId xmlns:a16="http://schemas.microsoft.com/office/drawing/2014/main" id="{D1522636-E282-4A44-983E-29702BBEF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_cap_montecarlo%20-%20parte%20I%20-%200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stavo/Documents/Academico/Trabalho/Livro-Numerico/Textos%20-%20Word/c&#225;lculo%20num&#233;ri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lanilhas_cap_montecarlo%20-%20parte%20I%20-%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stavo/Documents/Academico/Trabalho/Livro-Numerico/Textos%20-%20Word/27%20-%20karris%20-%20c&#225;lculo%20num&#233;rico%20-%20cap&#237;tulo%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 rand var - via atingir met"/>
    </sheetNames>
    <sheetDataSet>
      <sheetData sheetId="0">
        <row r="1">
          <cell r="D1">
            <v>1</v>
          </cell>
        </row>
        <row r="2">
          <cell r="D2">
            <v>3</v>
          </cell>
        </row>
        <row r="3">
          <cell r="D3">
            <v>0.9</v>
          </cell>
        </row>
        <row r="6">
          <cell r="D6">
            <v>13111.540952209451</v>
          </cell>
        </row>
        <row r="7">
          <cell r="D7">
            <v>991</v>
          </cell>
        </row>
        <row r="8">
          <cell r="D8">
            <v>416.50182481246651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o - bernoulli - exata"/>
      <sheetName val="edo - bernoulli - erro"/>
      <sheetName val="edo - chapra - 28.3 - conc.quím"/>
      <sheetName val="edo - fd"/>
      <sheetName val="edo - rk4"/>
      <sheetName val="edo - erro"/>
      <sheetName val="edo - rk4 - família de soluções"/>
      <sheetName val="edo - i - SEDOLS - xnum"/>
      <sheetName val="edo - i - RK4 - xnum"/>
      <sheetName val="edo - i - dif.finita"/>
      <sheetName val="edo - i - euler"/>
      <sheetName val="edo - logística - funcao"/>
      <sheetName val="edo - logística - euler"/>
      <sheetName val="edo - logística - rk4"/>
      <sheetName val="edo - pêndulo - an.eul.rk4 - v1"/>
      <sheetName val="edo - pêndulo - an.eul.rk4 - v2"/>
      <sheetName val="edo - pêndulo - rk4.xnum"/>
      <sheetName val="edo - pêndulo - dif.fin."/>
      <sheetName val="SEDOL - massa mola - euler 1"/>
      <sheetName val="SEDOL - massa mola - euler 2"/>
      <sheetName val="SEDOL - massa mola - rk4 1"/>
      <sheetName val="SEDOL - massa mola - rk4 2"/>
      <sheetName val="SEDOL - 2 corpos - 1"/>
      <sheetName val="SEDOL - 2 corpos - 2"/>
      <sheetName val="SEDOL - 3 variáveis - tempo"/>
      <sheetName val="SEDOL - 3 variáveis - fase"/>
      <sheetName val="SEDNL - rk4 xnum - pred prey"/>
      <sheetName val="SEDNL - rk4 xnum 2 - pred prey"/>
      <sheetName val="SEDNL - rk4 - van der walls"/>
      <sheetName val="SEDNL - rk4 - van der walls 2"/>
      <sheetName val="EDP - Temperatura - Passeio Ale"/>
      <sheetName val="frações parciais"/>
      <sheetName val="frações parciais - II"/>
      <sheetName val="frações parciais - III"/>
      <sheetName val="frações parciais - IV"/>
      <sheetName val="FFT - coeficientes"/>
      <sheetName val="FFT - coeficientes II"/>
      <sheetName val="FFT - coeficientes III"/>
      <sheetName val="FFT - com ruído"/>
      <sheetName val="fourier - det.erro - triangular"/>
      <sheetName val="fourier - det.erro - quadrado"/>
      <sheetName val="fourier - onda dente de ser"/>
      <sheetName val="fourier - onda quadrada - I"/>
      <sheetName val="fourier - onda quadrada - II"/>
      <sheetName val="fourier - triângulo"/>
      <sheetName val="fourier - triângulo II"/>
      <sheetName val="fourier - triângulo III"/>
      <sheetName val="fourier - triângulo IV"/>
      <sheetName val="fractais - mandelbrot -LoopData"/>
      <sheetName val="fractais - mandelbrot -Chart1"/>
      <sheetName val="Fractais Leaf1"/>
      <sheetName val="Fractais Leaf2"/>
      <sheetName val="geometria analítica - desenhos"/>
      <sheetName val="gráficos polares - I"/>
      <sheetName val="gráficos polares - II"/>
      <sheetName val="integração numérica"/>
      <sheetName val="interpolação polin. - I"/>
      <sheetName val="interpolação polin. - II"/>
      <sheetName val="interpolação polin. - III"/>
      <sheetName val="interpolação polin. - IV"/>
      <sheetName val="karris - 1.1"/>
      <sheetName val="karris - 1.2"/>
      <sheetName val="karris - 1.3"/>
      <sheetName val="karris - 1.4"/>
      <sheetName val="karris - 1.5"/>
      <sheetName val="karris - 1.6"/>
      <sheetName val="karris - 1.7"/>
      <sheetName val="karris - 1.11"/>
      <sheetName val="karris - 1.12"/>
      <sheetName val="karris - 1.12b"/>
      <sheetName val="karris - 1.13"/>
      <sheetName val="karris - 1.15"/>
      <sheetName val="karris - 1.16"/>
      <sheetName val="karris - 2.1"/>
      <sheetName val="karris - 2.2"/>
      <sheetName val="karris - 3.10.1"/>
      <sheetName val="karris - 3.10.2"/>
      <sheetName val="karris - 4.1"/>
      <sheetName val="karris - 4.2"/>
      <sheetName val="karris - 4.3"/>
      <sheetName val="karris - 4.18"/>
      <sheetName val="karris - 5.6"/>
      <sheetName val="karris - 5.7"/>
      <sheetName val="karris - 5.8"/>
      <sheetName val="karris - 5.9"/>
      <sheetName val="karris - 5.16"/>
      <sheetName val="karris - 5.13.8"/>
      <sheetName val="karris - 7.10"/>
      <sheetName val="karris - 7.11"/>
      <sheetName val="karris - 7.12"/>
      <sheetName val="karris - 7.13"/>
      <sheetName val="karris - 7.14a"/>
      <sheetName val="karris - 7.14b"/>
      <sheetName val="karris - 7.15"/>
      <sheetName val="karris - s&amp;s - 4.3"/>
      <sheetName val="karris - s&amp;s - 5.2.c"/>
      <sheetName val="karris - s&amp;s - 5.2.d"/>
      <sheetName val="karris - s&amp;s - 5.2.e"/>
      <sheetName val="karris - s&amp;s - 11.2.1 - PB"/>
      <sheetName val="karris - s&amp;s - 11.2.2 - PA"/>
      <sheetName val="karris - s&amp;s - 11.2.3 - PF"/>
      <sheetName val="karris - s&amp;s - 11.2.3 - RF"/>
      <sheetName val="lognormal distr - errado!"/>
      <sheetName val="lognormal distr - simtool"/>
      <sheetName val="mecânica celeste - I"/>
      <sheetName val="mecânica celeste - II"/>
      <sheetName val="mcmahon - 1"/>
      <sheetName val="mcmahon - 2"/>
      <sheetName val="noceti - ex.1"/>
      <sheetName val="noceti - ex.3"/>
      <sheetName val="noceti - gráficos - 1.5.1"/>
      <sheetName val="polinômios"/>
      <sheetName val="root-loc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1">
          <cell r="G21">
            <v>2</v>
          </cell>
        </row>
        <row r="22">
          <cell r="G22">
            <v>2</v>
          </cell>
        </row>
        <row r="23">
          <cell r="G23">
            <v>1.8708286933869707</v>
          </cell>
        </row>
        <row r="24">
          <cell r="B24">
            <v>1</v>
          </cell>
          <cell r="G24">
            <v>2</v>
          </cell>
        </row>
        <row r="25">
          <cell r="B25">
            <v>0.25</v>
          </cell>
        </row>
        <row r="26">
          <cell r="B26">
            <v>1</v>
          </cell>
        </row>
        <row r="27">
          <cell r="D27">
            <v>1.8708286933869707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>
        <row r="2">
          <cell r="D2">
            <v>105.07454435286004</v>
          </cell>
          <cell r="E2">
            <v>49.57701987408295</v>
          </cell>
        </row>
        <row r="3">
          <cell r="D3">
            <v>53.480065293266293</v>
          </cell>
          <cell r="E3">
            <v>55.365651526938876</v>
          </cell>
        </row>
        <row r="6">
          <cell r="D6">
            <v>170</v>
          </cell>
          <cell r="E6">
            <v>0</v>
          </cell>
        </row>
      </sheetData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>
        <row r="3">
          <cell r="B3">
            <v>1</v>
          </cell>
          <cell r="C3">
            <v>2</v>
          </cell>
        </row>
      </sheetData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>
        <row r="1">
          <cell r="C1">
            <v>1</v>
          </cell>
        </row>
        <row r="2">
          <cell r="C2">
            <v>1</v>
          </cell>
        </row>
        <row r="3">
          <cell r="C3">
            <v>0.25</v>
          </cell>
        </row>
      </sheetData>
      <sheetData sheetId="111"/>
      <sheetData sheetId="1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r rand var - via formula"/>
    </sheetNames>
    <sheetDataSet>
      <sheetData sheetId="0">
        <row r="4">
          <cell r="C4">
            <v>0.85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/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1"/>
  <dimension ref="A1:Y53"/>
  <sheetViews>
    <sheetView tabSelected="1" workbookViewId="0">
      <selection activeCell="C8" sqref="C8"/>
    </sheetView>
  </sheetViews>
  <sheetFormatPr defaultRowHeight="15" x14ac:dyDescent="0.25"/>
  <cols>
    <col min="10" max="24" width="9.140625" hidden="1" customWidth="1"/>
  </cols>
  <sheetData>
    <row r="1" spans="1:25" x14ac:dyDescent="0.25">
      <c r="A1" t="s">
        <v>38</v>
      </c>
      <c r="D1" s="19" t="s">
        <v>37</v>
      </c>
      <c r="E1" s="19" t="s">
        <v>36</v>
      </c>
      <c r="F1" s="17" t="s">
        <v>35</v>
      </c>
      <c r="G1" s="22">
        <v>0.01</v>
      </c>
      <c r="H1" t="s">
        <v>34</v>
      </c>
    </row>
    <row r="2" spans="1:25" x14ac:dyDescent="0.25">
      <c r="D2" s="18">
        <v>0.1</v>
      </c>
      <c r="E2" s="18">
        <v>0.2</v>
      </c>
      <c r="F2" s="17" t="s">
        <v>33</v>
      </c>
      <c r="G2" s="22">
        <v>0</v>
      </c>
      <c r="H2" t="s">
        <v>32</v>
      </c>
    </row>
    <row r="3" spans="1:25" x14ac:dyDescent="0.25">
      <c r="F3" s="17" t="s">
        <v>31</v>
      </c>
      <c r="G3" s="23">
        <f ca="1">VLOOKUP(G1,$A$13:$B$53,2)</f>
        <v>0</v>
      </c>
      <c r="H3" t="s">
        <v>30</v>
      </c>
    </row>
    <row r="4" spans="1:25" x14ac:dyDescent="0.25">
      <c r="A4" t="s">
        <v>29</v>
      </c>
      <c r="F4" s="17"/>
      <c r="G4" s="16"/>
    </row>
    <row r="5" spans="1:25" x14ac:dyDescent="0.25">
      <c r="A5" t="s">
        <v>28</v>
      </c>
      <c r="F5" s="17"/>
      <c r="G5" s="16"/>
    </row>
    <row r="6" spans="1:25" x14ac:dyDescent="0.25">
      <c r="B6" t="s">
        <v>27</v>
      </c>
      <c r="F6" s="17"/>
      <c r="G6" s="16"/>
    </row>
    <row r="7" spans="1:25" x14ac:dyDescent="0.25">
      <c r="B7" t="s">
        <v>26</v>
      </c>
      <c r="F7" s="17"/>
      <c r="G7" s="16"/>
    </row>
    <row r="8" spans="1:25" x14ac:dyDescent="0.25">
      <c r="B8" t="s">
        <v>42</v>
      </c>
      <c r="F8" s="17"/>
      <c r="G8" s="16"/>
    </row>
    <row r="9" spans="1:25" x14ac:dyDescent="0.25">
      <c r="B9" t="s">
        <v>25</v>
      </c>
      <c r="F9" s="17"/>
      <c r="G9" s="16"/>
    </row>
    <row r="10" spans="1:25" x14ac:dyDescent="0.25">
      <c r="D10" s="18" t="s">
        <v>24</v>
      </c>
      <c r="E10" s="18" t="s">
        <v>23</v>
      </c>
      <c r="F10" s="17"/>
      <c r="G10" s="16"/>
    </row>
    <row r="11" spans="1:25" x14ac:dyDescent="0.25">
      <c r="E11" s="14" t="s">
        <v>22</v>
      </c>
      <c r="F11" s="15" t="s">
        <v>21</v>
      </c>
      <c r="G11" s="14" t="s">
        <v>20</v>
      </c>
      <c r="H11" s="14" t="s">
        <v>19</v>
      </c>
      <c r="I11" s="15" t="s">
        <v>18</v>
      </c>
      <c r="J11" s="14" t="s">
        <v>17</v>
      </c>
      <c r="K11" s="14" t="s">
        <v>16</v>
      </c>
      <c r="L11" s="15" t="s">
        <v>15</v>
      </c>
      <c r="M11" s="14" t="s">
        <v>14</v>
      </c>
      <c r="N11" s="14" t="s">
        <v>13</v>
      </c>
      <c r="O11" s="15" t="s">
        <v>12</v>
      </c>
      <c r="P11" s="14" t="s">
        <v>11</v>
      </c>
      <c r="Q11" s="14" t="s">
        <v>10</v>
      </c>
      <c r="R11" s="15" t="s">
        <v>9</v>
      </c>
      <c r="S11" s="14" t="s">
        <v>8</v>
      </c>
      <c r="T11" s="15" t="s">
        <v>7</v>
      </c>
      <c r="U11" s="14" t="s">
        <v>6</v>
      </c>
      <c r="V11" s="14" t="s">
        <v>5</v>
      </c>
      <c r="W11" s="15" t="s">
        <v>4</v>
      </c>
      <c r="X11" s="14" t="s">
        <v>3</v>
      </c>
      <c r="Y11" s="14" t="s">
        <v>2</v>
      </c>
    </row>
    <row r="12" spans="1:25" x14ac:dyDescent="0.25">
      <c r="A12" t="s">
        <v>1</v>
      </c>
      <c r="B12" t="s">
        <v>0</v>
      </c>
      <c r="D12" s="13">
        <f ca="1">G3</f>
        <v>0</v>
      </c>
      <c r="E12" s="12">
        <v>1E-3</v>
      </c>
      <c r="F12" s="12">
        <v>0.05</v>
      </c>
      <c r="G12" s="12">
        <v>0.1</v>
      </c>
      <c r="H12" s="12">
        <v>0.15</v>
      </c>
      <c r="I12" s="12">
        <v>0.2</v>
      </c>
      <c r="J12" s="12">
        <v>0.25</v>
      </c>
      <c r="K12" s="12">
        <v>0.3</v>
      </c>
      <c r="L12" s="12">
        <v>0.35</v>
      </c>
      <c r="M12" s="12">
        <v>0.4</v>
      </c>
      <c r="N12" s="12">
        <v>0.45</v>
      </c>
      <c r="O12" s="12">
        <v>0.5</v>
      </c>
      <c r="P12" s="12">
        <v>0.55000000000000004</v>
      </c>
      <c r="Q12" s="12">
        <v>0.6</v>
      </c>
      <c r="R12" s="12">
        <v>0.65</v>
      </c>
      <c r="S12" s="12">
        <v>0.7</v>
      </c>
      <c r="T12" s="12">
        <v>0.75</v>
      </c>
      <c r="U12" s="12">
        <v>0.8</v>
      </c>
      <c r="V12" s="12">
        <v>0.85</v>
      </c>
      <c r="W12" s="12">
        <v>0.9</v>
      </c>
      <c r="X12" s="12">
        <v>0.95</v>
      </c>
      <c r="Y12" s="12">
        <v>1</v>
      </c>
    </row>
    <row r="13" spans="1:25" x14ac:dyDescent="0.25">
      <c r="A13" s="5">
        <v>0</v>
      </c>
      <c r="B13" s="4">
        <f>G2</f>
        <v>0</v>
      </c>
      <c r="D13" s="3">
        <v>0</v>
      </c>
      <c r="E13" s="11">
        <f t="dataTable" ref="E13:Y53" dt2D="1" dtr="0" r1="G2" r2="G1" ca="1"/>
        <v>1E-3</v>
      </c>
      <c r="F13" s="10">
        <v>0.05</v>
      </c>
      <c r="G13" s="10">
        <v>0.1</v>
      </c>
      <c r="H13" s="10">
        <v>0.15</v>
      </c>
      <c r="I13" s="10">
        <v>0.2</v>
      </c>
      <c r="J13" s="7">
        <v>0.25</v>
      </c>
      <c r="K13" s="7">
        <v>0.3</v>
      </c>
      <c r="L13" s="7">
        <v>0.35</v>
      </c>
      <c r="M13" s="7">
        <v>0.4</v>
      </c>
      <c r="N13" s="7">
        <v>0.45</v>
      </c>
      <c r="O13" s="7">
        <v>0.5</v>
      </c>
      <c r="P13" s="7">
        <v>0.55000000000000004</v>
      </c>
      <c r="Q13" s="7">
        <v>0.6</v>
      </c>
      <c r="R13" s="7">
        <v>0.65</v>
      </c>
      <c r="S13" s="7">
        <v>0.7</v>
      </c>
      <c r="T13" s="7">
        <v>0.75</v>
      </c>
      <c r="U13" s="7">
        <v>0.8</v>
      </c>
      <c r="V13" s="7">
        <v>0.85</v>
      </c>
      <c r="W13" s="7">
        <v>0.9</v>
      </c>
      <c r="X13" s="7">
        <v>0.95</v>
      </c>
      <c r="Y13" s="6">
        <v>1</v>
      </c>
    </row>
    <row r="14" spans="1:25" x14ac:dyDescent="0.25">
      <c r="A14" s="5">
        <f t="array" aca="1" ref="A14:B14" ca="1">ODE_RK4(A13:B13,$D$2)</f>
        <v>0.1</v>
      </c>
      <c r="B14" s="4">
        <f ca="1"/>
        <v>0</v>
      </c>
      <c r="D14" s="3">
        <f t="shared" ref="D14:D53" si="0">D13+$D$2</f>
        <v>0.1</v>
      </c>
      <c r="E14" s="9">
        <v>1.1051704361100961E-3</v>
      </c>
      <c r="F14" s="7">
        <v>5.5257548624803116E-2</v>
      </c>
      <c r="G14" s="7">
        <v>0.11051311123212072</v>
      </c>
      <c r="H14" s="7">
        <v>0.16576668792131041</v>
      </c>
      <c r="I14" s="7">
        <v>0.22101827879172345</v>
      </c>
      <c r="J14" s="7">
        <v>0.27626788394270468</v>
      </c>
      <c r="K14" s="7">
        <v>0.3315155034735926</v>
      </c>
      <c r="L14" s="7">
        <v>0.38676113748371932</v>
      </c>
      <c r="M14" s="7">
        <v>0.44200478607241073</v>
      </c>
      <c r="N14" s="7">
        <v>0.49724644933898604</v>
      </c>
      <c r="O14" s="7">
        <v>0.55248612738275837</v>
      </c>
      <c r="P14" s="7">
        <v>0.6077238203030344</v>
      </c>
      <c r="Q14" s="7">
        <v>0.6629595281991143</v>
      </c>
      <c r="R14" s="7">
        <v>0.71819325117029231</v>
      </c>
      <c r="S14" s="7">
        <v>0.77342498931585557</v>
      </c>
      <c r="T14" s="7">
        <v>0.82865474273508555</v>
      </c>
      <c r="U14" s="7">
        <v>0.88388251152725705</v>
      </c>
      <c r="V14" s="7">
        <v>0.93910829579163846</v>
      </c>
      <c r="W14" s="7">
        <v>0.99433209562749192</v>
      </c>
      <c r="X14" s="7">
        <v>1.049553911134073</v>
      </c>
      <c r="Y14" s="6">
        <v>1.1047737424106316</v>
      </c>
    </row>
    <row r="15" spans="1:25" x14ac:dyDescent="0.25">
      <c r="A15" s="5">
        <f t="array" aca="1" ref="A15:B15" ca="1">ODE_RK4(A14:B14,$D$2)</f>
        <v>0.2</v>
      </c>
      <c r="B15" s="4">
        <f ca="1"/>
        <v>0</v>
      </c>
      <c r="D15" s="3">
        <f t="shared" si="0"/>
        <v>0.2</v>
      </c>
      <c r="E15" s="9">
        <v>1.2213987837083669E-3</v>
      </c>
      <c r="F15" s="7">
        <v>6.1060662121349599E-2</v>
      </c>
      <c r="G15" s="7">
        <v>0.12210239725417028</v>
      </c>
      <c r="H15" s="7">
        <v>0.18312521417512004</v>
      </c>
      <c r="I15" s="7">
        <v>0.24412912165538808</v>
      </c>
      <c r="J15" s="7">
        <v>0.30511412846069863</v>
      </c>
      <c r="K15" s="7">
        <v>0.36608024335131512</v>
      </c>
      <c r="L15" s="7">
        <v>0.42702747508204397</v>
      </c>
      <c r="M15" s="7">
        <v>0.48795583240223878</v>
      </c>
      <c r="N15" s="7">
        <v>0.5488653240558039</v>
      </c>
      <c r="O15" s="7">
        <v>0.6097559587811987</v>
      </c>
      <c r="P15" s="7">
        <v>0.67062774531144165</v>
      </c>
      <c r="Q15" s="7">
        <v>0.73148069237411373</v>
      </c>
      <c r="R15" s="7">
        <v>0.79231480869136317</v>
      </c>
      <c r="S15" s="7">
        <v>0.8531301029799081</v>
      </c>
      <c r="T15" s="7">
        <v>0.91392658395104243</v>
      </c>
      <c r="U15" s="7">
        <v>0.97470426031063773</v>
      </c>
      <c r="V15" s="7">
        <v>1.0354631407591486</v>
      </c>
      <c r="W15" s="7">
        <v>1.0962032339916161</v>
      </c>
      <c r="X15" s="7">
        <v>1.1569245486976714</v>
      </c>
      <c r="Y15" s="6">
        <v>1.2176270935615405</v>
      </c>
    </row>
    <row r="16" spans="1:25" x14ac:dyDescent="0.25">
      <c r="A16" s="5">
        <f t="array" aca="1" ref="A16:B16" ca="1">ODE_RK4(A15:B15,$D$2)</f>
        <v>0.30000000000000004</v>
      </c>
      <c r="B16" s="4">
        <f ca="1"/>
        <v>0</v>
      </c>
      <c r="D16" s="3">
        <f t="shared" si="0"/>
        <v>0.30000000000000004</v>
      </c>
      <c r="E16" s="9">
        <v>1.3498432575476042E-3</v>
      </c>
      <c r="F16" s="7">
        <v>6.7454847122915176E-2</v>
      </c>
      <c r="G16" s="7">
        <v>0.13483362463665896</v>
      </c>
      <c r="H16" s="7">
        <v>0.20213646109987315</v>
      </c>
      <c r="I16" s="7">
        <v>0.26936348478086652</v>
      </c>
      <c r="J16" s="7">
        <v>0.336514823658423</v>
      </c>
      <c r="K16" s="7">
        <v>0.4035906054226075</v>
      </c>
      <c r="L16" s="7">
        <v>0.47059095747556934</v>
      </c>
      <c r="M16" s="7">
        <v>0.53751600693234292</v>
      </c>
      <c r="N16" s="7">
        <v>0.60436588062164509</v>
      </c>
      <c r="O16" s="7">
        <v>0.67114070508667156</v>
      </c>
      <c r="P16" s="7">
        <v>0.73784060658588924</v>
      </c>
      <c r="Q16" s="7">
        <v>0.8044657110938267</v>
      </c>
      <c r="R16" s="7">
        <v>0.87101614430186225</v>
      </c>
      <c r="S16" s="7">
        <v>0.9374920316190084</v>
      </c>
      <c r="T16" s="7">
        <v>1.0038934981726964</v>
      </c>
      <c r="U16" s="7">
        <v>1.0702206688095539</v>
      </c>
      <c r="V16" s="7">
        <v>1.1364736680961853</v>
      </c>
      <c r="W16" s="7">
        <v>1.2026526203199455</v>
      </c>
      <c r="X16" s="7">
        <v>1.2687576494897124</v>
      </c>
      <c r="Y16" s="6">
        <v>1.3347888793366589</v>
      </c>
    </row>
    <row r="17" spans="1:25" x14ac:dyDescent="0.25">
      <c r="A17" s="5">
        <f t="array" aca="1" ref="A17:B17" ca="1">ODE_RK4(A16:B16,$D$2)</f>
        <v>0.4</v>
      </c>
      <c r="B17" s="4">
        <f ca="1"/>
        <v>0</v>
      </c>
      <c r="D17" s="3">
        <f t="shared" si="0"/>
        <v>0.4</v>
      </c>
      <c r="E17" s="9">
        <v>1.4917811546409409E-3</v>
      </c>
      <c r="F17" s="7">
        <v>7.4483650609429658E-2</v>
      </c>
      <c r="G17" s="7">
        <v>0.14875279790058787</v>
      </c>
      <c r="H17" s="7">
        <v>0.22280836706762053</v>
      </c>
      <c r="I17" s="7">
        <v>0.29665127798562918</v>
      </c>
      <c r="J17" s="7">
        <v>0.37028244524869658</v>
      </c>
      <c r="K17" s="7">
        <v>0.4437027782075908</v>
      </c>
      <c r="L17" s="7">
        <v>0.51691318100715178</v>
      </c>
      <c r="M17" s="7">
        <v>0.58991455262336212</v>
      </c>
      <c r="N17" s="7">
        <v>0.66270778690010446</v>
      </c>
      <c r="O17" s="7">
        <v>0.73529377258561246</v>
      </c>
      <c r="P17" s="7">
        <v>0.8076733933686131</v>
      </c>
      <c r="Q17" s="7">
        <v>0.87984752791416632</v>
      </c>
      <c r="R17" s="7">
        <v>0.95181704989920513</v>
      </c>
      <c r="S17" s="7">
        <v>1.0235828280477761</v>
      </c>
      <c r="T17" s="7">
        <v>1.0951457261659892</v>
      </c>
      <c r="U17" s="7">
        <v>1.1665066031766695</v>
      </c>
      <c r="V17" s="7">
        <v>1.2376663131537264</v>
      </c>
      <c r="W17" s="7">
        <v>1.3086257053562327</v>
      </c>
      <c r="X17" s="7">
        <v>1.3793856242622196</v>
      </c>
      <c r="Y17" s="6">
        <v>1.4499469096021942</v>
      </c>
    </row>
    <row r="18" spans="1:25" x14ac:dyDescent="0.25">
      <c r="A18" s="5">
        <f t="array" aca="1" ref="A18:B18" ca="1">ODE_RK4(A17:B17,$D$2)</f>
        <v>0.5</v>
      </c>
      <c r="B18" s="4">
        <f ca="1"/>
        <v>0</v>
      </c>
      <c r="D18" s="3">
        <f t="shared" si="0"/>
        <v>0.5</v>
      </c>
      <c r="E18" s="9">
        <v>1.6486202344615241E-3</v>
      </c>
      <c r="F18" s="7">
        <v>8.2185768357394606E-2</v>
      </c>
      <c r="G18" s="7">
        <v>0.1638740393192091</v>
      </c>
      <c r="H18" s="7">
        <v>0.24506931634948875</v>
      </c>
      <c r="I18" s="7">
        <v>0.32577604869210464</v>
      </c>
      <c r="J18" s="7">
        <v>0.40599863218313376</v>
      </c>
      <c r="K18" s="7">
        <v>0.48574141004876387</v>
      </c>
      <c r="L18" s="7">
        <v>0.56500867368902008</v>
      </c>
      <c r="M18" s="7">
        <v>0.64380466344760279</v>
      </c>
      <c r="N18" s="7">
        <v>0.72213356936811812</v>
      </c>
      <c r="O18" s="7">
        <v>0.7999995319369837</v>
      </c>
      <c r="P18" s="7">
        <v>0.87740664281327319</v>
      </c>
      <c r="Q18" s="7">
        <v>0.95435894554576861</v>
      </c>
      <c r="R18" s="7">
        <v>1.0308604362774765</v>
      </c>
      <c r="S18" s="7">
        <v>1.1069150644378616</v>
      </c>
      <c r="T18" s="7">
        <v>1.1825267334230452</v>
      </c>
      <c r="U18" s="7">
        <v>1.2576993012642055</v>
      </c>
      <c r="V18" s="7">
        <v>1.3324365812844223</v>
      </c>
      <c r="W18" s="7">
        <v>1.4067423427441907</v>
      </c>
      <c r="X18" s="7">
        <v>1.4806203114758314</v>
      </c>
      <c r="Y18" s="6">
        <v>1.5540741705070178</v>
      </c>
    </row>
    <row r="19" spans="1:25" x14ac:dyDescent="0.25">
      <c r="A19" s="5">
        <f t="array" aca="1" ref="A19:B19" ca="1">ODE_RK4(A18:B18,$D$2)</f>
        <v>0.6</v>
      </c>
      <c r="B19" s="4">
        <f ca="1"/>
        <v>0</v>
      </c>
      <c r="D19" s="3">
        <f t="shared" si="0"/>
        <v>0.6</v>
      </c>
      <c r="E19" s="9">
        <v>1.8219108871153512E-3</v>
      </c>
      <c r="F19" s="7">
        <v>9.0591077451329757E-2</v>
      </c>
      <c r="G19" s="7">
        <v>0.18016408455927521</v>
      </c>
      <c r="H19" s="7">
        <v>0.26873608675466865</v>
      </c>
      <c r="I19" s="7">
        <v>0.3563237700699986</v>
      </c>
      <c r="J19" s="7">
        <v>0.44294345161798554</v>
      </c>
      <c r="K19" s="7">
        <v>0.52861108972580872</v>
      </c>
      <c r="L19" s="7">
        <v>0.61334229373803728</v>
      </c>
      <c r="M19" s="7">
        <v>0.69715233350076389</v>
      </c>
      <c r="N19" s="7">
        <v>0.78005614853890204</v>
      </c>
      <c r="O19" s="7">
        <v>0.86206835693811346</v>
      </c>
      <c r="P19" s="7">
        <v>0.94320326394233323</v>
      </c>
      <c r="Q19" s="7">
        <v>1.0234748702774137</v>
      </c>
      <c r="R19" s="7">
        <v>1.1028968802109622</v>
      </c>
      <c r="S19" s="7">
        <v>1.181482709358032</v>
      </c>
      <c r="T19" s="7">
        <v>1.2592454922419256</v>
      </c>
      <c r="U19" s="7">
        <v>1.3361980896189871</v>
      </c>
      <c r="V19" s="7">
        <v>1.4123530955759014</v>
      </c>
      <c r="W19" s="7">
        <v>1.4877228444076667</v>
      </c>
      <c r="X19" s="7">
        <v>1.562319417284076</v>
      </c>
      <c r="Y19" s="6">
        <v>1.636154648712228</v>
      </c>
    </row>
    <row r="20" spans="1:25" x14ac:dyDescent="0.25">
      <c r="A20" s="5">
        <f t="array" aca="1" ref="A20:B20" ca="1">ODE_RK4(A19:B19,$D$2)</f>
        <v>0.7</v>
      </c>
      <c r="B20" s="4">
        <f ca="1"/>
        <v>0</v>
      </c>
      <c r="D20" s="3">
        <f t="shared" si="0"/>
        <v>0.7</v>
      </c>
      <c r="E20" s="9">
        <v>2.0133590403761305E-3</v>
      </c>
      <c r="F20" s="7">
        <v>9.9715402570332137E-2</v>
      </c>
      <c r="G20" s="7">
        <v>0.19752363508171678</v>
      </c>
      <c r="H20" s="7">
        <v>0.29347889336553923</v>
      </c>
      <c r="I20" s="7">
        <v>0.38763333876284461</v>
      </c>
      <c r="J20" s="7">
        <v>0.48003719267616857</v>
      </c>
      <c r="K20" s="7">
        <v>0.5707388259050763</v>
      </c>
      <c r="L20" s="7">
        <v>0.65978484309701924</v>
      </c>
      <c r="M20" s="7">
        <v>0.74722016262136215</v>
      </c>
      <c r="N20" s="7">
        <v>0.83308809215255275</v>
      </c>
      <c r="O20" s="7">
        <v>0.91743040022826516</v>
      </c>
      <c r="P20" s="7">
        <v>1.0002873840297566</v>
      </c>
      <c r="Q20" s="7">
        <v>1.0816979336145509</v>
      </c>
      <c r="R20" s="7">
        <v>1.1616995928157392</v>
      </c>
      <c r="S20" s="7">
        <v>1.2403286170075718</v>
      </c>
      <c r="T20" s="7">
        <v>1.3176200279235175</v>
      </c>
      <c r="U20" s="7">
        <v>1.3936076657004617</v>
      </c>
      <c r="V20" s="7">
        <v>1.4683242383111639</v>
      </c>
      <c r="W20" s="7">
        <v>1.5418013685363865</v>
      </c>
      <c r="X20" s="7">
        <v>1.614069638618179</v>
      </c>
      <c r="Y20" s="6">
        <v>1.6851586327266117</v>
      </c>
    </row>
    <row r="21" spans="1:25" x14ac:dyDescent="0.25">
      <c r="A21" s="5">
        <f t="array" aca="1" ref="A21:B21" ca="1">ODE_RK4(A20:B20,$D$2)</f>
        <v>0.79999999999999993</v>
      </c>
      <c r="B21" s="4">
        <f ca="1"/>
        <v>0</v>
      </c>
      <c r="D21" s="3">
        <f t="shared" si="0"/>
        <v>0.79999999999999993</v>
      </c>
      <c r="E21" s="9">
        <v>2.2248397120489677E-3</v>
      </c>
      <c r="F21" s="7">
        <v>0.10955390017529908</v>
      </c>
      <c r="G21" s="7">
        <v>0.21576674017440806</v>
      </c>
      <c r="H21" s="7">
        <v>0.31878906004067359</v>
      </c>
      <c r="I21" s="7">
        <v>0.41876248880670808</v>
      </c>
      <c r="J21" s="7">
        <v>0.51582039413700087</v>
      </c>
      <c r="K21" s="7">
        <v>0.61008847600123683</v>
      </c>
      <c r="L21" s="7">
        <v>0.70168530991433653</v>
      </c>
      <c r="M21" s="7">
        <v>0.79072284466387899</v>
      </c>
      <c r="N21" s="7">
        <v>0.87730685890581872</v>
      </c>
      <c r="O21" s="7">
        <v>0.96153738053515525</v>
      </c>
      <c r="P21" s="7">
        <v>1.0435090723207316</v>
      </c>
      <c r="Q21" s="7">
        <v>1.1233115869252668</v>
      </c>
      <c r="R21" s="7">
        <v>1.2010298941066244</v>
      </c>
      <c r="S21" s="7">
        <v>1.2767445826087274</v>
      </c>
      <c r="T21" s="7">
        <v>1.3505321389957257</v>
      </c>
      <c r="U21" s="7">
        <v>1.4224652054568796</v>
      </c>
      <c r="V21" s="7">
        <v>1.4926128184086678</v>
      </c>
      <c r="W21" s="7">
        <v>1.5610406295417427</v>
      </c>
      <c r="X21" s="7">
        <v>1.6278111108009117</v>
      </c>
      <c r="Y21" s="6">
        <v>1.6929837446440024</v>
      </c>
    </row>
    <row r="22" spans="1:25" x14ac:dyDescent="0.25">
      <c r="A22" s="5">
        <f t="array" aca="1" ref="A22:B22" ca="1">ODE_RK4(A21:B21,$D$2)</f>
        <v>0.89999999999999991</v>
      </c>
      <c r="B22" s="4">
        <f ca="1"/>
        <v>0</v>
      </c>
      <c r="D22" s="3">
        <f t="shared" si="0"/>
        <v>0.89999999999999991</v>
      </c>
      <c r="E22" s="9">
        <v>2.4584110543474178E-3</v>
      </c>
      <c r="F22" s="7">
        <v>0.12007310781958438</v>
      </c>
      <c r="G22" s="7">
        <v>0.23460079502228307</v>
      </c>
      <c r="H22" s="7">
        <v>0.34395854671859238</v>
      </c>
      <c r="I22" s="7">
        <v>0.44848869489510712</v>
      </c>
      <c r="J22" s="7">
        <v>0.5485039982572455</v>
      </c>
      <c r="K22" s="7">
        <v>0.64429076821877074</v>
      </c>
      <c r="L22" s="7">
        <v>0.73611160671370046</v>
      </c>
      <c r="M22" s="7">
        <v>0.82420781088161232</v>
      </c>
      <c r="N22" s="7">
        <v>0.90880149094400775</v>
      </c>
      <c r="O22" s="7">
        <v>0.99009744038147507</v>
      </c>
      <c r="P22" s="7">
        <v>1.0682847915491385</v>
      </c>
      <c r="Q22" s="7">
        <v>1.1435384849008856</v>
      </c>
      <c r="R22" s="7">
        <v>1.2160205758468852</v>
      </c>
      <c r="S22" s="7">
        <v>1.2858813997961771</v>
      </c>
      <c r="T22" s="7">
        <v>1.3532606130175036</v>
      </c>
      <c r="U22" s="7">
        <v>1.4182881244906482</v>
      </c>
      <c r="V22" s="7">
        <v>1.4810849318391075</v>
      </c>
      <c r="W22" s="7">
        <v>1.5417638726690681</v>
      </c>
      <c r="X22" s="7">
        <v>1.6004303011371774</v>
      </c>
      <c r="Y22" s="6">
        <v>1.6571826982876052</v>
      </c>
    </row>
    <row r="23" spans="1:25" x14ac:dyDescent="0.25">
      <c r="A23" s="5">
        <f t="array" aca="1" ref="A23:B23" ca="1">ODE_RK4(A22:B22,$D$2)</f>
        <v>0.99999999999999989</v>
      </c>
      <c r="B23" s="4">
        <f ca="1"/>
        <v>0</v>
      </c>
      <c r="D23" s="3">
        <f t="shared" si="0"/>
        <v>0.99999999999999989</v>
      </c>
      <c r="E23" s="9">
        <v>2.7163286576796968E-3</v>
      </c>
      <c r="F23" s="7">
        <v>0.13120199251808459</v>
      </c>
      <c r="G23" s="7">
        <v>0.25361153289747335</v>
      </c>
      <c r="H23" s="7">
        <v>0.36808378727988839</v>
      </c>
      <c r="I23" s="7">
        <v>0.47536650014162224</v>
      </c>
      <c r="J23" s="7">
        <v>0.57611634792427779</v>
      </c>
      <c r="K23" s="7">
        <v>0.67091239397591784</v>
      </c>
      <c r="L23" s="7">
        <v>0.76026722673278324</v>
      </c>
      <c r="M23" s="7">
        <v>0.84463623338804994</v>
      </c>
      <c r="N23" s="7">
        <v>0.92442536320496849</v>
      </c>
      <c r="O23" s="7">
        <v>0.99999765982216315</v>
      </c>
      <c r="P23" s="7">
        <v>1.0716787843952427</v>
      </c>
      <c r="Q23" s="7">
        <v>1.139761706889145</v>
      </c>
      <c r="R23" s="7">
        <v>1.2045107081098583</v>
      </c>
      <c r="S23" s="7">
        <v>1.2661648078031265</v>
      </c>
      <c r="T23" s="7">
        <v>1.3249407126112969</v>
      </c>
      <c r="U23" s="7">
        <v>1.3810353605630437</v>
      </c>
      <c r="V23" s="7">
        <v>1.4346281250893664</v>
      </c>
      <c r="W23" s="7">
        <v>1.4858827305639588</v>
      </c>
      <c r="X23" s="7">
        <v>1.5349489224835482</v>
      </c>
      <c r="Y23" s="6">
        <v>1.5819639281925502</v>
      </c>
    </row>
    <row r="24" spans="1:25" x14ac:dyDescent="0.25">
      <c r="A24" s="5">
        <f t="array" aca="1" ref="A24:B24" ca="1">ODE_RK4(A23:B23,$D$2)</f>
        <v>1.0999999999999999</v>
      </c>
      <c r="B24" s="4">
        <f ca="1"/>
        <v>0</v>
      </c>
      <c r="D24" s="3">
        <f t="shared" si="0"/>
        <v>1.0999999999999999</v>
      </c>
      <c r="E24" s="9">
        <v>3.00105977744201E-3</v>
      </c>
      <c r="F24" s="7">
        <v>0.14282276602480684</v>
      </c>
      <c r="G24" s="7">
        <v>0.2722591284593085</v>
      </c>
      <c r="H24" s="7">
        <v>0.39010681958231969</v>
      </c>
      <c r="I24" s="7">
        <v>0.49785545259351172</v>
      </c>
      <c r="J24" s="7">
        <v>0.59674982249402209</v>
      </c>
      <c r="K24" s="7">
        <v>0.6878382184278703</v>
      </c>
      <c r="L24" s="7">
        <v>0.77200972987090632</v>
      </c>
      <c r="M24" s="7">
        <v>0.8500233644971551</v>
      </c>
      <c r="N24" s="7">
        <v>0.92253100038408564</v>
      </c>
      <c r="O24" s="7">
        <v>0.99009564377860459</v>
      </c>
      <c r="P24" s="7">
        <v>1.0532060757095936</v>
      </c>
      <c r="Q24" s="7">
        <v>1.1122886941769354</v>
      </c>
      <c r="R24" s="7">
        <v>1.1677171590505986</v>
      </c>
      <c r="S24" s="7">
        <v>1.2198203011007156</v>
      </c>
      <c r="T24" s="7">
        <v>1.2688886490615856</v>
      </c>
      <c r="U24" s="7">
        <v>1.3151798485013322</v>
      </c>
      <c r="V24" s="7">
        <v>1.3589231859875877</v>
      </c>
      <c r="W24" s="7">
        <v>1.4003233862911353</v>
      </c>
      <c r="X24" s="7">
        <v>1.4395638153626102</v>
      </c>
      <c r="Y24" s="6">
        <v>1.4768091948210311</v>
      </c>
    </row>
    <row r="25" spans="1:25" x14ac:dyDescent="0.25">
      <c r="A25" s="5">
        <f t="array" aca="1" ref="A25:B25" ca="1">ODE_RK4(A24:B24,$D$2)</f>
        <v>1.2</v>
      </c>
      <c r="B25" s="4">
        <f ca="1"/>
        <v>0</v>
      </c>
      <c r="D25" s="3">
        <f t="shared" si="0"/>
        <v>1.2</v>
      </c>
      <c r="E25" s="9">
        <v>3.3152970131910989E-3</v>
      </c>
      <c r="F25" s="7">
        <v>0.15476280283538474</v>
      </c>
      <c r="G25" s="7">
        <v>0.28989234520281354</v>
      </c>
      <c r="H25" s="7">
        <v>0.40890175846046434</v>
      </c>
      <c r="I25" s="7">
        <v>0.51451316411968107</v>
      </c>
      <c r="J25" s="7">
        <v>0.60886844329064915</v>
      </c>
      <c r="K25" s="7">
        <v>0.6936760240169958</v>
      </c>
      <c r="L25" s="7">
        <v>0.77031525309043902</v>
      </c>
      <c r="M25" s="7">
        <v>0.83991199402733907</v>
      </c>
      <c r="N25" s="7">
        <v>0.90339429939683757</v>
      </c>
      <c r="O25" s="7">
        <v>0.96153402707242952</v>
      </c>
      <c r="P25" s="7">
        <v>1.0149783737512399</v>
      </c>
      <c r="Q25" s="7">
        <v>1.0642740652469547</v>
      </c>
      <c r="R25" s="7">
        <v>1.1098861241488116</v>
      </c>
      <c r="S25" s="7">
        <v>1.1522125820048013</v>
      </c>
      <c r="T25" s="7">
        <v>1.1915961229318668</v>
      </c>
      <c r="U25" s="7">
        <v>1.2283333802905221</v>
      </c>
      <c r="V25" s="7">
        <v>1.2626824204042695</v>
      </c>
      <c r="W25" s="7">
        <v>1.2948688128203245</v>
      </c>
      <c r="X25" s="7">
        <v>1.3250905890669291</v>
      </c>
      <c r="Y25" s="6">
        <v>1.353522320321721</v>
      </c>
    </row>
    <row r="26" spans="1:25" x14ac:dyDescent="0.25">
      <c r="A26" s="5">
        <f t="array" aca="1" ref="A26:B26" ca="1">ODE_RK4(A25:B25,$D$2)</f>
        <v>1.3</v>
      </c>
      <c r="B26" s="4">
        <f ca="1"/>
        <v>0</v>
      </c>
      <c r="D26" s="3">
        <f t="shared" si="0"/>
        <v>1.3</v>
      </c>
      <c r="E26" s="9">
        <v>3.6619707980880167E-3</v>
      </c>
      <c r="F26" s="7">
        <v>0.16678961311894638</v>
      </c>
      <c r="G26" s="7">
        <v>0.30578635577419744</v>
      </c>
      <c r="H26" s="7">
        <v>0.42340273255797206</v>
      </c>
      <c r="I26" s="7">
        <v>0.52421941552253692</v>
      </c>
      <c r="J26" s="7">
        <v>0.61159577208968785</v>
      </c>
      <c r="K26" s="7">
        <v>0.68805147220871687</v>
      </c>
      <c r="L26" s="7">
        <v>0.75551342353194073</v>
      </c>
      <c r="M26" s="7">
        <v>0.81548040295551127</v>
      </c>
      <c r="N26" s="7">
        <v>0.86913570498589643</v>
      </c>
      <c r="O26" s="7">
        <v>0.91742599978044248</v>
      </c>
      <c r="P26" s="7">
        <v>0.96111766336741677</v>
      </c>
      <c r="Q26" s="7">
        <v>1.0008377472814007</v>
      </c>
      <c r="R26" s="7">
        <v>1.0371042620476005</v>
      </c>
      <c r="S26" s="7">
        <v>1.0703488909225283</v>
      </c>
      <c r="T26" s="7">
        <v>1.1009342531391311</v>
      </c>
      <c r="U26" s="7">
        <v>1.1291671838961586</v>
      </c>
      <c r="V26" s="7">
        <v>1.155309063643756</v>
      </c>
      <c r="W26" s="7">
        <v>1.179583934238539</v>
      </c>
      <c r="X26" s="7">
        <v>1.2021849360988766</v>
      </c>
      <c r="Y26" s="6">
        <v>1.2232794580747961</v>
      </c>
    </row>
    <row r="27" spans="1:25" x14ac:dyDescent="0.25">
      <c r="A27" s="5">
        <f t="array" aca="1" ref="A27:B27" ca="1">ODE_RK4(A26:B26,$D$2)</f>
        <v>1.4000000000000001</v>
      </c>
      <c r="B27" s="4">
        <f ca="1"/>
        <v>0</v>
      </c>
      <c r="D27" s="3">
        <f t="shared" si="0"/>
        <v>1.4000000000000001</v>
      </c>
      <c r="E27" s="9">
        <v>4.044259840170406E-3</v>
      </c>
      <c r="F27" s="7">
        <v>0.17861129599580094</v>
      </c>
      <c r="G27" s="7">
        <v>0.31920544861893307</v>
      </c>
      <c r="H27" s="7">
        <v>0.43275265413312874</v>
      </c>
      <c r="I27" s="7">
        <v>0.52637272056541984</v>
      </c>
      <c r="J27" s="7">
        <v>0.60488811252090946</v>
      </c>
      <c r="K27" s="7">
        <v>0.67168139833665208</v>
      </c>
      <c r="L27" s="7">
        <v>0.72919533093837208</v>
      </c>
      <c r="M27" s="7">
        <v>0.77923804583894762</v>
      </c>
      <c r="N27" s="7">
        <v>0.82317657836895675</v>
      </c>
      <c r="O27" s="7">
        <v>0.86206363878253955</v>
      </c>
      <c r="P27" s="7">
        <v>0.89672304096541855</v>
      </c>
      <c r="Q27" s="7">
        <v>0.92780870596295451</v>
      </c>
      <c r="R27" s="7">
        <v>0.95584630909704194</v>
      </c>
      <c r="S27" s="7">
        <v>0.98126324874524784</v>
      </c>
      <c r="T27" s="7">
        <v>1.0044105867066937</v>
      </c>
      <c r="U27" s="7">
        <v>1.025579362094422</v>
      </c>
      <c r="V27" s="7">
        <v>1.0450128930872327</v>
      </c>
      <c r="W27" s="7">
        <v>1.062916172370775</v>
      </c>
      <c r="X27" s="7">
        <v>1.0794631269650468</v>
      </c>
      <c r="Y27" s="6">
        <v>1.0948022880930006</v>
      </c>
    </row>
    <row r="28" spans="1:25" x14ac:dyDescent="0.25">
      <c r="A28" s="5">
        <f t="array" aca="1" ref="A28:B28" ca="1">ODE_RK4(A27:B27,$D$2)</f>
        <v>1.5000000000000002</v>
      </c>
      <c r="B28" s="4">
        <f ca="1"/>
        <v>0</v>
      </c>
      <c r="D28" s="8">
        <f t="shared" si="0"/>
        <v>1.5000000000000002</v>
      </c>
      <c r="E28" s="7">
        <v>4.4655983877844576E-3</v>
      </c>
      <c r="F28" s="7">
        <v>0.18988492943000249</v>
      </c>
      <c r="G28" s="7">
        <v>0.32948446337141546</v>
      </c>
      <c r="H28" s="7">
        <v>0.4364376933961901</v>
      </c>
      <c r="I28" s="7">
        <v>0.52099746806533864</v>
      </c>
      <c r="J28" s="7">
        <v>0.58953021697581287</v>
      </c>
      <c r="K28" s="7">
        <v>0.64619802565203588</v>
      </c>
      <c r="L28" s="7">
        <v>0.69383667944904304</v>
      </c>
      <c r="M28" s="7">
        <v>0.73444497783058993</v>
      </c>
      <c r="N28" s="7">
        <v>0.76947230647252784</v>
      </c>
      <c r="O28" s="7">
        <v>0.79999526860451264</v>
      </c>
      <c r="P28" s="7">
        <v>0.82683029145074061</v>
      </c>
      <c r="Q28" s="7">
        <v>0.85060774067448919</v>
      </c>
      <c r="R28" s="7">
        <v>0.87182206588388478</v>
      </c>
      <c r="S28" s="7">
        <v>0.89086655819015537</v>
      </c>
      <c r="T28" s="7">
        <v>0.90805796075117917</v>
      </c>
      <c r="U28" s="7">
        <v>0.92365422790575047</v>
      </c>
      <c r="V28" s="7">
        <v>0.93786755947999267</v>
      </c>
      <c r="W28" s="7">
        <v>0.95087411452762827</v>
      </c>
      <c r="X28" s="7">
        <v>0.96282135121578283</v>
      </c>
      <c r="Y28" s="6">
        <v>0.9738336431718766</v>
      </c>
    </row>
    <row r="29" spans="1:25" x14ac:dyDescent="0.25">
      <c r="A29" s="5">
        <f t="array" aca="1" ref="A29:B29" ca="1">ODE_RK4(A28:B28,$D$2)</f>
        <v>1.6000000000000003</v>
      </c>
      <c r="B29" s="4">
        <f ca="1"/>
        <v>0</v>
      </c>
      <c r="D29" s="3">
        <f t="shared" si="0"/>
        <v>1.6000000000000003</v>
      </c>
      <c r="E29" s="7">
        <v>4.9296788615770179E-3</v>
      </c>
      <c r="F29" s="7">
        <v>0.20023460683413885</v>
      </c>
      <c r="G29" s="7">
        <v>0.33611458816399165</v>
      </c>
      <c r="H29" s="7">
        <v>0.43436931372438237</v>
      </c>
      <c r="I29" s="7">
        <v>0.50872583215659495</v>
      </c>
      <c r="J29" s="7">
        <v>0.56695778788274498</v>
      </c>
      <c r="K29" s="7">
        <v>0.61379718378475401</v>
      </c>
      <c r="L29" s="7">
        <v>0.65228946602768512</v>
      </c>
      <c r="M29" s="7">
        <v>0.68448343295791114</v>
      </c>
      <c r="N29" s="7">
        <v>0.7118080976259884</v>
      </c>
      <c r="O29" s="7">
        <v>0.7352905713159108</v>
      </c>
      <c r="P29" s="7">
        <v>0.75568807058359744</v>
      </c>
      <c r="Q29" s="7">
        <v>0.77357110195201206</v>
      </c>
      <c r="R29" s="7">
        <v>0.78937766716885494</v>
      </c>
      <c r="S29" s="7">
        <v>0.80344962088450955</v>
      </c>
      <c r="T29" s="7">
        <v>0.816057679920968</v>
      </c>
      <c r="U29" s="7">
        <v>0.82741901231120718</v>
      </c>
      <c r="V29" s="7">
        <v>0.83770985356266781</v>
      </c>
      <c r="W29" s="7">
        <v>0.84707471654203803</v>
      </c>
      <c r="X29" s="7">
        <v>0.85563322177191259</v>
      </c>
      <c r="Y29" s="6">
        <v>0.86348523581312797</v>
      </c>
    </row>
    <row r="30" spans="1:25" x14ac:dyDescent="0.25">
      <c r="A30" s="5">
        <f t="array" aca="1" ref="A30:B30" ca="1">ODE_RK4(A29:B29,$D$2)</f>
        <v>1.7000000000000004</v>
      </c>
      <c r="B30" s="4">
        <f ca="1"/>
        <v>0</v>
      </c>
      <c r="D30" s="3">
        <f t="shared" si="0"/>
        <v>1.7000000000000004</v>
      </c>
      <c r="E30" s="7">
        <v>5.4404479983640244E-3</v>
      </c>
      <c r="F30" s="7">
        <v>0.20927910896753946</v>
      </c>
      <c r="G30" s="7">
        <v>0.3388139210561637</v>
      </c>
      <c r="H30" s="7">
        <v>0.42688908800386993</v>
      </c>
      <c r="I30" s="7">
        <v>0.49066330524641666</v>
      </c>
      <c r="J30" s="7">
        <v>0.53897472561421567</v>
      </c>
      <c r="K30" s="7">
        <v>0.57683909025305913</v>
      </c>
      <c r="L30" s="7">
        <v>0.60731452526037544</v>
      </c>
      <c r="M30" s="7">
        <v>0.6323716854916811</v>
      </c>
      <c r="N30" s="7">
        <v>0.65333766709477947</v>
      </c>
      <c r="O30" s="7">
        <v>0.67113888526236576</v>
      </c>
      <c r="P30" s="7">
        <v>0.68644167863748085</v>
      </c>
      <c r="Q30" s="7">
        <v>0.6997375890572759</v>
      </c>
      <c r="R30" s="7">
        <v>0.71139715060296804</v>
      </c>
      <c r="S30" s="7">
        <v>0.72170496776352455</v>
      </c>
      <c r="T30" s="7">
        <v>0.73088326004228632</v>
      </c>
      <c r="U30" s="7">
        <v>0.73910806735004808</v>
      </c>
      <c r="V30" s="7">
        <v>0.74652065339166329</v>
      </c>
      <c r="W30" s="7">
        <v>0.75323568900452564</v>
      </c>
      <c r="X30" s="7">
        <v>0.75934722857451098</v>
      </c>
      <c r="Y30" s="6">
        <v>0.76493314402887602</v>
      </c>
    </row>
    <row r="31" spans="1:25" x14ac:dyDescent="0.25">
      <c r="A31" s="5">
        <f t="array" aca="1" ref="A31:B31" ca="1">ODE_RK4(A30:B30,$D$2)</f>
        <v>1.8000000000000005</v>
      </c>
      <c r="B31" s="4">
        <f ca="1"/>
        <v>0</v>
      </c>
      <c r="D31" s="3">
        <f t="shared" si="0"/>
        <v>1.8000000000000005</v>
      </c>
      <c r="E31" s="7">
        <v>6.0020941847020353E-3</v>
      </c>
      <c r="F31" s="7">
        <v>0.21666667181301197</v>
      </c>
      <c r="G31" s="7">
        <v>0.33756454911428402</v>
      </c>
      <c r="H31" s="7">
        <v>0.41469658215378763</v>
      </c>
      <c r="I31" s="7">
        <v>0.4681857654787055</v>
      </c>
      <c r="J31" s="7">
        <v>0.50745822525126316</v>
      </c>
      <c r="K31" s="7">
        <v>0.53751713913831611</v>
      </c>
      <c r="L31" s="7">
        <v>0.561264538569064</v>
      </c>
      <c r="M31" s="7">
        <v>0.5804995024791787</v>
      </c>
      <c r="N31" s="7">
        <v>0.59639667562683585</v>
      </c>
      <c r="O31" s="7">
        <v>0.60975555181934515</v>
      </c>
      <c r="P31" s="7">
        <v>0.62113916665936109</v>
      </c>
      <c r="Q31" s="7">
        <v>0.63095549738593715</v>
      </c>
      <c r="R31" s="7">
        <v>0.63950740290878771</v>
      </c>
      <c r="S31" s="7">
        <v>0.64702443074595584</v>
      </c>
      <c r="T31" s="7">
        <v>0.65368373394235424</v>
      </c>
      <c r="U31" s="7">
        <v>0.65962421306689256</v>
      </c>
      <c r="V31" s="7">
        <v>0.66495631226441276</v>
      </c>
      <c r="W31" s="7">
        <v>0.66976895157759131</v>
      </c>
      <c r="X31" s="7">
        <v>0.67413452685908104</v>
      </c>
      <c r="Y31" s="6">
        <v>0.67811257781730749</v>
      </c>
    </row>
    <row r="32" spans="1:25" x14ac:dyDescent="0.25">
      <c r="A32" s="5">
        <f t="array" aca="1" ref="A32:B32" ca="1">ODE_RK4(A31:B31,$D$2)</f>
        <v>1.9000000000000006</v>
      </c>
      <c r="B32" s="4">
        <f ca="1"/>
        <v>0</v>
      </c>
      <c r="D32" s="3">
        <f t="shared" si="0"/>
        <v>1.9000000000000006</v>
      </c>
      <c r="E32" s="7">
        <v>6.6190231228256333E-3</v>
      </c>
      <c r="F32" s="7">
        <v>0.22211166067938345</v>
      </c>
      <c r="G32" s="7">
        <v>0.33260656354026735</v>
      </c>
      <c r="H32" s="7">
        <v>0.39872495115825629</v>
      </c>
      <c r="I32" s="7">
        <v>0.44272983859308679</v>
      </c>
      <c r="J32" s="7">
        <v>0.47412587091370101</v>
      </c>
      <c r="K32" s="7">
        <v>0.49765335654610393</v>
      </c>
      <c r="L32" s="7">
        <v>0.51594105356418918</v>
      </c>
      <c r="M32" s="7">
        <v>0.53056408096627783</v>
      </c>
      <c r="N32" s="7">
        <v>0.54252372865601772</v>
      </c>
      <c r="O32" s="7">
        <v>0.55248695780472301</v>
      </c>
      <c r="P32" s="7">
        <v>0.56091519008310298</v>
      </c>
      <c r="Q32" s="7">
        <v>0.56813782137635915</v>
      </c>
      <c r="R32" s="7">
        <v>0.57439629011496796</v>
      </c>
      <c r="S32" s="7">
        <v>0.57987159894174567</v>
      </c>
      <c r="T32" s="7">
        <v>0.58470211120467608</v>
      </c>
      <c r="U32" s="7">
        <v>0.58899540856852106</v>
      </c>
      <c r="V32" s="7">
        <v>0.5928364001018851</v>
      </c>
      <c r="W32" s="7">
        <v>0.59629299616120335</v>
      </c>
      <c r="X32" s="7">
        <v>0.59942015959440831</v>
      </c>
      <c r="Y32" s="6">
        <v>0.60226285105022659</v>
      </c>
    </row>
    <row r="33" spans="1:25" x14ac:dyDescent="0.25">
      <c r="A33" s="5">
        <f t="array" aca="1" ref="A33:B33" ca="1">ODE_RK4(A32:B32,$D$2)</f>
        <v>2.0000000000000004</v>
      </c>
      <c r="B33" s="4">
        <f ca="1"/>
        <v>0</v>
      </c>
      <c r="D33" s="3">
        <f t="shared" si="0"/>
        <v>2.0000000000000004</v>
      </c>
      <c r="E33" s="7">
        <v>7.295818381517322E-3</v>
      </c>
      <c r="F33" s="7">
        <v>0.22542625833354352</v>
      </c>
      <c r="G33" s="7">
        <v>0.32439206081411343</v>
      </c>
      <c r="H33" s="7">
        <v>0.38000088844307561</v>
      </c>
      <c r="I33" s="7">
        <v>0.41562527434638397</v>
      </c>
      <c r="J33" s="7">
        <v>0.44039736443591948</v>
      </c>
      <c r="K33" s="7">
        <v>0.45862073103404633</v>
      </c>
      <c r="L33" s="7">
        <v>0.47258911810285498</v>
      </c>
      <c r="M33" s="7">
        <v>0.48363704992564194</v>
      </c>
      <c r="N33" s="7">
        <v>0.49259379060488234</v>
      </c>
      <c r="O33" s="7">
        <v>0.50000178734617651</v>
      </c>
      <c r="P33" s="7">
        <v>0.50623080357550643</v>
      </c>
      <c r="Q33" s="7">
        <v>0.51154156931781536</v>
      </c>
      <c r="R33" s="7">
        <v>0.51612321102801639</v>
      </c>
      <c r="S33" s="7">
        <v>0.52011625296244857</v>
      </c>
      <c r="T33" s="7">
        <v>0.52362728724017704</v>
      </c>
      <c r="U33" s="7">
        <v>0.52673863278845889</v>
      </c>
      <c r="V33" s="7">
        <v>0.52951487263258601</v>
      </c>
      <c r="W33" s="7">
        <v>0.53200738640159084</v>
      </c>
      <c r="X33" s="7">
        <v>0.53425756044617212</v>
      </c>
      <c r="Y33" s="6">
        <v>0.53629910481540988</v>
      </c>
    </row>
    <row r="34" spans="1:25" x14ac:dyDescent="0.25">
      <c r="A34" s="5">
        <f t="array" aca="1" ref="A34:B34" ca="1">ODE_RK4(A33:B33,$D$2)</f>
        <v>2.1000000000000005</v>
      </c>
      <c r="B34" s="4">
        <f ca="1"/>
        <v>0</v>
      </c>
      <c r="D34" s="3">
        <f t="shared" si="0"/>
        <v>2.1000000000000005</v>
      </c>
      <c r="E34" s="7">
        <v>8.0371827677581161E-3</v>
      </c>
      <c r="F34" s="7">
        <v>0.22654049993306294</v>
      </c>
      <c r="G34" s="7">
        <v>0.31351309191515697</v>
      </c>
      <c r="H34" s="7">
        <v>0.35952193702265439</v>
      </c>
      <c r="I34" s="7">
        <v>0.38799153481821946</v>
      </c>
      <c r="J34" s="7">
        <v>0.40734576775328157</v>
      </c>
      <c r="K34" s="7">
        <v>0.42135844868977984</v>
      </c>
      <c r="L34" s="7">
        <v>0.43197282655531388</v>
      </c>
      <c r="M34" s="7">
        <v>0.44029148445871291</v>
      </c>
      <c r="N34" s="7">
        <v>0.44698657211719084</v>
      </c>
      <c r="O34" s="7">
        <v>0.4524911739500237</v>
      </c>
      <c r="P34" s="7">
        <v>0.45709691679620923</v>
      </c>
      <c r="Q34" s="7">
        <v>0.4610073652412674</v>
      </c>
      <c r="R34" s="7">
        <v>0.46436892872184687</v>
      </c>
      <c r="S34" s="7">
        <v>0.46728960544763187</v>
      </c>
      <c r="T34" s="7">
        <v>0.46985080389120132</v>
      </c>
      <c r="U34" s="7">
        <v>0.47211505156612638</v>
      </c>
      <c r="V34" s="7">
        <v>0.47413116889826529</v>
      </c>
      <c r="W34" s="7">
        <v>0.47593783015452634</v>
      </c>
      <c r="X34" s="7">
        <v>0.47756606909237542</v>
      </c>
      <c r="Y34" s="6">
        <v>0.47904107701221721</v>
      </c>
    </row>
    <row r="35" spans="1:25" x14ac:dyDescent="0.25">
      <c r="A35" s="5">
        <f t="array" aca="1" ref="A35:B35" ca="1">ODE_RK4(A34:B34,$D$2)</f>
        <v>2.2000000000000006</v>
      </c>
      <c r="B35" s="4">
        <f ca="1"/>
        <v>0</v>
      </c>
      <c r="D35" s="3">
        <f t="shared" si="0"/>
        <v>2.2000000000000006</v>
      </c>
      <c r="E35" s="7">
        <v>8.8478558627993215E-3</v>
      </c>
      <c r="F35" s="7">
        <v>0.22550641291130877</v>
      </c>
      <c r="G35" s="7">
        <v>0.30062224689814115</v>
      </c>
      <c r="H35" s="7">
        <v>0.33817042447957546</v>
      </c>
      <c r="I35" s="7">
        <v>0.36069645859740951</v>
      </c>
      <c r="J35" s="7">
        <v>0.37571277928150515</v>
      </c>
      <c r="K35" s="7">
        <v>0.38643831788652466</v>
      </c>
      <c r="L35" s="7">
        <v>0.39448231752551577</v>
      </c>
      <c r="M35" s="7">
        <v>0.4007387159478113</v>
      </c>
      <c r="N35" s="7">
        <v>0.40574383823374732</v>
      </c>
      <c r="O35" s="7">
        <v>0.40983896431414368</v>
      </c>
      <c r="P35" s="7">
        <v>0.41325160509581754</v>
      </c>
      <c r="Q35" s="7">
        <v>0.41613926331100587</v>
      </c>
      <c r="R35" s="7">
        <v>0.41861443824672484</v>
      </c>
      <c r="S35" s="7">
        <v>0.42075962786563692</v>
      </c>
      <c r="T35" s="7">
        <v>0.42263670476308263</v>
      </c>
      <c r="U35" s="7">
        <v>0.4242929827647367</v>
      </c>
      <c r="V35" s="7">
        <v>0.42576526121453162</v>
      </c>
      <c r="W35" s="7">
        <v>0.42708259205537424</v>
      </c>
      <c r="X35" s="7">
        <v>0.42826821674798377</v>
      </c>
      <c r="Y35" s="6">
        <v>0.42934094976154247</v>
      </c>
    </row>
    <row r="36" spans="1:25" x14ac:dyDescent="0.25">
      <c r="A36" s="5">
        <f t="array" aca="1" ref="A36:B36" ca="1">ODE_RK4(A35:B35,$D$2)</f>
        <v>2.3000000000000007</v>
      </c>
      <c r="B36" s="4">
        <f ca="1"/>
        <v>0</v>
      </c>
      <c r="D36" s="3">
        <f t="shared" si="0"/>
        <v>2.3000000000000007</v>
      </c>
      <c r="E36" s="7">
        <v>9.7325025814055145E-3</v>
      </c>
      <c r="F36" s="7">
        <v>0.22248589867350882</v>
      </c>
      <c r="G36" s="7">
        <v>0.28636233785466303</v>
      </c>
      <c r="H36" s="7">
        <v>0.31666806353950794</v>
      </c>
      <c r="I36" s="7">
        <v>0.3343610570075673</v>
      </c>
      <c r="J36" s="7">
        <v>0.34595901905958493</v>
      </c>
      <c r="K36" s="7">
        <v>0.35414876206542484</v>
      </c>
      <c r="L36" s="7">
        <v>0.36024020563994935</v>
      </c>
      <c r="M36" s="7">
        <v>0.36494822111327135</v>
      </c>
      <c r="N36" s="7">
        <v>0.3686960595199637</v>
      </c>
      <c r="O36" s="7">
        <v>0.37175029287757133</v>
      </c>
      <c r="P36" s="7">
        <v>0.37428717277394741</v>
      </c>
      <c r="Q36" s="7">
        <v>0.37642789658521858</v>
      </c>
      <c r="R36" s="7">
        <v>0.37825854662539182</v>
      </c>
      <c r="S36" s="7">
        <v>0.37984194885561862</v>
      </c>
      <c r="T36" s="7">
        <v>0.38122502985971779</v>
      </c>
      <c r="U36" s="7">
        <v>0.38244354719714879</v>
      </c>
      <c r="V36" s="7">
        <v>0.38352522575578613</v>
      </c>
      <c r="W36" s="7">
        <v>0.38449189344075962</v>
      </c>
      <c r="X36" s="7">
        <v>0.38536096987019225</v>
      </c>
      <c r="Y36" s="6">
        <v>0.3861465257574288</v>
      </c>
    </row>
    <row r="37" spans="1:25" x14ac:dyDescent="0.25">
      <c r="A37" s="5">
        <f t="array" aca="1" ref="A37:B37" ca="1">ODE_RK4(A36:B36,$D$2)</f>
        <v>2.4000000000000008</v>
      </c>
      <c r="B37" s="4">
        <f ca="1"/>
        <v>0</v>
      </c>
      <c r="D37" s="3">
        <f t="shared" si="0"/>
        <v>2.4000000000000008</v>
      </c>
      <c r="E37" s="7">
        <v>1.069556735971241E-2</v>
      </c>
      <c r="F37" s="7">
        <v>0.21772586151215964</v>
      </c>
      <c r="G37" s="7">
        <v>0.27131507152528467</v>
      </c>
      <c r="H37" s="7">
        <v>0.29556462712147175</v>
      </c>
      <c r="I37" s="7">
        <v>0.30939125939928158</v>
      </c>
      <c r="J37" s="7">
        <v>0.31832632711124836</v>
      </c>
      <c r="K37" s="7">
        <v>0.32457553874984713</v>
      </c>
      <c r="L37" s="7">
        <v>0.32919174187510858</v>
      </c>
      <c r="M37" s="7">
        <v>0.33274108845072908</v>
      </c>
      <c r="N37" s="7">
        <v>0.33555513073185156</v>
      </c>
      <c r="O37" s="7">
        <v>0.33784093081359301</v>
      </c>
      <c r="P37" s="7">
        <v>0.33973447591298284</v>
      </c>
      <c r="Q37" s="7">
        <v>0.34132876435709297</v>
      </c>
      <c r="R37" s="7">
        <v>0.34268954882348057</v>
      </c>
      <c r="S37" s="7">
        <v>0.34386463318427424</v>
      </c>
      <c r="T37" s="7">
        <v>0.3448896057694692</v>
      </c>
      <c r="U37" s="7">
        <v>0.34579150697753325</v>
      </c>
      <c r="V37" s="7">
        <v>0.34659125032977206</v>
      </c>
      <c r="W37" s="7">
        <v>0.34730526476702378</v>
      </c>
      <c r="X37" s="7">
        <v>0.34794663556453032</v>
      </c>
      <c r="Y37" s="6">
        <v>0.34852591379890724</v>
      </c>
    </row>
    <row r="38" spans="1:25" x14ac:dyDescent="0.25">
      <c r="A38" s="5">
        <f t="array" aca="1" ref="A38:B38" ca="1">ODE_RK4(A37:B37,$D$2)</f>
        <v>2.5000000000000009</v>
      </c>
      <c r="B38" s="4">
        <f ca="1"/>
        <v>0</v>
      </c>
      <c r="D38" s="3">
        <f t="shared" si="0"/>
        <v>2.5000000000000009</v>
      </c>
      <c r="E38" s="7">
        <v>1.174108873025851E-2</v>
      </c>
      <c r="F38" s="7">
        <v>0.21152654270603768</v>
      </c>
      <c r="G38" s="7">
        <v>0.25597135525918746</v>
      </c>
      <c r="H38" s="7">
        <v>0.275249660973302</v>
      </c>
      <c r="I38" s="7">
        <v>0.28602063318797599</v>
      </c>
      <c r="J38" s="7">
        <v>0.29289775407655627</v>
      </c>
      <c r="K38" s="7">
        <v>0.29766935326639998</v>
      </c>
      <c r="L38" s="7">
        <v>0.30117404207881732</v>
      </c>
      <c r="M38" s="7">
        <v>0.30385727513069538</v>
      </c>
      <c r="N38" s="7">
        <v>0.30597757938243664</v>
      </c>
      <c r="O38" s="7">
        <v>0.30769529625711883</v>
      </c>
      <c r="P38" s="7">
        <v>0.30911515215554608</v>
      </c>
      <c r="Q38" s="7">
        <v>0.31030844740481278</v>
      </c>
      <c r="R38" s="7">
        <v>0.31132540683947729</v>
      </c>
      <c r="S38" s="7">
        <v>0.31220243109411189</v>
      </c>
      <c r="T38" s="7">
        <v>0.31296654675499264</v>
      </c>
      <c r="U38" s="7">
        <v>0.31363824142574859</v>
      </c>
      <c r="V38" s="7">
        <v>0.31423332855726627</v>
      </c>
      <c r="W38" s="7">
        <v>0.31476420852093234</v>
      </c>
      <c r="X38" s="7">
        <v>0.31524074230115012</v>
      </c>
      <c r="Y38" s="6">
        <v>0.31567086987586929</v>
      </c>
    </row>
    <row r="39" spans="1:25" x14ac:dyDescent="0.25">
      <c r="A39" s="5">
        <f t="array" aca="1" ref="A39:B39" ca="1">ODE_RK4(A38:B38,$D$2)</f>
        <v>2.600000000000001</v>
      </c>
      <c r="B39" s="4">
        <f ca="1"/>
        <v>0</v>
      </c>
      <c r="D39" s="3">
        <f t="shared" si="0"/>
        <v>2.600000000000001</v>
      </c>
      <c r="E39" s="7">
        <v>1.2872469833050357E-2</v>
      </c>
      <c r="F39" s="7">
        <v>0.20420941410147445</v>
      </c>
      <c r="G39" s="7">
        <v>0.2407205661201916</v>
      </c>
      <c r="H39" s="7">
        <v>0.25597645536163471</v>
      </c>
      <c r="I39" s="7">
        <v>0.26435349960523563</v>
      </c>
      <c r="J39" s="7">
        <v>0.26964832946569789</v>
      </c>
      <c r="K39" s="7">
        <v>0.27329775304175052</v>
      </c>
      <c r="L39" s="7">
        <v>0.27596563191917561</v>
      </c>
      <c r="M39" s="7">
        <v>0.27800103449271552</v>
      </c>
      <c r="N39" s="7">
        <v>0.27960504943622971</v>
      </c>
      <c r="O39" s="7">
        <v>0.28090168766271251</v>
      </c>
      <c r="P39" s="7">
        <v>0.28197158325814259</v>
      </c>
      <c r="Q39" s="7">
        <v>0.28286943407793941</v>
      </c>
      <c r="R39" s="7">
        <v>0.28363365377807909</v>
      </c>
      <c r="S39" s="7">
        <v>0.28429201207638749</v>
      </c>
      <c r="T39" s="7">
        <v>0.28486508257818099</v>
      </c>
      <c r="U39" s="7">
        <v>0.28536843193746686</v>
      </c>
      <c r="V39" s="7">
        <v>0.2858140556795486</v>
      </c>
      <c r="W39" s="7">
        <v>0.28621134672761911</v>
      </c>
      <c r="X39" s="7">
        <v>0.28656776493609415</v>
      </c>
      <c r="Y39" s="6">
        <v>0.28688931004731605</v>
      </c>
    </row>
    <row r="40" spans="1:25" x14ac:dyDescent="0.25">
      <c r="A40" s="5">
        <f t="array" aca="1" ref="A40:B40" ca="1">ODE_RK4(A39:B39,$D$2)</f>
        <v>2.7000000000000011</v>
      </c>
      <c r="B40" s="4">
        <f ca="1"/>
        <v>0</v>
      </c>
      <c r="D40" s="3">
        <f t="shared" si="0"/>
        <v>2.7000000000000011</v>
      </c>
      <c r="E40" s="7">
        <v>1.4092202122239463E-2</v>
      </c>
      <c r="F40" s="7">
        <v>0.19608963069007052</v>
      </c>
      <c r="G40" s="7">
        <v>0.22585355424777165</v>
      </c>
      <c r="H40" s="7">
        <v>0.23789008709665999</v>
      </c>
      <c r="I40" s="7">
        <v>0.24440282024914259</v>
      </c>
      <c r="J40" s="7">
        <v>0.24848461095553623</v>
      </c>
      <c r="K40" s="7">
        <v>0.25128248779716178</v>
      </c>
      <c r="L40" s="7">
        <v>0.25331992133378761</v>
      </c>
      <c r="M40" s="7">
        <v>0.25486985783707589</v>
      </c>
      <c r="N40" s="7">
        <v>0.25608857554386244</v>
      </c>
      <c r="O40" s="7">
        <v>0.25707200253572582</v>
      </c>
      <c r="P40" s="7">
        <v>0.25788228391839135</v>
      </c>
      <c r="Q40" s="7">
        <v>0.2585614502116364</v>
      </c>
      <c r="R40" s="7">
        <v>0.25913894632908807</v>
      </c>
      <c r="S40" s="7">
        <v>0.25963601431684447</v>
      </c>
      <c r="T40" s="7">
        <v>0.26006836387077137</v>
      </c>
      <c r="U40" s="7">
        <v>0.26044786333357955</v>
      </c>
      <c r="V40" s="7">
        <v>0.26078364618364347</v>
      </c>
      <c r="W40" s="7">
        <v>0.2610828558904924</v>
      </c>
      <c r="X40" s="7">
        <v>0.2613511599055347</v>
      </c>
      <c r="Y40" s="6">
        <v>0.26159311216916753</v>
      </c>
    </row>
    <row r="41" spans="1:25" x14ac:dyDescent="0.25">
      <c r="A41" s="5">
        <f t="array" aca="1" ref="A41:B41" ca="1">ODE_RK4(A40:B40,$D$2)</f>
        <v>2.8000000000000012</v>
      </c>
      <c r="B41" s="4">
        <f ca="1"/>
        <v>0</v>
      </c>
      <c r="D41" s="3">
        <f t="shared" si="0"/>
        <v>2.8000000000000012</v>
      </c>
      <c r="E41" s="7">
        <v>1.5401542475202841E-2</v>
      </c>
      <c r="F41" s="7">
        <v>0.18745582229498595</v>
      </c>
      <c r="G41" s="7">
        <v>0.21157385383216856</v>
      </c>
      <c r="H41" s="7">
        <v>0.22105439713576944</v>
      </c>
      <c r="I41" s="7">
        <v>0.22612074767080936</v>
      </c>
      <c r="J41" s="7">
        <v>0.22927368428511175</v>
      </c>
      <c r="K41" s="7">
        <v>0.23142501632035714</v>
      </c>
      <c r="L41" s="7">
        <v>0.23298661545689056</v>
      </c>
      <c r="M41" s="7">
        <v>0.23417175156133704</v>
      </c>
      <c r="N41" s="7">
        <v>0.23510192085435427</v>
      </c>
      <c r="O41" s="7">
        <v>0.23585141604780993</v>
      </c>
      <c r="P41" s="7">
        <v>0.23646822125832423</v>
      </c>
      <c r="Q41" s="7">
        <v>0.23698471047852904</v>
      </c>
      <c r="R41" s="7">
        <v>0.23742351801605391</v>
      </c>
      <c r="S41" s="7">
        <v>0.23780094503134303</v>
      </c>
      <c r="T41" s="7">
        <v>0.23812902978577793</v>
      </c>
      <c r="U41" s="7">
        <v>0.23841685562670845</v>
      </c>
      <c r="V41" s="7">
        <v>0.23867140522001973</v>
      </c>
      <c r="W41" s="7">
        <v>0.23889813463929715</v>
      </c>
      <c r="X41" s="7">
        <v>0.239101368941466</v>
      </c>
      <c r="Y41" s="6">
        <v>0.23928458079871487</v>
      </c>
    </row>
    <row r="42" spans="1:25" x14ac:dyDescent="0.25">
      <c r="A42" s="5">
        <f t="array" aca="1" ref="A42:B42" ca="1">ODE_RK4(A41:B41,$D$2)</f>
        <v>2.9000000000000012</v>
      </c>
      <c r="B42" s="4">
        <f ca="1"/>
        <v>0</v>
      </c>
      <c r="D42" s="3">
        <f t="shared" si="0"/>
        <v>2.9000000000000012</v>
      </c>
      <c r="E42" s="7">
        <v>1.6800148398426862E-2</v>
      </c>
      <c r="F42" s="7">
        <v>0.17855783632814184</v>
      </c>
      <c r="G42" s="7">
        <v>0.1980125617708608</v>
      </c>
      <c r="H42" s="7">
        <v>0.20547530373964948</v>
      </c>
      <c r="I42" s="7">
        <v>0.20942180275006092</v>
      </c>
      <c r="J42" s="7">
        <v>0.21186339862783696</v>
      </c>
      <c r="K42" s="7">
        <v>0.21352305948730618</v>
      </c>
      <c r="L42" s="7">
        <v>0.21472457891467328</v>
      </c>
      <c r="M42" s="7">
        <v>0.21563465824287867</v>
      </c>
      <c r="N42" s="7">
        <v>0.21634787056936536</v>
      </c>
      <c r="O42" s="7">
        <v>0.21692186357793644</v>
      </c>
      <c r="P42" s="7">
        <v>0.21739377856604677</v>
      </c>
      <c r="Q42" s="7">
        <v>0.21778862399403265</v>
      </c>
      <c r="R42" s="7">
        <v>0.21812385571855142</v>
      </c>
      <c r="S42" s="7">
        <v>0.2184120279920071</v>
      </c>
      <c r="T42" s="7">
        <v>0.21866240108682941</v>
      </c>
      <c r="U42" s="7">
        <v>0.21888195514491493</v>
      </c>
      <c r="V42" s="7">
        <v>0.21907605127790283</v>
      </c>
      <c r="W42" s="7">
        <v>0.21924887525817432</v>
      </c>
      <c r="X42" s="7">
        <v>0.2194037428798907</v>
      </c>
      <c r="Y42" s="6">
        <v>0.21954331482006606</v>
      </c>
    </row>
    <row r="43" spans="1:25" x14ac:dyDescent="0.25">
      <c r="A43" s="5">
        <f t="array" aca="1" ref="A43:B43" ca="1">ODE_RK4(A42:B42,$D$2)</f>
        <v>3.0000000000000013</v>
      </c>
      <c r="B43" s="4">
        <f ca="1"/>
        <v>0</v>
      </c>
      <c r="D43" s="3">
        <f t="shared" si="0"/>
        <v>3.0000000000000013</v>
      </c>
      <c r="E43" s="7">
        <v>1.828568226449764E-2</v>
      </c>
      <c r="F43" s="7">
        <v>0.16960149688014425</v>
      </c>
      <c r="G43" s="7">
        <v>0.18524375269076782</v>
      </c>
      <c r="H43" s="7">
        <v>0.19111957635140478</v>
      </c>
      <c r="I43" s="7">
        <v>0.19419963288945602</v>
      </c>
      <c r="J43" s="7">
        <v>0.19609584893367751</v>
      </c>
      <c r="K43" s="7">
        <v>0.19738074250437937</v>
      </c>
      <c r="L43" s="7">
        <v>0.19830891097815026</v>
      </c>
      <c r="M43" s="7">
        <v>0.19901080820518285</v>
      </c>
      <c r="N43" s="7">
        <v>0.19956018973456591</v>
      </c>
      <c r="O43" s="7">
        <v>0.20000189706328378</v>
      </c>
      <c r="P43" s="7">
        <v>0.20036476183314939</v>
      </c>
      <c r="Q43" s="7">
        <v>0.20066816542447669</v>
      </c>
      <c r="R43" s="7">
        <v>0.20092561767084283</v>
      </c>
      <c r="S43" s="7">
        <v>0.20114682379976825</v>
      </c>
      <c r="T43" s="7">
        <v>0.20133893565837443</v>
      </c>
      <c r="U43" s="7">
        <v>0.20150733962040318</v>
      </c>
      <c r="V43" s="7">
        <v>0.20165616969740499</v>
      </c>
      <c r="W43" s="7">
        <v>0.20178865152498779</v>
      </c>
      <c r="X43" s="7">
        <v>0.2019073388732118</v>
      </c>
      <c r="Y43" s="6">
        <v>0.20201427991884049</v>
      </c>
    </row>
    <row r="44" spans="1:25" x14ac:dyDescent="0.25">
      <c r="A44" s="5">
        <f t="array" aca="1" ref="A44:B44" ca="1">ODE_RK4(A43:B43,$D$2)</f>
        <v>3.1000000000000014</v>
      </c>
      <c r="B44" s="4">
        <f ca="1"/>
        <v>0</v>
      </c>
      <c r="D44" s="3">
        <f t="shared" si="0"/>
        <v>3.1000000000000014</v>
      </c>
      <c r="E44" s="7">
        <v>1.9853403506452885E-2</v>
      </c>
      <c r="F44" s="7">
        <v>0.16074867061449932</v>
      </c>
      <c r="G44" s="7">
        <v>0.17329860276741549</v>
      </c>
      <c r="H44" s="7">
        <v>0.17792919094825038</v>
      </c>
      <c r="I44" s="7">
        <v>0.18033862759057934</v>
      </c>
      <c r="J44" s="7">
        <v>0.18181591994612364</v>
      </c>
      <c r="K44" s="7">
        <v>0.18281433501434516</v>
      </c>
      <c r="L44" s="7">
        <v>0.18353425185640523</v>
      </c>
      <c r="M44" s="7">
        <v>0.18407793864367711</v>
      </c>
      <c r="N44" s="7">
        <v>0.18450305141236267</v>
      </c>
      <c r="O44" s="7">
        <v>0.18484456837243518</v>
      </c>
      <c r="P44" s="7">
        <v>0.1851249415626991</v>
      </c>
      <c r="Q44" s="7">
        <v>0.1853592433690715</v>
      </c>
      <c r="R44" s="7">
        <v>0.18555796830062818</v>
      </c>
      <c r="S44" s="7">
        <v>0.18572864837179415</v>
      </c>
      <c r="T44" s="7">
        <v>0.18587682955463655</v>
      </c>
      <c r="U44" s="7">
        <v>0.18600668590234526</v>
      </c>
      <c r="V44" s="7">
        <v>0.18612141906477811</v>
      </c>
      <c r="W44" s="7">
        <v>0.18622352587577001</v>
      </c>
      <c r="X44" s="7">
        <v>0.18631498218729392</v>
      </c>
      <c r="Y44" s="6">
        <v>0.18639737201753057</v>
      </c>
    </row>
    <row r="45" spans="1:25" x14ac:dyDescent="0.25">
      <c r="A45" s="5">
        <f t="array" aca="1" ref="A45:B45" ca="1">ODE_RK4(A44:B44,$D$2)</f>
        <v>3.2000000000000015</v>
      </c>
      <c r="B45" s="4">
        <f ca="1"/>
        <v>0</v>
      </c>
      <c r="D45" s="3">
        <f t="shared" si="0"/>
        <v>3.2000000000000015</v>
      </c>
      <c r="E45" s="7">
        <v>2.1495777071907536E-2</v>
      </c>
      <c r="F45" s="7">
        <v>0.15212078894258801</v>
      </c>
      <c r="G45" s="7">
        <v>0.16217737611400415</v>
      </c>
      <c r="H45" s="7">
        <v>0.16583185880487311</v>
      </c>
      <c r="I45" s="7">
        <v>0.16772163698540565</v>
      </c>
      <c r="J45" s="7">
        <v>0.16887636107004364</v>
      </c>
      <c r="K45" s="7">
        <v>0.16965507753726672</v>
      </c>
      <c r="L45" s="7">
        <v>0.17021573332585152</v>
      </c>
      <c r="M45" s="7">
        <v>0.1706386764469833</v>
      </c>
      <c r="N45" s="7">
        <v>0.17096909840733632</v>
      </c>
      <c r="O45" s="7">
        <v>0.17123436685476356</v>
      </c>
      <c r="P45" s="7">
        <v>0.17145202426866915</v>
      </c>
      <c r="Q45" s="7">
        <v>0.17163383397909868</v>
      </c>
      <c r="R45" s="7">
        <v>0.17178797893113812</v>
      </c>
      <c r="S45" s="7">
        <v>0.17192032756746753</v>
      </c>
      <c r="T45" s="7">
        <v>0.17203519809931758</v>
      </c>
      <c r="U45" s="7">
        <v>0.17213583869383223</v>
      </c>
      <c r="V45" s="7">
        <v>0.17222473958600396</v>
      </c>
      <c r="W45" s="7">
        <v>0.17230384196697687</v>
      </c>
      <c r="X45" s="7">
        <v>0.17237468139671072</v>
      </c>
      <c r="Y45" s="6">
        <v>0.17243848849608748</v>
      </c>
    </row>
    <row r="46" spans="1:25" x14ac:dyDescent="0.25">
      <c r="A46" s="5">
        <f t="array" aca="1" ref="A46:B46" ca="1">ODE_RK4(A45:B45,$D$2)</f>
        <v>3.3000000000000016</v>
      </c>
      <c r="B46" s="4">
        <f ca="1"/>
        <v>0</v>
      </c>
      <c r="D46" s="3">
        <f t="shared" si="0"/>
        <v>3.3000000000000016</v>
      </c>
      <c r="E46" s="7">
        <v>2.3202136298204504E-2</v>
      </c>
      <c r="F46" s="7">
        <v>0.14380422187514599</v>
      </c>
      <c r="G46" s="7">
        <v>0.15185906370641575</v>
      </c>
      <c r="H46" s="7">
        <v>0.15474846853984286</v>
      </c>
      <c r="I46" s="7">
        <v>0.15623485610979918</v>
      </c>
      <c r="J46" s="7">
        <v>0.15714050646733324</v>
      </c>
      <c r="K46" s="7">
        <v>0.15775014992014263</v>
      </c>
      <c r="L46" s="7">
        <v>0.1581885281331129</v>
      </c>
      <c r="M46" s="7">
        <v>0.15851892461548336</v>
      </c>
      <c r="N46" s="7">
        <v>0.15877686344260522</v>
      </c>
      <c r="O46" s="7">
        <v>0.1589838260208998</v>
      </c>
      <c r="P46" s="7">
        <v>0.1591535659012322</v>
      </c>
      <c r="Q46" s="7">
        <v>0.15929529713606286</v>
      </c>
      <c r="R46" s="7">
        <v>0.15941542441546203</v>
      </c>
      <c r="S46" s="7">
        <v>0.1595185379579887</v>
      </c>
      <c r="T46" s="7">
        <v>0.15960801357438043</v>
      </c>
      <c r="U46" s="7">
        <v>0.15968638936741575</v>
      </c>
      <c r="V46" s="7">
        <v>0.15975561040267688</v>
      </c>
      <c r="W46" s="7">
        <v>0.1598171923579548</v>
      </c>
      <c r="X46" s="7">
        <v>0.15987233381560548</v>
      </c>
      <c r="Y46" s="6">
        <v>0.15992199506655397</v>
      </c>
    </row>
    <row r="47" spans="1:25" x14ac:dyDescent="0.25">
      <c r="A47" s="5">
        <f t="array" aca="1" ref="A47:B47" ca="1">ODE_RK4(A46:B46,$D$2)</f>
        <v>3.4000000000000017</v>
      </c>
      <c r="B47" s="4">
        <f ca="1"/>
        <v>0</v>
      </c>
      <c r="D47" s="3">
        <f t="shared" si="0"/>
        <v>3.4000000000000017</v>
      </c>
      <c r="E47" s="7">
        <v>2.4958447152153899E-2</v>
      </c>
      <c r="F47" s="7">
        <v>0.13585630455471612</v>
      </c>
      <c r="G47" s="7">
        <v>0.1423088214220822</v>
      </c>
      <c r="H47" s="7">
        <v>0.14459815668538864</v>
      </c>
      <c r="I47" s="7">
        <v>0.14577071541359732</v>
      </c>
      <c r="J47" s="7">
        <v>0.14648344908852709</v>
      </c>
      <c r="K47" s="7">
        <v>0.14696250604657166</v>
      </c>
      <c r="L47" s="7">
        <v>0.14730662386282367</v>
      </c>
      <c r="M47" s="7">
        <v>0.14756577996502274</v>
      </c>
      <c r="N47" s="7">
        <v>0.14776798344527861</v>
      </c>
      <c r="O47" s="7">
        <v>0.14793015063151566</v>
      </c>
      <c r="P47" s="7">
        <v>0.14806310187905625</v>
      </c>
      <c r="Q47" s="7">
        <v>0.14817408058366732</v>
      </c>
      <c r="R47" s="7">
        <v>0.14826811843736129</v>
      </c>
      <c r="S47" s="7">
        <v>0.14834881972040126</v>
      </c>
      <c r="T47" s="7">
        <v>0.14841883395278052</v>
      </c>
      <c r="U47" s="7">
        <v>0.14848015240194423</v>
      </c>
      <c r="V47" s="7">
        <v>0.14853430055272443</v>
      </c>
      <c r="W47" s="7">
        <v>0.14858246677521758</v>
      </c>
      <c r="X47" s="7">
        <v>0.14862559057358993</v>
      </c>
      <c r="Y47" s="6">
        <v>0.14866442449210399</v>
      </c>
    </row>
    <row r="48" spans="1:25" x14ac:dyDescent="0.25">
      <c r="A48" s="5">
        <f t="array" aca="1" ref="A48:B48" ca="1">ODE_RK4(A47:B47,$D$2)</f>
        <v>3.5000000000000018</v>
      </c>
      <c r="B48" s="4">
        <f ca="1"/>
        <v>0</v>
      </c>
      <c r="D48" s="3">
        <f t="shared" si="0"/>
        <v>3.5000000000000018</v>
      </c>
      <c r="E48" s="7">
        <v>2.6747226267468786E-2</v>
      </c>
      <c r="F48" s="7">
        <v>0.12831122957070204</v>
      </c>
      <c r="G48" s="7">
        <v>0.13348351718469165</v>
      </c>
      <c r="H48" s="7">
        <v>0.1353016215645596</v>
      </c>
      <c r="I48" s="7">
        <v>0.13622941013801648</v>
      </c>
      <c r="J48" s="7">
        <v>0.13679223655431544</v>
      </c>
      <c r="K48" s="7">
        <v>0.13717005800696833</v>
      </c>
      <c r="L48" s="7">
        <v>0.13744121980843144</v>
      </c>
      <c r="M48" s="7">
        <v>0.13764530232394856</v>
      </c>
      <c r="N48" s="7">
        <v>0.13780445766375798</v>
      </c>
      <c r="O48" s="7">
        <v>0.13793205110621107</v>
      </c>
      <c r="P48" s="7">
        <v>0.13803662478366521</v>
      </c>
      <c r="Q48" s="7">
        <v>0.13812389332334393</v>
      </c>
      <c r="R48" s="7">
        <v>0.13819782434754896</v>
      </c>
      <c r="S48" s="7">
        <v>0.13826125867031339</v>
      </c>
      <c r="T48" s="7">
        <v>0.13831628380044317</v>
      </c>
      <c r="U48" s="7">
        <v>0.13836446811456504</v>
      </c>
      <c r="V48" s="7">
        <v>0.13840701278859738</v>
      </c>
      <c r="W48" s="7">
        <v>0.13844485332152187</v>
      </c>
      <c r="X48" s="7">
        <v>0.13847872914072371</v>
      </c>
      <c r="Y48" s="6">
        <v>0.13850923241347257</v>
      </c>
    </row>
    <row r="49" spans="1:25" x14ac:dyDescent="0.25">
      <c r="A49" s="5">
        <f t="array" aca="1" ref="A49:B49" ca="1">ODE_RK4(A48:B48,$D$2)</f>
        <v>3.6000000000000019</v>
      </c>
      <c r="B49" s="4">
        <f ca="1"/>
        <v>0</v>
      </c>
      <c r="D49" s="3">
        <f t="shared" si="0"/>
        <v>3.6000000000000019</v>
      </c>
      <c r="E49" s="7">
        <v>2.8547664760269199E-2</v>
      </c>
      <c r="F49" s="7">
        <v>0.12118535925173735</v>
      </c>
      <c r="G49" s="7">
        <v>0.12533574270706985</v>
      </c>
      <c r="H49" s="7">
        <v>0.12678317389643143</v>
      </c>
      <c r="I49" s="7">
        <v>0.12751952821775492</v>
      </c>
      <c r="J49" s="7">
        <v>0.12796547717050416</v>
      </c>
      <c r="K49" s="7">
        <v>0.12826452369870886</v>
      </c>
      <c r="L49" s="7">
        <v>0.12847899266580043</v>
      </c>
      <c r="M49" s="7">
        <v>0.12864032086013252</v>
      </c>
      <c r="N49" s="7">
        <v>0.12876608267918752</v>
      </c>
      <c r="O49" s="7">
        <v>0.12886687242397307</v>
      </c>
      <c r="P49" s="7">
        <v>0.12894945669814095</v>
      </c>
      <c r="Q49" s="7">
        <v>0.12901835988508711</v>
      </c>
      <c r="R49" s="7">
        <v>0.12907672184549146</v>
      </c>
      <c r="S49" s="7">
        <v>0.12912678988770201</v>
      </c>
      <c r="T49" s="7">
        <v>0.12917021487879474</v>
      </c>
      <c r="U49" s="7">
        <v>0.12920823680570234</v>
      </c>
      <c r="V49" s="7">
        <v>0.12924180511733119</v>
      </c>
      <c r="W49" s="7">
        <v>0.12927165911076466</v>
      </c>
      <c r="X49" s="7">
        <v>0.12929838302721591</v>
      </c>
      <c r="Y49" s="6">
        <v>0.12932244467791926</v>
      </c>
    </row>
    <row r="50" spans="1:25" x14ac:dyDescent="0.25">
      <c r="A50" s="5">
        <f t="array" aca="1" ref="A50:B50" ca="1">ODE_RK4(A49:B49,$D$2)</f>
        <v>3.700000000000002</v>
      </c>
      <c r="B50" s="4">
        <f ca="1"/>
        <v>0</v>
      </c>
      <c r="D50" s="3">
        <f t="shared" si="0"/>
        <v>3.700000000000002</v>
      </c>
      <c r="E50" s="7">
        <v>3.0336000848562503E-2</v>
      </c>
      <c r="F50" s="7">
        <v>0.11448175903805943</v>
      </c>
      <c r="G50" s="7">
        <v>0.11781662751117725</v>
      </c>
      <c r="H50" s="7">
        <v>0.11897190260137884</v>
      </c>
      <c r="I50" s="7">
        <v>0.11955810168375507</v>
      </c>
      <c r="J50" s="7">
        <v>0.11991261519496912</v>
      </c>
      <c r="K50" s="7">
        <v>0.12015013611205551</v>
      </c>
      <c r="L50" s="7">
        <v>0.12032037649929883</v>
      </c>
      <c r="M50" s="7">
        <v>0.12044837785363792</v>
      </c>
      <c r="N50" s="7">
        <v>0.12054812604814544</v>
      </c>
      <c r="O50" s="7">
        <v>0.12062804610036811</v>
      </c>
      <c r="P50" s="7">
        <v>0.12069351608305245</v>
      </c>
      <c r="Q50" s="7">
        <v>0.1207481303468679</v>
      </c>
      <c r="R50" s="7">
        <v>0.12079438240288758</v>
      </c>
      <c r="S50" s="7">
        <v>0.12083405639396431</v>
      </c>
      <c r="T50" s="7">
        <v>0.12086846260366832</v>
      </c>
      <c r="U50" s="7">
        <v>0.1208985849806849</v>
      </c>
      <c r="V50" s="7">
        <v>0.12092517677975635</v>
      </c>
      <c r="W50" s="7">
        <v>0.12094882442878258</v>
      </c>
      <c r="X50" s="7">
        <v>0.12096999129122546</v>
      </c>
      <c r="Y50" s="6">
        <v>0.12098904833931645</v>
      </c>
    </row>
    <row r="51" spans="1:25" x14ac:dyDescent="0.25">
      <c r="A51" s="5">
        <f t="array" aca="1" ref="A51:B51" ca="1">ODE_RK4(A50:B50,$D$2)</f>
        <v>3.800000000000002</v>
      </c>
      <c r="B51" s="4">
        <f ca="1"/>
        <v>0</v>
      </c>
      <c r="D51" s="3">
        <f t="shared" si="0"/>
        <v>3.800000000000002</v>
      </c>
      <c r="E51" s="7">
        <v>3.2086165192568405E-2</v>
      </c>
      <c r="F51" s="7">
        <v>0.10819391274224333</v>
      </c>
      <c r="G51" s="7">
        <v>0.1108777468454825</v>
      </c>
      <c r="H51" s="7">
        <v>0.11180223681111985</v>
      </c>
      <c r="I51" s="7">
        <v>0.11227030608658077</v>
      </c>
      <c r="J51" s="7">
        <v>0.11255304406067744</v>
      </c>
      <c r="K51" s="7">
        <v>0.11274233512616563</v>
      </c>
      <c r="L51" s="7">
        <v>0.11287793784453272</v>
      </c>
      <c r="M51" s="7">
        <v>0.1129798574400961</v>
      </c>
      <c r="N51" s="7">
        <v>0.11305925807401376</v>
      </c>
      <c r="O51" s="7">
        <v>0.11312286094475611</v>
      </c>
      <c r="P51" s="7">
        <v>0.11317495449031593</v>
      </c>
      <c r="Q51" s="7">
        <v>0.11321840374282843</v>
      </c>
      <c r="R51" s="7">
        <v>0.11325519564855309</v>
      </c>
      <c r="S51" s="7">
        <v>0.11328675152844687</v>
      </c>
      <c r="T51" s="7">
        <v>0.11331411497869795</v>
      </c>
      <c r="U51" s="7">
        <v>0.11333806953294399</v>
      </c>
      <c r="V51" s="7">
        <v>0.11335921492121584</v>
      </c>
      <c r="W51" s="7">
        <v>0.11337801798130737</v>
      </c>
      <c r="X51" s="7">
        <v>0.11339484753609279</v>
      </c>
      <c r="Y51" s="6">
        <v>0.1134099988343958</v>
      </c>
    </row>
    <row r="52" spans="1:25" x14ac:dyDescent="0.25">
      <c r="A52" s="5">
        <f t="array" aca="1" ref="A52:B52" ca="1">ODE_RK4(A51:B51,$D$2)</f>
        <v>3.9000000000000021</v>
      </c>
      <c r="B52" s="4">
        <f ca="1"/>
        <v>0</v>
      </c>
      <c r="D52" s="3">
        <f t="shared" si="0"/>
        <v>3.9000000000000021</v>
      </c>
      <c r="E52" s="7">
        <v>3.3770693819450394E-2</v>
      </c>
      <c r="F52" s="7">
        <v>0.1023086721077998</v>
      </c>
      <c r="G52" s="7">
        <v>0.10447236111548897</v>
      </c>
      <c r="H52" s="7">
        <v>0.10521410754662008</v>
      </c>
      <c r="I52" s="7">
        <v>0.10558895975916327</v>
      </c>
      <c r="J52" s="7">
        <v>0.10581516430053023</v>
      </c>
      <c r="K52" s="7">
        <v>0.10596651182958448</v>
      </c>
      <c r="L52" s="7">
        <v>0.10607488617317014</v>
      </c>
      <c r="M52" s="7">
        <v>0.10615631515275485</v>
      </c>
      <c r="N52" s="7">
        <v>0.106219737289205</v>
      </c>
      <c r="O52" s="7">
        <v>0.10627053115704838</v>
      </c>
      <c r="P52" s="7">
        <v>0.10631212718674647</v>
      </c>
      <c r="Q52" s="7">
        <v>0.10634681646578034</v>
      </c>
      <c r="R52" s="7">
        <v>0.10637618748794098</v>
      </c>
      <c r="S52" s="7">
        <v>0.10640137630268524</v>
      </c>
      <c r="T52" s="7">
        <v>0.10642321689355258</v>
      </c>
      <c r="U52" s="7">
        <v>0.10644233531740398</v>
      </c>
      <c r="V52" s="7">
        <v>0.10645921070281744</v>
      </c>
      <c r="W52" s="7">
        <v>0.10647421596472503</v>
      </c>
      <c r="X52" s="7">
        <v>0.10648764569120193</v>
      </c>
      <c r="Y52" s="6">
        <v>0.10649973568241433</v>
      </c>
    </row>
    <row r="53" spans="1:25" x14ac:dyDescent="0.25">
      <c r="A53" s="5">
        <f t="array" aca="1" ref="A53:B53" ca="1">ODE_RK4(A52:B52,$D$2)</f>
        <v>4.0000000000000018</v>
      </c>
      <c r="B53" s="4">
        <f ca="1"/>
        <v>0</v>
      </c>
      <c r="D53" s="3">
        <f t="shared" si="0"/>
        <v>4.0000000000000018</v>
      </c>
      <c r="E53" s="2">
        <v>3.5361867344527023E-2</v>
      </c>
      <c r="F53" s="2">
        <v>9.6808537233935815E-2</v>
      </c>
      <c r="G53" s="2">
        <v>9.8556172958691207E-2</v>
      </c>
      <c r="H53" s="2">
        <v>9.9152853338812019E-2</v>
      </c>
      <c r="I53" s="2">
        <v>9.9453923305019995E-2</v>
      </c>
      <c r="J53" s="2">
        <v>9.9635451235673758E-2</v>
      </c>
      <c r="K53" s="2">
        <v>9.9756842698874373E-2</v>
      </c>
      <c r="L53" s="2">
        <v>9.9843735054879326E-2</v>
      </c>
      <c r="M53" s="2">
        <v>9.9909005841164258E-2</v>
      </c>
      <c r="N53" s="2">
        <v>9.9959832642871616E-2</v>
      </c>
      <c r="O53" s="2">
        <v>0.1000005325920483</v>
      </c>
      <c r="P53" s="2">
        <v>0.10003385822314606</v>
      </c>
      <c r="Q53" s="2">
        <v>0.10006164738673684</v>
      </c>
      <c r="R53" s="2">
        <v>0.10008517405253237</v>
      </c>
      <c r="S53" s="2">
        <v>0.10010534916398695</v>
      </c>
      <c r="T53" s="2">
        <v>0.10012284134862694</v>
      </c>
      <c r="U53" s="2">
        <v>0.10013815246646744</v>
      </c>
      <c r="V53" s="2">
        <v>0.1001516665522537</v>
      </c>
      <c r="W53" s="2">
        <v>0.1001636824771561</v>
      </c>
      <c r="X53" s="2">
        <v>0.10017443631635255</v>
      </c>
      <c r="Y53" s="1">
        <v>0.10018411701877745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3:V52"/>
  <sheetViews>
    <sheetView workbookViewId="0">
      <selection activeCell="A10" sqref="A10"/>
    </sheetView>
  </sheetViews>
  <sheetFormatPr defaultRowHeight="15" x14ac:dyDescent="0.25"/>
  <cols>
    <col min="6" max="21" width="0" hidden="1" customWidth="1"/>
  </cols>
  <sheetData>
    <row r="3" spans="1:22" x14ac:dyDescent="0.25">
      <c r="A3" t="s">
        <v>40</v>
      </c>
    </row>
    <row r="4" spans="1:22" x14ac:dyDescent="0.25">
      <c r="A4" t="s">
        <v>39</v>
      </c>
      <c r="B4">
        <v>0.1</v>
      </c>
    </row>
    <row r="6" spans="1:22" x14ac:dyDescent="0.25">
      <c r="B6" t="s">
        <v>23</v>
      </c>
    </row>
    <row r="7" spans="1:22" x14ac:dyDescent="0.25">
      <c r="B7" s="20">
        <f>'edo - bernoulli - edo'!E12</f>
        <v>1E-3</v>
      </c>
      <c r="C7" s="20">
        <f>'edo - bernoulli - edo'!F12</f>
        <v>0.05</v>
      </c>
      <c r="D7" s="20">
        <f>'edo - bernoulli - edo'!G12</f>
        <v>0.1</v>
      </c>
      <c r="E7" s="20">
        <f>'edo - bernoulli - edo'!H12</f>
        <v>0.15</v>
      </c>
      <c r="F7" s="20">
        <f>'edo - bernoulli - edo'!I12</f>
        <v>0.2</v>
      </c>
      <c r="G7" s="20">
        <f>'edo - bernoulli - edo'!J12</f>
        <v>0.25</v>
      </c>
      <c r="H7" s="20">
        <f>'edo - bernoulli - edo'!K12</f>
        <v>0.3</v>
      </c>
      <c r="I7" s="20">
        <f>'edo - bernoulli - edo'!L12</f>
        <v>0.35</v>
      </c>
      <c r="J7" s="20">
        <f>'edo - bernoulli - edo'!M12</f>
        <v>0.4</v>
      </c>
      <c r="K7" s="20">
        <f>'edo - bernoulli - edo'!N12</f>
        <v>0.45</v>
      </c>
      <c r="L7" s="20">
        <f>'edo - bernoulli - edo'!O12</f>
        <v>0.5</v>
      </c>
      <c r="M7" s="20">
        <f>'edo - bernoulli - edo'!P12</f>
        <v>0.55000000000000004</v>
      </c>
      <c r="N7" s="20">
        <f>'edo - bernoulli - edo'!Q12</f>
        <v>0.6</v>
      </c>
      <c r="O7" s="20">
        <f>'edo - bernoulli - edo'!R12</f>
        <v>0.65</v>
      </c>
      <c r="P7" s="20">
        <f>'edo - bernoulli - edo'!S12</f>
        <v>0.7</v>
      </c>
      <c r="Q7" s="20">
        <f>'edo - bernoulli - edo'!T12</f>
        <v>0.75</v>
      </c>
      <c r="R7" s="20">
        <f>'edo - bernoulli - edo'!U12</f>
        <v>0.8</v>
      </c>
      <c r="S7" s="20">
        <f>'edo - bernoulli - edo'!V12</f>
        <v>0.85</v>
      </c>
      <c r="T7" s="20">
        <f>'edo - bernoulli - edo'!W12</f>
        <v>0.9</v>
      </c>
      <c r="U7" s="20">
        <f>'edo - bernoulli - edo'!X12</f>
        <v>0.95</v>
      </c>
      <c r="V7" s="20">
        <f>'edo - bernoulli - edo'!Y12</f>
        <v>1</v>
      </c>
    </row>
    <row r="8" spans="1:22" x14ac:dyDescent="0.25">
      <c r="A8" t="s">
        <v>1</v>
      </c>
      <c r="B8" s="18" t="str">
        <f t="shared" ref="B8:V8" si="0">TEXT(B7,"0.00")</f>
        <v>000</v>
      </c>
      <c r="C8" s="18" t="str">
        <f t="shared" si="0"/>
        <v>000</v>
      </c>
      <c r="D8" s="18" t="str">
        <f t="shared" si="0"/>
        <v>000</v>
      </c>
      <c r="E8" s="18" t="str">
        <f t="shared" si="0"/>
        <v>000</v>
      </c>
      <c r="F8" s="18" t="str">
        <f t="shared" si="0"/>
        <v>000</v>
      </c>
      <c r="G8" s="18" t="str">
        <f t="shared" si="0"/>
        <v>000</v>
      </c>
      <c r="H8" s="18" t="str">
        <f t="shared" si="0"/>
        <v>000</v>
      </c>
      <c r="I8" s="18" t="str">
        <f t="shared" si="0"/>
        <v>000</v>
      </c>
      <c r="J8" s="18" t="str">
        <f t="shared" si="0"/>
        <v>000</v>
      </c>
      <c r="K8" s="18" t="str">
        <f t="shared" si="0"/>
        <v>000</v>
      </c>
      <c r="L8" s="18" t="str">
        <f t="shared" si="0"/>
        <v>001</v>
      </c>
      <c r="M8" s="18" t="str">
        <f t="shared" si="0"/>
        <v>001</v>
      </c>
      <c r="N8" s="18" t="str">
        <f t="shared" si="0"/>
        <v>001</v>
      </c>
      <c r="O8" s="18" t="str">
        <f t="shared" si="0"/>
        <v>001</v>
      </c>
      <c r="P8" s="18" t="str">
        <f t="shared" si="0"/>
        <v>001</v>
      </c>
      <c r="Q8" s="18" t="str">
        <f t="shared" si="0"/>
        <v>001</v>
      </c>
      <c r="R8" s="18" t="str">
        <f t="shared" si="0"/>
        <v>001</v>
      </c>
      <c r="S8" s="18" t="str">
        <f t="shared" si="0"/>
        <v>001</v>
      </c>
      <c r="T8" s="18" t="str">
        <f t="shared" si="0"/>
        <v>001</v>
      </c>
      <c r="U8" s="18" t="str">
        <f t="shared" si="0"/>
        <v>001</v>
      </c>
      <c r="V8" s="18" t="str">
        <f t="shared" si="0"/>
        <v>001</v>
      </c>
    </row>
    <row r="9" spans="1:22" x14ac:dyDescent="0.25">
      <c r="A9" s="5">
        <f>'edo - bernoulli - edo'!A13</f>
        <v>0</v>
      </c>
      <c r="B9" s="4">
        <f t="shared" ref="B9:K18" si="1">1/($A9^2-2*$A9+2+(1/B$7-2)*EXP(-$A9))</f>
        <v>1E-3</v>
      </c>
      <c r="C9" s="4">
        <f t="shared" si="1"/>
        <v>0.05</v>
      </c>
      <c r="D9" s="4">
        <f t="shared" si="1"/>
        <v>0.1</v>
      </c>
      <c r="E9" s="4">
        <f t="shared" si="1"/>
        <v>0.15</v>
      </c>
      <c r="F9" s="4">
        <f t="shared" si="1"/>
        <v>0.2</v>
      </c>
      <c r="G9" s="4">
        <f t="shared" si="1"/>
        <v>0.25</v>
      </c>
      <c r="H9" s="4">
        <f t="shared" si="1"/>
        <v>0.3</v>
      </c>
      <c r="I9" s="4">
        <f t="shared" si="1"/>
        <v>0.35</v>
      </c>
      <c r="J9" s="4">
        <f t="shared" si="1"/>
        <v>0.4</v>
      </c>
      <c r="K9" s="4">
        <f t="shared" si="1"/>
        <v>0.44999999999999996</v>
      </c>
      <c r="L9" s="4">
        <f t="shared" ref="L9:V18" si="2">1/($A9^2-2*$A9+2+(1/L$7-2)*EXP(-$A9))</f>
        <v>0.5</v>
      </c>
      <c r="M9" s="4">
        <f t="shared" si="2"/>
        <v>0.55000000000000004</v>
      </c>
      <c r="N9" s="4">
        <f t="shared" si="2"/>
        <v>0.6</v>
      </c>
      <c r="O9" s="4">
        <f t="shared" si="2"/>
        <v>0.65</v>
      </c>
      <c r="P9" s="4">
        <f t="shared" si="2"/>
        <v>0.7</v>
      </c>
      <c r="Q9" s="4">
        <f t="shared" si="2"/>
        <v>0.75</v>
      </c>
      <c r="R9" s="4">
        <f t="shared" si="2"/>
        <v>0.8</v>
      </c>
      <c r="S9" s="4">
        <f t="shared" si="2"/>
        <v>0.85</v>
      </c>
      <c r="T9" s="4">
        <f t="shared" si="2"/>
        <v>0.89999999999999991</v>
      </c>
      <c r="U9" s="4">
        <f t="shared" si="2"/>
        <v>0.95000000000000007</v>
      </c>
      <c r="V9" s="4">
        <f t="shared" si="2"/>
        <v>1</v>
      </c>
    </row>
    <row r="10" spans="1:22" x14ac:dyDescent="0.25">
      <c r="A10" s="5">
        <f ca="1">'edo - bernoulli - edo'!A14</f>
        <v>0.1</v>
      </c>
      <c r="B10" s="4">
        <f t="shared" ca="1" si="1"/>
        <v>1.1051705209196719E-3</v>
      </c>
      <c r="C10" s="4">
        <f t="shared" ca="1" si="1"/>
        <v>5.5257553031325873E-2</v>
      </c>
      <c r="D10" s="4">
        <f t="shared" ca="1" si="1"/>
        <v>0.11051312038909622</v>
      </c>
      <c r="E10" s="4">
        <f t="shared" ca="1" si="1"/>
        <v>0.16576670218034156</v>
      </c>
      <c r="F10" s="4">
        <f t="shared" ca="1" si="1"/>
        <v>0.2210182985120846</v>
      </c>
      <c r="G10" s="4">
        <f t="shared" ca="1" si="1"/>
        <v>0.27626790949134056</v>
      </c>
      <c r="H10" s="4">
        <f t="shared" ca="1" si="1"/>
        <v>0.33151553522511679</v>
      </c>
      <c r="I10" s="4">
        <f t="shared" ca="1" si="1"/>
        <v>0.38676117582041308</v>
      </c>
      <c r="J10" s="4">
        <f t="shared" ca="1" si="1"/>
        <v>0.44200483138422142</v>
      </c>
      <c r="K10" s="4">
        <f t="shared" ca="1" si="1"/>
        <v>0.49724650202352605</v>
      </c>
      <c r="L10" s="4">
        <f t="shared" ca="1" si="2"/>
        <v>0.5524861878453039</v>
      </c>
      <c r="M10" s="4">
        <f t="shared" ca="1" si="2"/>
        <v>0.60772388895652374</v>
      </c>
      <c r="N10" s="4">
        <f t="shared" ca="1" si="2"/>
        <v>0.66295960546414667</v>
      </c>
      <c r="O10" s="4">
        <f t="shared" ca="1" si="2"/>
        <v>0.71819333747512681</v>
      </c>
      <c r="P10" s="4">
        <f t="shared" ca="1" si="2"/>
        <v>0.77342508509640961</v>
      </c>
      <c r="Q10" s="4">
        <f t="shared" ca="1" si="2"/>
        <v>0.82865484843493364</v>
      </c>
      <c r="R10" s="4">
        <f t="shared" ca="1" si="2"/>
        <v>0.88388262759762914</v>
      </c>
      <c r="S10" s="4">
        <f t="shared" ca="1" si="2"/>
        <v>0.93910842269141903</v>
      </c>
      <c r="T10" s="4">
        <f t="shared" ca="1" si="2"/>
        <v>0.99433223382321867</v>
      </c>
      <c r="U10" s="4">
        <f t="shared" ca="1" si="2"/>
        <v>1.0495540610999357</v>
      </c>
      <c r="V10" s="4">
        <f t="shared" ca="1" si="2"/>
        <v>1.1047739046284695</v>
      </c>
    </row>
    <row r="11" spans="1:22" x14ac:dyDescent="0.25">
      <c r="A11" s="5">
        <f ca="1">'edo - bernoulli - edo'!A15</f>
        <v>0.2</v>
      </c>
      <c r="B11" s="4">
        <f t="shared" ca="1" si="1"/>
        <v>1.2213989711841002E-3</v>
      </c>
      <c r="C11" s="4">
        <f t="shared" ca="1" si="1"/>
        <v>6.1060671905958167E-2</v>
      </c>
      <c r="D11" s="4">
        <f t="shared" ca="1" si="1"/>
        <v>0.12210241767590842</v>
      </c>
      <c r="E11" s="4">
        <f t="shared" ca="1" si="1"/>
        <v>0.18312524610789802</v>
      </c>
      <c r="F11" s="4">
        <f t="shared" ca="1" si="1"/>
        <v>0.244129165994522</v>
      </c>
      <c r="G11" s="4">
        <f t="shared" ca="1" si="1"/>
        <v>0.30511418612292718</v>
      </c>
      <c r="H11" s="4">
        <f t="shared" ca="1" si="1"/>
        <v>0.36608031527481655</v>
      </c>
      <c r="I11" s="4">
        <f t="shared" ca="1" si="1"/>
        <v>0.42702756222645344</v>
      </c>
      <c r="J11" s="4">
        <f t="shared" ca="1" si="1"/>
        <v>0.48795593574866569</v>
      </c>
      <c r="K11" s="4">
        <f t="shared" ca="1" si="1"/>
        <v>0.54886544460684983</v>
      </c>
      <c r="L11" s="4">
        <f t="shared" ca="1" si="2"/>
        <v>0.6097560975609756</v>
      </c>
      <c r="M11" s="4">
        <f t="shared" ca="1" si="2"/>
        <v>0.67062790336558942</v>
      </c>
      <c r="N11" s="4">
        <f t="shared" ca="1" si="2"/>
        <v>0.73148087076981938</v>
      </c>
      <c r="O11" s="4">
        <f t="shared" ca="1" si="2"/>
        <v>0.79231500851737946</v>
      </c>
      <c r="P11" s="4">
        <f t="shared" ca="1" si="2"/>
        <v>0.85313032534657229</v>
      </c>
      <c r="Q11" s="4">
        <f t="shared" ca="1" si="2"/>
        <v>0.91392682999029573</v>
      </c>
      <c r="R11" s="4">
        <f t="shared" ca="1" si="2"/>
        <v>0.97470453117604461</v>
      </c>
      <c r="S11" s="4">
        <f t="shared" ca="1" si="2"/>
        <v>1.0354634376259164</v>
      </c>
      <c r="T11" s="4">
        <f t="shared" ca="1" si="2"/>
        <v>1.0962035580566156</v>
      </c>
      <c r="U11" s="4">
        <f t="shared" ca="1" si="2"/>
        <v>1.1569249011794567</v>
      </c>
      <c r="V11" s="4">
        <f t="shared" ca="1" si="2"/>
        <v>1.2176274757003687</v>
      </c>
    </row>
    <row r="12" spans="1:22" x14ac:dyDescent="0.25">
      <c r="A12" s="5">
        <f ca="1">'edo - bernoulli - edo'!A16</f>
        <v>0.30000000000000004</v>
      </c>
      <c r="B12" s="4">
        <f t="shared" ca="1" si="1"/>
        <v>1.3498435683506184E-3</v>
      </c>
      <c r="C12" s="4">
        <f t="shared" ca="1" si="1"/>
        <v>6.7454863378974717E-2</v>
      </c>
      <c r="D12" s="4">
        <f t="shared" ca="1" si="1"/>
        <v>0.13483365863634231</v>
      </c>
      <c r="E12" s="4">
        <f t="shared" ca="1" si="1"/>
        <v>0.20213651437139266</v>
      </c>
      <c r="F12" s="4">
        <f t="shared" ca="1" si="1"/>
        <v>0.26936355889370245</v>
      </c>
      <c r="G12" s="4">
        <f t="shared" ca="1" si="1"/>
        <v>0.33651492022395024</v>
      </c>
      <c r="H12" s="4">
        <f t="shared" ca="1" si="1"/>
        <v>0.40359072609472935</v>
      </c>
      <c r="I12" s="4">
        <f t="shared" ca="1" si="1"/>
        <v>0.47059110395135756</v>
      </c>
      <c r="J12" s="4">
        <f t="shared" ca="1" si="1"/>
        <v>0.53751618095268461</v>
      </c>
      <c r="K12" s="4">
        <f t="shared" ca="1" si="1"/>
        <v>0.60436608397189595</v>
      </c>
      <c r="L12" s="4">
        <f t="shared" ca="1" si="2"/>
        <v>0.67114093959731547</v>
      </c>
      <c r="M12" s="4">
        <f t="shared" ca="1" si="2"/>
        <v>0.73784087413320354</v>
      </c>
      <c r="N12" s="4">
        <f t="shared" ca="1" si="2"/>
        <v>0.80446601360055414</v>
      </c>
      <c r="O12" s="4">
        <f t="shared" ca="1" si="2"/>
        <v>0.8710164837378882</v>
      </c>
      <c r="P12" s="4">
        <f t="shared" ca="1" si="2"/>
        <v>0.93749241000204409</v>
      </c>
      <c r="Q12" s="4">
        <f t="shared" ca="1" si="2"/>
        <v>1.0038939175689672</v>
      </c>
      <c r="R12" s="4">
        <f t="shared" ca="1" si="2"/>
        <v>1.0702211313344943</v>
      </c>
      <c r="S12" s="4">
        <f t="shared" ca="1" si="2"/>
        <v>1.1364741759151376</v>
      </c>
      <c r="T12" s="4">
        <f t="shared" ca="1" si="2"/>
        <v>1.2026531756488645</v>
      </c>
      <c r="U12" s="4">
        <f t="shared" ca="1" si="2"/>
        <v>1.2687582545958767</v>
      </c>
      <c r="V12" s="4">
        <f t="shared" ca="1" si="2"/>
        <v>1.3347895365393829</v>
      </c>
    </row>
    <row r="13" spans="1:22" x14ac:dyDescent="0.25">
      <c r="A13" s="5">
        <f ca="1">'edo - bernoulli - edo'!A17</f>
        <v>0.4</v>
      </c>
      <c r="B13" s="4">
        <f t="shared" ca="1" si="1"/>
        <v>1.4917816126181669E-3</v>
      </c>
      <c r="C13" s="4">
        <f t="shared" ca="1" si="1"/>
        <v>7.4483674539075298E-2</v>
      </c>
      <c r="D13" s="4">
        <f t="shared" ca="1" si="1"/>
        <v>0.14875284790564017</v>
      </c>
      <c r="E13" s="4">
        <f t="shared" ca="1" si="1"/>
        <v>0.22280844536143918</v>
      </c>
      <c r="F13" s="4">
        <f t="shared" ca="1" si="1"/>
        <v>0.29665138685430598</v>
      </c>
      <c r="G13" s="4">
        <f t="shared" ca="1" si="1"/>
        <v>0.37028258705625661</v>
      </c>
      <c r="H13" s="4">
        <f t="shared" ca="1" si="1"/>
        <v>0.44370295540125587</v>
      </c>
      <c r="I13" s="4">
        <f t="shared" ca="1" si="1"/>
        <v>0.51691339612265974</v>
      </c>
      <c r="J13" s="4">
        <f t="shared" ca="1" si="1"/>
        <v>0.58991480829033682</v>
      </c>
      <c r="K13" s="4">
        <f t="shared" ca="1" si="1"/>
        <v>0.66270808584747254</v>
      </c>
      <c r="L13" s="4">
        <f t="shared" ca="1" si="2"/>
        <v>0.73529411764705888</v>
      </c>
      <c r="M13" s="4">
        <f t="shared" ca="1" si="2"/>
        <v>0.80767378748807284</v>
      </c>
      <c r="N13" s="4">
        <f t="shared" ca="1" si="2"/>
        <v>0.87984797415134686</v>
      </c>
      <c r="O13" s="4">
        <f t="shared" ca="1" si="2"/>
        <v>0.95181755143513436</v>
      </c>
      <c r="P13" s="4">
        <f t="shared" ca="1" si="2"/>
        <v>1.0235833881903724</v>
      </c>
      <c r="Q13" s="4">
        <f t="shared" ca="1" si="2"/>
        <v>1.0951463483556469</v>
      </c>
      <c r="R13" s="4">
        <f t="shared" ca="1" si="2"/>
        <v>1.1665072909918599</v>
      </c>
      <c r="S13" s="4">
        <f t="shared" ca="1" si="2"/>
        <v>1.2376670703166046</v>
      </c>
      <c r="T13" s="4">
        <f t="shared" ca="1" si="2"/>
        <v>1.3086265357382507</v>
      </c>
      <c r="U13" s="4">
        <f t="shared" ca="1" si="2"/>
        <v>1.3793865318897405</v>
      </c>
      <c r="V13" s="4">
        <f t="shared" ca="1" si="2"/>
        <v>1.4499478986621022</v>
      </c>
    </row>
    <row r="14" spans="1:22" x14ac:dyDescent="0.25">
      <c r="A14" s="5">
        <f ca="1">'edo - bernoulli - edo'!A18</f>
        <v>0.5</v>
      </c>
      <c r="B14" s="4">
        <f t="shared" ca="1" si="1"/>
        <v>1.6486208670706949E-3</v>
      </c>
      <c r="C14" s="4">
        <f t="shared" ca="1" si="1"/>
        <v>8.2185801243126827E-2</v>
      </c>
      <c r="D14" s="4">
        <f t="shared" ca="1" si="1"/>
        <v>0.16387410772461369</v>
      </c>
      <c r="E14" s="4">
        <f t="shared" ca="1" si="1"/>
        <v>0.24506942303625537</v>
      </c>
      <c r="F14" s="4">
        <f t="shared" ca="1" si="1"/>
        <v>0.32577619657478107</v>
      </c>
      <c r="G14" s="4">
        <f t="shared" ca="1" si="1"/>
        <v>0.40599882435462104</v>
      </c>
      <c r="H14" s="4">
        <f t="shared" ca="1" si="1"/>
        <v>0.48574164980608991</v>
      </c>
      <c r="I14" s="4">
        <f t="shared" ca="1" si="1"/>
        <v>0.56500896455929195</v>
      </c>
      <c r="J14" s="4">
        <f t="shared" ca="1" si="1"/>
        <v>0.64380500921404338</v>
      </c>
      <c r="K14" s="4">
        <f t="shared" ca="1" si="1"/>
        <v>0.72213397409610391</v>
      </c>
      <c r="L14" s="4">
        <f t="shared" ca="1" si="2"/>
        <v>0.8</v>
      </c>
      <c r="M14" s="4">
        <f t="shared" ca="1" si="2"/>
        <v>0.87740717891871556</v>
      </c>
      <c r="N14" s="4">
        <f t="shared" ca="1" si="2"/>
        <v>0.95435955476052103</v>
      </c>
      <c r="O14" s="4">
        <f t="shared" ca="1" si="2"/>
        <v>1.0308611240532053</v>
      </c>
      <c r="P14" s="4">
        <f t="shared" ca="1" si="2"/>
        <v>1.106915836635965</v>
      </c>
      <c r="Q14" s="4">
        <f t="shared" ca="1" si="2"/>
        <v>1.1825275963392077</v>
      </c>
      <c r="R14" s="4">
        <f t="shared" ca="1" si="2"/>
        <v>1.2577002616525088</v>
      </c>
      <c r="S14" s="4">
        <f t="shared" ca="1" si="2"/>
        <v>1.3324376463809671</v>
      </c>
      <c r="T14" s="4">
        <f t="shared" ca="1" si="2"/>
        <v>1.4067435202901921</v>
      </c>
      <c r="U14" s="4">
        <f t="shared" ca="1" si="2"/>
        <v>1.4806216097401483</v>
      </c>
      <c r="V14" s="4">
        <f t="shared" ca="1" si="2"/>
        <v>1.5540755983080883</v>
      </c>
    </row>
    <row r="15" spans="1:22" x14ac:dyDescent="0.25">
      <c r="A15" s="5">
        <f ca="1">'edo - bernoulli - edo'!A19</f>
        <v>0.6</v>
      </c>
      <c r="B15" s="4">
        <f t="shared" ca="1" si="1"/>
        <v>1.8219117258965491E-3</v>
      </c>
      <c r="C15" s="4">
        <f t="shared" ca="1" si="1"/>
        <v>9.0591120607846048E-2</v>
      </c>
      <c r="D15" s="4">
        <f t="shared" ca="1" si="1"/>
        <v>0.18016417352657343</v>
      </c>
      <c r="E15" s="4">
        <f t="shared" ca="1" si="1"/>
        <v>0.26873622450913054</v>
      </c>
      <c r="F15" s="4">
        <f t="shared" ca="1" si="1"/>
        <v>0.3563239599995342</v>
      </c>
      <c r="G15" s="4">
        <f t="shared" ca="1" si="1"/>
        <v>0.4429436976129395</v>
      </c>
      <c r="H15" s="4">
        <f t="shared" ca="1" si="1"/>
        <v>0.52861139627015041</v>
      </c>
      <c r="I15" s="4">
        <f t="shared" ca="1" si="1"/>
        <v>0.61334266599979026</v>
      </c>
      <c r="J15" s="4">
        <f t="shared" ca="1" si="1"/>
        <v>0.69715277742077908</v>
      </c>
      <c r="K15" s="4">
        <f t="shared" ca="1" si="1"/>
        <v>0.78005667091721509</v>
      </c>
      <c r="L15" s="4">
        <f t="shared" ca="1" si="2"/>
        <v>0.86206896551724133</v>
      </c>
      <c r="M15" s="4">
        <f t="shared" ca="1" si="2"/>
        <v>0.94320396748697544</v>
      </c>
      <c r="N15" s="4">
        <f t="shared" ca="1" si="2"/>
        <v>1.0234756786501193</v>
      </c>
      <c r="O15" s="4">
        <f t="shared" ca="1" si="2"/>
        <v>1.1028978044434066</v>
      </c>
      <c r="P15" s="4">
        <f t="shared" ca="1" si="2"/>
        <v>1.1814837617176221</v>
      </c>
      <c r="Q15" s="4">
        <f t="shared" ca="1" si="2"/>
        <v>1.2592466862935225</v>
      </c>
      <c r="R15" s="4">
        <f t="shared" ca="1" si="2"/>
        <v>1.3361994402815922</v>
      </c>
      <c r="S15" s="4">
        <f t="shared" ca="1" si="2"/>
        <v>1.412354619174204</v>
      </c>
      <c r="T15" s="4">
        <f t="shared" ca="1" si="2"/>
        <v>1.4877245587183952</v>
      </c>
      <c r="U15" s="4">
        <f t="shared" ca="1" si="2"/>
        <v>1.5623213415771391</v>
      </c>
      <c r="V15" s="4">
        <f t="shared" ca="1" si="2"/>
        <v>1.6361568037866665</v>
      </c>
    </row>
    <row r="16" spans="1:22" x14ac:dyDescent="0.25">
      <c r="A16" s="5">
        <f ca="1">'edo - bernoulli - edo'!A20</f>
        <v>0.7</v>
      </c>
      <c r="B16" s="4">
        <f t="shared" ca="1" si="1"/>
        <v>2.0133601214720777E-3</v>
      </c>
      <c r="C16" s="4">
        <f t="shared" ca="1" si="1"/>
        <v>9.9715457273539823E-2</v>
      </c>
      <c r="D16" s="4">
        <f t="shared" ca="1" si="1"/>
        <v>0.19752374630667188</v>
      </c>
      <c r="E16" s="4">
        <f t="shared" ca="1" si="1"/>
        <v>0.29347906386108463</v>
      </c>
      <c r="F16" s="4">
        <f t="shared" ca="1" si="1"/>
        <v>0.3876335724596916</v>
      </c>
      <c r="G16" s="4">
        <f t="shared" ca="1" si="1"/>
        <v>0.48003749494158687</v>
      </c>
      <c r="H16" s="4">
        <f t="shared" ca="1" si="1"/>
        <v>0.57073920379148435</v>
      </c>
      <c r="I16" s="4">
        <f t="shared" ca="1" si="1"/>
        <v>0.65978530557748205</v>
      </c>
      <c r="J16" s="4">
        <f t="shared" ca="1" si="1"/>
        <v>0.74722072080683555</v>
      </c>
      <c r="K16" s="4">
        <f t="shared" ca="1" si="1"/>
        <v>0.83308875948722294</v>
      </c>
      <c r="L16" s="4">
        <f t="shared" ca="1" si="2"/>
        <v>0.9174311926605504</v>
      </c>
      <c r="M16" s="4">
        <f t="shared" ca="1" si="2"/>
        <v>1.0002883201575361</v>
      </c>
      <c r="N16" s="4">
        <f t="shared" ca="1" si="2"/>
        <v>1.0816990348039779</v>
      </c>
      <c r="O16" s="4">
        <f t="shared" ca="1" si="2"/>
        <v>1.1617008832936264</v>
      </c>
      <c r="P16" s="4">
        <f t="shared" ca="1" si="2"/>
        <v>1.2403301239278315</v>
      </c>
      <c r="Q16" s="4">
        <f t="shared" ca="1" si="2"/>
        <v>1.317621781408518</v>
      </c>
      <c r="R16" s="4">
        <f t="shared" ca="1" si="2"/>
        <v>1.3936096988584472</v>
      </c>
      <c r="S16" s="4">
        <f t="shared" ca="1" si="2"/>
        <v>1.4683265872310951</v>
      </c>
      <c r="T16" s="4">
        <f t="shared" ca="1" si="2"/>
        <v>1.5418040722616984</v>
      </c>
      <c r="U16" s="4">
        <f t="shared" ca="1" si="2"/>
        <v>1.6140727391010454</v>
      </c>
      <c r="V16" s="4">
        <f t="shared" ca="1" si="2"/>
        <v>1.6851621747643593</v>
      </c>
    </row>
    <row r="17" spans="1:22" x14ac:dyDescent="0.25">
      <c r="A17" s="5">
        <f ca="1">'edo - bernoulli - edo'!A21</f>
        <v>0.79999999999999993</v>
      </c>
      <c r="B17" s="4">
        <f t="shared" ca="1" si="1"/>
        <v>2.2248410767752333E-3</v>
      </c>
      <c r="C17" s="4">
        <f t="shared" ca="1" si="1"/>
        <v>0.10955396756893993</v>
      </c>
      <c r="D17" s="4">
        <f t="shared" ca="1" si="1"/>
        <v>0.21576687468142444</v>
      </c>
      <c r="E17" s="4">
        <f t="shared" ca="1" si="1"/>
        <v>0.31878926395883778</v>
      </c>
      <c r="F17" s="4">
        <f t="shared" ca="1" si="1"/>
        <v>0.41876276758588493</v>
      </c>
      <c r="G17" s="4">
        <f t="shared" ca="1" si="1"/>
        <v>0.51582075694535279</v>
      </c>
      <c r="H17" s="4">
        <f t="shared" ca="1" si="1"/>
        <v>0.61008893623406424</v>
      </c>
      <c r="I17" s="4">
        <f t="shared" ca="1" si="1"/>
        <v>0.70168588561584411</v>
      </c>
      <c r="J17" s="4">
        <f t="shared" ca="1" si="1"/>
        <v>0.79072355884638112</v>
      </c>
      <c r="K17" s="4">
        <f t="shared" ca="1" si="1"/>
        <v>0.87730773976093934</v>
      </c>
      <c r="L17" s="4">
        <f t="shared" ca="1" si="2"/>
        <v>0.96153846153846145</v>
      </c>
      <c r="M17" s="4">
        <f t="shared" ca="1" si="2"/>
        <v>1.0435103922358173</v>
      </c>
      <c r="N17" s="4">
        <f t="shared" ca="1" si="2"/>
        <v>1.123313189716143</v>
      </c>
      <c r="O17" s="4">
        <f t="shared" ca="1" si="2"/>
        <v>1.2010318287688746</v>
      </c>
      <c r="P17" s="4">
        <f t="shared" ca="1" si="2"/>
        <v>1.2767469029305891</v>
      </c>
      <c r="Q17" s="4">
        <f t="shared" ca="1" si="2"/>
        <v>1.3505349032603313</v>
      </c>
      <c r="R17" s="4">
        <f t="shared" ca="1" si="2"/>
        <v>1.4224684760965318</v>
      </c>
      <c r="S17" s="4">
        <f t="shared" ca="1" si="2"/>
        <v>1.4926166616213943</v>
      </c>
      <c r="T17" s="4">
        <f t="shared" ca="1" si="2"/>
        <v>1.5610451148795552</v>
      </c>
      <c r="U17" s="4">
        <f t="shared" ca="1" si="2"/>
        <v>1.6278163107383026</v>
      </c>
      <c r="V17" s="4">
        <f t="shared" ca="1" si="2"/>
        <v>1.6929897341342717</v>
      </c>
    </row>
    <row r="18" spans="1:22" x14ac:dyDescent="0.25">
      <c r="A18" s="5">
        <f ca="1">'edo - bernoulli - edo'!A22</f>
        <v>0.89999999999999991</v>
      </c>
      <c r="B18" s="4">
        <f t="shared" ca="1" si="1"/>
        <v>2.4584127498121482E-3</v>
      </c>
      <c r="C18" s="4">
        <f t="shared" ca="1" si="1"/>
        <v>0.12007318880637287</v>
      </c>
      <c r="D18" s="4">
        <f t="shared" ca="1" si="1"/>
        <v>0.23460095308956069</v>
      </c>
      <c r="E18" s="4">
        <f t="shared" ca="1" si="1"/>
        <v>0.34395878441511424</v>
      </c>
      <c r="F18" s="4">
        <f t="shared" ca="1" si="1"/>
        <v>0.4484890222530365</v>
      </c>
      <c r="G18" s="4">
        <f t="shared" ca="1" si="1"/>
        <v>0.54850443370645152</v>
      </c>
      <c r="H18" s="4">
        <f t="shared" ca="1" si="1"/>
        <v>0.64429133920312787</v>
      </c>
      <c r="I18" s="4">
        <f t="shared" ca="1" si="1"/>
        <v>0.73611234994509467</v>
      </c>
      <c r="J18" s="4">
        <f t="shared" ca="1" si="1"/>
        <v>0.82420877223602984</v>
      </c>
      <c r="K18" s="4">
        <f t="shared" ca="1" si="1"/>
        <v>0.90880272504047621</v>
      </c>
      <c r="L18" s="4">
        <f t="shared" ca="1" si="2"/>
        <v>0.99009900990099009</v>
      </c>
      <c r="M18" s="4">
        <f t="shared" ca="1" si="2"/>
        <v>1.0682867663550606</v>
      </c>
      <c r="N18" s="4">
        <f t="shared" ca="1" si="2"/>
        <v>1.1435409410197506</v>
      </c>
      <c r="O18" s="4">
        <f t="shared" ca="1" si="2"/>
        <v>1.2160235943624427</v>
      </c>
      <c r="P18" s="4">
        <f t="shared" ca="1" si="2"/>
        <v>1.285885065701776</v>
      </c>
      <c r="Q18" s="4">
        <f t="shared" ca="1" si="2"/>
        <v>1.3532650140639078</v>
      </c>
      <c r="R18" s="4">
        <f t="shared" ca="1" si="2"/>
        <v>1.4182933500587045</v>
      </c>
      <c r="S18" s="4">
        <f t="shared" ca="1" si="2"/>
        <v>1.4810910718597587</v>
      </c>
      <c r="T18" s="4">
        <f t="shared" ca="1" si="2"/>
        <v>1.541771016607167</v>
      </c>
      <c r="U18" s="4">
        <f t="shared" ca="1" si="2"/>
        <v>1.6004385370504546</v>
      </c>
      <c r="V18" s="4">
        <f t="shared" ca="1" si="2"/>
        <v>1.6571921119679249</v>
      </c>
    </row>
    <row r="19" spans="1:22" x14ac:dyDescent="0.25">
      <c r="A19" s="5">
        <f ca="1">'edo - bernoulli - edo'!A23</f>
        <v>0.99999999999999989</v>
      </c>
      <c r="B19" s="4">
        <f t="shared" ref="B19:K28" ca="1" si="3">1/($A19^2-2*$A19+2+(1/B$7-2)*EXP(-$A19))</f>
        <v>2.7163307374502496E-3</v>
      </c>
      <c r="C19" s="4">
        <f t="shared" ca="1" si="3"/>
        <v>0.1312020876521314</v>
      </c>
      <c r="D19" s="4">
        <f t="shared" ca="1" si="3"/>
        <v>0.25361171426202822</v>
      </c>
      <c r="E19" s="4">
        <f t="shared" ca="1" si="3"/>
        <v>0.3680840604715378</v>
      </c>
      <c r="F19" s="4">
        <f t="shared" ca="1" si="3"/>
        <v>0.47536688641867159</v>
      </c>
      <c r="G19" s="4">
        <f t="shared" ca="1" si="3"/>
        <v>0.57611688476582912</v>
      </c>
      <c r="H19" s="4">
        <f t="shared" ca="1" si="3"/>
        <v>0.67091313461679192</v>
      </c>
      <c r="I19" s="4">
        <f t="shared" ca="1" si="3"/>
        <v>0.76026823873691463</v>
      </c>
      <c r="J19" s="4">
        <f t="shared" ca="1" si="3"/>
        <v>0.84463759650303638</v>
      </c>
      <c r="K19" s="4">
        <f t="shared" ca="1" si="3"/>
        <v>0.92442716677409875</v>
      </c>
      <c r="L19" s="4">
        <f t="shared" ref="L19:V28" ca="1" si="4">1/($A19^2-2*$A19+2+(1/L$7-2)*EXP(-$A19))</f>
        <v>1</v>
      </c>
      <c r="M19" s="4">
        <f t="shared" ca="1" si="4"/>
        <v>1.0716817613605347</v>
      </c>
      <c r="N19" s="4">
        <f t="shared" ca="1" si="4"/>
        <v>1.1397654221944793</v>
      </c>
      <c r="O19" s="4">
        <f t="shared" ca="1" si="4"/>
        <v>1.204515262259638</v>
      </c>
      <c r="P19" s="4">
        <f t="shared" ca="1" si="4"/>
        <v>1.2661702981129559</v>
      </c>
      <c r="Q19" s="4">
        <f t="shared" ca="1" si="4"/>
        <v>1.32494723137269</v>
      </c>
      <c r="R19" s="4">
        <f t="shared" ca="1" si="4"/>
        <v>1.3810429935164166</v>
      </c>
      <c r="S19" s="4">
        <f t="shared" ca="1" si="4"/>
        <v>1.4346369501939826</v>
      </c>
      <c r="T19" s="4">
        <f t="shared" ca="1" si="4"/>
        <v>1.4858928170444052</v>
      </c>
      <c r="U19" s="4">
        <f t="shared" ca="1" si="4"/>
        <v>1.534960330127094</v>
      </c>
      <c r="V19" s="4">
        <f t="shared" ca="1" si="4"/>
        <v>1.5819767068693265</v>
      </c>
    </row>
    <row r="20" spans="1:22" x14ac:dyDescent="0.25">
      <c r="A20" s="5">
        <f ca="1">'edo - bernoulli - edo'!A24</f>
        <v>1.0999999999999999</v>
      </c>
      <c r="B20" s="4">
        <f t="shared" ca="1" si="3"/>
        <v>3.0010623022527225E-3</v>
      </c>
      <c r="C20" s="4">
        <f t="shared" ca="1" si="3"/>
        <v>0.1428228754347162</v>
      </c>
      <c r="D20" s="4">
        <f t="shared" ca="1" si="3"/>
        <v>0.27225933296977634</v>
      </c>
      <c r="E20" s="4">
        <f t="shared" ca="1" si="3"/>
        <v>0.39010713421312238</v>
      </c>
      <c r="F20" s="4">
        <f t="shared" ca="1" si="3"/>
        <v>0.49785592097195752</v>
      </c>
      <c r="G20" s="4">
        <f t="shared" ca="1" si="3"/>
        <v>0.59675051416402758</v>
      </c>
      <c r="H20" s="4">
        <f t="shared" ca="1" si="3"/>
        <v>0.68783922392394692</v>
      </c>
      <c r="I20" s="4">
        <f t="shared" ca="1" si="3"/>
        <v>0.77201115449255298</v>
      </c>
      <c r="J20" s="4">
        <f t="shared" ca="1" si="3"/>
        <v>0.85002532176838974</v>
      </c>
      <c r="K20" s="4">
        <f t="shared" ca="1" si="3"/>
        <v>0.92253360590833766</v>
      </c>
      <c r="L20" s="4">
        <f t="shared" ca="1" si="4"/>
        <v>0.99009900990099009</v>
      </c>
      <c r="M20" s="4">
        <f t="shared" ca="1" si="4"/>
        <v>1.0532103071662304</v>
      </c>
      <c r="N20" s="4">
        <f t="shared" ca="1" si="4"/>
        <v>1.1122938847555539</v>
      </c>
      <c r="O20" s="4">
        <f t="shared" ca="1" si="4"/>
        <v>1.1677233891945737</v>
      </c>
      <c r="P20" s="4">
        <f t="shared" ca="1" si="4"/>
        <v>1.2198276363416818</v>
      </c>
      <c r="Q20" s="4">
        <f t="shared" ca="1" si="4"/>
        <v>1.268897139148311</v>
      </c>
      <c r="R20" s="4">
        <f t="shared" ca="1" si="4"/>
        <v>1.3151895270929064</v>
      </c>
      <c r="S20" s="4">
        <f t="shared" ca="1" si="4"/>
        <v>1.35893407078914</v>
      </c>
      <c r="T20" s="4">
        <f t="shared" ca="1" si="4"/>
        <v>1.400335479525094</v>
      </c>
      <c r="U20" s="4">
        <f t="shared" ca="1" si="4"/>
        <v>1.4395771044847294</v>
      </c>
      <c r="V20" s="4">
        <f t="shared" ca="1" si="4"/>
        <v>1.4768236534062249</v>
      </c>
    </row>
    <row r="21" spans="1:22" x14ac:dyDescent="0.25">
      <c r="A21" s="5">
        <f ca="1">'edo - bernoulli - edo'!A25</f>
        <v>1.2</v>
      </c>
      <c r="B21" s="4">
        <f t="shared" ca="1" si="3"/>
        <v>3.3153000516821505E-3</v>
      </c>
      <c r="C21" s="4">
        <f t="shared" ca="1" si="3"/>
        <v>0.15476292622033036</v>
      </c>
      <c r="D21" s="4">
        <f t="shared" ca="1" si="3"/>
        <v>0.28989257403448621</v>
      </c>
      <c r="E21" s="4">
        <f t="shared" ca="1" si="3"/>
        <v>0.40890212826571093</v>
      </c>
      <c r="F21" s="4">
        <f t="shared" ca="1" si="3"/>
        <v>0.51451375496622809</v>
      </c>
      <c r="G21" s="4">
        <f t="shared" ca="1" si="3"/>
        <v>0.60886936701090311</v>
      </c>
      <c r="H21" s="4">
        <f t="shared" ca="1" si="3"/>
        <v>0.69367740942078171</v>
      </c>
      <c r="I21" s="4">
        <f t="shared" ca="1" si="3"/>
        <v>0.7703172321488061</v>
      </c>
      <c r="J21" s="4">
        <f t="shared" ca="1" si="3"/>
        <v>0.83991469070215541</v>
      </c>
      <c r="K21" s="4">
        <f t="shared" ca="1" si="3"/>
        <v>0.90339782159839155</v>
      </c>
      <c r="L21" s="4">
        <f t="shared" ca="1" si="4"/>
        <v>0.96153846153846145</v>
      </c>
      <c r="M21" s="4">
        <f t="shared" ca="1" si="4"/>
        <v>1.0149837833440518</v>
      </c>
      <c r="N21" s="4">
        <f t="shared" ca="1" si="4"/>
        <v>1.06428048809816</v>
      </c>
      <c r="O21" s="4">
        <f t="shared" ca="1" si="4"/>
        <v>1.109893574126706</v>
      </c>
      <c r="P21" s="4">
        <f t="shared" ca="1" si="4"/>
        <v>1.1522210500680798</v>
      </c>
      <c r="Q21" s="4">
        <f t="shared" ca="1" si="4"/>
        <v>1.1916055790294631</v>
      </c>
      <c r="R21" s="4">
        <f t="shared" ca="1" si="4"/>
        <v>1.2283437755543372</v>
      </c>
      <c r="S21" s="4">
        <f t="shared" ca="1" si="4"/>
        <v>1.2626936894536878</v>
      </c>
      <c r="T21" s="4">
        <f t="shared" ca="1" si="4"/>
        <v>1.2948808760540993</v>
      </c>
      <c r="U21" s="4">
        <f t="shared" ca="1" si="4"/>
        <v>1.3251033548609283</v>
      </c>
      <c r="V21" s="4">
        <f t="shared" ca="1" si="4"/>
        <v>1.3535356870825739</v>
      </c>
    </row>
    <row r="22" spans="1:22" x14ac:dyDescent="0.25">
      <c r="A22" s="5">
        <f ca="1">'edo - bernoulli - edo'!A26</f>
        <v>1.3</v>
      </c>
      <c r="B22" s="4">
        <f t="shared" ca="1" si="3"/>
        <v>3.6619744275596566E-3</v>
      </c>
      <c r="C22" s="4">
        <f t="shared" ca="1" si="3"/>
        <v>0.16678974986831874</v>
      </c>
      <c r="D22" s="4">
        <f t="shared" ca="1" si="3"/>
        <v>0.30578661312735961</v>
      </c>
      <c r="E22" s="4">
        <f t="shared" ca="1" si="3"/>
        <v>0.42340318167895746</v>
      </c>
      <c r="F22" s="4">
        <f t="shared" ca="1" si="3"/>
        <v>0.52422018366952106</v>
      </c>
      <c r="G22" s="4">
        <f t="shared" ca="1" si="3"/>
        <v>0.61159700975592268</v>
      </c>
      <c r="H22" s="4">
        <f t="shared" ca="1" si="3"/>
        <v>0.68805332541029607</v>
      </c>
      <c r="I22" s="4">
        <f t="shared" ca="1" si="3"/>
        <v>0.75551601501584731</v>
      </c>
      <c r="J22" s="4">
        <f t="shared" ca="1" si="3"/>
        <v>0.81548382193480629</v>
      </c>
      <c r="K22" s="4">
        <f t="shared" ca="1" si="3"/>
        <v>0.86914000336114161</v>
      </c>
      <c r="L22" s="4">
        <f t="shared" ca="1" si="4"/>
        <v>0.9174311926605504</v>
      </c>
      <c r="M22" s="4">
        <f t="shared" ca="1" si="4"/>
        <v>0.96112373211699531</v>
      </c>
      <c r="N22" s="4">
        <f t="shared" ca="1" si="4"/>
        <v>1.0008446438324612</v>
      </c>
      <c r="O22" s="4">
        <f t="shared" ca="1" si="4"/>
        <v>1.0371119136502651</v>
      </c>
      <c r="P22" s="4">
        <f t="shared" ca="1" si="4"/>
        <v>1.0703572048336505</v>
      </c>
      <c r="Q22" s="4">
        <f t="shared" ca="1" si="4"/>
        <v>1.100943120970342</v>
      </c>
      <c r="R22" s="4">
        <f t="shared" ca="1" si="4"/>
        <v>1.1291764854874318</v>
      </c>
      <c r="S22" s="4">
        <f t="shared" ca="1" si="4"/>
        <v>1.1553186704180072</v>
      </c>
      <c r="T22" s="4">
        <f t="shared" ca="1" si="4"/>
        <v>1.1795937120450937</v>
      </c>
      <c r="U22" s="4">
        <f t="shared" ca="1" si="4"/>
        <v>1.2021947475819672</v>
      </c>
      <c r="V22" s="4">
        <f t="shared" ca="1" si="4"/>
        <v>1.2232891646165354</v>
      </c>
    </row>
    <row r="23" spans="1:22" x14ac:dyDescent="0.25">
      <c r="A23" s="5">
        <f ca="1">'edo - bernoulli - edo'!A27</f>
        <v>1.4000000000000001</v>
      </c>
      <c r="B23" s="4">
        <f t="shared" ca="1" si="3"/>
        <v>4.0442641473293871E-3</v>
      </c>
      <c r="C23" s="4">
        <f t="shared" ca="1" si="3"/>
        <v>0.17861144547867544</v>
      </c>
      <c r="D23" s="4">
        <f t="shared" ca="1" si="3"/>
        <v>0.31920574343022623</v>
      </c>
      <c r="E23" s="4">
        <f t="shared" ca="1" si="3"/>
        <v>0.43275321592759647</v>
      </c>
      <c r="F23" s="4">
        <f t="shared" ca="1" si="3"/>
        <v>0.52637372055166709</v>
      </c>
      <c r="G23" s="4">
        <f t="shared" ca="1" si="3"/>
        <v>0.60488971265483815</v>
      </c>
      <c r="H23" s="4">
        <f t="shared" ca="1" si="3"/>
        <v>0.67168371777806657</v>
      </c>
      <c r="I23" s="4">
        <f t="shared" ca="1" si="3"/>
        <v>0.7291984336153744</v>
      </c>
      <c r="J23" s="4">
        <f t="shared" ca="1" si="3"/>
        <v>0.77924194102081956</v>
      </c>
      <c r="K23" s="4">
        <f t="shared" ca="1" si="3"/>
        <v>0.82318122767831481</v>
      </c>
      <c r="L23" s="4">
        <f t="shared" ca="1" si="4"/>
        <v>0.86206896551724133</v>
      </c>
      <c r="M23" s="4">
        <f t="shared" ca="1" si="4"/>
        <v>0.89672893949172983</v>
      </c>
      <c r="N23" s="4">
        <f t="shared" ca="1" si="4"/>
        <v>0.92781505013277932</v>
      </c>
      <c r="O23" s="4">
        <f t="shared" ca="1" si="4"/>
        <v>0.9558529593135201</v>
      </c>
      <c r="P23" s="4">
        <f t="shared" ca="1" si="4"/>
        <v>0.98127005764652075</v>
      </c>
      <c r="Q23" s="4">
        <f t="shared" ca="1" si="4"/>
        <v>1.0044174035958959</v>
      </c>
      <c r="R23" s="4">
        <f t="shared" ca="1" si="4"/>
        <v>1.0255860363013996</v>
      </c>
      <c r="S23" s="4">
        <f t="shared" ca="1" si="4"/>
        <v>1.0450192764542008</v>
      </c>
      <c r="T23" s="4">
        <f t="shared" ca="1" si="4"/>
        <v>1.0629221210377668</v>
      </c>
      <c r="U23" s="4">
        <f t="shared" ca="1" si="4"/>
        <v>1.0794685026061095</v>
      </c>
      <c r="V23" s="4">
        <f t="shared" ca="1" si="4"/>
        <v>1.0948069587279872</v>
      </c>
    </row>
    <row r="24" spans="1:22" x14ac:dyDescent="0.25">
      <c r="A24" s="5">
        <f ca="1">'edo - bernoulli - edo'!A28</f>
        <v>1.5000000000000002</v>
      </c>
      <c r="B24" s="4">
        <f t="shared" ca="1" si="3"/>
        <v>4.4656034694500928E-3</v>
      </c>
      <c r="C24" s="4">
        <f t="shared" ca="1" si="3"/>
        <v>0.18988509147218252</v>
      </c>
      <c r="D24" s="4">
        <f t="shared" ca="1" si="3"/>
        <v>0.32948481004144925</v>
      </c>
      <c r="E24" s="4">
        <f t="shared" ca="1" si="3"/>
        <v>0.43643840273254919</v>
      </c>
      <c r="F24" s="4">
        <f t="shared" ca="1" si="3"/>
        <v>0.52099872860055274</v>
      </c>
      <c r="G24" s="4">
        <f t="shared" ca="1" si="3"/>
        <v>0.58953215378226353</v>
      </c>
      <c r="H24" s="4">
        <f t="shared" ca="1" si="3"/>
        <v>0.64620068110592987</v>
      </c>
      <c r="I24" s="4">
        <f t="shared" ca="1" si="3"/>
        <v>0.69384002161764435</v>
      </c>
      <c r="J24" s="4">
        <f t="shared" ca="1" si="3"/>
        <v>0.73444891811230395</v>
      </c>
      <c r="K24" s="4">
        <f t="shared" ca="1" si="3"/>
        <v>0.7694767176464119</v>
      </c>
      <c r="L24" s="4">
        <f t="shared" ca="1" si="4"/>
        <v>0.79999999999999971</v>
      </c>
      <c r="M24" s="4">
        <f t="shared" ca="1" si="4"/>
        <v>0.82683518054567429</v>
      </c>
      <c r="N24" s="4">
        <f t="shared" ca="1" si="4"/>
        <v>0.85061262145309413</v>
      </c>
      <c r="O24" s="4">
        <f t="shared" ca="1" si="4"/>
        <v>0.87182677458518676</v>
      </c>
      <c r="P24" s="4">
        <f t="shared" ca="1" si="4"/>
        <v>0.89087093707986831</v>
      </c>
      <c r="Q24" s="4">
        <f t="shared" ca="1" si="4"/>
        <v>0.90806186045190029</v>
      </c>
      <c r="R24" s="4">
        <f t="shared" ca="1" si="4"/>
        <v>0.92365750870360008</v>
      </c>
      <c r="S24" s="4">
        <f t="shared" ca="1" si="4"/>
        <v>0.93787009192107262</v>
      </c>
      <c r="T24" s="4">
        <f t="shared" ca="1" si="4"/>
        <v>0.95087577953315172</v>
      </c>
      <c r="U24" s="4">
        <f t="shared" ca="1" si="4"/>
        <v>0.96282203988007653</v>
      </c>
      <c r="V24" s="4">
        <f t="shared" ca="1" si="4"/>
        <v>0.97383325635948714</v>
      </c>
    </row>
    <row r="25" spans="1:22" x14ac:dyDescent="0.25">
      <c r="A25" s="5">
        <f ca="1">'edo - bernoulli - edo'!A29</f>
        <v>1.6000000000000003</v>
      </c>
      <c r="B25" s="4">
        <f t="shared" ca="1" si="3"/>
        <v>4.9296848253025114E-3</v>
      </c>
      <c r="C25" s="4">
        <f t="shared" ca="1" si="3"/>
        <v>0.20023478233440409</v>
      </c>
      <c r="D25" s="4">
        <f t="shared" ca="1" si="3"/>
        <v>0.33611500498586655</v>
      </c>
      <c r="E25" s="4">
        <f t="shared" ca="1" si="3"/>
        <v>0.43437019296190132</v>
      </c>
      <c r="F25" s="4">
        <f t="shared" ca="1" si="3"/>
        <v>0.50872733081032417</v>
      </c>
      <c r="G25" s="4">
        <f t="shared" ca="1" si="3"/>
        <v>0.56695994348288159</v>
      </c>
      <c r="H25" s="4">
        <f t="shared" ca="1" si="3"/>
        <v>0.61379993228140162</v>
      </c>
      <c r="I25" s="4">
        <f t="shared" ca="1" si="3"/>
        <v>0.65229267641868838</v>
      </c>
      <c r="J25" s="4">
        <f t="shared" ca="1" si="3"/>
        <v>0.68448693774159797</v>
      </c>
      <c r="K25" s="4">
        <f t="shared" ca="1" si="3"/>
        <v>0.71181171460038806</v>
      </c>
      <c r="L25" s="4">
        <f t="shared" ca="1" si="4"/>
        <v>0.73529411764705865</v>
      </c>
      <c r="M25" s="4">
        <f t="shared" ca="1" si="4"/>
        <v>0.75569137119283958</v>
      </c>
      <c r="N25" s="4">
        <f t="shared" ca="1" si="4"/>
        <v>0.7735739940721531</v>
      </c>
      <c r="O25" s="4">
        <f t="shared" ca="1" si="4"/>
        <v>0.78938000244390372</v>
      </c>
      <c r="P25" s="4">
        <f t="shared" ca="1" si="4"/>
        <v>0.80345126595583183</v>
      </c>
      <c r="Q25" s="4">
        <f t="shared" ca="1" si="4"/>
        <v>0.81605851611984381</v>
      </c>
      <c r="R25" s="4">
        <f t="shared" ca="1" si="4"/>
        <v>0.82741893485479567</v>
      </c>
      <c r="S25" s="4">
        <f t="shared" ca="1" si="4"/>
        <v>0.83770877050224057</v>
      </c>
      <c r="T25" s="4">
        <f t="shared" ca="1" si="4"/>
        <v>0.84707254761603923</v>
      </c>
      <c r="U25" s="4">
        <f t="shared" ca="1" si="4"/>
        <v>0.85562989725469196</v>
      </c>
      <c r="V25" s="4">
        <f t="shared" ca="1" si="4"/>
        <v>0.86348069541110717</v>
      </c>
    </row>
    <row r="26" spans="1:22" x14ac:dyDescent="0.25">
      <c r="A26" s="5">
        <f ca="1">'edo - bernoulli - edo'!A30</f>
        <v>1.7000000000000004</v>
      </c>
      <c r="B26" s="4">
        <f t="shared" ca="1" si="3"/>
        <v>5.4404549629144885E-3</v>
      </c>
      <c r="C26" s="4">
        <f t="shared" ca="1" si="3"/>
        <v>0.20927930049490157</v>
      </c>
      <c r="D26" s="4">
        <f t="shared" ca="1" si="3"/>
        <v>0.33881442550103613</v>
      </c>
      <c r="E26" s="4">
        <f t="shared" ca="1" si="3"/>
        <v>0.42689013174395707</v>
      </c>
      <c r="F26" s="4">
        <f t="shared" ca="1" si="3"/>
        <v>0.4906649587900288</v>
      </c>
      <c r="G26" s="4">
        <f t="shared" ca="1" si="3"/>
        <v>0.53897691080646715</v>
      </c>
      <c r="H26" s="4">
        <f t="shared" ca="1" si="3"/>
        <v>0.57684164283378514</v>
      </c>
      <c r="I26" s="4">
        <f t="shared" ca="1" si="3"/>
        <v>0.60731724564570044</v>
      </c>
      <c r="J26" s="4">
        <f t="shared" ca="1" si="3"/>
        <v>0.63237436967362248</v>
      </c>
      <c r="K26" s="4">
        <f t="shared" ca="1" si="3"/>
        <v>0.65334012288534771</v>
      </c>
      <c r="L26" s="4">
        <f t="shared" ca="1" si="4"/>
        <v>0.67114093959731513</v>
      </c>
      <c r="M26" s="4">
        <f t="shared" ca="1" si="4"/>
        <v>0.68644317988572134</v>
      </c>
      <c r="N26" s="4">
        <f t="shared" ca="1" si="4"/>
        <v>0.69973840672379117</v>
      </c>
      <c r="O26" s="4">
        <f t="shared" ca="1" si="4"/>
        <v>0.71139717378684642</v>
      </c>
      <c r="P26" s="4">
        <f t="shared" ca="1" si="4"/>
        <v>0.72170410311830047</v>
      </c>
      <c r="Q26" s="4">
        <f t="shared" ca="1" si="4"/>
        <v>0.73088142963314695</v>
      </c>
      <c r="R26" s="4">
        <f t="shared" ca="1" si="4"/>
        <v>0.73910520660484769</v>
      </c>
      <c r="S26" s="4">
        <f t="shared" ca="1" si="4"/>
        <v>0.74651670923410618</v>
      </c>
      <c r="T26" s="4">
        <f t="shared" ca="1" si="4"/>
        <v>0.75323061819962855</v>
      </c>
      <c r="U26" s="4">
        <f t="shared" ca="1" si="4"/>
        <v>0.75934099628638629</v>
      </c>
      <c r="V26" s="4">
        <f t="shared" ca="1" si="4"/>
        <v>0.76492572257640346</v>
      </c>
    </row>
    <row r="27" spans="1:22" x14ac:dyDescent="0.25">
      <c r="A27" s="5">
        <f ca="1">'edo - bernoulli - edo'!A31</f>
        <v>1.8000000000000005</v>
      </c>
      <c r="B27" s="4">
        <f t="shared" ca="1" si="3"/>
        <v>6.0021022803139305E-3</v>
      </c>
      <c r="C27" s="4">
        <f t="shared" ca="1" si="3"/>
        <v>0.21666688389742167</v>
      </c>
      <c r="D27" s="4">
        <f t="shared" ca="1" si="3"/>
        <v>0.33756515068227833</v>
      </c>
      <c r="E27" s="4">
        <f t="shared" ca="1" si="3"/>
        <v>0.41469774884964111</v>
      </c>
      <c r="F27" s="4">
        <f t="shared" ca="1" si="3"/>
        <v>0.46818744396370654</v>
      </c>
      <c r="G27" s="4">
        <f t="shared" ca="1" si="3"/>
        <v>0.50746022955782888</v>
      </c>
      <c r="H27" s="4">
        <f t="shared" ca="1" si="3"/>
        <v>0.53751924145509156</v>
      </c>
      <c r="I27" s="4">
        <f t="shared" ca="1" si="3"/>
        <v>0.56126651678378281</v>
      </c>
      <c r="J27" s="4">
        <f t="shared" ca="1" si="3"/>
        <v>0.58050115966350035</v>
      </c>
      <c r="K27" s="4">
        <f t="shared" ca="1" si="3"/>
        <v>0.59639784542195129</v>
      </c>
      <c r="L27" s="4">
        <f t="shared" ca="1" si="4"/>
        <v>0.60975609756097537</v>
      </c>
      <c r="M27" s="4">
        <f t="shared" ca="1" si="4"/>
        <v>0.62113897810553609</v>
      </c>
      <c r="N27" s="4">
        <f t="shared" ca="1" si="4"/>
        <v>0.63095448682743827</v>
      </c>
      <c r="O27" s="4">
        <f t="shared" ca="1" si="4"/>
        <v>0.63950550142509044</v>
      </c>
      <c r="P27" s="4">
        <f t="shared" ca="1" si="4"/>
        <v>0.64702158489125161</v>
      </c>
      <c r="Q27" s="4">
        <f t="shared" ca="1" si="4"/>
        <v>0.65367990292970501</v>
      </c>
      <c r="R27" s="4">
        <f t="shared" ca="1" si="4"/>
        <v>0.65961936642672114</v>
      </c>
      <c r="S27" s="4">
        <f t="shared" ca="1" si="4"/>
        <v>0.66495042791989878</v>
      </c>
      <c r="T27" s="4">
        <f t="shared" ca="1" si="4"/>
        <v>0.66976201427222115</v>
      </c>
      <c r="U27" s="4">
        <f t="shared" ca="1" si="4"/>
        <v>0.67412652687539376</v>
      </c>
      <c r="V27" s="4">
        <f t="shared" ca="1" si="4"/>
        <v>0.67810350993365098</v>
      </c>
    </row>
    <row r="28" spans="1:22" x14ac:dyDescent="0.25">
      <c r="A28" s="5">
        <f ca="1">'edo - bernoulli - edo'!A32</f>
        <v>1.9000000000000006</v>
      </c>
      <c r="B28" s="4">
        <f t="shared" ca="1" si="3"/>
        <v>6.6190324911535566E-3</v>
      </c>
      <c r="C28" s="4">
        <f t="shared" ca="1" si="3"/>
        <v>0.22211189943883697</v>
      </c>
      <c r="D28" s="4">
        <f t="shared" ca="1" si="3"/>
        <v>0.33260725681595343</v>
      </c>
      <c r="E28" s="4">
        <f t="shared" ca="1" si="3"/>
        <v>0.39872616723182819</v>
      </c>
      <c r="F28" s="4">
        <f t="shared" ca="1" si="3"/>
        <v>0.44273139709855414</v>
      </c>
      <c r="G28" s="4">
        <f t="shared" ca="1" si="3"/>
        <v>0.47412751611039772</v>
      </c>
      <c r="H28" s="4">
        <f t="shared" ca="1" si="3"/>
        <v>0.49765484493125411</v>
      </c>
      <c r="I28" s="4">
        <f t="shared" ca="1" si="3"/>
        <v>0.51594218166812211</v>
      </c>
      <c r="J28" s="4">
        <f t="shared" ca="1" si="3"/>
        <v>0.53056468843706617</v>
      </c>
      <c r="K28" s="4">
        <f t="shared" ca="1" si="3"/>
        <v>0.54252369310337156</v>
      </c>
      <c r="L28" s="4">
        <f t="shared" ca="1" si="4"/>
        <v>0.55248618784530357</v>
      </c>
      <c r="M28" s="4">
        <f t="shared" ca="1" si="4"/>
        <v>0.56091361883192969</v>
      </c>
      <c r="N28" s="4">
        <f t="shared" ca="1" si="4"/>
        <v>0.56813540100550453</v>
      </c>
      <c r="O28" s="4">
        <f t="shared" ca="1" si="4"/>
        <v>0.5743929875138839</v>
      </c>
      <c r="P28" s="4">
        <f t="shared" ca="1" si="4"/>
        <v>0.5798673923292551</v>
      </c>
      <c r="Q28" s="4">
        <f t="shared" ca="1" si="4"/>
        <v>0.58469698750838395</v>
      </c>
      <c r="R28" s="4">
        <f t="shared" ca="1" si="4"/>
        <v>0.58898936140416069</v>
      </c>
      <c r="S28" s="4">
        <f t="shared" ca="1" si="4"/>
        <v>0.59282942821505946</v>
      </c>
      <c r="T28" s="4">
        <f t="shared" ca="1" si="4"/>
        <v>0.59628510222349684</v>
      </c>
      <c r="U28" s="4">
        <f t="shared" ca="1" si="4"/>
        <v>0.59941134927079243</v>
      </c>
      <c r="V28" s="4">
        <f t="shared" ca="1" si="4"/>
        <v>0.60225313227447486</v>
      </c>
    </row>
    <row r="29" spans="1:22" x14ac:dyDescent="0.25">
      <c r="A29" s="5">
        <f ca="1">'edo - bernoulli - edo'!A33</f>
        <v>2.0000000000000004</v>
      </c>
      <c r="B29" s="4">
        <f t="shared" ref="B29:K38" ca="1" si="5">1/($A29^2-2*$A29+2+(1/B$7-2)*EXP(-$A29))</f>
        <v>7.2958291751541058E-3</v>
      </c>
      <c r="C29" s="4">
        <f t="shared" ca="1" si="5"/>
        <v>0.22542653018964193</v>
      </c>
      <c r="D29" s="4">
        <f t="shared" ca="1" si="5"/>
        <v>0.32439282214196963</v>
      </c>
      <c r="E29" s="4">
        <f t="shared" ca="1" si="5"/>
        <v>0.38000206381416324</v>
      </c>
      <c r="F29" s="4">
        <f t="shared" ca="1" si="5"/>
        <v>0.41562658715921186</v>
      </c>
      <c r="G29" s="4">
        <f t="shared" ca="1" si="5"/>
        <v>0.4403985389889411</v>
      </c>
      <c r="H29" s="4">
        <f t="shared" ca="1" si="5"/>
        <v>0.45862154855218401</v>
      </c>
      <c r="I29" s="4">
        <f t="shared" ca="1" si="5"/>
        <v>0.47258941878058691</v>
      </c>
      <c r="J29" s="4">
        <f t="shared" ca="1" si="5"/>
        <v>0.48363672181730682</v>
      </c>
      <c r="K29" s="4">
        <f t="shared" ca="1" si="5"/>
        <v>0.49259275773463079</v>
      </c>
      <c r="L29" s="4">
        <f t="shared" ref="L29:V38" ca="1" si="6">1/($A29^2-2*$A29+2+(1/L$7-2)*EXP(-$A29))</f>
        <v>0.49999999999999978</v>
      </c>
      <c r="M29" s="4">
        <f t="shared" ca="1" si="6"/>
        <v>0.50622823100227821</v>
      </c>
      <c r="N29" s="4">
        <f t="shared" ca="1" si="6"/>
        <v>0.51153819440434267</v>
      </c>
      <c r="O29" s="4">
        <f t="shared" ca="1" si="6"/>
        <v>0.51611902645279839</v>
      </c>
      <c r="P29" s="4">
        <f t="shared" ca="1" si="6"/>
        <v>0.52011125842083838</v>
      </c>
      <c r="Q29" s="4">
        <f t="shared" ca="1" si="6"/>
        <v>0.52362148743702164</v>
      </c>
      <c r="R29" s="4">
        <f t="shared" ca="1" si="6"/>
        <v>0.52673203597966434</v>
      </c>
      <c r="S29" s="4">
        <f t="shared" ca="1" si="6"/>
        <v>0.52950748956053373</v>
      </c>
      <c r="T29" s="4">
        <f t="shared" ca="1" si="6"/>
        <v>0.53199922951467915</v>
      </c>
      <c r="U29" s="4">
        <f t="shared" ca="1" si="6"/>
        <v>0.53424864332463329</v>
      </c>
      <c r="V29" s="4">
        <f t="shared" ca="1" si="6"/>
        <v>0.53628944174787663</v>
      </c>
    </row>
    <row r="30" spans="1:22" x14ac:dyDescent="0.25">
      <c r="A30" s="5">
        <f ca="1">'edo - bernoulli - edo'!A34</f>
        <v>2.1000000000000005</v>
      </c>
      <c r="B30" s="4">
        <f t="shared" ca="1" si="5"/>
        <v>8.0371951491946224E-3</v>
      </c>
      <c r="C30" s="4">
        <f t="shared" ca="1" si="5"/>
        <v>0.22654080951736086</v>
      </c>
      <c r="D30" s="4">
        <f t="shared" ca="1" si="5"/>
        <v>0.31351388174932221</v>
      </c>
      <c r="E30" s="4">
        <f t="shared" ca="1" si="5"/>
        <v>0.35952298509571623</v>
      </c>
      <c r="F30" s="4">
        <f t="shared" ca="1" si="5"/>
        <v>0.38799251853951033</v>
      </c>
      <c r="G30" s="4">
        <f t="shared" ca="1" si="5"/>
        <v>0.40734643486420241</v>
      </c>
      <c r="H30" s="4">
        <f t="shared" ca="1" si="5"/>
        <v>0.42135862883796599</v>
      </c>
      <c r="I30" s="4">
        <f t="shared" ca="1" si="5"/>
        <v>0.43197241164799954</v>
      </c>
      <c r="J30" s="4">
        <f t="shared" ca="1" si="5"/>
        <v>0.44029040929495378</v>
      </c>
      <c r="K30" s="4">
        <f t="shared" ca="1" si="5"/>
        <v>0.44698480018958359</v>
      </c>
      <c r="L30" s="4">
        <f t="shared" ca="1" si="6"/>
        <v>0.45248868778280527</v>
      </c>
      <c r="M30" s="4">
        <f t="shared" ca="1" si="6"/>
        <v>0.45709371150038952</v>
      </c>
      <c r="N30" s="4">
        <f t="shared" ca="1" si="6"/>
        <v>0.46100344422198275</v>
      </c>
      <c r="O30" s="4">
        <f t="shared" ca="1" si="6"/>
        <v>0.46436430080432078</v>
      </c>
      <c r="P30" s="4">
        <f t="shared" ca="1" si="6"/>
        <v>0.46728428293923563</v>
      </c>
      <c r="Q30" s="4">
        <f t="shared" ca="1" si="6"/>
        <v>0.46984480126583583</v>
      </c>
      <c r="R30" s="4">
        <f t="shared" ca="1" si="6"/>
        <v>0.47210838456638604</v>
      </c>
      <c r="S30" s="4">
        <f t="shared" ca="1" si="6"/>
        <v>0.47412385392094092</v>
      </c>
      <c r="T30" s="4">
        <f t="shared" ca="1" si="6"/>
        <v>0.47592988383014401</v>
      </c>
      <c r="U30" s="4">
        <f t="shared" ca="1" si="6"/>
        <v>0.47755750799877689</v>
      </c>
      <c r="V30" s="4">
        <f t="shared" ca="1" si="6"/>
        <v>0.47903191748142626</v>
      </c>
    </row>
    <row r="31" spans="1:22" x14ac:dyDescent="0.25">
      <c r="A31" s="5">
        <f ca="1">'edo - bernoulli - edo'!A35</f>
        <v>2.2000000000000006</v>
      </c>
      <c r="B31" s="4">
        <f t="shared" ca="1" si="5"/>
        <v>8.8478700026739694E-3</v>
      </c>
      <c r="C31" s="4">
        <f t="shared" ca="1" si="5"/>
        <v>0.22550676073943152</v>
      </c>
      <c r="D31" s="4">
        <f t="shared" ca="1" si="5"/>
        <v>0.30062301713224138</v>
      </c>
      <c r="E31" s="4">
        <f t="shared" ca="1" si="5"/>
        <v>0.33817127863828961</v>
      </c>
      <c r="F31" s="4">
        <f t="shared" ca="1" si="5"/>
        <v>0.36069707919628946</v>
      </c>
      <c r="G31" s="4">
        <f t="shared" ca="1" si="5"/>
        <v>0.37571296465458659</v>
      </c>
      <c r="H31" s="4">
        <f t="shared" ca="1" si="5"/>
        <v>0.38643795315793694</v>
      </c>
      <c r="I31" s="4">
        <f t="shared" ca="1" si="5"/>
        <v>0.39448134239382343</v>
      </c>
      <c r="J31" s="4">
        <f t="shared" ca="1" si="5"/>
        <v>0.40073710313517408</v>
      </c>
      <c r="K31" s="4">
        <f t="shared" ca="1" si="5"/>
        <v>0.40574158027564045</v>
      </c>
      <c r="L31" s="4">
        <f t="shared" ca="1" si="6"/>
        <v>0.40983606557377028</v>
      </c>
      <c r="M31" s="4">
        <f t="shared" ca="1" si="6"/>
        <v>0.41324807690824072</v>
      </c>
      <c r="N31" s="4">
        <f t="shared" ca="1" si="6"/>
        <v>0.41613512099893057</v>
      </c>
      <c r="O31" s="4">
        <f t="shared" ca="1" si="6"/>
        <v>0.41860969926861313</v>
      </c>
      <c r="P31" s="4">
        <f t="shared" ca="1" si="6"/>
        <v>0.42075431065939739</v>
      </c>
      <c r="Q31" s="4">
        <f t="shared" ca="1" si="6"/>
        <v>0.42263082802357932</v>
      </c>
      <c r="R31" s="4">
        <f t="shared" ca="1" si="6"/>
        <v>0.42428656499555717</v>
      </c>
      <c r="S31" s="4">
        <f t="shared" ca="1" si="6"/>
        <v>0.42575832045507472</v>
      </c>
      <c r="T31" s="4">
        <f t="shared" ca="1" si="6"/>
        <v>0.4270751457209222</v>
      </c>
      <c r="U31" s="4">
        <f t="shared" ca="1" si="6"/>
        <v>0.42826028154291956</v>
      </c>
      <c r="V31" s="4">
        <f t="shared" ca="1" si="6"/>
        <v>0.42933254163993112</v>
      </c>
    </row>
    <row r="32" spans="1:22" x14ac:dyDescent="0.25">
      <c r="A32" s="5">
        <f ca="1">'edo - bernoulli - edo'!A36</f>
        <v>2.3000000000000007</v>
      </c>
      <c r="B32" s="4">
        <f t="shared" ca="1" si="5"/>
        <v>9.7325186558842522E-3</v>
      </c>
      <c r="C32" s="4">
        <f t="shared" ca="1" si="5"/>
        <v>0.22248627946919594</v>
      </c>
      <c r="D32" s="4">
        <f t="shared" ca="1" si="5"/>
        <v>0.28636304120192968</v>
      </c>
      <c r="E32" s="4">
        <f t="shared" ca="1" si="5"/>
        <v>0.31666868555221822</v>
      </c>
      <c r="F32" s="4">
        <f t="shared" ca="1" si="5"/>
        <v>0.33436132374936345</v>
      </c>
      <c r="G32" s="4">
        <f t="shared" ca="1" si="5"/>
        <v>0.34595878943875757</v>
      </c>
      <c r="H32" s="4">
        <f t="shared" ca="1" si="5"/>
        <v>0.35414797214661897</v>
      </c>
      <c r="I32" s="4">
        <f t="shared" ca="1" si="5"/>
        <v>0.36023883307442539</v>
      </c>
      <c r="J32" s="4">
        <f t="shared" ca="1" si="5"/>
        <v>0.36494626568430022</v>
      </c>
      <c r="K32" s="4">
        <f t="shared" ca="1" si="5"/>
        <v>0.36869353265001487</v>
      </c>
      <c r="L32" s="4">
        <f t="shared" ca="1" si="6"/>
        <v>0.37174721189591048</v>
      </c>
      <c r="M32" s="4">
        <f t="shared" ca="1" si="6"/>
        <v>0.37428355773728916</v>
      </c>
      <c r="N32" s="4">
        <f t="shared" ca="1" si="6"/>
        <v>0.37642376849806614</v>
      </c>
      <c r="O32" s="4">
        <f t="shared" ca="1" si="6"/>
        <v>0.3782539264453566</v>
      </c>
      <c r="P32" s="4">
        <f t="shared" ca="1" si="6"/>
        <v>0.37983685694760905</v>
      </c>
      <c r="Q32" s="4">
        <f t="shared" ca="1" si="6"/>
        <v>0.38121948571051723</v>
      </c>
      <c r="R32" s="4">
        <f t="shared" ca="1" si="6"/>
        <v>0.3824375692822673</v>
      </c>
      <c r="S32" s="4">
        <f t="shared" ca="1" si="6"/>
        <v>0.38351883149536475</v>
      </c>
      <c r="T32" s="4">
        <f t="shared" ca="1" si="6"/>
        <v>0.3844850992069852</v>
      </c>
      <c r="U32" s="4">
        <f t="shared" ca="1" si="6"/>
        <v>0.38535379102367784</v>
      </c>
      <c r="V32" s="4">
        <f t="shared" ca="1" si="6"/>
        <v>0.38613897669893726</v>
      </c>
    </row>
    <row r="33" spans="1:22" x14ac:dyDescent="0.25">
      <c r="A33" s="5">
        <f ca="1">'edo - bernoulli - edo'!A37</f>
        <v>2.4000000000000008</v>
      </c>
      <c r="B33" s="4">
        <f t="shared" ca="1" si="5"/>
        <v>1.0695585546843101E-2</v>
      </c>
      <c r="C33" s="4">
        <f t="shared" ca="1" si="5"/>
        <v>0.21772626393604386</v>
      </c>
      <c r="D33" s="4">
        <f t="shared" ca="1" si="5"/>
        <v>0.2713156696141984</v>
      </c>
      <c r="E33" s="4">
        <f t="shared" ca="1" si="5"/>
        <v>0.29556500728116564</v>
      </c>
      <c r="F33" s="4">
        <f t="shared" ca="1" si="5"/>
        <v>0.30939121197676073</v>
      </c>
      <c r="G33" s="4">
        <f t="shared" ca="1" si="5"/>
        <v>0.31832576876892177</v>
      </c>
      <c r="H33" s="4">
        <f t="shared" ca="1" si="5"/>
        <v>0.32457444619424025</v>
      </c>
      <c r="I33" s="4">
        <f t="shared" ca="1" si="5"/>
        <v>0.32919011953081084</v>
      </c>
      <c r="J33" s="4">
        <f t="shared" ca="1" si="5"/>
        <v>0.33273895324026687</v>
      </c>
      <c r="K33" s="4">
        <f t="shared" ca="1" si="5"/>
        <v>0.33555250477072524</v>
      </c>
      <c r="L33" s="4">
        <f t="shared" ca="1" si="6"/>
        <v>0.33783783783783755</v>
      </c>
      <c r="M33" s="4">
        <f t="shared" ca="1" si="6"/>
        <v>0.33973093952721084</v>
      </c>
      <c r="N33" s="4">
        <f t="shared" ca="1" si="6"/>
        <v>0.34132480719773411</v>
      </c>
      <c r="O33" s="4">
        <f t="shared" ca="1" si="6"/>
        <v>0.34268519219203453</v>
      </c>
      <c r="P33" s="4">
        <f t="shared" ca="1" si="6"/>
        <v>0.34385989692418312</v>
      </c>
      <c r="Q33" s="4">
        <f t="shared" ca="1" si="6"/>
        <v>0.34488450826831663</v>
      </c>
      <c r="R33" s="4">
        <f t="shared" ca="1" si="6"/>
        <v>0.34578606523153793</v>
      </c>
      <c r="S33" s="4">
        <f t="shared" ca="1" si="6"/>
        <v>0.34658548003661543</v>
      </c>
      <c r="T33" s="4">
        <f t="shared" ca="1" si="6"/>
        <v>0.34729918042870306</v>
      </c>
      <c r="U33" s="4">
        <f t="shared" ca="1" si="6"/>
        <v>0.34794025059051137</v>
      </c>
      <c r="V33" s="4">
        <f t="shared" ca="1" si="6"/>
        <v>0.34851924060460443</v>
      </c>
    </row>
    <row r="34" spans="1:22" x14ac:dyDescent="0.25">
      <c r="A34" s="5">
        <f ca="1">'edo - bernoulli - edo'!A38</f>
        <v>2.5000000000000009</v>
      </c>
      <c r="B34" s="4">
        <f t="shared" ca="1" si="5"/>
        <v>1.1741109205166153E-2</v>
      </c>
      <c r="C34" s="4">
        <f t="shared" ca="1" si="5"/>
        <v>0.21152695069930483</v>
      </c>
      <c r="D34" s="4">
        <f t="shared" ca="1" si="5"/>
        <v>0.25597182334308022</v>
      </c>
      <c r="E34" s="4">
        <f t="shared" ca="1" si="5"/>
        <v>0.27524981262853482</v>
      </c>
      <c r="F34" s="4">
        <f t="shared" ca="1" si="5"/>
        <v>0.28602032780239944</v>
      </c>
      <c r="G34" s="4">
        <f t="shared" ca="1" si="5"/>
        <v>0.29289695615804456</v>
      </c>
      <c r="H34" s="4">
        <f t="shared" ca="1" si="5"/>
        <v>0.29766806851510103</v>
      </c>
      <c r="I34" s="4">
        <f t="shared" ca="1" si="5"/>
        <v>0.30117229173986182</v>
      </c>
      <c r="J34" s="4">
        <f t="shared" ca="1" si="5"/>
        <v>0.30385508549618151</v>
      </c>
      <c r="K34" s="4">
        <f t="shared" ca="1" si="5"/>
        <v>0.30597497739497997</v>
      </c>
      <c r="L34" s="4">
        <f t="shared" ca="1" si="6"/>
        <v>0.30769230769230743</v>
      </c>
      <c r="M34" s="4">
        <f t="shared" ca="1" si="6"/>
        <v>0.30911180093731838</v>
      </c>
      <c r="N34" s="4">
        <f t="shared" ca="1" si="6"/>
        <v>0.31030475542792696</v>
      </c>
      <c r="O34" s="4">
        <f t="shared" ca="1" si="6"/>
        <v>0.3113213940164874</v>
      </c>
      <c r="P34" s="4">
        <f t="shared" ca="1" si="6"/>
        <v>0.31219811549553111</v>
      </c>
      <c r="Q34" s="4">
        <f t="shared" ca="1" si="6"/>
        <v>0.31296194478085498</v>
      </c>
      <c r="R34" s="4">
        <f t="shared" ca="1" si="6"/>
        <v>0.31363336797977559</v>
      </c>
      <c r="S34" s="4">
        <f t="shared" ca="1" si="6"/>
        <v>0.31422819721084116</v>
      </c>
      <c r="T34" s="4">
        <f t="shared" ca="1" si="6"/>
        <v>0.31475883166190122</v>
      </c>
      <c r="U34" s="4">
        <f t="shared" ca="1" si="6"/>
        <v>0.31523513126625913</v>
      </c>
      <c r="V34" s="4">
        <f t="shared" ca="1" si="6"/>
        <v>0.315665035067422</v>
      </c>
    </row>
    <row r="35" spans="1:22" x14ac:dyDescent="0.25">
      <c r="A35" s="5">
        <f ca="1">'edo - bernoulli - edo'!A39</f>
        <v>2.600000000000001</v>
      </c>
      <c r="B35" s="4">
        <f t="shared" ca="1" si="5"/>
        <v>1.2872492761888923E-2</v>
      </c>
      <c r="C35" s="4">
        <f t="shared" ca="1" si="5"/>
        <v>0.2042098094051272</v>
      </c>
      <c r="D35" s="4">
        <f t="shared" ca="1" si="5"/>
        <v>0.24072089404172473</v>
      </c>
      <c r="E35" s="4">
        <f t="shared" ca="1" si="5"/>
        <v>0.25597640713918773</v>
      </c>
      <c r="F35" s="4">
        <f t="shared" ca="1" si="5"/>
        <v>0.26435299744500657</v>
      </c>
      <c r="G35" s="4">
        <f t="shared" ca="1" si="5"/>
        <v>0.26964737343747291</v>
      </c>
      <c r="H35" s="4">
        <f t="shared" ca="1" si="5"/>
        <v>0.27329636737165813</v>
      </c>
      <c r="I35" s="4">
        <f t="shared" ca="1" si="5"/>
        <v>0.27596384694138121</v>
      </c>
      <c r="J35" s="4">
        <f t="shared" ca="1" si="5"/>
        <v>0.27799888039515053</v>
      </c>
      <c r="K35" s="4">
        <f t="shared" ca="1" si="5"/>
        <v>0.27960255417127516</v>
      </c>
      <c r="L35" s="4">
        <f t="shared" ca="1" si="6"/>
        <v>0.28089887640449412</v>
      </c>
      <c r="M35" s="4">
        <f t="shared" ca="1" si="6"/>
        <v>0.28196847843908668</v>
      </c>
      <c r="N35" s="4">
        <f t="shared" ca="1" si="6"/>
        <v>0.28286605562798339</v>
      </c>
      <c r="O35" s="4">
        <f t="shared" ca="1" si="6"/>
        <v>0.28363001941629828</v>
      </c>
      <c r="P35" s="4">
        <f t="shared" ca="1" si="6"/>
        <v>0.28428813759601007</v>
      </c>
      <c r="Q35" s="4">
        <f t="shared" ca="1" si="6"/>
        <v>0.28486098210383898</v>
      </c>
      <c r="R35" s="4">
        <f t="shared" ca="1" si="6"/>
        <v>0.28536411814935303</v>
      </c>
      <c r="S35" s="4">
        <f t="shared" ca="1" si="6"/>
        <v>0.28580954000555286</v>
      </c>
      <c r="T35" s="4">
        <f t="shared" ca="1" si="6"/>
        <v>0.28620663950683434</v>
      </c>
      <c r="U35" s="4">
        <f t="shared" ca="1" si="6"/>
        <v>0.28656287555764298</v>
      </c>
      <c r="V35" s="4">
        <f t="shared" ca="1" si="6"/>
        <v>0.28688424706828242</v>
      </c>
    </row>
    <row r="36" spans="1:22" x14ac:dyDescent="0.25">
      <c r="A36" s="5">
        <f ca="1">'edo - bernoulli - edo'!A40</f>
        <v>2.7000000000000011</v>
      </c>
      <c r="B36" s="4">
        <f t="shared" ca="1" si="5"/>
        <v>1.4092227654899857E-2</v>
      </c>
      <c r="C36" s="4">
        <f t="shared" ca="1" si="5"/>
        <v>0.19608999571024194</v>
      </c>
      <c r="D36" s="4">
        <f t="shared" ca="1" si="5"/>
        <v>0.22585374456063717</v>
      </c>
      <c r="E36" s="4">
        <f t="shared" ca="1" si="5"/>
        <v>0.23788987534893832</v>
      </c>
      <c r="F36" s="4">
        <f t="shared" ca="1" si="5"/>
        <v>0.24440217959310981</v>
      </c>
      <c r="G36" s="4">
        <f t="shared" ca="1" si="5"/>
        <v>0.2484835653388191</v>
      </c>
      <c r="H36" s="4">
        <f t="shared" ca="1" si="5"/>
        <v>0.25128107171670422</v>
      </c>
      <c r="I36" s="4">
        <f t="shared" ca="1" si="5"/>
        <v>0.25331816876572982</v>
      </c>
      <c r="J36" s="4">
        <f t="shared" ca="1" si="5"/>
        <v>0.25486779933991105</v>
      </c>
      <c r="K36" s="4">
        <f t="shared" ca="1" si="5"/>
        <v>0.25608623782242484</v>
      </c>
      <c r="L36" s="4">
        <f t="shared" ca="1" si="6"/>
        <v>0.25706940874035966</v>
      </c>
      <c r="M36" s="4">
        <f t="shared" ca="1" si="6"/>
        <v>0.25787945412195878</v>
      </c>
      <c r="N36" s="4">
        <f t="shared" ca="1" si="6"/>
        <v>0.25855840188275048</v>
      </c>
      <c r="O36" s="4">
        <f t="shared" ca="1" si="6"/>
        <v>0.25913569474803777</v>
      </c>
      <c r="P36" s="4">
        <f t="shared" ca="1" si="6"/>
        <v>0.2596325729250632</v>
      </c>
      <c r="Q36" s="4">
        <f t="shared" ca="1" si="6"/>
        <v>0.26006474455932133</v>
      </c>
      <c r="R36" s="4">
        <f t="shared" ca="1" si="6"/>
        <v>0.26044407667994313</v>
      </c>
      <c r="S36" s="4">
        <f t="shared" ca="1" si="6"/>
        <v>0.26077970164611264</v>
      </c>
      <c r="T36" s="4">
        <f t="shared" ca="1" si="6"/>
        <v>0.26107876196824542</v>
      </c>
      <c r="U36" s="4">
        <f t="shared" ca="1" si="6"/>
        <v>0.26134692427106848</v>
      </c>
      <c r="V36" s="4">
        <f t="shared" ca="1" si="6"/>
        <v>0.26158874177844876</v>
      </c>
    </row>
    <row r="37" spans="1:22" x14ac:dyDescent="0.25">
      <c r="A37" s="5">
        <f ca="1">'edo - bernoulli - edo'!A41</f>
        <v>2.8000000000000012</v>
      </c>
      <c r="B37" s="4">
        <f t="shared" ca="1" si="5"/>
        <v>1.5401570736900107E-2</v>
      </c>
      <c r="C37" s="4">
        <f t="shared" ca="1" si="5"/>
        <v>0.18745614250593814</v>
      </c>
      <c r="D37" s="4">
        <f t="shared" ca="1" si="5"/>
        <v>0.21157391843424647</v>
      </c>
      <c r="E37" s="4">
        <f t="shared" ca="1" si="5"/>
        <v>0.22105405996682542</v>
      </c>
      <c r="F37" s="4">
        <f t="shared" ca="1" si="5"/>
        <v>0.22612001942767951</v>
      </c>
      <c r="G37" s="4">
        <f t="shared" ca="1" si="5"/>
        <v>0.22927260313450179</v>
      </c>
      <c r="H37" s="4">
        <f t="shared" ca="1" si="5"/>
        <v>0.23142362110307135</v>
      </c>
      <c r="I37" s="4">
        <f t="shared" ca="1" si="5"/>
        <v>0.23298494026783942</v>
      </c>
      <c r="J37" s="4">
        <f t="shared" ca="1" si="5"/>
        <v>0.23416982526658034</v>
      </c>
      <c r="K37" s="4">
        <f t="shared" ca="1" si="5"/>
        <v>0.23509976773589109</v>
      </c>
      <c r="L37" s="4">
        <f t="shared" ca="1" si="6"/>
        <v>0.23584905660377337</v>
      </c>
      <c r="M37" s="4">
        <f t="shared" ca="1" si="6"/>
        <v>0.23646567291503742</v>
      </c>
      <c r="N37" s="4">
        <f t="shared" ca="1" si="6"/>
        <v>0.23698198817152169</v>
      </c>
      <c r="O37" s="4">
        <f t="shared" ca="1" si="6"/>
        <v>0.2374206346511232</v>
      </c>
      <c r="P37" s="4">
        <f t="shared" ca="1" si="6"/>
        <v>0.23779791184792679</v>
      </c>
      <c r="Q37" s="4">
        <f t="shared" ca="1" si="6"/>
        <v>0.23812585664389904</v>
      </c>
      <c r="R37" s="4">
        <f t="shared" ca="1" si="6"/>
        <v>0.23841355123489863</v>
      </c>
      <c r="S37" s="4">
        <f t="shared" ca="1" si="6"/>
        <v>0.23866797731773787</v>
      </c>
      <c r="T37" s="4">
        <f t="shared" ca="1" si="6"/>
        <v>0.2388945901441277</v>
      </c>
      <c r="U37" s="4">
        <f t="shared" ca="1" si="6"/>
        <v>0.23909771406888455</v>
      </c>
      <c r="V37" s="4">
        <f t="shared" ca="1" si="6"/>
        <v>0.23928082116032356</v>
      </c>
    </row>
    <row r="38" spans="1:22" x14ac:dyDescent="0.25">
      <c r="A38" s="5">
        <f ca="1">'edo - bernoulli - edo'!A42</f>
        <v>2.9000000000000012</v>
      </c>
      <c r="B38" s="4">
        <f t="shared" ca="1" si="5"/>
        <v>1.6800179480454515E-2</v>
      </c>
      <c r="C38" s="4">
        <f t="shared" ca="1" si="5"/>
        <v>0.17855810172759035</v>
      </c>
      <c r="D38" s="4">
        <f t="shared" ca="1" si="5"/>
        <v>0.19801251823866464</v>
      </c>
      <c r="E38" s="4">
        <f t="shared" ca="1" si="5"/>
        <v>0.20547487699073433</v>
      </c>
      <c r="F38" s="4">
        <f t="shared" ca="1" si="5"/>
        <v>0.20942102862737305</v>
      </c>
      <c r="G38" s="4">
        <f t="shared" ca="1" si="5"/>
        <v>0.21186232226479915</v>
      </c>
      <c r="H38" s="4">
        <f t="shared" ca="1" si="5"/>
        <v>0.21352172014622445</v>
      </c>
      <c r="I38" s="4">
        <f t="shared" ca="1" si="5"/>
        <v>0.21472300873367314</v>
      </c>
      <c r="J38" s="4">
        <f t="shared" ca="1" si="5"/>
        <v>0.21563288334148609</v>
      </c>
      <c r="K38" s="4">
        <f t="shared" ca="1" si="5"/>
        <v>0.21634591232863981</v>
      </c>
      <c r="L38" s="4">
        <f t="shared" ca="1" si="6"/>
        <v>0.21691973969631215</v>
      </c>
      <c r="M38" s="4">
        <f t="shared" ca="1" si="6"/>
        <v>0.21739150386731132</v>
      </c>
      <c r="N38" s="4">
        <f t="shared" ca="1" si="6"/>
        <v>0.2177862110350709</v>
      </c>
      <c r="O38" s="4">
        <f t="shared" ca="1" si="6"/>
        <v>0.21812131524723907</v>
      </c>
      <c r="P38" s="4">
        <f t="shared" ca="1" si="6"/>
        <v>0.21840936929521035</v>
      </c>
      <c r="Q38" s="4">
        <f t="shared" ca="1" si="6"/>
        <v>0.21865963225787077</v>
      </c>
      <c r="R38" s="4">
        <f t="shared" ca="1" si="6"/>
        <v>0.2188790832915993</v>
      </c>
      <c r="S38" s="4">
        <f t="shared" ca="1" si="6"/>
        <v>0.21907308268622042</v>
      </c>
      <c r="T38" s="4">
        <f t="shared" ca="1" si="6"/>
        <v>0.21924581552257291</v>
      </c>
      <c r="U38" s="4">
        <f t="shared" ca="1" si="6"/>
        <v>0.21940059700804004</v>
      </c>
      <c r="V38" s="4">
        <f t="shared" ca="1" si="6"/>
        <v>0.21954008731793856</v>
      </c>
    </row>
    <row r="39" spans="1:22" x14ac:dyDescent="0.25">
      <c r="A39" s="5">
        <f ca="1">'edo - bernoulli - edo'!A43</f>
        <v>3.0000000000000013</v>
      </c>
      <c r="B39" s="4">
        <f t="shared" ref="B39:K49" ca="1" si="7">1/($A39^2-2*$A39+2+(1/B$7-2)*EXP(-$A39))</f>
        <v>1.8285716214636864E-2</v>
      </c>
      <c r="C39" s="4">
        <f t="shared" ca="1" si="7"/>
        <v>0.16960170240873296</v>
      </c>
      <c r="D39" s="4">
        <f t="shared" ca="1" si="7"/>
        <v>0.1852436210764126</v>
      </c>
      <c r="E39" s="4">
        <f t="shared" ca="1" si="7"/>
        <v>0.19111909135036612</v>
      </c>
      <c r="F39" s="4">
        <f t="shared" ca="1" si="7"/>
        <v>0.19419884528762277</v>
      </c>
      <c r="G39" s="4">
        <f t="shared" ca="1" si="7"/>
        <v>0.19609480579884381</v>
      </c>
      <c r="H39" s="4">
        <f t="shared" ca="1" si="7"/>
        <v>0.19737948114080758</v>
      </c>
      <c r="I39" s="4">
        <f t="shared" ca="1" si="7"/>
        <v>0.19830746049822567</v>
      </c>
      <c r="J39" s="4">
        <f t="shared" ca="1" si="7"/>
        <v>0.19900919157731053</v>
      </c>
      <c r="K39" s="4">
        <f t="shared" ca="1" si="7"/>
        <v>0.19955842537921145</v>
      </c>
      <c r="L39" s="4">
        <f t="shared" ref="L39:V49" ca="1" si="8">1/($A39^2-2*$A39+2+(1/L$7-2)*EXP(-$A39))</f>
        <v>0.19999999999999982</v>
      </c>
      <c r="M39" s="4">
        <f t="shared" ca="1" si="8"/>
        <v>0.20036274449667726</v>
      </c>
      <c r="N39" s="4">
        <f t="shared" ca="1" si="8"/>
        <v>0.20066603825103399</v>
      </c>
      <c r="O39" s="4">
        <f t="shared" ca="1" si="8"/>
        <v>0.20092338952594116</v>
      </c>
      <c r="P39" s="4">
        <f t="shared" ca="1" si="8"/>
        <v>0.20114450229572753</v>
      </c>
      <c r="Q39" s="4">
        <f t="shared" ca="1" si="8"/>
        <v>0.20133652739390767</v>
      </c>
      <c r="R39" s="4">
        <f t="shared" ca="1" si="8"/>
        <v>0.20150485036423085</v>
      </c>
      <c r="S39" s="4">
        <f t="shared" ca="1" si="8"/>
        <v>0.20165360453100878</v>
      </c>
      <c r="T39" s="4">
        <f t="shared" ca="1" si="8"/>
        <v>0.20178601495506587</v>
      </c>
      <c r="U39" s="4">
        <f t="shared" ca="1" si="8"/>
        <v>0.20190463492133781</v>
      </c>
      <c r="V39" s="4">
        <f t="shared" ca="1" si="8"/>
        <v>0.20201151219373684</v>
      </c>
    </row>
    <row r="40" spans="1:22" x14ac:dyDescent="0.25">
      <c r="A40" s="5">
        <f ca="1">'edo - bernoulli - edo'!A44</f>
        <v>3.1000000000000014</v>
      </c>
      <c r="B40" s="4">
        <f t="shared" ca="1" si="7"/>
        <v>1.985344031974326E-2</v>
      </c>
      <c r="C40" s="4">
        <f t="shared" ca="1" si="7"/>
        <v>0.16074881574325861</v>
      </c>
      <c r="D40" s="4">
        <f t="shared" ca="1" si="7"/>
        <v>0.17329840319412548</v>
      </c>
      <c r="E40" s="4">
        <f t="shared" ca="1" si="7"/>
        <v>0.17792867359236483</v>
      </c>
      <c r="F40" s="4">
        <f t="shared" ca="1" si="7"/>
        <v>0.18033785046678499</v>
      </c>
      <c r="G40" s="4">
        <f t="shared" ca="1" si="7"/>
        <v>0.18181492882556974</v>
      </c>
      <c r="H40" s="4">
        <f t="shared" ca="1" si="7"/>
        <v>0.18281316396215927</v>
      </c>
      <c r="I40" s="4">
        <f t="shared" ca="1" si="7"/>
        <v>0.18353292654547188</v>
      </c>
      <c r="J40" s="4">
        <f t="shared" ca="1" si="7"/>
        <v>0.18407647887681911</v>
      </c>
      <c r="K40" s="4">
        <f t="shared" ca="1" si="7"/>
        <v>0.18450147282025084</v>
      </c>
      <c r="L40" s="4">
        <f t="shared" ca="1" si="8"/>
        <v>0.18484288354898318</v>
      </c>
      <c r="M40" s="4">
        <f t="shared" ca="1" si="8"/>
        <v>0.18512316083818953</v>
      </c>
      <c r="N40" s="4">
        <f t="shared" ca="1" si="8"/>
        <v>0.18535737534918306</v>
      </c>
      <c r="O40" s="4">
        <f t="shared" ca="1" si="8"/>
        <v>0.18555602025124179</v>
      </c>
      <c r="P40" s="4">
        <f t="shared" ca="1" si="8"/>
        <v>0.18572662649982163</v>
      </c>
      <c r="Q40" s="4">
        <f t="shared" ca="1" si="8"/>
        <v>0.18587473921710901</v>
      </c>
      <c r="R40" s="4">
        <f t="shared" ca="1" si="8"/>
        <v>0.18600453176491616</v>
      </c>
      <c r="S40" s="4">
        <f t="shared" ca="1" si="8"/>
        <v>0.18611920522383799</v>
      </c>
      <c r="T40" s="4">
        <f t="shared" ca="1" si="8"/>
        <v>0.1862212559539041</v>
      </c>
      <c r="U40" s="4">
        <f t="shared" ca="1" si="8"/>
        <v>0.18631265940888658</v>
      </c>
      <c r="V40" s="4">
        <f t="shared" ca="1" si="8"/>
        <v>0.18639499926935885</v>
      </c>
    </row>
    <row r="41" spans="1:22" x14ac:dyDescent="0.25">
      <c r="A41" s="5">
        <f ca="1">'edo - bernoulli - edo'!A45</f>
        <v>3.2000000000000015</v>
      </c>
      <c r="B41" s="4">
        <f t="shared" ca="1" si="7"/>
        <v>2.1495816682696817E-2</v>
      </c>
      <c r="C41" s="4">
        <f t="shared" ca="1" si="7"/>
        <v>0.15212087675697838</v>
      </c>
      <c r="D41" s="4">
        <f t="shared" ca="1" si="7"/>
        <v>0.16217712720577096</v>
      </c>
      <c r="E41" s="4">
        <f t="shared" ca="1" si="7"/>
        <v>0.16583132952503168</v>
      </c>
      <c r="F41" s="4">
        <f t="shared" ca="1" si="7"/>
        <v>0.16772088715061664</v>
      </c>
      <c r="G41" s="4">
        <f t="shared" ca="1" si="7"/>
        <v>0.16887543326787649</v>
      </c>
      <c r="H41" s="4">
        <f t="shared" ca="1" si="7"/>
        <v>0.16965400204631081</v>
      </c>
      <c r="I41" s="4">
        <f t="shared" ca="1" si="7"/>
        <v>0.17021453236472586</v>
      </c>
      <c r="J41" s="4">
        <f t="shared" ca="1" si="7"/>
        <v>0.17063736685325295</v>
      </c>
      <c r="K41" s="4">
        <f t="shared" ca="1" si="7"/>
        <v>0.17096769330334299</v>
      </c>
      <c r="L41" s="4">
        <f t="shared" ca="1" si="8"/>
        <v>0.17123287671232859</v>
      </c>
      <c r="M41" s="4">
        <f t="shared" ca="1" si="8"/>
        <v>0.17145045761287031</v>
      </c>
      <c r="N41" s="4">
        <f t="shared" ca="1" si="8"/>
        <v>0.1716321978686515</v>
      </c>
      <c r="O41" s="4">
        <f t="shared" ca="1" si="8"/>
        <v>0.17178627929589105</v>
      </c>
      <c r="P41" s="4">
        <f t="shared" ca="1" si="8"/>
        <v>0.17191856945162959</v>
      </c>
      <c r="Q41" s="4">
        <f t="shared" ca="1" si="8"/>
        <v>0.17203338584072225</v>
      </c>
      <c r="R41" s="4">
        <f t="shared" ca="1" si="8"/>
        <v>0.17213397605869568</v>
      </c>
      <c r="S41" s="4">
        <f t="shared" ca="1" si="8"/>
        <v>0.17222282987201476</v>
      </c>
      <c r="T41" s="4">
        <f t="shared" ca="1" si="8"/>
        <v>0.17230188808339603</v>
      </c>
      <c r="U41" s="4">
        <f t="shared" ca="1" si="8"/>
        <v>0.17237268592748134</v>
      </c>
      <c r="V41" s="4">
        <f t="shared" ca="1" si="8"/>
        <v>0.17243645375018321</v>
      </c>
    </row>
    <row r="42" spans="1:22" x14ac:dyDescent="0.25">
      <c r="A42" s="5">
        <f ca="1">'edo - bernoulli - edo'!A46</f>
        <v>3.3000000000000016</v>
      </c>
      <c r="B42" s="4">
        <f t="shared" ca="1" si="7"/>
        <v>2.3202178574558516E-2</v>
      </c>
      <c r="C42" s="4">
        <f t="shared" ca="1" si="7"/>
        <v>0.14380425797197932</v>
      </c>
      <c r="D42" s="4">
        <f t="shared" ca="1" si="7"/>
        <v>0.15185878172622344</v>
      </c>
      <c r="E42" s="4">
        <f t="shared" ca="1" si="7"/>
        <v>0.15474794277183268</v>
      </c>
      <c r="F42" s="4">
        <f t="shared" ca="1" si="7"/>
        <v>0.15623414462168292</v>
      </c>
      <c r="G42" s="4">
        <f t="shared" ca="1" si="7"/>
        <v>0.15713964771634517</v>
      </c>
      <c r="H42" s="4">
        <f t="shared" ca="1" si="7"/>
        <v>0.15774917031139316</v>
      </c>
      <c r="I42" s="4">
        <f t="shared" ca="1" si="7"/>
        <v>0.15818744663976506</v>
      </c>
      <c r="J42" s="4">
        <f t="shared" ca="1" si="7"/>
        <v>0.15851775541264262</v>
      </c>
      <c r="K42" s="4">
        <f t="shared" ca="1" si="7"/>
        <v>0.15877561746411695</v>
      </c>
      <c r="L42" s="4">
        <f t="shared" ca="1" si="8"/>
        <v>0.1589825119236882</v>
      </c>
      <c r="M42" s="4">
        <f t="shared" ca="1" si="8"/>
        <v>0.15915219068915898</v>
      </c>
      <c r="N42" s="4">
        <f t="shared" ca="1" si="8"/>
        <v>0.15929386657906849</v>
      </c>
      <c r="O42" s="4">
        <f t="shared" ca="1" si="8"/>
        <v>0.15941394334046585</v>
      </c>
      <c r="P42" s="4">
        <f t="shared" ca="1" si="8"/>
        <v>0.15951701045650787</v>
      </c>
      <c r="Q42" s="4">
        <f t="shared" ca="1" si="8"/>
        <v>0.1596064431543377</v>
      </c>
      <c r="R42" s="4">
        <f t="shared" ca="1" si="8"/>
        <v>0.15968477906650297</v>
      </c>
      <c r="S42" s="4">
        <f t="shared" ca="1" si="8"/>
        <v>0.15975396287459073</v>
      </c>
      <c r="T42" s="4">
        <f t="shared" ca="1" si="8"/>
        <v>0.15981550993907734</v>
      </c>
      <c r="U42" s="4">
        <f t="shared" ca="1" si="8"/>
        <v>0.15987061857731957</v>
      </c>
      <c r="V42" s="4">
        <f t="shared" ca="1" si="8"/>
        <v>0.1599202488568256</v>
      </c>
    </row>
    <row r="43" spans="1:22" x14ac:dyDescent="0.25">
      <c r="A43" s="5">
        <f ca="1">'edo - bernoulli - edo'!A47</f>
        <v>3.4000000000000017</v>
      </c>
      <c r="B43" s="4">
        <f t="shared" ca="1" si="7"/>
        <v>2.4958491893776653E-2</v>
      </c>
      <c r="C43" s="4">
        <f t="shared" ca="1" si="7"/>
        <v>0.13585629598370752</v>
      </c>
      <c r="D43" s="4">
        <f t="shared" ca="1" si="7"/>
        <v>0.14230851993668456</v>
      </c>
      <c r="E43" s="4">
        <f t="shared" ca="1" si="7"/>
        <v>0.14459764557882548</v>
      </c>
      <c r="F43" s="4">
        <f t="shared" ca="1" si="7"/>
        <v>0.14577004887868697</v>
      </c>
      <c r="G43" s="4">
        <f t="shared" ca="1" si="7"/>
        <v>0.14648266112595737</v>
      </c>
      <c r="H43" s="4">
        <f t="shared" ca="1" si="7"/>
        <v>0.14696161936942342</v>
      </c>
      <c r="I43" s="4">
        <f t="shared" ca="1" si="7"/>
        <v>0.14730565451713221</v>
      </c>
      <c r="J43" s="4">
        <f t="shared" ca="1" si="7"/>
        <v>0.14756473980044471</v>
      </c>
      <c r="K43" s="4">
        <f t="shared" ca="1" si="7"/>
        <v>0.14776688152438153</v>
      </c>
      <c r="L43" s="4">
        <f t="shared" ca="1" si="8"/>
        <v>0.14792899408284008</v>
      </c>
      <c r="M43" s="4">
        <f t="shared" ca="1" si="8"/>
        <v>0.148061896440041</v>
      </c>
      <c r="N43" s="4">
        <f t="shared" ca="1" si="8"/>
        <v>0.14817283096096856</v>
      </c>
      <c r="O43" s="4">
        <f t="shared" ca="1" si="8"/>
        <v>0.14826682855454093</v>
      </c>
      <c r="P43" s="4">
        <f t="shared" ca="1" si="8"/>
        <v>0.14834749289334448</v>
      </c>
      <c r="Q43" s="4">
        <f t="shared" ca="1" si="8"/>
        <v>0.14841747301714289</v>
      </c>
      <c r="R43" s="4">
        <f t="shared" ca="1" si="8"/>
        <v>0.148478759807815</v>
      </c>
      <c r="S43" s="4">
        <f t="shared" ca="1" si="8"/>
        <v>0.14853287843630814</v>
      </c>
      <c r="T43" s="4">
        <f t="shared" ca="1" si="8"/>
        <v>0.14858101701404183</v>
      </c>
      <c r="U43" s="4">
        <f t="shared" ca="1" si="8"/>
        <v>0.14862411482967011</v>
      </c>
      <c r="V43" s="4">
        <f t="shared" ca="1" si="8"/>
        <v>0.14866292424614749</v>
      </c>
    </row>
    <row r="44" spans="1:22" x14ac:dyDescent="0.25">
      <c r="A44" s="5">
        <f ca="1">'edo - bernoulli - edo'!A48</f>
        <v>3.5000000000000018</v>
      </c>
      <c r="B44" s="4">
        <f t="shared" ca="1" si="7"/>
        <v>2.6747273208204487E-2</v>
      </c>
      <c r="C44" s="4">
        <f t="shared" ca="1" si="7"/>
        <v>0.12831118395237667</v>
      </c>
      <c r="D44" s="4">
        <f t="shared" ca="1" si="7"/>
        <v>0.13348320707905426</v>
      </c>
      <c r="E44" s="4">
        <f t="shared" ca="1" si="7"/>
        <v>0.13530113275558053</v>
      </c>
      <c r="F44" s="4">
        <f t="shared" ca="1" si="7"/>
        <v>0.13622879183713152</v>
      </c>
      <c r="G44" s="4">
        <f t="shared" ca="1" si="7"/>
        <v>0.13679151836442147</v>
      </c>
      <c r="H44" s="4">
        <f t="shared" ca="1" si="7"/>
        <v>0.13716925927062962</v>
      </c>
      <c r="I44" s="4">
        <f t="shared" ca="1" si="7"/>
        <v>0.13744035400187249</v>
      </c>
      <c r="J44" s="4">
        <f t="shared" ca="1" si="7"/>
        <v>0.13764437930360274</v>
      </c>
      <c r="K44" s="4">
        <f t="shared" ca="1" si="7"/>
        <v>0.13780348491430208</v>
      </c>
      <c r="L44" s="4">
        <f t="shared" ca="1" si="8"/>
        <v>0.13793103448275845</v>
      </c>
      <c r="M44" s="4">
        <f t="shared" ca="1" si="8"/>
        <v>0.1380355689781152</v>
      </c>
      <c r="N44" s="4">
        <f t="shared" ca="1" si="8"/>
        <v>0.13812280217087428</v>
      </c>
      <c r="O44" s="4">
        <f t="shared" ca="1" si="8"/>
        <v>0.13819670103568413</v>
      </c>
      <c r="P44" s="4">
        <f t="shared" ca="1" si="8"/>
        <v>0.13826010588606499</v>
      </c>
      <c r="Q44" s="4">
        <f t="shared" ca="1" si="8"/>
        <v>0.1383151038366576</v>
      </c>
      <c r="R44" s="4">
        <f t="shared" ca="1" si="8"/>
        <v>0.13836326294856752</v>
      </c>
      <c r="S44" s="4">
        <f t="shared" ca="1" si="8"/>
        <v>0.13840578414151897</v>
      </c>
      <c r="T44" s="4">
        <f t="shared" ca="1" si="8"/>
        <v>0.13844360270384229</v>
      </c>
      <c r="U44" s="4">
        <f t="shared" ca="1" si="8"/>
        <v>0.13847745788777721</v>
      </c>
      <c r="V44" s="4">
        <f t="shared" ca="1" si="8"/>
        <v>0.13850794171351141</v>
      </c>
    </row>
    <row r="45" spans="1:22" x14ac:dyDescent="0.25">
      <c r="A45" s="5">
        <f ca="1">'edo - bernoulli - edo'!A49</f>
        <v>3.6000000000000019</v>
      </c>
      <c r="B45" s="4">
        <f t="shared" ca="1" si="7"/>
        <v>2.8547713575980647E-2</v>
      </c>
      <c r="C45" s="4">
        <f t="shared" ca="1" si="7"/>
        <v>0.12118528412060081</v>
      </c>
      <c r="D45" s="4">
        <f t="shared" ca="1" si="7"/>
        <v>0.12533543240430237</v>
      </c>
      <c r="E45" s="4">
        <f t="shared" ca="1" si="7"/>
        <v>0.12678271224370824</v>
      </c>
      <c r="F45" s="4">
        <f t="shared" ca="1" si="7"/>
        <v>0.12751895902965424</v>
      </c>
      <c r="G45" s="4">
        <f t="shared" ca="1" si="7"/>
        <v>0.12796482593124689</v>
      </c>
      <c r="H45" s="4">
        <f t="shared" ca="1" si="7"/>
        <v>0.12826380676014634</v>
      </c>
      <c r="I45" s="4">
        <f t="shared" ca="1" si="7"/>
        <v>0.12847822128950248</v>
      </c>
      <c r="J45" s="4">
        <f t="shared" ca="1" si="7"/>
        <v>0.12863950321638887</v>
      </c>
      <c r="K45" s="4">
        <f t="shared" ca="1" si="7"/>
        <v>0.12876522493508033</v>
      </c>
      <c r="L45" s="4">
        <f t="shared" ca="1" si="8"/>
        <v>0.12886597938144315</v>
      </c>
      <c r="M45" s="4">
        <f t="shared" ca="1" si="8"/>
        <v>0.12894853219080507</v>
      </c>
      <c r="N45" s="4">
        <f t="shared" ca="1" si="8"/>
        <v>0.12901740703697354</v>
      </c>
      <c r="O45" s="4">
        <f t="shared" ca="1" si="8"/>
        <v>0.12907574324641993</v>
      </c>
      <c r="P45" s="4">
        <f t="shared" ca="1" si="8"/>
        <v>0.12912578771607805</v>
      </c>
      <c r="Q45" s="4">
        <f t="shared" ca="1" si="8"/>
        <v>0.12916919098997848</v>
      </c>
      <c r="R45" s="4">
        <f t="shared" ca="1" si="8"/>
        <v>0.12920719279711798</v>
      </c>
      <c r="S45" s="4">
        <f t="shared" ca="1" si="8"/>
        <v>0.12924074237742889</v>
      </c>
      <c r="T45" s="4">
        <f t="shared" ca="1" si="8"/>
        <v>0.12927057885650339</v>
      </c>
      <c r="U45" s="4">
        <f t="shared" ca="1" si="8"/>
        <v>0.12929728633321488</v>
      </c>
      <c r="V45" s="4">
        <f t="shared" ca="1" si="8"/>
        <v>0.12932133249944944</v>
      </c>
    </row>
    <row r="46" spans="1:22" x14ac:dyDescent="0.25">
      <c r="A46" s="5">
        <f ca="1">'edo - bernoulli - edo'!A50</f>
        <v>3.700000000000002</v>
      </c>
      <c r="B46" s="4">
        <f t="shared" ca="1" si="7"/>
        <v>3.0336051170662841E-2</v>
      </c>
      <c r="C46" s="4">
        <f t="shared" ca="1" si="7"/>
        <v>0.1144816614052839</v>
      </c>
      <c r="D46" s="4">
        <f t="shared" ca="1" si="7"/>
        <v>0.11781632329305283</v>
      </c>
      <c r="E46" s="4">
        <f t="shared" ca="1" si="7"/>
        <v>0.11897147083562998</v>
      </c>
      <c r="F46" s="4">
        <f t="shared" ca="1" si="7"/>
        <v>0.11955758081519377</v>
      </c>
      <c r="G46" s="4">
        <f t="shared" ca="1" si="7"/>
        <v>0.11991202697874029</v>
      </c>
      <c r="H46" s="4">
        <f t="shared" ca="1" si="7"/>
        <v>0.12014949429792145</v>
      </c>
      <c r="I46" s="4">
        <f t="shared" ca="1" si="7"/>
        <v>0.12031969046505765</v>
      </c>
      <c r="J46" s="4">
        <f t="shared" ca="1" si="7"/>
        <v>0.12044765435640692</v>
      </c>
      <c r="K46" s="4">
        <f t="shared" ca="1" si="7"/>
        <v>0.12054737016225327</v>
      </c>
      <c r="L46" s="4">
        <f t="shared" ca="1" si="8"/>
        <v>0.12062726176115787</v>
      </c>
      <c r="M46" s="4">
        <f t="shared" ca="1" si="8"/>
        <v>0.1206927064222393</v>
      </c>
      <c r="N46" s="4">
        <f t="shared" ca="1" si="8"/>
        <v>0.12074729790977445</v>
      </c>
      <c r="O46" s="4">
        <f t="shared" ca="1" si="8"/>
        <v>0.1207935292949225</v>
      </c>
      <c r="P46" s="4">
        <f t="shared" ca="1" si="8"/>
        <v>0.12083318438273859</v>
      </c>
      <c r="Q46" s="4">
        <f t="shared" ca="1" si="8"/>
        <v>0.12086757319221726</v>
      </c>
      <c r="R46" s="4">
        <f t="shared" ca="1" si="8"/>
        <v>0.12089767946125102</v>
      </c>
      <c r="S46" s="4">
        <f t="shared" ca="1" si="8"/>
        <v>0.12092425627412597</v>
      </c>
      <c r="T46" s="4">
        <f t="shared" ca="1" si="8"/>
        <v>0.12094788991909343</v>
      </c>
      <c r="U46" s="4">
        <f t="shared" ca="1" si="8"/>
        <v>0.12096904364387757</v>
      </c>
      <c r="V46" s="4">
        <f t="shared" ca="1" si="8"/>
        <v>0.12098808832379589</v>
      </c>
    </row>
    <row r="47" spans="1:22" x14ac:dyDescent="0.25">
      <c r="A47" s="5">
        <f ca="1">'edo - bernoulli - edo'!A51</f>
        <v>3.800000000000002</v>
      </c>
      <c r="B47" s="4">
        <f t="shared" ca="1" si="7"/>
        <v>3.2086216626710497E-2</v>
      </c>
      <c r="C47" s="4">
        <f t="shared" ca="1" si="7"/>
        <v>0.10819379884352406</v>
      </c>
      <c r="D47" s="4">
        <f t="shared" ca="1" si="7"/>
        <v>0.11087745320396496</v>
      </c>
      <c r="E47" s="4">
        <f t="shared" ca="1" si="7"/>
        <v>0.11180183608021434</v>
      </c>
      <c r="F47" s="4">
        <f t="shared" ca="1" si="7"/>
        <v>0.11226983163242775</v>
      </c>
      <c r="G47" s="4">
        <f t="shared" ca="1" si="7"/>
        <v>0.11255251433933854</v>
      </c>
      <c r="H47" s="4">
        <f t="shared" ca="1" si="7"/>
        <v>0.11274176165480501</v>
      </c>
      <c r="I47" s="4">
        <f t="shared" ca="1" si="7"/>
        <v>0.11287732841354162</v>
      </c>
      <c r="J47" s="4">
        <f t="shared" ca="1" si="7"/>
        <v>0.11297921762997225</v>
      </c>
      <c r="K47" s="4">
        <f t="shared" ca="1" si="7"/>
        <v>0.11305859205708162</v>
      </c>
      <c r="L47" s="4">
        <f t="shared" ca="1" si="8"/>
        <v>0.11312217194570122</v>
      </c>
      <c r="M47" s="4">
        <f t="shared" ca="1" si="8"/>
        <v>0.11317424506821078</v>
      </c>
      <c r="N47" s="4">
        <f t="shared" ca="1" si="8"/>
        <v>0.11321767597282315</v>
      </c>
      <c r="O47" s="4">
        <f t="shared" ca="1" si="8"/>
        <v>0.11325445124384625</v>
      </c>
      <c r="P47" s="4">
        <f t="shared" ca="1" si="8"/>
        <v>0.11328599192500657</v>
      </c>
      <c r="Q47" s="4">
        <f t="shared" ca="1" si="8"/>
        <v>0.11331334139582382</v>
      </c>
      <c r="R47" s="4">
        <f t="shared" ca="1" si="8"/>
        <v>0.11333728301763435</v>
      </c>
      <c r="S47" s="4">
        <f t="shared" ca="1" si="8"/>
        <v>0.11335841638136672</v>
      </c>
      <c r="T47" s="4">
        <f t="shared" ca="1" si="8"/>
        <v>0.11337720821101824</v>
      </c>
      <c r="U47" s="4">
        <f t="shared" ca="1" si="8"/>
        <v>0.11339402723527242</v>
      </c>
      <c r="V47" s="4">
        <f t="shared" ca="1" si="8"/>
        <v>0.1134091686241728</v>
      </c>
    </row>
    <row r="48" spans="1:22" x14ac:dyDescent="0.25">
      <c r="A48" s="5">
        <f ca="1">'edo - bernoulli - edo'!A52</f>
        <v>3.9000000000000021</v>
      </c>
      <c r="B48" s="4">
        <f t="shared" ca="1" si="7"/>
        <v>3.3770745967891778E-2</v>
      </c>
      <c r="C48" s="4">
        <f t="shared" ca="1" si="7"/>
        <v>0.10230854729225319</v>
      </c>
      <c r="D48" s="4">
        <f t="shared" ca="1" si="7"/>
        <v>0.10447208109326343</v>
      </c>
      <c r="E48" s="4">
        <f t="shared" ca="1" si="7"/>
        <v>0.10521373785674459</v>
      </c>
      <c r="F48" s="4">
        <f t="shared" ca="1" si="7"/>
        <v>0.1055885291213071</v>
      </c>
      <c r="G48" s="4">
        <f t="shared" ca="1" si="7"/>
        <v>0.10581468829963289</v>
      </c>
      <c r="H48" s="4">
        <f t="shared" ca="1" si="7"/>
        <v>0.10596600008643051</v>
      </c>
      <c r="I48" s="4">
        <f t="shared" ca="1" si="7"/>
        <v>0.10607434514942875</v>
      </c>
      <c r="J48" s="4">
        <f t="shared" ca="1" si="7"/>
        <v>0.10615574945377741</v>
      </c>
      <c r="K48" s="4">
        <f t="shared" ca="1" si="7"/>
        <v>0.10621915034513778</v>
      </c>
      <c r="L48" s="4">
        <f t="shared" ca="1" si="8"/>
        <v>0.10626992561105193</v>
      </c>
      <c r="M48" s="4">
        <f t="shared" ca="1" si="8"/>
        <v>0.10631150513134058</v>
      </c>
      <c r="N48" s="4">
        <f t="shared" ca="1" si="8"/>
        <v>0.10634617959440119</v>
      </c>
      <c r="O48" s="4">
        <f t="shared" ca="1" si="8"/>
        <v>0.10637553719630138</v>
      </c>
      <c r="P48" s="4">
        <f t="shared" ca="1" si="8"/>
        <v>0.10640071375896018</v>
      </c>
      <c r="Q48" s="4">
        <f t="shared" ca="1" si="8"/>
        <v>0.10642254308841878</v>
      </c>
      <c r="R48" s="4">
        <f t="shared" ca="1" si="8"/>
        <v>0.10644165110061546</v>
      </c>
      <c r="S48" s="4">
        <f t="shared" ca="1" si="8"/>
        <v>0.10645851681052072</v>
      </c>
      <c r="T48" s="4">
        <f t="shared" ca="1" si="8"/>
        <v>0.10647351304024398</v>
      </c>
      <c r="U48" s="4">
        <f t="shared" ca="1" si="8"/>
        <v>0.10648693430111654</v>
      </c>
      <c r="V48" s="4">
        <f t="shared" ca="1" si="8"/>
        <v>0.10649901632918164</v>
      </c>
    </row>
    <row r="49" spans="1:22" x14ac:dyDescent="0.25">
      <c r="A49" s="5">
        <f ca="1">'edo - bernoulli - edo'!A53</f>
        <v>4.0000000000000018</v>
      </c>
      <c r="B49" s="4">
        <f t="shared" ca="1" si="7"/>
        <v>3.5361919829624798E-2</v>
      </c>
      <c r="C49" s="4">
        <f t="shared" ca="1" si="7"/>
        <v>9.680840595136149E-2</v>
      </c>
      <c r="D49" s="4">
        <f t="shared" ca="1" si="7"/>
        <v>9.8555908456290642E-2</v>
      </c>
      <c r="E49" s="4">
        <f t="shared" ca="1" si="7"/>
        <v>9.9152513901552081E-2</v>
      </c>
      <c r="F49" s="4">
        <f t="shared" ca="1" si="7"/>
        <v>9.9453533498271018E-2</v>
      </c>
      <c r="G49" s="4">
        <f t="shared" ca="1" si="7"/>
        <v>9.9635024175306855E-2</v>
      </c>
      <c r="H49" s="4">
        <f t="shared" ca="1" si="7"/>
        <v>9.9756386406630704E-2</v>
      </c>
      <c r="I49" s="4">
        <f t="shared" ca="1" si="7"/>
        <v>9.9843254885546226E-2</v>
      </c>
      <c r="J49" s="4">
        <f t="shared" ca="1" si="7"/>
        <v>9.990850559448082E-2</v>
      </c>
      <c r="K49" s="4">
        <f t="shared" ca="1" si="7"/>
        <v>9.9959315139562965E-2</v>
      </c>
      <c r="L49" s="4">
        <f t="shared" ca="1" si="8"/>
        <v>9.9999999999999895E-2</v>
      </c>
      <c r="M49" s="4">
        <f t="shared" ca="1" si="8"/>
        <v>0.10003331225498366</v>
      </c>
      <c r="N49" s="4">
        <f t="shared" ca="1" si="8"/>
        <v>0.10006108942602457</v>
      </c>
      <c r="O49" s="4">
        <f t="shared" ca="1" si="8"/>
        <v>0.10008460523790108</v>
      </c>
      <c r="P49" s="4">
        <f t="shared" ca="1" si="8"/>
        <v>0.10010477044723137</v>
      </c>
      <c r="Q49" s="4">
        <f t="shared" ca="1" si="8"/>
        <v>0.1001222535360327</v>
      </c>
      <c r="R49" s="4">
        <f t="shared" ca="1" si="8"/>
        <v>0.10013755624895912</v>
      </c>
      <c r="S49" s="4">
        <f t="shared" ca="1" si="8"/>
        <v>0.10015106252787147</v>
      </c>
      <c r="T49" s="4">
        <f t="shared" ca="1" si="8"/>
        <v>0.10016307116813342</v>
      </c>
      <c r="U49" s="4">
        <f t="shared" ca="1" si="8"/>
        <v>0.10017381818230932</v>
      </c>
      <c r="V49" s="4">
        <f t="shared" ca="1" si="8"/>
        <v>0.10018349246706378</v>
      </c>
    </row>
    <row r="50" spans="1:22" x14ac:dyDescent="0.25">
      <c r="A50" s="5"/>
    </row>
    <row r="51" spans="1:22" x14ac:dyDescent="0.25">
      <c r="A51" s="5"/>
    </row>
    <row r="52" spans="1:22" x14ac:dyDescent="0.25">
      <c r="A52" s="5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7:V49"/>
  <sheetViews>
    <sheetView workbookViewId="0">
      <selection activeCell="V9" sqref="V9"/>
    </sheetView>
  </sheetViews>
  <sheetFormatPr defaultRowHeight="15" x14ac:dyDescent="0.25"/>
  <cols>
    <col min="6" max="21" width="0" hidden="1" customWidth="1"/>
  </cols>
  <sheetData>
    <row r="7" spans="1:22" x14ac:dyDescent="0.25">
      <c r="B7" t="s">
        <v>41</v>
      </c>
      <c r="D7" s="20"/>
      <c r="F7" s="20"/>
      <c r="H7" s="20"/>
      <c r="J7" s="20"/>
      <c r="L7" s="20"/>
      <c r="N7" s="20"/>
      <c r="P7" s="20"/>
      <c r="R7" s="20"/>
      <c r="T7" s="20"/>
      <c r="V7" s="20"/>
    </row>
    <row r="8" spans="1:22" x14ac:dyDescent="0.25">
      <c r="A8" t="s">
        <v>1</v>
      </c>
      <c r="B8" s="18" t="str">
        <f>'edo - bernoulli - exata'!B8</f>
        <v>000</v>
      </c>
      <c r="C8" s="18" t="str">
        <f>'edo - bernoulli - exata'!C8</f>
        <v>000</v>
      </c>
      <c r="D8" s="18" t="str">
        <f>'edo - bernoulli - exata'!D8</f>
        <v>000</v>
      </c>
      <c r="E8" s="18" t="str">
        <f>'edo - bernoulli - exata'!E8</f>
        <v>000</v>
      </c>
      <c r="F8" s="18" t="str">
        <f>'edo - bernoulli - exata'!F8</f>
        <v>000</v>
      </c>
      <c r="G8" s="18" t="str">
        <f>'edo - bernoulli - exata'!G8</f>
        <v>000</v>
      </c>
      <c r="H8" s="18" t="str">
        <f>'edo - bernoulli - exata'!H8</f>
        <v>000</v>
      </c>
      <c r="I8" s="18" t="str">
        <f>'edo - bernoulli - exata'!I8</f>
        <v>000</v>
      </c>
      <c r="J8" s="18" t="str">
        <f>'edo - bernoulli - exata'!J8</f>
        <v>000</v>
      </c>
      <c r="K8" s="18" t="str">
        <f>'edo - bernoulli - exata'!K8</f>
        <v>000</v>
      </c>
      <c r="L8" s="18" t="str">
        <f>'edo - bernoulli - exata'!L8</f>
        <v>001</v>
      </c>
      <c r="M8" s="18" t="str">
        <f>'edo - bernoulli - exata'!M8</f>
        <v>001</v>
      </c>
      <c r="N8" s="18" t="str">
        <f>'edo - bernoulli - exata'!N8</f>
        <v>001</v>
      </c>
      <c r="O8" s="18" t="str">
        <f>'edo - bernoulli - exata'!O8</f>
        <v>001</v>
      </c>
      <c r="P8" s="18" t="str">
        <f>'edo - bernoulli - exata'!P8</f>
        <v>001</v>
      </c>
      <c r="Q8" s="18" t="str">
        <f>'edo - bernoulli - exata'!Q8</f>
        <v>001</v>
      </c>
      <c r="R8" s="18" t="str">
        <f>'edo - bernoulli - exata'!R8</f>
        <v>001</v>
      </c>
      <c r="S8" s="18" t="str">
        <f>'edo - bernoulli - exata'!S8</f>
        <v>001</v>
      </c>
      <c r="T8" s="18" t="str">
        <f>'edo - bernoulli - exata'!T8</f>
        <v>001</v>
      </c>
      <c r="U8" s="18" t="str">
        <f>'edo - bernoulli - exata'!U8</f>
        <v>001</v>
      </c>
      <c r="V8" s="18" t="str">
        <f>'edo - bernoulli - exata'!V8</f>
        <v>001</v>
      </c>
    </row>
    <row r="9" spans="1:22" x14ac:dyDescent="0.25">
      <c r="A9" s="5">
        <f>'edo - bernoulli - exata'!A9</f>
        <v>0</v>
      </c>
      <c r="B9" s="21">
        <f>('edo - bernoulli - edo'!E13/'edo - bernoulli - exata'!B9-1)*100</f>
        <v>0</v>
      </c>
      <c r="C9" s="21">
        <f>('edo - bernoulli - edo'!F13/'edo - bernoulli - exata'!C9-1)*100</f>
        <v>0</v>
      </c>
      <c r="D9" s="21">
        <f>('edo - bernoulli - edo'!G13/'edo - bernoulli - exata'!D9-1)*100</f>
        <v>0</v>
      </c>
      <c r="E9" s="21">
        <f>('edo - bernoulli - edo'!H13/'edo - bernoulli - exata'!E9-1)*100</f>
        <v>0</v>
      </c>
      <c r="F9" s="21">
        <f>('edo - bernoulli - edo'!I13/'edo - bernoulli - exata'!F9-1)*100</f>
        <v>0</v>
      </c>
      <c r="G9" s="21">
        <f>('edo - bernoulli - edo'!J13/'edo - bernoulli - exata'!G9-1)*100</f>
        <v>0</v>
      </c>
      <c r="H9" s="21">
        <f>('edo - bernoulli - edo'!K13/'edo - bernoulli - exata'!H9-1)*100</f>
        <v>0</v>
      </c>
      <c r="I9" s="21">
        <f>('edo - bernoulli - edo'!L13/'edo - bernoulli - exata'!I9-1)*100</f>
        <v>0</v>
      </c>
      <c r="J9" s="21">
        <f>('edo - bernoulli - edo'!M13/'edo - bernoulli - exata'!J9-1)*100</f>
        <v>0</v>
      </c>
      <c r="K9" s="21">
        <f>('edo - bernoulli - edo'!N13/'edo - bernoulli - exata'!K9-1)*100</f>
        <v>2.2204460492503131E-14</v>
      </c>
      <c r="L9" s="21">
        <f>('edo - bernoulli - edo'!O13/'edo - bernoulli - exata'!L9-1)*100</f>
        <v>0</v>
      </c>
      <c r="M9" s="21">
        <f>('edo - bernoulli - edo'!P13/'edo - bernoulli - exata'!M9-1)*100</f>
        <v>0</v>
      </c>
      <c r="N9" s="21">
        <f>('edo - bernoulli - edo'!Q13/'edo - bernoulli - exata'!N9-1)*100</f>
        <v>0</v>
      </c>
      <c r="O9" s="21">
        <f>('edo - bernoulli - edo'!R13/'edo - bernoulli - exata'!O9-1)*100</f>
        <v>0</v>
      </c>
      <c r="P9" s="21">
        <f>('edo - bernoulli - edo'!S13/'edo - bernoulli - exata'!P9-1)*100</f>
        <v>0</v>
      </c>
      <c r="Q9" s="21">
        <f>('edo - bernoulli - edo'!T13/'edo - bernoulli - exata'!Q9-1)*100</f>
        <v>0</v>
      </c>
      <c r="R9" s="21">
        <f>('edo - bernoulli - edo'!U13/'edo - bernoulli - exata'!R9-1)*100</f>
        <v>0</v>
      </c>
      <c r="S9" s="21">
        <f>('edo - bernoulli - edo'!V13/'edo - bernoulli - exata'!S9-1)*100</f>
        <v>0</v>
      </c>
      <c r="T9" s="21">
        <f>('edo - bernoulli - edo'!W13/'edo - bernoulli - exata'!T9-1)*100</f>
        <v>2.2204460492503131E-14</v>
      </c>
      <c r="U9" s="21">
        <f>('edo - bernoulli - edo'!X13/'edo - bernoulli - exata'!U9-1)*100</f>
        <v>-1.1102230246251565E-14</v>
      </c>
      <c r="V9" s="21">
        <f>('edo - bernoulli - edo'!Y13/'edo - bernoulli - exata'!V9-1)*100</f>
        <v>0</v>
      </c>
    </row>
    <row r="10" spans="1:22" x14ac:dyDescent="0.25">
      <c r="A10" s="5">
        <f ca="1">'edo - bernoulli - exata'!A10</f>
        <v>0.1</v>
      </c>
      <c r="B10" s="21">
        <f ca="1">('edo - bernoulli - edo'!E14/'edo - bernoulli - exata'!B10-1)*100</f>
        <v>-7.6738905230300247E-6</v>
      </c>
      <c r="C10" s="21">
        <f ca="1">('edo - bernoulli - edo'!F14/'edo - bernoulli - exata'!C10-1)*100</f>
        <v>-7.9745166359224129E-6</v>
      </c>
      <c r="D10" s="21">
        <f ca="1">('edo - bernoulli - edo'!G14/'edo - bernoulli - exata'!D10-1)*100</f>
        <v>-8.2858718220002459E-6</v>
      </c>
      <c r="E10" s="21">
        <f ca="1">('edo - bernoulli - edo'!H14/'edo - bernoulli - exata'!E10-1)*100</f>
        <v>-8.6018669409604342E-6</v>
      </c>
      <c r="F10" s="21">
        <f ca="1">('edo - bernoulli - edo'!I14/'edo - bernoulli - exata'!F10-1)*100</f>
        <v>-8.9225015709182287E-6</v>
      </c>
      <c r="G10" s="21">
        <f ca="1">('edo - bernoulli - edo'!J14/'edo - bernoulli - exata'!G10-1)*100</f>
        <v>-9.2477754343178731E-6</v>
      </c>
      <c r="H10" s="21">
        <f ca="1">('edo - bernoulli - edo'!K14/'edo - bernoulli - exata'!H10-1)*100</f>
        <v>-9.5776881647857692E-6</v>
      </c>
      <c r="I10" s="21">
        <f ca="1">('edo - bernoulli - edo'!L14/'edo - bernoulli - exata'!I10-1)*100</f>
        <v>-9.9122394292550098E-6</v>
      </c>
      <c r="J10" s="21">
        <f ca="1">('edo - bernoulli - edo'!M14/'edo - bernoulli - exata'!J10-1)*100</f>
        <v>-1.0251428828045306E-5</v>
      </c>
      <c r="K10" s="21">
        <f ca="1">('edo - bernoulli - edo'!N14/'edo - bernoulli - exata'!K10-1)*100</f>
        <v>-1.059525603919198E-5</v>
      </c>
      <c r="L10" s="21">
        <f ca="1">('edo - bernoulli - edo'!O14/'edo - bernoulli - exata'!L10-1)*100</f>
        <v>-1.0943720740730356E-5</v>
      </c>
      <c r="M10" s="21">
        <f ca="1">('edo - bernoulli - edo'!P14/'edo - bernoulli - exata'!M10-1)*100</f>
        <v>-1.1296822555184605E-5</v>
      </c>
      <c r="N10" s="21">
        <f ca="1">('edo - bernoulli - edo'!Q14/'edo - bernoulli - exata'!N10-1)*100</f>
        <v>-1.1654561116181128E-5</v>
      </c>
      <c r="O10" s="21">
        <f ca="1">('edo - bernoulli - edo'!R14/'edo - bernoulli - exata'!O10-1)*100</f>
        <v>-1.2016936112857479E-5</v>
      </c>
      <c r="P10" s="21">
        <f ca="1">('edo - bernoulli - edo'!S14/'edo - bernoulli - exata'!P10-1)*100</f>
        <v>-1.238394717884006E-5</v>
      </c>
      <c r="Q10" s="21">
        <f ca="1">('edo - bernoulli - edo'!T14/'edo - bernoulli - exata'!Q10-1)*100</f>
        <v>-1.2755593992164194E-5</v>
      </c>
      <c r="R10" s="21">
        <f ca="1">('edo - bernoulli - edo'!U14/'edo - bernoulli - exata'!R10-1)*100</f>
        <v>-1.3131876164251821E-5</v>
      </c>
      <c r="S10" s="21">
        <f ca="1">('edo - bernoulli - edo'!V14/'edo - bernoulli - exata'!S10-1)*100</f>
        <v>-1.3512793362036035E-5</v>
      </c>
      <c r="T10" s="21">
        <f ca="1">('edo - bernoulli - edo'!W14/'edo - bernoulli - exata'!T10-1)*100</f>
        <v>-1.3898345241347698E-5</v>
      </c>
      <c r="U10" s="21">
        <f ca="1">('edo - bernoulli - edo'!X14/'edo - bernoulli - exata'!U10-1)*100</f>
        <v>-1.4288531502426594E-5</v>
      </c>
      <c r="V10" s="21">
        <f ca="1">('edo - bernoulli - edo'!Y14/'edo - bernoulli - exata'!V10-1)*100</f>
        <v>-1.4683351690081281E-5</v>
      </c>
    </row>
    <row r="11" spans="1:22" x14ac:dyDescent="0.25">
      <c r="A11" s="5">
        <f ca="1">'edo - bernoulli - exata'!A11</f>
        <v>0.2</v>
      </c>
      <c r="B11" s="21">
        <f ca="1">('edo - bernoulli - edo'!E15/'edo - bernoulli - exata'!B11-1)*100</f>
        <v>-1.5349262416641807E-5</v>
      </c>
      <c r="C11" s="21">
        <f ca="1">('edo - bernoulli - edo'!F15/'edo - bernoulli - exata'!C11-1)*100</f>
        <v>-1.602440370396252E-5</v>
      </c>
      <c r="D11" s="21">
        <f ca="1">('edo - bernoulli - edo'!G15/'edo - bernoulli - exata'!D11-1)*100</f>
        <v>-1.672508909145165E-5</v>
      </c>
      <c r="E11" s="21">
        <f ca="1">('edo - bernoulli - edo'!H15/'edo - bernoulli - exata'!E11-1)*100</f>
        <v>-1.7437671018250001E-5</v>
      </c>
      <c r="F11" s="21">
        <f ca="1">('edo - bernoulli - edo'!I15/'edo - bernoulli - exata'!F11-1)*100</f>
        <v>-1.8162161719015302E-5</v>
      </c>
      <c r="G11" s="21">
        <f ca="1">('edo - bernoulli - edo'!J15/'edo - bernoulli - exata'!G11-1)*100</f>
        <v>-1.8898573439507516E-5</v>
      </c>
      <c r="H11" s="21">
        <f ca="1">('edo - bernoulli - edo'!K15/'edo - bernoulli - exata'!H11-1)*100</f>
        <v>-1.9646918569815597E-5</v>
      </c>
      <c r="I11" s="21">
        <f ca="1">('edo - bernoulli - edo'!L15/'edo - bernoulli - exata'!I11-1)*100</f>
        <v>-2.0407209555539652E-5</v>
      </c>
      <c r="J11" s="21">
        <f ca="1">('edo - bernoulli - edo'!M15/'edo - bernoulli - exata'!J11-1)*100</f>
        <v>-2.1179458908893167E-5</v>
      </c>
      <c r="K11" s="21">
        <f ca="1">('edo - bernoulli - edo'!N15/'edo - bernoulli - exata'!K11-1)*100</f>
        <v>-2.1963679275316395E-5</v>
      </c>
      <c r="L11" s="21">
        <f ca="1">('edo - bernoulli - edo'!O15/'edo - bernoulli - exata'!L11-1)*100</f>
        <v>-2.2759883411271886E-5</v>
      </c>
      <c r="M11" s="21">
        <f ca="1">('edo - bernoulli - edo'!P15/'edo - bernoulli - exata'!M11-1)*100</f>
        <v>-2.3568084028813274E-5</v>
      </c>
      <c r="N11" s="21">
        <f ca="1">('edo - bernoulli - edo'!Q15/'edo - bernoulli - exata'!N11-1)*100</f>
        <v>-2.4388294050936565E-5</v>
      </c>
      <c r="O11" s="21">
        <f ca="1">('edo - bernoulli - edo'!R15/'edo - bernoulli - exata'!O11-1)*100</f>
        <v>-2.5220526445046687E-5</v>
      </c>
      <c r="P11" s="21">
        <f ca="1">('edo - bernoulli - edo'!S15/'edo - bernoulli - exata'!P11-1)*100</f>
        <v>-2.6064794278468639E-5</v>
      </c>
      <c r="Q11" s="21">
        <f ca="1">('edo - bernoulli - edo'!T15/'edo - bernoulli - exata'!Q11-1)*100</f>
        <v>-2.6921110662936343E-5</v>
      </c>
      <c r="R11" s="21">
        <f ca="1">('edo - bernoulli - edo'!U15/'edo - bernoulli - exata'!R11-1)*100</f>
        <v>-2.7789488832308251E-5</v>
      </c>
      <c r="S11" s="21">
        <f ca="1">('edo - bernoulli - edo'!V15/'edo - bernoulli - exata'!S11-1)*100</f>
        <v>-2.8669942075953969E-5</v>
      </c>
      <c r="T11" s="21">
        <f ca="1">('edo - bernoulli - edo'!W15/'edo - bernoulli - exata'!T11-1)*100</f>
        <v>-2.9562483816469864E-5</v>
      </c>
      <c r="U11" s="21">
        <f ca="1">('edo - bernoulli - edo'!X15/'edo - bernoulli - exata'!U11-1)*100</f>
        <v>-3.0467127554167917E-5</v>
      </c>
      <c r="V11" s="21">
        <f ca="1">('edo - bernoulli - edo'!Y15/'edo - bernoulli - exata'!V11-1)*100</f>
        <v>-3.1383886756053414E-5</v>
      </c>
    </row>
    <row r="12" spans="1:22" x14ac:dyDescent="0.25">
      <c r="A12" s="5">
        <f ca="1">'edo - bernoulli - exata'!A12</f>
        <v>0.30000000000000004</v>
      </c>
      <c r="B12" s="21">
        <f ca="1">('edo - bernoulli - edo'!E16/'edo - bernoulli - exata'!B12-1)*100</f>
        <v>-2.3025113538022168E-5</v>
      </c>
      <c r="C12" s="21">
        <f ca="1">('edo - bernoulli - edo'!F16/'edo - bernoulli - exata'!C12-1)*100</f>
        <v>-2.409916606271878E-5</v>
      </c>
      <c r="D12" s="21">
        <f ca="1">('edo - bernoulli - edo'!G16/'edo - bernoulli - exata'!D12-1)*100</f>
        <v>-2.5216020760332469E-5</v>
      </c>
      <c r="E12" s="21">
        <f ca="1">('edo - bernoulli - edo'!H16/'edo - bernoulli - exata'!E12-1)*100</f>
        <v>-2.6354228810365754E-5</v>
      </c>
      <c r="F12" s="21">
        <f ca="1">('edo - bernoulli - edo'!I16/'edo - bernoulli - exata'!F12-1)*100</f>
        <v>-2.7514054323773962E-5</v>
      </c>
      <c r="G12" s="21">
        <f ca="1">('edo - bernoulli - edo'!J16/'edo - bernoulli - exata'!G12-1)*100</f>
        <v>-2.8695763976127608E-5</v>
      </c>
      <c r="H12" s="21">
        <f ca="1">('edo - bernoulli - edo'!K16/'edo - bernoulli - exata'!H12-1)*100</f>
        <v>-2.9899627029816855E-5</v>
      </c>
      <c r="I12" s="21">
        <f ca="1">('edo - bernoulli - edo'!L16/'edo - bernoulli - exata'!I12-1)*100</f>
        <v>-3.1125915256335901E-5</v>
      </c>
      <c r="J12" s="21">
        <f ca="1">('edo - bernoulli - edo'!M16/'edo - bernoulli - exata'!J12-1)*100</f>
        <v>-3.2374902902976288E-5</v>
      </c>
      <c r="K12" s="21">
        <f ca="1">('edo - bernoulli - edo'!N16/'edo - bernoulli - exata'!K12-1)*100</f>
        <v>-3.3646866737235825E-5</v>
      </c>
      <c r="L12" s="21">
        <f ca="1">('edo - bernoulli - edo'!O16/'edo - bernoulli - exata'!L12-1)*100</f>
        <v>-3.4942085946898516E-5</v>
      </c>
      <c r="M12" s="21">
        <f ca="1">('edo - bernoulli - edo'!P16/'edo - bernoulli - exata'!M12-1)*100</f>
        <v>-3.6260842095625634E-5</v>
      </c>
      <c r="N12" s="21">
        <f ca="1">('edo - bernoulli - edo'!Q16/'edo - bernoulli - exata'!N12-1)*100</f>
        <v>-3.760341920067134E-5</v>
      </c>
      <c r="O12" s="21">
        <f ca="1">('edo - bernoulli - edo'!R16/'edo - bernoulli - exata'!O12-1)*100</f>
        <v>-3.8970103588553684E-5</v>
      </c>
      <c r="P12" s="21">
        <f ca="1">('edo - bernoulli - edo'!S16/'edo - bernoulli - exata'!P12-1)*100</f>
        <v>-4.0361183906156839E-5</v>
      </c>
      <c r="Q12" s="21">
        <f ca="1">('edo - bernoulli - edo'!T16/'edo - bernoulli - exata'!Q12-1)*100</f>
        <v>-4.1776951076322177E-5</v>
      </c>
      <c r="R12" s="21">
        <f ca="1">('edo - bernoulli - edo'!U16/'edo - bernoulli - exata'!R12-1)*100</f>
        <v>-4.3217698364461654E-5</v>
      </c>
      <c r="S12" s="21">
        <f ca="1">('edo - bernoulli - edo'!V16/'edo - bernoulli - exata'!S12-1)*100</f>
        <v>-4.4683721189819892E-5</v>
      </c>
      <c r="T12" s="21">
        <f ca="1">('edo - bernoulli - edo'!W16/'edo - bernoulli - exata'!T12-1)*100</f>
        <v>-4.6175317236496483E-5</v>
      </c>
      <c r="U12" s="21">
        <f ca="1">('edo - bernoulli - edo'!X16/'edo - bernoulli - exata'!U12-1)*100</f>
        <v>-4.7692786397934839E-5</v>
      </c>
      <c r="V12" s="21">
        <f ca="1">('edo - bernoulli - edo'!Y16/'edo - bernoulli - exata'!V12-1)*100</f>
        <v>-4.9236430610388737E-5</v>
      </c>
    </row>
    <row r="13" spans="1:22" x14ac:dyDescent="0.25">
      <c r="A13" s="5">
        <f ca="1">'edo - bernoulli - exata'!A13</f>
        <v>0.4</v>
      </c>
      <c r="B13" s="21">
        <f ca="1">('edo - bernoulli - edo'!E17/'edo - bernoulli - exata'!B13-1)*100</f>
        <v>-3.0700018160967346E-5</v>
      </c>
      <c r="C13" s="21">
        <f ca="1">('edo - bernoulli - edo'!F17/'edo - bernoulli - exata'!C13-1)*100</f>
        <v>-3.2127369908874215E-5</v>
      </c>
      <c r="D13" s="21">
        <f ca="1">('edo - bernoulli - edo'!G17/'edo - bernoulli - exata'!D13-1)*100</f>
        <v>-3.3616198280572718E-5</v>
      </c>
      <c r="E13" s="21">
        <f ca="1">('edo - bernoulli - edo'!H17/'edo - bernoulli - exata'!E13-1)*100</f>
        <v>-3.513952019362776E-5</v>
      </c>
      <c r="F13" s="21">
        <f ca="1">('edo - bernoulli - edo'!I17/'edo - bernoulli - exata'!F13-1)*100</f>
        <v>-3.6699196981349047E-5</v>
      </c>
      <c r="G13" s="21">
        <f ca="1">('edo - bernoulli - edo'!J17/'edo - bernoulli - exata'!G13-1)*100</f>
        <v>-3.829711819891557E-5</v>
      </c>
      <c r="H13" s="21">
        <f ca="1">('edo - bernoulli - edo'!K17/'edo - bernoulli - exata'!H13-1)*100</f>
        <v>-3.9935200546459271E-5</v>
      </c>
      <c r="I13" s="21">
        <f ca="1">('edo - bernoulli - edo'!L17/'edo - bernoulli - exata'!I13-1)*100</f>
        <v>-4.1615386559001877E-5</v>
      </c>
      <c r="J13" s="21">
        <f ca="1">('edo - bernoulli - edo'!M17/'edo - bernoulli - exata'!J13-1)*100</f>
        <v>-4.3339643474027412E-5</v>
      </c>
      <c r="K13" s="21">
        <f ca="1">('edo - bernoulli - edo'!N17/'edo - bernoulli - exata'!K13-1)*100</f>
        <v>-4.5109962365508238E-5</v>
      </c>
      <c r="L13" s="21">
        <f ca="1">('edo - bernoulli - edo'!O17/'edo - bernoulli - exata'!L13-1)*100</f>
        <v>-4.6928356711717356E-5</v>
      </c>
      <c r="M13" s="21">
        <f ca="1">('edo - bernoulli - edo'!P17/'edo - bernoulli - exata'!M13-1)*100</f>
        <v>-4.8796861540356673E-5</v>
      </c>
      <c r="N13" s="21">
        <f ca="1">('edo - bernoulli - edo'!Q17/'edo - bernoulli - exata'!N13-1)*100</f>
        <v>-5.071753230723175E-5</v>
      </c>
      <c r="O13" s="21">
        <f ca="1">('edo - bernoulli - edo'!R17/'edo - bernoulli - exata'!O13-1)*100</f>
        <v>-5.2692443885948848E-5</v>
      </c>
      <c r="P13" s="21">
        <f ca="1">('edo - bernoulli - edo'!S17/'edo - bernoulli - exata'!P13-1)*100</f>
        <v>-5.4723689613123128E-5</v>
      </c>
      <c r="Q13" s="21">
        <f ca="1">('edo - bernoulli - edo'!T17/'edo - bernoulli - exata'!Q13-1)*100</f>
        <v>-5.6813380122644475E-5</v>
      </c>
      <c r="R13" s="21">
        <f ca="1">('edo - bernoulli - edo'!U17/'edo - bernoulli - exata'!R13-1)*100</f>
        <v>-5.8963642635134761E-5</v>
      </c>
      <c r="S13" s="21">
        <f ca="1">('edo - bernoulli - edo'!V17/'edo - bernoulli - exata'!S13-1)*100</f>
        <v>-6.1176619814418132E-5</v>
      </c>
      <c r="T13" s="21">
        <f ca="1">('edo - bernoulli - edo'!W17/'edo - bernoulli - exata'!T13-1)*100</f>
        <v>-6.3454468890444815E-5</v>
      </c>
      <c r="U13" s="21">
        <f ca="1">('edo - bernoulli - edo'!X17/'edo - bernoulli - exata'!U13-1)*100</f>
        <v>-6.5799360793317163E-5</v>
      </c>
      <c r="V13" s="21">
        <f ca="1">('edo - bernoulli - edo'!Y17/'edo - bernoulli - exata'!V13-1)*100</f>
        <v>-6.821347917629339E-5</v>
      </c>
    </row>
    <row r="14" spans="1:22" x14ac:dyDescent="0.25">
      <c r="A14" s="5">
        <f ca="1">'edo - bernoulli - exata'!A14</f>
        <v>0.5</v>
      </c>
      <c r="B14" s="21">
        <f ca="1">('edo - bernoulli - edo'!E18/'edo - bernoulli - exata'!B14-1)*100</f>
        <v>-3.8372022548305296E-5</v>
      </c>
      <c r="C14" s="21">
        <f ca="1">('edo - bernoulli - edo'!F18/'edo - bernoulli - exata'!C14-1)*100</f>
        <v>-4.0013885271861227E-5</v>
      </c>
      <c r="D14" s="21">
        <f ca="1">('edo - bernoulli - edo'!G18/'edo - bernoulli - exata'!D14-1)*100</f>
        <v>-4.1742655709775534E-5</v>
      </c>
      <c r="E14" s="21">
        <f ca="1">('edo - bernoulli - edo'!H18/'edo - bernoulli - exata'!E14-1)*100</f>
        <v>-4.3533283466956618E-5</v>
      </c>
      <c r="F14" s="21">
        <f ca="1">('edo - bernoulli - edo'!I18/'edo - bernoulli - exata'!F14-1)*100</f>
        <v>-4.5393947745164809E-5</v>
      </c>
      <c r="G14" s="21">
        <f ca="1">('edo - bernoulli - edo'!J18/'edo - bernoulli - exata'!G14-1)*100</f>
        <v>-4.7333015695816272E-5</v>
      </c>
      <c r="H14" s="21">
        <f ca="1">('edo - bernoulli - edo'!K18/'edo - bernoulli - exata'!H14-1)*100</f>
        <v>-4.9359021636607991E-5</v>
      </c>
      <c r="I14" s="21">
        <f ca="1">('edo - bernoulli - edo'!L18/'edo - bernoulli - exata'!I14-1)*100</f>
        <v>-5.148064723403678E-5</v>
      </c>
      <c r="J14" s="21">
        <f ca="1">('edo - bernoulli - edo'!M18/'edo - bernoulli - exata'!J14-1)*100</f>
        <v>-5.3706702440869947E-5</v>
      </c>
      <c r="K14" s="21">
        <f ca="1">('edo - bernoulli - edo'!N18/'edo - bernoulli - exata'!K14-1)*100</f>
        <v>-5.6046107832496972E-5</v>
      </c>
      <c r="L14" s="21">
        <f ca="1">('edo - bernoulli - edo'!O18/'edo - bernoulli - exata'!L14-1)*100</f>
        <v>-5.8507877043201262E-5</v>
      </c>
      <c r="M14" s="21">
        <f ca="1">('edo - bernoulli - edo'!P18/'edo - bernoulli - exata'!M14-1)*100</f>
        <v>-6.1101100523597296E-5</v>
      </c>
      <c r="N14" s="21">
        <f ca="1">('edo - bernoulli - edo'!Q18/'edo - bernoulli - exata'!N14-1)*100</f>
        <v>-6.383492986428152E-5</v>
      </c>
      <c r="O14" s="21">
        <f ca="1">('edo - bernoulli - edo'!R18/'edo - bernoulli - exata'!O14-1)*100</f>
        <v>-6.6718563029866118E-5</v>
      </c>
      <c r="P14" s="21">
        <f ca="1">('edo - bernoulli - edo'!S18/'edo - bernoulli - exata'!P14-1)*100</f>
        <v>-6.9761230070408686E-5</v>
      </c>
      <c r="Q14" s="21">
        <f ca="1">('edo - bernoulli - edo'!T18/'edo - bernoulli - exata'!Q14-1)*100</f>
        <v>-7.2972179698815864E-5</v>
      </c>
      <c r="R14" s="21">
        <f ca="1">('edo - bernoulli - edo'!U18/'edo - bernoulli - exata'!R14-1)*100</f>
        <v>-7.6360666578789704E-5</v>
      </c>
      <c r="S14" s="21">
        <f ca="1">('edo - bernoulli - edo'!V18/'edo - bernoulli - exata'!S14-1)*100</f>
        <v>-7.9935939034658787E-5</v>
      </c>
      <c r="T14" s="21">
        <f ca="1">('edo - bernoulli - edo'!W18/'edo - bernoulli - exata'!T14-1)*100</f>
        <v>-8.3707227682694452E-5</v>
      </c>
      <c r="U14" s="21">
        <f ca="1">('edo - bernoulli - edo'!X18/'edo - bernoulli - exata'!U14-1)*100</f>
        <v>-8.7683734206756014E-5</v>
      </c>
      <c r="V14" s="21">
        <f ca="1">('edo - bernoulli - edo'!Y18/'edo - bernoulli - exata'!V14-1)*100</f>
        <v>-9.1874621288567937E-5</v>
      </c>
    </row>
    <row r="15" spans="1:22" x14ac:dyDescent="0.25">
      <c r="A15" s="5">
        <f ca="1">'edo - bernoulli - exata'!A15</f>
        <v>0.6</v>
      </c>
      <c r="B15" s="21">
        <f ca="1">('edo - bernoulli - edo'!E19/'edo - bernoulli - exata'!B15-1)*100</f>
        <v>-4.6038520196134414E-5</v>
      </c>
      <c r="C15" s="21">
        <f ca="1">('edo - bernoulli - edo'!F19/'edo - bernoulli - exata'!C15-1)*100</f>
        <v>-4.7638792854964862E-5</v>
      </c>
      <c r="D15" s="21">
        <f ca="1">('edo - bernoulli - edo'!G19/'edo - bernoulli - exata'!D15-1)*100</f>
        <v>-4.9381237388068655E-5</v>
      </c>
      <c r="E15" s="21">
        <f ca="1">('edo - bernoulli - edo'!H19/'edo - bernoulli - exata'!E15-1)*100</f>
        <v>-5.1260101663341828E-5</v>
      </c>
      <c r="F15" s="21">
        <f ca="1">('edo - bernoulli - edo'!I19/'edo - bernoulli - exata'!F15-1)*100</f>
        <v>-5.3302487879047789E-5</v>
      </c>
      <c r="G15" s="21">
        <f ca="1">('edo - bernoulli - edo'!J19/'edo - bernoulli - exata'!G15-1)*100</f>
        <v>-5.5536393295252395E-5</v>
      </c>
      <c r="H15" s="21">
        <f ca="1">('edo - bernoulli - edo'!K19/'edo - bernoulli - exata'!H15-1)*100</f>
        <v>-5.7990490531789618E-5</v>
      </c>
      <c r="I15" s="21">
        <f ca="1">('edo - bernoulli - edo'!L19/'edo - bernoulli - exata'!I15-1)*100</f>
        <v>-6.0693927494970268E-5</v>
      </c>
      <c r="J15" s="21">
        <f ca="1">('edo - bernoulli - edo'!M19/'edo - bernoulli - exata'!J15-1)*100</f>
        <v>-6.3676145256597039E-5</v>
      </c>
      <c r="K15" s="21">
        <f ca="1">('edo - bernoulli - edo'!N19/'edo - bernoulli - exata'!K15-1)*100</f>
        <v>-6.6966713130334199E-5</v>
      </c>
      <c r="L15" s="21">
        <f ca="1">('edo - bernoulli - edo'!O19/'edo - bernoulli - exata'!L15-1)*100</f>
        <v>-7.0595178836008188E-5</v>
      </c>
      <c r="M15" s="21">
        <f ca="1">('edo - bernoulli - edo'!P19/'edo - bernoulli - exata'!M15-1)*100</f>
        <v>-7.4590933296647677E-5</v>
      </c>
      <c r="N15" s="21">
        <f ca="1">('edo - bernoulli - edo'!Q19/'edo - bernoulli - exata'!N15-1)*100</f>
        <v>-7.8983088946937841E-5</v>
      </c>
      <c r="O15" s="21">
        <f ca="1">('edo - bernoulli - edo'!R19/'edo - bernoulli - exata'!O15-1)*100</f>
        <v>-8.380037032074128E-5</v>
      </c>
      <c r="P15" s="21">
        <f ca="1">('edo - bernoulli - edo'!S19/'edo - bernoulli - exata'!P15-1)*100</f>
        <v>-8.9071015973996026E-5</v>
      </c>
      <c r="Q15" s="21">
        <f ca="1">('edo - bernoulli - edo'!T19/'edo - bernoulli - exata'!Q15-1)*100</f>
        <v>-9.4822691210083576E-5</v>
      </c>
      <c r="R15" s="21">
        <f ca="1">('edo - bernoulli - edo'!U19/'edo - bernoulli - exata'!R15-1)*100</f>
        <v>-1.0108241063067069E-4</v>
      </c>
      <c r="S15" s="21">
        <f ca="1">('edo - bernoulli - edo'!V19/'edo - bernoulli - exata'!S15-1)*100</f>
        <v>-1.0787646969045994E-4</v>
      </c>
      <c r="T15" s="21">
        <f ca="1">('edo - bernoulli - edo'!W19/'edo - bernoulli - exata'!T15-1)*100</f>
        <v>-1.1523038444538614E-4</v>
      </c>
      <c r="U15" s="21">
        <f ca="1">('edo - bernoulli - edo'!X19/'edo - bernoulli - exata'!U15-1)*100</f>
        <v>-1.231688393388275E-4</v>
      </c>
      <c r="V15" s="21">
        <f ca="1">('edo - bernoulli - edo'!Y19/'edo - bernoulli - exata'!V15-1)*100</f>
        <v>-1.3171564201552854E-4</v>
      </c>
    </row>
    <row r="16" spans="1:22" x14ac:dyDescent="0.25">
      <c r="A16" s="5">
        <f ca="1">'edo - bernoulli - exata'!A16</f>
        <v>0.7</v>
      </c>
      <c r="B16" s="21">
        <f ca="1">('edo - bernoulli - edo'!E20/'edo - bernoulli - exata'!B16-1)*100</f>
        <v>-5.3696104118650112E-5</v>
      </c>
      <c r="C16" s="21">
        <f ca="1">('edo - bernoulli - edo'!F20/'edo - bernoulli - exata'!C16-1)*100</f>
        <v>-5.4859305853582896E-5</v>
      </c>
      <c r="D16" s="21">
        <f ca="1">('edo - bernoulli - edo'!G20/'edo - bernoulli - exata'!D16-1)*100</f>
        <v>-5.6309662599396404E-5</v>
      </c>
      <c r="E16" s="21">
        <f ca="1">('edo - bernoulli - edo'!H20/'edo - bernoulli - exata'!E16-1)*100</f>
        <v>-5.8094619481696697E-5</v>
      </c>
      <c r="F16" s="21">
        <f ca="1">('edo - bernoulli - edo'!I20/'edo - bernoulli - exata'!F16-1)*100</f>
        <v>-6.028808224867177E-5</v>
      </c>
      <c r="G16" s="21">
        <f ca="1">('edo - bernoulli - edo'!J20/'edo - bernoulli - exata'!G16-1)*100</f>
        <v>-6.296704351260729E-5</v>
      </c>
      <c r="H16" s="21">
        <f ca="1">('edo - bernoulli - edo'!K20/'edo - bernoulli - exata'!H16-1)*100</f>
        <v>-6.6209996707478069E-5</v>
      </c>
      <c r="I16" s="21">
        <f ca="1">('edo - bernoulli - edo'!L20/'edo - bernoulli - exata'!I16-1)*100</f>
        <v>-7.0095599113972895E-5</v>
      </c>
      <c r="J16" s="21">
        <f ca="1">('edo - bernoulli - edo'!M20/'edo - bernoulli - exata'!J16-1)*100</f>
        <v>-7.4701551744382755E-5</v>
      </c>
      <c r="K16" s="21">
        <f ca="1">('edo - bernoulli - edo'!N20/'edo - bernoulli - exata'!K16-1)*100</f>
        <v>-8.0103669941600231E-5</v>
      </c>
      <c r="L16" s="21">
        <f ca="1">('edo - bernoulli - edo'!O20/'edo - bernoulli - exata'!L16-1)*100</f>
        <v>-8.6375119090487118E-5</v>
      </c>
      <c r="M16" s="21">
        <f ca="1">('edo - bernoulli - edo'!P20/'edo - bernoulli - exata'!M16-1)*100</f>
        <v>-9.3585795279960138E-5</v>
      </c>
      <c r="N16" s="21">
        <f ca="1">('edo - bernoulli - edo'!Q20/'edo - bernoulli - exata'!N16-1)*100</f>
        <v>-1.0180183133146059E-4</v>
      </c>
      <c r="O16" s="21">
        <f ca="1">('edo - bernoulli - edo'!R20/'edo - bernoulli - exata'!O16-1)*100</f>
        <v>-1.110852118402228E-4</v>
      </c>
      <c r="P16" s="21">
        <f ca="1">('edo - bernoulli - edo'!S20/'edo - bernoulli - exata'!P16-1)*100</f>
        <v>-1.2149348230794388E-4</v>
      </c>
      <c r="Q16" s="21">
        <f ca="1">('edo - bernoulli - edo'!T20/'edo - bernoulli - exata'!Q16-1)*100</f>
        <v>-1.3307953961039232E-4</v>
      </c>
      <c r="R16" s="21">
        <f ca="1">('edo - bernoulli - edo'!U20/'edo - bernoulli - exata'!R16-1)*100</f>
        <v>-1.4589149223143139E-4</v>
      </c>
      <c r="S16" s="21">
        <f ca="1">('edo - bernoulli - edo'!V20/'edo - bernoulli - exata'!S16-1)*100</f>
        <v>-1.5997258046018814E-4</v>
      </c>
      <c r="T16" s="21">
        <f ca="1">('edo - bernoulli - edo'!W20/'edo - bernoulli - exata'!T16-1)*100</f>
        <v>-1.7536114740313025E-4</v>
      </c>
      <c r="U16" s="21">
        <f ca="1">('edo - bernoulli - edo'!X20/'edo - bernoulli - exata'!U16-1)*100</f>
        <v>-1.9209065312830731E-4</v>
      </c>
      <c r="V16" s="21">
        <f ca="1">('edo - bernoulli - edo'!Y20/'edo - bernoulli - exata'!V16-1)*100</f>
        <v>-2.1018972539144087E-4</v>
      </c>
    </row>
    <row r="17" spans="1:22" x14ac:dyDescent="0.25">
      <c r="A17" s="5">
        <f ca="1">'edo - bernoulli - exata'!A17</f>
        <v>0.79999999999999993</v>
      </c>
      <c r="B17" s="21">
        <f ca="1">('edo - bernoulli - edo'!E21/'edo - bernoulli - exata'!B17-1)*100</f>
        <v>-6.1340393242570457E-5</v>
      </c>
      <c r="C17" s="21">
        <f ca="1">('edo - bernoulli - edo'!F21/'edo - bernoulli - exata'!C17-1)*100</f>
        <v>-6.1516385341242596E-5</v>
      </c>
      <c r="D17" s="21">
        <f ca="1">('edo - bernoulli - edo'!G21/'edo - bernoulli - exata'!D17-1)*100</f>
        <v>-6.2339048378934336E-5</v>
      </c>
      <c r="E17" s="21">
        <f ca="1">('edo - bernoulli - edo'!H21/'edo - bernoulli - exata'!E17-1)*100</f>
        <v>-6.3966446561813939E-5</v>
      </c>
      <c r="F17" s="21">
        <f ca="1">('edo - bernoulli - edo'!I21/'edo - bernoulli - exata'!F17-1)*100</f>
        <v>-6.6572102019879509E-5</v>
      </c>
      <c r="G17" s="21">
        <f ca="1">('edo - bernoulli - edo'!J21/'edo - bernoulli - exata'!G17-1)*100</f>
        <v>-7.0336128787928942E-5</v>
      </c>
      <c r="H17" s="21">
        <f ca="1">('edo - bernoulli - edo'!K21/'edo - bernoulli - exata'!H17-1)*100</f>
        <v>-7.5437005997436302E-5</v>
      </c>
      <c r="I17" s="21">
        <f ca="1">('edo - bernoulli - edo'!L21/'edo - bernoulli - exata'!I17-1)*100</f>
        <v>-8.2045473537295521E-5</v>
      </c>
      <c r="J17" s="21">
        <f ca="1">('edo - bernoulli - edo'!M21/'edo - bernoulli - exata'!J17-1)*100</f>
        <v>-9.0320124412901492E-5</v>
      </c>
      <c r="K17" s="21">
        <f ca="1">('edo - bernoulli - edo'!N21/'edo - bernoulli - exata'!K17-1)*100</f>
        <v>-1.0040434852420788E-4</v>
      </c>
      <c r="L17" s="21">
        <f ca="1">('edo - bernoulli - edo'!O21/'edo - bernoulli - exata'!L17-1)*100</f>
        <v>-1.1242434384550748E-4</v>
      </c>
      <c r="M17" s="21">
        <f ca="1">('edo - bernoulli - edo'!P21/'edo - bernoulli - exata'!M17-1)*100</f>
        <v>-1.2648796748893076E-4</v>
      </c>
      <c r="N17" s="21">
        <f ca="1">('edo - bernoulli - edo'!Q21/'edo - bernoulli - exata'!N17-1)*100</f>
        <v>-1.4268423899066462E-4</v>
      </c>
      <c r="O17" s="21">
        <f ca="1">('edo - bernoulli - edo'!R21/'edo - bernoulli - exata'!O17-1)*100</f>
        <v>-1.6108334548459169E-4</v>
      </c>
      <c r="P17" s="21">
        <f ca="1">('edo - bernoulli - edo'!S21/'edo - bernoulli - exata'!P17-1)*100</f>
        <v>-1.8173702684975979E-4</v>
      </c>
      <c r="Q17" s="21">
        <f ca="1">('edo - bernoulli - edo'!T21/'edo - bernoulli - exata'!Q17-1)*100</f>
        <v>-2.0467924219946809E-4</v>
      </c>
      <c r="R17" s="21">
        <f ca="1">('edo - bernoulli - edo'!U21/'edo - bernoulli - exata'!R17-1)*100</f>
        <v>-2.2992703930801994E-4</v>
      </c>
      <c r="S17" s="21">
        <f ca="1">('edo - bernoulli - edo'!V21/'edo - bernoulli - exata'!S17-1)*100</f>
        <v>-2.5748156411431466E-4</v>
      </c>
      <c r="T17" s="21">
        <f ca="1">('edo - bernoulli - edo'!W21/'edo - bernoulli - exata'!T17-1)*100</f>
        <v>-2.8732915978713081E-4</v>
      </c>
      <c r="U17" s="21">
        <f ca="1">('edo - bernoulli - edo'!X21/'edo - bernoulli - exata'!U17-1)*100</f>
        <v>-3.1944251673854396E-4</v>
      </c>
      <c r="V17" s="21">
        <f ca="1">('edo - bernoulli - edo'!Y21/'edo - bernoulli - exata'!V17-1)*100</f>
        <v>-3.5378184217726982E-4</v>
      </c>
    </row>
    <row r="18" spans="1:22" x14ac:dyDescent="0.25">
      <c r="A18" s="5">
        <f ca="1">'edo - bernoulli - exata'!A18</f>
        <v>0.89999999999999991</v>
      </c>
      <c r="B18" s="21">
        <f ca="1">('edo - bernoulli - edo'!E22/'edo - bernoulli - exata'!B18-1)*100</f>
        <v>-6.8965828892153525E-5</v>
      </c>
      <c r="C18" s="21">
        <f ca="1">('edo - bernoulli - edo'!F22/'edo - bernoulli - exata'!C18-1)*100</f>
        <v>-6.744785350232263E-5</v>
      </c>
      <c r="D18" s="21">
        <f ca="1">('edo - bernoulli - edo'!G22/'edo - bernoulli - exata'!D18-1)*100</f>
        <v>-6.7377082468844662E-5</v>
      </c>
      <c r="E18" s="21">
        <f ca="1">('edo - bernoulli - edo'!H22/'edo - bernoulli - exata'!E18-1)*100</f>
        <v>-6.9106105915484051E-5</v>
      </c>
      <c r="F18" s="21">
        <f ca="1">('edo - bernoulli - edo'!I22/'edo - bernoulli - exata'!F18-1)*100</f>
        <v>-7.299129145543759E-5</v>
      </c>
      <c r="G18" s="21">
        <f ca="1">('edo - bernoulli - edo'!J22/'edo - bernoulli - exata'!G18-1)*100</f>
        <v>-7.9388456919460282E-5</v>
      </c>
      <c r="H18" s="21">
        <f ca="1">('edo - bernoulli - edo'!K22/'edo - bernoulli - exata'!H18-1)*100</f>
        <v>-8.8622075511413101E-5</v>
      </c>
      <c r="I18" s="21">
        <f ca="1">('edo - bernoulli - edo'!L22/'edo - bernoulli - exata'!I18-1)*100</f>
        <v>-1.0096711381413215E-4</v>
      </c>
      <c r="J18" s="21">
        <f ca="1">('edo - bernoulli - edo'!M22/'edo - bernoulli - exata'!J18-1)*100</f>
        <v>-1.1663967308672696E-4</v>
      </c>
      <c r="K18" s="21">
        <f ca="1">('edo - bernoulli - edo'!N22/'edo - bernoulli - exata'!K18-1)*100</f>
        <v>-1.3579365845117763E-4</v>
      </c>
      <c r="L18" s="21">
        <f ca="1">('edo - bernoulli - edo'!O22/'edo - bernoulli - exata'!L18-1)*100</f>
        <v>-1.5852147101647063E-4</v>
      </c>
      <c r="M18" s="21">
        <f ca="1">('edo - bernoulli - edo'!P22/'edo - bernoulli - exata'!M18-1)*100</f>
        <v>-1.8485728592310124E-4</v>
      </c>
      <c r="N18" s="21">
        <f ca="1">('edo - bernoulli - edo'!Q22/'edo - bernoulli - exata'!N18-1)*100</f>
        <v>-2.1478189164980677E-4</v>
      </c>
      <c r="O18" s="21">
        <f ca="1">('edo - bernoulli - edo'!R22/'edo - bernoulli - exata'!O18-1)*100</f>
        <v>-2.4822837085825E-4</v>
      </c>
      <c r="P18" s="21">
        <f ca="1">('edo - bernoulli - edo'!S22/'edo - bernoulli - exata'!P18-1)*100</f>
        <v>-2.8508812308647435E-4</v>
      </c>
      <c r="Q18" s="21">
        <f ca="1">('edo - bernoulli - edo'!T22/'edo - bernoulli - exata'!Q18-1)*100</f>
        <v>-3.2521689088405026E-4</v>
      </c>
      <c r="R18" s="21">
        <f ca="1">('edo - bernoulli - edo'!U22/'edo - bernoulli - exata'!R18-1)*100</f>
        <v>-3.6844056668927649E-4</v>
      </c>
      <c r="S18" s="21">
        <f ca="1">('edo - bernoulli - edo'!V22/'edo - bernoulli - exata'!S18-1)*100</f>
        <v>-4.1456064167055828E-4</v>
      </c>
      <c r="T18" s="21">
        <f ca="1">('edo - bernoulli - edo'!W22/'edo - bernoulli - exata'!T18-1)*100</f>
        <v>-4.6335921625173526E-4</v>
      </c>
      <c r="U18" s="21">
        <f ca="1">('edo - bernoulli - edo'!X22/'edo - bernoulli - exata'!U18-1)*100</f>
        <v>-5.1460353437393636E-4</v>
      </c>
      <c r="V18" s="21">
        <f ca="1">('edo - bernoulli - edo'!Y22/'edo - bernoulli - exata'!V18-1)*100</f>
        <v>-5.6805003184612346E-4</v>
      </c>
    </row>
    <row r="19" spans="1:22" x14ac:dyDescent="0.25">
      <c r="A19" s="5">
        <f ca="1">'edo - bernoulli - exata'!A19</f>
        <v>0.99999999999999989</v>
      </c>
      <c r="B19" s="21">
        <f ca="1">('edo - bernoulli - edo'!E23/'edo - bernoulli - exata'!B19-1)*100</f>
        <v>-7.6565438966724741E-5</v>
      </c>
      <c r="C19" s="21">
        <f ca="1">('edo - bernoulli - edo'!F23/'edo - bernoulli - exata'!C19-1)*100</f>
        <v>-7.2509552639932195E-5</v>
      </c>
      <c r="D19" s="21">
        <f ca="1">('edo - bernoulli - edo'!G23/'edo - bernoulli - exata'!D19-1)*100</f>
        <v>-7.1512688359920418E-5</v>
      </c>
      <c r="E19" s="21">
        <f ca="1">('edo - bernoulli - edo'!H23/'edo - bernoulli - exata'!E19-1)*100</f>
        <v>-7.4219907553185749E-5</v>
      </c>
      <c r="F19" s="21">
        <f ca="1">('edo - bernoulli - edo'!I23/'edo - bernoulli - exata'!F19-1)*100</f>
        <v>-8.1258720452392907E-5</v>
      </c>
      <c r="G19" s="21">
        <f ca="1">('edo - bernoulli - edo'!J23/'edo - bernoulli - exata'!G19-1)*100</f>
        <v>-9.3182749116849095E-5</v>
      </c>
      <c r="H19" s="21">
        <f ca="1">('edo - bernoulli - edo'!K23/'edo - bernoulli - exata'!H19-1)*100</f>
        <v>-1.1039296086146067E-4</v>
      </c>
      <c r="I19" s="21">
        <f ca="1">('edo - bernoulli - edo'!L23/'edo - bernoulli - exata'!I19-1)*100</f>
        <v>-1.3311145722338935E-4</v>
      </c>
      <c r="J19" s="21">
        <f ca="1">('edo - bernoulli - edo'!M23/'edo - bernoulli - exata'!J19-1)*100</f>
        <v>-1.6138459761894097E-4</v>
      </c>
      <c r="K19" s="21">
        <f ca="1">('edo - bernoulli - edo'!N23/'edo - bernoulli - exata'!K19-1)*100</f>
        <v>-1.9510126866295607E-4</v>
      </c>
      <c r="L19" s="21">
        <f ca="1">('edo - bernoulli - edo'!O23/'edo - bernoulli - exata'!L19-1)*100</f>
        <v>-2.3401778368459247E-4</v>
      </c>
      <c r="M19" s="21">
        <f ca="1">('edo - bernoulli - edo'!P23/'edo - bernoulli - exata'!M19-1)*100</f>
        <v>-2.7778445051973577E-4</v>
      </c>
      <c r="N19" s="21">
        <f ca="1">('edo - bernoulli - edo'!Q23/'edo - bernoulli - exata'!N19-1)*100</f>
        <v>-3.2597105175113938E-4</v>
      </c>
      <c r="O19" s="21">
        <f ca="1">('edo - bernoulli - edo'!R23/'edo - bernoulli - exata'!O19-1)*100</f>
        <v>-3.7808983600617907E-4</v>
      </c>
      <c r="P19" s="21">
        <f ca="1">('edo - bernoulli - edo'!S23/'edo - bernoulli - exata'!P19-1)*100</f>
        <v>-4.3361543369258015E-4</v>
      </c>
      <c r="Q19" s="21">
        <f ca="1">('edo - bernoulli - edo'!T23/'edo - bernoulli - exata'!Q19-1)*100</f>
        <v>-4.9200158608320166E-4</v>
      </c>
      <c r="R19" s="21">
        <f ca="1">('edo - bernoulli - edo'!U23/'edo - bernoulli - exata'!R19-1)*100</f>
        <v>-5.5269484069420116E-4</v>
      </c>
      <c r="S19" s="21">
        <f ca="1">('edo - bernoulli - edo'!V23/'edo - bernoulli - exata'!S19-1)*100</f>
        <v>-6.1514549830610221E-4</v>
      </c>
      <c r="T19" s="21">
        <f ca="1">('edo - bernoulli - edo'!W23/'edo - bernoulli - exata'!T19-1)*100</f>
        <v>-6.7881615219977931E-4</v>
      </c>
      <c r="U19" s="21">
        <f ca="1">('edo - bernoulli - edo'!X23/'edo - bernoulli - exata'!U19-1)*100</f>
        <v>-7.4318816727370063E-4</v>
      </c>
      <c r="V19" s="21">
        <f ca="1">('edo - bernoulli - edo'!Y23/'edo - bernoulli - exata'!V19-1)*100</f>
        <v>-8.0776643048841024E-4</v>
      </c>
    </row>
    <row r="20" spans="1:22" x14ac:dyDescent="0.25">
      <c r="A20" s="5">
        <f ca="1">'edo - bernoulli - exata'!A20</f>
        <v>1.0999999999999999</v>
      </c>
      <c r="B20" s="21">
        <f ca="1">('edo - bernoulli - edo'!E24/'edo - bernoulli - exata'!B20-1)*100</f>
        <v>-8.4130566391227291E-5</v>
      </c>
      <c r="C20" s="21">
        <f ca="1">('edo - bernoulli - edo'!F24/'edo - bernoulli - exata'!C20-1)*100</f>
        <v>-7.660531201603149E-5</v>
      </c>
      <c r="D20" s="21">
        <f ca="1">('edo - bernoulli - edo'!G24/'edo - bernoulli - exata'!D20-1)*100</f>
        <v>-7.511605409904476E-5</v>
      </c>
      <c r="E20" s="21">
        <f ca="1">('edo - bernoulli - edo'!H24/'edo - bernoulli - exata'!E20-1)*100</f>
        <v>-8.0652409328862973E-5</v>
      </c>
      <c r="F20" s="21">
        <f ca="1">('edo - bernoulli - edo'!I24/'edo - bernoulli - exata'!F20-1)*100</f>
        <v>-9.4079115275924607E-5</v>
      </c>
      <c r="G20" s="21">
        <f ca="1">('edo - bernoulli - edo'!J24/'edo - bernoulli - exata'!G20-1)*100</f>
        <v>-1.1590605941691479E-4</v>
      </c>
      <c r="H20" s="21">
        <f ca="1">('edo - bernoulli - edo'!K24/'edo - bernoulli - exata'!H20-1)*100</f>
        <v>-1.4618184622783303E-4</v>
      </c>
      <c r="I20" s="21">
        <f ca="1">('edo - bernoulli - edo'!L24/'edo - bernoulli - exata'!I20-1)*100</f>
        <v>-1.8453381642746791E-4</v>
      </c>
      <c r="J20" s="21">
        <f ca="1">('edo - bernoulli - edo'!M24/'edo - bernoulli - exata'!J20-1)*100</f>
        <v>-2.3026034454698419E-4</v>
      </c>
      <c r="K20" s="21">
        <f ca="1">('edo - bernoulli - edo'!N24/'edo - bernoulli - exata'!K20-1)*100</f>
        <v>-2.8243136459549234E-4</v>
      </c>
      <c r="L20" s="21">
        <f ca="1">('edo - bernoulli - edo'!O24/'edo - bernoulli - exata'!L20-1)*100</f>
        <v>-3.3997836093035971E-4</v>
      </c>
      <c r="M20" s="21">
        <f ca="1">('edo - bernoulli - edo'!P24/'edo - bernoulli - exata'!M20-1)*100</f>
        <v>-4.0176749203091333E-4</v>
      </c>
      <c r="N20" s="21">
        <f ca="1">('edo - bernoulli - edo'!Q24/'edo - bernoulli - exata'!N20-1)*100</f>
        <v>-4.6665532280609767E-4</v>
      </c>
      <c r="O20" s="21">
        <f ca="1">('edo - bernoulli - edo'!R24/'edo - bernoulli - exata'!O20-1)*100</f>
        <v>-5.3352909026305184E-4</v>
      </c>
      <c r="P20" s="21">
        <f ca="1">('edo - bernoulli - edo'!S24/'edo - bernoulli - exata'!P20-1)*100</f>
        <v>-6.0133421703190137E-4</v>
      </c>
      <c r="Q20" s="21">
        <f ca="1">('edo - bernoulli - edo'!T24/'edo - bernoulli - exata'!Q20-1)*100</f>
        <v>-6.6909180133079005E-4</v>
      </c>
      <c r="R20" s="21">
        <f ca="1">('edo - bernoulli - edo'!U24/'edo - bernoulli - exata'!R20-1)*100</f>
        <v>-7.3590850404592345E-4</v>
      </c>
      <c r="S20" s="21">
        <f ca="1">('edo - bernoulli - edo'!V24/'edo - bernoulli - exata'!S20-1)*100</f>
        <v>-8.0098084125346247E-4</v>
      </c>
      <c r="T20" s="21">
        <f ca="1">('edo - bernoulli - edo'!W24/'edo - bernoulli - exata'!T20-1)*100</f>
        <v>-8.6359548375769535E-4</v>
      </c>
      <c r="U20" s="21">
        <f ca="1">('edo - bernoulli - edo'!X24/'edo - bernoulli - exata'!U20-1)*100</f>
        <v>-9.2312680424200266E-4</v>
      </c>
      <c r="V20" s="21">
        <f ca="1">('edo - bernoulli - edo'!Y24/'edo - bernoulli - exata'!V20-1)*100</f>
        <v>-9.7903261234710826E-4</v>
      </c>
    </row>
    <row r="21" spans="1:22" x14ac:dyDescent="0.25">
      <c r="A21" s="5">
        <f ca="1">'edo - bernoulli - exata'!A21</f>
        <v>1.2</v>
      </c>
      <c r="B21" s="21">
        <f ca="1">('edo - bernoulli - edo'!E25/'edo - bernoulli - exata'!B21-1)*100</f>
        <v>-9.1650559652656227E-5</v>
      </c>
      <c r="C21" s="21">
        <f ca="1">('edo - bernoulli - edo'!F25/'edo - bernoulli - exata'!C21-1)*100</f>
        <v>-7.9725130974761527E-5</v>
      </c>
      <c r="D21" s="21">
        <f ca="1">('edo - bernoulli - edo'!G25/'edo - bernoulli - exata'!D21-1)*100</f>
        <v>-7.8936714209554282E-5</v>
      </c>
      <c r="E21" s="21">
        <f ca="1">('edo - bernoulli - edo'!H25/'edo - bernoulli - exata'!E21-1)*100</f>
        <v>-9.0438572220019608E-5</v>
      </c>
      <c r="F21" s="21">
        <f ca="1">('edo - bernoulli - edo'!I25/'edo - bernoulli - exata'!F21-1)*100</f>
        <v>-1.1483590891536721E-4</v>
      </c>
      <c r="G21" s="21">
        <f ca="1">('edo - bernoulli - edo'!J25/'edo - bernoulli - exata'!G21-1)*100</f>
        <v>-1.5171074519981786E-4</v>
      </c>
      <c r="H21" s="21">
        <f ca="1">('edo - bernoulli - edo'!K25/'edo - bernoulli - exata'!H21-1)*100</f>
        <v>-1.9971874060109585E-4</v>
      </c>
      <c r="I21" s="21">
        <f ca="1">('edo - bernoulli - edo'!L25/'edo - bernoulli - exata'!I21-1)*100</f>
        <v>-2.5691472090860756E-4</v>
      </c>
      <c r="J21" s="21">
        <f ca="1">('edo - bernoulli - edo'!M25/'edo - bernoulli - exata'!J21-1)*100</f>
        <v>-3.2106532320552716E-4</v>
      </c>
      <c r="K21" s="21">
        <f ca="1">('edo - bernoulli - edo'!N25/'edo - bernoulli - exata'!K21-1)*100</f>
        <v>-3.8988377764059834E-4</v>
      </c>
      <c r="L21" s="21">
        <f ca="1">('edo - bernoulli - edo'!O25/'edo - bernoulli - exata'!L21-1)*100</f>
        <v>-4.6118446732634766E-4</v>
      </c>
      <c r="M21" s="21">
        <f ca="1">('edo - bernoulli - edo'!P25/'edo - bernoulli - exata'!M21-1)*100</f>
        <v>-5.3297332437418632E-4</v>
      </c>
      <c r="N21" s="21">
        <f ca="1">('edo - bernoulli - edo'!Q25/'edo - bernoulli - exata'!N21-1)*100</f>
        <v>-6.0349233845791161E-4</v>
      </c>
      <c r="O21" s="21">
        <f ca="1">('edo - bernoulli - edo'!R25/'edo - bernoulli - exata'!O21-1)*100</f>
        <v>-6.7123353698628208E-4</v>
      </c>
      <c r="P21" s="21">
        <f ca="1">('edo - bernoulli - edo'!S25/'edo - bernoulli - exata'!P21-1)*100</f>
        <v>-7.3493391551382459E-4</v>
      </c>
      <c r="Q21" s="21">
        <f ca="1">('edo - bernoulli - edo'!T25/'edo - bernoulli - exata'!Q21-1)*100</f>
        <v>-7.9355935912461817E-4</v>
      </c>
      <c r="R21" s="21">
        <f ca="1">('edo - bernoulli - edo'!U25/'edo - bernoulli - exata'!R21-1)*100</f>
        <v>-8.4628293983701752E-4</v>
      </c>
      <c r="S21" s="21">
        <f ca="1">('edo - bernoulli - edo'!V25/'edo - bernoulli - exata'!S21-1)*100</f>
        <v>-8.9246105468010484E-4</v>
      </c>
      <c r="T21" s="21">
        <f ca="1">('edo - bernoulli - edo'!W25/'edo - bernoulli - exata'!T21-1)*100</f>
        <v>-9.3160954014459563E-4</v>
      </c>
      <c r="U21" s="21">
        <f ca="1">('edo - bernoulli - edo'!X25/'edo - bernoulli - exata'!U21-1)*100</f>
        <v>-9.6338100362691748E-4</v>
      </c>
      <c r="V21" s="21">
        <f ca="1">('edo - bernoulli - edo'!Y25/'edo - bernoulli - exata'!V21-1)*100</f>
        <v>-9.8754402860778967E-4</v>
      </c>
    </row>
    <row r="22" spans="1:22" x14ac:dyDescent="0.25">
      <c r="A22" s="5">
        <f ca="1">'edo - bernoulli - exata'!A22</f>
        <v>1.3</v>
      </c>
      <c r="B22" s="21">
        <f ca="1">('edo - bernoulli - edo'!E26/'edo - bernoulli - exata'!B22-1)*100</f>
        <v>-9.9112424500891194E-5</v>
      </c>
      <c r="C22" s="21">
        <f ca="1">('edo - bernoulli - edo'!F26/'edo - bernoulli - exata'!C22-1)*100</f>
        <v>-8.1989074540711471E-5</v>
      </c>
      <c r="D22" s="21">
        <f ca="1">('edo - bernoulli - edo'!G26/'edo - bernoulli - exata'!D22-1)*100</f>
        <v>-8.4161029656470987E-5</v>
      </c>
      <c r="E22" s="21">
        <f ca="1">('edo - bernoulli - edo'!H26/'edo - bernoulli - exata'!E22-1)*100</f>
        <v>-1.0607406955021048E-4</v>
      </c>
      <c r="F22" s="21">
        <f ca="1">('edo - bernoulli - edo'!I26/'edo - bernoulli - exata'!F22-1)*100</f>
        <v>-1.4653136374276343E-4</v>
      </c>
      <c r="G22" s="21">
        <f ca="1">('edo - bernoulli - edo'!J26/'edo - bernoulli - exata'!G22-1)*100</f>
        <v>-2.023662992289843E-4</v>
      </c>
      <c r="H22" s="21">
        <f ca="1">('edo - bernoulli - edo'!K26/'edo - bernoulli - exata'!H22-1)*100</f>
        <v>-2.6933981869259327E-4</v>
      </c>
      <c r="I22" s="21">
        <f ca="1">('edo - bernoulli - edo'!L26/'edo - bernoulli - exata'!I22-1)*100</f>
        <v>-3.4300846772916671E-4</v>
      </c>
      <c r="J22" s="21">
        <f ca="1">('edo - bernoulli - edo'!M26/'edo - bernoulli - exata'!J22-1)*100</f>
        <v>-4.1925777103379858E-4</v>
      </c>
      <c r="K22" s="21">
        <f ca="1">('edo - bernoulli - edo'!N26/'edo - bernoulli - exata'!K22-1)*100</f>
        <v>-4.9455498867256864E-4</v>
      </c>
      <c r="L22" s="21">
        <f ca="1">('edo - bernoulli - edo'!O26/'edo - bernoulli - exata'!L22-1)*100</f>
        <v>-5.6602393175841925E-4</v>
      </c>
      <c r="M22" s="21">
        <f ca="1">('edo - bernoulli - edo'!P26/'edo - bernoulli - exata'!M22-1)*100</f>
        <v>-6.3142230034562985E-4</v>
      </c>
      <c r="N22" s="21">
        <f ca="1">('edo - bernoulli - edo'!Q26/'edo - bernoulli - exata'!N22-1)*100</f>
        <v>-6.8907308471422013E-4</v>
      </c>
      <c r="O22" s="21">
        <f ca="1">('edo - bernoulli - edo'!R26/'edo - bernoulli - exata'!O22-1)*100</f>
        <v>-7.3777984457290557E-4</v>
      </c>
      <c r="P22" s="21">
        <f ca="1">('edo - bernoulli - edo'!S26/'edo - bernoulli - exata'!P22-1)*100</f>
        <v>-7.7674173487585207E-4</v>
      </c>
      <c r="Q22" s="21">
        <f ca="1">('edo - bernoulli - edo'!T26/'edo - bernoulli - exata'!Q22-1)*100</f>
        <v>-8.0547587264501175E-4</v>
      </c>
      <c r="R22" s="21">
        <f ca="1">('edo - bernoulli - edo'!U26/'edo - bernoulli - exata'!R22-1)*100</f>
        <v>-8.2374999770262747E-4</v>
      </c>
      <c r="S22" s="21">
        <f ca="1">('edo - bernoulli - edo'!V26/'edo - bernoulli - exata'!S22-1)*100</f>
        <v>-8.3152592416091409E-4</v>
      </c>
      <c r="T22" s="21">
        <f ca="1">('edo - bernoulli - edo'!W26/'edo - bernoulli - exata'!T22-1)*100</f>
        <v>-8.289130786987009E-4</v>
      </c>
      <c r="U22" s="21">
        <f ca="1">('edo - bernoulli - edo'!X26/'edo - bernoulli - exata'!U22-1)*100</f>
        <v>-8.1613092307586399E-4</v>
      </c>
      <c r="V22" s="21">
        <f ca="1">('edo - bernoulli - edo'!Y26/'edo - bernoulli - exata'!V22-1)*100</f>
        <v>-7.9347892714132229E-4</v>
      </c>
    </row>
    <row r="23" spans="1:22" x14ac:dyDescent="0.25">
      <c r="A23" s="5">
        <f ca="1">'edo - bernoulli - exata'!A23</f>
        <v>1.4000000000000001</v>
      </c>
      <c r="B23" s="21">
        <f ca="1">('edo - bernoulli - edo'!E27/'edo - bernoulli - exata'!B23-1)*100</f>
        <v>-1.0650043676951881E-4</v>
      </c>
      <c r="C23" s="21">
        <f ca="1">('edo - bernoulli - edo'!F27/'edo - bernoulli - exata'!C23-1)*100</f>
        <v>-8.3691654861883791E-5</v>
      </c>
      <c r="D23" s="21">
        <f ca="1">('edo - bernoulli - edo'!G27/'edo - bernoulli - exata'!D23-1)*100</f>
        <v>-9.2357765868467112E-5</v>
      </c>
      <c r="E23" s="21">
        <f ca="1">('edo - bernoulli - edo'!H27/'edo - bernoulli - exata'!E23-1)*100</f>
        <v>-1.2981866963635014E-4</v>
      </c>
      <c r="F23" s="21">
        <f ca="1">('edo - bernoulli - edo'!I27/'edo - bernoulli - exata'!F23-1)*100</f>
        <v>-1.8997647645013771E-4</v>
      </c>
      <c r="G23" s="21">
        <f ca="1">('edo - bernoulli - edo'!J27/'edo - bernoulli - exata'!G23-1)*100</f>
        <v>-2.6453316946950522E-4</v>
      </c>
      <c r="H23" s="21">
        <f ca="1">('edo - bernoulli - edo'!K27/'edo - bernoulli - exata'!H23-1)*100</f>
        <v>-3.4531749886212992E-4</v>
      </c>
      <c r="I23" s="21">
        <f ca="1">('edo - bernoulli - edo'!L27/'edo - bernoulli - exata'!I23-1)*100</f>
        <v>-4.2549145188308657E-4</v>
      </c>
      <c r="J23" s="21">
        <f ca="1">('edo - bernoulli - edo'!M27/'edo - bernoulli - exata'!J23-1)*100</f>
        <v>-4.9986809832480716E-4</v>
      </c>
      <c r="K23" s="21">
        <f ca="1">('edo - bernoulli - edo'!N27/'edo - bernoulli - exata'!K23-1)*100</f>
        <v>-5.6479778713924844E-4</v>
      </c>
      <c r="L23" s="21">
        <f ca="1">('edo - bernoulli - edo'!O27/'edo - bernoulli - exata'!L23-1)*100</f>
        <v>-6.1790122540816839E-4</v>
      </c>
      <c r="M23" s="21">
        <f ca="1">('edo - bernoulli - edo'!P27/'edo - bernoulli - exata'!M23-1)*100</f>
        <v>-6.5778253065529313E-4</v>
      </c>
      <c r="N23" s="21">
        <f ca="1">('edo - bernoulli - edo'!Q27/'edo - bernoulli - exata'!N23-1)*100</f>
        <v>-6.8377526576401948E-4</v>
      </c>
      <c r="O23" s="21">
        <f ca="1">('edo - bernoulli - edo'!R27/'edo - bernoulli - exata'!O23-1)*100</f>
        <v>-6.9573634871034074E-4</v>
      </c>
      <c r="P23" s="21">
        <f ca="1">('edo - bernoulli - edo'!S27/'edo - bernoulli - exata'!P23-1)*100</f>
        <v>-6.9388658299196493E-4</v>
      </c>
      <c r="Q23" s="21">
        <f ca="1">('edo - bernoulli - edo'!T27/'edo - bernoulli - exata'!Q23-1)*100</f>
        <v>-6.7869086873839635E-4</v>
      </c>
      <c r="R23" s="21">
        <f ca="1">('edo - bernoulli - edo'!U27/'edo - bernoulli - exata'!R23-1)*100</f>
        <v>-6.5077007108671481E-4</v>
      </c>
      <c r="S23" s="21">
        <f ca="1">('edo - bernoulli - edo'!V27/'edo - bernoulli - exata'!S23-1)*100</f>
        <v>-6.1083724596233679E-4</v>
      </c>
      <c r="T23" s="21">
        <f ca="1">('edo - bernoulli - edo'!W27/'edo - bernoulli - exata'!T23-1)*100</f>
        <v>-5.5965219597498006E-4</v>
      </c>
      <c r="U23" s="21">
        <f ca="1">('edo - bernoulli - edo'!X27/'edo - bernoulli - exata'!U23-1)*100</f>
        <v>-4.9798961708757972E-4</v>
      </c>
      <c r="V23" s="21">
        <f ca="1">('edo - bernoulli - edo'!Y27/'edo - bernoulli - exata'!V23-1)*100</f>
        <v>-4.266172177080918E-4</v>
      </c>
    </row>
    <row r="24" spans="1:22" x14ac:dyDescent="0.25">
      <c r="A24" s="5">
        <f ca="1">'edo - bernoulli - exata'!A24</f>
        <v>1.5000000000000002</v>
      </c>
      <c r="B24" s="21">
        <f ca="1">('edo - bernoulli - edo'!E28/'edo - bernoulli - exata'!B24-1)*100</f>
        <v>-1.1379572033565211E-4</v>
      </c>
      <c r="C24" s="21">
        <f ca="1">('edo - bernoulli - edo'!F28/'edo - bernoulli - exata'!C24-1)*100</f>
        <v>-8.5336968147498027E-5</v>
      </c>
      <c r="D24" s="21">
        <f ca="1">('edo - bernoulli - edo'!G28/'edo - bernoulli - exata'!D24-1)*100</f>
        <v>-1.052157863501435E-4</v>
      </c>
      <c r="E24" s="21">
        <f ca="1">('edo - bernoulli - edo'!H28/'edo - bernoulli - exata'!E24-1)*100</f>
        <v>-1.6252840140396074E-4</v>
      </c>
      <c r="F24" s="21">
        <f ca="1">('edo - bernoulli - edo'!I28/'edo - bernoulli - exata'!F24-1)*100</f>
        <v>-2.419459290248227E-4</v>
      </c>
      <c r="G24" s="21">
        <f ca="1">('edo - bernoulli - edo'!J28/'edo - bernoulli - exata'!G24-1)*100</f>
        <v>-3.2853279303690641E-4</v>
      </c>
      <c r="H24" s="21">
        <f ca="1">('edo - bernoulli - edo'!K28/'edo - bernoulli - exata'!H24-1)*100</f>
        <v>-4.1093331709651792E-4</v>
      </c>
      <c r="I24" s="21">
        <f ca="1">('edo - bernoulli - edo'!L28/'edo - bernoulli - exata'!I24-1)*100</f>
        <v>-4.8169152789823144E-4</v>
      </c>
      <c r="J24" s="21">
        <f ca="1">('edo - bernoulli - edo'!M28/'edo - bernoulli - exata'!J24-1)*100</f>
        <v>-5.364949987485268E-4</v>
      </c>
      <c r="K24" s="21">
        <f ca="1">('edo - bernoulli - edo'!N28/'edo - bernoulli - exata'!K24-1)*100</f>
        <v>-5.7326931184320529E-4</v>
      </c>
      <c r="L24" s="21">
        <f ca="1">('edo - bernoulli - edo'!O28/'edo - bernoulli - exata'!L24-1)*100</f>
        <v>-5.9142443588067195E-4</v>
      </c>
      <c r="M24" s="21">
        <f ca="1">('edo - bernoulli - edo'!P28/'edo - bernoulli - exata'!M24-1)*100</f>
        <v>-5.9130223879488852E-4</v>
      </c>
      <c r="N24" s="21">
        <f ca="1">('edo - bernoulli - edo'!Q28/'edo - bernoulli - exata'!N24-1)*100</f>
        <v>-5.7379569522453266E-4</v>
      </c>
      <c r="O24" s="21">
        <f ca="1">('edo - bernoulli - edo'!R28/'edo - bernoulli - exata'!O24-1)*100</f>
        <v>-5.4009597310056279E-4</v>
      </c>
      <c r="P24" s="21">
        <f ca="1">('edo - bernoulli - edo'!S28/'edo - bernoulli - exata'!P24-1)*100</f>
        <v>-4.915290790941107E-4</v>
      </c>
      <c r="Q24" s="21">
        <f ca="1">('edo - bernoulli - edo'!T28/'edo - bernoulli - exata'!Q24-1)*100</f>
        <v>-4.2945320037901524E-4</v>
      </c>
      <c r="R24" s="21">
        <f ca="1">('edo - bernoulli - edo'!U28/'edo - bernoulli - exata'!R24-1)*100</f>
        <v>-3.5519635998015886E-4</v>
      </c>
      <c r="S24" s="21">
        <f ca="1">('edo - bernoulli - edo'!V28/'edo - bernoulli - exata'!S24-1)*100</f>
        <v>-2.7002045398516472E-4</v>
      </c>
      <c r="T24" s="21">
        <f ca="1">('edo - bernoulli - edo'!W28/'edo - bernoulli - exata'!T24-1)*100</f>
        <v>-1.7510231717920988E-4</v>
      </c>
      <c r="U24" s="21">
        <f ca="1">('edo - bernoulli - edo'!X28/'edo - bernoulli - exata'!U24-1)*100</f>
        <v>-7.1525605482847254E-5</v>
      </c>
      <c r="V24" s="21">
        <f ca="1">('edo - bernoulli - edo'!Y28/'edo - bernoulli - exata'!V24-1)*100</f>
        <v>3.9720597633241539E-5</v>
      </c>
    </row>
    <row r="25" spans="1:22" x14ac:dyDescent="0.25">
      <c r="A25" s="5">
        <f ca="1">'edo - bernoulli - exata'!A25</f>
        <v>1.6000000000000003</v>
      </c>
      <c r="B25" s="21">
        <f ca="1">('edo - bernoulli - edo'!E29/'edo - bernoulli - exata'!B25-1)*100</f>
        <v>-1.2097579672465386E-4</v>
      </c>
      <c r="C25" s="21">
        <f ca="1">('edo - bernoulli - edo'!F29/'edo - bernoulli - exata'!C25-1)*100</f>
        <v>-8.7647242497101985E-5</v>
      </c>
      <c r="D25" s="21">
        <f ca="1">('edo - bernoulli - edo'!G29/'edo - bernoulli - exata'!D25-1)*100</f>
        <v>-1.2401168312248245E-4</v>
      </c>
      <c r="E25" s="21">
        <f ca="1">('edo - bernoulli - edo'!H29/'edo - bernoulli - exata'!E25-1)*100</f>
        <v>-2.0241663291065137E-4</v>
      </c>
      <c r="F25" s="21">
        <f ca="1">('edo - bernoulli - edo'!I29/'edo - bernoulli - exata'!F25-1)*100</f>
        <v>-2.9458879805543958E-4</v>
      </c>
      <c r="G25" s="21">
        <f ca="1">('edo - bernoulli - edo'!J29/'edo - bernoulli - exata'!G25-1)*100</f>
        <v>-3.8020325093812701E-4</v>
      </c>
      <c r="H25" s="21">
        <f ca="1">('edo - bernoulli - edo'!K29/'edo - bernoulli - exata'!H25-1)*100</f>
        <v>-4.4778379778565025E-4</v>
      </c>
      <c r="I25" s="21">
        <f ca="1">('edo - bernoulli - edo'!L29/'edo - bernoulli - exata'!I25-1)*100</f>
        <v>-4.9217032772608249E-4</v>
      </c>
      <c r="J25" s="21">
        <f ca="1">('edo - bernoulli - edo'!M29/'edo - bernoulli - exata'!J25-1)*100</f>
        <v>-5.1203076254502378E-4</v>
      </c>
      <c r="K25" s="21">
        <f ca="1">('edo - bernoulli - edo'!N29/'edo - bernoulli - exata'!K25-1)*100</f>
        <v>-5.0813639694835544E-4</v>
      </c>
      <c r="L25" s="21">
        <f ca="1">('edo - bernoulli - edo'!O29/'edo - bernoulli - exata'!L25-1)*100</f>
        <v>-4.8230103610880093E-4</v>
      </c>
      <c r="M25" s="21">
        <f ca="1">('edo - bernoulli - edo'!P29/'edo - bernoulli - exata'!M25-1)*100</f>
        <v>-4.3676682941473643E-4</v>
      </c>
      <c r="N25" s="21">
        <f ca="1">('edo - bernoulli - edo'!Q29/'edo - bernoulli - exata'!N25-1)*100</f>
        <v>-3.7386470631561863E-4</v>
      </c>
      <c r="O25" s="21">
        <f ca="1">('edo - bernoulli - edo'!R29/'edo - bernoulli - exata'!O25-1)*100</f>
        <v>-2.9583661120824445E-4</v>
      </c>
      <c r="P25" s="21">
        <f ca="1">('edo - bernoulli - edo'!S29/'edo - bernoulli - exata'!P25-1)*100</f>
        <v>-2.0475060429347991E-4</v>
      </c>
      <c r="Q25" s="21">
        <f ca="1">('edo - bernoulli - edo'!T29/'edo - bernoulli - exata'!Q25-1)*100</f>
        <v>-1.0246800434821068E-4</v>
      </c>
      <c r="R25" s="21">
        <f ca="1">('edo - bernoulli - edo'!U29/'edo - bernoulli - exata'!R25-1)*100</f>
        <v>9.3612084750560598E-6</v>
      </c>
      <c r="S25" s="21">
        <f ca="1">('edo - bernoulli - edo'!V29/'edo - bernoulli - exata'!S25-1)*100</f>
        <v>1.2928841923720569E-4</v>
      </c>
      <c r="T25" s="21">
        <f ca="1">('edo - bernoulli - edo'!W29/'edo - bernoulli - exata'!T25-1)*100</f>
        <v>2.5604961522152081E-4</v>
      </c>
      <c r="U25" s="21">
        <f ca="1">('edo - bernoulli - edo'!X29/'edo - bernoulli - exata'!U25-1)*100</f>
        <v>3.8854617296912863E-4</v>
      </c>
      <c r="V25" s="21">
        <f ca="1">('edo - bernoulli - edo'!Y29/'edo - bernoulli - exata'!V25-1)*100</f>
        <v>5.2582553899949147E-4</v>
      </c>
    </row>
    <row r="26" spans="1:22" x14ac:dyDescent="0.25">
      <c r="A26" s="5">
        <f ca="1">'edo - bernoulli - exata'!A26</f>
        <v>1.7000000000000004</v>
      </c>
      <c r="B26" s="21">
        <f ca="1">('edo - bernoulli - edo'!E30/'edo - bernoulli - exata'!B26-1)*100</f>
        <v>-1.2801411851670608E-4</v>
      </c>
      <c r="C26" s="21">
        <f ca="1">('edo - bernoulli - edo'!F30/'edo - bernoulli - exata'!C26-1)*100</f>
        <v>-9.1517585187883554E-5</v>
      </c>
      <c r="D26" s="21">
        <f ca="1">('edo - bernoulli - edo'!G30/'edo - bernoulli - exata'!D26-1)*100</f>
        <v>-1.4888529957790553E-4</v>
      </c>
      <c r="E26" s="21">
        <f ca="1">('edo - bernoulli - edo'!H30/'edo - bernoulli - exata'!E26-1)*100</f>
        <v>-2.4449852773500425E-4</v>
      </c>
      <c r="F26" s="21">
        <f ca="1">('edo - bernoulli - edo'!I30/'edo - bernoulli - exata'!F26-1)*100</f>
        <v>-3.3700055048768718E-4</v>
      </c>
      <c r="G26" s="21">
        <f ca="1">('edo - bernoulli - edo'!J30/'edo - bernoulli - exata'!G26-1)*100</f>
        <v>-4.0543336972120869E-4</v>
      </c>
      <c r="H26" s="21">
        <f ca="1">('edo - bernoulli - edo'!K30/'edo - bernoulli - exata'!H26-1)*100</f>
        <v>-4.425097871685324E-4</v>
      </c>
      <c r="I26" s="21">
        <f ca="1">('edo - bernoulli - edo'!L30/'edo - bernoulli - exata'!I26-1)*100</f>
        <v>-4.4793480582505651E-4</v>
      </c>
      <c r="J26" s="21">
        <f ca="1">('edo - bernoulli - edo'!M30/'edo - bernoulli - exata'!J26-1)*100</f>
        <v>-4.2446090008363413E-4</v>
      </c>
      <c r="K26" s="21">
        <f ca="1">('edo - bernoulli - edo'!N30/'edo - bernoulli - exata'!K26-1)*100</f>
        <v>-3.758824052346732E-4</v>
      </c>
      <c r="L26" s="21">
        <f ca="1">('edo - bernoulli - edo'!O30/'edo - bernoulli - exata'!L26-1)*100</f>
        <v>-3.0609590745411808E-4</v>
      </c>
      <c r="M26" s="21">
        <f ca="1">('edo - bernoulli - edo'!P30/'edo - bernoulli - exata'!M26-1)*100</f>
        <v>-2.1869956384756861E-4</v>
      </c>
      <c r="N26" s="21">
        <f ca="1">('edo - bernoulli - edo'!Q30/'edo - bernoulli - exata'!N26-1)*100</f>
        <v>-1.1685317076182145E-4</v>
      </c>
      <c r="O26" s="21">
        <f ca="1">('edo - bernoulli - edo'!R30/'edo - bernoulli - exata'!O26-1)*100</f>
        <v>-3.258921910109791E-6</v>
      </c>
      <c r="P26" s="21">
        <f ca="1">('edo - bernoulli - edo'!S30/'edo - bernoulli - exata'!P26-1)*100</f>
        <v>1.1980605629791086E-4</v>
      </c>
      <c r="Q26" s="21">
        <f ca="1">('edo - bernoulli - edo'!T30/'edo - bernoulli - exata'!Q26-1)*100</f>
        <v>2.504385889556815E-4</v>
      </c>
      <c r="R26" s="21">
        <f ca="1">('edo - bernoulli - edo'!U30/'edo - bernoulli - exata'!R26-1)*100</f>
        <v>3.8705520877257982E-4</v>
      </c>
      <c r="S26" s="21">
        <f ca="1">('edo - bernoulli - edo'!V30/'edo - bernoulli - exata'!S26-1)*100</f>
        <v>5.2834149701919131E-4</v>
      </c>
      <c r="T26" s="21">
        <f ca="1">('edo - bernoulli - edo'!W30/'edo - bernoulli - exata'!T26-1)*100</f>
        <v>6.7320748446952905E-4</v>
      </c>
      <c r="U26" s="21">
        <f ca="1">('edo - bernoulli - edo'!X30/'edo - bernoulli - exata'!U26-1)*100</f>
        <v>8.2074959144584625E-4</v>
      </c>
      <c r="V26" s="21">
        <f ca="1">('edo - bernoulli - edo'!Y30/'edo - bernoulli - exata'!V26-1)*100</f>
        <v>9.702187092841541E-4</v>
      </c>
    </row>
    <row r="27" spans="1:22" x14ac:dyDescent="0.25">
      <c r="A27" s="5">
        <f ca="1">'edo - bernoulli - exata'!A27</f>
        <v>1.8000000000000005</v>
      </c>
      <c r="B27" s="21">
        <f ca="1">('edo - bernoulli - edo'!E31/'edo - bernoulli - exata'!B27-1)*100</f>
        <v>-1.3487960579539049E-4</v>
      </c>
      <c r="C27" s="21">
        <f ca="1">('edo - bernoulli - edo'!F31/'edo - bernoulli - exata'!C27-1)*100</f>
        <v>-9.7885014027632167E-5</v>
      </c>
      <c r="D27" s="21">
        <f ca="1">('edo - bernoulli - edo'!G31/'edo - bernoulli - exata'!D27-1)*100</f>
        <v>-1.7820796758272195E-4</v>
      </c>
      <c r="E27" s="21">
        <f ca="1">('edo - bernoulli - edo'!H31/'edo - bernoulli - exata'!E27-1)*100</f>
        <v>-2.8133643279470988E-4</v>
      </c>
      <c r="F27" s="21">
        <f ca="1">('edo - bernoulli - edo'!I31/'edo - bernoulli - exata'!F27-1)*100</f>
        <v>-3.58507051545498E-4</v>
      </c>
      <c r="G27" s="21">
        <f ca="1">('edo - bernoulli - edo'!J31/'edo - bernoulli - exata'!G27-1)*100</f>
        <v>-3.9496820617435091E-4</v>
      </c>
      <c r="H27" s="21">
        <f ca="1">('edo - bernoulli - edo'!K31/'edo - bernoulli - exata'!H27-1)*100</f>
        <v>-3.9111470125918757E-4</v>
      </c>
      <c r="I27" s="21">
        <f ca="1">('edo - bernoulli - edo'!L31/'edo - bernoulli - exata'!I27-1)*100</f>
        <v>-3.5245550191742581E-4</v>
      </c>
      <c r="J27" s="21">
        <f ca="1">('edo - bernoulli - edo'!M31/'edo - bernoulli - exata'!J27-1)*100</f>
        <v>-2.8547476504936498E-4</v>
      </c>
      <c r="K27" s="21">
        <f ca="1">('edo - bernoulli - edo'!N31/'edo - bernoulli - exata'!K27-1)*100</f>
        <v>-1.9614341741913677E-4</v>
      </c>
      <c r="L27" s="21">
        <f ca="1">('edo - bernoulli - edo'!O31/'edo - bernoulli - exata'!L27-1)*100</f>
        <v>-8.9501627353882895E-5</v>
      </c>
      <c r="M27" s="21">
        <f ca="1">('edo - bernoulli - edo'!P31/'edo - bernoulli - exata'!M27-1)*100</f>
        <v>3.0356141156318017E-5</v>
      </c>
      <c r="N27" s="21">
        <f ca="1">('edo - bernoulli - edo'!Q31/'edo - bernoulli - exata'!N27-1)*100</f>
        <v>1.6016345394387344E-4</v>
      </c>
      <c r="O27" s="21">
        <f ca="1">('edo - bernoulli - edo'!R31/'edo - bernoulli - exata'!O27-1)*100</f>
        <v>2.9733656599084668E-4</v>
      </c>
      <c r="P27" s="21">
        <f ca="1">('edo - bernoulli - edo'!S31/'edo - bernoulli - exata'!P27-1)*100</f>
        <v>4.3983922186630053E-4</v>
      </c>
      <c r="Q27" s="21">
        <f ca="1">('edo - bernoulli - edo'!T31/'edo - bernoulli - exata'!Q27-1)*100</f>
        <v>5.860685990288772E-4</v>
      </c>
      <c r="R27" s="21">
        <f ca="1">('edo - bernoulli - edo'!U31/'edo - bernoulli - exata'!R27-1)*100</f>
        <v>7.3476317070664265E-4</v>
      </c>
      <c r="S27" s="21">
        <f ca="1">('edo - bernoulli - edo'!V31/'edo - bernoulli - exata'!S27-1)*100</f>
        <v>8.8492980332421922E-4</v>
      </c>
      <c r="T27" s="21">
        <f ca="1">('edo - bernoulli - edo'!W31/'edo - bernoulli - exata'!T27-1)*100</f>
        <v>1.035786626046864E-3</v>
      </c>
      <c r="U27" s="21">
        <f ca="1">('edo - bernoulli - edo'!X31/'edo - bernoulli - exata'!U27-1)*100</f>
        <v>1.1867184227742911E-3</v>
      </c>
      <c r="V27" s="21">
        <f ca="1">('edo - bernoulli - edo'!Y31/'edo - bernoulli - exata'!V27-1)*100</f>
        <v>1.3372418109725004E-3</v>
      </c>
    </row>
    <row r="28" spans="1:22" x14ac:dyDescent="0.25">
      <c r="A28" s="5">
        <f ca="1">'edo - bernoulli - exata'!A28</f>
        <v>1.9000000000000006</v>
      </c>
      <c r="B28" s="21">
        <f ca="1">('edo - bernoulli - edo'!E32/'edo - bernoulli - exata'!B28-1)*100</f>
        <v>-1.4153621297197105E-4</v>
      </c>
      <c r="C28" s="21">
        <f ca="1">('edo - bernoulli - edo'!F32/'edo - bernoulli - exata'!C28-1)*100</f>
        <v>-1.074951203050567E-4</v>
      </c>
      <c r="D28" s="21">
        <f ca="1">('edo - bernoulli - edo'!G32/'edo - bernoulli - exata'!D28-1)*100</f>
        <v>-2.0843672886572406E-4</v>
      </c>
      <c r="E28" s="21">
        <f ca="1">('edo - bernoulli - edo'!H32/'edo - bernoulli - exata'!E28-1)*100</f>
        <v>-3.0498965751801776E-4</v>
      </c>
      <c r="F28" s="21">
        <f ca="1">('edo - bernoulli - edo'!I32/'edo - bernoulli - exata'!F28-1)*100</f>
        <v>-3.5202054282645889E-4</v>
      </c>
      <c r="G28" s="21">
        <f ca="1">('edo - bernoulli - edo'!J32/'edo - bernoulli - exata'!G28-1)*100</f>
        <v>-3.4699456176179311E-4</v>
      </c>
      <c r="H28" s="21">
        <f ca="1">('edo - bernoulli - edo'!K32/'edo - bernoulli - exata'!H28-1)*100</f>
        <v>-2.9907980708676618E-4</v>
      </c>
      <c r="I28" s="21">
        <f ca="1">('edo - bernoulli - edo'!L32/'edo - bernoulli - exata'!I28-1)*100</f>
        <v>-2.1864929308224035E-4</v>
      </c>
      <c r="J28" s="21">
        <f ca="1">('edo - bernoulli - edo'!M32/'edo - bernoulli - exata'!J28-1)*100</f>
        <v>-1.1449514104588943E-4</v>
      </c>
      <c r="K28" s="21">
        <f ca="1">('edo - bernoulli - edo'!N32/'edo - bernoulli - exata'!K28-1)*100</f>
        <v>6.5531969628551678E-6</v>
      </c>
      <c r="L28" s="21">
        <f ca="1">('edo - bernoulli - edo'!O32/'edo - bernoulli - exata'!L28-1)*100</f>
        <v>1.3936265492731081E-4</v>
      </c>
      <c r="M28" s="21">
        <f ca="1">('edo - bernoulli - edo'!P32/'edo - bernoulli - exata'!M28-1)*100</f>
        <v>2.8012355566264802E-4</v>
      </c>
      <c r="N28" s="21">
        <f ca="1">('edo - bernoulli - edo'!Q32/'edo - bernoulli - exata'!N28-1)*100</f>
        <v>4.2602007379599627E-4</v>
      </c>
      <c r="O28" s="21">
        <f ca="1">('edo - bernoulli - edo'!R32/'edo - bernoulli - exata'!O28-1)*100</f>
        <v>5.7497238925563465E-4</v>
      </c>
      <c r="P28" s="21">
        <f ca="1">('edo - bernoulli - edo'!S32/'edo - bernoulli - exata'!P28-1)*100</f>
        <v>7.2544387668127541E-4</v>
      </c>
      <c r="Q28" s="21">
        <f ca="1">('edo - bernoulli - edo'!T32/'edo - bernoulli - exata'!Q28-1)*100</f>
        <v>8.762994168964866E-4</v>
      </c>
      <c r="R28" s="21">
        <f ca="1">('edo - bernoulli - edo'!U32/'edo - bernoulli - exata'!R28-1)*100</f>
        <v>1.0267017974463499E-3</v>
      </c>
      <c r="S28" s="21">
        <f ca="1">('edo - bernoulli - edo'!V32/'edo - bernoulli - exata'!S28-1)*100</f>
        <v>1.1760358871848453E-3</v>
      </c>
      <c r="T28" s="21">
        <f ca="1">('edo - bernoulli - edo'!W32/'edo - bernoulli - exata'!T28-1)*100</f>
        <v>1.3238529148251743E-3</v>
      </c>
      <c r="U28" s="21">
        <f ca="1">('edo - bernoulli - edo'!X32/'edo - bernoulli - exata'!U28-1)*100</f>
        <v>1.4698292961190518E-3</v>
      </c>
      <c r="V28" s="21">
        <f ca="1">('edo - bernoulli - edo'!Y32/'edo - bernoulli - exata'!V28-1)*100</f>
        <v>1.613736024097534E-3</v>
      </c>
    </row>
    <row r="29" spans="1:22" x14ac:dyDescent="0.25">
      <c r="A29" s="5">
        <f ca="1">'edo - bernoulli - exata'!A29</f>
        <v>2.0000000000000004</v>
      </c>
      <c r="B29" s="21">
        <f ca="1">('edo - bernoulli - edo'!E33/'edo - bernoulli - exata'!B29-1)*100</f>
        <v>-1.4794256451011734E-4</v>
      </c>
      <c r="C29" s="21">
        <f ca="1">('edo - bernoulli - edo'!F33/'edo - bernoulli - exata'!C29-1)*100</f>
        <v>-1.205963194195192E-4</v>
      </c>
      <c r="D29" s="21">
        <f ca="1">('edo - bernoulli - edo'!G33/'edo - bernoulli - exata'!D29-1)*100</f>
        <v>-2.3469318808366779E-4</v>
      </c>
      <c r="E29" s="21">
        <f ca="1">('edo - bernoulli - edo'!H33/'edo - bernoulli - exata'!E29-1)*100</f>
        <v>-3.0930650107841018E-4</v>
      </c>
      <c r="F29" s="21">
        <f ca="1">('edo - bernoulli - edo'!I33/'edo - bernoulli - exata'!F29-1)*100</f>
        <v>-3.1586353435031356E-4</v>
      </c>
      <c r="G29" s="21">
        <f ca="1">('edo - bernoulli - edo'!J33/'edo - bernoulli - exata'!G29-1)*100</f>
        <v>-2.6670229749115038E-4</v>
      </c>
      <c r="H29" s="21">
        <f ca="1">('edo - bernoulli - edo'!K33/'edo - bernoulli - exata'!H29-1)*100</f>
        <v>-1.7825550070460494E-4</v>
      </c>
      <c r="I29" s="21">
        <f ca="1">('edo - bernoulli - edo'!L33/'edo - bernoulli - exata'!I29-1)*100</f>
        <v>-6.3623458335104743E-5</v>
      </c>
      <c r="J29" s="21">
        <f ca="1">('edo - bernoulli - edo'!M33/'edo - bernoulli - exata'!J29-1)*100</f>
        <v>6.7841898743203899E-5</v>
      </c>
      <c r="K29" s="21">
        <f ca="1">('edo - bernoulli - edo'!N33/'edo - bernoulli - exata'!K29-1)*100</f>
        <v>2.096803566997707E-4</v>
      </c>
      <c r="L29" s="21">
        <f ca="1">('edo - bernoulli - edo'!O33/'edo - bernoulli - exata'!L29-1)*100</f>
        <v>3.5746923534585306E-4</v>
      </c>
      <c r="M29" s="21">
        <f ca="1">('edo - bernoulli - edo'!P33/'edo - bernoulli - exata'!M29-1)*100</f>
        <v>5.0818446515332738E-4</v>
      </c>
      <c r="N29" s="21">
        <f ca="1">('edo - bernoulli - edo'!Q33/'edo - bernoulli - exata'!N29-1)*100</f>
        <v>6.597578655176406E-4</v>
      </c>
      <c r="O29" s="21">
        <f ca="1">('edo - bernoulli - edo'!R33/'edo - bernoulli - exata'!O29-1)*100</f>
        <v>8.1077716640454156E-4</v>
      </c>
      <c r="P29" s="21">
        <f ca="1">('edo - bernoulli - edo'!S33/'edo - bernoulli - exata'!P29-1)*100</f>
        <v>9.6028331040276527E-4</v>
      </c>
      <c r="Q29" s="21">
        <f ca="1">('edo - bernoulli - edo'!T33/'edo - bernoulli - exata'!Q29-1)*100</f>
        <v>1.1076327642411954E-3</v>
      </c>
      <c r="R29" s="21">
        <f ca="1">('edo - bernoulli - edo'!U33/'edo - bernoulli - exata'!R29-1)*100</f>
        <v>1.2524031849148187E-3</v>
      </c>
      <c r="S29" s="21">
        <f ca="1">('edo - bernoulli - edo'!V33/'edo - bernoulli - exata'!S29-1)*100</f>
        <v>1.3943281630179882E-3</v>
      </c>
      <c r="T29" s="21">
        <f ca="1">('edo - bernoulli - edo'!W33/'edo - bernoulli - exata'!T29-1)*100</f>
        <v>1.5332516400734519E-3</v>
      </c>
      <c r="U29" s="21">
        <f ca="1">('edo - bernoulli - edo'!X33/'edo - bernoulli - exata'!U29-1)*100</f>
        <v>1.6690957759468716E-3</v>
      </c>
      <c r="V29" s="21">
        <f ca="1">('edo - bernoulli - edo'!Y33/'edo - bernoulli - exata'!V29-1)*100</f>
        <v>1.8018381084949908E-3</v>
      </c>
    </row>
    <row r="30" spans="1:22" x14ac:dyDescent="0.25">
      <c r="A30" s="5">
        <f ca="1">'edo - bernoulli - exata'!A30</f>
        <v>2.1000000000000005</v>
      </c>
      <c r="B30" s="21">
        <f ca="1">('edo - bernoulli - edo'!E34/'edo - bernoulli - exata'!B30-1)*100</f>
        <v>-1.5405170928906031E-4</v>
      </c>
      <c r="C30" s="21">
        <f ca="1">('edo - bernoulli - edo'!F34/'edo - bernoulli - exata'!C30-1)*100</f>
        <v>-1.366571870997646E-4</v>
      </c>
      <c r="D30" s="21">
        <f ca="1">('edo - bernoulli - edo'!G34/'edo - bernoulli - exata'!D30-1)*100</f>
        <v>-2.5192956715214265E-4</v>
      </c>
      <c r="E30" s="21">
        <f ca="1">('edo - bernoulli - edo'!H34/'edo - bernoulli - exata'!E30-1)*100</f>
        <v>-2.9151767906299142E-4</v>
      </c>
      <c r="F30" s="21">
        <f ca="1">('edo - bernoulli - edo'!I34/'edo - bernoulli - exata'!F30-1)*100</f>
        <v>-2.5354130398502761E-4</v>
      </c>
      <c r="G30" s="21">
        <f ca="1">('edo - bernoulli - edo'!J34/'edo - bernoulli - exata'!G30-1)*100</f>
        <v>-1.6376991762712123E-4</v>
      </c>
      <c r="H30" s="21">
        <f ca="1">('edo - bernoulli - edo'!K34/'edo - bernoulli - exata'!H30-1)*100</f>
        <v>-4.275412293086589E-5</v>
      </c>
      <c r="I30" s="21">
        <f ca="1">('edo - bernoulli - edo'!L34/'edo - bernoulli - exata'!I30-1)*100</f>
        <v>9.6049493714112089E-5</v>
      </c>
      <c r="J30" s="21">
        <f ca="1">('edo - bernoulli - edo'!M34/'edo - bernoulli - exata'!J30-1)*100</f>
        <v>2.4419422646193567E-4</v>
      </c>
      <c r="K30" s="21">
        <f ca="1">('edo - bernoulli - edo'!N34/'edo - bernoulli - exata'!K30-1)*100</f>
        <v>3.9641786622190978E-4</v>
      </c>
      <c r="L30" s="21">
        <f ca="1">('edo - bernoulli - edo'!O34/'edo - bernoulli - exata'!L30-1)*100</f>
        <v>5.4944295526659914E-4</v>
      </c>
      <c r="M30" s="21">
        <f ca="1">('edo - bernoulli - edo'!P34/'edo - bernoulli - exata'!M30-1)*100</f>
        <v>7.0123384747766693E-4</v>
      </c>
      <c r="N30" s="21">
        <f ca="1">('edo - bernoulli - edo'!Q34/'edo - bernoulli - exata'!N30-1)*100</f>
        <v>8.5054012801677459E-4</v>
      </c>
      <c r="O30" s="21">
        <f ca="1">('edo - bernoulli - edo'!R34/'edo - bernoulli - exata'!O30-1)*100</f>
        <v>9.9661354631130905E-4</v>
      </c>
      <c r="P30" s="21">
        <f ca="1">('edo - bernoulli - edo'!S34/'edo - bernoulli - exata'!P30-1)*100</f>
        <v>1.1390300488578475E-3</v>
      </c>
      <c r="Q30" s="21">
        <f ca="1">('edo - bernoulli - edo'!T34/'edo - bernoulli - exata'!Q30-1)*100</f>
        <v>1.2775762016081771E-3</v>
      </c>
      <c r="R30" s="21">
        <f ca="1">('edo - bernoulli - edo'!U34/'edo - bernoulli - exata'!R30-1)*100</f>
        <v>1.4121756694684962E-3</v>
      </c>
      <c r="S30" s="21">
        <f ca="1">('edo - bernoulli - edo'!V34/'edo - bernoulli - exata'!S30-1)*100</f>
        <v>1.5428410243156776E-3</v>
      </c>
      <c r="T30" s="21">
        <f ca="1">('edo - bernoulli - edo'!W34/'edo - bernoulli - exata'!T30-1)*100</f>
        <v>1.6696418216888276E-3</v>
      </c>
      <c r="U30" s="21">
        <f ca="1">('edo - bernoulli - edo'!X34/'edo - bernoulli - exata'!U30-1)*100</f>
        <v>1.7926832800441161E-3</v>
      </c>
      <c r="V30" s="21">
        <f ca="1">('edo - bernoulli - edo'!Y34/'edo - bernoulli - exata'!V30-1)*100</f>
        <v>1.9120919622972465E-3</v>
      </c>
    </row>
    <row r="31" spans="1:22" x14ac:dyDescent="0.25">
      <c r="A31" s="5">
        <f ca="1">'edo - bernoulli - exata'!A31</f>
        <v>2.2000000000000006</v>
      </c>
      <c r="B31" s="21">
        <f ca="1">('edo - bernoulli - edo'!E35/'edo - bernoulli - exata'!B31-1)*100</f>
        <v>-1.5981105784268479E-4</v>
      </c>
      <c r="C31" s="21">
        <f ca="1">('edo - bernoulli - edo'!F35/'edo - bernoulli - exata'!C31-1)*100</f>
        <v>-1.5424288016818721E-4</v>
      </c>
      <c r="D31" s="21">
        <f ca="1">('edo - bernoulli - edo'!G35/'edo - bernoulli - exata'!D31-1)*100</f>
        <v>-2.5621261724451116E-4</v>
      </c>
      <c r="E31" s="21">
        <f ca="1">('edo - bernoulli - edo'!H35/'edo - bernoulli - exata'!E31-1)*100</f>
        <v>-2.5258168511177459E-4</v>
      </c>
      <c r="F31" s="21">
        <f ca="1">('edo - bernoulli - edo'!I35/'edo - bernoulli - exata'!F31-1)*100</f>
        <v>-1.7205542149900666E-4</v>
      </c>
      <c r="G31" s="21">
        <f ca="1">('edo - bernoulli - edo'!J35/'edo - bernoulli - exata'!G31-1)*100</f>
        <v>-4.9339016450211659E-5</v>
      </c>
      <c r="H31" s="21">
        <f ca="1">('edo - bernoulli - edo'!K35/'edo - bernoulli - exata'!H31-1)*100</f>
        <v>9.4382185999997148E-5</v>
      </c>
      <c r="I31" s="21">
        <f ca="1">('edo - bernoulli - edo'!L35/'edo - bernoulli - exata'!I31-1)*100</f>
        <v>2.4719336189082952E-4</v>
      </c>
      <c r="J31" s="21">
        <f ca="1">('edo - bernoulli - edo'!M35/'edo - bernoulli - exata'!J31-1)*100</f>
        <v>4.0246152017697767E-4</v>
      </c>
      <c r="K31" s="21">
        <f ca="1">('edo - bernoulli - edo'!N35/'edo - bernoulli - exata'!K31-1)*100</f>
        <v>5.565015311903565E-4</v>
      </c>
      <c r="L31" s="21">
        <f ca="1">('edo - bernoulli - edo'!O35/'edo - bernoulli - exata'!L31-1)*100</f>
        <v>7.0729265111424411E-4</v>
      </c>
      <c r="M31" s="21">
        <f ca="1">('edo - bernoulli - edo'!P35/'edo - bernoulli - exata'!M31-1)*100</f>
        <v>8.5376987188912068E-4</v>
      </c>
      <c r="N31" s="21">
        <f ca="1">('edo - bernoulli - edo'!Q35/'edo - bernoulli - exata'!N31-1)*100</f>
        <v>9.9542477101088878E-4</v>
      </c>
      <c r="O31" s="21">
        <f ca="1">('edo - bernoulli - edo'!R35/'edo - bernoulli - exata'!O31-1)*100</f>
        <v>1.1320755634702806E-3</v>
      </c>
      <c r="P31" s="21">
        <f ca="1">('edo - bernoulli - edo'!S35/'edo - bernoulli - exata'!P31-1)*100</f>
        <v>1.2637318512975781E-3</v>
      </c>
      <c r="Q31" s="21">
        <f ca="1">('edo - bernoulli - edo'!T35/'edo - bernoulli - exata'!Q31-1)*100</f>
        <v>1.3905136856173783E-3</v>
      </c>
      <c r="R31" s="21">
        <f ca="1">('edo - bernoulli - edo'!U35/'edo - bernoulli - exata'!R31-1)*100</f>
        <v>1.5126024976996888E-3</v>
      </c>
      <c r="S31" s="21">
        <f ca="1">('edo - bernoulli - edo'!V35/'edo - bernoulli - exata'!S31-1)*100</f>
        <v>1.6302111135457764E-3</v>
      </c>
      <c r="T31" s="21">
        <f ca="1">('edo - bernoulli - edo'!W35/'edo - bernoulli - exata'!T31-1)*100</f>
        <v>1.7435653951514141E-3</v>
      </c>
      <c r="U31" s="21">
        <f ca="1">('edo - bernoulli - edo'!X35/'edo - bernoulli - exata'!U31-1)*100</f>
        <v>1.8528930667116583E-3</v>
      </c>
      <c r="V31" s="21">
        <f ca="1">('edo - bernoulli - edo'!Y35/'edo - bernoulli - exata'!V31-1)*100</f>
        <v>1.9584170301234494E-3</v>
      </c>
    </row>
    <row r="32" spans="1:22" x14ac:dyDescent="0.25">
      <c r="A32" s="5">
        <f ca="1">'edo - bernoulli - exata'!A32</f>
        <v>2.3000000000000007</v>
      </c>
      <c r="B32" s="21">
        <f ca="1">('edo - bernoulli - edo'!E36/'edo - bernoulli - exata'!B32-1)*100</f>
        <v>-1.6516257821397318E-4</v>
      </c>
      <c r="C32" s="21">
        <f ca="1">('edo - bernoulli - edo'!F36/'edo - bernoulli - exata'!C32-1)*100</f>
        <v>-1.7115468334827355E-4</v>
      </c>
      <c r="D32" s="21">
        <f ca="1">('edo - bernoulli - edo'!G36/'edo - bernoulli - exata'!D32-1)*100</f>
        <v>-2.4561384167620659E-4</v>
      </c>
      <c r="E32" s="21">
        <f ca="1">('edo - bernoulli - edo'!H36/'edo - bernoulli - exata'!E32-1)*100</f>
        <v>-1.9642381411388854E-4</v>
      </c>
      <c r="F32" s="21">
        <f ca="1">('edo - bernoulli - edo'!I36/'edo - bernoulli - exata'!F32-1)*100</f>
        <v>-7.9776510375495491E-5</v>
      </c>
      <c r="G32" s="21">
        <f ca="1">('edo - bernoulli - edo'!J36/'edo - bernoulli - exata'!G32-1)*100</f>
        <v>6.6372306295470196E-5</v>
      </c>
      <c r="H32" s="21">
        <f ca="1">('edo - bernoulli - edo'!K36/'edo - bernoulli - exata'!H32-1)*100</f>
        <v>2.2304767159919692E-4</v>
      </c>
      <c r="I32" s="21">
        <f ca="1">('edo - bernoulli - edo'!L36/'edo - bernoulli - exata'!I32-1)*100</f>
        <v>3.8101542585433634E-4</v>
      </c>
      <c r="J32" s="21">
        <f ca="1">('edo - bernoulli - edo'!M36/'edo - bernoulli - exata'!J32-1)*100</f>
        <v>5.3581284562564946E-4</v>
      </c>
      <c r="K32" s="21">
        <f ca="1">('edo - bernoulli - edo'!N36/'edo - bernoulli - exata'!K32-1)*100</f>
        <v>6.8535781756473568E-4</v>
      </c>
      <c r="L32" s="21">
        <f ca="1">('edo - bernoulli - edo'!O36/'edo - bernoulli - exata'!L32-1)*100</f>
        <v>8.2878406677533434E-4</v>
      </c>
      <c r="M32" s="21">
        <f ca="1">('edo - bernoulli - edo'!P36/'edo - bernoulli - exata'!M32-1)*100</f>
        <v>9.6585505386936887E-4</v>
      </c>
      <c r="N32" s="21">
        <f ca="1">('edo - bernoulli - edo'!Q36/'edo - bernoulli - exata'!N32-1)*100</f>
        <v>1.0966595358485876E-3</v>
      </c>
      <c r="O32" s="21">
        <f ca="1">('edo - bernoulli - edo'!R36/'edo - bernoulli - exata'!O32-1)*100</f>
        <v>1.2214493260165327E-3</v>
      </c>
      <c r="P32" s="21">
        <f ca="1">('edo - bernoulli - edo'!S36/'edo - bernoulli - exata'!P32-1)*100</f>
        <v>1.3405513226150134E-3</v>
      </c>
      <c r="Q32" s="21">
        <f ca="1">('edo - bernoulli - edo'!T36/'edo - bernoulli - exata'!Q32-1)*100</f>
        <v>1.4543194690741501E-3</v>
      </c>
      <c r="R32" s="21">
        <f ca="1">('edo - bernoulli - edo'!U36/'edo - bernoulli - exata'!R32-1)*100</f>
        <v>1.5631086905720792E-3</v>
      </c>
      <c r="S32" s="21">
        <f ca="1">('edo - bernoulli - edo'!V36/'edo - bernoulli - exata'!S32-1)*100</f>
        <v>1.6672611345969202E-3</v>
      </c>
      <c r="T32" s="21">
        <f ca="1">('edo - bernoulli - edo'!W36/'edo - bernoulli - exata'!T32-1)*100</f>
        <v>1.7670993722296302E-3</v>
      </c>
      <c r="U32" s="21">
        <f ca="1">('edo - bernoulli - edo'!X36/'edo - bernoulli - exata'!U32-1)*100</f>
        <v>1.8629235475575712E-3</v>
      </c>
      <c r="V32" s="21">
        <f ca="1">('edo - bernoulli - edo'!Y36/'edo - bernoulli - exata'!V32-1)*100</f>
        <v>1.955010746668151E-3</v>
      </c>
    </row>
    <row r="33" spans="1:22" x14ac:dyDescent="0.25">
      <c r="A33" s="5">
        <f ca="1">'edo - bernoulli - exata'!A33</f>
        <v>2.4000000000000008</v>
      </c>
      <c r="B33" s="21">
        <f ca="1">('edo - bernoulli - edo'!E37/'edo - bernoulli - exata'!B33-1)*100</f>
        <v>-1.7004333807690841E-4</v>
      </c>
      <c r="C33" s="21">
        <f ca="1">('edo - bernoulli - edo'!F37/'edo - bernoulli - exata'!C33-1)*100</f>
        <v>-1.8483019775805687E-4</v>
      </c>
      <c r="D33" s="21">
        <f ca="1">('edo - bernoulli - edo'!G37/'edo - bernoulli - exata'!D33-1)*100</f>
        <v>-2.2044024017287001E-4</v>
      </c>
      <c r="E33" s="21">
        <f ca="1">('edo - bernoulli - edo'!H37/'edo - bernoulli - exata'!E33-1)*100</f>
        <v>-1.2862134709523687E-4</v>
      </c>
      <c r="F33" s="21">
        <f ca="1">('edo - bernoulli - edo'!I37/'edo - bernoulli - exata'!F33-1)*100</f>
        <v>1.5327688385191607E-5</v>
      </c>
      <c r="G33" s="21">
        <f ca="1">('edo - bernoulli - edo'!J37/'edo - bernoulli - exata'!G33-1)*100</f>
        <v>1.75399663282505E-4</v>
      </c>
      <c r="H33" s="21">
        <f ca="1">('edo - bernoulli - edo'!K37/'edo - bernoulli - exata'!H33-1)*100</f>
        <v>3.36611714102375E-4</v>
      </c>
      <c r="I33" s="21">
        <f ca="1">('edo - bernoulli - edo'!L37/'edo - bernoulli - exata'!I33-1)*100</f>
        <v>4.9282897678359916E-4</v>
      </c>
      <c r="J33" s="21">
        <f ca="1">('edo - bernoulli - edo'!M37/'edo - bernoulli - exata'!J33-1)*100</f>
        <v>6.4170739295654755E-4</v>
      </c>
      <c r="K33" s="21">
        <f ca="1">('edo - bernoulli - edo'!N37/'edo - bernoulli - exata'!K33-1)*100</f>
        <v>7.8257831159778135E-4</v>
      </c>
      <c r="L33" s="21">
        <f ca="1">('edo - bernoulli - edo'!O37/'edo - bernoulli - exata'!L33-1)*100</f>
        <v>9.1552082361889831E-4</v>
      </c>
      <c r="M33" s="21">
        <f ca="1">('edo - bernoulli - edo'!P37/'edo - bernoulli - exata'!M33-1)*100</f>
        <v>1.0409372125153027E-3</v>
      </c>
      <c r="N33" s="21">
        <f ca="1">('edo - bernoulli - edo'!Q37/'edo - bernoulli - exata'!N33-1)*100</f>
        <v>1.1593529902986788E-3</v>
      </c>
      <c r="O33" s="21">
        <f ca="1">('edo - bernoulli - edo'!R37/'edo - bernoulli - exata'!O33-1)*100</f>
        <v>1.2713217685922373E-3</v>
      </c>
      <c r="P33" s="21">
        <f ca="1">('edo - bernoulli - edo'!S37/'edo - bernoulli - exata'!P33-1)*100</f>
        <v>1.3773807685968364E-3</v>
      </c>
      <c r="Q33" s="21">
        <f ca="1">('edo - bernoulli - edo'!T37/'edo - bernoulli - exata'!Q33-1)*100</f>
        <v>1.4780313497331221E-3</v>
      </c>
      <c r="R33" s="21">
        <f ca="1">('edo - bernoulli - edo'!U37/'edo - bernoulli - exata'!R33-1)*100</f>
        <v>1.5737320101960606E-3</v>
      </c>
      <c r="S33" s="21">
        <f ca="1">('edo - bernoulli - edo'!V37/'edo - bernoulli - exata'!S33-1)*100</f>
        <v>1.6648975473598782E-3</v>
      </c>
      <c r="T33" s="21">
        <f ca="1">('edo - bernoulli - edo'!W37/'edo - bernoulli - exata'!T33-1)*100</f>
        <v>1.751901145641277E-3</v>
      </c>
      <c r="U33" s="21">
        <f ca="1">('edo - bernoulli - edo'!X37/'edo - bernoulli - exata'!U33-1)*100</f>
        <v>1.8350777204245716E-3</v>
      </c>
      <c r="V33" s="21">
        <f ca="1">('edo - bernoulli - edo'!Y37/'edo - bernoulli - exata'!V33-1)*100</f>
        <v>1.9147276607345276E-3</v>
      </c>
    </row>
    <row r="34" spans="1:22" x14ac:dyDescent="0.25">
      <c r="A34" s="5">
        <f ca="1">'edo - bernoulli - exata'!A34</f>
        <v>2.5000000000000009</v>
      </c>
      <c r="B34" s="21">
        <f ca="1">('edo - bernoulli - edo'!E38/'edo - bernoulli - exata'!B34-1)*100</f>
        <v>-1.7438648499679132E-4</v>
      </c>
      <c r="C34" s="21">
        <f ca="1">('edo - bernoulli - edo'!F38/'edo - bernoulli - exata'!C34-1)*100</f>
        <v>-1.9288004000639347E-4</v>
      </c>
      <c r="D34" s="21">
        <f ca="1">('edo - bernoulli - edo'!G38/'edo - bernoulli - exata'!D34-1)*100</f>
        <v>-1.8286539770207E-4</v>
      </c>
      <c r="E34" s="21">
        <f ca="1">('edo - bernoulli - edo'!H38/'edo - bernoulli - exata'!E34-1)*100</f>
        <v>-5.5097306472795538E-5</v>
      </c>
      <c r="F34" s="21">
        <f ca="1">('edo - bernoulli - edo'!I38/'edo - bernoulli - exata'!F34-1)*100</f>
        <v>1.0677058477348567E-4</v>
      </c>
      <c r="G34" s="21">
        <f ca="1">('edo - bernoulli - edo'!J38/'edo - bernoulli - exata'!G34-1)*100</f>
        <v>2.7242294429186131E-4</v>
      </c>
      <c r="H34" s="21">
        <f ca="1">('edo - bernoulli - edo'!K38/'edo - bernoulli - exata'!H34-1)*100</f>
        <v>4.316053466402181E-4</v>
      </c>
      <c r="I34" s="21">
        <f ca="1">('edo - bernoulli - edo'!L38/'edo - bernoulli - exata'!I34-1)*100</f>
        <v>5.8117529517787148E-4</v>
      </c>
      <c r="J34" s="21">
        <f ca="1">('edo - bernoulli - edo'!M38/'edo - bernoulli - exata'!J34-1)*100</f>
        <v>7.2061802431910849E-4</v>
      </c>
      <c r="K34" s="21">
        <f ca="1">('edo - bernoulli - edo'!N38/'edo - bernoulli - exata'!K34-1)*100</f>
        <v>8.5039223756133708E-4</v>
      </c>
      <c r="L34" s="21">
        <f ca="1">('edo - bernoulli - edo'!O38/'edo - bernoulli - exata'!L34-1)*100</f>
        <v>9.7128356371101177E-4</v>
      </c>
      <c r="M34" s="21">
        <f ca="1">('edo - bernoulli - edo'!P38/'edo - bernoulli - exata'!M34-1)*100</f>
        <v>1.0841443832010356E-3</v>
      </c>
      <c r="N34" s="21">
        <f ca="1">('edo - bernoulli - edo'!Q38/'edo - bernoulli - exata'!N34-1)*100</f>
        <v>1.1897906239788369E-3</v>
      </c>
      <c r="O34" s="21">
        <f ca="1">('edo - bernoulli - edo'!R38/'edo - bernoulli - exata'!O34-1)*100</f>
        <v>1.2889647377445357E-3</v>
      </c>
      <c r="P34" s="21">
        <f ca="1">('edo - bernoulli - edo'!S38/'edo - bernoulli - exata'!P34-1)*100</f>
        <v>1.3823269156887363E-3</v>
      </c>
      <c r="Q34" s="21">
        <f ca="1">('edo - bernoulli - edo'!T38/'edo - bernoulli - exata'!Q34-1)*100</f>
        <v>1.4704580586943905E-3</v>
      </c>
      <c r="R34" s="21">
        <f ca="1">('edo - bernoulli - edo'!U38/'edo - bernoulli - exata'!R34-1)*100</f>
        <v>1.5538671807702187E-3</v>
      </c>
      <c r="S34" s="21">
        <f ca="1">('edo - bernoulli - edo'!V38/'edo - bernoulli - exata'!S34-1)*100</f>
        <v>1.6329999887432223E-3</v>
      </c>
      <c r="T34" s="21">
        <f ca="1">('edo - bernoulli - edo'!W38/'edo - bernoulli - exata'!T34-1)*100</f>
        <v>1.7082472325569142E-3</v>
      </c>
      <c r="U34" s="21">
        <f ca="1">('edo - bernoulli - edo'!X38/'edo - bernoulli - exata'!U34-1)*100</f>
        <v>1.7799522751271724E-3</v>
      </c>
      <c r="V34" s="21">
        <f ca="1">('edo - bernoulli - edo'!Y38/'edo - bernoulli - exata'!V34-1)*100</f>
        <v>1.84841772103983E-3</v>
      </c>
    </row>
    <row r="35" spans="1:22" x14ac:dyDescent="0.25">
      <c r="A35" s="5">
        <f ca="1">'edo - bernoulli - exata'!A35</f>
        <v>2.600000000000001</v>
      </c>
      <c r="B35" s="21">
        <f ca="1">('edo - bernoulli - edo'!E39/'edo - bernoulli - exata'!B35-1)*100</f>
        <v>-1.7812275361350771E-4</v>
      </c>
      <c r="C35" s="21">
        <f ca="1">('edo - bernoulli - edo'!F39/'edo - bernoulli - exata'!C35-1)*100</f>
        <v>-1.9357721057211563E-4</v>
      </c>
      <c r="D35" s="21">
        <f ca="1">('edo - bernoulli - edo'!G39/'edo - bernoulli - exata'!D35-1)*100</f>
        <v>-1.3622479030361845E-4</v>
      </c>
      <c r="E35" s="21">
        <f ca="1">('edo - bernoulli - edo'!H39/'edo - bernoulli - exata'!E35-1)*100</f>
        <v>1.8838629523010297E-5</v>
      </c>
      <c r="F35" s="21">
        <f ca="1">('edo - bernoulli - edo'!I39/'edo - bernoulli - exata'!F35-1)*100</f>
        <v>1.8995821267075996E-4</v>
      </c>
      <c r="G35" s="21">
        <f ca="1">('edo - bernoulli - edo'!J39/'edo - bernoulli - exata'!G35-1)*100</f>
        <v>3.5454757552066951E-4</v>
      </c>
      <c r="H35" s="21">
        <f ca="1">('edo - bernoulli - edo'!K39/'edo - bernoulli - exata'!H35-1)*100</f>
        <v>5.0702104301691975E-4</v>
      </c>
      <c r="I35" s="21">
        <f ca="1">('edo - bernoulli - edo'!L39/'edo - bernoulli - exata'!I35-1)*100</f>
        <v>6.4681581091186047E-4</v>
      </c>
      <c r="J35" s="21">
        <f ca="1">('edo - bernoulli - edo'!M39/'edo - bernoulli - exata'!J35-1)*100</f>
        <v>7.7485835983104323E-4</v>
      </c>
      <c r="K35" s="21">
        <f ca="1">('edo - bernoulli - edo'!N39/'edo - bernoulli - exata'!K35-1)*100</f>
        <v>8.9243281842232847E-4</v>
      </c>
      <c r="L35" s="21">
        <f ca="1">('edo - bernoulli - edo'!O39/'edo - bernoulli - exata'!L35-1)*100</f>
        <v>1.0008079257550762E-3</v>
      </c>
      <c r="M35" s="21">
        <f ca="1">('edo - bernoulli - edo'!P39/'edo - bernoulli - exata'!M35-1)*100</f>
        <v>1.1011227471602325E-3</v>
      </c>
      <c r="N35" s="21">
        <f ca="1">('edo - bernoulli - edo'!Q39/'edo - bernoulli - exata'!N35-1)*100</f>
        <v>1.1943638654310362E-3</v>
      </c>
      <c r="O35" s="21">
        <f ca="1">('edo - bernoulli - edo'!R39/'edo - bernoulli - exata'!O35-1)*100</f>
        <v>1.2813741607109463E-3</v>
      </c>
      <c r="P35" s="21">
        <f ca="1">('edo - bernoulli - edo'!S39/'edo - bernoulli - exata'!P35-1)*100</f>
        <v>1.3628709274238204E-3</v>
      </c>
      <c r="Q35" s="21">
        <f ca="1">('edo - bernoulli - edo'!T39/'edo - bernoulli - exata'!Q35-1)*100</f>
        <v>1.4394650723170699E-3</v>
      </c>
      <c r="R35" s="21">
        <f ca="1">('edo - bernoulli - edo'!U39/'edo - bernoulli - exata'!R35-1)*100</f>
        <v>1.5116785326174664E-3</v>
      </c>
      <c r="S35" s="21">
        <f ca="1">('edo - bernoulli - edo'!V39/'edo - bernoulli - exata'!S35-1)*100</f>
        <v>1.5799591558840476E-3</v>
      </c>
      <c r="T35" s="21">
        <f ca="1">('edo - bernoulli - edo'!W39/'edo - bernoulli - exata'!T35-1)*100</f>
        <v>1.6446930766189638E-3</v>
      </c>
      <c r="U35" s="21">
        <f ca="1">('edo - bernoulli - edo'!X39/'edo - bernoulli - exata'!U35-1)*100</f>
        <v>1.706214889707347E-3</v>
      </c>
      <c r="V35" s="21">
        <f ca="1">('edo - bernoulli - edo'!Y39/'edo - bernoulli - exata'!V35-1)*100</f>
        <v>1.7648159790439877E-3</v>
      </c>
    </row>
    <row r="36" spans="1:22" x14ac:dyDescent="0.25">
      <c r="A36" s="5">
        <f ca="1">'edo - bernoulli - exata'!A36</f>
        <v>2.7000000000000011</v>
      </c>
      <c r="B36" s="21">
        <f ca="1">('edo - bernoulli - edo'!E40/'edo - bernoulli - exata'!B36-1)*100</f>
        <v>-1.8118257112398339E-4</v>
      </c>
      <c r="C36" s="21">
        <f ca="1">('edo - bernoulli - edo'!F40/'edo - bernoulli - exata'!C36-1)*100</f>
        <v>-1.8614930868965374E-4</v>
      </c>
      <c r="D36" s="21">
        <f ca="1">('edo - bernoulli - edo'!G40/'edo - bernoulli - exata'!D36-1)*100</f>
        <v>-8.4263763655556545E-5</v>
      </c>
      <c r="E36" s="21">
        <f ca="1">('edo - bernoulli - edo'!H40/'edo - bernoulli - exata'!E36-1)*100</f>
        <v>8.9010817028167821E-5</v>
      </c>
      <c r="F36" s="21">
        <f ca="1">('edo - bernoulli - edo'!I40/'edo - bernoulli - exata'!F36-1)*100</f>
        <v>2.6213188191182013E-4</v>
      </c>
      <c r="G36" s="21">
        <f ca="1">('edo - bernoulli - edo'!J40/'edo - bernoulli - exata'!G36-1)*100</f>
        <v>4.2079914448489575E-4</v>
      </c>
      <c r="H36" s="21">
        <f ca="1">('edo - bernoulli - edo'!K40/'edo - bernoulli - exata'!H36-1)*100</f>
        <v>5.6354441975159375E-4</v>
      </c>
      <c r="I36" s="21">
        <f ca="1">('edo - bernoulli - edo'!L40/'edo - bernoulli - exata'!I36-1)*100</f>
        <v>6.9184459461357761E-4</v>
      </c>
      <c r="J36" s="21">
        <f ca="1">('edo - bernoulli - edo'!M40/'edo - bernoulli - exata'!J36-1)*100</f>
        <v>8.0767251500191151E-4</v>
      </c>
      <c r="K36" s="21">
        <f ca="1">('edo - bernoulli - edo'!N40/'edo - bernoulli - exata'!K36-1)*100</f>
        <v>9.1286492296394073E-4</v>
      </c>
      <c r="L36" s="21">
        <f ca="1">('edo - bernoulli - edo'!O40/'edo - bernoulli - exata'!L36-1)*100</f>
        <v>1.0089863974327429E-3</v>
      </c>
      <c r="M36" s="21">
        <f ca="1">('edo - bernoulli - edo'!P40/'edo - bernoulli - exata'!M36-1)*100</f>
        <v>1.0973330319075103E-3</v>
      </c>
      <c r="N36" s="21">
        <f ca="1">('edo - bernoulli - edo'!Q40/'edo - bernoulli - exata'!N36-1)*100</f>
        <v>1.1789711197751629E-3</v>
      </c>
      <c r="O36" s="21">
        <f ca="1">('edo - bernoulli - edo'!R40/'edo - bernoulli - exata'!O36-1)*100</f>
        <v>1.2547792975547978E-3</v>
      </c>
      <c r="P36" s="21">
        <f ca="1">('edo - bernoulli - edo'!S40/'edo - bernoulli - exata'!P36-1)*100</f>
        <v>1.3254853743926986E-3</v>
      </c>
      <c r="Q36" s="21">
        <f ca="1">('edo - bernoulli - edo'!T40/'edo - bernoulli - exata'!Q36-1)*100</f>
        <v>1.3916963086169076E-3</v>
      </c>
      <c r="R36" s="21">
        <f ca="1">('edo - bernoulli - edo'!U40/'edo - bernoulli - exata'!R36-1)*100</f>
        <v>1.4539219646225732E-3</v>
      </c>
      <c r="S36" s="21">
        <f ca="1">('edo - bernoulli - edo'!V40/'edo - bernoulli - exata'!S36-1)*100</f>
        <v>1.5125937739446371E-3</v>
      </c>
      <c r="T36" s="21">
        <f ca="1">('edo - bernoulli - edo'!W40/'edo - bernoulli - exata'!T36-1)*100</f>
        <v>1.5680793857386632E-3</v>
      </c>
      <c r="U36" s="21">
        <f ca="1">('edo - bernoulli - edo'!X40/'edo - bernoulli - exata'!U36-1)*100</f>
        <v>1.6206942086816056E-3</v>
      </c>
      <c r="V36" s="21">
        <f ca="1">('edo - bernoulli - edo'!Y40/'edo - bernoulli - exata'!V36-1)*100</f>
        <v>1.6707105546798218E-3</v>
      </c>
    </row>
    <row r="37" spans="1:22" x14ac:dyDescent="0.25">
      <c r="A37" s="5">
        <f ca="1">'edo - bernoulli - exata'!A37</f>
        <v>2.8000000000000012</v>
      </c>
      <c r="B37" s="21">
        <f ca="1">('edo - bernoulli - edo'!E41/'edo - bernoulli - exata'!B37-1)*100</f>
        <v>-1.8349879858936546E-4</v>
      </c>
      <c r="C37" s="21">
        <f ca="1">('edo - bernoulli - edo'!F41/'edo - bernoulli - exata'!C37-1)*100</f>
        <v>-1.7081913022964912E-4</v>
      </c>
      <c r="D37" s="21">
        <f ca="1">('edo - bernoulli - edo'!G41/'edo - bernoulli - exata'!D37-1)*100</f>
        <v>-3.0534046158159356E-5</v>
      </c>
      <c r="E37" s="21">
        <f ca="1">('edo - bernoulli - edo'!H41/'edo - bernoulli - exata'!E37-1)*100</f>
        <v>1.5252782241681473E-4</v>
      </c>
      <c r="F37" s="21">
        <f ca="1">('edo - bernoulli - edo'!I41/'edo - bernoulli - exata'!F37-1)*100</f>
        <v>3.2206044016103164E-4</v>
      </c>
      <c r="G37" s="21">
        <f ca="1">('edo - bernoulli - edo'!J41/'edo - bernoulli - exata'!G37-1)*100</f>
        <v>4.7155682587618486E-4</v>
      </c>
      <c r="H37" s="21">
        <f ca="1">('edo - bernoulli - edo'!K41/'edo - bernoulli - exata'!H37-1)*100</f>
        <v>6.028845625838386E-4</v>
      </c>
      <c r="I37" s="21">
        <f ca="1">('edo - bernoulli - edo'!L41/'edo - bernoulli - exata'!I37-1)*100</f>
        <v>7.1901173064325974E-4</v>
      </c>
      <c r="J37" s="21">
        <f ca="1">('edo - bernoulli - edo'!M41/'edo - bernoulli - exata'!J37-1)*100</f>
        <v>8.2260588207816454E-4</v>
      </c>
      <c r="K37" s="21">
        <f ca="1">('edo - bernoulli - edo'!N41/'edo - bernoulli - exata'!K37-1)*100</f>
        <v>9.1583181214272003E-4</v>
      </c>
      <c r="L37" s="21">
        <f ca="1">('edo - bernoulli - edo'!O41/'edo - bernoulli - exata'!L37-1)*100</f>
        <v>1.0004042715117123E-3</v>
      </c>
      <c r="M37" s="21">
        <f ca="1">('edo - bernoulli - edo'!P41/'edo - bernoulli - exata'!M37-1)*100</f>
        <v>1.0776800096978789E-3</v>
      </c>
      <c r="N37" s="21">
        <f ca="1">('edo - bernoulli - edo'!Q41/'edo - bernoulli - exata'!N37-1)*100</f>
        <v>1.1487400491283495E-3</v>
      </c>
      <c r="O37" s="21">
        <f ca="1">('edo - bernoulli - edo'!R41/'edo - bernoulli - exata'!O37-1)*100</f>
        <v>1.2144542259173718E-3</v>
      </c>
      <c r="P37" s="21">
        <f ca="1">('edo - bernoulli - edo'!S41/'edo - bernoulli - exata'!P37-1)*100</f>
        <v>1.2755298785638303E-3</v>
      </c>
      <c r="Q37" s="21">
        <f ca="1">('edo - bernoulli - edo'!T41/'edo - bernoulli - exata'!Q37-1)*100</f>
        <v>1.332548226229413E-3</v>
      </c>
      <c r="R37" s="21">
        <f ca="1">('edo - bernoulli - edo'!U41/'edo - bernoulli - exata'!R37-1)*100</f>
        <v>1.3859916069058897E-3</v>
      </c>
      <c r="S37" s="21">
        <f ca="1">('edo - bernoulli - edo'!V41/'edo - bernoulli - exata'!S37-1)*100</f>
        <v>1.4362640184950592E-3</v>
      </c>
      <c r="T37" s="21">
        <f ca="1">('edo - bernoulli - edo'!W41/'edo - bernoulli - exata'!T37-1)*100</f>
        <v>1.4837067542350368E-3</v>
      </c>
      <c r="U37" s="21">
        <f ca="1">('edo - bernoulli - edo'!X41/'edo - bernoulli - exata'!U37-1)*100</f>
        <v>1.5286104242617782E-3</v>
      </c>
      <c r="V37" s="21">
        <f ca="1">('edo - bernoulli - edo'!Y41/'edo - bernoulli - exata'!V37-1)*100</f>
        <v>1.5712242933174636E-3</v>
      </c>
    </row>
    <row r="38" spans="1:22" x14ac:dyDescent="0.25">
      <c r="A38" s="5">
        <f ca="1">'edo - bernoulli - exata'!A38</f>
        <v>2.9000000000000012</v>
      </c>
      <c r="B38" s="21">
        <f ca="1">('edo - bernoulli - edo'!E42/'edo - bernoulli - exata'!B38-1)*100</f>
        <v>-1.8501009283466985E-4</v>
      </c>
      <c r="C38" s="21">
        <f ca="1">('edo - bernoulli - edo'!F42/'edo - bernoulli - exata'!C38-1)*100</f>
        <v>-1.4863478382531881E-4</v>
      </c>
      <c r="D38" s="21">
        <f ca="1">('edo - bernoulli - edo'!G42/'edo - bernoulli - exata'!D38-1)*100</f>
        <v>2.1984567721844428E-5</v>
      </c>
      <c r="E38" s="21">
        <f ca="1">('edo - bernoulli - edo'!H42/'edo - bernoulli - exata'!E38-1)*100</f>
        <v>2.0768909629875765E-4</v>
      </c>
      <c r="F38" s="21">
        <f ca="1">('edo - bernoulli - edo'!I42/'edo - bernoulli - exata'!F38-1)*100</f>
        <v>3.6964897600633151E-4</v>
      </c>
      <c r="G38" s="21">
        <f ca="1">('edo - bernoulli - edo'!J42/'edo - bernoulli - exata'!G38-1)*100</f>
        <v>5.0804835249884661E-4</v>
      </c>
      <c r="H38" s="21">
        <f ca="1">('edo - bernoulli - edo'!K42/'edo - bernoulli - exata'!H38-1)*100</f>
        <v>6.2726221989883868E-4</v>
      </c>
      <c r="I38" s="21">
        <f ca="1">('edo - bernoulli - edo'!L42/'edo - bernoulli - exata'!I38-1)*100</f>
        <v>7.312588480301585E-4</v>
      </c>
      <c r="J38" s="21">
        <f ca="1">('edo - bernoulli - edo'!M42/'edo - bernoulli - exata'!J38-1)*100</f>
        <v>8.2311258147171884E-4</v>
      </c>
      <c r="K38" s="21">
        <f ca="1">('edo - bernoulli - edo'!N42/'edo - bernoulli - exata'!K38-1)*100</f>
        <v>9.0514339026182E-4</v>
      </c>
      <c r="L38" s="21">
        <f ca="1">('edo - bernoulli - edo'!O42/'edo - bernoulli - exata'!L38-1)*100</f>
        <v>9.791094288003066E-4</v>
      </c>
      <c r="M38" s="21">
        <f ca="1">('edo - bernoulli - edo'!P42/'edo - bernoulli - exata'!M38-1)*100</f>
        <v>1.0463604579680208E-3</v>
      </c>
      <c r="N38" s="21">
        <f ca="1">('edo - bernoulli - edo'!Q42/'edo - bernoulli - exata'!N38-1)*100</f>
        <v>1.1079484556253405E-3</v>
      </c>
      <c r="O38" s="21">
        <f ca="1">('edo - bernoulli - edo'!R42/'edo - bernoulli - exata'!O38-1)*100</f>
        <v>1.1647056636698849E-3</v>
      </c>
      <c r="P38" s="21">
        <f ca="1">('edo - bernoulli - edo'!S42/'edo - bernoulli - exata'!P38-1)*100</f>
        <v>1.21729979136731E-3</v>
      </c>
      <c r="Q38" s="21">
        <f ca="1">('edo - bernoulli - edo'!T42/'edo - bernoulli - exata'!Q38-1)*100</f>
        <v>1.2662734909296702E-3</v>
      </c>
      <c r="R38" s="21">
        <f ca="1">('edo - bernoulli - edo'!U42/'edo - bernoulli - exata'!R38-1)*100</f>
        <v>1.3120729822402311E-3</v>
      </c>
      <c r="S38" s="21">
        <f ca="1">('edo - bernoulli - edo'!V42/'edo - bernoulli - exata'!S38-1)*100</f>
        <v>1.3550691148500604E-3</v>
      </c>
      <c r="T38" s="21">
        <f ca="1">('edo - bernoulli - edo'!W42/'edo - bernoulli - exata'!T38-1)*100</f>
        <v>1.3955730895576224E-3</v>
      </c>
      <c r="U38" s="21">
        <f ca="1">('edo - bernoulli - edo'!X42/'edo - bernoulli - exata'!U38-1)*100</f>
        <v>1.4338483548259617E-3</v>
      </c>
      <c r="V38" s="21">
        <f ca="1">('edo - bernoulli - edo'!Y42/'edo - bernoulli - exata'!V38-1)*100</f>
        <v>1.4701197248001563E-3</v>
      </c>
    </row>
    <row r="39" spans="1:22" x14ac:dyDescent="0.25">
      <c r="A39" s="5">
        <f ca="1">'edo - bernoulli - exata'!A39</f>
        <v>3.0000000000000013</v>
      </c>
      <c r="B39" s="21">
        <f ca="1">('edo - bernoulli - edo'!E43/'edo - bernoulli - exata'!B39-1)*100</f>
        <v>-1.8566480429749177E-4</v>
      </c>
      <c r="C39" s="21">
        <f ca="1">('edo - bernoulli - edo'!F43/'edo - bernoulli - exata'!C39-1)*100</f>
        <v>-1.2118309297148855E-4</v>
      </c>
      <c r="D39" s="21">
        <f ca="1">('edo - bernoulli - edo'!G43/'edo - bernoulli - exata'!D39-1)*100</f>
        <v>7.1049331928918491E-5</v>
      </c>
      <c r="E39" s="21">
        <f ca="1">('edo - bernoulli - edo'!H43/'edo - bernoulli - exata'!E39-1)*100</f>
        <v>2.5376901660045803E-4</v>
      </c>
      <c r="F39" s="21">
        <f ca="1">('edo - bernoulli - edo'!I43/'edo - bernoulli - exata'!F39-1)*100</f>
        <v>4.0556463252183761E-4</v>
      </c>
      <c r="G39" s="21">
        <f ca="1">('edo - bernoulli - edo'!J43/'edo - bernoulli - exata'!G39-1)*100</f>
        <v>5.3195434190911328E-4</v>
      </c>
      <c r="H39" s="21">
        <f ca="1">('edo - bernoulli - edo'!K43/'edo - bernoulli - exata'!H39-1)*100</f>
        <v>6.3905506515471444E-4</v>
      </c>
      <c r="I39" s="21">
        <f ca="1">('edo - bernoulli - edo'!L43/'edo - bernoulli - exata'!I39-1)*100</f>
        <v>7.3142983170182418E-4</v>
      </c>
      <c r="J39" s="21">
        <f ca="1">('edo - bernoulli - edo'!M43/'edo - bernoulli - exata'!J39-1)*100</f>
        <v>8.1233829427596049E-4</v>
      </c>
      <c r="K39" s="21">
        <f ca="1">('edo - bernoulli - edo'!N43/'edo - bernoulli - exata'!K39-1)*100</f>
        <v>8.8412972345519591E-4</v>
      </c>
      <c r="L39" s="21">
        <f ca="1">('edo - bernoulli - edo'!O43/'edo - bernoulli - exata'!L39-1)*100</f>
        <v>9.4853164198660522E-4</v>
      </c>
      <c r="M39" s="21">
        <f ca="1">('edo - bernoulli - edo'!P43/'edo - bernoulli - exata'!M39-1)*100</f>
        <v>1.0068421038900155E-3</v>
      </c>
      <c r="N39" s="21">
        <f ca="1">('edo - bernoulli - edo'!Q43/'edo - bernoulli - exata'!N39-1)*100</f>
        <v>1.0600565303553466E-3</v>
      </c>
      <c r="O39" s="21">
        <f ca="1">('edo - bernoulli - edo'!R43/'edo - bernoulli - exata'!O39-1)*100</f>
        <v>1.1089524753371549E-3</v>
      </c>
      <c r="P39" s="21">
        <f ca="1">('edo - bernoulli - edo'!S43/'edo - bernoulli - exata'!P39-1)*100</f>
        <v>1.1541473986298456E-3</v>
      </c>
      <c r="Q39" s="21">
        <f ca="1">('edo - bernoulli - edo'!T43/'edo - bernoulli - exata'!Q39-1)*100</f>
        <v>1.1961388715286958E-3</v>
      </c>
      <c r="R39" s="21">
        <f ca="1">('edo - bernoulli - edo'!U43/'edo - bernoulli - exata'!R39-1)*100</f>
        <v>1.2353331286130143E-3</v>
      </c>
      <c r="S39" s="21">
        <f ca="1">('edo - bernoulli - edo'!V43/'edo - bernoulli - exata'!S39-1)*100</f>
        <v>1.2720657298403992E-3</v>
      </c>
      <c r="T39" s="21">
        <f ca="1">('edo - bernoulli - edo'!W43/'edo - bernoulli - exata'!T39-1)*100</f>
        <v>1.3066167754427482E-3</v>
      </c>
      <c r="U39" s="21">
        <f ca="1">('edo - bernoulli - edo'!X43/'edo - bernoulli - exata'!U39-1)*100</f>
        <v>1.3392222892871786E-3</v>
      </c>
      <c r="V39" s="21">
        <f ca="1">('edo - bernoulli - edo'!Y43/'edo - bernoulli - exata'!V39-1)*100</f>
        <v>1.3700828599416681E-3</v>
      </c>
    </row>
    <row r="40" spans="1:22" x14ac:dyDescent="0.25">
      <c r="A40" s="5">
        <f ca="1">'edo - bernoulli - exata'!A40</f>
        <v>3.1000000000000014</v>
      </c>
      <c r="B40" s="21">
        <f ca="1">('edo - bernoulli - edo'!E44/'edo - bernoulli - exata'!B40-1)*100</f>
        <v>-1.8542524510278824E-4</v>
      </c>
      <c r="C40" s="21">
        <f ca="1">('edo - bernoulli - edo'!F44/'edo - bernoulli - exata'!C40-1)*100</f>
        <v>-9.0282941500596792E-5</v>
      </c>
      <c r="D40" s="21">
        <f ca="1">('edo - bernoulli - edo'!G44/'edo - bernoulli - exata'!D40-1)*100</f>
        <v>1.1516164390990014E-4</v>
      </c>
      <c r="E40" s="21">
        <f ca="1">('edo - bernoulli - edo'!H44/'edo - bernoulli - exata'!E40-1)*100</f>
        <v>2.9076588674570303E-4</v>
      </c>
      <c r="F40" s="21">
        <f ca="1">('edo - bernoulli - edo'!I44/'edo - bernoulli - exata'!F40-1)*100</f>
        <v>4.3092661485832906E-4</v>
      </c>
      <c r="G40" s="21">
        <f ca="1">('edo - bernoulli - edo'!J44/'edo - bernoulli - exata'!G40-1)*100</f>
        <v>5.451260577382655E-4</v>
      </c>
      <c r="H40" s="21">
        <f ca="1">('edo - bernoulli - edo'!K44/'edo - bernoulli - exata'!H40-1)*100</f>
        <v>6.4057322815003204E-4</v>
      </c>
      <c r="I40" s="21">
        <f ca="1">('edo - bernoulli - edo'!L44/'edo - bernoulli - exata'!I40-1)*100</f>
        <v>7.2211071784344938E-4</v>
      </c>
      <c r="J40" s="21">
        <f ca="1">('edo - bernoulli - edo'!M44/'edo - bernoulli - exata'!J40-1)*100</f>
        <v>7.9302193680685917E-4</v>
      </c>
      <c r="K40" s="21">
        <f ca="1">('edo - bernoulli - edo'!N44/'edo - bernoulli - exata'!K40-1)*100</f>
        <v>8.5559865061757279E-4</v>
      </c>
      <c r="L40" s="21">
        <f ca="1">('edo - bernoulli - edo'!O44/'edo - bernoulli - exata'!L40-1)*100</f>
        <v>9.1148948753172476E-4</v>
      </c>
      <c r="M40" s="21">
        <f ca="1">('edo - bernoulli - edo'!P44/'edo - bernoulli - exata'!M40-1)*100</f>
        <v>9.6191341023565968E-4</v>
      </c>
      <c r="N40" s="21">
        <f ca="1">('edo - bernoulli - edo'!Q44/'edo - bernoulli - exata'!N40-1)*100</f>
        <v>1.0077936661190279E-3</v>
      </c>
      <c r="O40" s="21">
        <f ca="1">('edo - bernoulli - edo'!R44/'edo - bernoulli - exata'!O40-1)*100</f>
        <v>1.0498443455242423E-3</v>
      </c>
      <c r="P40" s="21">
        <f ca="1">('edo - bernoulli - edo'!S44/'edo - bernoulli - exata'!P40-1)*100</f>
        <v>1.0886279531385767E-3</v>
      </c>
      <c r="Q40" s="21">
        <f ca="1">('edo - bernoulli - edo'!T44/'edo - bernoulli - exata'!Q40-1)*100</f>
        <v>1.1245947331817163E-3</v>
      </c>
      <c r="R40" s="21">
        <f ca="1">('edo - bernoulli - edo'!U44/'edo - bernoulli - exata'!R40-1)*100</f>
        <v>1.1581101861724008E-3</v>
      </c>
      <c r="S40" s="21">
        <f ca="1">('edo - bernoulli - edo'!V44/'edo - bernoulli - exata'!S40-1)*100</f>
        <v>1.1894747441454356E-3</v>
      </c>
      <c r="T40" s="21">
        <f ca="1">('edo - bernoulli - edo'!W44/'edo - bernoulli - exata'!T40-1)*100</f>
        <v>1.2189381144001032E-3</v>
      </c>
      <c r="U40" s="21">
        <f ca="1">('edo - bernoulli - edo'!X44/'edo - bernoulli - exata'!U40-1)*100</f>
        <v>1.2467099201440845E-3</v>
      </c>
      <c r="V40" s="21">
        <f ca="1">('edo - bernoulli - edo'!Y44/'edo - bernoulli - exata'!V40-1)*100</f>
        <v>1.2729677196343658E-3</v>
      </c>
    </row>
    <row r="41" spans="1:22" x14ac:dyDescent="0.25">
      <c r="A41" s="5">
        <f ca="1">'edo - bernoulli - exata'!A41</f>
        <v>3.2000000000000015</v>
      </c>
      <c r="B41" s="21">
        <f ca="1">('edo - bernoulli - edo'!E45/'edo - bernoulli - exata'!B41-1)*100</f>
        <v>-1.8427208356985858E-4</v>
      </c>
      <c r="C41" s="21">
        <f ca="1">('edo - bernoulli - edo'!F45/'edo - bernoulli - exata'!C41-1)*100</f>
        <v>-5.7726718538653188E-5</v>
      </c>
      <c r="D41" s="21">
        <f ca="1">('edo - bernoulli - edo'!G45/'edo - bernoulli - exata'!D41-1)*100</f>
        <v>1.5347924671171853E-4</v>
      </c>
      <c r="E41" s="21">
        <f ca="1">('edo - bernoulli - edo'!H45/'edo - bernoulli - exata'!E41-1)*100</f>
        <v>3.1916758005401391E-4</v>
      </c>
      <c r="F41" s="21">
        <f ca="1">('edo - bernoulli - edo'!I45/'edo - bernoulli - exata'!F41-1)*100</f>
        <v>4.4707299236002029E-4</v>
      </c>
      <c r="G41" s="21">
        <f ca="1">('edo - bernoulli - edo'!J45/'edo - bernoulli - exata'!G41-1)*100</f>
        <v>5.4940031786188115E-4</v>
      </c>
      <c r="H41" s="21">
        <f ca="1">('edo - bernoulli - edo'!K45/'edo - bernoulli - exata'!H41-1)*100</f>
        <v>6.339319691406331E-4</v>
      </c>
      <c r="I41" s="21">
        <f ca="1">('edo - bernoulli - edo'!L45/'edo - bernoulli - exata'!I41-1)*100</f>
        <v>7.0555733930888209E-4</v>
      </c>
      <c r="J41" s="21">
        <f ca="1">('edo - bernoulli - edo'!M45/'edo - bernoulli - exata'!J41-1)*100</f>
        <v>7.6747183486158832E-4</v>
      </c>
      <c r="K41" s="21">
        <f ca="1">('edo - bernoulli - edo'!N45/'edo - bernoulli - exata'!K41-1)*100</f>
        <v>8.2185351288899255E-4</v>
      </c>
      <c r="L41" s="21">
        <f ca="1">('edo - bernoulli - edo'!O45/'edo - bernoulli - exata'!L41-1)*100</f>
        <v>8.7024318202733042E-4</v>
      </c>
      <c r="M41" s="21">
        <f ca="1">('edo - bernoulli - edo'!P45/'edo - bernoulli - exata'!M41-1)*100</f>
        <v>9.137658893765277E-4</v>
      </c>
      <c r="N41" s="21">
        <f ca="1">('edo - bernoulli - edo'!Q45/'edo - bernoulli - exata'!N41-1)*100</f>
        <v>9.5326545221929848E-4</v>
      </c>
      <c r="O41" s="21">
        <f ca="1">('edo - bernoulli - edo'!R45/'edo - bernoulli - exata'!O41-1)*100</f>
        <v>9.8938940527038E-4</v>
      </c>
      <c r="P41" s="21">
        <f ca="1">('edo - bernoulli - edo'!S45/'edo - bernoulli - exata'!P41-1)*100</f>
        <v>1.0226445249950089E-3</v>
      </c>
      <c r="Q41" s="21">
        <f ca="1">('edo - bernoulli - edo'!T45/'edo - bernoulli - exata'!Q41-1)*100</f>
        <v>1.0534342427037657E-3</v>
      </c>
      <c r="R41" s="21">
        <f ca="1">('edo - bernoulli - edo'!U45/'edo - bernoulli - exata'!R41-1)*100</f>
        <v>1.0820845362413678E-3</v>
      </c>
      <c r="S41" s="21">
        <f ca="1">('edo - bernoulli - edo'!V45/'edo - bernoulli - exata'!S41-1)*100</f>
        <v>1.1088622748900434E-3</v>
      </c>
      <c r="T41" s="21">
        <f ca="1">('edo - bernoulli - edo'!W45/'edo - bernoulli - exata'!T41-1)*100</f>
        <v>1.133988491108795E-3</v>
      </c>
      <c r="U41" s="21">
        <f ca="1">('edo - bernoulli - edo'!X45/'edo - bernoulli - exata'!U41-1)*100</f>
        <v>1.1576481613984058E-3</v>
      </c>
      <c r="V41" s="21">
        <f ca="1">('edo - bernoulli - edo'!Y45/'edo - bernoulli - exata'!V41-1)*100</f>
        <v>1.1799975353277148E-3</v>
      </c>
    </row>
    <row r="42" spans="1:22" x14ac:dyDescent="0.25">
      <c r="A42" s="5">
        <f ca="1">'edo - bernoulli - exata'!A42</f>
        <v>3.3000000000000016</v>
      </c>
      <c r="B42" s="21">
        <f ca="1">('edo - bernoulli - edo'!E46/'edo - bernoulli - exata'!B42-1)*100</f>
        <v>-1.8220855371176015E-4</v>
      </c>
      <c r="C42" s="21">
        <f ca="1">('edo - bernoulli - edo'!F46/'edo - bernoulli - exata'!C42-1)*100</f>
        <v>-2.5101366141200288E-5</v>
      </c>
      <c r="D42" s="21">
        <f ca="1">('edo - bernoulli - edo'!G46/'edo - bernoulli - exata'!D42-1)*100</f>
        <v>1.8568579907007887E-4</v>
      </c>
      <c r="E42" s="21">
        <f ca="1">('edo - bernoulli - edo'!H46/'edo - bernoulli - exata'!E42-1)*100</f>
        <v>3.3975767352867337E-4</v>
      </c>
      <c r="F42" s="21">
        <f ca="1">('edo - bernoulli - edo'!I46/'edo - bernoulli - exata'!F42-1)*100</f>
        <v>4.5539860571430779E-4</v>
      </c>
      <c r="G42" s="21">
        <f ca="1">('edo - bernoulli - edo'!J46/'edo - bernoulli - exata'!G42-1)*100</f>
        <v>5.4648906278043086E-4</v>
      </c>
      <c r="H42" s="21">
        <f ca="1">('edo - bernoulli - edo'!K46/'edo - bernoulli - exata'!H42-1)*100</f>
        <v>6.2099137989601871E-4</v>
      </c>
      <c r="I42" s="21">
        <f ca="1">('edo - bernoulli - edo'!L46/'edo - bernoulli - exata'!I42-1)*100</f>
        <v>6.8367836438820717E-4</v>
      </c>
      <c r="J42" s="21">
        <f ca="1">('edo - bernoulli - edo'!M46/'edo - bernoulli - exata'!J42-1)*100</f>
        <v>7.3758478202901046E-4</v>
      </c>
      <c r="K42" s="21">
        <f ca="1">('edo - bernoulli - edo'!N46/'edo - bernoulli - exata'!K42-1)*100</f>
        <v>7.8474170541742438E-4</v>
      </c>
      <c r="L42" s="21">
        <f ca="1">('edo - bernoulli - edo'!O46/'edo - bernoulli - exata'!L42-1)*100</f>
        <v>8.2656714610607196E-4</v>
      </c>
      <c r="M42" s="21">
        <f ca="1">('edo - bernoulli - edo'!P46/'edo - bernoulli - exata'!M42-1)*100</f>
        <v>8.6408617265831822E-4</v>
      </c>
      <c r="N42" s="21">
        <f ca="1">('edo - bernoulli - edo'!Q46/'edo - bernoulli - exata'!N42-1)*100</f>
        <v>8.9806156702287865E-4</v>
      </c>
      <c r="O42" s="21">
        <f ca="1">('edo - bernoulli - edo'!R46/'edo - bernoulli - exata'!O42-1)*100</f>
        <v>9.2907493858263024E-4</v>
      </c>
      <c r="P42" s="21">
        <f ca="1">('edo - bernoulli - edo'!S46/'edo - bernoulli - exata'!P42-1)*100</f>
        <v>9.5757905471671734E-4</v>
      </c>
      <c r="Q42" s="21">
        <f ca="1">('edo - bernoulli - edo'!T46/'edo - bernoulli - exata'!Q42-1)*100</f>
        <v>9.8393273586516727E-4</v>
      </c>
      <c r="R42" s="21">
        <f ca="1">('edo - bernoulli - edo'!U46/'edo - bernoulli - exata'!R42-1)*100</f>
        <v>1.0084247992869777E-3</v>
      </c>
      <c r="S42" s="21">
        <f ca="1">('edo - bernoulli - edo'!V46/'edo - bernoulli - exata'!S42-1)*100</f>
        <v>1.0312909028975525E-3</v>
      </c>
      <c r="T42" s="21">
        <f ca="1">('edo - bernoulli - edo'!W46/'edo - bernoulli - exata'!T42-1)*100</f>
        <v>1.052725657291198E-3</v>
      </c>
      <c r="U42" s="21">
        <f ca="1">('edo - bernoulli - edo'!X46/'edo - bernoulli - exata'!U42-1)*100</f>
        <v>1.0728915051272381E-3</v>
      </c>
      <c r="V42" s="21">
        <f ca="1">('edo - bernoulli - edo'!Y46/'edo - bernoulli - exata'!V42-1)*100</f>
        <v>1.0919253445651478E-3</v>
      </c>
    </row>
    <row r="43" spans="1:22" x14ac:dyDescent="0.25">
      <c r="A43" s="5">
        <f ca="1">'edo - bernoulli - exata'!A43</f>
        <v>3.4000000000000017</v>
      </c>
      <c r="B43" s="21">
        <f ca="1">('edo - bernoulli - edo'!E47/'edo - bernoulli - exata'!B43-1)*100</f>
        <v>-1.7926412759772248E-4</v>
      </c>
      <c r="C43" s="21">
        <f ca="1">('edo - bernoulli - edo'!F47/'edo - bernoulli - exata'!C43-1)*100</f>
        <v>6.3088784640896733E-6</v>
      </c>
      <c r="D43" s="21">
        <f ca="1">('edo - bernoulli - edo'!G47/'edo - bernoulli - exata'!D43-1)*100</f>
        <v>2.1185337166773621E-4</v>
      </c>
      <c r="E43" s="21">
        <f ca="1">('edo - bernoulli - edo'!H47/'edo - bernoulli - exata'!E43-1)*100</f>
        <v>3.5346810878245094E-4</v>
      </c>
      <c r="F43" s="21">
        <f ca="1">('edo - bernoulli - edo'!I47/'edo - bernoulli - exata'!F43-1)*100</f>
        <v>4.5725093424930918E-4</v>
      </c>
      <c r="G43" s="21">
        <f ca="1">('edo - bernoulli - edo'!J47/'edo - bernoulli - exata'!G43-1)*100</f>
        <v>5.3792207463931874E-4</v>
      </c>
      <c r="H43" s="21">
        <f ca="1">('edo - bernoulli - edo'!K47/'edo - bernoulli - exata'!H43-1)*100</f>
        <v>6.0333926097388968E-4</v>
      </c>
      <c r="I43" s="21">
        <f ca="1">('edo - bernoulli - edo'!L47/'edo - bernoulli - exata'!I43-1)*100</f>
        <v>6.5805056475021217E-4</v>
      </c>
      <c r="J43" s="21">
        <f ca="1">('edo - bernoulli - edo'!M47/'edo - bernoulli - exata'!J43-1)*100</f>
        <v>7.0488693941772596E-4</v>
      </c>
      <c r="K43" s="21">
        <f ca="1">('edo - bernoulli - edo'!N47/'edo - bernoulli - exata'!K43-1)*100</f>
        <v>7.4571574206760971E-4</v>
      </c>
      <c r="L43" s="21">
        <f ca="1">('edo - bernoulli - edo'!O47/'edo - bernoulli - exata'!L43-1)*100</f>
        <v>7.8182690468331373E-4</v>
      </c>
      <c r="M43" s="21">
        <f ca="1">('edo - bernoulli - edo'!P47/'edo - bernoulli - exata'!M43-1)*100</f>
        <v>8.1414532990820021E-4</v>
      </c>
      <c r="N43" s="21">
        <f ca="1">('edo - bernoulli - edo'!Q47/'edo - bernoulli - exata'!N43-1)*100</f>
        <v>8.4335481116415423E-4</v>
      </c>
      <c r="O43" s="21">
        <f ca="1">('edo - bernoulli - edo'!R47/'edo - bernoulli - exata'!O43-1)*100</f>
        <v>8.6997397390486952E-4</v>
      </c>
      <c r="P43" s="21">
        <f ca="1">('edo - bernoulli - edo'!S47/'edo - bernoulli - exata'!P43-1)*100</f>
        <v>8.9440477279989494E-4</v>
      </c>
      <c r="Q43" s="21">
        <f ca="1">('edo - bernoulli - edo'!T47/'edo - bernoulli - exata'!Q43-1)*100</f>
        <v>9.1696456621104261E-4</v>
      </c>
      <c r="R43" s="21">
        <f ca="1">('edo - bernoulli - edo'!U47/'edo - bernoulli - exata'!R43-1)*100</f>
        <v>9.3790797488502164E-4</v>
      </c>
      <c r="S43" s="21">
        <f ca="1">('edo - bernoulli - edo'!V47/'edo - bernoulli - exata'!S43-1)*100</f>
        <v>9.5744217123439057E-4</v>
      </c>
      <c r="T43" s="21">
        <f ca="1">('edo - bernoulli - edo'!W47/'edo - bernoulli - exata'!T43-1)*100</f>
        <v>9.7573781958626427E-4</v>
      </c>
      <c r="U43" s="21">
        <f ca="1">('edo - bernoulli - edo'!X47/'edo - bernoulli - exata'!U43-1)*100</f>
        <v>9.9293706241621038E-4</v>
      </c>
      <c r="V43" s="21">
        <f ca="1">('edo - bernoulli - edo'!Y47/'edo - bernoulli - exata'!V43-1)*100</f>
        <v>1.0091594552674721E-3</v>
      </c>
    </row>
    <row r="44" spans="1:22" x14ac:dyDescent="0.25">
      <c r="A44" s="5">
        <f ca="1">'edo - bernoulli - exata'!A44</f>
        <v>3.5000000000000018</v>
      </c>
      <c r="B44" s="21">
        <f ca="1">('edo - bernoulli - edo'!E48/'edo - bernoulli - exata'!B44-1)*100</f>
        <v>-1.7549727531207537E-4</v>
      </c>
      <c r="C44" s="21">
        <f ca="1">('edo - bernoulli - edo'!F48/'edo - bernoulli - exata'!C44-1)*100</f>
        <v>3.5552883193012974E-5</v>
      </c>
      <c r="D44" s="21">
        <f ca="1">('edo - bernoulli - edo'!G48/'edo - bernoulli - exata'!D44-1)*100</f>
        <v>2.3231809016532878E-4</v>
      </c>
      <c r="E44" s="21">
        <f ca="1">('edo - bernoulli - edo'!H48/'edo - bernoulli - exata'!E44-1)*100</f>
        <v>3.6127486082726534E-4</v>
      </c>
      <c r="F44" s="21">
        <f ca="1">('edo - bernoulli - edo'!I48/'edo - bernoulli - exata'!F44-1)*100</f>
        <v>4.5386946225800529E-4</v>
      </c>
      <c r="G44" s="21">
        <f ca="1">('edo - bernoulli - edo'!J48/'edo - bernoulli - exata'!G44-1)*100</f>
        <v>5.2502516425523282E-4</v>
      </c>
      <c r="H44" s="21">
        <f ca="1">('edo - bernoulli - edo'!K48/'edo - bernoulli - exata'!H44-1)*100</f>
        <v>5.8229981190205393E-4</v>
      </c>
      <c r="I44" s="21">
        <f ca="1">('edo - bernoulli - edo'!L48/'edo - bernoulli - exata'!I44-1)*100</f>
        <v>6.2995076317573506E-4</v>
      </c>
      <c r="J44" s="21">
        <f ca="1">('edo - bernoulli - edo'!M48/'edo - bernoulli - exata'!J44-1)*100</f>
        <v>6.705833906828218E-4</v>
      </c>
      <c r="K44" s="21">
        <f ca="1">('edo - bernoulli - edo'!N48/'edo - bernoulli - exata'!K44-1)*100</f>
        <v>7.058961219330584E-4</v>
      </c>
      <c r="L44" s="21">
        <f ca="1">('edo - bernoulli - edo'!O48/'edo - bernoulli - exata'!L44-1)*100</f>
        <v>7.3705200314133634E-4</v>
      </c>
      <c r="M44" s="21">
        <f ca="1">('edo - bernoulli - edo'!P48/'edo - bernoulli - exata'!M44-1)*100</f>
        <v>7.6487934075331054E-4</v>
      </c>
      <c r="N44" s="21">
        <f ca="1">('edo - bernoulli - edo'!Q48/'edo - bernoulli - exata'!N44-1)*100</f>
        <v>7.8998720884904117E-4</v>
      </c>
      <c r="O44" s="21">
        <f ca="1">('edo - bernoulli - edo'!R48/'edo - bernoulli - exata'!O44-1)*100</f>
        <v>8.1283551374156104E-4</v>
      </c>
      <c r="P44" s="21">
        <f ca="1">('edo - bernoulli - edo'!S48/'edo - bernoulli - exata'!P44-1)*100</f>
        <v>8.3377937620809917E-4</v>
      </c>
      <c r="Q44" s="21">
        <f ca="1">('edo - bernoulli - edo'!T48/'edo - bernoulli - exata'!Q44-1)*100</f>
        <v>8.5309828994351022E-4</v>
      </c>
      <c r="R44" s="21">
        <f ca="1">('edo - bernoulli - edo'!U48/'edo - bernoulli - exata'!R44-1)*100</f>
        <v>8.7101588372995309E-4</v>
      </c>
      <c r="S44" s="21">
        <f ca="1">('edo - bernoulli - edo'!V48/'edo - bernoulli - exata'!S44-1)*100</f>
        <v>8.8771367903195397E-4</v>
      </c>
      <c r="T44" s="21">
        <f ca="1">('edo - bernoulli - edo'!W48/'edo - bernoulli - exata'!T44-1)*100</f>
        <v>9.0334089488663949E-4</v>
      </c>
      <c r="U44" s="21">
        <f ca="1">('edo - bernoulli - edo'!X48/'edo - bernoulli - exata'!U44-1)*100</f>
        <v>9.1802157975440224E-4</v>
      </c>
      <c r="V44" s="21">
        <f ca="1">('edo - bernoulli - edo'!Y48/'edo - bernoulli - exata'!V44-1)*100</f>
        <v>9.3185989566979543E-4</v>
      </c>
    </row>
    <row r="45" spans="1:22" x14ac:dyDescent="0.25">
      <c r="A45" s="5">
        <f ca="1">'edo - bernoulli - exata'!A45</f>
        <v>3.6000000000000019</v>
      </c>
      <c r="B45" s="21">
        <f ca="1">('edo - bernoulli - edo'!E49/'edo - bernoulli - exata'!B45-1)*100</f>
        <v>-1.7099692176669734E-4</v>
      </c>
      <c r="C45" s="21">
        <f ca="1">('edo - bernoulli - edo'!F49/'edo - bernoulli - exata'!C45-1)*100</f>
        <v>6.1996914135775683E-5</v>
      </c>
      <c r="D45" s="21">
        <f ca="1">('edo - bernoulli - edo'!G49/'edo - bernoulli - exata'!D45-1)*100</f>
        <v>2.4757784891082935E-4</v>
      </c>
      <c r="E45" s="21">
        <f ca="1">('edo - bernoulli - edo'!H49/'edo - bernoulli - exata'!E45-1)*100</f>
        <v>3.6412907959970653E-4</v>
      </c>
      <c r="F45" s="21">
        <f ca="1">('edo - bernoulli - edo'!I49/'edo - bernoulli - exata'!F45-1)*100</f>
        <v>4.4635566742723398E-4</v>
      </c>
      <c r="G45" s="21">
        <f ca="1">('edo - bernoulli - edo'!J49/'edo - bernoulli - exata'!G45-1)*100</f>
        <v>5.0892051979278818E-4</v>
      </c>
      <c r="H45" s="21">
        <f ca="1">('edo - bernoulli - edo'!K49/'edo - bernoulli - exata'!H45-1)*100</f>
        <v>5.5895624855306636E-4</v>
      </c>
      <c r="I45" s="21">
        <f ca="1">('edo - bernoulli - edo'!L49/'edo - bernoulli - exata'!I45-1)*100</f>
        <v>6.0039459621741287E-4</v>
      </c>
      <c r="J45" s="21">
        <f ca="1">('edo - bernoulli - edo'!M49/'edo - bernoulli - exata'!J45-1)*100</f>
        <v>6.356085986203297E-4</v>
      </c>
      <c r="K45" s="21">
        <f ca="1">('edo - bernoulli - edo'!N49/'edo - bernoulli - exata'!K45-1)*100</f>
        <v>6.6613024409800659E-4</v>
      </c>
      <c r="L45" s="21">
        <f ca="1">('edo - bernoulli - edo'!O49/'edo - bernoulli - exata'!L45-1)*100</f>
        <v>6.9300100322688962E-4</v>
      </c>
      <c r="M45" s="21">
        <f ca="1">('edo - bernoulli - edo'!P49/'edo - bernoulli - exata'!M45-1)*100</f>
        <v>7.1695840206942307E-4</v>
      </c>
      <c r="N45" s="21">
        <f ca="1">('edo - bernoulli - edo'!Q49/'edo - bernoulli - exata'!N45-1)*100</f>
        <v>7.3854229090120072E-4</v>
      </c>
      <c r="O45" s="21">
        <f ca="1">('edo - bernoulli - edo'!R49/'edo - bernoulli - exata'!O45-1)*100</f>
        <v>7.5815877322860104E-4</v>
      </c>
      <c r="P45" s="21">
        <f ca="1">('edo - bernoulli - edo'!S49/'edo - bernoulli - exata'!P45-1)*100</f>
        <v>7.761204339429284E-4</v>
      </c>
      <c r="Q45" s="21">
        <f ca="1">('edo - bernoulli - edo'!T49/'edo - bernoulli - exata'!Q45-1)*100</f>
        <v>7.9267262449445042E-4</v>
      </c>
      <c r="R45" s="21">
        <f ca="1">('edo - bernoulli - edo'!U49/'edo - bernoulli - exata'!R45-1)*100</f>
        <v>8.0801119639595242E-4</v>
      </c>
      <c r="S45" s="21">
        <f ca="1">('edo - bernoulli - edo'!V49/'edo - bernoulli - exata'!S45-1)*100</f>
        <v>8.2229479865247868E-4</v>
      </c>
      <c r="T45" s="21">
        <f ca="1">('edo - bernoulli - edo'!W49/'edo - bernoulli - exata'!T45-1)*100</f>
        <v>8.3565361184145814E-4</v>
      </c>
      <c r="U45" s="21">
        <f ca="1">('edo - bernoulli - edo'!X49/'edo - bernoulli - exata'!U45-1)*100</f>
        <v>8.4819568308969195E-4</v>
      </c>
      <c r="V45" s="21">
        <f ca="1">('edo - bernoulli - edo'!Y49/'edo - bernoulli - exata'!V45-1)*100</f>
        <v>8.6001160699566981E-4</v>
      </c>
    </row>
    <row r="46" spans="1:22" x14ac:dyDescent="0.25">
      <c r="A46" s="5">
        <f ca="1">'edo - bernoulli - exata'!A46</f>
        <v>3.700000000000002</v>
      </c>
      <c r="B46" s="21">
        <f ca="1">('edo - bernoulli - edo'!E50/'edo - bernoulli - exata'!B46-1)*100</f>
        <v>-1.6588217119917203E-4</v>
      </c>
      <c r="C46" s="21">
        <f ca="1">('edo - bernoulli - edo'!F50/'edo - bernoulli - exata'!C46-1)*100</f>
        <v>8.5282458628377356E-5</v>
      </c>
      <c r="D46" s="21">
        <f ca="1">('edo - bernoulli - edo'!G50/'edo - bernoulli - exata'!D46-1)*100</f>
        <v>2.5821390101654629E-4</v>
      </c>
      <c r="E46" s="21">
        <f ca="1">('edo - bernoulli - edo'!H50/'edo - bernoulli - exata'!E46-1)*100</f>
        <v>3.6291536602561791E-4</v>
      </c>
      <c r="F46" s="21">
        <f ca="1">('edo - bernoulli - edo'!I50/'edo - bernoulli - exata'!F46-1)*100</f>
        <v>4.3566334961830933E-4</v>
      </c>
      <c r="G46" s="21">
        <f ca="1">('edo - bernoulli - edo'!J50/'edo - bernoulli - exata'!G46-1)*100</f>
        <v>4.9053980961666355E-4</v>
      </c>
      <c r="H46" s="21">
        <f ca="1">('edo - bernoulli - edo'!K50/'edo - bernoulli - exata'!H46-1)*100</f>
        <v>5.3417963830071358E-4</v>
      </c>
      <c r="I46" s="21">
        <f ca="1">('edo - bernoulli - edo'!L50/'edo - bernoulli - exata'!I46-1)*100</f>
        <v>5.7017620185284557E-4</v>
      </c>
      <c r="J46" s="21">
        <f ca="1">('edo - bernoulli - edo'!M50/'edo - bernoulli - exata'!J46-1)*100</f>
        <v>6.0067357463555737E-4</v>
      </c>
      <c r="K46" s="21">
        <f ca="1">('edo - bernoulli - edo'!N50/'edo - bernoulli - exata'!K46-1)*100</f>
        <v>6.2704469716567957E-4</v>
      </c>
      <c r="L46" s="21">
        <f ca="1">('edo - bernoulli - edo'!O50/'edo - bernoulli - exata'!L46-1)*100</f>
        <v>6.5021720527802529E-4</v>
      </c>
      <c r="M46" s="21">
        <f ca="1">('edo - bernoulli - edo'!P50/'edo - bernoulli - exata'!M46-1)*100</f>
        <v>6.7084485646518033E-4</v>
      </c>
      <c r="N46" s="21">
        <f ca="1">('edo - bernoulli - edo'!Q50/'edo - bernoulli - exata'!N46-1)*100</f>
        <v>6.8940432444986044E-4</v>
      </c>
      <c r="O46" s="21">
        <f ca="1">('edo - bernoulli - edo'!R50/'edo - bernoulli - exata'!O46-1)*100</f>
        <v>7.0625303363325287E-4</v>
      </c>
      <c r="P46" s="21">
        <f ca="1">('edo - bernoulli - edo'!S50/'edo - bernoulli - exata'!P46-1)*100</f>
        <v>7.2166535225459683E-4</v>
      </c>
      <c r="Q46" s="21">
        <f ca="1">('edo - bernoulli - edo'!T50/'edo - bernoulli - exata'!Q46-1)*100</f>
        <v>7.3585613376003778E-4</v>
      </c>
      <c r="R46" s="21">
        <f ca="1">('edo - bernoulli - edo'!U50/'edo - bernoulli - exata'!R46-1)*100</f>
        <v>7.4899653816906664E-4</v>
      </c>
      <c r="S46" s="21">
        <f ca="1">('edo - bernoulli - edo'!V50/'edo - bernoulli - exata'!S46-1)*100</f>
        <v>7.6122496739383649E-4</v>
      </c>
      <c r="T46" s="21">
        <f ca="1">('edo - bernoulli - edo'!W50/'edo - bernoulli - exata'!T46-1)*100</f>
        <v>7.7265481006616454E-4</v>
      </c>
      <c r="U46" s="21">
        <f ca="1">('edo - bernoulli - edo'!X50/'edo - bernoulli - exata'!U46-1)*100</f>
        <v>7.8338004445566156E-4</v>
      </c>
      <c r="V46" s="21">
        <f ca="1">('edo - bernoulli - edo'!Y50/'edo - bernoulli - exata'!V46-1)*100</f>
        <v>7.9347936963181098E-4</v>
      </c>
    </row>
    <row r="47" spans="1:22" x14ac:dyDescent="0.25">
      <c r="A47" s="5">
        <f ca="1">'edo - bernoulli - exata'!A47</f>
        <v>3.800000000000002</v>
      </c>
      <c r="B47" s="21">
        <f ca="1">('edo - bernoulli - edo'!E51/'edo - bernoulli - exata'!B47-1)*100</f>
        <v>-1.6029980315357406E-4</v>
      </c>
      <c r="C47" s="21">
        <f ca="1">('edo - bernoulli - edo'!F51/'edo - bernoulli - exata'!C47-1)*100</f>
        <v>1.0527287190864598E-4</v>
      </c>
      <c r="D47" s="21">
        <f ca="1">('edo - bernoulli - edo'!G51/'edo - bernoulli - exata'!D47-1)*100</f>
        <v>2.6483429143020487E-4</v>
      </c>
      <c r="E47" s="21">
        <f ca="1">('edo - bernoulli - edo'!H51/'edo - bernoulli - exata'!E47-1)*100</f>
        <v>3.5842962831100778E-4</v>
      </c>
      <c r="F47" s="21">
        <f ca="1">('edo - bernoulli - edo'!I51/'edo - bernoulli - exata'!F47-1)*100</f>
        <v>4.2260164294649627E-4</v>
      </c>
      <c r="G47" s="21">
        <f ca="1">('edo - bernoulli - edo'!J51/'edo - bernoulli - exata'!G47-1)*100</f>
        <v>4.7064371864191656E-4</v>
      </c>
      <c r="H47" s="21">
        <f ca="1">('edo - bernoulli - edo'!K51/'edo - bernoulli - exata'!H47-1)*100</f>
        <v>5.0865921572551542E-4</v>
      </c>
      <c r="I47" s="21">
        <f ca="1">('edo - bernoulli - edo'!L51/'edo - bernoulli - exata'!I47-1)*100</f>
        <v>5.3990557684624463E-4</v>
      </c>
      <c r="J47" s="21">
        <f ca="1">('edo - bernoulli - edo'!M51/'edo - bernoulli - exata'!J47-1)*100</f>
        <v>5.6630780180810802E-4</v>
      </c>
      <c r="K47" s="21">
        <f ca="1">('edo - bernoulli - edo'!N51/'edo - bernoulli - exata'!K47-1)*100</f>
        <v>5.8909006386276275E-4</v>
      </c>
      <c r="L47" s="21">
        <f ca="1">('edo - bernoulli - edo'!O51/'edo - bernoulli - exata'!L47-1)*100</f>
        <v>6.090751645260184E-4</v>
      </c>
      <c r="M47" s="21">
        <f ca="1">('edo - bernoulli - edo'!P51/'edo - bernoulli - exata'!M47-1)*100</f>
        <v>6.2684058967921175E-4</v>
      </c>
      <c r="N47" s="21">
        <f ca="1">('edo - bernoulli - edo'!Q51/'edo - bernoulli - exata'!N47-1)*100</f>
        <v>6.4280599212374057E-4</v>
      </c>
      <c r="O47" s="21">
        <f ca="1">('edo - bernoulli - edo'!R51/'edo - bernoulli - exata'!O47-1)*100</f>
        <v>6.5728516509544477E-4</v>
      </c>
      <c r="P47" s="21">
        <f ca="1">('edo - bernoulli - edo'!S51/'edo - bernoulli - exata'!P47-1)*100</f>
        <v>6.7051841750043195E-4</v>
      </c>
      <c r="Q47" s="21">
        <f ca="1">('edo - bernoulli - edo'!T51/'edo - bernoulli - exata'!Q47-1)*100</f>
        <v>6.8269355100181173E-4</v>
      </c>
      <c r="R47" s="21">
        <f ca="1">('edo - bernoulli - edo'!U51/'edo - bernoulli - exata'!R47-1)*100</f>
        <v>6.9395991213472286E-4</v>
      </c>
      <c r="S47" s="21">
        <f ca="1">('edo - bernoulli - edo'!V51/'edo - bernoulli - exata'!S47-1)*100</f>
        <v>7.0443807755893317E-4</v>
      </c>
      <c r="T47" s="21">
        <f ca="1">('edo - bernoulli - edo'!W51/'edo - bernoulli - exata'!T47-1)*100</f>
        <v>7.1422669680742956E-4</v>
      </c>
      <c r="U47" s="21">
        <f ca="1">('edo - bernoulli - edo'!X51/'edo - bernoulli - exata'!U47-1)*100</f>
        <v>7.2340743191290358E-4</v>
      </c>
      <c r="V47" s="21">
        <f ca="1">('edo - bernoulli - edo'!Y51/'edo - bernoulli - exata'!V47-1)*100</f>
        <v>7.3204859278863665E-4</v>
      </c>
    </row>
    <row r="48" spans="1:22" x14ac:dyDescent="0.25">
      <c r="A48" s="5">
        <f ca="1">'edo - bernoulli - exata'!A48</f>
        <v>3.9000000000000021</v>
      </c>
      <c r="B48" s="21">
        <f ca="1">('edo - bernoulli - edo'!E52/'edo - bernoulli - exata'!B48-1)*100</f>
        <v>-1.5441897976975483E-4</v>
      </c>
      <c r="C48" s="21">
        <f ca="1">('edo - bernoulli - edo'!F52/'edo - bernoulli - exata'!C48-1)*100</f>
        <v>1.2199913879129554E-4</v>
      </c>
      <c r="D48" s="21">
        <f ca="1">('edo - bernoulli - edo'!G52/'edo - bernoulli - exata'!D48-1)*100</f>
        <v>2.6803546229192676E-4</v>
      </c>
      <c r="E48" s="21">
        <f ca="1">('edo - bernoulli - edo'!H52/'edo - bernoulli - exata'!E48-1)*100</f>
        <v>3.513703467072915E-4</v>
      </c>
      <c r="F48" s="21">
        <f ca="1">('edo - bernoulli - edo'!I52/'edo - bernoulli - exata'!F48-1)*100</f>
        <v>4.0784530266346763E-4</v>
      </c>
      <c r="G48" s="21">
        <f ca="1">('edo - bernoulli - edo'!J52/'edo - bernoulli - exata'!G48-1)*100</f>
        <v>4.4984387799207326E-4</v>
      </c>
      <c r="H48" s="21">
        <f ca="1">('edo - bernoulli - edo'!K52/'edo - bernoulli - exata'!H48-1)*100</f>
        <v>4.8293146250877328E-4</v>
      </c>
      <c r="I48" s="21">
        <f ca="1">('edo - bernoulli - edo'!L52/'edo - bernoulli - exata'!I48-1)*100</f>
        <v>5.1004202819004973E-4</v>
      </c>
      <c r="J48" s="21">
        <f ca="1">('edo - bernoulli - edo'!M52/'edo - bernoulli - exata'!J48-1)*100</f>
        <v>5.328952791927577E-4</v>
      </c>
      <c r="K48" s="21">
        <f ca="1">('edo - bernoulli - edo'!N52/'edo - bernoulli - exata'!K48-1)*100</f>
        <v>5.5257838658118175E-4</v>
      </c>
      <c r="L48" s="21">
        <f ca="1">('edo - bernoulli - edo'!O52/'edo - bernoulli - exata'!L48-1)*100</f>
        <v>5.6981878264750208E-4</v>
      </c>
      <c r="M48" s="21">
        <f ca="1">('edo - bernoulli - edo'!P52/'edo - bernoulli - exata'!M48-1)*100</f>
        <v>5.8512519893749726E-4</v>
      </c>
      <c r="N48" s="21">
        <f ca="1">('edo - bernoulli - edo'!Q52/'edo - bernoulli - exata'!N48-1)*100</f>
        <v>5.9886625130012305E-4</v>
      </c>
      <c r="O48" s="21">
        <f ca="1">('edo - bernoulli - edo'!R52/'edo - bernoulli - exata'!O48-1)*100</f>
        <v>6.1131690305415987E-4</v>
      </c>
      <c r="P48" s="21">
        <f ca="1">('edo - bernoulli - edo'!S52/'edo - bernoulli - exata'!P48-1)*100</f>
        <v>6.2268729377201737E-4</v>
      </c>
      <c r="Q48" s="21">
        <f ca="1">('edo - bernoulli - edo'!T52/'edo - bernoulli - exata'!Q48-1)*100</f>
        <v>6.3314135732017718E-4</v>
      </c>
      <c r="R48" s="21">
        <f ca="1">('edo - bernoulli - edo'!U52/'edo - bernoulli - exata'!R48-1)*100</f>
        <v>6.4280925882176376E-4</v>
      </c>
      <c r="S48" s="21">
        <f ca="1">('edo - bernoulli - edo'!V52/'edo - bernoulli - exata'!S48-1)*100</f>
        <v>6.5179594597175594E-4</v>
      </c>
      <c r="T48" s="21">
        <f ca="1">('edo - bernoulli - edo'!W52/'edo - bernoulli - exata'!T48-1)*100</f>
        <v>6.6018717799209981E-4</v>
      </c>
      <c r="U48" s="21">
        <f ca="1">('edo - bernoulli - edo'!X52/'edo - bernoulli - exata'!U48-1)*100</f>
        <v>6.6805386975676839E-4</v>
      </c>
      <c r="V48" s="21">
        <f ca="1">('edo - bernoulli - edo'!Y52/'edo - bernoulli - exata'!V48-1)*100</f>
        <v>6.7545528352752626E-4</v>
      </c>
    </row>
    <row r="49" spans="1:22" x14ac:dyDescent="0.25">
      <c r="A49" s="5">
        <f ca="1">'edo - bernoulli - exata'!A49</f>
        <v>4.0000000000000018</v>
      </c>
      <c r="B49" s="21">
        <f ca="1">('edo - bernoulli - edo'!E53/'edo - bernoulli - exata'!B49-1)*100</f>
        <v>-1.4842264793868409E-4</v>
      </c>
      <c r="C49" s="21">
        <f ca="1">('edo - bernoulli - edo'!F53/'edo - bernoulli - exata'!C49-1)*100</f>
        <v>1.3561071792178581E-4</v>
      </c>
      <c r="D49" s="21">
        <f ca="1">('edo - bernoulli - edo'!G53/'edo - bernoulli - exata'!D49-1)*100</f>
        <v>2.6837802493684393E-4</v>
      </c>
      <c r="E49" s="21">
        <f ca="1">('edo - bernoulli - edo'!H53/'edo - bernoulli - exata'!E49-1)*100</f>
        <v>3.4233853141163451E-4</v>
      </c>
      <c r="F49" s="21">
        <f ca="1">('edo - bernoulli - edo'!I53/'edo - bernoulli - exata'!F49-1)*100</f>
        <v>3.9194861687352756E-4</v>
      </c>
      <c r="G49" s="21">
        <f ca="1">('edo - bernoulli - edo'!J53/'edo - bernoulli - exata'!G49-1)*100</f>
        <v>4.2862474358695835E-4</v>
      </c>
      <c r="H49" s="21">
        <f ca="1">('edo - bernoulli - edo'!K53/'edo - bernoulli - exata'!H49-1)*100</f>
        <v>4.574065481932621E-4</v>
      </c>
      <c r="I49" s="21">
        <f ca="1">('edo - bernoulli - edo'!L53/'edo - bernoulli - exata'!I49-1)*100</f>
        <v>4.8092315665382301E-4</v>
      </c>
      <c r="J49" s="21">
        <f ca="1">('edo - bernoulli - edo'!M53/'edo - bernoulli - exata'!J49-1)*100</f>
        <v>5.0070480031028097E-4</v>
      </c>
      <c r="K49" s="21">
        <f ca="1">('edo - bernoulli - edo'!N53/'edo - bernoulli - exata'!K49-1)*100</f>
        <v>5.1771393985156067E-4</v>
      </c>
      <c r="L49" s="21">
        <f ca="1">('edo - bernoulli - edo'!O53/'edo - bernoulli - exata'!L49-1)*100</f>
        <v>5.3259204841893393E-4</v>
      </c>
      <c r="M49" s="21">
        <f ca="1">('edo - bernoulli - edo'!P53/'edo - bernoulli - exata'!M49-1)*100</f>
        <v>5.457863486713066E-4</v>
      </c>
      <c r="N49" s="21">
        <f ca="1">('edo - bernoulli - edo'!Q53/'edo - bernoulli - exata'!N49-1)*100</f>
        <v>5.5762006536674846E-4</v>
      </c>
      <c r="O49" s="21">
        <f ca="1">('edo - bernoulli - edo'!R53/'edo - bernoulli - exata'!O49-1)*100</f>
        <v>5.683337911399633E-4</v>
      </c>
      <c r="P49" s="21">
        <f ca="1">('edo - bernoulli - edo'!S53/'edo - bernoulli - exata'!P49-1)*100</f>
        <v>5.7811106601857176E-4</v>
      </c>
      <c r="Q49" s="21">
        <f ca="1">('edo - bernoulli - edo'!T53/'edo - bernoulli - exata'!Q49-1)*100</f>
        <v>5.8709485002417239E-4</v>
      </c>
      <c r="R49" s="21">
        <f ca="1">('edo - bernoulli - edo'!U53/'edo - bernoulli - exata'!R49-1)*100</f>
        <v>5.9539850048029308E-4</v>
      </c>
      <c r="S49" s="21">
        <f ca="1">('edo - bernoulli - edo'!V53/'edo - bernoulli - exata'!S49-1)*100</f>
        <v>6.0311330403184371E-4</v>
      </c>
      <c r="T49" s="21">
        <f ca="1">('edo - bernoulli - edo'!W53/'edo - bernoulli - exata'!T49-1)*100</f>
        <v>6.1031377687204014E-4</v>
      </c>
      <c r="U49" s="21">
        <f ca="1">('edo - bernoulli - edo'!X53/'edo - bernoulli - exata'!U49-1)*100</f>
        <v>6.170614781808581E-4</v>
      </c>
      <c r="V49" s="21">
        <f ca="1">('edo - bernoulli - edo'!Y53/'edo - bernoulli - exata'!V49-1)*100</f>
        <v>6.2340780730973933E-4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edo - bernoulli - edo</vt:lpstr>
      <vt:lpstr>edo - bernoulli - exata</vt:lpstr>
      <vt:lpstr>edo - bernoulli - erro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2011-02-13T17:58:02Z</dcterms:created>
  <dcterms:modified xsi:type="dcterms:W3CDTF">2021-12-02T15:06:46Z</dcterms:modified>
</cp:coreProperties>
</file>