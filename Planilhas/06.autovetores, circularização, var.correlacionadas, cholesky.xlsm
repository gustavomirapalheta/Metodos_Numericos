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Google Drive\Disciplinas\Matemática II\cálculo, abordagem computacional\planilhas\"/>
    </mc:Choice>
  </mc:AlternateContent>
  <xr:revisionPtr revIDLastSave="0" documentId="8_{D7758B8A-E9AC-4349-95E4-38F938BF70D5}" xr6:coauthVersionLast="47" xr6:coauthVersionMax="47" xr10:uidLastSave="{00000000-0000-0000-0000-000000000000}"/>
  <bookViews>
    <workbookView xWindow="-120" yWindow="-120" windowWidth="27960" windowHeight="14220" tabRatio="598" firstSheet="6" activeTab="8"/>
  </bookViews>
  <sheets>
    <sheet name="autoval&amp;vet - circularização" sheetId="16" r:id="rId1"/>
    <sheet name="autoval&amp;vet - circularizaçã (2)" sheetId="22" r:id="rId2"/>
    <sheet name="autoval&amp;vet - circularizaçã (3)" sheetId="23" r:id="rId3"/>
    <sheet name="autoval&amp;vet - circularizaçã (4)" sheetId="24" r:id="rId4"/>
    <sheet name="autoval&amp;vet - circularizaçã (5)" sheetId="25" r:id="rId5"/>
    <sheet name="autoval&amp;vet - circularizaçã (6)" sheetId="20" r:id="rId6"/>
    <sheet name="autovalores - via iteração" sheetId="27" r:id="rId7"/>
    <sheet name="autovalores - via VBA" sheetId="19" r:id="rId8"/>
    <sheet name="autovalores - via VBA 3x3" sheetId="18" r:id="rId9"/>
  </sheets>
  <functionGroups builtInGroupCount="19"/>
  <calcPr calcId="181029" iterate="1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27" l="1"/>
  <c r="H13" i="27"/>
  <c r="J12" i="27"/>
  <c r="H12" i="27"/>
  <c r="J11" i="27"/>
  <c r="I11" i="27"/>
  <c r="H5" i="27" a="1"/>
  <c r="H6" i="27"/>
  <c r="G7" i="25"/>
  <c r="M4" i="25"/>
  <c r="G6" i="25"/>
  <c r="G7" i="24"/>
  <c r="M4" i="24" s="1"/>
  <c r="G6" i="24"/>
  <c r="L4" i="24" s="1"/>
  <c r="B6" i="24" a="1"/>
  <c r="B6" i="24"/>
  <c r="O4" i="24" s="1"/>
  <c r="G7" i="23"/>
  <c r="G6" i="23"/>
  <c r="B6" i="23" a="1"/>
  <c r="B6" i="23"/>
  <c r="G7" i="22"/>
  <c r="G6" i="22"/>
  <c r="B6" i="22" a="1"/>
  <c r="B6" i="22"/>
  <c r="K8" i="20"/>
  <c r="K9" i="20"/>
  <c r="O7" i="20"/>
  <c r="G7" i="20"/>
  <c r="M4" i="20"/>
  <c r="M6" i="20"/>
  <c r="G6" i="20"/>
  <c r="L4" i="20"/>
  <c r="L6" i="20"/>
  <c r="K10" i="20"/>
  <c r="O9" i="20"/>
  <c r="O8" i="20"/>
  <c r="B6" i="16" a="1"/>
  <c r="B6" i="16"/>
  <c r="K11" i="20"/>
  <c r="O10" i="20"/>
  <c r="B7" i="16"/>
  <c r="K12" i="20"/>
  <c r="O11" i="20"/>
  <c r="K13" i="20"/>
  <c r="O12" i="20"/>
  <c r="K14" i="20"/>
  <c r="O13" i="20"/>
  <c r="K15" i="20"/>
  <c r="O14" i="20"/>
  <c r="K16" i="20"/>
  <c r="O15" i="20"/>
  <c r="K17" i="20"/>
  <c r="O16" i="20"/>
  <c r="K18" i="20"/>
  <c r="O17" i="20"/>
  <c r="K19" i="20"/>
  <c r="O18" i="20"/>
  <c r="K20" i="20"/>
  <c r="O19" i="20"/>
  <c r="K21" i="20"/>
  <c r="O20" i="20"/>
  <c r="K22" i="20"/>
  <c r="O21" i="20"/>
  <c r="K23" i="20"/>
  <c r="O22" i="20"/>
  <c r="K24" i="20"/>
  <c r="O23" i="20"/>
  <c r="K25" i="20"/>
  <c r="O24" i="20"/>
  <c r="K26" i="20"/>
  <c r="O25" i="20"/>
  <c r="K27" i="20"/>
  <c r="O26" i="20"/>
  <c r="K28" i="20"/>
  <c r="O27" i="20"/>
  <c r="K29" i="20"/>
  <c r="O28" i="20"/>
  <c r="K30" i="20"/>
  <c r="O29" i="20"/>
  <c r="K31" i="20"/>
  <c r="O30" i="20"/>
  <c r="K32" i="20"/>
  <c r="O31" i="20"/>
  <c r="K33" i="20"/>
  <c r="O32" i="20"/>
  <c r="K34" i="20"/>
  <c r="O33" i="20"/>
  <c r="K35" i="20"/>
  <c r="O34" i="20"/>
  <c r="K36" i="20"/>
  <c r="O35" i="20"/>
  <c r="K37" i="20"/>
  <c r="O36" i="20"/>
  <c r="K38" i="20"/>
  <c r="O37" i="20"/>
  <c r="K39" i="20"/>
  <c r="O38" i="20"/>
  <c r="K40" i="20"/>
  <c r="O39" i="20"/>
  <c r="K41" i="20"/>
  <c r="O40" i="20"/>
  <c r="K42" i="20"/>
  <c r="O41" i="20"/>
  <c r="K43" i="20"/>
  <c r="O42" i="20"/>
  <c r="K44" i="20"/>
  <c r="O43" i="20"/>
  <c r="K45" i="20"/>
  <c r="O44" i="20"/>
  <c r="K46" i="20"/>
  <c r="O45" i="20"/>
  <c r="K47" i="20"/>
  <c r="O46" i="20"/>
  <c r="K48" i="20"/>
  <c r="O47" i="20"/>
  <c r="K49" i="20"/>
  <c r="O48" i="20"/>
  <c r="K50" i="20"/>
  <c r="O49" i="20"/>
  <c r="K51" i="20"/>
  <c r="O50" i="20"/>
  <c r="K52" i="20"/>
  <c r="O51" i="20"/>
  <c r="K53" i="20"/>
  <c r="O52" i="20"/>
  <c r="K54" i="20"/>
  <c r="O53" i="20"/>
  <c r="K55" i="20"/>
  <c r="O54" i="20"/>
  <c r="K56" i="20"/>
  <c r="O55" i="20"/>
  <c r="K57" i="20"/>
  <c r="O56" i="20"/>
  <c r="K58" i="20"/>
  <c r="O57" i="20"/>
  <c r="K59" i="20"/>
  <c r="O58" i="20"/>
  <c r="K60" i="20"/>
  <c r="O59" i="20"/>
  <c r="K61" i="20"/>
  <c r="O60" i="20"/>
  <c r="K62" i="20"/>
  <c r="O61" i="20"/>
  <c r="K63" i="20"/>
  <c r="O62" i="20"/>
  <c r="K64" i="20"/>
  <c r="O63" i="20"/>
  <c r="K65" i="20"/>
  <c r="O64" i="20"/>
  <c r="K66" i="20"/>
  <c r="O65" i="20"/>
  <c r="K67" i="20"/>
  <c r="O66" i="20"/>
  <c r="K68" i="20"/>
  <c r="O67" i="20"/>
  <c r="K69" i="20"/>
  <c r="O68" i="20"/>
  <c r="K70" i="20"/>
  <c r="O69" i="20"/>
  <c r="K71" i="20"/>
  <c r="O70" i="20"/>
  <c r="K72" i="20"/>
  <c r="O71" i="20"/>
  <c r="K73" i="20"/>
  <c r="O72" i="20"/>
  <c r="K74" i="20"/>
  <c r="O73" i="20"/>
  <c r="K75" i="20"/>
  <c r="O74" i="20"/>
  <c r="K76" i="20"/>
  <c r="O75" i="20"/>
  <c r="K77" i="20"/>
  <c r="O76" i="20"/>
  <c r="K78" i="20"/>
  <c r="O77" i="20"/>
  <c r="K79" i="20"/>
  <c r="O78" i="20"/>
  <c r="K80" i="20"/>
  <c r="O79" i="20"/>
  <c r="K81" i="20"/>
  <c r="O80" i="20"/>
  <c r="K82" i="20"/>
  <c r="O81" i="20"/>
  <c r="K83" i="20"/>
  <c r="O82" i="20"/>
  <c r="K84" i="20"/>
  <c r="O83" i="20"/>
  <c r="K85" i="20"/>
  <c r="O84" i="20"/>
  <c r="K86" i="20"/>
  <c r="O85" i="20"/>
  <c r="K87" i="20"/>
  <c r="O86" i="20"/>
  <c r="K88" i="20"/>
  <c r="O87" i="20"/>
  <c r="K89" i="20"/>
  <c r="O88" i="20"/>
  <c r="K90" i="20"/>
  <c r="O89" i="20"/>
  <c r="K91" i="20"/>
  <c r="O90" i="20"/>
  <c r="K92" i="20"/>
  <c r="O91" i="20"/>
  <c r="K93" i="20"/>
  <c r="O92" i="20"/>
  <c r="K94" i="20"/>
  <c r="O93" i="20"/>
  <c r="K95" i="20"/>
  <c r="O94" i="20"/>
  <c r="K96" i="20"/>
  <c r="O95" i="20"/>
  <c r="K97" i="20"/>
  <c r="O96" i="20"/>
  <c r="K98" i="20"/>
  <c r="O97" i="20"/>
  <c r="K99" i="20"/>
  <c r="O98" i="20"/>
  <c r="K100" i="20"/>
  <c r="O99" i="20"/>
  <c r="K101" i="20"/>
  <c r="O100" i="20"/>
  <c r="K102" i="20"/>
  <c r="O101" i="20"/>
  <c r="K103" i="20"/>
  <c r="O102" i="20"/>
  <c r="K104" i="20"/>
  <c r="O103" i="20"/>
  <c r="K105" i="20"/>
  <c r="O104" i="20"/>
  <c r="K106" i="20"/>
  <c r="O105" i="20"/>
  <c r="K107" i="20"/>
  <c r="O106" i="20"/>
  <c r="K108" i="20"/>
  <c r="O107" i="20"/>
  <c r="K109" i="20"/>
  <c r="O108" i="20"/>
  <c r="K110" i="20"/>
  <c r="O109" i="20"/>
  <c r="K111" i="20"/>
  <c r="O110" i="20"/>
  <c r="K112" i="20"/>
  <c r="O111" i="20"/>
  <c r="O112" i="20"/>
  <c r="K113" i="20"/>
  <c r="O113" i="20"/>
  <c r="K114" i="20"/>
  <c r="O114" i="20"/>
  <c r="K115" i="20"/>
  <c r="O115" i="20"/>
  <c r="K116" i="20"/>
  <c r="O116" i="20"/>
  <c r="K117" i="20"/>
  <c r="O117" i="20"/>
  <c r="K118" i="20"/>
  <c r="O118" i="20"/>
  <c r="K119" i="20"/>
  <c r="O119" i="20"/>
  <c r="K120" i="20"/>
  <c r="O120" i="20"/>
  <c r="K121" i="20"/>
  <c r="O121" i="20"/>
  <c r="K122" i="20"/>
  <c r="O122" i="20"/>
  <c r="K123" i="20"/>
  <c r="O123" i="20"/>
  <c r="K124" i="20"/>
  <c r="O124" i="20"/>
  <c r="K125" i="20"/>
  <c r="O125" i="20"/>
  <c r="K126" i="20"/>
  <c r="O126" i="20"/>
  <c r="K127" i="20"/>
  <c r="O127" i="20"/>
  <c r="K128" i="20"/>
  <c r="O128" i="20"/>
  <c r="K129" i="20"/>
  <c r="O129" i="20"/>
  <c r="K130" i="20"/>
  <c r="O130" i="20"/>
  <c r="K131" i="20"/>
  <c r="O131" i="20"/>
  <c r="K132" i="20"/>
  <c r="O132" i="20"/>
  <c r="K133" i="20"/>
  <c r="O133" i="20"/>
  <c r="K134" i="20"/>
  <c r="O134" i="20"/>
  <c r="K135" i="20"/>
  <c r="O135" i="20"/>
  <c r="K136" i="20"/>
  <c r="O136" i="20"/>
  <c r="K137" i="20"/>
  <c r="O137" i="20"/>
  <c r="K138" i="20"/>
  <c r="O138" i="20"/>
  <c r="K139" i="20"/>
  <c r="O139" i="20"/>
  <c r="K140" i="20"/>
  <c r="O140" i="20"/>
  <c r="K141" i="20"/>
  <c r="O141" i="20"/>
  <c r="K142" i="20"/>
  <c r="O142" i="20"/>
  <c r="K143" i="20"/>
  <c r="O143" i="20"/>
  <c r="K144" i="20"/>
  <c r="O144" i="20"/>
  <c r="K145" i="20"/>
  <c r="O145" i="20"/>
  <c r="K146" i="20"/>
  <c r="O146" i="20"/>
  <c r="K147" i="20"/>
  <c r="O147" i="20"/>
  <c r="K148" i="20"/>
  <c r="O148" i="20"/>
  <c r="K149" i="20"/>
  <c r="O149" i="20"/>
  <c r="K150" i="20"/>
  <c r="O150" i="20"/>
  <c r="K151" i="20"/>
  <c r="O151" i="20"/>
  <c r="K152" i="20"/>
  <c r="O152" i="20"/>
  <c r="K153" i="20"/>
  <c r="O153" i="20"/>
  <c r="K154" i="20"/>
  <c r="O154" i="20"/>
  <c r="K155" i="20"/>
  <c r="O155" i="20"/>
  <c r="K156" i="20"/>
  <c r="O156" i="20"/>
  <c r="K157" i="20"/>
  <c r="O157" i="20"/>
  <c r="K158" i="20"/>
  <c r="O158" i="20"/>
  <c r="K159" i="20"/>
  <c r="O159" i="20"/>
  <c r="K160" i="20"/>
  <c r="O160" i="20"/>
  <c r="K161" i="20"/>
  <c r="O161" i="20"/>
  <c r="K162" i="20"/>
  <c r="O162" i="20"/>
  <c r="K163" i="20"/>
  <c r="O163" i="20"/>
  <c r="K164" i="20"/>
  <c r="O164" i="20"/>
  <c r="K165" i="20"/>
  <c r="O165" i="20"/>
  <c r="K166" i="20"/>
  <c r="O166" i="20"/>
  <c r="K167" i="20"/>
  <c r="O167" i="20"/>
  <c r="K168" i="20"/>
  <c r="O168" i="20"/>
  <c r="K169" i="20"/>
  <c r="O169" i="20"/>
  <c r="K170" i="20"/>
  <c r="O170" i="20"/>
  <c r="K171" i="20"/>
  <c r="O171" i="20"/>
  <c r="K172" i="20"/>
  <c r="O172" i="20"/>
  <c r="K173" i="20"/>
  <c r="O173" i="20"/>
  <c r="K174" i="20"/>
  <c r="O174" i="20"/>
  <c r="K175" i="20"/>
  <c r="O175" i="20"/>
  <c r="K176" i="20"/>
  <c r="O176" i="20"/>
  <c r="K177" i="20"/>
  <c r="O177" i="20"/>
  <c r="K178" i="20"/>
  <c r="O178" i="20"/>
  <c r="K179" i="20"/>
  <c r="O179" i="20"/>
  <c r="K180" i="20"/>
  <c r="O180" i="20"/>
  <c r="K181" i="20"/>
  <c r="O181" i="20"/>
  <c r="K182" i="20"/>
  <c r="O182" i="20"/>
  <c r="K183" i="20"/>
  <c r="O183" i="20"/>
  <c r="K184" i="20"/>
  <c r="O184" i="20"/>
  <c r="K185" i="20"/>
  <c r="O185" i="20"/>
  <c r="K186" i="20"/>
  <c r="O186" i="20"/>
  <c r="K187" i="20"/>
  <c r="O187" i="20"/>
  <c r="K188" i="20"/>
  <c r="O188" i="20"/>
  <c r="K189" i="20"/>
  <c r="O189" i="20"/>
  <c r="K190" i="20"/>
  <c r="O190" i="20"/>
  <c r="K191" i="20"/>
  <c r="O191" i="20"/>
  <c r="K192" i="20"/>
  <c r="O192" i="20"/>
  <c r="K193" i="20"/>
  <c r="O193" i="20"/>
  <c r="K194" i="20"/>
  <c r="O194" i="20"/>
  <c r="K195" i="20"/>
  <c r="O195" i="20"/>
  <c r="K196" i="20"/>
  <c r="O196" i="20"/>
  <c r="K197" i="20"/>
  <c r="O197" i="20"/>
  <c r="K198" i="20"/>
  <c r="O198" i="20"/>
  <c r="K199" i="20"/>
  <c r="O199" i="20"/>
  <c r="K200" i="20"/>
  <c r="O200" i="20"/>
  <c r="K201" i="20"/>
  <c r="O201" i="20"/>
  <c r="K202" i="20"/>
  <c r="O202" i="20"/>
  <c r="K203" i="20"/>
  <c r="O203" i="20"/>
  <c r="K204" i="20"/>
  <c r="O204" i="20"/>
  <c r="K205" i="20"/>
  <c r="O205" i="20"/>
  <c r="K206" i="20"/>
  <c r="O206" i="20"/>
  <c r="K207" i="20"/>
  <c r="O207" i="20"/>
  <c r="K208" i="20"/>
  <c r="O208" i="20"/>
  <c r="K209" i="20"/>
  <c r="O209" i="20"/>
  <c r="K210" i="20"/>
  <c r="O210" i="20"/>
  <c r="K211" i="20"/>
  <c r="O211" i="20"/>
  <c r="K212" i="20"/>
  <c r="O212" i="20"/>
  <c r="K213" i="20"/>
  <c r="O213" i="20"/>
  <c r="K214" i="20"/>
  <c r="O214" i="20"/>
  <c r="K215" i="20"/>
  <c r="O215" i="20"/>
  <c r="K216" i="20"/>
  <c r="O216" i="20"/>
  <c r="K217" i="20"/>
  <c r="O217" i="20"/>
  <c r="K218" i="20"/>
  <c r="O218" i="20"/>
  <c r="K219" i="20"/>
  <c r="O219" i="20"/>
  <c r="K220" i="20"/>
  <c r="O220" i="20"/>
  <c r="K221" i="20"/>
  <c r="O221" i="20"/>
  <c r="K222" i="20"/>
  <c r="O222" i="20"/>
  <c r="K223" i="20"/>
  <c r="O223" i="20"/>
  <c r="K224" i="20"/>
  <c r="O224" i="20"/>
  <c r="K225" i="20"/>
  <c r="O225" i="20"/>
  <c r="K226" i="20"/>
  <c r="O226" i="20"/>
  <c r="K227" i="20"/>
  <c r="O227" i="20"/>
  <c r="K228" i="20"/>
  <c r="O228" i="20"/>
  <c r="K229" i="20"/>
  <c r="O229" i="20"/>
  <c r="K230" i="20"/>
  <c r="O230" i="20"/>
  <c r="K231" i="20"/>
  <c r="O231" i="20"/>
  <c r="K232" i="20"/>
  <c r="O232" i="20"/>
  <c r="K233" i="20"/>
  <c r="O233" i="20"/>
  <c r="K234" i="20"/>
  <c r="O234" i="20"/>
  <c r="K235" i="20"/>
  <c r="O235" i="20"/>
  <c r="K236" i="20"/>
  <c r="O236" i="20"/>
  <c r="K237" i="20"/>
  <c r="O237" i="20"/>
  <c r="K238" i="20"/>
  <c r="O238" i="20"/>
  <c r="K239" i="20"/>
  <c r="O239" i="20"/>
  <c r="K240" i="20"/>
  <c r="O240" i="20"/>
  <c r="K241" i="20"/>
  <c r="O241" i="20"/>
  <c r="K242" i="20"/>
  <c r="O242" i="20"/>
  <c r="K243" i="20"/>
  <c r="O243" i="20"/>
  <c r="K244" i="20"/>
  <c r="O244" i="20"/>
  <c r="K245" i="20"/>
  <c r="O245" i="20"/>
  <c r="K246" i="20"/>
  <c r="O246" i="20"/>
  <c r="K247" i="20"/>
  <c r="O247" i="20"/>
  <c r="K248" i="20"/>
  <c r="O248" i="20"/>
  <c r="K249" i="20"/>
  <c r="O249" i="20"/>
  <c r="K250" i="20"/>
  <c r="O250" i="20"/>
  <c r="K251" i="20"/>
  <c r="O251" i="20"/>
  <c r="K252" i="20"/>
  <c r="O252" i="20"/>
  <c r="K253" i="20"/>
  <c r="O253" i="20"/>
  <c r="K254" i="20"/>
  <c r="O254" i="20"/>
  <c r="K255" i="20"/>
  <c r="O255" i="20"/>
  <c r="K256" i="20"/>
  <c r="O256" i="20"/>
  <c r="K257" i="20"/>
  <c r="O257" i="20"/>
  <c r="K258" i="20"/>
  <c r="O258" i="20"/>
  <c r="K259" i="20"/>
  <c r="O259" i="20"/>
  <c r="K260" i="20"/>
  <c r="O260" i="20"/>
  <c r="K261" i="20"/>
  <c r="O261" i="20"/>
  <c r="K262" i="20"/>
  <c r="O262" i="20"/>
  <c r="K263" i="20"/>
  <c r="O263" i="20"/>
  <c r="K264" i="20"/>
  <c r="O264" i="20"/>
  <c r="K265" i="20"/>
  <c r="O265" i="20"/>
  <c r="K266" i="20"/>
  <c r="O266" i="20"/>
  <c r="K267" i="20"/>
  <c r="O267" i="20"/>
  <c r="K268" i="20"/>
  <c r="O268" i="20"/>
  <c r="K269" i="20"/>
  <c r="O269" i="20"/>
  <c r="K270" i="20"/>
  <c r="O270" i="20"/>
  <c r="K271" i="20"/>
  <c r="O271" i="20"/>
  <c r="K272" i="20"/>
  <c r="O272" i="20"/>
  <c r="K273" i="20"/>
  <c r="O273" i="20"/>
  <c r="K274" i="20"/>
  <c r="O274" i="20"/>
  <c r="K275" i="20"/>
  <c r="O275" i="20"/>
  <c r="K276" i="20"/>
  <c r="O276" i="20"/>
  <c r="K277" i="20"/>
  <c r="O277" i="20"/>
  <c r="K278" i="20"/>
  <c r="O278" i="20"/>
  <c r="K279" i="20"/>
  <c r="O279" i="20"/>
  <c r="K280" i="20"/>
  <c r="O280" i="20"/>
  <c r="K281" i="20"/>
  <c r="O281" i="20"/>
  <c r="K282" i="20"/>
  <c r="O282" i="20"/>
  <c r="K283" i="20"/>
  <c r="O283" i="20"/>
  <c r="K284" i="20"/>
  <c r="O284" i="20"/>
  <c r="K285" i="20"/>
  <c r="O285" i="20"/>
  <c r="K286" i="20"/>
  <c r="O286" i="20"/>
  <c r="K287" i="20"/>
  <c r="O287" i="20"/>
  <c r="K288" i="20"/>
  <c r="O288" i="20"/>
  <c r="K289" i="20"/>
  <c r="O289" i="20"/>
  <c r="K290" i="20"/>
  <c r="O290" i="20"/>
  <c r="K291" i="20"/>
  <c r="O291" i="20"/>
  <c r="K292" i="20"/>
  <c r="O292" i="20"/>
  <c r="K293" i="20"/>
  <c r="O293" i="20"/>
  <c r="K294" i="20"/>
  <c r="O294" i="20"/>
  <c r="K295" i="20"/>
  <c r="O295" i="20"/>
  <c r="K296" i="20"/>
  <c r="O296" i="20"/>
  <c r="K297" i="20"/>
  <c r="O297" i="20"/>
  <c r="K298" i="20"/>
  <c r="O298" i="20"/>
  <c r="K299" i="20"/>
  <c r="O299" i="20"/>
  <c r="K300" i="20"/>
  <c r="O300" i="20"/>
  <c r="K301" i="20"/>
  <c r="O301" i="20"/>
  <c r="K302" i="20"/>
  <c r="O302" i="20"/>
  <c r="K303" i="20"/>
  <c r="O303" i="20"/>
  <c r="K304" i="20"/>
  <c r="O304" i="20"/>
  <c r="K305" i="20"/>
  <c r="O305" i="20"/>
  <c r="K306" i="20"/>
  <c r="O306" i="20"/>
  <c r="K307" i="20"/>
  <c r="O307" i="20"/>
  <c r="K308" i="20"/>
  <c r="O308" i="20"/>
  <c r="K309" i="20"/>
  <c r="O309" i="20"/>
  <c r="K310" i="20"/>
  <c r="O310" i="20"/>
  <c r="K311" i="20"/>
  <c r="O311" i="20"/>
  <c r="K312" i="20"/>
  <c r="O312" i="20"/>
  <c r="K313" i="20"/>
  <c r="O313" i="20"/>
  <c r="K314" i="20"/>
  <c r="O314" i="20"/>
  <c r="K315" i="20"/>
  <c r="O315" i="20"/>
  <c r="K316" i="20"/>
  <c r="O316" i="20"/>
  <c r="K317" i="20"/>
  <c r="O317" i="20"/>
  <c r="K318" i="20"/>
  <c r="O318" i="20"/>
  <c r="K319" i="20"/>
  <c r="O319" i="20"/>
  <c r="K320" i="20"/>
  <c r="O320" i="20"/>
  <c r="K321" i="20"/>
  <c r="O321" i="20"/>
  <c r="K322" i="20"/>
  <c r="O322" i="20"/>
  <c r="K323" i="20"/>
  <c r="O323" i="20"/>
  <c r="K324" i="20"/>
  <c r="O324" i="20"/>
  <c r="K325" i="20"/>
  <c r="O325" i="20"/>
  <c r="K326" i="20"/>
  <c r="O326" i="20"/>
  <c r="K327" i="20"/>
  <c r="O327" i="20"/>
  <c r="K328" i="20"/>
  <c r="O328" i="20"/>
  <c r="K329" i="20"/>
  <c r="O329" i="20"/>
  <c r="K330" i="20"/>
  <c r="O330" i="20"/>
  <c r="K331" i="20"/>
  <c r="O331" i="20"/>
  <c r="K332" i="20"/>
  <c r="O332" i="20"/>
  <c r="K333" i="20"/>
  <c r="O333" i="20"/>
  <c r="K334" i="20"/>
  <c r="O334" i="20"/>
  <c r="K335" i="20"/>
  <c r="O335" i="20"/>
  <c r="K336" i="20"/>
  <c r="O336" i="20"/>
  <c r="K337" i="20"/>
  <c r="O337" i="20"/>
  <c r="K338" i="20"/>
  <c r="O338" i="20"/>
  <c r="K339" i="20"/>
  <c r="O339" i="20"/>
  <c r="K340" i="20"/>
  <c r="O340" i="20"/>
  <c r="K341" i="20"/>
  <c r="O341" i="20"/>
  <c r="K342" i="20"/>
  <c r="O342" i="20"/>
  <c r="K343" i="20"/>
  <c r="O343" i="20"/>
  <c r="K344" i="20"/>
  <c r="O344" i="20"/>
  <c r="K345" i="20"/>
  <c r="O345" i="20"/>
  <c r="K346" i="20"/>
  <c r="O346" i="20"/>
  <c r="K347" i="20"/>
  <c r="O347" i="20"/>
  <c r="K348" i="20"/>
  <c r="O348" i="20"/>
  <c r="K349" i="20"/>
  <c r="O349" i="20"/>
  <c r="K350" i="20"/>
  <c r="O350" i="20"/>
  <c r="K351" i="20"/>
  <c r="O351" i="20"/>
  <c r="K352" i="20"/>
  <c r="O352" i="20"/>
  <c r="K353" i="20"/>
  <c r="O353" i="20"/>
  <c r="K354" i="20"/>
  <c r="O354" i="20"/>
  <c r="K355" i="20"/>
  <c r="O355" i="20"/>
  <c r="K356" i="20"/>
  <c r="O356" i="20"/>
  <c r="K357" i="20"/>
  <c r="O357" i="20"/>
  <c r="K358" i="20"/>
  <c r="O358" i="20"/>
  <c r="K359" i="20"/>
  <c r="O359" i="20"/>
  <c r="K360" i="20"/>
  <c r="O360" i="20"/>
  <c r="K361" i="20"/>
  <c r="O361" i="20"/>
  <c r="K362" i="20"/>
  <c r="O362" i="20"/>
  <c r="K363" i="20"/>
  <c r="O363" i="20"/>
  <c r="K364" i="20"/>
  <c r="O364" i="20"/>
  <c r="K365" i="20"/>
  <c r="O365" i="20"/>
  <c r="K366" i="20"/>
  <c r="O366" i="20"/>
  <c r="K367" i="20"/>
  <c r="O367" i="20"/>
  <c r="B6" i="25" a="1"/>
  <c r="B6" i="25"/>
  <c r="O4" i="25"/>
  <c r="L4" i="25"/>
  <c r="B7" i="24"/>
  <c r="P4" i="24" s="1"/>
  <c r="B7" i="23"/>
  <c r="B7" i="22"/>
  <c r="B7" i="25"/>
  <c r="P4" i="25"/>
  <c r="B12" i="27"/>
  <c r="H5" i="27"/>
  <c r="H7" i="27"/>
  <c r="B6" i="20" a="1"/>
  <c r="B7" i="20"/>
  <c r="Q4" i="20"/>
  <c r="Q6" i="20"/>
  <c r="B13" i="27"/>
  <c r="B11" i="27"/>
  <c r="C11" i="27"/>
  <c r="C12" i="27"/>
  <c r="B6" i="20"/>
  <c r="P4" i="20"/>
  <c r="P6" i="20"/>
  <c r="B15" i="27"/>
  <c r="C13" i="27"/>
  <c r="C15" i="27"/>
  <c r="E12" i="27"/>
  <c r="J13" i="27"/>
  <c r="I12" i="27"/>
  <c r="H11" i="27"/>
  <c r="F12" i="27"/>
  <c r="F11" i="27"/>
  <c r="F13" i="27"/>
  <c r="I15" i="27"/>
  <c r="B8" i="18" a="1"/>
  <c r="B5" i="19" a="1"/>
  <c r="B8" i="18" l="1"/>
  <c r="C8" i="18"/>
  <c r="D8" i="18"/>
  <c r="E8" i="18"/>
  <c r="B9" i="18"/>
  <c r="C9" i="18"/>
  <c r="D9" i="18"/>
  <c r="E9" i="18"/>
  <c r="B10" i="18"/>
  <c r="C10" i="18"/>
  <c r="D10" i="18"/>
  <c r="E10" i="18"/>
  <c r="B11" i="18"/>
  <c r="C11" i="18"/>
  <c r="D11" i="18"/>
  <c r="E11" i="18"/>
  <c r="B12" i="18"/>
  <c r="C12" i="18"/>
  <c r="D12" i="18"/>
  <c r="E12" i="18"/>
  <c r="D7" i="19"/>
  <c r="D5" i="19"/>
  <c r="C8" i="19"/>
  <c r="B5" i="19"/>
  <c r="B6" i="19"/>
  <c r="B8" i="19"/>
  <c r="B7" i="19"/>
  <c r="C5" i="19"/>
  <c r="C7" i="19"/>
  <c r="D6" i="19"/>
  <c r="C6" i="19"/>
  <c r="D8" i="19"/>
</calcChain>
</file>

<file path=xl/comments1.xml><?xml version="1.0" encoding="utf-8"?>
<comments xmlns="http://schemas.openxmlformats.org/spreadsheetml/2006/main">
  <authors>
    <author xml:space="preserve"> </author>
  </authors>
  <commentList>
    <comment ref="B6" authorId="0" shapeId="0">
      <text>
        <r>
          <rPr>
            <b/>
            <sz val="10"/>
            <color indexed="81"/>
            <rFont val="Tahoma"/>
            <family val="2"/>
          </rPr>
          <t>=MATRIZ.MULT(D6:E7;G6:G7)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B6" authorId="0" shapeId="0">
      <text>
        <r>
          <rPr>
            <b/>
            <sz val="10"/>
            <color indexed="81"/>
            <rFont val="Tahoma"/>
            <family val="2"/>
          </rPr>
          <t>=MATRIZ.MULT(D6:E7;G6:G7)</t>
        </r>
      </text>
    </comment>
    <comment ref="G6" authorId="0" shapeId="0">
      <text>
        <r>
          <rPr>
            <b/>
            <sz val="10"/>
            <color indexed="81"/>
            <rFont val="Tahoma"/>
            <family val="2"/>
          </rPr>
          <t>=COS(RADIANOS(G5))</t>
        </r>
      </text>
    </comment>
    <comment ref="G7" authorId="0" shapeId="0">
      <text>
        <r>
          <rPr>
            <b/>
            <sz val="10"/>
            <color indexed="81"/>
            <rFont val="Tahoma"/>
            <family val="2"/>
          </rPr>
          <t>=SEN(RADIANOS(G5))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B6" authorId="0" shapeId="0">
      <text>
        <r>
          <rPr>
            <b/>
            <sz val="10"/>
            <color indexed="81"/>
            <rFont val="Tahoma"/>
            <family val="2"/>
          </rPr>
          <t>=MATRIZ.MULT(D6:E7;G6:G7)</t>
        </r>
      </text>
    </comment>
    <comment ref="G6" authorId="0" shapeId="0">
      <text>
        <r>
          <rPr>
            <b/>
            <sz val="10"/>
            <color indexed="81"/>
            <rFont val="Tahoma"/>
            <family val="2"/>
          </rPr>
          <t>=COS(RADIANOS(G5))</t>
        </r>
      </text>
    </comment>
    <comment ref="G7" authorId="0" shapeId="0">
      <text>
        <r>
          <rPr>
            <b/>
            <sz val="10"/>
            <color indexed="81"/>
            <rFont val="Tahoma"/>
            <family val="2"/>
          </rPr>
          <t>=SEN(RADIANOS(G5))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</authors>
  <commentList>
    <comment ref="L4" authorId="0" shapeId="0">
      <text>
        <r>
          <rPr>
            <b/>
            <sz val="10"/>
            <color indexed="81"/>
            <rFont val="Tahoma"/>
            <family val="2"/>
          </rPr>
          <t>=G6</t>
        </r>
      </text>
    </comment>
    <comment ref="M4" authorId="0" shapeId="0">
      <text>
        <r>
          <rPr>
            <b/>
            <sz val="10"/>
            <color indexed="81"/>
            <rFont val="Tahoma"/>
            <family val="2"/>
          </rPr>
          <t>=H6</t>
        </r>
      </text>
    </comment>
    <comment ref="O4" authorId="0" shapeId="0">
      <text>
        <r>
          <rPr>
            <b/>
            <sz val="10"/>
            <color indexed="81"/>
            <rFont val="Tahoma"/>
            <family val="2"/>
          </rPr>
          <t>=B6</t>
        </r>
      </text>
    </comment>
    <comment ref="P4" authorId="0" shapeId="0">
      <text>
        <r>
          <rPr>
            <b/>
            <sz val="10"/>
            <color indexed="81"/>
            <rFont val="Tahoma"/>
            <family val="2"/>
          </rPr>
          <t>=B7</t>
        </r>
      </text>
    </comment>
    <comment ref="B6" authorId="0" shapeId="0">
      <text>
        <r>
          <rPr>
            <b/>
            <sz val="10"/>
            <color indexed="81"/>
            <rFont val="Tahoma"/>
            <family val="2"/>
          </rPr>
          <t>=MATRIZ.MULT(D6:E7;G6:G7)</t>
        </r>
      </text>
    </comment>
    <comment ref="G6" authorId="0" shapeId="0">
      <text>
        <r>
          <rPr>
            <b/>
            <sz val="10"/>
            <color indexed="81"/>
            <rFont val="Tahoma"/>
            <family val="2"/>
          </rPr>
          <t>=COS(RADIANOS(G5))</t>
        </r>
      </text>
    </comment>
    <comment ref="G7" authorId="0" shapeId="0">
      <text>
        <r>
          <rPr>
            <b/>
            <sz val="10"/>
            <color indexed="81"/>
            <rFont val="Tahoma"/>
            <family val="2"/>
          </rPr>
          <t>=SEN(RADIANOS(G5))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</authors>
  <commentList>
    <comment ref="L4" authorId="0" shapeId="0">
      <text>
        <r>
          <rPr>
            <b/>
            <sz val="10"/>
            <color indexed="81"/>
            <rFont val="Tahoma"/>
            <family val="2"/>
          </rPr>
          <t>=G6</t>
        </r>
      </text>
    </comment>
    <comment ref="M4" authorId="0" shapeId="0">
      <text>
        <r>
          <rPr>
            <b/>
            <sz val="10"/>
            <color indexed="81"/>
            <rFont val="Tahoma"/>
            <family val="2"/>
          </rPr>
          <t>=H6</t>
        </r>
      </text>
    </comment>
    <comment ref="O4" authorId="0" shapeId="0">
      <text>
        <r>
          <rPr>
            <b/>
            <sz val="10"/>
            <color indexed="81"/>
            <rFont val="Tahoma"/>
            <family val="2"/>
          </rPr>
          <t>=B6</t>
        </r>
      </text>
    </comment>
    <comment ref="P4" authorId="0" shapeId="0">
      <text>
        <r>
          <rPr>
            <b/>
            <sz val="10"/>
            <color indexed="81"/>
            <rFont val="Tahoma"/>
            <family val="2"/>
          </rPr>
          <t>=B7</t>
        </r>
      </text>
    </comment>
    <comment ref="B6" authorId="0" shapeId="0">
      <text>
        <r>
          <rPr>
            <b/>
            <sz val="10"/>
            <color indexed="81"/>
            <rFont val="Tahoma"/>
            <family val="2"/>
          </rPr>
          <t>=MATRIZ.MULT(D6:E7;G6:G7)</t>
        </r>
      </text>
    </comment>
    <comment ref="G6" authorId="0" shapeId="0">
      <text>
        <r>
          <rPr>
            <b/>
            <sz val="10"/>
            <color indexed="81"/>
            <rFont val="Tahoma"/>
            <family val="2"/>
          </rPr>
          <t>=COS(RADIANOS(G5))</t>
        </r>
      </text>
    </comment>
    <comment ref="G7" authorId="0" shapeId="0">
      <text>
        <r>
          <rPr>
            <b/>
            <sz val="10"/>
            <color indexed="81"/>
            <rFont val="Tahoma"/>
            <family val="2"/>
          </rPr>
          <t>=SEN(RADIANOS(G5))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</authors>
  <commentList>
    <comment ref="F11" authorId="0" shapeId="0">
      <text>
        <r>
          <rPr>
            <b/>
            <sz val="10"/>
            <color indexed="81"/>
            <rFont val="Tahoma"/>
            <family val="2"/>
          </rPr>
          <t>=B11*C11/E$12</t>
        </r>
      </text>
    </comment>
    <comment ref="E12" authorId="0" shapeId="0">
      <text>
        <r>
          <rPr>
            <b/>
            <sz val="10"/>
            <color indexed="81"/>
            <rFont val="Tahoma"/>
            <family val="2"/>
          </rPr>
          <t>=B15*C15</t>
        </r>
      </text>
    </comment>
  </commentList>
</comments>
</file>

<file path=xl/sharedStrings.xml><?xml version="1.0" encoding="utf-8"?>
<sst xmlns="http://schemas.openxmlformats.org/spreadsheetml/2006/main" count="45" uniqueCount="21">
  <si>
    <t>A</t>
  </si>
  <si>
    <t>Autovetores</t>
  </si>
  <si>
    <t>Cálculo de Autovalores e Autovetores</t>
  </si>
  <si>
    <t>Grande abraço e bom divertimento!</t>
  </si>
  <si>
    <t>Os autovetores já saem normalizados.</t>
  </si>
  <si>
    <t>Em seguida digite =AUTOVETORES("selecione a matriz") e aperte CTRL+SHIFT+ENTER</t>
  </si>
  <si>
    <t xml:space="preserve">   a qual você deseja calcular os autovalores e autovetores.</t>
  </si>
  <si>
    <t>Selecione uma região com DUAS linhas a mais e UMA coluna a mais que a matriz</t>
  </si>
  <si>
    <t>X</t>
  </si>
  <si>
    <t>A.X</t>
  </si>
  <si>
    <t>x_1</t>
  </si>
  <si>
    <t>x_2</t>
  </si>
  <si>
    <t>Ax_1</t>
  </si>
  <si>
    <t>Ax_2</t>
  </si>
  <si>
    <t>Autoval.</t>
  </si>
  <si>
    <t>Autovet.</t>
  </si>
  <si>
    <r>
      <t>|</t>
    </r>
    <r>
      <rPr>
        <b/>
        <sz val="11"/>
        <color indexed="8"/>
        <rFont val="Calibri"/>
        <family val="2"/>
      </rPr>
      <t>A.X</t>
    </r>
    <r>
      <rPr>
        <sz val="11"/>
        <color theme="1"/>
        <rFont val="Calibri"/>
        <family val="2"/>
        <scheme val="minor"/>
      </rPr>
      <t>|</t>
    </r>
  </si>
  <si>
    <t xml:space="preserve">Det = </t>
  </si>
  <si>
    <t>Controle de Convergência</t>
  </si>
  <si>
    <t xml:space="preserve">Maior Elemento </t>
  </si>
  <si>
    <t>Sinal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</si>
</sst>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0.000"/>
    <numFmt numFmtId="166" formatCode="0.0000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4" fillId="0" borderId="0" applyFont="0" applyFill="0" applyBorder="0" applyAlignment="0" applyProtection="0"/>
  </cellStyleXfs>
  <cellXfs count="3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5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2" fontId="0" fillId="0" borderId="3" xfId="0" applyNumberFormat="1" applyBorder="1"/>
    <xf numFmtId="2" fontId="0" fillId="0" borderId="0" xfId="0" applyNumberFormat="1"/>
    <xf numFmtId="2" fontId="0" fillId="0" borderId="4" xfId="0" applyNumberFormat="1" applyBorder="1"/>
    <xf numFmtId="2" fontId="0" fillId="0" borderId="5" xfId="0" applyNumberFormat="1" applyBorder="1"/>
    <xf numFmtId="166" fontId="0" fillId="0" borderId="0" xfId="0" applyNumberFormat="1"/>
    <xf numFmtId="2" fontId="0" fillId="0" borderId="6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5" fillId="0" borderId="0" xfId="0" applyNumberFormat="1" applyFont="1" applyAlignment="1">
      <alignment horizontal="right"/>
    </xf>
    <xf numFmtId="1" fontId="5" fillId="0" borderId="0" xfId="0" applyNumberFormat="1" applyFont="1" applyAlignment="1">
      <alignment horizontal="center"/>
    </xf>
    <xf numFmtId="0" fontId="5" fillId="0" borderId="0" xfId="0" applyFont="1"/>
    <xf numFmtId="2" fontId="5" fillId="0" borderId="0" xfId="0" applyNumberFormat="1" applyFont="1" applyAlignment="1">
      <alignment horizontal="center"/>
    </xf>
    <xf numFmtId="0" fontId="0" fillId="0" borderId="9" xfId="0" applyBorder="1"/>
    <xf numFmtId="0" fontId="0" fillId="0" borderId="2" xfId="0" applyBorder="1"/>
    <xf numFmtId="0" fontId="0" fillId="0" borderId="0" xfId="0" applyBorder="1"/>
    <xf numFmtId="0" fontId="0" fillId="0" borderId="1" xfId="0" applyBorder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2" borderId="9" xfId="0" applyFill="1" applyBorder="1"/>
    <xf numFmtId="2" fontId="0" fillId="0" borderId="14" xfId="0" applyNumberFormat="1" applyBorder="1"/>
    <xf numFmtId="2" fontId="0" fillId="0" borderId="11" xfId="0" applyNumberFormat="1" applyBorder="1"/>
    <xf numFmtId="2" fontId="0" fillId="0" borderId="0" xfId="0" applyNumberFormat="1" applyBorder="1"/>
    <xf numFmtId="2" fontId="0" fillId="0" borderId="12" xfId="0" applyNumberFormat="1" applyBorder="1"/>
    <xf numFmtId="2" fontId="0" fillId="0" borderId="15" xfId="0" applyNumberFormat="1" applyBorder="1"/>
    <xf numFmtId="2" fontId="0" fillId="0" borderId="13" xfId="0" applyNumberFormat="1" applyBorder="1"/>
    <xf numFmtId="2" fontId="0" fillId="0" borderId="10" xfId="0" applyNumberFormat="1" applyBorder="1" applyAlignment="1">
      <alignment horizontal="right"/>
    </xf>
    <xf numFmtId="2" fontId="0" fillId="0" borderId="5" xfId="0" applyNumberFormat="1" applyBorder="1" applyAlignment="1">
      <alignment horizontal="right"/>
    </xf>
  </cellXfs>
  <cellStyles count="3">
    <cellStyle name="Normal" xfId="0" builtinId="0"/>
    <cellStyle name="Normal 2" xfId="1"/>
    <cellStyle name="Separador de milhares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'autoval&amp;vet - circularizaçã (5)'!$L$3:$L$4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</c:v>
                </c:pt>
              </c:numCache>
            </c:numRef>
          </c:xVal>
          <c:yVal>
            <c:numRef>
              <c:f>'autoval&amp;vet - circularizaçã (5)'!$M$3:$M$4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1.22514845490862E-16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C-4C23-9D8D-033C12F1A93F}"/>
            </c:ext>
          </c:extLst>
        </c:ser>
        <c:ser>
          <c:idx val="1"/>
          <c:order val="1"/>
          <c:xVal>
            <c:numRef>
              <c:f>'autoval&amp;vet - circularizaçã (5)'!$O$3:$O$4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-0.99999999999999989</c:v>
                </c:pt>
              </c:numCache>
            </c:numRef>
          </c:xVal>
          <c:yVal>
            <c:numRef>
              <c:f>'autoval&amp;vet - circularizaçã (5)'!$P$3:$P$4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1.22514845490862E-16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4C-4C23-9D8D-033C12F1A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920960"/>
        <c:axId val="1"/>
      </c:scatterChart>
      <c:valAx>
        <c:axId val="426920960"/>
        <c:scaling>
          <c:orientation val="minMax"/>
          <c:max val="1.5"/>
          <c:min val="-1.5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5"/>
          <c:min val="-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692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'autoval&amp;vet - circularizaçã (6)'!$M$2</c:f>
              <c:strCache>
                <c:ptCount val="1"/>
                <c:pt idx="0">
                  <c:v>x_2</c:v>
                </c:pt>
              </c:strCache>
            </c:strRef>
          </c:tx>
          <c:xVal>
            <c:numRef>
              <c:f>'autoval&amp;vet - circularizaçã (6)'!$L$3:$L$4</c:f>
              <c:numCache>
                <c:formatCode>0.000</c:formatCode>
                <c:ptCount val="2"/>
                <c:pt idx="0">
                  <c:v>0</c:v>
                </c:pt>
                <c:pt idx="1">
                  <c:v>-0.62932039104983739</c:v>
                </c:pt>
              </c:numCache>
            </c:numRef>
          </c:xVal>
          <c:yVal>
            <c:numRef>
              <c:f>'autoval&amp;vet - circularizaçã (6)'!$M$3:$M$4</c:f>
              <c:numCache>
                <c:formatCode>0.000</c:formatCode>
                <c:ptCount val="2"/>
                <c:pt idx="0">
                  <c:v>0</c:v>
                </c:pt>
                <c:pt idx="1">
                  <c:v>0.7771459614569709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8-4DE4-81A2-827922FEC3F0}"/>
            </c:ext>
          </c:extLst>
        </c:ser>
        <c:ser>
          <c:idx val="1"/>
          <c:order val="1"/>
          <c:tx>
            <c:strRef>
              <c:f>'autoval&amp;vet - circularizaçã (6)'!$Q$2</c:f>
              <c:strCache>
                <c:ptCount val="1"/>
                <c:pt idx="0">
                  <c:v>Ax_2</c:v>
                </c:pt>
              </c:strCache>
            </c:strRef>
          </c:tx>
          <c:xVal>
            <c:numRef>
              <c:f>'autoval&amp;vet - circularizaçã (6)'!$P$3:$P$4</c:f>
              <c:numCache>
                <c:formatCode>0.000</c:formatCode>
                <c:ptCount val="2"/>
                <c:pt idx="0">
                  <c:v>0</c:v>
                </c:pt>
                <c:pt idx="1">
                  <c:v>0.14782557040713351</c:v>
                </c:pt>
              </c:numCache>
            </c:numRef>
          </c:xVal>
          <c:yVal>
            <c:numRef>
              <c:f>'autoval&amp;vet - circularizaçã (6)'!$Q$3:$Q$4</c:f>
              <c:numCache>
                <c:formatCode>0.000</c:formatCode>
                <c:ptCount val="2"/>
                <c:pt idx="0">
                  <c:v>0</c:v>
                </c:pt>
                <c:pt idx="1">
                  <c:v>0.7771459614569709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D8-4DE4-81A2-827922FEC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924240"/>
        <c:axId val="1"/>
      </c:scatterChart>
      <c:scatterChart>
        <c:scatterStyle val="smoothMarker"/>
        <c:varyColors val="0"/>
        <c:ser>
          <c:idx val="2"/>
          <c:order val="2"/>
          <c:marker>
            <c:symbol val="none"/>
          </c:marker>
          <c:xVal>
            <c:numRef>
              <c:f>'autoval&amp;vet - circularizaçã (6)'!$L$7:$L$367</c:f>
              <c:numCache>
                <c:formatCode>0.000</c:formatCode>
                <c:ptCount val="361"/>
                <c:pt idx="0">
                  <c:v>1</c:v>
                </c:pt>
                <c:pt idx="1">
                  <c:v>0.99984769515639127</c:v>
                </c:pt>
                <c:pt idx="2">
                  <c:v>0.99939082701909576</c:v>
                </c:pt>
                <c:pt idx="3">
                  <c:v>0.99862953475457383</c:v>
                </c:pt>
                <c:pt idx="4">
                  <c:v>0.9975640502598242</c:v>
                </c:pt>
                <c:pt idx="5">
                  <c:v>0.99619469809174555</c:v>
                </c:pt>
                <c:pt idx="6">
                  <c:v>0.99452189536827329</c:v>
                </c:pt>
                <c:pt idx="7">
                  <c:v>0.99254615164132198</c:v>
                </c:pt>
                <c:pt idx="8">
                  <c:v>0.99026806874157036</c:v>
                </c:pt>
                <c:pt idx="9">
                  <c:v>0.98768834059513777</c:v>
                </c:pt>
                <c:pt idx="10">
                  <c:v>0.98480775301220802</c:v>
                </c:pt>
                <c:pt idx="11">
                  <c:v>0.98162718344766398</c:v>
                </c:pt>
                <c:pt idx="12">
                  <c:v>0.97814760073380569</c:v>
                </c:pt>
                <c:pt idx="13">
                  <c:v>0.97437006478523525</c:v>
                </c:pt>
                <c:pt idx="14">
                  <c:v>0.97029572627599647</c:v>
                </c:pt>
                <c:pt idx="15">
                  <c:v>0.96592582628906831</c:v>
                </c:pt>
                <c:pt idx="16">
                  <c:v>0.96126169593831889</c:v>
                </c:pt>
                <c:pt idx="17">
                  <c:v>0.95630475596303544</c:v>
                </c:pt>
                <c:pt idx="18">
                  <c:v>0.95105651629515353</c:v>
                </c:pt>
                <c:pt idx="19">
                  <c:v>0.94551857559931685</c:v>
                </c:pt>
                <c:pt idx="20">
                  <c:v>0.93969262078590843</c:v>
                </c:pt>
                <c:pt idx="21">
                  <c:v>0.93358042649720174</c:v>
                </c:pt>
                <c:pt idx="22">
                  <c:v>0.92718385456678742</c:v>
                </c:pt>
                <c:pt idx="23">
                  <c:v>0.92050485345244037</c:v>
                </c:pt>
                <c:pt idx="24">
                  <c:v>0.91354545764260087</c:v>
                </c:pt>
                <c:pt idx="25">
                  <c:v>0.90630778703664994</c:v>
                </c:pt>
                <c:pt idx="26">
                  <c:v>0.89879404629916704</c:v>
                </c:pt>
                <c:pt idx="27">
                  <c:v>0.8910065241883679</c:v>
                </c:pt>
                <c:pt idx="28">
                  <c:v>0.88294759285892699</c:v>
                </c:pt>
                <c:pt idx="29">
                  <c:v>0.87461970713939574</c:v>
                </c:pt>
                <c:pt idx="30">
                  <c:v>0.86602540378443871</c:v>
                </c:pt>
                <c:pt idx="31">
                  <c:v>0.85716730070211233</c:v>
                </c:pt>
                <c:pt idx="32">
                  <c:v>0.84804809615642596</c:v>
                </c:pt>
                <c:pt idx="33">
                  <c:v>0.83867056794542405</c:v>
                </c:pt>
                <c:pt idx="34">
                  <c:v>0.82903757255504162</c:v>
                </c:pt>
                <c:pt idx="35">
                  <c:v>0.8191520442889918</c:v>
                </c:pt>
                <c:pt idx="36">
                  <c:v>0.80901699437494745</c:v>
                </c:pt>
                <c:pt idx="37">
                  <c:v>0.79863551004729283</c:v>
                </c:pt>
                <c:pt idx="38">
                  <c:v>0.78801075360672201</c:v>
                </c:pt>
                <c:pt idx="39">
                  <c:v>0.7771459614569709</c:v>
                </c:pt>
                <c:pt idx="40">
                  <c:v>0.76604444311897801</c:v>
                </c:pt>
                <c:pt idx="41">
                  <c:v>0.75470958022277213</c:v>
                </c:pt>
                <c:pt idx="42">
                  <c:v>0.74314482547739424</c:v>
                </c:pt>
                <c:pt idx="43">
                  <c:v>0.73135370161917057</c:v>
                </c:pt>
                <c:pt idx="44">
                  <c:v>0.71933980033865119</c:v>
                </c:pt>
                <c:pt idx="45">
                  <c:v>0.70710678118654757</c:v>
                </c:pt>
                <c:pt idx="46">
                  <c:v>0.69465837045899737</c:v>
                </c:pt>
                <c:pt idx="47">
                  <c:v>0.68199836006249848</c:v>
                </c:pt>
                <c:pt idx="48">
                  <c:v>0.66913060635885824</c:v>
                </c:pt>
                <c:pt idx="49">
                  <c:v>0.65605902899050728</c:v>
                </c:pt>
                <c:pt idx="50">
                  <c:v>0.64278760968653936</c:v>
                </c:pt>
                <c:pt idx="51">
                  <c:v>0.6293203910498375</c:v>
                </c:pt>
                <c:pt idx="52">
                  <c:v>0.61566147532565829</c:v>
                </c:pt>
                <c:pt idx="53">
                  <c:v>0.60181502315204838</c:v>
                </c:pt>
                <c:pt idx="54">
                  <c:v>0.58778525229247314</c:v>
                </c:pt>
                <c:pt idx="55">
                  <c:v>0.57357643635104616</c:v>
                </c:pt>
                <c:pt idx="56">
                  <c:v>0.55919290347074679</c:v>
                </c:pt>
                <c:pt idx="57">
                  <c:v>0.5446390350150272</c:v>
                </c:pt>
                <c:pt idx="58">
                  <c:v>0.5299192642332049</c:v>
                </c:pt>
                <c:pt idx="59">
                  <c:v>0.51503807491005438</c:v>
                </c:pt>
                <c:pt idx="60">
                  <c:v>0.50000000000000011</c:v>
                </c:pt>
                <c:pt idx="61">
                  <c:v>0.48480962024633711</c:v>
                </c:pt>
                <c:pt idx="62">
                  <c:v>0.46947156278589086</c:v>
                </c:pt>
                <c:pt idx="63">
                  <c:v>0.4539904997395468</c:v>
                </c:pt>
                <c:pt idx="64">
                  <c:v>0.43837114678907746</c:v>
                </c:pt>
                <c:pt idx="65">
                  <c:v>0.42261826174069944</c:v>
                </c:pt>
                <c:pt idx="66">
                  <c:v>0.40673664307580021</c:v>
                </c:pt>
                <c:pt idx="67">
                  <c:v>0.39073112848927394</c:v>
                </c:pt>
                <c:pt idx="68">
                  <c:v>0.37460659341591196</c:v>
                </c:pt>
                <c:pt idx="69">
                  <c:v>0.35836794954530038</c:v>
                </c:pt>
                <c:pt idx="70">
                  <c:v>0.34202014332566882</c:v>
                </c:pt>
                <c:pt idx="71">
                  <c:v>0.32556815445715676</c:v>
                </c:pt>
                <c:pt idx="72">
                  <c:v>0.30901699437494745</c:v>
                </c:pt>
                <c:pt idx="73">
                  <c:v>0.29237170472273677</c:v>
                </c:pt>
                <c:pt idx="74">
                  <c:v>0.27563735581699916</c:v>
                </c:pt>
                <c:pt idx="75">
                  <c:v>0.25881904510252074</c:v>
                </c:pt>
                <c:pt idx="76">
                  <c:v>0.2419218955996679</c:v>
                </c:pt>
                <c:pt idx="77">
                  <c:v>0.22495105434386492</c:v>
                </c:pt>
                <c:pt idx="78">
                  <c:v>0.20791169081775945</c:v>
                </c:pt>
                <c:pt idx="79">
                  <c:v>0.19080899537654492</c:v>
                </c:pt>
                <c:pt idx="80">
                  <c:v>0.17364817766693041</c:v>
                </c:pt>
                <c:pt idx="81">
                  <c:v>0.15643446504023092</c:v>
                </c:pt>
                <c:pt idx="82">
                  <c:v>0.13917310096006569</c:v>
                </c:pt>
                <c:pt idx="83">
                  <c:v>0.12186934340514749</c:v>
                </c:pt>
                <c:pt idx="84">
                  <c:v>0.10452846326765346</c:v>
                </c:pt>
                <c:pt idx="85">
                  <c:v>8.7155742747658138E-2</c:v>
                </c:pt>
                <c:pt idx="86">
                  <c:v>6.9756473744125455E-2</c:v>
                </c:pt>
                <c:pt idx="87">
                  <c:v>5.2335956242943966E-2</c:v>
                </c:pt>
                <c:pt idx="88">
                  <c:v>3.489949670250108E-2</c:v>
                </c:pt>
                <c:pt idx="89">
                  <c:v>1.7452406437283376E-2</c:v>
                </c:pt>
                <c:pt idx="90">
                  <c:v>6.1257422745431001E-17</c:v>
                </c:pt>
                <c:pt idx="91">
                  <c:v>-1.7452406437283477E-2</c:v>
                </c:pt>
                <c:pt idx="92">
                  <c:v>-3.4899496702500733E-2</c:v>
                </c:pt>
                <c:pt idx="93">
                  <c:v>-5.233595624294362E-2</c:v>
                </c:pt>
                <c:pt idx="94">
                  <c:v>-6.975647374412533E-2</c:v>
                </c:pt>
                <c:pt idx="95">
                  <c:v>-8.7155742747658235E-2</c:v>
                </c:pt>
                <c:pt idx="96">
                  <c:v>-0.10452846326765333</c:v>
                </c:pt>
                <c:pt idx="97">
                  <c:v>-0.12186934340514737</c:v>
                </c:pt>
                <c:pt idx="98">
                  <c:v>-0.13917310096006535</c:v>
                </c:pt>
                <c:pt idx="99">
                  <c:v>-0.15643446504023104</c:v>
                </c:pt>
                <c:pt idx="100">
                  <c:v>-0.1736481776669303</c:v>
                </c:pt>
                <c:pt idx="101">
                  <c:v>-0.1908089953765448</c:v>
                </c:pt>
                <c:pt idx="102">
                  <c:v>-0.20791169081775912</c:v>
                </c:pt>
                <c:pt idx="103">
                  <c:v>-0.22495105434386481</c:v>
                </c:pt>
                <c:pt idx="104">
                  <c:v>-0.24192189559966779</c:v>
                </c:pt>
                <c:pt idx="105">
                  <c:v>-0.25881904510252085</c:v>
                </c:pt>
                <c:pt idx="106">
                  <c:v>-0.27563735581699905</c:v>
                </c:pt>
                <c:pt idx="107">
                  <c:v>-0.29237170472273666</c:v>
                </c:pt>
                <c:pt idx="108">
                  <c:v>-0.30901699437494734</c:v>
                </c:pt>
                <c:pt idx="109">
                  <c:v>-0.32556815445715642</c:v>
                </c:pt>
                <c:pt idx="110">
                  <c:v>-0.34202014332566871</c:v>
                </c:pt>
                <c:pt idx="111">
                  <c:v>-0.35836794954530027</c:v>
                </c:pt>
                <c:pt idx="112">
                  <c:v>-0.37460659341591207</c:v>
                </c:pt>
                <c:pt idx="113">
                  <c:v>-0.3907311284892736</c:v>
                </c:pt>
                <c:pt idx="114">
                  <c:v>-0.40673664307580004</c:v>
                </c:pt>
                <c:pt idx="115">
                  <c:v>-0.42261826174069933</c:v>
                </c:pt>
                <c:pt idx="116">
                  <c:v>-0.43837114678907751</c:v>
                </c:pt>
                <c:pt idx="117">
                  <c:v>-0.45399049973954669</c:v>
                </c:pt>
                <c:pt idx="118">
                  <c:v>-0.46947156278589053</c:v>
                </c:pt>
                <c:pt idx="119">
                  <c:v>-0.484809620246337</c:v>
                </c:pt>
                <c:pt idx="120">
                  <c:v>-0.49999999999999978</c:v>
                </c:pt>
                <c:pt idx="121">
                  <c:v>-0.51503807491005427</c:v>
                </c:pt>
                <c:pt idx="122">
                  <c:v>-0.52991926423320479</c:v>
                </c:pt>
                <c:pt idx="123">
                  <c:v>-0.54463903501502708</c:v>
                </c:pt>
                <c:pt idx="124">
                  <c:v>-0.55919290347074668</c:v>
                </c:pt>
                <c:pt idx="125">
                  <c:v>-0.57357643635104583</c:v>
                </c:pt>
                <c:pt idx="126">
                  <c:v>-0.58778525229247303</c:v>
                </c:pt>
                <c:pt idx="127">
                  <c:v>-0.60181502315204838</c:v>
                </c:pt>
                <c:pt idx="128">
                  <c:v>-0.61566147532565829</c:v>
                </c:pt>
                <c:pt idx="129">
                  <c:v>-0.62932039104983728</c:v>
                </c:pt>
                <c:pt idx="130">
                  <c:v>-0.64278760968653936</c:v>
                </c:pt>
                <c:pt idx="131">
                  <c:v>-0.6560590289905075</c:v>
                </c:pt>
                <c:pt idx="132">
                  <c:v>-0.66913060635885824</c:v>
                </c:pt>
                <c:pt idx="133">
                  <c:v>-0.68199836006249837</c:v>
                </c:pt>
                <c:pt idx="134">
                  <c:v>-0.69465837045899703</c:v>
                </c:pt>
                <c:pt idx="135">
                  <c:v>-0.70710678118654746</c:v>
                </c:pt>
                <c:pt idx="136">
                  <c:v>-0.71933980033865119</c:v>
                </c:pt>
                <c:pt idx="137">
                  <c:v>-0.73135370161917046</c:v>
                </c:pt>
                <c:pt idx="138">
                  <c:v>-0.74314482547739402</c:v>
                </c:pt>
                <c:pt idx="139">
                  <c:v>-0.75470958022277201</c:v>
                </c:pt>
                <c:pt idx="140">
                  <c:v>-0.7660444431189779</c:v>
                </c:pt>
                <c:pt idx="141">
                  <c:v>-0.77714596145697068</c:v>
                </c:pt>
                <c:pt idx="142">
                  <c:v>-0.7880107536067219</c:v>
                </c:pt>
                <c:pt idx="143">
                  <c:v>-0.79863551004729294</c:v>
                </c:pt>
                <c:pt idx="144">
                  <c:v>-0.80901699437494734</c:v>
                </c:pt>
                <c:pt idx="145">
                  <c:v>-0.81915204428899158</c:v>
                </c:pt>
                <c:pt idx="146">
                  <c:v>-0.82903757255504162</c:v>
                </c:pt>
                <c:pt idx="147">
                  <c:v>-0.83867056794542416</c:v>
                </c:pt>
                <c:pt idx="148">
                  <c:v>-0.84804809615642596</c:v>
                </c:pt>
                <c:pt idx="149">
                  <c:v>-0.85716730070211222</c:v>
                </c:pt>
                <c:pt idx="150">
                  <c:v>-0.86602540378443871</c:v>
                </c:pt>
                <c:pt idx="151">
                  <c:v>-0.87461970713939574</c:v>
                </c:pt>
                <c:pt idx="152">
                  <c:v>-0.88294759285892677</c:v>
                </c:pt>
                <c:pt idx="153">
                  <c:v>-0.89100652418836779</c:v>
                </c:pt>
                <c:pt idx="154">
                  <c:v>-0.89879404629916704</c:v>
                </c:pt>
                <c:pt idx="155">
                  <c:v>-0.90630778703664994</c:v>
                </c:pt>
                <c:pt idx="156">
                  <c:v>-0.91354545764260076</c:v>
                </c:pt>
                <c:pt idx="157">
                  <c:v>-0.92050485345244015</c:v>
                </c:pt>
                <c:pt idx="158">
                  <c:v>-0.92718385456678731</c:v>
                </c:pt>
                <c:pt idx="159">
                  <c:v>-0.93358042649720174</c:v>
                </c:pt>
                <c:pt idx="160">
                  <c:v>-0.93969262078590832</c:v>
                </c:pt>
                <c:pt idx="161">
                  <c:v>-0.94551857559931674</c:v>
                </c:pt>
                <c:pt idx="162">
                  <c:v>-0.95105651629515353</c:v>
                </c:pt>
                <c:pt idx="163">
                  <c:v>-0.95630475596303544</c:v>
                </c:pt>
                <c:pt idx="164">
                  <c:v>-0.96126169593831867</c:v>
                </c:pt>
                <c:pt idx="165">
                  <c:v>-0.9659258262890682</c:v>
                </c:pt>
                <c:pt idx="166">
                  <c:v>-0.97029572627599647</c:v>
                </c:pt>
                <c:pt idx="167">
                  <c:v>-0.97437006478523525</c:v>
                </c:pt>
                <c:pt idx="168">
                  <c:v>-0.97814760073380569</c:v>
                </c:pt>
                <c:pt idx="169">
                  <c:v>-0.98162718344766398</c:v>
                </c:pt>
                <c:pt idx="170">
                  <c:v>-0.98480775301220802</c:v>
                </c:pt>
                <c:pt idx="171">
                  <c:v>-0.98768834059513766</c:v>
                </c:pt>
                <c:pt idx="172">
                  <c:v>-0.99026806874157025</c:v>
                </c:pt>
                <c:pt idx="173">
                  <c:v>-0.99254615164132198</c:v>
                </c:pt>
                <c:pt idx="174">
                  <c:v>-0.99452189536827329</c:v>
                </c:pt>
                <c:pt idx="175">
                  <c:v>-0.99619469809174555</c:v>
                </c:pt>
                <c:pt idx="176">
                  <c:v>-0.9975640502598242</c:v>
                </c:pt>
                <c:pt idx="177">
                  <c:v>-0.99862953475457383</c:v>
                </c:pt>
                <c:pt idx="178">
                  <c:v>-0.99939082701909576</c:v>
                </c:pt>
                <c:pt idx="179">
                  <c:v>-0.99984769515639127</c:v>
                </c:pt>
                <c:pt idx="180">
                  <c:v>-1</c:v>
                </c:pt>
                <c:pt idx="181">
                  <c:v>-0.99984769515639127</c:v>
                </c:pt>
                <c:pt idx="182">
                  <c:v>-0.99939082701909576</c:v>
                </c:pt>
                <c:pt idx="183">
                  <c:v>-0.99862953475457383</c:v>
                </c:pt>
                <c:pt idx="184">
                  <c:v>-0.99756405025982431</c:v>
                </c:pt>
                <c:pt idx="185">
                  <c:v>-0.99619469809174555</c:v>
                </c:pt>
                <c:pt idx="186">
                  <c:v>-0.9945218953682734</c:v>
                </c:pt>
                <c:pt idx="187">
                  <c:v>-0.99254615164132198</c:v>
                </c:pt>
                <c:pt idx="188">
                  <c:v>-0.99026806874157025</c:v>
                </c:pt>
                <c:pt idx="189">
                  <c:v>-0.98768834059513777</c:v>
                </c:pt>
                <c:pt idx="190">
                  <c:v>-0.98480775301220802</c:v>
                </c:pt>
                <c:pt idx="191">
                  <c:v>-0.98162718344766398</c:v>
                </c:pt>
                <c:pt idx="192">
                  <c:v>-0.97814760073380569</c:v>
                </c:pt>
                <c:pt idx="193">
                  <c:v>-0.97437006478523525</c:v>
                </c:pt>
                <c:pt idx="194">
                  <c:v>-0.97029572627599647</c:v>
                </c:pt>
                <c:pt idx="195">
                  <c:v>-0.96592582628906842</c:v>
                </c:pt>
                <c:pt idx="196">
                  <c:v>-0.96126169593831889</c:v>
                </c:pt>
                <c:pt idx="197">
                  <c:v>-0.95630475596303555</c:v>
                </c:pt>
                <c:pt idx="198">
                  <c:v>-0.95105651629515353</c:v>
                </c:pt>
                <c:pt idx="199">
                  <c:v>-0.94551857559931674</c:v>
                </c:pt>
                <c:pt idx="200">
                  <c:v>-0.93969262078590843</c:v>
                </c:pt>
                <c:pt idx="201">
                  <c:v>-0.93358042649720174</c:v>
                </c:pt>
                <c:pt idx="202">
                  <c:v>-0.92718385456678742</c:v>
                </c:pt>
                <c:pt idx="203">
                  <c:v>-0.92050485345244037</c:v>
                </c:pt>
                <c:pt idx="204">
                  <c:v>-0.91354545764260109</c:v>
                </c:pt>
                <c:pt idx="205">
                  <c:v>-0.90630778703665005</c:v>
                </c:pt>
                <c:pt idx="206">
                  <c:v>-0.89879404629916715</c:v>
                </c:pt>
                <c:pt idx="207">
                  <c:v>-0.89100652418836812</c:v>
                </c:pt>
                <c:pt idx="208">
                  <c:v>-0.88294759285892688</c:v>
                </c:pt>
                <c:pt idx="209">
                  <c:v>-0.87461970713939585</c:v>
                </c:pt>
                <c:pt idx="210">
                  <c:v>-0.8660254037844386</c:v>
                </c:pt>
                <c:pt idx="211">
                  <c:v>-0.85716730070211233</c:v>
                </c:pt>
                <c:pt idx="212">
                  <c:v>-0.84804809615642607</c:v>
                </c:pt>
                <c:pt idx="213">
                  <c:v>-0.83867056794542405</c:v>
                </c:pt>
                <c:pt idx="214">
                  <c:v>-0.82903757255504185</c:v>
                </c:pt>
                <c:pt idx="215">
                  <c:v>-0.81915204428899202</c:v>
                </c:pt>
                <c:pt idx="216">
                  <c:v>-0.80901699437494756</c:v>
                </c:pt>
                <c:pt idx="217">
                  <c:v>-0.79863551004729305</c:v>
                </c:pt>
                <c:pt idx="218">
                  <c:v>-0.78801075360672224</c:v>
                </c:pt>
                <c:pt idx="219">
                  <c:v>-0.77714596145697079</c:v>
                </c:pt>
                <c:pt idx="220">
                  <c:v>-0.76604444311897801</c:v>
                </c:pt>
                <c:pt idx="221">
                  <c:v>-0.7547095802227719</c:v>
                </c:pt>
                <c:pt idx="222">
                  <c:v>-0.74314482547739424</c:v>
                </c:pt>
                <c:pt idx="223">
                  <c:v>-0.73135370161917057</c:v>
                </c:pt>
                <c:pt idx="224">
                  <c:v>-0.71933980033865108</c:v>
                </c:pt>
                <c:pt idx="225">
                  <c:v>-0.70710678118654768</c:v>
                </c:pt>
                <c:pt idx="226">
                  <c:v>-0.69465837045899759</c:v>
                </c:pt>
                <c:pt idx="227">
                  <c:v>-0.68199836006249892</c:v>
                </c:pt>
                <c:pt idx="228">
                  <c:v>-0.66913060635885846</c:v>
                </c:pt>
                <c:pt idx="229">
                  <c:v>-0.65605902899050761</c:v>
                </c:pt>
                <c:pt idx="230">
                  <c:v>-0.64278760968653947</c:v>
                </c:pt>
                <c:pt idx="231">
                  <c:v>-0.62932039104983717</c:v>
                </c:pt>
                <c:pt idx="232">
                  <c:v>-0.61566147532565807</c:v>
                </c:pt>
                <c:pt idx="233">
                  <c:v>-0.60181502315204827</c:v>
                </c:pt>
                <c:pt idx="234">
                  <c:v>-0.58778525229247325</c:v>
                </c:pt>
                <c:pt idx="235">
                  <c:v>-0.57357643635104638</c:v>
                </c:pt>
                <c:pt idx="236">
                  <c:v>-0.55919290347074724</c:v>
                </c:pt>
                <c:pt idx="237">
                  <c:v>-0.54463903501502697</c:v>
                </c:pt>
                <c:pt idx="238">
                  <c:v>-0.52991926423320501</c:v>
                </c:pt>
                <c:pt idx="239">
                  <c:v>-0.51503807491005449</c:v>
                </c:pt>
                <c:pt idx="240">
                  <c:v>-0.50000000000000044</c:v>
                </c:pt>
                <c:pt idx="241">
                  <c:v>-0.48480962024633684</c:v>
                </c:pt>
                <c:pt idx="242">
                  <c:v>-0.46947156278589075</c:v>
                </c:pt>
                <c:pt idx="243">
                  <c:v>-0.45399049973954692</c:v>
                </c:pt>
                <c:pt idx="244">
                  <c:v>-0.43837114678907774</c:v>
                </c:pt>
                <c:pt idx="245">
                  <c:v>-0.42261826174069994</c:v>
                </c:pt>
                <c:pt idx="246">
                  <c:v>-0.4067366430758001</c:v>
                </c:pt>
                <c:pt idx="247">
                  <c:v>-0.39073112848927383</c:v>
                </c:pt>
                <c:pt idx="248">
                  <c:v>-0.37460659341591229</c:v>
                </c:pt>
                <c:pt idx="249">
                  <c:v>-0.35836794954530071</c:v>
                </c:pt>
                <c:pt idx="250">
                  <c:v>-0.34202014332566938</c:v>
                </c:pt>
                <c:pt idx="251">
                  <c:v>-0.32556815445715664</c:v>
                </c:pt>
                <c:pt idx="252">
                  <c:v>-0.30901699437494756</c:v>
                </c:pt>
                <c:pt idx="253">
                  <c:v>-0.2923717047227371</c:v>
                </c:pt>
                <c:pt idx="254">
                  <c:v>-0.27563735581699889</c:v>
                </c:pt>
                <c:pt idx="255">
                  <c:v>-0.25881904510252063</c:v>
                </c:pt>
                <c:pt idx="256">
                  <c:v>-0.24192189559966779</c:v>
                </c:pt>
                <c:pt idx="257">
                  <c:v>-0.22495105434386525</c:v>
                </c:pt>
                <c:pt idx="258">
                  <c:v>-0.20791169081775979</c:v>
                </c:pt>
                <c:pt idx="259">
                  <c:v>-0.19080899537654547</c:v>
                </c:pt>
                <c:pt idx="260">
                  <c:v>-0.17364817766693033</c:v>
                </c:pt>
                <c:pt idx="261">
                  <c:v>-0.15643446504023104</c:v>
                </c:pt>
                <c:pt idx="262">
                  <c:v>-0.13917310096006494</c:v>
                </c:pt>
                <c:pt idx="263">
                  <c:v>-0.12186934340514717</c:v>
                </c:pt>
                <c:pt idx="264">
                  <c:v>-0.10452846326765336</c:v>
                </c:pt>
                <c:pt idx="265">
                  <c:v>-8.7155742747658249E-2</c:v>
                </c:pt>
                <c:pt idx="266">
                  <c:v>-6.975647374412558E-2</c:v>
                </c:pt>
                <c:pt idx="267">
                  <c:v>-5.2335956242944306E-2</c:v>
                </c:pt>
                <c:pt idx="268">
                  <c:v>-3.4899496702501649E-2</c:v>
                </c:pt>
                <c:pt idx="269">
                  <c:v>-1.7452406437283498E-2</c:v>
                </c:pt>
                <c:pt idx="270">
                  <c:v>-1.83772268236293E-16</c:v>
                </c:pt>
                <c:pt idx="271">
                  <c:v>1.745240643728313E-2</c:v>
                </c:pt>
                <c:pt idx="272">
                  <c:v>3.4899496702501281E-2</c:v>
                </c:pt>
                <c:pt idx="273">
                  <c:v>5.2335956242943946E-2</c:v>
                </c:pt>
                <c:pt idx="274">
                  <c:v>6.9756473744125219E-2</c:v>
                </c:pt>
                <c:pt idx="275">
                  <c:v>8.7155742747657888E-2</c:v>
                </c:pt>
                <c:pt idx="276">
                  <c:v>0.10452846326765299</c:v>
                </c:pt>
                <c:pt idx="277">
                  <c:v>0.12186934340514768</c:v>
                </c:pt>
                <c:pt idx="278">
                  <c:v>0.13917310096006547</c:v>
                </c:pt>
                <c:pt idx="279">
                  <c:v>0.15643446504023067</c:v>
                </c:pt>
                <c:pt idx="280">
                  <c:v>0.17364817766692997</c:v>
                </c:pt>
                <c:pt idx="281">
                  <c:v>0.19080899537654425</c:v>
                </c:pt>
                <c:pt idx="282">
                  <c:v>0.20791169081775857</c:v>
                </c:pt>
                <c:pt idx="283">
                  <c:v>0.22495105434386492</c:v>
                </c:pt>
                <c:pt idx="284">
                  <c:v>0.24192189559966745</c:v>
                </c:pt>
                <c:pt idx="285">
                  <c:v>0.25881904510252113</c:v>
                </c:pt>
                <c:pt idx="286">
                  <c:v>0.27563735581699939</c:v>
                </c:pt>
                <c:pt idx="287">
                  <c:v>0.29237170472273671</c:v>
                </c:pt>
                <c:pt idx="288">
                  <c:v>0.30901699437494723</c:v>
                </c:pt>
                <c:pt idx="289">
                  <c:v>0.32556815445715631</c:v>
                </c:pt>
                <c:pt idx="290">
                  <c:v>0.34202014332566816</c:v>
                </c:pt>
                <c:pt idx="291">
                  <c:v>0.35836794954529955</c:v>
                </c:pt>
                <c:pt idx="292">
                  <c:v>0.37460659341591196</c:v>
                </c:pt>
                <c:pt idx="293">
                  <c:v>0.39073112848927349</c:v>
                </c:pt>
                <c:pt idx="294">
                  <c:v>0.40673664307580054</c:v>
                </c:pt>
                <c:pt idx="295">
                  <c:v>0.42261826174069961</c:v>
                </c:pt>
                <c:pt idx="296">
                  <c:v>0.4383711467890774</c:v>
                </c:pt>
                <c:pt idx="297">
                  <c:v>0.45399049973954664</c:v>
                </c:pt>
                <c:pt idx="298">
                  <c:v>0.46947156278589042</c:v>
                </c:pt>
                <c:pt idx="299">
                  <c:v>0.4848096202463365</c:v>
                </c:pt>
                <c:pt idx="300">
                  <c:v>0.50000000000000011</c:v>
                </c:pt>
                <c:pt idx="301">
                  <c:v>0.51503807491005416</c:v>
                </c:pt>
                <c:pt idx="302">
                  <c:v>0.52991926423320468</c:v>
                </c:pt>
                <c:pt idx="303">
                  <c:v>0.54463903501502664</c:v>
                </c:pt>
                <c:pt idx="304">
                  <c:v>0.55919290347074624</c:v>
                </c:pt>
                <c:pt idx="305">
                  <c:v>0.57357643635104605</c:v>
                </c:pt>
                <c:pt idx="306">
                  <c:v>0.58778525229247292</c:v>
                </c:pt>
                <c:pt idx="307">
                  <c:v>0.60181502315204793</c:v>
                </c:pt>
                <c:pt idx="308">
                  <c:v>0.61566147532565851</c:v>
                </c:pt>
                <c:pt idx="309">
                  <c:v>0.6293203910498375</c:v>
                </c:pt>
                <c:pt idx="310">
                  <c:v>0.64278760968653925</c:v>
                </c:pt>
                <c:pt idx="311">
                  <c:v>0.65605902899050705</c:v>
                </c:pt>
                <c:pt idx="312">
                  <c:v>0.66913060635885779</c:v>
                </c:pt>
                <c:pt idx="313">
                  <c:v>0.68199836006249803</c:v>
                </c:pt>
                <c:pt idx="314">
                  <c:v>0.69465837045899659</c:v>
                </c:pt>
                <c:pt idx="315">
                  <c:v>0.70710678118654735</c:v>
                </c:pt>
                <c:pt idx="316">
                  <c:v>0.71933980033865086</c:v>
                </c:pt>
                <c:pt idx="317">
                  <c:v>0.73135370161917068</c:v>
                </c:pt>
                <c:pt idx="318">
                  <c:v>0.74314482547739424</c:v>
                </c:pt>
                <c:pt idx="319">
                  <c:v>0.7547095802227719</c:v>
                </c:pt>
                <c:pt idx="320">
                  <c:v>0.76604444311897779</c:v>
                </c:pt>
                <c:pt idx="321">
                  <c:v>0.77714596145697057</c:v>
                </c:pt>
                <c:pt idx="322">
                  <c:v>0.78801075360672157</c:v>
                </c:pt>
                <c:pt idx="323">
                  <c:v>0.79863551004729283</c:v>
                </c:pt>
                <c:pt idx="324">
                  <c:v>0.80901699437494734</c:v>
                </c:pt>
                <c:pt idx="325">
                  <c:v>0.81915204428899158</c:v>
                </c:pt>
                <c:pt idx="326">
                  <c:v>0.8290375725550414</c:v>
                </c:pt>
                <c:pt idx="327">
                  <c:v>0.83867056794542405</c:v>
                </c:pt>
                <c:pt idx="328">
                  <c:v>0.8480480961564254</c:v>
                </c:pt>
                <c:pt idx="329">
                  <c:v>0.85716730070211211</c:v>
                </c:pt>
                <c:pt idx="330">
                  <c:v>0.86602540378443837</c:v>
                </c:pt>
                <c:pt idx="331">
                  <c:v>0.87461970713939585</c:v>
                </c:pt>
                <c:pt idx="332">
                  <c:v>0.88294759285892688</c:v>
                </c:pt>
                <c:pt idx="333">
                  <c:v>0.89100652418836779</c:v>
                </c:pt>
                <c:pt idx="334">
                  <c:v>0.89879404629916715</c:v>
                </c:pt>
                <c:pt idx="335">
                  <c:v>0.90630778703664971</c:v>
                </c:pt>
                <c:pt idx="336">
                  <c:v>0.91354545764260098</c:v>
                </c:pt>
                <c:pt idx="337">
                  <c:v>0.92050485345243993</c:v>
                </c:pt>
                <c:pt idx="338">
                  <c:v>0.92718385456678731</c:v>
                </c:pt>
                <c:pt idx="339">
                  <c:v>0.93358042649720152</c:v>
                </c:pt>
                <c:pt idx="340">
                  <c:v>0.93969262078590843</c:v>
                </c:pt>
                <c:pt idx="341">
                  <c:v>0.94551857559931651</c:v>
                </c:pt>
                <c:pt idx="342">
                  <c:v>0.95105651629515353</c:v>
                </c:pt>
                <c:pt idx="343">
                  <c:v>0.95630475596303566</c:v>
                </c:pt>
                <c:pt idx="344">
                  <c:v>0.96126169593831867</c:v>
                </c:pt>
                <c:pt idx="345">
                  <c:v>0.96592582628906831</c:v>
                </c:pt>
                <c:pt idx="346">
                  <c:v>0.97029572627599647</c:v>
                </c:pt>
                <c:pt idx="347">
                  <c:v>0.97437006478523513</c:v>
                </c:pt>
                <c:pt idx="348">
                  <c:v>0.97814760073380558</c:v>
                </c:pt>
                <c:pt idx="349">
                  <c:v>0.98162718344766398</c:v>
                </c:pt>
                <c:pt idx="350">
                  <c:v>0.98480775301220791</c:v>
                </c:pt>
                <c:pt idx="351">
                  <c:v>0.98768834059513766</c:v>
                </c:pt>
                <c:pt idx="352">
                  <c:v>0.99026806874157025</c:v>
                </c:pt>
                <c:pt idx="353">
                  <c:v>0.99254615164132198</c:v>
                </c:pt>
                <c:pt idx="354">
                  <c:v>0.99452189536827329</c:v>
                </c:pt>
                <c:pt idx="355">
                  <c:v>0.99619469809174555</c:v>
                </c:pt>
                <c:pt idx="356">
                  <c:v>0.99756405025982431</c:v>
                </c:pt>
                <c:pt idx="357">
                  <c:v>0.99862953475457383</c:v>
                </c:pt>
                <c:pt idx="358">
                  <c:v>0.99939082701909576</c:v>
                </c:pt>
                <c:pt idx="359">
                  <c:v>0.99984769515639127</c:v>
                </c:pt>
                <c:pt idx="360">
                  <c:v>1</c:v>
                </c:pt>
              </c:numCache>
            </c:numRef>
          </c:xVal>
          <c:yVal>
            <c:numRef>
              <c:f>'autoval&amp;vet - circularizaçã (6)'!$M$7:$M$367</c:f>
              <c:numCache>
                <c:formatCode>0.000</c:formatCode>
                <c:ptCount val="361"/>
                <c:pt idx="0">
                  <c:v>0</c:v>
                </c:pt>
                <c:pt idx="1">
                  <c:v>1.7452406437283512E-2</c:v>
                </c:pt>
                <c:pt idx="2">
                  <c:v>3.4899496702500969E-2</c:v>
                </c:pt>
                <c:pt idx="3">
                  <c:v>5.2335956242943828E-2</c:v>
                </c:pt>
                <c:pt idx="4">
                  <c:v>6.9756473744125302E-2</c:v>
                </c:pt>
                <c:pt idx="5">
                  <c:v>8.7155742747658166E-2</c:v>
                </c:pt>
                <c:pt idx="6">
                  <c:v>0.10452846326765346</c:v>
                </c:pt>
                <c:pt idx="7">
                  <c:v>0.12186934340514748</c:v>
                </c:pt>
                <c:pt idx="8">
                  <c:v>0.13917310096006544</c:v>
                </c:pt>
                <c:pt idx="9">
                  <c:v>0.15643446504023087</c:v>
                </c:pt>
                <c:pt idx="10">
                  <c:v>0.17364817766693033</c:v>
                </c:pt>
                <c:pt idx="11">
                  <c:v>0.1908089953765448</c:v>
                </c:pt>
                <c:pt idx="12">
                  <c:v>0.20791169081775931</c:v>
                </c:pt>
                <c:pt idx="13">
                  <c:v>0.224951054343865</c:v>
                </c:pt>
                <c:pt idx="14">
                  <c:v>0.24192189559966773</c:v>
                </c:pt>
                <c:pt idx="15">
                  <c:v>0.25881904510252074</c:v>
                </c:pt>
                <c:pt idx="16">
                  <c:v>0.27563735581699916</c:v>
                </c:pt>
                <c:pt idx="17">
                  <c:v>0.29237170472273677</c:v>
                </c:pt>
                <c:pt idx="18">
                  <c:v>0.3090169943749474</c:v>
                </c:pt>
                <c:pt idx="19">
                  <c:v>0.32556815445715664</c:v>
                </c:pt>
                <c:pt idx="20">
                  <c:v>0.34202014332566871</c:v>
                </c:pt>
                <c:pt idx="21">
                  <c:v>0.35836794954530027</c:v>
                </c:pt>
                <c:pt idx="22">
                  <c:v>0.37460659341591201</c:v>
                </c:pt>
                <c:pt idx="23">
                  <c:v>0.39073112848927372</c:v>
                </c:pt>
                <c:pt idx="24">
                  <c:v>0.40673664307580015</c:v>
                </c:pt>
                <c:pt idx="25">
                  <c:v>0.42261826174069944</c:v>
                </c:pt>
                <c:pt idx="26">
                  <c:v>0.4383711467890774</c:v>
                </c:pt>
                <c:pt idx="27">
                  <c:v>0.45399049973954675</c:v>
                </c:pt>
                <c:pt idx="28">
                  <c:v>0.46947156278589081</c:v>
                </c:pt>
                <c:pt idx="29">
                  <c:v>0.48480962024633706</c:v>
                </c:pt>
                <c:pt idx="30">
                  <c:v>0.49999999999999994</c:v>
                </c:pt>
                <c:pt idx="31">
                  <c:v>0.51503807491005416</c:v>
                </c:pt>
                <c:pt idx="32">
                  <c:v>0.5299192642332049</c:v>
                </c:pt>
                <c:pt idx="33">
                  <c:v>0.54463903501502708</c:v>
                </c:pt>
                <c:pt idx="34">
                  <c:v>0.5591929034707469</c:v>
                </c:pt>
                <c:pt idx="35">
                  <c:v>0.57357643635104605</c:v>
                </c:pt>
                <c:pt idx="36">
                  <c:v>0.58778525229247314</c:v>
                </c:pt>
                <c:pt idx="37">
                  <c:v>0.60181502315204827</c:v>
                </c:pt>
                <c:pt idx="38">
                  <c:v>0.61566147532565818</c:v>
                </c:pt>
                <c:pt idx="39">
                  <c:v>0.62932039104983739</c:v>
                </c:pt>
                <c:pt idx="40">
                  <c:v>0.64278760968653925</c:v>
                </c:pt>
                <c:pt idx="41">
                  <c:v>0.65605902899050716</c:v>
                </c:pt>
                <c:pt idx="42">
                  <c:v>0.66913060635885824</c:v>
                </c:pt>
                <c:pt idx="43">
                  <c:v>0.68199836006249848</c:v>
                </c:pt>
                <c:pt idx="44">
                  <c:v>0.69465837045899725</c:v>
                </c:pt>
                <c:pt idx="45">
                  <c:v>0.70710678118654746</c:v>
                </c:pt>
                <c:pt idx="46">
                  <c:v>0.71933980033865108</c:v>
                </c:pt>
                <c:pt idx="47">
                  <c:v>0.73135370161917046</c:v>
                </c:pt>
                <c:pt idx="48">
                  <c:v>0.74314482547739413</c:v>
                </c:pt>
                <c:pt idx="49">
                  <c:v>0.75470958022277201</c:v>
                </c:pt>
                <c:pt idx="50">
                  <c:v>0.76604444311897801</c:v>
                </c:pt>
                <c:pt idx="51">
                  <c:v>0.77714596145697079</c:v>
                </c:pt>
                <c:pt idx="52">
                  <c:v>0.78801075360672201</c:v>
                </c:pt>
                <c:pt idx="53">
                  <c:v>0.79863551004729283</c:v>
                </c:pt>
                <c:pt idx="54">
                  <c:v>0.80901699437494745</c:v>
                </c:pt>
                <c:pt idx="55">
                  <c:v>0.8191520442889918</c:v>
                </c:pt>
                <c:pt idx="56">
                  <c:v>0.82903757255504174</c:v>
                </c:pt>
                <c:pt idx="57">
                  <c:v>0.83867056794542394</c:v>
                </c:pt>
                <c:pt idx="58">
                  <c:v>0.84804809615642596</c:v>
                </c:pt>
                <c:pt idx="59">
                  <c:v>0.85716730070211222</c:v>
                </c:pt>
                <c:pt idx="60">
                  <c:v>0.8660254037844386</c:v>
                </c:pt>
                <c:pt idx="61">
                  <c:v>0.87461970713939574</c:v>
                </c:pt>
                <c:pt idx="62">
                  <c:v>0.88294759285892688</c:v>
                </c:pt>
                <c:pt idx="63">
                  <c:v>0.89100652418836779</c:v>
                </c:pt>
                <c:pt idx="64">
                  <c:v>0.89879404629916704</c:v>
                </c:pt>
                <c:pt idx="65">
                  <c:v>0.90630778703664994</c:v>
                </c:pt>
                <c:pt idx="66">
                  <c:v>0.91354545764260087</c:v>
                </c:pt>
                <c:pt idx="67">
                  <c:v>0.92050485345244026</c:v>
                </c:pt>
                <c:pt idx="68">
                  <c:v>0.92718385456678742</c:v>
                </c:pt>
                <c:pt idx="69">
                  <c:v>0.93358042649720174</c:v>
                </c:pt>
                <c:pt idx="70">
                  <c:v>0.93969262078590832</c:v>
                </c:pt>
                <c:pt idx="71">
                  <c:v>0.94551857559931674</c:v>
                </c:pt>
                <c:pt idx="72">
                  <c:v>0.95105651629515353</c:v>
                </c:pt>
                <c:pt idx="73">
                  <c:v>0.95630475596303544</c:v>
                </c:pt>
                <c:pt idx="74">
                  <c:v>0.96126169593831889</c:v>
                </c:pt>
                <c:pt idx="75">
                  <c:v>0.96592582628906831</c:v>
                </c:pt>
                <c:pt idx="76">
                  <c:v>0.97029572627599647</c:v>
                </c:pt>
                <c:pt idx="77">
                  <c:v>0.97437006478523525</c:v>
                </c:pt>
                <c:pt idx="78">
                  <c:v>0.97814760073380558</c:v>
                </c:pt>
                <c:pt idx="79">
                  <c:v>0.98162718344766398</c:v>
                </c:pt>
                <c:pt idx="80">
                  <c:v>0.98480775301220802</c:v>
                </c:pt>
                <c:pt idx="81">
                  <c:v>0.98768834059513777</c:v>
                </c:pt>
                <c:pt idx="82">
                  <c:v>0.99026806874157025</c:v>
                </c:pt>
                <c:pt idx="83">
                  <c:v>0.99254615164132198</c:v>
                </c:pt>
                <c:pt idx="84">
                  <c:v>0.99452189536827329</c:v>
                </c:pt>
                <c:pt idx="85">
                  <c:v>0.99619469809174555</c:v>
                </c:pt>
                <c:pt idx="86">
                  <c:v>0.9975640502598242</c:v>
                </c:pt>
                <c:pt idx="87">
                  <c:v>0.99862953475457383</c:v>
                </c:pt>
                <c:pt idx="88">
                  <c:v>0.99939082701909576</c:v>
                </c:pt>
                <c:pt idx="89">
                  <c:v>0.99984769515639127</c:v>
                </c:pt>
                <c:pt idx="90">
                  <c:v>1</c:v>
                </c:pt>
                <c:pt idx="91">
                  <c:v>0.99984769515639127</c:v>
                </c:pt>
                <c:pt idx="92">
                  <c:v>0.99939082701909576</c:v>
                </c:pt>
                <c:pt idx="93">
                  <c:v>0.99862953475457383</c:v>
                </c:pt>
                <c:pt idx="94">
                  <c:v>0.9975640502598242</c:v>
                </c:pt>
                <c:pt idx="95">
                  <c:v>0.99619469809174555</c:v>
                </c:pt>
                <c:pt idx="96">
                  <c:v>0.9945218953682734</c:v>
                </c:pt>
                <c:pt idx="97">
                  <c:v>0.99254615164132209</c:v>
                </c:pt>
                <c:pt idx="98">
                  <c:v>0.99026806874157036</c:v>
                </c:pt>
                <c:pt idx="99">
                  <c:v>0.98768834059513766</c:v>
                </c:pt>
                <c:pt idx="100">
                  <c:v>0.98480775301220802</c:v>
                </c:pt>
                <c:pt idx="101">
                  <c:v>0.98162718344766398</c:v>
                </c:pt>
                <c:pt idx="102">
                  <c:v>0.97814760073380569</c:v>
                </c:pt>
                <c:pt idx="103">
                  <c:v>0.97437006478523525</c:v>
                </c:pt>
                <c:pt idx="104">
                  <c:v>0.97029572627599647</c:v>
                </c:pt>
                <c:pt idx="105">
                  <c:v>0.96592582628906831</c:v>
                </c:pt>
                <c:pt idx="106">
                  <c:v>0.96126169593831889</c:v>
                </c:pt>
                <c:pt idx="107">
                  <c:v>0.95630475596303555</c:v>
                </c:pt>
                <c:pt idx="108">
                  <c:v>0.95105651629515364</c:v>
                </c:pt>
                <c:pt idx="109">
                  <c:v>0.94551857559931685</c:v>
                </c:pt>
                <c:pt idx="110">
                  <c:v>0.93969262078590843</c:v>
                </c:pt>
                <c:pt idx="111">
                  <c:v>0.93358042649720174</c:v>
                </c:pt>
                <c:pt idx="112">
                  <c:v>0.92718385456678742</c:v>
                </c:pt>
                <c:pt idx="113">
                  <c:v>0.92050485345244037</c:v>
                </c:pt>
                <c:pt idx="114">
                  <c:v>0.91354545764260098</c:v>
                </c:pt>
                <c:pt idx="115">
                  <c:v>0.90630778703665005</c:v>
                </c:pt>
                <c:pt idx="116">
                  <c:v>0.89879404629916693</c:v>
                </c:pt>
                <c:pt idx="117">
                  <c:v>0.8910065241883679</c:v>
                </c:pt>
                <c:pt idx="118">
                  <c:v>0.8829475928589271</c:v>
                </c:pt>
                <c:pt idx="119">
                  <c:v>0.87461970713939585</c:v>
                </c:pt>
                <c:pt idx="120">
                  <c:v>0.86602540378443871</c:v>
                </c:pt>
                <c:pt idx="121">
                  <c:v>0.85716730070211233</c:v>
                </c:pt>
                <c:pt idx="122">
                  <c:v>0.84804809615642607</c:v>
                </c:pt>
                <c:pt idx="123">
                  <c:v>0.83867056794542394</c:v>
                </c:pt>
                <c:pt idx="124">
                  <c:v>0.82903757255504174</c:v>
                </c:pt>
                <c:pt idx="125">
                  <c:v>0.81915204428899202</c:v>
                </c:pt>
                <c:pt idx="126">
                  <c:v>0.80901699437494745</c:v>
                </c:pt>
                <c:pt idx="127">
                  <c:v>0.79863551004729272</c:v>
                </c:pt>
                <c:pt idx="128">
                  <c:v>0.78801075360672201</c:v>
                </c:pt>
                <c:pt idx="129">
                  <c:v>0.77714596145697101</c:v>
                </c:pt>
                <c:pt idx="130">
                  <c:v>0.76604444311897801</c:v>
                </c:pt>
                <c:pt idx="131">
                  <c:v>0.75470958022277179</c:v>
                </c:pt>
                <c:pt idx="132">
                  <c:v>0.74314482547739424</c:v>
                </c:pt>
                <c:pt idx="133">
                  <c:v>0.73135370161917057</c:v>
                </c:pt>
                <c:pt idx="134">
                  <c:v>0.71933980033865141</c:v>
                </c:pt>
                <c:pt idx="135">
                  <c:v>0.70710678118654757</c:v>
                </c:pt>
                <c:pt idx="136">
                  <c:v>0.69465837045899714</c:v>
                </c:pt>
                <c:pt idx="137">
                  <c:v>0.68199836006249859</c:v>
                </c:pt>
                <c:pt idx="138">
                  <c:v>0.66913060635885835</c:v>
                </c:pt>
                <c:pt idx="139">
                  <c:v>0.65605902899050728</c:v>
                </c:pt>
                <c:pt idx="140">
                  <c:v>0.64278760968653947</c:v>
                </c:pt>
                <c:pt idx="141">
                  <c:v>0.62932039104983772</c:v>
                </c:pt>
                <c:pt idx="142">
                  <c:v>0.6156614753256584</c:v>
                </c:pt>
                <c:pt idx="143">
                  <c:v>0.60181502315204816</c:v>
                </c:pt>
                <c:pt idx="144">
                  <c:v>0.58778525229247325</c:v>
                </c:pt>
                <c:pt idx="145">
                  <c:v>0.57357643635104638</c:v>
                </c:pt>
                <c:pt idx="146">
                  <c:v>0.5591929034707469</c:v>
                </c:pt>
                <c:pt idx="147">
                  <c:v>0.54463903501502697</c:v>
                </c:pt>
                <c:pt idx="148">
                  <c:v>0.5299192642332049</c:v>
                </c:pt>
                <c:pt idx="149">
                  <c:v>0.51503807491005438</c:v>
                </c:pt>
                <c:pt idx="150">
                  <c:v>0.49999999999999994</c:v>
                </c:pt>
                <c:pt idx="151">
                  <c:v>0.48480962024633717</c:v>
                </c:pt>
                <c:pt idx="152">
                  <c:v>0.46947156278589108</c:v>
                </c:pt>
                <c:pt idx="153">
                  <c:v>0.45399049973954686</c:v>
                </c:pt>
                <c:pt idx="154">
                  <c:v>0.43837114678907729</c:v>
                </c:pt>
                <c:pt idx="155">
                  <c:v>0.4226182617406995</c:v>
                </c:pt>
                <c:pt idx="156">
                  <c:v>0.40673664307580043</c:v>
                </c:pt>
                <c:pt idx="157">
                  <c:v>0.39073112848927416</c:v>
                </c:pt>
                <c:pt idx="158">
                  <c:v>0.37460659341591224</c:v>
                </c:pt>
                <c:pt idx="159">
                  <c:v>0.35836794954530021</c:v>
                </c:pt>
                <c:pt idx="160">
                  <c:v>0.34202014332566888</c:v>
                </c:pt>
                <c:pt idx="161">
                  <c:v>0.32556815445715703</c:v>
                </c:pt>
                <c:pt idx="162">
                  <c:v>0.30901699437494751</c:v>
                </c:pt>
                <c:pt idx="163">
                  <c:v>0.29237170472273705</c:v>
                </c:pt>
                <c:pt idx="164">
                  <c:v>0.27563735581699966</c:v>
                </c:pt>
                <c:pt idx="165">
                  <c:v>0.25881904510252102</c:v>
                </c:pt>
                <c:pt idx="166">
                  <c:v>0.24192189559966773</c:v>
                </c:pt>
                <c:pt idx="167">
                  <c:v>0.22495105434386478</c:v>
                </c:pt>
                <c:pt idx="168">
                  <c:v>0.20791169081775931</c:v>
                </c:pt>
                <c:pt idx="169">
                  <c:v>0.19080899537654497</c:v>
                </c:pt>
                <c:pt idx="170">
                  <c:v>0.17364817766693028</c:v>
                </c:pt>
                <c:pt idx="171">
                  <c:v>0.15643446504023098</c:v>
                </c:pt>
                <c:pt idx="172">
                  <c:v>0.13917310096006574</c:v>
                </c:pt>
                <c:pt idx="173">
                  <c:v>0.12186934340514755</c:v>
                </c:pt>
                <c:pt idx="174">
                  <c:v>0.10452846326765373</c:v>
                </c:pt>
                <c:pt idx="175">
                  <c:v>8.7155742747658638E-2</c:v>
                </c:pt>
                <c:pt idx="176">
                  <c:v>6.9756473744125524E-2</c:v>
                </c:pt>
                <c:pt idx="177">
                  <c:v>5.2335956242943807E-2</c:v>
                </c:pt>
                <c:pt idx="178">
                  <c:v>3.4899496702500699E-2</c:v>
                </c:pt>
                <c:pt idx="179">
                  <c:v>1.7452406437283439E-2</c:v>
                </c:pt>
                <c:pt idx="180">
                  <c:v>1.22514845490862E-16</c:v>
                </c:pt>
                <c:pt idx="181">
                  <c:v>-1.7452406437283192E-2</c:v>
                </c:pt>
                <c:pt idx="182">
                  <c:v>-3.48994967025009E-2</c:v>
                </c:pt>
                <c:pt idx="183">
                  <c:v>-5.2335956242943557E-2</c:v>
                </c:pt>
                <c:pt idx="184">
                  <c:v>-6.9756473744124831E-2</c:v>
                </c:pt>
                <c:pt idx="185">
                  <c:v>-8.7155742747657944E-2</c:v>
                </c:pt>
                <c:pt idx="186">
                  <c:v>-0.10452846326765305</c:v>
                </c:pt>
                <c:pt idx="187">
                  <c:v>-0.12186934340514774</c:v>
                </c:pt>
                <c:pt idx="188">
                  <c:v>-0.13917310096006552</c:v>
                </c:pt>
                <c:pt idx="189">
                  <c:v>-0.15643446504023073</c:v>
                </c:pt>
                <c:pt idx="190">
                  <c:v>-0.17364817766693047</c:v>
                </c:pt>
                <c:pt idx="191">
                  <c:v>-0.19080899537654472</c:v>
                </c:pt>
                <c:pt idx="192">
                  <c:v>-0.20791169081775907</c:v>
                </c:pt>
                <c:pt idx="193">
                  <c:v>-0.22495105434386498</c:v>
                </c:pt>
                <c:pt idx="194">
                  <c:v>-0.24192189559966751</c:v>
                </c:pt>
                <c:pt idx="195">
                  <c:v>-0.25881904510252035</c:v>
                </c:pt>
                <c:pt idx="196">
                  <c:v>-0.275637355816999</c:v>
                </c:pt>
                <c:pt idx="197">
                  <c:v>-0.29237170472273638</c:v>
                </c:pt>
                <c:pt idx="198">
                  <c:v>-0.30901699437494773</c:v>
                </c:pt>
                <c:pt idx="199">
                  <c:v>-0.32556815445715676</c:v>
                </c:pt>
                <c:pt idx="200">
                  <c:v>-0.34202014332566866</c:v>
                </c:pt>
                <c:pt idx="201">
                  <c:v>-0.35836794954530043</c:v>
                </c:pt>
                <c:pt idx="202">
                  <c:v>-0.37460659341591201</c:v>
                </c:pt>
                <c:pt idx="203">
                  <c:v>-0.39073112848927355</c:v>
                </c:pt>
                <c:pt idx="204">
                  <c:v>-0.40673664307579982</c:v>
                </c:pt>
                <c:pt idx="205">
                  <c:v>-0.42261826174069927</c:v>
                </c:pt>
                <c:pt idx="206">
                  <c:v>-0.43837114678907707</c:v>
                </c:pt>
                <c:pt idx="207">
                  <c:v>-0.45399049973954625</c:v>
                </c:pt>
                <c:pt idx="208">
                  <c:v>-0.46947156278589086</c:v>
                </c:pt>
                <c:pt idx="209">
                  <c:v>-0.48480962024633695</c:v>
                </c:pt>
                <c:pt idx="210">
                  <c:v>-0.50000000000000011</c:v>
                </c:pt>
                <c:pt idx="211">
                  <c:v>-0.51503807491005416</c:v>
                </c:pt>
                <c:pt idx="212">
                  <c:v>-0.52991926423320479</c:v>
                </c:pt>
                <c:pt idx="213">
                  <c:v>-0.54463903501502708</c:v>
                </c:pt>
                <c:pt idx="214">
                  <c:v>-0.55919290347074668</c:v>
                </c:pt>
                <c:pt idx="215">
                  <c:v>-0.57357643635104583</c:v>
                </c:pt>
                <c:pt idx="216">
                  <c:v>-0.58778525229247303</c:v>
                </c:pt>
                <c:pt idx="217">
                  <c:v>-0.60181502315204805</c:v>
                </c:pt>
                <c:pt idx="218">
                  <c:v>-0.61566147532565785</c:v>
                </c:pt>
                <c:pt idx="219">
                  <c:v>-0.62932039104983761</c:v>
                </c:pt>
                <c:pt idx="220">
                  <c:v>-0.64278760968653925</c:v>
                </c:pt>
                <c:pt idx="221">
                  <c:v>-0.65605902899050739</c:v>
                </c:pt>
                <c:pt idx="222">
                  <c:v>-0.66913060635885824</c:v>
                </c:pt>
                <c:pt idx="223">
                  <c:v>-0.68199836006249837</c:v>
                </c:pt>
                <c:pt idx="224">
                  <c:v>-0.69465837045899737</c:v>
                </c:pt>
                <c:pt idx="225">
                  <c:v>-0.70710678118654746</c:v>
                </c:pt>
                <c:pt idx="226">
                  <c:v>-0.71933980033865086</c:v>
                </c:pt>
                <c:pt idx="227">
                  <c:v>-0.73135370161917013</c:v>
                </c:pt>
                <c:pt idx="228">
                  <c:v>-0.74314482547739402</c:v>
                </c:pt>
                <c:pt idx="229">
                  <c:v>-0.75470958022277168</c:v>
                </c:pt>
                <c:pt idx="230">
                  <c:v>-0.7660444431189779</c:v>
                </c:pt>
                <c:pt idx="231">
                  <c:v>-0.77714596145697112</c:v>
                </c:pt>
                <c:pt idx="232">
                  <c:v>-0.78801075360672213</c:v>
                </c:pt>
                <c:pt idx="233">
                  <c:v>-0.79863551004729283</c:v>
                </c:pt>
                <c:pt idx="234">
                  <c:v>-0.80901699437494734</c:v>
                </c:pt>
                <c:pt idx="235">
                  <c:v>-0.81915204428899158</c:v>
                </c:pt>
                <c:pt idx="236">
                  <c:v>-0.8290375725550414</c:v>
                </c:pt>
                <c:pt idx="237">
                  <c:v>-0.83867056794542405</c:v>
                </c:pt>
                <c:pt idx="238">
                  <c:v>-0.84804809615642596</c:v>
                </c:pt>
                <c:pt idx="239">
                  <c:v>-0.85716730070211211</c:v>
                </c:pt>
                <c:pt idx="240">
                  <c:v>-0.86602540378443837</c:v>
                </c:pt>
                <c:pt idx="241">
                  <c:v>-0.87461970713939596</c:v>
                </c:pt>
                <c:pt idx="242">
                  <c:v>-0.88294759285892699</c:v>
                </c:pt>
                <c:pt idx="243">
                  <c:v>-0.89100652418836779</c:v>
                </c:pt>
                <c:pt idx="244">
                  <c:v>-0.89879404629916682</c:v>
                </c:pt>
                <c:pt idx="245">
                  <c:v>-0.90630778703664971</c:v>
                </c:pt>
                <c:pt idx="246">
                  <c:v>-0.91354545764260098</c:v>
                </c:pt>
                <c:pt idx="247">
                  <c:v>-0.92050485345244026</c:v>
                </c:pt>
                <c:pt idx="248">
                  <c:v>-0.92718385456678731</c:v>
                </c:pt>
                <c:pt idx="249">
                  <c:v>-0.93358042649720163</c:v>
                </c:pt>
                <c:pt idx="250">
                  <c:v>-0.93969262078590821</c:v>
                </c:pt>
                <c:pt idx="251">
                  <c:v>-0.94551857559931685</c:v>
                </c:pt>
                <c:pt idx="252">
                  <c:v>-0.95105651629515353</c:v>
                </c:pt>
                <c:pt idx="253">
                  <c:v>-0.95630475596303532</c:v>
                </c:pt>
                <c:pt idx="254">
                  <c:v>-0.96126169593831901</c:v>
                </c:pt>
                <c:pt idx="255">
                  <c:v>-0.96592582628906831</c:v>
                </c:pt>
                <c:pt idx="256">
                  <c:v>-0.97029572627599647</c:v>
                </c:pt>
                <c:pt idx="257">
                  <c:v>-0.97437006478523513</c:v>
                </c:pt>
                <c:pt idx="258">
                  <c:v>-0.97814760073380558</c:v>
                </c:pt>
                <c:pt idx="259">
                  <c:v>-0.98162718344766386</c:v>
                </c:pt>
                <c:pt idx="260">
                  <c:v>-0.98480775301220802</c:v>
                </c:pt>
                <c:pt idx="261">
                  <c:v>-0.98768834059513766</c:v>
                </c:pt>
                <c:pt idx="262">
                  <c:v>-0.99026806874157036</c:v>
                </c:pt>
                <c:pt idx="263">
                  <c:v>-0.99254615164132209</c:v>
                </c:pt>
                <c:pt idx="264">
                  <c:v>-0.9945218953682734</c:v>
                </c:pt>
                <c:pt idx="265">
                  <c:v>-0.99619469809174555</c:v>
                </c:pt>
                <c:pt idx="266">
                  <c:v>-0.9975640502598242</c:v>
                </c:pt>
                <c:pt idx="267">
                  <c:v>-0.99862953475457383</c:v>
                </c:pt>
                <c:pt idx="268">
                  <c:v>-0.99939082701909565</c:v>
                </c:pt>
                <c:pt idx="269">
                  <c:v>-0.99984769515639127</c:v>
                </c:pt>
                <c:pt idx="270">
                  <c:v>-1</c:v>
                </c:pt>
                <c:pt idx="271">
                  <c:v>-0.99984769515639127</c:v>
                </c:pt>
                <c:pt idx="272">
                  <c:v>-0.99939082701909576</c:v>
                </c:pt>
                <c:pt idx="273">
                  <c:v>-0.99862953475457383</c:v>
                </c:pt>
                <c:pt idx="274">
                  <c:v>-0.99756405025982431</c:v>
                </c:pt>
                <c:pt idx="275">
                  <c:v>-0.99619469809174555</c:v>
                </c:pt>
                <c:pt idx="276">
                  <c:v>-0.9945218953682734</c:v>
                </c:pt>
                <c:pt idx="277">
                  <c:v>-0.99254615164132198</c:v>
                </c:pt>
                <c:pt idx="278">
                  <c:v>-0.99026806874157036</c:v>
                </c:pt>
                <c:pt idx="279">
                  <c:v>-0.98768834059513777</c:v>
                </c:pt>
                <c:pt idx="280">
                  <c:v>-0.98480775301220813</c:v>
                </c:pt>
                <c:pt idx="281">
                  <c:v>-0.98162718344766409</c:v>
                </c:pt>
                <c:pt idx="282">
                  <c:v>-0.9781476007338058</c:v>
                </c:pt>
                <c:pt idx="283">
                  <c:v>-0.97437006478523525</c:v>
                </c:pt>
                <c:pt idx="284">
                  <c:v>-0.97029572627599658</c:v>
                </c:pt>
                <c:pt idx="285">
                  <c:v>-0.9659258262890682</c:v>
                </c:pt>
                <c:pt idx="286">
                  <c:v>-0.96126169593831878</c:v>
                </c:pt>
                <c:pt idx="287">
                  <c:v>-0.95630475596303544</c:v>
                </c:pt>
                <c:pt idx="288">
                  <c:v>-0.95105651629515364</c:v>
                </c:pt>
                <c:pt idx="289">
                  <c:v>-0.94551857559931696</c:v>
                </c:pt>
                <c:pt idx="290">
                  <c:v>-0.93969262078590854</c:v>
                </c:pt>
                <c:pt idx="291">
                  <c:v>-0.93358042649720208</c:v>
                </c:pt>
                <c:pt idx="292">
                  <c:v>-0.92718385456678742</c:v>
                </c:pt>
                <c:pt idx="293">
                  <c:v>-0.92050485345244049</c:v>
                </c:pt>
                <c:pt idx="294">
                  <c:v>-0.91354545764260076</c:v>
                </c:pt>
                <c:pt idx="295">
                  <c:v>-0.90630778703664994</c:v>
                </c:pt>
                <c:pt idx="296">
                  <c:v>-0.89879404629916704</c:v>
                </c:pt>
                <c:pt idx="297">
                  <c:v>-0.8910065241883679</c:v>
                </c:pt>
                <c:pt idx="298">
                  <c:v>-0.8829475928589271</c:v>
                </c:pt>
                <c:pt idx="299">
                  <c:v>-0.87461970713939607</c:v>
                </c:pt>
                <c:pt idx="300">
                  <c:v>-0.8660254037844386</c:v>
                </c:pt>
                <c:pt idx="301">
                  <c:v>-0.85716730070211233</c:v>
                </c:pt>
                <c:pt idx="302">
                  <c:v>-0.84804809615642618</c:v>
                </c:pt>
                <c:pt idx="303">
                  <c:v>-0.83867056794542427</c:v>
                </c:pt>
                <c:pt idx="304">
                  <c:v>-0.82903757255504207</c:v>
                </c:pt>
                <c:pt idx="305">
                  <c:v>-0.8191520442889918</c:v>
                </c:pt>
                <c:pt idx="306">
                  <c:v>-0.80901699437494756</c:v>
                </c:pt>
                <c:pt idx="307">
                  <c:v>-0.79863551004729305</c:v>
                </c:pt>
                <c:pt idx="308">
                  <c:v>-0.78801075360672179</c:v>
                </c:pt>
                <c:pt idx="309">
                  <c:v>-0.77714596145697079</c:v>
                </c:pt>
                <c:pt idx="310">
                  <c:v>-0.76604444311897812</c:v>
                </c:pt>
                <c:pt idx="311">
                  <c:v>-0.75470958022277224</c:v>
                </c:pt>
                <c:pt idx="312">
                  <c:v>-0.74314482547739458</c:v>
                </c:pt>
                <c:pt idx="313">
                  <c:v>-0.73135370161917101</c:v>
                </c:pt>
                <c:pt idx="314">
                  <c:v>-0.71933980033865175</c:v>
                </c:pt>
                <c:pt idx="315">
                  <c:v>-0.70710678118654768</c:v>
                </c:pt>
                <c:pt idx="316">
                  <c:v>-0.69465837045899759</c:v>
                </c:pt>
                <c:pt idx="317">
                  <c:v>-0.68199836006249825</c:v>
                </c:pt>
                <c:pt idx="318">
                  <c:v>-0.66913060635885813</c:v>
                </c:pt>
                <c:pt idx="319">
                  <c:v>-0.65605902899050739</c:v>
                </c:pt>
                <c:pt idx="320">
                  <c:v>-0.64278760968653958</c:v>
                </c:pt>
                <c:pt idx="321">
                  <c:v>-0.62932039104983784</c:v>
                </c:pt>
                <c:pt idx="322">
                  <c:v>-0.61566147532565885</c:v>
                </c:pt>
                <c:pt idx="323">
                  <c:v>-0.60181502315204827</c:v>
                </c:pt>
                <c:pt idx="324">
                  <c:v>-0.58778525229247336</c:v>
                </c:pt>
                <c:pt idx="325">
                  <c:v>-0.57357643635104649</c:v>
                </c:pt>
                <c:pt idx="326">
                  <c:v>-0.55919290347074735</c:v>
                </c:pt>
                <c:pt idx="327">
                  <c:v>-0.54463903501502697</c:v>
                </c:pt>
                <c:pt idx="328">
                  <c:v>-0.52991926423320579</c:v>
                </c:pt>
                <c:pt idx="329">
                  <c:v>-0.51503807491005449</c:v>
                </c:pt>
                <c:pt idx="330">
                  <c:v>-0.50000000000000044</c:v>
                </c:pt>
                <c:pt idx="331">
                  <c:v>-0.48480962024633689</c:v>
                </c:pt>
                <c:pt idx="332">
                  <c:v>-0.46947156278589081</c:v>
                </c:pt>
                <c:pt idx="333">
                  <c:v>-0.45399049973954697</c:v>
                </c:pt>
                <c:pt idx="334">
                  <c:v>-0.43837114678907702</c:v>
                </c:pt>
                <c:pt idx="335">
                  <c:v>-0.4226182617407</c:v>
                </c:pt>
                <c:pt idx="336">
                  <c:v>-0.40673664307580015</c:v>
                </c:pt>
                <c:pt idx="337">
                  <c:v>-0.39073112848927471</c:v>
                </c:pt>
                <c:pt idx="338">
                  <c:v>-0.37460659341591235</c:v>
                </c:pt>
                <c:pt idx="339">
                  <c:v>-0.35836794954530077</c:v>
                </c:pt>
                <c:pt idx="340">
                  <c:v>-0.3420201433256686</c:v>
                </c:pt>
                <c:pt idx="341">
                  <c:v>-0.32556815445715753</c:v>
                </c:pt>
                <c:pt idx="342">
                  <c:v>-0.30901699437494762</c:v>
                </c:pt>
                <c:pt idx="343">
                  <c:v>-0.29237170472273627</c:v>
                </c:pt>
                <c:pt idx="344">
                  <c:v>-0.27563735581699977</c:v>
                </c:pt>
                <c:pt idx="345">
                  <c:v>-0.25881904510252068</c:v>
                </c:pt>
                <c:pt idx="346">
                  <c:v>-0.24192189559966787</c:v>
                </c:pt>
                <c:pt idx="347">
                  <c:v>-0.22495105434386534</c:v>
                </c:pt>
                <c:pt idx="348">
                  <c:v>-0.20791169081775987</c:v>
                </c:pt>
                <c:pt idx="349">
                  <c:v>-0.19080899537654467</c:v>
                </c:pt>
                <c:pt idx="350">
                  <c:v>-0.17364817766693127</c:v>
                </c:pt>
                <c:pt idx="351">
                  <c:v>-0.15643446504023112</c:v>
                </c:pt>
                <c:pt idx="352">
                  <c:v>-0.13917310096006588</c:v>
                </c:pt>
                <c:pt idx="353">
                  <c:v>-0.12186934340514811</c:v>
                </c:pt>
                <c:pt idx="354">
                  <c:v>-0.10452846326765342</c:v>
                </c:pt>
                <c:pt idx="355">
                  <c:v>-8.7155742747658319E-2</c:v>
                </c:pt>
                <c:pt idx="356">
                  <c:v>-6.9756473744124761E-2</c:v>
                </c:pt>
                <c:pt idx="357">
                  <c:v>-5.2335956242944369E-2</c:v>
                </c:pt>
                <c:pt idx="358">
                  <c:v>-3.4899496702500823E-2</c:v>
                </c:pt>
                <c:pt idx="359">
                  <c:v>-1.7452406437284448E-2</c:v>
                </c:pt>
                <c:pt idx="360">
                  <c:v>-2.45029690981724E-16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D8-4DE4-81A2-827922FEC3F0}"/>
            </c:ext>
          </c:extLst>
        </c:ser>
        <c:ser>
          <c:idx val="3"/>
          <c:order val="3"/>
          <c:marker>
            <c:symbol val="none"/>
          </c:marker>
          <c:xVal>
            <c:numRef>
              <c:f>'autoval&amp;vet - circularizaçã (6)'!$P$7:$P$367</c:f>
              <c:numCache>
                <c:formatCode>0.000</c:formatCode>
                <c:ptCount val="361"/>
                <c:pt idx="0">
                  <c:v>1</c:v>
                </c:pt>
                <c:pt idx="1">
                  <c:v>1.0173001015936747</c:v>
                </c:pt>
                <c:pt idx="2">
                  <c:v>1.0342903237215968</c:v>
                </c:pt>
                <c:pt idx="3">
                  <c:v>1.0509654909975177</c:v>
                </c:pt>
                <c:pt idx="4">
                  <c:v>1.0673205240039496</c:v>
                </c:pt>
                <c:pt idx="5">
                  <c:v>1.0833504408394037</c:v>
                </c:pt>
                <c:pt idx="6">
                  <c:v>1.0990503586359268</c:v>
                </c:pt>
                <c:pt idx="7">
                  <c:v>1.1144154950464695</c:v>
                </c:pt>
                <c:pt idx="8">
                  <c:v>1.1294411697016358</c:v>
                </c:pt>
                <c:pt idx="9">
                  <c:v>1.1441228056353687</c:v>
                </c:pt>
                <c:pt idx="10">
                  <c:v>1.1584559306791384</c:v>
                </c:pt>
                <c:pt idx="11">
                  <c:v>1.1724361788242088</c:v>
                </c:pt>
                <c:pt idx="12">
                  <c:v>1.1860592915515651</c:v>
                </c:pt>
                <c:pt idx="13">
                  <c:v>1.1993211191291002</c:v>
                </c:pt>
                <c:pt idx="14">
                  <c:v>1.2122176218756642</c:v>
                </c:pt>
                <c:pt idx="15">
                  <c:v>1.2247448713915889</c:v>
                </c:pt>
                <c:pt idx="16">
                  <c:v>1.236899051755318</c:v>
                </c:pt>
                <c:pt idx="17">
                  <c:v>1.2486764606857723</c:v>
                </c:pt>
                <c:pt idx="18">
                  <c:v>1.2600735106701009</c:v>
                </c:pt>
                <c:pt idx="19">
                  <c:v>1.2710867300564734</c:v>
                </c:pt>
                <c:pt idx="20">
                  <c:v>1.2817127641115771</c:v>
                </c:pt>
                <c:pt idx="21">
                  <c:v>1.2919483760425021</c:v>
                </c:pt>
                <c:pt idx="22">
                  <c:v>1.3017904479826994</c:v>
                </c:pt>
                <c:pt idx="23">
                  <c:v>1.3112359819417141</c:v>
                </c:pt>
                <c:pt idx="24">
                  <c:v>1.3202821007184009</c:v>
                </c:pt>
                <c:pt idx="25">
                  <c:v>1.3289260487773493</c:v>
                </c:pt>
                <c:pt idx="26">
                  <c:v>1.3371651930882444</c:v>
                </c:pt>
                <c:pt idx="27">
                  <c:v>1.3449970239279145</c:v>
                </c:pt>
                <c:pt idx="28">
                  <c:v>1.3524191556448177</c:v>
                </c:pt>
                <c:pt idx="29">
                  <c:v>1.3594293273857327</c:v>
                </c:pt>
                <c:pt idx="30">
                  <c:v>1.3660254037844386</c:v>
                </c:pt>
                <c:pt idx="31">
                  <c:v>1.3722053756121664</c:v>
                </c:pt>
                <c:pt idx="32">
                  <c:v>1.377967360389631</c:v>
                </c:pt>
                <c:pt idx="33">
                  <c:v>1.383309602960451</c:v>
                </c:pt>
                <c:pt idx="34">
                  <c:v>1.3882304760257886</c:v>
                </c:pt>
                <c:pt idx="35">
                  <c:v>1.392728480640038</c:v>
                </c:pt>
                <c:pt idx="36">
                  <c:v>1.3968022466674206</c:v>
                </c:pt>
                <c:pt idx="37">
                  <c:v>1.4004505331993411</c:v>
                </c:pt>
                <c:pt idx="38">
                  <c:v>1.4036722289323802</c:v>
                </c:pt>
                <c:pt idx="39">
                  <c:v>1.4064663525068082</c:v>
                </c:pt>
                <c:pt idx="40">
                  <c:v>1.4088320528055172</c:v>
                </c:pt>
                <c:pt idx="41">
                  <c:v>1.4107686092132794</c:v>
                </c:pt>
                <c:pt idx="42">
                  <c:v>1.4122754318362525</c:v>
                </c:pt>
                <c:pt idx="43">
                  <c:v>1.413352061681669</c:v>
                </c:pt>
                <c:pt idx="44">
                  <c:v>1.4139981707976483</c:v>
                </c:pt>
                <c:pt idx="45">
                  <c:v>1.4142135623730949</c:v>
                </c:pt>
                <c:pt idx="46">
                  <c:v>1.4139981707976483</c:v>
                </c:pt>
                <c:pt idx="47">
                  <c:v>1.4133520616816688</c:v>
                </c:pt>
                <c:pt idx="48">
                  <c:v>1.4122754318362523</c:v>
                </c:pt>
                <c:pt idx="49">
                  <c:v>1.4107686092132794</c:v>
                </c:pt>
                <c:pt idx="50">
                  <c:v>1.4088320528055174</c:v>
                </c:pt>
                <c:pt idx="51">
                  <c:v>1.4064663525068082</c:v>
                </c:pt>
                <c:pt idx="52">
                  <c:v>1.4036722289323804</c:v>
                </c:pt>
                <c:pt idx="53">
                  <c:v>1.4004505331993413</c:v>
                </c:pt>
                <c:pt idx="54">
                  <c:v>1.3968022466674206</c:v>
                </c:pt>
                <c:pt idx="55">
                  <c:v>1.392728480640038</c:v>
                </c:pt>
                <c:pt idx="56">
                  <c:v>1.3882304760257886</c:v>
                </c:pt>
                <c:pt idx="57">
                  <c:v>1.383309602960451</c:v>
                </c:pt>
                <c:pt idx="58">
                  <c:v>1.377967360389631</c:v>
                </c:pt>
                <c:pt idx="59">
                  <c:v>1.3722053756121666</c:v>
                </c:pt>
                <c:pt idx="60">
                  <c:v>1.3660254037844388</c:v>
                </c:pt>
                <c:pt idx="61">
                  <c:v>1.3594293273857327</c:v>
                </c:pt>
                <c:pt idx="62">
                  <c:v>1.3524191556448177</c:v>
                </c:pt>
                <c:pt idx="63">
                  <c:v>1.3449970239279145</c:v>
                </c:pt>
                <c:pt idx="64">
                  <c:v>1.3371651930882444</c:v>
                </c:pt>
                <c:pt idx="65">
                  <c:v>1.3289260487773493</c:v>
                </c:pt>
                <c:pt idx="66">
                  <c:v>1.3202821007184011</c:v>
                </c:pt>
                <c:pt idx="67">
                  <c:v>1.3112359819417141</c:v>
                </c:pt>
                <c:pt idx="68">
                  <c:v>1.3017904479826994</c:v>
                </c:pt>
                <c:pt idx="69">
                  <c:v>1.2919483760425021</c:v>
                </c:pt>
                <c:pt idx="70">
                  <c:v>1.2817127641115771</c:v>
                </c:pt>
                <c:pt idx="71">
                  <c:v>1.2710867300564734</c:v>
                </c:pt>
                <c:pt idx="72">
                  <c:v>1.2600735106701011</c:v>
                </c:pt>
                <c:pt idx="73">
                  <c:v>1.2486764606857723</c:v>
                </c:pt>
                <c:pt idx="74">
                  <c:v>1.236899051755318</c:v>
                </c:pt>
                <c:pt idx="75">
                  <c:v>1.2247448713915889</c:v>
                </c:pt>
                <c:pt idx="76">
                  <c:v>1.2122176218756644</c:v>
                </c:pt>
                <c:pt idx="77">
                  <c:v>1.1993211191291002</c:v>
                </c:pt>
                <c:pt idx="78">
                  <c:v>1.1860592915515651</c:v>
                </c:pt>
                <c:pt idx="79">
                  <c:v>1.1724361788242088</c:v>
                </c:pt>
                <c:pt idx="80">
                  <c:v>1.1584559306791384</c:v>
                </c:pt>
                <c:pt idx="81">
                  <c:v>1.1441228056353687</c:v>
                </c:pt>
                <c:pt idx="82">
                  <c:v>1.129441169701636</c:v>
                </c:pt>
                <c:pt idx="83">
                  <c:v>1.1144154950464695</c:v>
                </c:pt>
                <c:pt idx="84">
                  <c:v>1.0990503586359268</c:v>
                </c:pt>
                <c:pt idx="85">
                  <c:v>1.0833504408394037</c:v>
                </c:pt>
                <c:pt idx="86">
                  <c:v>1.0673205240039496</c:v>
                </c:pt>
                <c:pt idx="87">
                  <c:v>1.0509654909975179</c:v>
                </c:pt>
                <c:pt idx="88">
                  <c:v>1.0342903237215968</c:v>
                </c:pt>
                <c:pt idx="89">
                  <c:v>1.0173001015936747</c:v>
                </c:pt>
                <c:pt idx="90">
                  <c:v>1</c:v>
                </c:pt>
                <c:pt idx="91">
                  <c:v>0.98239528871910775</c:v>
                </c:pt>
                <c:pt idx="92">
                  <c:v>0.96449133031659506</c:v>
                </c:pt>
                <c:pt idx="93">
                  <c:v>0.94629357851163021</c:v>
                </c:pt>
                <c:pt idx="94">
                  <c:v>0.9278075765156989</c:v>
                </c:pt>
                <c:pt idx="95">
                  <c:v>0.9090389553440873</c:v>
                </c:pt>
                <c:pt idx="96">
                  <c:v>0.8899934321006201</c:v>
                </c:pt>
                <c:pt idx="97">
                  <c:v>0.87067680823617477</c:v>
                </c:pt>
                <c:pt idx="98">
                  <c:v>0.85109496778150495</c:v>
                </c:pt>
                <c:pt idx="99">
                  <c:v>0.8312538755549066</c:v>
                </c:pt>
                <c:pt idx="100">
                  <c:v>0.81115957534527772</c:v>
                </c:pt>
                <c:pt idx="101">
                  <c:v>0.79081818807111914</c:v>
                </c:pt>
                <c:pt idx="102">
                  <c:v>0.77023590991604651</c:v>
                </c:pt>
                <c:pt idx="103">
                  <c:v>0.74941901044137049</c:v>
                </c:pt>
                <c:pt idx="104">
                  <c:v>0.72837383067632866</c:v>
                </c:pt>
                <c:pt idx="105">
                  <c:v>0.70710678118654746</c:v>
                </c:pt>
                <c:pt idx="106">
                  <c:v>0.68562434012131979</c:v>
                </c:pt>
                <c:pt idx="107">
                  <c:v>0.66393305124029889</c:v>
                </c:pt>
                <c:pt idx="108">
                  <c:v>0.6420395219202063</c:v>
                </c:pt>
                <c:pt idx="109">
                  <c:v>0.61995042114216048</c:v>
                </c:pt>
                <c:pt idx="110">
                  <c:v>0.59767247746023977</c:v>
                </c:pt>
                <c:pt idx="111">
                  <c:v>0.57521247695190147</c:v>
                </c:pt>
                <c:pt idx="112">
                  <c:v>0.55257726115087535</c:v>
                </c:pt>
                <c:pt idx="113">
                  <c:v>0.52977372496316677</c:v>
                </c:pt>
                <c:pt idx="114">
                  <c:v>0.50680881456680094</c:v>
                </c:pt>
                <c:pt idx="115">
                  <c:v>0.48368952529595072</c:v>
                </c:pt>
                <c:pt idx="116">
                  <c:v>0.46042289951008941</c:v>
                </c:pt>
                <c:pt idx="117">
                  <c:v>0.43701602444882121</c:v>
                </c:pt>
                <c:pt idx="118">
                  <c:v>0.41347603007303657</c:v>
                </c:pt>
                <c:pt idx="119">
                  <c:v>0.38981008689305885</c:v>
                </c:pt>
                <c:pt idx="120">
                  <c:v>0.36602540378443893</c:v>
                </c:pt>
                <c:pt idx="121">
                  <c:v>0.34212922579205807</c:v>
                </c:pt>
                <c:pt idx="122">
                  <c:v>0.31812883192322128</c:v>
                </c:pt>
                <c:pt idx="123">
                  <c:v>0.29403153293039686</c:v>
                </c:pt>
                <c:pt idx="124">
                  <c:v>0.26984466908429505</c:v>
                </c:pt>
                <c:pt idx="125">
                  <c:v>0.24557560793794619</c:v>
                </c:pt>
                <c:pt idx="126">
                  <c:v>0.22123174208247443</c:v>
                </c:pt>
                <c:pt idx="127">
                  <c:v>0.19682048689524434</c:v>
                </c:pt>
                <c:pt idx="128">
                  <c:v>0.17234927828106372</c:v>
                </c:pt>
                <c:pt idx="129">
                  <c:v>0.14782557040713373</c:v>
                </c:pt>
                <c:pt idx="130">
                  <c:v>0.12325683343243865</c:v>
                </c:pt>
                <c:pt idx="131">
                  <c:v>9.8650551232264294E-2</c:v>
                </c:pt>
                <c:pt idx="132">
                  <c:v>7.4014219118536007E-2</c:v>
                </c:pt>
                <c:pt idx="133">
                  <c:v>4.9355341556672205E-2</c:v>
                </c:pt>
                <c:pt idx="134">
                  <c:v>2.4681429879654382E-2</c:v>
                </c:pt>
                <c:pt idx="135">
                  <c:v>1.1102230246251565E-16</c:v>
                </c:pt>
                <c:pt idx="136">
                  <c:v>-2.4681429879654049E-2</c:v>
                </c:pt>
                <c:pt idx="137">
                  <c:v>-4.9355341556671872E-2</c:v>
                </c:pt>
                <c:pt idx="138">
                  <c:v>-7.4014219118535673E-2</c:v>
                </c:pt>
                <c:pt idx="139">
                  <c:v>-9.8650551232264738E-2</c:v>
                </c:pt>
                <c:pt idx="140">
                  <c:v>-0.12325683343243843</c:v>
                </c:pt>
                <c:pt idx="141">
                  <c:v>-0.14782557040713296</c:v>
                </c:pt>
                <c:pt idx="142">
                  <c:v>-0.1723492782810635</c:v>
                </c:pt>
                <c:pt idx="143">
                  <c:v>-0.19682048689524478</c:v>
                </c:pt>
                <c:pt idx="144">
                  <c:v>-0.22123174208247409</c:v>
                </c:pt>
                <c:pt idx="145">
                  <c:v>-0.2455756079379452</c:v>
                </c:pt>
                <c:pt idx="146">
                  <c:v>-0.26984466908429472</c:v>
                </c:pt>
                <c:pt idx="147">
                  <c:v>-0.29403153293039719</c:v>
                </c:pt>
                <c:pt idx="148">
                  <c:v>-0.31812883192322106</c:v>
                </c:pt>
                <c:pt idx="149">
                  <c:v>-0.34212922579205785</c:v>
                </c:pt>
                <c:pt idx="150">
                  <c:v>-0.36602540378443876</c:v>
                </c:pt>
                <c:pt idx="151">
                  <c:v>-0.38981008689305857</c:v>
                </c:pt>
                <c:pt idx="152">
                  <c:v>-0.41347603007303568</c:v>
                </c:pt>
                <c:pt idx="153">
                  <c:v>-0.43701602444882093</c:v>
                </c:pt>
                <c:pt idx="154">
                  <c:v>-0.46042289951008974</c:v>
                </c:pt>
                <c:pt idx="155">
                  <c:v>-0.48368952529595044</c:v>
                </c:pt>
                <c:pt idx="156">
                  <c:v>-0.50680881456680038</c:v>
                </c:pt>
                <c:pt idx="157">
                  <c:v>-0.52977372496316599</c:v>
                </c:pt>
                <c:pt idx="158">
                  <c:v>-0.55257726115087502</c:v>
                </c:pt>
                <c:pt idx="159">
                  <c:v>-0.57521247695190159</c:v>
                </c:pt>
                <c:pt idx="160">
                  <c:v>-0.59767247746023944</c:v>
                </c:pt>
                <c:pt idx="161">
                  <c:v>-0.6199504211421597</c:v>
                </c:pt>
                <c:pt idx="162">
                  <c:v>-0.64203952192020597</c:v>
                </c:pt>
                <c:pt idx="163">
                  <c:v>-0.66393305124029833</c:v>
                </c:pt>
                <c:pt idx="164">
                  <c:v>-0.68562434012131901</c:v>
                </c:pt>
                <c:pt idx="165">
                  <c:v>-0.70710678118654724</c:v>
                </c:pt>
                <c:pt idx="166">
                  <c:v>-0.72837383067632877</c:v>
                </c:pt>
                <c:pt idx="167">
                  <c:v>-0.74941901044137049</c:v>
                </c:pt>
                <c:pt idx="168">
                  <c:v>-0.7702359099160464</c:v>
                </c:pt>
                <c:pt idx="169">
                  <c:v>-0.79081818807111903</c:v>
                </c:pt>
                <c:pt idx="170">
                  <c:v>-0.81115957534527772</c:v>
                </c:pt>
                <c:pt idx="171">
                  <c:v>-0.83125387555490671</c:v>
                </c:pt>
                <c:pt idx="172">
                  <c:v>-0.85109496778150451</c:v>
                </c:pt>
                <c:pt idx="173">
                  <c:v>-0.87067680823617444</c:v>
                </c:pt>
                <c:pt idx="174">
                  <c:v>-0.88999343210061954</c:v>
                </c:pt>
                <c:pt idx="175">
                  <c:v>-0.90903895534408696</c:v>
                </c:pt>
                <c:pt idx="176">
                  <c:v>-0.92780757651569867</c:v>
                </c:pt>
                <c:pt idx="177">
                  <c:v>-0.94629357851162998</c:v>
                </c:pt>
                <c:pt idx="178">
                  <c:v>-0.96449133031659506</c:v>
                </c:pt>
                <c:pt idx="179">
                  <c:v>-0.98239528871910786</c:v>
                </c:pt>
                <c:pt idx="180">
                  <c:v>-0.99999999999999989</c:v>
                </c:pt>
                <c:pt idx="181">
                  <c:v>-1.0173001015936745</c:v>
                </c:pt>
                <c:pt idx="182">
                  <c:v>-1.0342903237215966</c:v>
                </c:pt>
                <c:pt idx="183">
                  <c:v>-1.0509654909975175</c:v>
                </c:pt>
                <c:pt idx="184">
                  <c:v>-1.0673205240039492</c:v>
                </c:pt>
                <c:pt idx="185">
                  <c:v>-1.0833504408394035</c:v>
                </c:pt>
                <c:pt idx="186">
                  <c:v>-1.0990503586359264</c:v>
                </c:pt>
                <c:pt idx="187">
                  <c:v>-1.1144154950464698</c:v>
                </c:pt>
                <c:pt idx="188">
                  <c:v>-1.1294411697016358</c:v>
                </c:pt>
                <c:pt idx="189">
                  <c:v>-1.1441228056353685</c:v>
                </c:pt>
                <c:pt idx="190">
                  <c:v>-1.1584559306791384</c:v>
                </c:pt>
                <c:pt idx="191">
                  <c:v>-1.1724361788242086</c:v>
                </c:pt>
                <c:pt idx="192">
                  <c:v>-1.1860592915515649</c:v>
                </c:pt>
                <c:pt idx="193">
                  <c:v>-1.1993211191291002</c:v>
                </c:pt>
                <c:pt idx="194">
                  <c:v>-1.212217621875664</c:v>
                </c:pt>
                <c:pt idx="195">
                  <c:v>-1.2247448713915887</c:v>
                </c:pt>
                <c:pt idx="196">
                  <c:v>-1.236899051755318</c:v>
                </c:pt>
                <c:pt idx="197">
                  <c:v>-1.2486764606857719</c:v>
                </c:pt>
                <c:pt idx="198">
                  <c:v>-1.2600735106701013</c:v>
                </c:pt>
                <c:pt idx="199">
                  <c:v>-1.2710867300564734</c:v>
                </c:pt>
                <c:pt idx="200">
                  <c:v>-1.2817127641115771</c:v>
                </c:pt>
                <c:pt idx="201">
                  <c:v>-1.2919483760425021</c:v>
                </c:pt>
                <c:pt idx="202">
                  <c:v>-1.3017904479826994</c:v>
                </c:pt>
                <c:pt idx="203">
                  <c:v>-1.3112359819417139</c:v>
                </c:pt>
                <c:pt idx="204">
                  <c:v>-1.3202821007184009</c:v>
                </c:pt>
                <c:pt idx="205">
                  <c:v>-1.3289260487773493</c:v>
                </c:pt>
                <c:pt idx="206">
                  <c:v>-1.3371651930882442</c:v>
                </c:pt>
                <c:pt idx="207">
                  <c:v>-1.3449970239279143</c:v>
                </c:pt>
                <c:pt idx="208">
                  <c:v>-1.3524191556448177</c:v>
                </c:pt>
                <c:pt idx="209">
                  <c:v>-1.3594293273857327</c:v>
                </c:pt>
                <c:pt idx="210">
                  <c:v>-1.3660254037844388</c:v>
                </c:pt>
                <c:pt idx="211">
                  <c:v>-1.3722053756121664</c:v>
                </c:pt>
                <c:pt idx="212">
                  <c:v>-1.377967360389631</c:v>
                </c:pt>
                <c:pt idx="213">
                  <c:v>-1.383309602960451</c:v>
                </c:pt>
                <c:pt idx="214">
                  <c:v>-1.3882304760257886</c:v>
                </c:pt>
                <c:pt idx="215">
                  <c:v>-1.392728480640038</c:v>
                </c:pt>
                <c:pt idx="216">
                  <c:v>-1.3968022466674206</c:v>
                </c:pt>
                <c:pt idx="217">
                  <c:v>-1.4004505331993411</c:v>
                </c:pt>
                <c:pt idx="218">
                  <c:v>-1.40367222893238</c:v>
                </c:pt>
                <c:pt idx="219">
                  <c:v>-1.4064663525068084</c:v>
                </c:pt>
                <c:pt idx="220">
                  <c:v>-1.4088320528055172</c:v>
                </c:pt>
                <c:pt idx="221">
                  <c:v>-1.4107686092132794</c:v>
                </c:pt>
                <c:pt idx="222">
                  <c:v>-1.4122754318362525</c:v>
                </c:pt>
                <c:pt idx="223">
                  <c:v>-1.4133520616816688</c:v>
                </c:pt>
                <c:pt idx="224">
                  <c:v>-1.4139981707976483</c:v>
                </c:pt>
                <c:pt idx="225">
                  <c:v>-1.4142135623730951</c:v>
                </c:pt>
                <c:pt idx="226">
                  <c:v>-1.4139981707976483</c:v>
                </c:pt>
                <c:pt idx="227">
                  <c:v>-1.413352061681669</c:v>
                </c:pt>
                <c:pt idx="228">
                  <c:v>-1.4122754318362525</c:v>
                </c:pt>
                <c:pt idx="229">
                  <c:v>-1.4107686092132794</c:v>
                </c:pt>
                <c:pt idx="230">
                  <c:v>-1.4088320528055174</c:v>
                </c:pt>
                <c:pt idx="231">
                  <c:v>-1.4064663525068082</c:v>
                </c:pt>
                <c:pt idx="232">
                  <c:v>-1.4036722289323802</c:v>
                </c:pt>
                <c:pt idx="233">
                  <c:v>-1.4004505331993411</c:v>
                </c:pt>
                <c:pt idx="234">
                  <c:v>-1.3968022466674206</c:v>
                </c:pt>
                <c:pt idx="235">
                  <c:v>-1.392728480640038</c:v>
                </c:pt>
                <c:pt idx="236">
                  <c:v>-1.3882304760257886</c:v>
                </c:pt>
                <c:pt idx="237">
                  <c:v>-1.383309602960451</c:v>
                </c:pt>
                <c:pt idx="238">
                  <c:v>-1.377967360389631</c:v>
                </c:pt>
                <c:pt idx="239">
                  <c:v>-1.3722053756121666</c:v>
                </c:pt>
                <c:pt idx="240">
                  <c:v>-1.3660254037844388</c:v>
                </c:pt>
                <c:pt idx="241">
                  <c:v>-1.3594293273857327</c:v>
                </c:pt>
                <c:pt idx="242">
                  <c:v>-1.3524191556448177</c:v>
                </c:pt>
                <c:pt idx="243">
                  <c:v>-1.3449970239279148</c:v>
                </c:pt>
                <c:pt idx="244">
                  <c:v>-1.3371651930882447</c:v>
                </c:pt>
                <c:pt idx="245">
                  <c:v>-1.3289260487773498</c:v>
                </c:pt>
                <c:pt idx="246">
                  <c:v>-1.3202821007184011</c:v>
                </c:pt>
                <c:pt idx="247">
                  <c:v>-1.3112359819417141</c:v>
                </c:pt>
                <c:pt idx="248">
                  <c:v>-1.3017904479826996</c:v>
                </c:pt>
                <c:pt idx="249">
                  <c:v>-1.2919483760425023</c:v>
                </c:pt>
                <c:pt idx="250">
                  <c:v>-1.2817127641115775</c:v>
                </c:pt>
                <c:pt idx="251">
                  <c:v>-1.2710867300564734</c:v>
                </c:pt>
                <c:pt idx="252">
                  <c:v>-1.2600735106701011</c:v>
                </c:pt>
                <c:pt idx="253">
                  <c:v>-1.2486764606857723</c:v>
                </c:pt>
                <c:pt idx="254">
                  <c:v>-1.236899051755318</c:v>
                </c:pt>
                <c:pt idx="255">
                  <c:v>-1.2247448713915889</c:v>
                </c:pt>
                <c:pt idx="256">
                  <c:v>-1.2122176218756642</c:v>
                </c:pt>
                <c:pt idx="257">
                  <c:v>-1.1993211191291004</c:v>
                </c:pt>
                <c:pt idx="258">
                  <c:v>-1.1860592915515653</c:v>
                </c:pt>
                <c:pt idx="259">
                  <c:v>-1.1724361788242093</c:v>
                </c:pt>
                <c:pt idx="260">
                  <c:v>-1.1584559306791384</c:v>
                </c:pt>
                <c:pt idx="261">
                  <c:v>-1.1441228056353687</c:v>
                </c:pt>
                <c:pt idx="262">
                  <c:v>-1.1294411697016353</c:v>
                </c:pt>
                <c:pt idx="263">
                  <c:v>-1.1144154950464693</c:v>
                </c:pt>
                <c:pt idx="264">
                  <c:v>-1.0990503586359268</c:v>
                </c:pt>
                <c:pt idx="265">
                  <c:v>-1.0833504408394039</c:v>
                </c:pt>
                <c:pt idx="266">
                  <c:v>-1.0673205240039498</c:v>
                </c:pt>
                <c:pt idx="267">
                  <c:v>-1.0509654909975181</c:v>
                </c:pt>
                <c:pt idx="268">
                  <c:v>-1.0342903237215972</c:v>
                </c:pt>
                <c:pt idx="269">
                  <c:v>-1.0173001015936747</c:v>
                </c:pt>
                <c:pt idx="270">
                  <c:v>-1.0000000000000002</c:v>
                </c:pt>
                <c:pt idx="271">
                  <c:v>-0.98239528871910808</c:v>
                </c:pt>
                <c:pt idx="272">
                  <c:v>-0.96449133031659451</c:v>
                </c:pt>
                <c:pt idx="273">
                  <c:v>-0.94629357851162987</c:v>
                </c:pt>
                <c:pt idx="274">
                  <c:v>-0.92780757651569912</c:v>
                </c:pt>
                <c:pt idx="275">
                  <c:v>-0.90903895534408763</c:v>
                </c:pt>
                <c:pt idx="276">
                  <c:v>-0.88999343210062043</c:v>
                </c:pt>
                <c:pt idx="277">
                  <c:v>-0.87067680823617433</c:v>
                </c:pt>
                <c:pt idx="278">
                  <c:v>-0.85109496778150495</c:v>
                </c:pt>
                <c:pt idx="279">
                  <c:v>-0.83125387555490704</c:v>
                </c:pt>
                <c:pt idx="280">
                  <c:v>-0.81115957534527816</c:v>
                </c:pt>
                <c:pt idx="281">
                  <c:v>-0.79081818807111981</c:v>
                </c:pt>
                <c:pt idx="282">
                  <c:v>-0.77023590991604718</c:v>
                </c:pt>
                <c:pt idx="283">
                  <c:v>-0.74941901044137027</c:v>
                </c:pt>
                <c:pt idx="284">
                  <c:v>-0.7283738306763291</c:v>
                </c:pt>
                <c:pt idx="285">
                  <c:v>-0.70710678118654702</c:v>
                </c:pt>
                <c:pt idx="286">
                  <c:v>-0.68562434012131934</c:v>
                </c:pt>
                <c:pt idx="287">
                  <c:v>-0.66393305124029878</c:v>
                </c:pt>
                <c:pt idx="288">
                  <c:v>-0.64203952192020641</c:v>
                </c:pt>
                <c:pt idx="289">
                  <c:v>-0.6199504211421607</c:v>
                </c:pt>
                <c:pt idx="290">
                  <c:v>-0.59767247746024044</c:v>
                </c:pt>
                <c:pt idx="291">
                  <c:v>-0.57521247695190247</c:v>
                </c:pt>
                <c:pt idx="292">
                  <c:v>-0.55257726115087547</c:v>
                </c:pt>
                <c:pt idx="293">
                  <c:v>-0.52977372496316699</c:v>
                </c:pt>
                <c:pt idx="294">
                  <c:v>-0.50680881456680016</c:v>
                </c:pt>
                <c:pt idx="295">
                  <c:v>-0.48368952529595033</c:v>
                </c:pt>
                <c:pt idx="296">
                  <c:v>-0.46042289951008963</c:v>
                </c:pt>
                <c:pt idx="297">
                  <c:v>-0.43701602444882126</c:v>
                </c:pt>
                <c:pt idx="298">
                  <c:v>-0.41347603007303668</c:v>
                </c:pt>
                <c:pt idx="299">
                  <c:v>-0.38981008689305957</c:v>
                </c:pt>
                <c:pt idx="300">
                  <c:v>-0.36602540378443849</c:v>
                </c:pt>
                <c:pt idx="301">
                  <c:v>-0.34212922579205818</c:v>
                </c:pt>
                <c:pt idx="302">
                  <c:v>-0.3181288319232215</c:v>
                </c:pt>
                <c:pt idx="303">
                  <c:v>-0.29403153293039763</c:v>
                </c:pt>
                <c:pt idx="304">
                  <c:v>-0.26984466908429583</c:v>
                </c:pt>
                <c:pt idx="305">
                  <c:v>-0.24557560793794575</c:v>
                </c:pt>
                <c:pt idx="306">
                  <c:v>-0.22123174208247465</c:v>
                </c:pt>
                <c:pt idx="307">
                  <c:v>-0.19682048689524512</c:v>
                </c:pt>
                <c:pt idx="308">
                  <c:v>-0.17234927828106328</c:v>
                </c:pt>
                <c:pt idx="309">
                  <c:v>-0.14782557040713329</c:v>
                </c:pt>
                <c:pt idx="310">
                  <c:v>-0.12325683343243887</c:v>
                </c:pt>
                <c:pt idx="311">
                  <c:v>-9.8650551232265182E-2</c:v>
                </c:pt>
                <c:pt idx="312">
                  <c:v>-7.4014219118536784E-2</c:v>
                </c:pt>
                <c:pt idx="313">
                  <c:v>-4.9355341556672983E-2</c:v>
                </c:pt>
                <c:pt idx="314">
                  <c:v>-2.4681429879655159E-2</c:v>
                </c:pt>
                <c:pt idx="315">
                  <c:v>-3.3306690738754696E-16</c:v>
                </c:pt>
                <c:pt idx="316">
                  <c:v>2.4681429879653272E-2</c:v>
                </c:pt>
                <c:pt idx="317">
                  <c:v>4.9355341556672427E-2</c:v>
                </c:pt>
                <c:pt idx="318">
                  <c:v>7.4014219118536118E-2</c:v>
                </c:pt>
                <c:pt idx="319">
                  <c:v>9.8650551232264516E-2</c:v>
                </c:pt>
                <c:pt idx="320">
                  <c:v>0.12325683343243821</c:v>
                </c:pt>
                <c:pt idx="321">
                  <c:v>0.14782557040713273</c:v>
                </c:pt>
                <c:pt idx="322">
                  <c:v>0.17234927828106272</c:v>
                </c:pt>
                <c:pt idx="323">
                  <c:v>0.19682048689524456</c:v>
                </c:pt>
                <c:pt idx="324">
                  <c:v>0.22123174208247398</c:v>
                </c:pt>
                <c:pt idx="325">
                  <c:v>0.24557560793794508</c:v>
                </c:pt>
                <c:pt idx="326">
                  <c:v>0.26984466908429405</c:v>
                </c:pt>
                <c:pt idx="327">
                  <c:v>0.29403153293039708</c:v>
                </c:pt>
                <c:pt idx="328">
                  <c:v>0.31812883192321961</c:v>
                </c:pt>
                <c:pt idx="329">
                  <c:v>0.34212922579205762</c:v>
                </c:pt>
                <c:pt idx="330">
                  <c:v>0.36602540378443793</c:v>
                </c:pt>
                <c:pt idx="331">
                  <c:v>0.38981008689305896</c:v>
                </c:pt>
                <c:pt idx="332">
                  <c:v>0.41347603007303607</c:v>
                </c:pt>
                <c:pt idx="333">
                  <c:v>0.43701602444882082</c:v>
                </c:pt>
                <c:pt idx="334">
                  <c:v>0.46042289951009013</c:v>
                </c:pt>
                <c:pt idx="335">
                  <c:v>0.48368952529594972</c:v>
                </c:pt>
                <c:pt idx="336">
                  <c:v>0.50680881456680082</c:v>
                </c:pt>
                <c:pt idx="337">
                  <c:v>0.52977372496316522</c:v>
                </c:pt>
                <c:pt idx="338">
                  <c:v>0.55257726115087502</c:v>
                </c:pt>
                <c:pt idx="339">
                  <c:v>0.5752124769519007</c:v>
                </c:pt>
                <c:pt idx="340">
                  <c:v>0.59767247746023977</c:v>
                </c:pt>
                <c:pt idx="341">
                  <c:v>0.61995042114215893</c:v>
                </c:pt>
                <c:pt idx="342">
                  <c:v>0.64203952192020597</c:v>
                </c:pt>
                <c:pt idx="343">
                  <c:v>0.66393305124029944</c:v>
                </c:pt>
                <c:pt idx="344">
                  <c:v>0.6856243401213189</c:v>
                </c:pt>
                <c:pt idx="345">
                  <c:v>0.70710678118654768</c:v>
                </c:pt>
                <c:pt idx="346">
                  <c:v>0.72837383067632855</c:v>
                </c:pt>
                <c:pt idx="347">
                  <c:v>0.74941901044136983</c:v>
                </c:pt>
                <c:pt idx="348">
                  <c:v>0.77023590991604574</c:v>
                </c:pt>
                <c:pt idx="349">
                  <c:v>0.79081818807111937</c:v>
                </c:pt>
                <c:pt idx="350">
                  <c:v>0.81115957534527661</c:v>
                </c:pt>
                <c:pt idx="351">
                  <c:v>0.8312538755549066</c:v>
                </c:pt>
                <c:pt idx="352">
                  <c:v>0.8510949677815044</c:v>
                </c:pt>
                <c:pt idx="353">
                  <c:v>0.87067680823617388</c:v>
                </c:pt>
                <c:pt idx="354">
                  <c:v>0.88999343210061987</c:v>
                </c:pt>
                <c:pt idx="355">
                  <c:v>0.90903895534408719</c:v>
                </c:pt>
                <c:pt idx="356">
                  <c:v>0.92780757651569956</c:v>
                </c:pt>
                <c:pt idx="357">
                  <c:v>0.94629357851162943</c:v>
                </c:pt>
                <c:pt idx="358">
                  <c:v>0.96449133031659495</c:v>
                </c:pt>
                <c:pt idx="359">
                  <c:v>0.98239528871910686</c:v>
                </c:pt>
                <c:pt idx="360">
                  <c:v>0.99999999999999978</c:v>
                </c:pt>
              </c:numCache>
            </c:numRef>
          </c:xVal>
          <c:yVal>
            <c:numRef>
              <c:f>'autoval&amp;vet - circularizaçã (6)'!$Q$7:$Q$367</c:f>
              <c:numCache>
                <c:formatCode>0.000</c:formatCode>
                <c:ptCount val="361"/>
                <c:pt idx="0">
                  <c:v>0</c:v>
                </c:pt>
                <c:pt idx="1">
                  <c:v>1.7452406437283512E-2</c:v>
                </c:pt>
                <c:pt idx="2">
                  <c:v>3.4899496702500969E-2</c:v>
                </c:pt>
                <c:pt idx="3">
                  <c:v>5.2335956242943828E-2</c:v>
                </c:pt>
                <c:pt idx="4">
                  <c:v>6.9756473744125302E-2</c:v>
                </c:pt>
                <c:pt idx="5">
                  <c:v>8.7155742747658166E-2</c:v>
                </c:pt>
                <c:pt idx="6">
                  <c:v>0.10452846326765346</c:v>
                </c:pt>
                <c:pt idx="7">
                  <c:v>0.12186934340514748</c:v>
                </c:pt>
                <c:pt idx="8">
                  <c:v>0.13917310096006544</c:v>
                </c:pt>
                <c:pt idx="9">
                  <c:v>0.15643446504023087</c:v>
                </c:pt>
                <c:pt idx="10">
                  <c:v>0.17364817766693033</c:v>
                </c:pt>
                <c:pt idx="11">
                  <c:v>0.1908089953765448</c:v>
                </c:pt>
                <c:pt idx="12">
                  <c:v>0.20791169081775931</c:v>
                </c:pt>
                <c:pt idx="13">
                  <c:v>0.224951054343865</c:v>
                </c:pt>
                <c:pt idx="14">
                  <c:v>0.24192189559966773</c:v>
                </c:pt>
                <c:pt idx="15">
                  <c:v>0.25881904510252074</c:v>
                </c:pt>
                <c:pt idx="16">
                  <c:v>0.27563735581699916</c:v>
                </c:pt>
                <c:pt idx="17">
                  <c:v>0.29237170472273677</c:v>
                </c:pt>
                <c:pt idx="18">
                  <c:v>0.3090169943749474</c:v>
                </c:pt>
                <c:pt idx="19">
                  <c:v>0.32556815445715664</c:v>
                </c:pt>
                <c:pt idx="20">
                  <c:v>0.34202014332566871</c:v>
                </c:pt>
                <c:pt idx="21">
                  <c:v>0.35836794954530027</c:v>
                </c:pt>
                <c:pt idx="22">
                  <c:v>0.37460659341591201</c:v>
                </c:pt>
                <c:pt idx="23">
                  <c:v>0.39073112848927372</c:v>
                </c:pt>
                <c:pt idx="24">
                  <c:v>0.40673664307580015</c:v>
                </c:pt>
                <c:pt idx="25">
                  <c:v>0.42261826174069944</c:v>
                </c:pt>
                <c:pt idx="26">
                  <c:v>0.4383711467890774</c:v>
                </c:pt>
                <c:pt idx="27">
                  <c:v>0.45399049973954675</c:v>
                </c:pt>
                <c:pt idx="28">
                  <c:v>0.46947156278589081</c:v>
                </c:pt>
                <c:pt idx="29">
                  <c:v>0.48480962024633706</c:v>
                </c:pt>
                <c:pt idx="30">
                  <c:v>0.49999999999999994</c:v>
                </c:pt>
                <c:pt idx="31">
                  <c:v>0.51503807491005416</c:v>
                </c:pt>
                <c:pt idx="32">
                  <c:v>0.5299192642332049</c:v>
                </c:pt>
                <c:pt idx="33">
                  <c:v>0.54463903501502708</c:v>
                </c:pt>
                <c:pt idx="34">
                  <c:v>0.5591929034707469</c:v>
                </c:pt>
                <c:pt idx="35">
                  <c:v>0.57357643635104605</c:v>
                </c:pt>
                <c:pt idx="36">
                  <c:v>0.58778525229247314</c:v>
                </c:pt>
                <c:pt idx="37">
                  <c:v>0.60181502315204827</c:v>
                </c:pt>
                <c:pt idx="38">
                  <c:v>0.61566147532565818</c:v>
                </c:pt>
                <c:pt idx="39">
                  <c:v>0.62932039104983739</c:v>
                </c:pt>
                <c:pt idx="40">
                  <c:v>0.64278760968653925</c:v>
                </c:pt>
                <c:pt idx="41">
                  <c:v>0.65605902899050716</c:v>
                </c:pt>
                <c:pt idx="42">
                  <c:v>0.66913060635885824</c:v>
                </c:pt>
                <c:pt idx="43">
                  <c:v>0.68199836006249848</c:v>
                </c:pt>
                <c:pt idx="44">
                  <c:v>0.69465837045899725</c:v>
                </c:pt>
                <c:pt idx="45">
                  <c:v>0.70710678118654746</c:v>
                </c:pt>
                <c:pt idx="46">
                  <c:v>0.71933980033865108</c:v>
                </c:pt>
                <c:pt idx="47">
                  <c:v>0.73135370161917046</c:v>
                </c:pt>
                <c:pt idx="48">
                  <c:v>0.74314482547739413</c:v>
                </c:pt>
                <c:pt idx="49">
                  <c:v>0.75470958022277201</c:v>
                </c:pt>
                <c:pt idx="50">
                  <c:v>0.76604444311897801</c:v>
                </c:pt>
                <c:pt idx="51">
                  <c:v>0.77714596145697079</c:v>
                </c:pt>
                <c:pt idx="52">
                  <c:v>0.78801075360672201</c:v>
                </c:pt>
                <c:pt idx="53">
                  <c:v>0.79863551004729283</c:v>
                </c:pt>
                <c:pt idx="54">
                  <c:v>0.80901699437494745</c:v>
                </c:pt>
                <c:pt idx="55">
                  <c:v>0.8191520442889918</c:v>
                </c:pt>
                <c:pt idx="56">
                  <c:v>0.82903757255504174</c:v>
                </c:pt>
                <c:pt idx="57">
                  <c:v>0.83867056794542394</c:v>
                </c:pt>
                <c:pt idx="58">
                  <c:v>0.84804809615642596</c:v>
                </c:pt>
                <c:pt idx="59">
                  <c:v>0.85716730070211222</c:v>
                </c:pt>
                <c:pt idx="60">
                  <c:v>0.8660254037844386</c:v>
                </c:pt>
                <c:pt idx="61">
                  <c:v>0.87461970713939574</c:v>
                </c:pt>
                <c:pt idx="62">
                  <c:v>0.88294759285892688</c:v>
                </c:pt>
                <c:pt idx="63">
                  <c:v>0.89100652418836779</c:v>
                </c:pt>
                <c:pt idx="64">
                  <c:v>0.89879404629916704</c:v>
                </c:pt>
                <c:pt idx="65">
                  <c:v>0.90630778703664994</c:v>
                </c:pt>
                <c:pt idx="66">
                  <c:v>0.91354545764260087</c:v>
                </c:pt>
                <c:pt idx="67">
                  <c:v>0.92050485345244026</c:v>
                </c:pt>
                <c:pt idx="68">
                  <c:v>0.92718385456678742</c:v>
                </c:pt>
                <c:pt idx="69">
                  <c:v>0.93358042649720174</c:v>
                </c:pt>
                <c:pt idx="70">
                  <c:v>0.93969262078590832</c:v>
                </c:pt>
                <c:pt idx="71">
                  <c:v>0.94551857559931674</c:v>
                </c:pt>
                <c:pt idx="72">
                  <c:v>0.95105651629515353</c:v>
                </c:pt>
                <c:pt idx="73">
                  <c:v>0.95630475596303544</c:v>
                </c:pt>
                <c:pt idx="74">
                  <c:v>0.96126169593831889</c:v>
                </c:pt>
                <c:pt idx="75">
                  <c:v>0.96592582628906831</c:v>
                </c:pt>
                <c:pt idx="76">
                  <c:v>0.97029572627599647</c:v>
                </c:pt>
                <c:pt idx="77">
                  <c:v>0.97437006478523525</c:v>
                </c:pt>
                <c:pt idx="78">
                  <c:v>0.97814760073380558</c:v>
                </c:pt>
                <c:pt idx="79">
                  <c:v>0.98162718344766398</c:v>
                </c:pt>
                <c:pt idx="80">
                  <c:v>0.98480775301220802</c:v>
                </c:pt>
                <c:pt idx="81">
                  <c:v>0.98768834059513777</c:v>
                </c:pt>
                <c:pt idx="82">
                  <c:v>0.99026806874157025</c:v>
                </c:pt>
                <c:pt idx="83">
                  <c:v>0.99254615164132198</c:v>
                </c:pt>
                <c:pt idx="84">
                  <c:v>0.99452189536827329</c:v>
                </c:pt>
                <c:pt idx="85">
                  <c:v>0.99619469809174555</c:v>
                </c:pt>
                <c:pt idx="86">
                  <c:v>0.9975640502598242</c:v>
                </c:pt>
                <c:pt idx="87">
                  <c:v>0.99862953475457383</c:v>
                </c:pt>
                <c:pt idx="88">
                  <c:v>0.99939082701909576</c:v>
                </c:pt>
                <c:pt idx="89">
                  <c:v>0.99984769515639127</c:v>
                </c:pt>
                <c:pt idx="90">
                  <c:v>1</c:v>
                </c:pt>
                <c:pt idx="91">
                  <c:v>0.99984769515639127</c:v>
                </c:pt>
                <c:pt idx="92">
                  <c:v>0.99939082701909576</c:v>
                </c:pt>
                <c:pt idx="93">
                  <c:v>0.99862953475457383</c:v>
                </c:pt>
                <c:pt idx="94">
                  <c:v>0.9975640502598242</c:v>
                </c:pt>
                <c:pt idx="95">
                  <c:v>0.99619469809174555</c:v>
                </c:pt>
                <c:pt idx="96">
                  <c:v>0.9945218953682734</c:v>
                </c:pt>
                <c:pt idx="97">
                  <c:v>0.99254615164132209</c:v>
                </c:pt>
                <c:pt idx="98">
                  <c:v>0.99026806874157036</c:v>
                </c:pt>
                <c:pt idx="99">
                  <c:v>0.98768834059513766</c:v>
                </c:pt>
                <c:pt idx="100">
                  <c:v>0.98480775301220802</c:v>
                </c:pt>
                <c:pt idx="101">
                  <c:v>0.98162718344766398</c:v>
                </c:pt>
                <c:pt idx="102">
                  <c:v>0.97814760073380569</c:v>
                </c:pt>
                <c:pt idx="103">
                  <c:v>0.97437006478523525</c:v>
                </c:pt>
                <c:pt idx="104">
                  <c:v>0.97029572627599647</c:v>
                </c:pt>
                <c:pt idx="105">
                  <c:v>0.96592582628906831</c:v>
                </c:pt>
                <c:pt idx="106">
                  <c:v>0.96126169593831889</c:v>
                </c:pt>
                <c:pt idx="107">
                  <c:v>0.95630475596303555</c:v>
                </c:pt>
                <c:pt idx="108">
                  <c:v>0.95105651629515364</c:v>
                </c:pt>
                <c:pt idx="109">
                  <c:v>0.94551857559931685</c:v>
                </c:pt>
                <c:pt idx="110">
                  <c:v>0.93969262078590843</c:v>
                </c:pt>
                <c:pt idx="111">
                  <c:v>0.93358042649720174</c:v>
                </c:pt>
                <c:pt idx="112">
                  <c:v>0.92718385456678742</c:v>
                </c:pt>
                <c:pt idx="113">
                  <c:v>0.92050485345244037</c:v>
                </c:pt>
                <c:pt idx="114">
                  <c:v>0.91354545764260098</c:v>
                </c:pt>
                <c:pt idx="115">
                  <c:v>0.90630778703665005</c:v>
                </c:pt>
                <c:pt idx="116">
                  <c:v>0.89879404629916693</c:v>
                </c:pt>
                <c:pt idx="117">
                  <c:v>0.8910065241883679</c:v>
                </c:pt>
                <c:pt idx="118">
                  <c:v>0.8829475928589271</c:v>
                </c:pt>
                <c:pt idx="119">
                  <c:v>0.87461970713939585</c:v>
                </c:pt>
                <c:pt idx="120">
                  <c:v>0.86602540378443871</c:v>
                </c:pt>
                <c:pt idx="121">
                  <c:v>0.85716730070211233</c:v>
                </c:pt>
                <c:pt idx="122">
                  <c:v>0.84804809615642607</c:v>
                </c:pt>
                <c:pt idx="123">
                  <c:v>0.83867056794542394</c:v>
                </c:pt>
                <c:pt idx="124">
                  <c:v>0.82903757255504174</c:v>
                </c:pt>
                <c:pt idx="125">
                  <c:v>0.81915204428899202</c:v>
                </c:pt>
                <c:pt idx="126">
                  <c:v>0.80901699437494745</c:v>
                </c:pt>
                <c:pt idx="127">
                  <c:v>0.79863551004729272</c:v>
                </c:pt>
                <c:pt idx="128">
                  <c:v>0.78801075360672201</c:v>
                </c:pt>
                <c:pt idx="129">
                  <c:v>0.77714596145697101</c:v>
                </c:pt>
                <c:pt idx="130">
                  <c:v>0.76604444311897801</c:v>
                </c:pt>
                <c:pt idx="131">
                  <c:v>0.75470958022277179</c:v>
                </c:pt>
                <c:pt idx="132">
                  <c:v>0.74314482547739424</c:v>
                </c:pt>
                <c:pt idx="133">
                  <c:v>0.73135370161917057</c:v>
                </c:pt>
                <c:pt idx="134">
                  <c:v>0.71933980033865141</c:v>
                </c:pt>
                <c:pt idx="135">
                  <c:v>0.70710678118654757</c:v>
                </c:pt>
                <c:pt idx="136">
                  <c:v>0.69465837045899714</c:v>
                </c:pt>
                <c:pt idx="137">
                  <c:v>0.68199836006249859</c:v>
                </c:pt>
                <c:pt idx="138">
                  <c:v>0.66913060635885835</c:v>
                </c:pt>
                <c:pt idx="139">
                  <c:v>0.65605902899050728</c:v>
                </c:pt>
                <c:pt idx="140">
                  <c:v>0.64278760968653947</c:v>
                </c:pt>
                <c:pt idx="141">
                  <c:v>0.62932039104983772</c:v>
                </c:pt>
                <c:pt idx="142">
                  <c:v>0.6156614753256584</c:v>
                </c:pt>
                <c:pt idx="143">
                  <c:v>0.60181502315204816</c:v>
                </c:pt>
                <c:pt idx="144">
                  <c:v>0.58778525229247325</c:v>
                </c:pt>
                <c:pt idx="145">
                  <c:v>0.57357643635104638</c:v>
                </c:pt>
                <c:pt idx="146">
                  <c:v>0.5591929034707469</c:v>
                </c:pt>
                <c:pt idx="147">
                  <c:v>0.54463903501502697</c:v>
                </c:pt>
                <c:pt idx="148">
                  <c:v>0.5299192642332049</c:v>
                </c:pt>
                <c:pt idx="149">
                  <c:v>0.51503807491005438</c:v>
                </c:pt>
                <c:pt idx="150">
                  <c:v>0.49999999999999994</c:v>
                </c:pt>
                <c:pt idx="151">
                  <c:v>0.48480962024633717</c:v>
                </c:pt>
                <c:pt idx="152">
                  <c:v>0.46947156278589108</c:v>
                </c:pt>
                <c:pt idx="153">
                  <c:v>0.45399049973954686</c:v>
                </c:pt>
                <c:pt idx="154">
                  <c:v>0.43837114678907729</c:v>
                </c:pt>
                <c:pt idx="155">
                  <c:v>0.4226182617406995</c:v>
                </c:pt>
                <c:pt idx="156">
                  <c:v>0.40673664307580043</c:v>
                </c:pt>
                <c:pt idx="157">
                  <c:v>0.39073112848927416</c:v>
                </c:pt>
                <c:pt idx="158">
                  <c:v>0.37460659341591224</c:v>
                </c:pt>
                <c:pt idx="159">
                  <c:v>0.35836794954530021</c:v>
                </c:pt>
                <c:pt idx="160">
                  <c:v>0.34202014332566888</c:v>
                </c:pt>
                <c:pt idx="161">
                  <c:v>0.32556815445715703</c:v>
                </c:pt>
                <c:pt idx="162">
                  <c:v>0.30901699437494751</c:v>
                </c:pt>
                <c:pt idx="163">
                  <c:v>0.29237170472273705</c:v>
                </c:pt>
                <c:pt idx="164">
                  <c:v>0.27563735581699966</c:v>
                </c:pt>
                <c:pt idx="165">
                  <c:v>0.25881904510252102</c:v>
                </c:pt>
                <c:pt idx="166">
                  <c:v>0.24192189559966773</c:v>
                </c:pt>
                <c:pt idx="167">
                  <c:v>0.22495105434386478</c:v>
                </c:pt>
                <c:pt idx="168">
                  <c:v>0.20791169081775931</c:v>
                </c:pt>
                <c:pt idx="169">
                  <c:v>0.19080899537654497</c:v>
                </c:pt>
                <c:pt idx="170">
                  <c:v>0.17364817766693028</c:v>
                </c:pt>
                <c:pt idx="171">
                  <c:v>0.15643446504023098</c:v>
                </c:pt>
                <c:pt idx="172">
                  <c:v>0.13917310096006574</c:v>
                </c:pt>
                <c:pt idx="173">
                  <c:v>0.12186934340514755</c:v>
                </c:pt>
                <c:pt idx="174">
                  <c:v>0.10452846326765373</c:v>
                </c:pt>
                <c:pt idx="175">
                  <c:v>8.7155742747658638E-2</c:v>
                </c:pt>
                <c:pt idx="176">
                  <c:v>6.9756473744125524E-2</c:v>
                </c:pt>
                <c:pt idx="177">
                  <c:v>5.2335956242943807E-2</c:v>
                </c:pt>
                <c:pt idx="178">
                  <c:v>3.4899496702500699E-2</c:v>
                </c:pt>
                <c:pt idx="179">
                  <c:v>1.7452406437283439E-2</c:v>
                </c:pt>
                <c:pt idx="180">
                  <c:v>1.22514845490862E-16</c:v>
                </c:pt>
                <c:pt idx="181">
                  <c:v>-1.7452406437283192E-2</c:v>
                </c:pt>
                <c:pt idx="182">
                  <c:v>-3.48994967025009E-2</c:v>
                </c:pt>
                <c:pt idx="183">
                  <c:v>-5.2335956242943557E-2</c:v>
                </c:pt>
                <c:pt idx="184">
                  <c:v>-6.9756473744124831E-2</c:v>
                </c:pt>
                <c:pt idx="185">
                  <c:v>-8.7155742747657944E-2</c:v>
                </c:pt>
                <c:pt idx="186">
                  <c:v>-0.10452846326765305</c:v>
                </c:pt>
                <c:pt idx="187">
                  <c:v>-0.12186934340514774</c:v>
                </c:pt>
                <c:pt idx="188">
                  <c:v>-0.13917310096006552</c:v>
                </c:pt>
                <c:pt idx="189">
                  <c:v>-0.15643446504023073</c:v>
                </c:pt>
                <c:pt idx="190">
                  <c:v>-0.17364817766693047</c:v>
                </c:pt>
                <c:pt idx="191">
                  <c:v>-0.19080899537654472</c:v>
                </c:pt>
                <c:pt idx="192">
                  <c:v>-0.20791169081775907</c:v>
                </c:pt>
                <c:pt idx="193">
                  <c:v>-0.22495105434386498</c:v>
                </c:pt>
                <c:pt idx="194">
                  <c:v>-0.24192189559966751</c:v>
                </c:pt>
                <c:pt idx="195">
                  <c:v>-0.25881904510252035</c:v>
                </c:pt>
                <c:pt idx="196">
                  <c:v>-0.275637355816999</c:v>
                </c:pt>
                <c:pt idx="197">
                  <c:v>-0.29237170472273638</c:v>
                </c:pt>
                <c:pt idx="198">
                  <c:v>-0.30901699437494773</c:v>
                </c:pt>
                <c:pt idx="199">
                  <c:v>-0.32556815445715676</c:v>
                </c:pt>
                <c:pt idx="200">
                  <c:v>-0.34202014332566866</c:v>
                </c:pt>
                <c:pt idx="201">
                  <c:v>-0.35836794954530043</c:v>
                </c:pt>
                <c:pt idx="202">
                  <c:v>-0.37460659341591201</c:v>
                </c:pt>
                <c:pt idx="203">
                  <c:v>-0.39073112848927355</c:v>
                </c:pt>
                <c:pt idx="204">
                  <c:v>-0.40673664307579982</c:v>
                </c:pt>
                <c:pt idx="205">
                  <c:v>-0.42261826174069927</c:v>
                </c:pt>
                <c:pt idx="206">
                  <c:v>-0.43837114678907707</c:v>
                </c:pt>
                <c:pt idx="207">
                  <c:v>-0.45399049973954625</c:v>
                </c:pt>
                <c:pt idx="208">
                  <c:v>-0.46947156278589086</c:v>
                </c:pt>
                <c:pt idx="209">
                  <c:v>-0.48480962024633695</c:v>
                </c:pt>
                <c:pt idx="210">
                  <c:v>-0.50000000000000011</c:v>
                </c:pt>
                <c:pt idx="211">
                  <c:v>-0.51503807491005416</c:v>
                </c:pt>
                <c:pt idx="212">
                  <c:v>-0.52991926423320479</c:v>
                </c:pt>
                <c:pt idx="213">
                  <c:v>-0.54463903501502708</c:v>
                </c:pt>
                <c:pt idx="214">
                  <c:v>-0.55919290347074668</c:v>
                </c:pt>
                <c:pt idx="215">
                  <c:v>-0.57357643635104583</c:v>
                </c:pt>
                <c:pt idx="216">
                  <c:v>-0.58778525229247303</c:v>
                </c:pt>
                <c:pt idx="217">
                  <c:v>-0.60181502315204805</c:v>
                </c:pt>
                <c:pt idx="218">
                  <c:v>-0.61566147532565785</c:v>
                </c:pt>
                <c:pt idx="219">
                  <c:v>-0.62932039104983761</c:v>
                </c:pt>
                <c:pt idx="220">
                  <c:v>-0.64278760968653925</c:v>
                </c:pt>
                <c:pt idx="221">
                  <c:v>-0.65605902899050739</c:v>
                </c:pt>
                <c:pt idx="222">
                  <c:v>-0.66913060635885824</c:v>
                </c:pt>
                <c:pt idx="223">
                  <c:v>-0.68199836006249837</c:v>
                </c:pt>
                <c:pt idx="224">
                  <c:v>-0.69465837045899737</c:v>
                </c:pt>
                <c:pt idx="225">
                  <c:v>-0.70710678118654746</c:v>
                </c:pt>
                <c:pt idx="226">
                  <c:v>-0.71933980033865086</c:v>
                </c:pt>
                <c:pt idx="227">
                  <c:v>-0.73135370161917013</c:v>
                </c:pt>
                <c:pt idx="228">
                  <c:v>-0.74314482547739402</c:v>
                </c:pt>
                <c:pt idx="229">
                  <c:v>-0.75470958022277168</c:v>
                </c:pt>
                <c:pt idx="230">
                  <c:v>-0.7660444431189779</c:v>
                </c:pt>
                <c:pt idx="231">
                  <c:v>-0.77714596145697112</c:v>
                </c:pt>
                <c:pt idx="232">
                  <c:v>-0.78801075360672213</c:v>
                </c:pt>
                <c:pt idx="233">
                  <c:v>-0.79863551004729283</c:v>
                </c:pt>
                <c:pt idx="234">
                  <c:v>-0.80901699437494734</c:v>
                </c:pt>
                <c:pt idx="235">
                  <c:v>-0.81915204428899158</c:v>
                </c:pt>
                <c:pt idx="236">
                  <c:v>-0.8290375725550414</c:v>
                </c:pt>
                <c:pt idx="237">
                  <c:v>-0.83867056794542405</c:v>
                </c:pt>
                <c:pt idx="238">
                  <c:v>-0.84804809615642596</c:v>
                </c:pt>
                <c:pt idx="239">
                  <c:v>-0.85716730070211211</c:v>
                </c:pt>
                <c:pt idx="240">
                  <c:v>-0.86602540378443837</c:v>
                </c:pt>
                <c:pt idx="241">
                  <c:v>-0.87461970713939596</c:v>
                </c:pt>
                <c:pt idx="242">
                  <c:v>-0.88294759285892699</c:v>
                </c:pt>
                <c:pt idx="243">
                  <c:v>-0.89100652418836779</c:v>
                </c:pt>
                <c:pt idx="244">
                  <c:v>-0.89879404629916682</c:v>
                </c:pt>
                <c:pt idx="245">
                  <c:v>-0.90630778703664971</c:v>
                </c:pt>
                <c:pt idx="246">
                  <c:v>-0.91354545764260098</c:v>
                </c:pt>
                <c:pt idx="247">
                  <c:v>-0.92050485345244026</c:v>
                </c:pt>
                <c:pt idx="248">
                  <c:v>-0.92718385456678731</c:v>
                </c:pt>
                <c:pt idx="249">
                  <c:v>-0.93358042649720163</c:v>
                </c:pt>
                <c:pt idx="250">
                  <c:v>-0.93969262078590821</c:v>
                </c:pt>
                <c:pt idx="251">
                  <c:v>-0.94551857559931685</c:v>
                </c:pt>
                <c:pt idx="252">
                  <c:v>-0.95105651629515353</c:v>
                </c:pt>
                <c:pt idx="253">
                  <c:v>-0.95630475596303532</c:v>
                </c:pt>
                <c:pt idx="254">
                  <c:v>-0.96126169593831901</c:v>
                </c:pt>
                <c:pt idx="255">
                  <c:v>-0.96592582628906831</c:v>
                </c:pt>
                <c:pt idx="256">
                  <c:v>-0.97029572627599647</c:v>
                </c:pt>
                <c:pt idx="257">
                  <c:v>-0.97437006478523513</c:v>
                </c:pt>
                <c:pt idx="258">
                  <c:v>-0.97814760073380558</c:v>
                </c:pt>
                <c:pt idx="259">
                  <c:v>-0.98162718344766386</c:v>
                </c:pt>
                <c:pt idx="260">
                  <c:v>-0.98480775301220802</c:v>
                </c:pt>
                <c:pt idx="261">
                  <c:v>-0.98768834059513766</c:v>
                </c:pt>
                <c:pt idx="262">
                  <c:v>-0.99026806874157036</c:v>
                </c:pt>
                <c:pt idx="263">
                  <c:v>-0.99254615164132209</c:v>
                </c:pt>
                <c:pt idx="264">
                  <c:v>-0.9945218953682734</c:v>
                </c:pt>
                <c:pt idx="265">
                  <c:v>-0.99619469809174555</c:v>
                </c:pt>
                <c:pt idx="266">
                  <c:v>-0.9975640502598242</c:v>
                </c:pt>
                <c:pt idx="267">
                  <c:v>-0.99862953475457383</c:v>
                </c:pt>
                <c:pt idx="268">
                  <c:v>-0.99939082701909565</c:v>
                </c:pt>
                <c:pt idx="269">
                  <c:v>-0.99984769515639127</c:v>
                </c:pt>
                <c:pt idx="270">
                  <c:v>-1</c:v>
                </c:pt>
                <c:pt idx="271">
                  <c:v>-0.99984769515639127</c:v>
                </c:pt>
                <c:pt idx="272">
                  <c:v>-0.99939082701909576</c:v>
                </c:pt>
                <c:pt idx="273">
                  <c:v>-0.99862953475457383</c:v>
                </c:pt>
                <c:pt idx="274">
                  <c:v>-0.99756405025982431</c:v>
                </c:pt>
                <c:pt idx="275">
                  <c:v>-0.99619469809174555</c:v>
                </c:pt>
                <c:pt idx="276">
                  <c:v>-0.9945218953682734</c:v>
                </c:pt>
                <c:pt idx="277">
                  <c:v>-0.99254615164132198</c:v>
                </c:pt>
                <c:pt idx="278">
                  <c:v>-0.99026806874157036</c:v>
                </c:pt>
                <c:pt idx="279">
                  <c:v>-0.98768834059513777</c:v>
                </c:pt>
                <c:pt idx="280">
                  <c:v>-0.98480775301220813</c:v>
                </c:pt>
                <c:pt idx="281">
                  <c:v>-0.98162718344766409</c:v>
                </c:pt>
                <c:pt idx="282">
                  <c:v>-0.9781476007338058</c:v>
                </c:pt>
                <c:pt idx="283">
                  <c:v>-0.97437006478523525</c:v>
                </c:pt>
                <c:pt idx="284">
                  <c:v>-0.97029572627599658</c:v>
                </c:pt>
                <c:pt idx="285">
                  <c:v>-0.9659258262890682</c:v>
                </c:pt>
                <c:pt idx="286">
                  <c:v>-0.96126169593831878</c:v>
                </c:pt>
                <c:pt idx="287">
                  <c:v>-0.95630475596303544</c:v>
                </c:pt>
                <c:pt idx="288">
                  <c:v>-0.95105651629515364</c:v>
                </c:pt>
                <c:pt idx="289">
                  <c:v>-0.94551857559931696</c:v>
                </c:pt>
                <c:pt idx="290">
                  <c:v>-0.93969262078590854</c:v>
                </c:pt>
                <c:pt idx="291">
                  <c:v>-0.93358042649720208</c:v>
                </c:pt>
                <c:pt idx="292">
                  <c:v>-0.92718385456678742</c:v>
                </c:pt>
                <c:pt idx="293">
                  <c:v>-0.92050485345244049</c:v>
                </c:pt>
                <c:pt idx="294">
                  <c:v>-0.91354545764260076</c:v>
                </c:pt>
                <c:pt idx="295">
                  <c:v>-0.90630778703664994</c:v>
                </c:pt>
                <c:pt idx="296">
                  <c:v>-0.89879404629916704</c:v>
                </c:pt>
                <c:pt idx="297">
                  <c:v>-0.8910065241883679</c:v>
                </c:pt>
                <c:pt idx="298">
                  <c:v>-0.8829475928589271</c:v>
                </c:pt>
                <c:pt idx="299">
                  <c:v>-0.87461970713939607</c:v>
                </c:pt>
                <c:pt idx="300">
                  <c:v>-0.8660254037844386</c:v>
                </c:pt>
                <c:pt idx="301">
                  <c:v>-0.85716730070211233</c:v>
                </c:pt>
                <c:pt idx="302">
                  <c:v>-0.84804809615642618</c:v>
                </c:pt>
                <c:pt idx="303">
                  <c:v>-0.83867056794542427</c:v>
                </c:pt>
                <c:pt idx="304">
                  <c:v>-0.82903757255504207</c:v>
                </c:pt>
                <c:pt idx="305">
                  <c:v>-0.8191520442889918</c:v>
                </c:pt>
                <c:pt idx="306">
                  <c:v>-0.80901699437494756</c:v>
                </c:pt>
                <c:pt idx="307">
                  <c:v>-0.79863551004729305</c:v>
                </c:pt>
                <c:pt idx="308">
                  <c:v>-0.78801075360672179</c:v>
                </c:pt>
                <c:pt idx="309">
                  <c:v>-0.77714596145697079</c:v>
                </c:pt>
                <c:pt idx="310">
                  <c:v>-0.76604444311897812</c:v>
                </c:pt>
                <c:pt idx="311">
                  <c:v>-0.75470958022277224</c:v>
                </c:pt>
                <c:pt idx="312">
                  <c:v>-0.74314482547739458</c:v>
                </c:pt>
                <c:pt idx="313">
                  <c:v>-0.73135370161917101</c:v>
                </c:pt>
                <c:pt idx="314">
                  <c:v>-0.71933980033865175</c:v>
                </c:pt>
                <c:pt idx="315">
                  <c:v>-0.70710678118654768</c:v>
                </c:pt>
                <c:pt idx="316">
                  <c:v>-0.69465837045899759</c:v>
                </c:pt>
                <c:pt idx="317">
                  <c:v>-0.68199836006249825</c:v>
                </c:pt>
                <c:pt idx="318">
                  <c:v>-0.66913060635885813</c:v>
                </c:pt>
                <c:pt idx="319">
                  <c:v>-0.65605902899050739</c:v>
                </c:pt>
                <c:pt idx="320">
                  <c:v>-0.64278760968653958</c:v>
                </c:pt>
                <c:pt idx="321">
                  <c:v>-0.62932039104983784</c:v>
                </c:pt>
                <c:pt idx="322">
                  <c:v>-0.61566147532565885</c:v>
                </c:pt>
                <c:pt idx="323">
                  <c:v>-0.60181502315204827</c:v>
                </c:pt>
                <c:pt idx="324">
                  <c:v>-0.58778525229247336</c:v>
                </c:pt>
                <c:pt idx="325">
                  <c:v>-0.57357643635104649</c:v>
                </c:pt>
                <c:pt idx="326">
                  <c:v>-0.55919290347074735</c:v>
                </c:pt>
                <c:pt idx="327">
                  <c:v>-0.54463903501502697</c:v>
                </c:pt>
                <c:pt idx="328">
                  <c:v>-0.52991926423320579</c:v>
                </c:pt>
                <c:pt idx="329">
                  <c:v>-0.51503807491005449</c:v>
                </c:pt>
                <c:pt idx="330">
                  <c:v>-0.50000000000000044</c:v>
                </c:pt>
                <c:pt idx="331">
                  <c:v>-0.48480962024633689</c:v>
                </c:pt>
                <c:pt idx="332">
                  <c:v>-0.46947156278589081</c:v>
                </c:pt>
                <c:pt idx="333">
                  <c:v>-0.45399049973954697</c:v>
                </c:pt>
                <c:pt idx="334">
                  <c:v>-0.43837114678907702</c:v>
                </c:pt>
                <c:pt idx="335">
                  <c:v>-0.4226182617407</c:v>
                </c:pt>
                <c:pt idx="336">
                  <c:v>-0.40673664307580015</c:v>
                </c:pt>
                <c:pt idx="337">
                  <c:v>-0.39073112848927471</c:v>
                </c:pt>
                <c:pt idx="338">
                  <c:v>-0.37460659341591235</c:v>
                </c:pt>
                <c:pt idx="339">
                  <c:v>-0.35836794954530077</c:v>
                </c:pt>
                <c:pt idx="340">
                  <c:v>-0.3420201433256686</c:v>
                </c:pt>
                <c:pt idx="341">
                  <c:v>-0.32556815445715753</c:v>
                </c:pt>
                <c:pt idx="342">
                  <c:v>-0.30901699437494762</c:v>
                </c:pt>
                <c:pt idx="343">
                  <c:v>-0.29237170472273627</c:v>
                </c:pt>
                <c:pt idx="344">
                  <c:v>-0.27563735581699977</c:v>
                </c:pt>
                <c:pt idx="345">
                  <c:v>-0.25881904510252068</c:v>
                </c:pt>
                <c:pt idx="346">
                  <c:v>-0.24192189559966787</c:v>
                </c:pt>
                <c:pt idx="347">
                  <c:v>-0.22495105434386534</c:v>
                </c:pt>
                <c:pt idx="348">
                  <c:v>-0.20791169081775987</c:v>
                </c:pt>
                <c:pt idx="349">
                  <c:v>-0.19080899537654467</c:v>
                </c:pt>
                <c:pt idx="350">
                  <c:v>-0.17364817766693127</c:v>
                </c:pt>
                <c:pt idx="351">
                  <c:v>-0.15643446504023112</c:v>
                </c:pt>
                <c:pt idx="352">
                  <c:v>-0.13917310096006588</c:v>
                </c:pt>
                <c:pt idx="353">
                  <c:v>-0.12186934340514811</c:v>
                </c:pt>
                <c:pt idx="354">
                  <c:v>-0.10452846326765342</c:v>
                </c:pt>
                <c:pt idx="355">
                  <c:v>-8.7155742747658319E-2</c:v>
                </c:pt>
                <c:pt idx="356">
                  <c:v>-6.9756473744124761E-2</c:v>
                </c:pt>
                <c:pt idx="357">
                  <c:v>-5.2335956242944369E-2</c:v>
                </c:pt>
                <c:pt idx="358">
                  <c:v>-3.4899496702500823E-2</c:v>
                </c:pt>
                <c:pt idx="359">
                  <c:v>-1.7452406437284448E-2</c:v>
                </c:pt>
                <c:pt idx="360">
                  <c:v>-2.45029690981724E-16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D8-4DE4-81A2-827922FEC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924240"/>
        <c:axId val="1"/>
      </c:scatterChart>
      <c:valAx>
        <c:axId val="426924240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pt-B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4269242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58" footer="0.31496062000000058"/>
    <c:pageSetup/>
  </c:printSettings>
</c:chartSpace>
</file>

<file path=xl/ctrlProps/ctrlProp1.xml><?xml version="1.0" encoding="utf-8"?>
<formControlPr xmlns="http://schemas.microsoft.com/office/spreadsheetml/2009/9/main" objectType="Scroll" dx="16" fmlaLink="$G$5" horiz="1" max="360" page="10" val="130"/>
</file>

<file path=xl/ctrlProps/ctrlProp2.xml><?xml version="1.0" encoding="utf-8"?>
<formControlPr xmlns="http://schemas.microsoft.com/office/spreadsheetml/2009/9/main" objectType="Scroll" dx="16" fmlaLink="$G$5" horiz="1" max="360" page="10" val="130"/>
</file>

<file path=xl/ctrlProps/ctrlProp3.xml><?xml version="1.0" encoding="utf-8"?>
<formControlPr xmlns="http://schemas.microsoft.com/office/spreadsheetml/2009/9/main" objectType="Scroll" dx="16" fmlaLink="$G$5" horiz="1" max="360" page="10" val="180"/>
</file>

<file path=xl/ctrlProps/ctrlProp4.xml><?xml version="1.0" encoding="utf-8"?>
<formControlPr xmlns="http://schemas.microsoft.com/office/spreadsheetml/2009/9/main" objectType="Scroll" dx="16" fmlaLink="$G$5" horiz="1" max="1080" page="10" val="489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9525</xdr:rowOff>
        </xdr:from>
        <xdr:to>
          <xdr:col>4</xdr:col>
          <xdr:colOff>552450</xdr:colOff>
          <xdr:row>1</xdr:row>
          <xdr:rowOff>171450</xdr:rowOff>
        </xdr:to>
        <xdr:sp macro="" textlink="">
          <xdr:nvSpPr>
            <xdr:cNvPr id="76804" name="Scroll Bar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2365D5B3-0141-48A1-824E-B393AF798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9525</xdr:rowOff>
        </xdr:from>
        <xdr:to>
          <xdr:col>4</xdr:col>
          <xdr:colOff>552450</xdr:colOff>
          <xdr:row>1</xdr:row>
          <xdr:rowOff>171450</xdr:rowOff>
        </xdr:to>
        <xdr:sp macro="" textlink="">
          <xdr:nvSpPr>
            <xdr:cNvPr id="78849" name="Scroll Bar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6D6952E7-6DED-4D0C-8634-F40131D42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333375</xdr:colOff>
      <xdr:row>11</xdr:row>
      <xdr:rowOff>161925</xdr:rowOff>
    </xdr:from>
    <xdr:to>
      <xdr:col>15</xdr:col>
      <xdr:colOff>57150</xdr:colOff>
      <xdr:row>26</xdr:row>
      <xdr:rowOff>47625</xdr:rowOff>
    </xdr:to>
    <xdr:graphicFrame macro="">
      <xdr:nvGraphicFramePr>
        <xdr:cNvPr id="80979" name="Gráfico 1">
          <a:extLst>
            <a:ext uri="{FF2B5EF4-FFF2-40B4-BE49-F238E27FC236}">
              <a16:creationId xmlns:a16="http://schemas.microsoft.com/office/drawing/2014/main" id="{D2673C7E-9379-47C0-9F57-90B62E679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9525</xdr:rowOff>
        </xdr:from>
        <xdr:to>
          <xdr:col>4</xdr:col>
          <xdr:colOff>552450</xdr:colOff>
          <xdr:row>1</xdr:row>
          <xdr:rowOff>171450</xdr:rowOff>
        </xdr:to>
        <xdr:sp macro="" textlink="">
          <xdr:nvSpPr>
            <xdr:cNvPr id="80897" name="Scroll Bar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63BE586E-BD27-4692-AD26-2B0E24BD67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8</xdr:row>
      <xdr:rowOff>114300</xdr:rowOff>
    </xdr:from>
    <xdr:to>
      <xdr:col>10</xdr:col>
      <xdr:colOff>342900</xdr:colOff>
      <xdr:row>29</xdr:row>
      <xdr:rowOff>123825</xdr:rowOff>
    </xdr:to>
    <xdr:graphicFrame macro="">
      <xdr:nvGraphicFramePr>
        <xdr:cNvPr id="64596" name="Gráfico 1">
          <a:extLst>
            <a:ext uri="{FF2B5EF4-FFF2-40B4-BE49-F238E27FC236}">
              <a16:creationId xmlns:a16="http://schemas.microsoft.com/office/drawing/2014/main" id="{71050DB1-C95D-4FB6-ACC6-DA435F1CE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7</xdr:col>
          <xdr:colOff>0</xdr:colOff>
          <xdr:row>2</xdr:row>
          <xdr:rowOff>114300</xdr:rowOff>
        </xdr:to>
        <xdr:sp macro="" textlink="">
          <xdr:nvSpPr>
            <xdr:cNvPr id="64513" name="Scroll Bar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75BCB3AF-232C-46D6-9102-0138AEA03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142875</xdr:rowOff>
        </xdr:from>
        <xdr:to>
          <xdr:col>3</xdr:col>
          <xdr:colOff>142875</xdr:colOff>
          <xdr:row>2</xdr:row>
          <xdr:rowOff>95250</xdr:rowOff>
        </xdr:to>
        <xdr:sp macro="" textlink="">
          <xdr:nvSpPr>
            <xdr:cNvPr id="214017" name="Autovalor" hidden="1">
              <a:extLst>
                <a:ext uri="{63B3BB69-23CF-44E3-9099-C40C66FF867C}">
                  <a14:compatExt spid="_x0000_s214017"/>
                </a:ext>
                <a:ext uri="{FF2B5EF4-FFF2-40B4-BE49-F238E27FC236}">
                  <a16:creationId xmlns:a16="http://schemas.microsoft.com/office/drawing/2014/main" id="{DBD2769E-E091-4FAB-BBE4-0D8E29C69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5" Type="http://schemas.openxmlformats.org/officeDocument/2006/relationships/comments" Target="../comments6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5:G7"/>
  <sheetViews>
    <sheetView zoomScale="240" zoomScaleNormal="240" workbookViewId="0"/>
  </sheetViews>
  <sheetFormatPr defaultRowHeight="15" x14ac:dyDescent="0.25"/>
  <cols>
    <col min="1" max="1" width="9.140625" style="19"/>
  </cols>
  <sheetData>
    <row r="5" spans="2:7" x14ac:dyDescent="0.25">
      <c r="B5" s="20" t="s">
        <v>9</v>
      </c>
      <c r="C5" s="10"/>
      <c r="D5" s="17" t="s">
        <v>0</v>
      </c>
      <c r="E5" s="10"/>
      <c r="F5" s="10"/>
      <c r="G5" s="18" t="s">
        <v>8</v>
      </c>
    </row>
    <row r="6" spans="2:7" x14ac:dyDescent="0.25">
      <c r="B6" s="14">
        <f t="array" ref="B6:B7">MMULT(D6:E7,G6:G7)</f>
        <v>-1.07</v>
      </c>
      <c r="C6" s="10"/>
      <c r="D6" s="15">
        <v>1</v>
      </c>
      <c r="E6" s="16">
        <v>1</v>
      </c>
      <c r="F6" s="10"/>
      <c r="G6" s="14">
        <v>-1</v>
      </c>
    </row>
    <row r="7" spans="2:7" x14ac:dyDescent="0.25">
      <c r="B7" s="14">
        <v>-7.0000000000000007E-2</v>
      </c>
      <c r="C7" s="10"/>
      <c r="D7" s="15">
        <v>0</v>
      </c>
      <c r="E7" s="16">
        <v>1</v>
      </c>
      <c r="F7" s="10"/>
      <c r="G7" s="14">
        <v>-7.0000000000000007E-2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A4:G7"/>
  <sheetViews>
    <sheetView zoomScale="240" zoomScaleNormal="240" workbookViewId="0"/>
  </sheetViews>
  <sheetFormatPr defaultRowHeight="15" x14ac:dyDescent="0.25"/>
  <cols>
    <col min="1" max="1" width="9.140625" style="19"/>
  </cols>
  <sheetData>
    <row r="4" spans="2:7" x14ac:dyDescent="0.25">
      <c r="G4" s="18" t="s">
        <v>8</v>
      </c>
    </row>
    <row r="5" spans="2:7" x14ac:dyDescent="0.25">
      <c r="B5" s="20" t="s">
        <v>9</v>
      </c>
      <c r="C5" s="10"/>
      <c r="D5" s="17" t="s">
        <v>0</v>
      </c>
      <c r="E5" s="10"/>
      <c r="F5" s="10"/>
      <c r="G5">
        <v>60</v>
      </c>
    </row>
    <row r="6" spans="2:7" x14ac:dyDescent="0.25">
      <c r="B6" s="14">
        <f t="array" ref="B6:B7">MMULT(D6:E7,G6:G7)</f>
        <v>1.3660254037844388</v>
      </c>
      <c r="C6" s="10"/>
      <c r="D6" s="15">
        <v>1</v>
      </c>
      <c r="E6" s="16">
        <v>1</v>
      </c>
      <c r="F6" s="10"/>
      <c r="G6" s="14">
        <f>COS(RADIANS(G5))</f>
        <v>0.50000000000000011</v>
      </c>
    </row>
    <row r="7" spans="2:7" x14ac:dyDescent="0.25">
      <c r="B7" s="14">
        <v>0.8660254037844386</v>
      </c>
      <c r="C7" s="10"/>
      <c r="D7" s="15">
        <v>0</v>
      </c>
      <c r="E7" s="16">
        <v>1</v>
      </c>
      <c r="F7" s="10"/>
      <c r="G7" s="14">
        <f>SIN(RADIANS(G5))</f>
        <v>0.8660254037844386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A4:G7"/>
  <sheetViews>
    <sheetView zoomScale="240" zoomScaleNormal="240" workbookViewId="0">
      <selection activeCell="C3" sqref="C3"/>
    </sheetView>
  </sheetViews>
  <sheetFormatPr defaultRowHeight="15" x14ac:dyDescent="0.25"/>
  <cols>
    <col min="1" max="1" width="9.140625" style="19"/>
  </cols>
  <sheetData>
    <row r="4" spans="2:7" x14ac:dyDescent="0.25">
      <c r="G4" s="18" t="s">
        <v>8</v>
      </c>
    </row>
    <row r="5" spans="2:7" x14ac:dyDescent="0.25">
      <c r="B5" s="20" t="s">
        <v>9</v>
      </c>
      <c r="C5" s="10"/>
      <c r="D5" s="17" t="s">
        <v>0</v>
      </c>
      <c r="E5" s="10"/>
      <c r="F5" s="10"/>
      <c r="G5">
        <v>130</v>
      </c>
    </row>
    <row r="6" spans="2:7" x14ac:dyDescent="0.25">
      <c r="B6" s="14">
        <f t="array" ref="B6:B7">MMULT(D6:E7,G6:G7)</f>
        <v>0.12325683343243865</v>
      </c>
      <c r="C6" s="10"/>
      <c r="D6" s="15">
        <v>1</v>
      </c>
      <c r="E6" s="16">
        <v>1</v>
      </c>
      <c r="F6" s="10"/>
      <c r="G6" s="14">
        <f>COS(RADIANS(G5))</f>
        <v>-0.64278760968653936</v>
      </c>
    </row>
    <row r="7" spans="2:7" x14ac:dyDescent="0.25">
      <c r="B7" s="14">
        <v>0.76604444311897801</v>
      </c>
      <c r="C7" s="10"/>
      <c r="D7" s="15">
        <v>0</v>
      </c>
      <c r="E7" s="16">
        <v>1</v>
      </c>
      <c r="F7" s="10"/>
      <c r="G7" s="14">
        <f>SIN(RADIANS(G5))</f>
        <v>0.76604444311897801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4" r:id="rId3" name="Scroll Bar 4">
              <controlPr defaultSize="0" autoPict="0">
                <anchor mov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4</xdr:col>
                    <xdr:colOff>552450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3"/>
  <dimension ref="A2:P7"/>
  <sheetViews>
    <sheetView zoomScale="110" zoomScaleNormal="110" workbookViewId="0">
      <selection activeCell="A18" sqref="A18"/>
    </sheetView>
  </sheetViews>
  <sheetFormatPr defaultRowHeight="15" x14ac:dyDescent="0.25"/>
  <cols>
    <col min="1" max="1" width="9.140625" style="19"/>
  </cols>
  <sheetData>
    <row r="2" spans="2:16" x14ac:dyDescent="0.25">
      <c r="L2" t="s">
        <v>10</v>
      </c>
      <c r="M2" t="s">
        <v>11</v>
      </c>
      <c r="O2" t="s">
        <v>12</v>
      </c>
      <c r="P2" t="s">
        <v>13</v>
      </c>
    </row>
    <row r="3" spans="2:16" x14ac:dyDescent="0.25">
      <c r="L3">
        <v>0</v>
      </c>
      <c r="M3">
        <v>0</v>
      </c>
      <c r="O3">
        <v>0</v>
      </c>
      <c r="P3">
        <v>0</v>
      </c>
    </row>
    <row r="4" spans="2:16" x14ac:dyDescent="0.25">
      <c r="G4" s="18" t="s">
        <v>8</v>
      </c>
      <c r="L4" s="10">
        <f>G6</f>
        <v>-0.64278760968653936</v>
      </c>
      <c r="M4" s="10">
        <f>G7</f>
        <v>0.76604444311897801</v>
      </c>
      <c r="O4" s="10">
        <f>B6</f>
        <v>0.12325683343243865</v>
      </c>
      <c r="P4" s="10">
        <f>B7</f>
        <v>0.76604444311897801</v>
      </c>
    </row>
    <row r="5" spans="2:16" x14ac:dyDescent="0.25">
      <c r="B5" s="20" t="s">
        <v>9</v>
      </c>
      <c r="C5" s="10"/>
      <c r="D5" s="17" t="s">
        <v>0</v>
      </c>
      <c r="E5" s="10"/>
      <c r="F5" s="10"/>
      <c r="G5">
        <v>130</v>
      </c>
    </row>
    <row r="6" spans="2:16" x14ac:dyDescent="0.25">
      <c r="B6" s="14">
        <f t="array" ref="B6:B7">MMULT(D6:E7,G6:G7)</f>
        <v>0.12325683343243865</v>
      </c>
      <c r="C6" s="10"/>
      <c r="D6" s="15">
        <v>1</v>
      </c>
      <c r="E6" s="16">
        <v>1</v>
      </c>
      <c r="F6" s="10"/>
      <c r="G6" s="14">
        <f>COS(RADIANS(G5))</f>
        <v>-0.64278760968653936</v>
      </c>
    </row>
    <row r="7" spans="2:16" x14ac:dyDescent="0.25">
      <c r="B7" s="14">
        <v>0.76604444311897801</v>
      </c>
      <c r="C7" s="10"/>
      <c r="D7" s="15">
        <v>0</v>
      </c>
      <c r="E7" s="16">
        <v>1</v>
      </c>
      <c r="F7" s="10"/>
      <c r="G7" s="14">
        <f>SIN(RADIANS(G5))</f>
        <v>0.76604444311897801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Scroll Bar 1">
              <controlPr defaultSize="0" autoPict="0">
                <anchor mov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4</xdr:col>
                    <xdr:colOff>552450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A2:P7"/>
  <sheetViews>
    <sheetView zoomScale="110" zoomScaleNormal="110" workbookViewId="0">
      <selection activeCell="K9" sqref="K9"/>
    </sheetView>
  </sheetViews>
  <sheetFormatPr defaultRowHeight="15" x14ac:dyDescent="0.25"/>
  <cols>
    <col min="1" max="1" width="9.140625" style="19"/>
  </cols>
  <sheetData>
    <row r="2" spans="2:16" x14ac:dyDescent="0.25">
      <c r="L2" t="s">
        <v>10</v>
      </c>
      <c r="M2" t="s">
        <v>11</v>
      </c>
      <c r="O2" t="s">
        <v>12</v>
      </c>
      <c r="P2" t="s">
        <v>13</v>
      </c>
    </row>
    <row r="3" spans="2:16" x14ac:dyDescent="0.25">
      <c r="L3">
        <v>0</v>
      </c>
      <c r="M3">
        <v>0</v>
      </c>
      <c r="O3">
        <v>0</v>
      </c>
      <c r="P3">
        <v>0</v>
      </c>
    </row>
    <row r="4" spans="2:16" x14ac:dyDescent="0.25">
      <c r="G4" s="18" t="s">
        <v>8</v>
      </c>
      <c r="L4" s="10">
        <f>G6</f>
        <v>-1</v>
      </c>
      <c r="M4" s="10">
        <f>G7</f>
        <v>1.22514845490862E-16</v>
      </c>
      <c r="O4" s="10">
        <f>B6</f>
        <v>-0.99999999999999989</v>
      </c>
      <c r="P4" s="10">
        <f>B7</f>
        <v>1.22514845490862E-16</v>
      </c>
    </row>
    <row r="5" spans="2:16" x14ac:dyDescent="0.25">
      <c r="B5" s="20" t="s">
        <v>9</v>
      </c>
      <c r="C5" s="10"/>
      <c r="D5" s="17" t="s">
        <v>0</v>
      </c>
      <c r="E5" s="10"/>
      <c r="F5" s="10"/>
      <c r="G5">
        <v>180</v>
      </c>
    </row>
    <row r="6" spans="2:16" x14ac:dyDescent="0.25">
      <c r="B6" s="14">
        <f t="array" ref="B6:B7">MMULT(D6:E7,G6:G7)</f>
        <v>-0.99999999999999989</v>
      </c>
      <c r="C6" s="10"/>
      <c r="D6" s="15">
        <v>1</v>
      </c>
      <c r="E6" s="16">
        <v>1</v>
      </c>
      <c r="F6" s="10"/>
      <c r="G6" s="14">
        <f>COS(RADIANS(G5))</f>
        <v>-1</v>
      </c>
    </row>
    <row r="7" spans="2:16" x14ac:dyDescent="0.25">
      <c r="B7" s="14">
        <v>1.22514845490862E-16</v>
      </c>
      <c r="C7" s="10"/>
      <c r="D7" s="15">
        <v>0</v>
      </c>
      <c r="E7" s="16">
        <v>1</v>
      </c>
      <c r="F7" s="10"/>
      <c r="G7" s="14">
        <f>SIN(RADIANS(G5))</f>
        <v>1.22514845490862E-16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Scroll Bar 1">
              <controlPr defaultSize="0" autoPict="0">
                <anchor mov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4</xdr:col>
                    <xdr:colOff>552450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/>
  <dimension ref="B2:Q367"/>
  <sheetViews>
    <sheetView workbookViewId="0"/>
  </sheetViews>
  <sheetFormatPr defaultRowHeight="15" x14ac:dyDescent="0.25"/>
  <sheetData>
    <row r="2" spans="2:17" x14ac:dyDescent="0.25">
      <c r="L2" t="s">
        <v>10</v>
      </c>
      <c r="M2" t="s">
        <v>11</v>
      </c>
      <c r="P2" t="s">
        <v>12</v>
      </c>
      <c r="Q2" t="s">
        <v>13</v>
      </c>
    </row>
    <row r="3" spans="2:17" x14ac:dyDescent="0.25">
      <c r="L3" s="7">
        <v>0</v>
      </c>
      <c r="M3" s="7">
        <v>0</v>
      </c>
      <c r="N3" s="7"/>
      <c r="O3" s="7"/>
      <c r="P3" s="7">
        <v>0</v>
      </c>
      <c r="Q3" s="7">
        <v>0</v>
      </c>
    </row>
    <row r="4" spans="2:17" x14ac:dyDescent="0.25">
      <c r="L4" s="7">
        <f>G6</f>
        <v>-0.62932039104983739</v>
      </c>
      <c r="M4" s="7">
        <f>G7</f>
        <v>0.7771459614569709</v>
      </c>
      <c r="N4" s="7"/>
      <c r="O4" s="7"/>
      <c r="P4" s="7">
        <f>B6</f>
        <v>0.14782557040713351</v>
      </c>
      <c r="Q4" s="7">
        <f>B7</f>
        <v>0.7771459614569709</v>
      </c>
    </row>
    <row r="5" spans="2:17" x14ac:dyDescent="0.25">
      <c r="B5" s="10"/>
      <c r="C5" s="10"/>
      <c r="D5" s="10"/>
      <c r="E5" s="10"/>
      <c r="F5" s="10"/>
      <c r="G5" s="8">
        <v>489</v>
      </c>
    </row>
    <row r="6" spans="2:17" x14ac:dyDescent="0.25">
      <c r="B6" s="9">
        <f t="array" ref="B6:B7">MMULT(D6:E7,G6:G7)</f>
        <v>0.14782557040713351</v>
      </c>
      <c r="C6" s="10"/>
      <c r="D6" s="12">
        <v>1</v>
      </c>
      <c r="E6" s="11">
        <v>1</v>
      </c>
      <c r="F6" s="10"/>
      <c r="G6" s="9">
        <f>COS($G$5*PI()/180)</f>
        <v>-0.62932039104983739</v>
      </c>
      <c r="L6" s="7">
        <f>L4</f>
        <v>-0.62932039104983739</v>
      </c>
      <c r="M6" s="7">
        <f>M4</f>
        <v>0.7771459614569709</v>
      </c>
      <c r="O6" s="7"/>
      <c r="P6" s="7">
        <f>P4</f>
        <v>0.14782557040713351</v>
      </c>
      <c r="Q6" s="7">
        <f>Q4</f>
        <v>0.7771459614569709</v>
      </c>
    </row>
    <row r="7" spans="2:17" x14ac:dyDescent="0.25">
      <c r="B7" s="9">
        <v>0.7771459614569709</v>
      </c>
      <c r="C7" s="10"/>
      <c r="D7" s="12">
        <v>0</v>
      </c>
      <c r="E7" s="11">
        <v>1</v>
      </c>
      <c r="F7" s="10"/>
      <c r="G7" s="9">
        <f>SIN($G$5*PI()/180)</f>
        <v>0.7771459614569709</v>
      </c>
      <c r="K7">
        <v>0</v>
      </c>
      <c r="L7" s="7">
        <f t="dataTable" ref="L7:M367" dt2D="0" dtr="0" r1="G5" ca="1"/>
        <v>1</v>
      </c>
      <c r="M7" s="7">
        <v>0</v>
      </c>
      <c r="O7" s="8">
        <f t="shared" ref="O7:O70" si="0">K7</f>
        <v>0</v>
      </c>
      <c r="P7" s="7">
        <f t="dataTable" ref="P7:Q367" dt2D="0" dtr="0" r1="G5"/>
        <v>1</v>
      </c>
      <c r="Q7" s="7">
        <v>0</v>
      </c>
    </row>
    <row r="8" spans="2:17" x14ac:dyDescent="0.25">
      <c r="K8">
        <f t="shared" ref="K8:K71" si="1">K7+1</f>
        <v>1</v>
      </c>
      <c r="L8" s="7">
        <v>0.99984769515639127</v>
      </c>
      <c r="M8" s="7">
        <v>1.7452406437283512E-2</v>
      </c>
      <c r="O8" s="8">
        <f t="shared" si="0"/>
        <v>1</v>
      </c>
      <c r="P8" s="7">
        <v>1.0173001015936747</v>
      </c>
      <c r="Q8" s="7">
        <v>1.7452406437283512E-2</v>
      </c>
    </row>
    <row r="9" spans="2:17" x14ac:dyDescent="0.25">
      <c r="K9">
        <f t="shared" si="1"/>
        <v>2</v>
      </c>
      <c r="L9" s="7">
        <v>0.99939082701909576</v>
      </c>
      <c r="M9" s="7">
        <v>3.4899496702500969E-2</v>
      </c>
      <c r="O9" s="8">
        <f t="shared" si="0"/>
        <v>2</v>
      </c>
      <c r="P9" s="7">
        <v>1.0342903237215968</v>
      </c>
      <c r="Q9" s="7">
        <v>3.4899496702500969E-2</v>
      </c>
    </row>
    <row r="10" spans="2:17" x14ac:dyDescent="0.25">
      <c r="K10">
        <f t="shared" si="1"/>
        <v>3</v>
      </c>
      <c r="L10" s="7">
        <v>0.99862953475457383</v>
      </c>
      <c r="M10" s="7">
        <v>5.2335956242943828E-2</v>
      </c>
      <c r="O10" s="8">
        <f t="shared" si="0"/>
        <v>3</v>
      </c>
      <c r="P10" s="7">
        <v>1.0509654909975177</v>
      </c>
      <c r="Q10" s="7">
        <v>5.2335956242943828E-2</v>
      </c>
    </row>
    <row r="11" spans="2:17" x14ac:dyDescent="0.25">
      <c r="K11">
        <f t="shared" si="1"/>
        <v>4</v>
      </c>
      <c r="L11" s="7">
        <v>0.9975640502598242</v>
      </c>
      <c r="M11" s="7">
        <v>6.9756473744125302E-2</v>
      </c>
      <c r="O11" s="8">
        <f t="shared" si="0"/>
        <v>4</v>
      </c>
      <c r="P11" s="7">
        <v>1.0673205240039496</v>
      </c>
      <c r="Q11" s="7">
        <v>6.9756473744125302E-2</v>
      </c>
    </row>
    <row r="12" spans="2:17" x14ac:dyDescent="0.25">
      <c r="K12">
        <f t="shared" si="1"/>
        <v>5</v>
      </c>
      <c r="L12" s="7">
        <v>0.99619469809174555</v>
      </c>
      <c r="M12" s="7">
        <v>8.7155742747658166E-2</v>
      </c>
      <c r="O12" s="8">
        <f t="shared" si="0"/>
        <v>5</v>
      </c>
      <c r="P12" s="7">
        <v>1.0833504408394037</v>
      </c>
      <c r="Q12" s="7">
        <v>8.7155742747658166E-2</v>
      </c>
    </row>
    <row r="13" spans="2:17" x14ac:dyDescent="0.25">
      <c r="K13">
        <f t="shared" si="1"/>
        <v>6</v>
      </c>
      <c r="L13" s="7">
        <v>0.99452189536827329</v>
      </c>
      <c r="M13" s="7">
        <v>0.10452846326765346</v>
      </c>
      <c r="O13" s="8">
        <f t="shared" si="0"/>
        <v>6</v>
      </c>
      <c r="P13" s="7">
        <v>1.0990503586359268</v>
      </c>
      <c r="Q13" s="7">
        <v>0.10452846326765346</v>
      </c>
    </row>
    <row r="14" spans="2:17" x14ac:dyDescent="0.25">
      <c r="K14">
        <f t="shared" si="1"/>
        <v>7</v>
      </c>
      <c r="L14" s="7">
        <v>0.99254615164132198</v>
      </c>
      <c r="M14" s="7">
        <v>0.12186934340514748</v>
      </c>
      <c r="O14" s="8">
        <f t="shared" si="0"/>
        <v>7</v>
      </c>
      <c r="P14" s="7">
        <v>1.1144154950464695</v>
      </c>
      <c r="Q14" s="7">
        <v>0.12186934340514748</v>
      </c>
    </row>
    <row r="15" spans="2:17" x14ac:dyDescent="0.25">
      <c r="K15">
        <f t="shared" si="1"/>
        <v>8</v>
      </c>
      <c r="L15" s="7">
        <v>0.99026806874157036</v>
      </c>
      <c r="M15" s="7">
        <v>0.13917310096006544</v>
      </c>
      <c r="O15" s="8">
        <f t="shared" si="0"/>
        <v>8</v>
      </c>
      <c r="P15" s="7">
        <v>1.1294411697016358</v>
      </c>
      <c r="Q15" s="7">
        <v>0.13917310096006544</v>
      </c>
    </row>
    <row r="16" spans="2:17" x14ac:dyDescent="0.25">
      <c r="K16">
        <f t="shared" si="1"/>
        <v>9</v>
      </c>
      <c r="L16" s="7">
        <v>0.98768834059513777</v>
      </c>
      <c r="M16" s="7">
        <v>0.15643446504023087</v>
      </c>
      <c r="O16" s="8">
        <f t="shared" si="0"/>
        <v>9</v>
      </c>
      <c r="P16" s="7">
        <v>1.1441228056353687</v>
      </c>
      <c r="Q16" s="7">
        <v>0.15643446504023087</v>
      </c>
    </row>
    <row r="17" spans="11:17" x14ac:dyDescent="0.25">
      <c r="K17">
        <f t="shared" si="1"/>
        <v>10</v>
      </c>
      <c r="L17" s="7">
        <v>0.98480775301220802</v>
      </c>
      <c r="M17" s="7">
        <v>0.17364817766693033</v>
      </c>
      <c r="O17" s="8">
        <f t="shared" si="0"/>
        <v>10</v>
      </c>
      <c r="P17" s="7">
        <v>1.1584559306791384</v>
      </c>
      <c r="Q17" s="7">
        <v>0.17364817766693033</v>
      </c>
    </row>
    <row r="18" spans="11:17" x14ac:dyDescent="0.25">
      <c r="K18">
        <f t="shared" si="1"/>
        <v>11</v>
      </c>
      <c r="L18" s="7">
        <v>0.98162718344766398</v>
      </c>
      <c r="M18" s="7">
        <v>0.1908089953765448</v>
      </c>
      <c r="O18" s="8">
        <f t="shared" si="0"/>
        <v>11</v>
      </c>
      <c r="P18" s="7">
        <v>1.1724361788242088</v>
      </c>
      <c r="Q18" s="7">
        <v>0.1908089953765448</v>
      </c>
    </row>
    <row r="19" spans="11:17" x14ac:dyDescent="0.25">
      <c r="K19">
        <f t="shared" si="1"/>
        <v>12</v>
      </c>
      <c r="L19" s="7">
        <v>0.97814760073380569</v>
      </c>
      <c r="M19" s="7">
        <v>0.20791169081775931</v>
      </c>
      <c r="O19" s="8">
        <f t="shared" si="0"/>
        <v>12</v>
      </c>
      <c r="P19" s="7">
        <v>1.1860592915515651</v>
      </c>
      <c r="Q19" s="7">
        <v>0.20791169081775931</v>
      </c>
    </row>
    <row r="20" spans="11:17" x14ac:dyDescent="0.25">
      <c r="K20">
        <f t="shared" si="1"/>
        <v>13</v>
      </c>
      <c r="L20" s="7">
        <v>0.97437006478523525</v>
      </c>
      <c r="M20" s="7">
        <v>0.224951054343865</v>
      </c>
      <c r="O20" s="8">
        <f t="shared" si="0"/>
        <v>13</v>
      </c>
      <c r="P20" s="7">
        <v>1.1993211191291002</v>
      </c>
      <c r="Q20" s="7">
        <v>0.224951054343865</v>
      </c>
    </row>
    <row r="21" spans="11:17" x14ac:dyDescent="0.25">
      <c r="K21">
        <f t="shared" si="1"/>
        <v>14</v>
      </c>
      <c r="L21" s="7">
        <v>0.97029572627599647</v>
      </c>
      <c r="M21" s="7">
        <v>0.24192189559966773</v>
      </c>
      <c r="O21" s="8">
        <f t="shared" si="0"/>
        <v>14</v>
      </c>
      <c r="P21" s="7">
        <v>1.2122176218756642</v>
      </c>
      <c r="Q21" s="7">
        <v>0.24192189559966773</v>
      </c>
    </row>
    <row r="22" spans="11:17" x14ac:dyDescent="0.25">
      <c r="K22">
        <f t="shared" si="1"/>
        <v>15</v>
      </c>
      <c r="L22" s="7">
        <v>0.96592582628906831</v>
      </c>
      <c r="M22" s="7">
        <v>0.25881904510252074</v>
      </c>
      <c r="O22" s="8">
        <f t="shared" si="0"/>
        <v>15</v>
      </c>
      <c r="P22" s="7">
        <v>1.2247448713915889</v>
      </c>
      <c r="Q22" s="7">
        <v>0.25881904510252074</v>
      </c>
    </row>
    <row r="23" spans="11:17" x14ac:dyDescent="0.25">
      <c r="K23">
        <f t="shared" si="1"/>
        <v>16</v>
      </c>
      <c r="L23" s="7">
        <v>0.96126169593831889</v>
      </c>
      <c r="M23" s="7">
        <v>0.27563735581699916</v>
      </c>
      <c r="O23" s="8">
        <f t="shared" si="0"/>
        <v>16</v>
      </c>
      <c r="P23" s="7">
        <v>1.236899051755318</v>
      </c>
      <c r="Q23" s="7">
        <v>0.27563735581699916</v>
      </c>
    </row>
    <row r="24" spans="11:17" x14ac:dyDescent="0.25">
      <c r="K24">
        <f t="shared" si="1"/>
        <v>17</v>
      </c>
      <c r="L24" s="7">
        <v>0.95630475596303544</v>
      </c>
      <c r="M24" s="7">
        <v>0.29237170472273677</v>
      </c>
      <c r="O24" s="8">
        <f t="shared" si="0"/>
        <v>17</v>
      </c>
      <c r="P24" s="7">
        <v>1.2486764606857723</v>
      </c>
      <c r="Q24" s="7">
        <v>0.29237170472273677</v>
      </c>
    </row>
    <row r="25" spans="11:17" x14ac:dyDescent="0.25">
      <c r="K25">
        <f t="shared" si="1"/>
        <v>18</v>
      </c>
      <c r="L25" s="7">
        <v>0.95105651629515353</v>
      </c>
      <c r="M25" s="7">
        <v>0.3090169943749474</v>
      </c>
      <c r="O25" s="8">
        <f t="shared" si="0"/>
        <v>18</v>
      </c>
      <c r="P25" s="7">
        <v>1.2600735106701009</v>
      </c>
      <c r="Q25" s="7">
        <v>0.3090169943749474</v>
      </c>
    </row>
    <row r="26" spans="11:17" x14ac:dyDescent="0.25">
      <c r="K26">
        <f t="shared" si="1"/>
        <v>19</v>
      </c>
      <c r="L26" s="7">
        <v>0.94551857559931685</v>
      </c>
      <c r="M26" s="7">
        <v>0.32556815445715664</v>
      </c>
      <c r="O26" s="8">
        <f t="shared" si="0"/>
        <v>19</v>
      </c>
      <c r="P26" s="7">
        <v>1.2710867300564734</v>
      </c>
      <c r="Q26" s="7">
        <v>0.32556815445715664</v>
      </c>
    </row>
    <row r="27" spans="11:17" x14ac:dyDescent="0.25">
      <c r="K27">
        <f t="shared" si="1"/>
        <v>20</v>
      </c>
      <c r="L27" s="7">
        <v>0.93969262078590843</v>
      </c>
      <c r="M27" s="7">
        <v>0.34202014332566871</v>
      </c>
      <c r="O27" s="8">
        <f t="shared" si="0"/>
        <v>20</v>
      </c>
      <c r="P27" s="7">
        <v>1.2817127641115771</v>
      </c>
      <c r="Q27" s="7">
        <v>0.34202014332566871</v>
      </c>
    </row>
    <row r="28" spans="11:17" x14ac:dyDescent="0.25">
      <c r="K28">
        <f t="shared" si="1"/>
        <v>21</v>
      </c>
      <c r="L28" s="7">
        <v>0.93358042649720174</v>
      </c>
      <c r="M28" s="7">
        <v>0.35836794954530027</v>
      </c>
      <c r="O28" s="8">
        <f t="shared" si="0"/>
        <v>21</v>
      </c>
      <c r="P28" s="7">
        <v>1.2919483760425021</v>
      </c>
      <c r="Q28" s="7">
        <v>0.35836794954530027</v>
      </c>
    </row>
    <row r="29" spans="11:17" x14ac:dyDescent="0.25">
      <c r="K29">
        <f t="shared" si="1"/>
        <v>22</v>
      </c>
      <c r="L29" s="7">
        <v>0.92718385456678742</v>
      </c>
      <c r="M29" s="7">
        <v>0.37460659341591201</v>
      </c>
      <c r="O29" s="8">
        <f t="shared" si="0"/>
        <v>22</v>
      </c>
      <c r="P29" s="7">
        <v>1.3017904479826994</v>
      </c>
      <c r="Q29" s="7">
        <v>0.37460659341591201</v>
      </c>
    </row>
    <row r="30" spans="11:17" x14ac:dyDescent="0.25">
      <c r="K30">
        <f t="shared" si="1"/>
        <v>23</v>
      </c>
      <c r="L30" s="7">
        <v>0.92050485345244037</v>
      </c>
      <c r="M30" s="7">
        <v>0.39073112848927372</v>
      </c>
      <c r="O30" s="8">
        <f t="shared" si="0"/>
        <v>23</v>
      </c>
      <c r="P30" s="7">
        <v>1.3112359819417141</v>
      </c>
      <c r="Q30" s="7">
        <v>0.39073112848927372</v>
      </c>
    </row>
    <row r="31" spans="11:17" x14ac:dyDescent="0.25">
      <c r="K31">
        <f t="shared" si="1"/>
        <v>24</v>
      </c>
      <c r="L31" s="7">
        <v>0.91354545764260087</v>
      </c>
      <c r="M31" s="7">
        <v>0.40673664307580015</v>
      </c>
      <c r="O31" s="8">
        <f t="shared" si="0"/>
        <v>24</v>
      </c>
      <c r="P31" s="7">
        <v>1.3202821007184009</v>
      </c>
      <c r="Q31" s="7">
        <v>0.40673664307580015</v>
      </c>
    </row>
    <row r="32" spans="11:17" x14ac:dyDescent="0.25">
      <c r="K32">
        <f t="shared" si="1"/>
        <v>25</v>
      </c>
      <c r="L32" s="7">
        <v>0.90630778703664994</v>
      </c>
      <c r="M32" s="7">
        <v>0.42261826174069944</v>
      </c>
      <c r="O32" s="8">
        <f t="shared" si="0"/>
        <v>25</v>
      </c>
      <c r="P32" s="7">
        <v>1.3289260487773493</v>
      </c>
      <c r="Q32" s="7">
        <v>0.42261826174069944</v>
      </c>
    </row>
    <row r="33" spans="11:17" x14ac:dyDescent="0.25">
      <c r="K33">
        <f t="shared" si="1"/>
        <v>26</v>
      </c>
      <c r="L33" s="7">
        <v>0.89879404629916704</v>
      </c>
      <c r="M33" s="7">
        <v>0.4383711467890774</v>
      </c>
      <c r="O33" s="8">
        <f t="shared" si="0"/>
        <v>26</v>
      </c>
      <c r="P33" s="7">
        <v>1.3371651930882444</v>
      </c>
      <c r="Q33" s="7">
        <v>0.4383711467890774</v>
      </c>
    </row>
    <row r="34" spans="11:17" x14ac:dyDescent="0.25">
      <c r="K34">
        <f t="shared" si="1"/>
        <v>27</v>
      </c>
      <c r="L34" s="7">
        <v>0.8910065241883679</v>
      </c>
      <c r="M34" s="7">
        <v>0.45399049973954675</v>
      </c>
      <c r="O34" s="8">
        <f t="shared" si="0"/>
        <v>27</v>
      </c>
      <c r="P34" s="7">
        <v>1.3449970239279145</v>
      </c>
      <c r="Q34" s="7">
        <v>0.45399049973954675</v>
      </c>
    </row>
    <row r="35" spans="11:17" x14ac:dyDescent="0.25">
      <c r="K35">
        <f t="shared" si="1"/>
        <v>28</v>
      </c>
      <c r="L35" s="7">
        <v>0.88294759285892699</v>
      </c>
      <c r="M35" s="7">
        <v>0.46947156278589081</v>
      </c>
      <c r="O35" s="8">
        <f t="shared" si="0"/>
        <v>28</v>
      </c>
      <c r="P35" s="7">
        <v>1.3524191556448177</v>
      </c>
      <c r="Q35" s="7">
        <v>0.46947156278589081</v>
      </c>
    </row>
    <row r="36" spans="11:17" x14ac:dyDescent="0.25">
      <c r="K36">
        <f t="shared" si="1"/>
        <v>29</v>
      </c>
      <c r="L36" s="7">
        <v>0.87461970713939574</v>
      </c>
      <c r="M36" s="7">
        <v>0.48480962024633706</v>
      </c>
      <c r="O36" s="8">
        <f t="shared" si="0"/>
        <v>29</v>
      </c>
      <c r="P36" s="7">
        <v>1.3594293273857327</v>
      </c>
      <c r="Q36" s="7">
        <v>0.48480962024633706</v>
      </c>
    </row>
    <row r="37" spans="11:17" x14ac:dyDescent="0.25">
      <c r="K37">
        <f t="shared" si="1"/>
        <v>30</v>
      </c>
      <c r="L37" s="7">
        <v>0.86602540378443871</v>
      </c>
      <c r="M37" s="7">
        <v>0.49999999999999994</v>
      </c>
      <c r="O37" s="8">
        <f t="shared" si="0"/>
        <v>30</v>
      </c>
      <c r="P37" s="7">
        <v>1.3660254037844386</v>
      </c>
      <c r="Q37" s="7">
        <v>0.49999999999999994</v>
      </c>
    </row>
    <row r="38" spans="11:17" x14ac:dyDescent="0.25">
      <c r="K38">
        <f t="shared" si="1"/>
        <v>31</v>
      </c>
      <c r="L38" s="7">
        <v>0.85716730070211233</v>
      </c>
      <c r="M38" s="7">
        <v>0.51503807491005416</v>
      </c>
      <c r="O38" s="8">
        <f t="shared" si="0"/>
        <v>31</v>
      </c>
      <c r="P38" s="7">
        <v>1.3722053756121664</v>
      </c>
      <c r="Q38" s="7">
        <v>0.51503807491005416</v>
      </c>
    </row>
    <row r="39" spans="11:17" x14ac:dyDescent="0.25">
      <c r="K39">
        <f t="shared" si="1"/>
        <v>32</v>
      </c>
      <c r="L39" s="7">
        <v>0.84804809615642596</v>
      </c>
      <c r="M39" s="7">
        <v>0.5299192642332049</v>
      </c>
      <c r="O39" s="8">
        <f t="shared" si="0"/>
        <v>32</v>
      </c>
      <c r="P39" s="7">
        <v>1.377967360389631</v>
      </c>
      <c r="Q39" s="7">
        <v>0.5299192642332049</v>
      </c>
    </row>
    <row r="40" spans="11:17" x14ac:dyDescent="0.25">
      <c r="K40">
        <f t="shared" si="1"/>
        <v>33</v>
      </c>
      <c r="L40" s="7">
        <v>0.83867056794542405</v>
      </c>
      <c r="M40" s="7">
        <v>0.54463903501502708</v>
      </c>
      <c r="O40" s="8">
        <f t="shared" si="0"/>
        <v>33</v>
      </c>
      <c r="P40" s="7">
        <v>1.383309602960451</v>
      </c>
      <c r="Q40" s="7">
        <v>0.54463903501502708</v>
      </c>
    </row>
    <row r="41" spans="11:17" x14ac:dyDescent="0.25">
      <c r="K41">
        <f t="shared" si="1"/>
        <v>34</v>
      </c>
      <c r="L41" s="7">
        <v>0.82903757255504162</v>
      </c>
      <c r="M41" s="7">
        <v>0.5591929034707469</v>
      </c>
      <c r="O41" s="8">
        <f t="shared" si="0"/>
        <v>34</v>
      </c>
      <c r="P41" s="7">
        <v>1.3882304760257886</v>
      </c>
      <c r="Q41" s="7">
        <v>0.5591929034707469</v>
      </c>
    </row>
    <row r="42" spans="11:17" x14ac:dyDescent="0.25">
      <c r="K42">
        <f t="shared" si="1"/>
        <v>35</v>
      </c>
      <c r="L42" s="7">
        <v>0.8191520442889918</v>
      </c>
      <c r="M42" s="7">
        <v>0.57357643635104605</v>
      </c>
      <c r="O42" s="8">
        <f t="shared" si="0"/>
        <v>35</v>
      </c>
      <c r="P42" s="7">
        <v>1.392728480640038</v>
      </c>
      <c r="Q42" s="7">
        <v>0.57357643635104605</v>
      </c>
    </row>
    <row r="43" spans="11:17" x14ac:dyDescent="0.25">
      <c r="K43">
        <f t="shared" si="1"/>
        <v>36</v>
      </c>
      <c r="L43" s="7">
        <v>0.80901699437494745</v>
      </c>
      <c r="M43" s="7">
        <v>0.58778525229247314</v>
      </c>
      <c r="O43" s="8">
        <f t="shared" si="0"/>
        <v>36</v>
      </c>
      <c r="P43" s="7">
        <v>1.3968022466674206</v>
      </c>
      <c r="Q43" s="7">
        <v>0.58778525229247314</v>
      </c>
    </row>
    <row r="44" spans="11:17" x14ac:dyDescent="0.25">
      <c r="K44">
        <f t="shared" si="1"/>
        <v>37</v>
      </c>
      <c r="L44" s="7">
        <v>0.79863551004729283</v>
      </c>
      <c r="M44" s="7">
        <v>0.60181502315204827</v>
      </c>
      <c r="O44" s="8">
        <f t="shared" si="0"/>
        <v>37</v>
      </c>
      <c r="P44" s="7">
        <v>1.4004505331993411</v>
      </c>
      <c r="Q44" s="7">
        <v>0.60181502315204827</v>
      </c>
    </row>
    <row r="45" spans="11:17" x14ac:dyDescent="0.25">
      <c r="K45">
        <f t="shared" si="1"/>
        <v>38</v>
      </c>
      <c r="L45" s="7">
        <v>0.78801075360672201</v>
      </c>
      <c r="M45" s="7">
        <v>0.61566147532565818</v>
      </c>
      <c r="O45" s="8">
        <f t="shared" si="0"/>
        <v>38</v>
      </c>
      <c r="P45" s="7">
        <v>1.4036722289323802</v>
      </c>
      <c r="Q45" s="7">
        <v>0.61566147532565818</v>
      </c>
    </row>
    <row r="46" spans="11:17" x14ac:dyDescent="0.25">
      <c r="K46">
        <f t="shared" si="1"/>
        <v>39</v>
      </c>
      <c r="L46" s="7">
        <v>0.7771459614569709</v>
      </c>
      <c r="M46" s="7">
        <v>0.62932039104983739</v>
      </c>
      <c r="O46" s="8">
        <f t="shared" si="0"/>
        <v>39</v>
      </c>
      <c r="P46" s="7">
        <v>1.4064663525068082</v>
      </c>
      <c r="Q46" s="7">
        <v>0.62932039104983739</v>
      </c>
    </row>
    <row r="47" spans="11:17" x14ac:dyDescent="0.25">
      <c r="K47">
        <f t="shared" si="1"/>
        <v>40</v>
      </c>
      <c r="L47" s="7">
        <v>0.76604444311897801</v>
      </c>
      <c r="M47" s="7">
        <v>0.64278760968653925</v>
      </c>
      <c r="O47" s="8">
        <f t="shared" si="0"/>
        <v>40</v>
      </c>
      <c r="P47" s="7">
        <v>1.4088320528055172</v>
      </c>
      <c r="Q47" s="7">
        <v>0.64278760968653925</v>
      </c>
    </row>
    <row r="48" spans="11:17" x14ac:dyDescent="0.25">
      <c r="K48">
        <f t="shared" si="1"/>
        <v>41</v>
      </c>
      <c r="L48" s="7">
        <v>0.75470958022277213</v>
      </c>
      <c r="M48" s="7">
        <v>0.65605902899050716</v>
      </c>
      <c r="O48" s="8">
        <f t="shared" si="0"/>
        <v>41</v>
      </c>
      <c r="P48" s="7">
        <v>1.4107686092132794</v>
      </c>
      <c r="Q48" s="7">
        <v>0.65605902899050716</v>
      </c>
    </row>
    <row r="49" spans="11:17" x14ac:dyDescent="0.25">
      <c r="K49">
        <f t="shared" si="1"/>
        <v>42</v>
      </c>
      <c r="L49" s="7">
        <v>0.74314482547739424</v>
      </c>
      <c r="M49" s="7">
        <v>0.66913060635885824</v>
      </c>
      <c r="O49" s="8">
        <f t="shared" si="0"/>
        <v>42</v>
      </c>
      <c r="P49" s="7">
        <v>1.4122754318362525</v>
      </c>
      <c r="Q49" s="7">
        <v>0.66913060635885824</v>
      </c>
    </row>
    <row r="50" spans="11:17" x14ac:dyDescent="0.25">
      <c r="K50">
        <f t="shared" si="1"/>
        <v>43</v>
      </c>
      <c r="L50" s="7">
        <v>0.73135370161917057</v>
      </c>
      <c r="M50" s="7">
        <v>0.68199836006249848</v>
      </c>
      <c r="O50" s="8">
        <f t="shared" si="0"/>
        <v>43</v>
      </c>
      <c r="P50" s="7">
        <v>1.413352061681669</v>
      </c>
      <c r="Q50" s="7">
        <v>0.68199836006249848</v>
      </c>
    </row>
    <row r="51" spans="11:17" x14ac:dyDescent="0.25">
      <c r="K51">
        <f t="shared" si="1"/>
        <v>44</v>
      </c>
      <c r="L51" s="7">
        <v>0.71933980033865119</v>
      </c>
      <c r="M51" s="7">
        <v>0.69465837045899725</v>
      </c>
      <c r="O51" s="8">
        <f t="shared" si="0"/>
        <v>44</v>
      </c>
      <c r="P51" s="7">
        <v>1.4139981707976483</v>
      </c>
      <c r="Q51" s="7">
        <v>0.69465837045899725</v>
      </c>
    </row>
    <row r="52" spans="11:17" x14ac:dyDescent="0.25">
      <c r="K52">
        <f t="shared" si="1"/>
        <v>45</v>
      </c>
      <c r="L52" s="7">
        <v>0.70710678118654757</v>
      </c>
      <c r="M52" s="7">
        <v>0.70710678118654746</v>
      </c>
      <c r="O52" s="8">
        <f t="shared" si="0"/>
        <v>45</v>
      </c>
      <c r="P52" s="7">
        <v>1.4142135623730949</v>
      </c>
      <c r="Q52" s="7">
        <v>0.70710678118654746</v>
      </c>
    </row>
    <row r="53" spans="11:17" x14ac:dyDescent="0.25">
      <c r="K53">
        <f t="shared" si="1"/>
        <v>46</v>
      </c>
      <c r="L53" s="7">
        <v>0.69465837045899737</v>
      </c>
      <c r="M53" s="7">
        <v>0.71933980033865108</v>
      </c>
      <c r="O53" s="8">
        <f t="shared" si="0"/>
        <v>46</v>
      </c>
      <c r="P53" s="7">
        <v>1.4139981707976483</v>
      </c>
      <c r="Q53" s="7">
        <v>0.71933980033865108</v>
      </c>
    </row>
    <row r="54" spans="11:17" x14ac:dyDescent="0.25">
      <c r="K54">
        <f t="shared" si="1"/>
        <v>47</v>
      </c>
      <c r="L54" s="7">
        <v>0.68199836006249848</v>
      </c>
      <c r="M54" s="7">
        <v>0.73135370161917046</v>
      </c>
      <c r="O54" s="8">
        <f t="shared" si="0"/>
        <v>47</v>
      </c>
      <c r="P54" s="7">
        <v>1.4133520616816688</v>
      </c>
      <c r="Q54" s="7">
        <v>0.73135370161917046</v>
      </c>
    </row>
    <row r="55" spans="11:17" x14ac:dyDescent="0.25">
      <c r="K55">
        <f t="shared" si="1"/>
        <v>48</v>
      </c>
      <c r="L55" s="7">
        <v>0.66913060635885824</v>
      </c>
      <c r="M55" s="7">
        <v>0.74314482547739413</v>
      </c>
      <c r="O55" s="8">
        <f t="shared" si="0"/>
        <v>48</v>
      </c>
      <c r="P55" s="7">
        <v>1.4122754318362523</v>
      </c>
      <c r="Q55" s="7">
        <v>0.74314482547739413</v>
      </c>
    </row>
    <row r="56" spans="11:17" x14ac:dyDescent="0.25">
      <c r="K56">
        <f t="shared" si="1"/>
        <v>49</v>
      </c>
      <c r="L56" s="7">
        <v>0.65605902899050728</v>
      </c>
      <c r="M56" s="7">
        <v>0.75470958022277201</v>
      </c>
      <c r="O56" s="8">
        <f t="shared" si="0"/>
        <v>49</v>
      </c>
      <c r="P56" s="7">
        <v>1.4107686092132794</v>
      </c>
      <c r="Q56" s="7">
        <v>0.75470958022277201</v>
      </c>
    </row>
    <row r="57" spans="11:17" x14ac:dyDescent="0.25">
      <c r="K57">
        <f t="shared" si="1"/>
        <v>50</v>
      </c>
      <c r="L57" s="7">
        <v>0.64278760968653936</v>
      </c>
      <c r="M57" s="7">
        <v>0.76604444311897801</v>
      </c>
      <c r="O57" s="8">
        <f t="shared" si="0"/>
        <v>50</v>
      </c>
      <c r="P57" s="7">
        <v>1.4088320528055174</v>
      </c>
      <c r="Q57" s="7">
        <v>0.76604444311897801</v>
      </c>
    </row>
    <row r="58" spans="11:17" x14ac:dyDescent="0.25">
      <c r="K58">
        <f t="shared" si="1"/>
        <v>51</v>
      </c>
      <c r="L58" s="7">
        <v>0.6293203910498375</v>
      </c>
      <c r="M58" s="7">
        <v>0.77714596145697079</v>
      </c>
      <c r="O58" s="8">
        <f t="shared" si="0"/>
        <v>51</v>
      </c>
      <c r="P58" s="7">
        <v>1.4064663525068082</v>
      </c>
      <c r="Q58" s="7">
        <v>0.77714596145697079</v>
      </c>
    </row>
    <row r="59" spans="11:17" x14ac:dyDescent="0.25">
      <c r="K59">
        <f t="shared" si="1"/>
        <v>52</v>
      </c>
      <c r="L59" s="7">
        <v>0.61566147532565829</v>
      </c>
      <c r="M59" s="7">
        <v>0.78801075360672201</v>
      </c>
      <c r="O59" s="8">
        <f t="shared" si="0"/>
        <v>52</v>
      </c>
      <c r="P59" s="7">
        <v>1.4036722289323804</v>
      </c>
      <c r="Q59" s="7">
        <v>0.78801075360672201</v>
      </c>
    </row>
    <row r="60" spans="11:17" x14ac:dyDescent="0.25">
      <c r="K60">
        <f t="shared" si="1"/>
        <v>53</v>
      </c>
      <c r="L60" s="7">
        <v>0.60181502315204838</v>
      </c>
      <c r="M60" s="7">
        <v>0.79863551004729283</v>
      </c>
      <c r="O60" s="8">
        <f t="shared" si="0"/>
        <v>53</v>
      </c>
      <c r="P60" s="7">
        <v>1.4004505331993413</v>
      </c>
      <c r="Q60" s="7">
        <v>0.79863551004729283</v>
      </c>
    </row>
    <row r="61" spans="11:17" x14ac:dyDescent="0.25">
      <c r="K61">
        <f t="shared" si="1"/>
        <v>54</v>
      </c>
      <c r="L61" s="7">
        <v>0.58778525229247314</v>
      </c>
      <c r="M61" s="7">
        <v>0.80901699437494745</v>
      </c>
      <c r="O61" s="8">
        <f t="shared" si="0"/>
        <v>54</v>
      </c>
      <c r="P61" s="7">
        <v>1.3968022466674206</v>
      </c>
      <c r="Q61" s="7">
        <v>0.80901699437494745</v>
      </c>
    </row>
    <row r="62" spans="11:17" x14ac:dyDescent="0.25">
      <c r="K62">
        <f t="shared" si="1"/>
        <v>55</v>
      </c>
      <c r="L62" s="7">
        <v>0.57357643635104616</v>
      </c>
      <c r="M62" s="7">
        <v>0.8191520442889918</v>
      </c>
      <c r="O62" s="8">
        <f t="shared" si="0"/>
        <v>55</v>
      </c>
      <c r="P62" s="7">
        <v>1.392728480640038</v>
      </c>
      <c r="Q62" s="7">
        <v>0.8191520442889918</v>
      </c>
    </row>
    <row r="63" spans="11:17" x14ac:dyDescent="0.25">
      <c r="K63">
        <f t="shared" si="1"/>
        <v>56</v>
      </c>
      <c r="L63" s="7">
        <v>0.55919290347074679</v>
      </c>
      <c r="M63" s="7">
        <v>0.82903757255504174</v>
      </c>
      <c r="O63" s="8">
        <f t="shared" si="0"/>
        <v>56</v>
      </c>
      <c r="P63" s="7">
        <v>1.3882304760257886</v>
      </c>
      <c r="Q63" s="7">
        <v>0.82903757255504174</v>
      </c>
    </row>
    <row r="64" spans="11:17" x14ac:dyDescent="0.25">
      <c r="K64">
        <f t="shared" si="1"/>
        <v>57</v>
      </c>
      <c r="L64" s="7">
        <v>0.5446390350150272</v>
      </c>
      <c r="M64" s="7">
        <v>0.83867056794542394</v>
      </c>
      <c r="O64" s="8">
        <f t="shared" si="0"/>
        <v>57</v>
      </c>
      <c r="P64" s="7">
        <v>1.383309602960451</v>
      </c>
      <c r="Q64" s="7">
        <v>0.83867056794542394</v>
      </c>
    </row>
    <row r="65" spans="11:17" x14ac:dyDescent="0.25">
      <c r="K65">
        <f t="shared" si="1"/>
        <v>58</v>
      </c>
      <c r="L65" s="7">
        <v>0.5299192642332049</v>
      </c>
      <c r="M65" s="7">
        <v>0.84804809615642596</v>
      </c>
      <c r="O65" s="8">
        <f t="shared" si="0"/>
        <v>58</v>
      </c>
      <c r="P65" s="7">
        <v>1.377967360389631</v>
      </c>
      <c r="Q65" s="7">
        <v>0.84804809615642596</v>
      </c>
    </row>
    <row r="66" spans="11:17" x14ac:dyDescent="0.25">
      <c r="K66">
        <f t="shared" si="1"/>
        <v>59</v>
      </c>
      <c r="L66" s="7">
        <v>0.51503807491005438</v>
      </c>
      <c r="M66" s="7">
        <v>0.85716730070211222</v>
      </c>
      <c r="O66" s="8">
        <f t="shared" si="0"/>
        <v>59</v>
      </c>
      <c r="P66" s="7">
        <v>1.3722053756121666</v>
      </c>
      <c r="Q66" s="7">
        <v>0.85716730070211222</v>
      </c>
    </row>
    <row r="67" spans="11:17" x14ac:dyDescent="0.25">
      <c r="K67">
        <f t="shared" si="1"/>
        <v>60</v>
      </c>
      <c r="L67" s="7">
        <v>0.50000000000000011</v>
      </c>
      <c r="M67" s="7">
        <v>0.8660254037844386</v>
      </c>
      <c r="O67" s="8">
        <f t="shared" si="0"/>
        <v>60</v>
      </c>
      <c r="P67" s="7">
        <v>1.3660254037844388</v>
      </c>
      <c r="Q67" s="7">
        <v>0.8660254037844386</v>
      </c>
    </row>
    <row r="68" spans="11:17" x14ac:dyDescent="0.25">
      <c r="K68">
        <f t="shared" si="1"/>
        <v>61</v>
      </c>
      <c r="L68" s="7">
        <v>0.48480962024633711</v>
      </c>
      <c r="M68" s="7">
        <v>0.87461970713939574</v>
      </c>
      <c r="O68" s="8">
        <f t="shared" si="0"/>
        <v>61</v>
      </c>
      <c r="P68" s="7">
        <v>1.3594293273857327</v>
      </c>
      <c r="Q68" s="7">
        <v>0.87461970713939574</v>
      </c>
    </row>
    <row r="69" spans="11:17" x14ac:dyDescent="0.25">
      <c r="K69">
        <f t="shared" si="1"/>
        <v>62</v>
      </c>
      <c r="L69" s="7">
        <v>0.46947156278589086</v>
      </c>
      <c r="M69" s="7">
        <v>0.88294759285892688</v>
      </c>
      <c r="O69" s="8">
        <f t="shared" si="0"/>
        <v>62</v>
      </c>
      <c r="P69" s="7">
        <v>1.3524191556448177</v>
      </c>
      <c r="Q69" s="7">
        <v>0.88294759285892688</v>
      </c>
    </row>
    <row r="70" spans="11:17" x14ac:dyDescent="0.25">
      <c r="K70">
        <f t="shared" si="1"/>
        <v>63</v>
      </c>
      <c r="L70" s="7">
        <v>0.4539904997395468</v>
      </c>
      <c r="M70" s="7">
        <v>0.89100652418836779</v>
      </c>
      <c r="O70" s="8">
        <f t="shared" si="0"/>
        <v>63</v>
      </c>
      <c r="P70" s="7">
        <v>1.3449970239279145</v>
      </c>
      <c r="Q70" s="7">
        <v>0.89100652418836779</v>
      </c>
    </row>
    <row r="71" spans="11:17" x14ac:dyDescent="0.25">
      <c r="K71">
        <f t="shared" si="1"/>
        <v>64</v>
      </c>
      <c r="L71" s="7">
        <v>0.43837114678907746</v>
      </c>
      <c r="M71" s="7">
        <v>0.89879404629916704</v>
      </c>
      <c r="O71" s="8">
        <f t="shared" ref="O71:O134" si="2">K71</f>
        <v>64</v>
      </c>
      <c r="P71" s="7">
        <v>1.3371651930882444</v>
      </c>
      <c r="Q71" s="7">
        <v>0.89879404629916704</v>
      </c>
    </row>
    <row r="72" spans="11:17" x14ac:dyDescent="0.25">
      <c r="K72">
        <f t="shared" ref="K72:K135" si="3">K71+1</f>
        <v>65</v>
      </c>
      <c r="L72" s="7">
        <v>0.42261826174069944</v>
      </c>
      <c r="M72" s="7">
        <v>0.90630778703664994</v>
      </c>
      <c r="O72" s="8">
        <f t="shared" si="2"/>
        <v>65</v>
      </c>
      <c r="P72" s="7">
        <v>1.3289260487773493</v>
      </c>
      <c r="Q72" s="7">
        <v>0.90630778703664994</v>
      </c>
    </row>
    <row r="73" spans="11:17" x14ac:dyDescent="0.25">
      <c r="K73">
        <f t="shared" si="3"/>
        <v>66</v>
      </c>
      <c r="L73" s="7">
        <v>0.40673664307580021</v>
      </c>
      <c r="M73" s="7">
        <v>0.91354545764260087</v>
      </c>
      <c r="O73" s="8">
        <f t="shared" si="2"/>
        <v>66</v>
      </c>
      <c r="P73" s="7">
        <v>1.3202821007184011</v>
      </c>
      <c r="Q73" s="7">
        <v>0.91354545764260087</v>
      </c>
    </row>
    <row r="74" spans="11:17" x14ac:dyDescent="0.25">
      <c r="K74">
        <f t="shared" si="3"/>
        <v>67</v>
      </c>
      <c r="L74" s="7">
        <v>0.39073112848927394</v>
      </c>
      <c r="M74" s="7">
        <v>0.92050485345244026</v>
      </c>
      <c r="O74" s="8">
        <f t="shared" si="2"/>
        <v>67</v>
      </c>
      <c r="P74" s="7">
        <v>1.3112359819417141</v>
      </c>
      <c r="Q74" s="7">
        <v>0.92050485345244026</v>
      </c>
    </row>
    <row r="75" spans="11:17" x14ac:dyDescent="0.25">
      <c r="K75">
        <f t="shared" si="3"/>
        <v>68</v>
      </c>
      <c r="L75" s="7">
        <v>0.37460659341591196</v>
      </c>
      <c r="M75" s="7">
        <v>0.92718385456678742</v>
      </c>
      <c r="O75" s="8">
        <f t="shared" si="2"/>
        <v>68</v>
      </c>
      <c r="P75" s="7">
        <v>1.3017904479826994</v>
      </c>
      <c r="Q75" s="7">
        <v>0.92718385456678742</v>
      </c>
    </row>
    <row r="76" spans="11:17" x14ac:dyDescent="0.25">
      <c r="K76">
        <f t="shared" si="3"/>
        <v>69</v>
      </c>
      <c r="L76" s="7">
        <v>0.35836794954530038</v>
      </c>
      <c r="M76" s="7">
        <v>0.93358042649720174</v>
      </c>
      <c r="O76" s="8">
        <f t="shared" si="2"/>
        <v>69</v>
      </c>
      <c r="P76" s="7">
        <v>1.2919483760425021</v>
      </c>
      <c r="Q76" s="7">
        <v>0.93358042649720174</v>
      </c>
    </row>
    <row r="77" spans="11:17" x14ac:dyDescent="0.25">
      <c r="K77">
        <f t="shared" si="3"/>
        <v>70</v>
      </c>
      <c r="L77" s="7">
        <v>0.34202014332566882</v>
      </c>
      <c r="M77" s="7">
        <v>0.93969262078590832</v>
      </c>
      <c r="O77" s="8">
        <f t="shared" si="2"/>
        <v>70</v>
      </c>
      <c r="P77" s="7">
        <v>1.2817127641115771</v>
      </c>
      <c r="Q77" s="7">
        <v>0.93969262078590832</v>
      </c>
    </row>
    <row r="78" spans="11:17" x14ac:dyDescent="0.25">
      <c r="K78">
        <f t="shared" si="3"/>
        <v>71</v>
      </c>
      <c r="L78" s="7">
        <v>0.32556815445715676</v>
      </c>
      <c r="M78" s="7">
        <v>0.94551857559931674</v>
      </c>
      <c r="O78" s="8">
        <f t="shared" si="2"/>
        <v>71</v>
      </c>
      <c r="P78" s="7">
        <v>1.2710867300564734</v>
      </c>
      <c r="Q78" s="7">
        <v>0.94551857559931674</v>
      </c>
    </row>
    <row r="79" spans="11:17" x14ac:dyDescent="0.25">
      <c r="K79">
        <f t="shared" si="3"/>
        <v>72</v>
      </c>
      <c r="L79" s="7">
        <v>0.30901699437494745</v>
      </c>
      <c r="M79" s="7">
        <v>0.95105651629515353</v>
      </c>
      <c r="O79" s="8">
        <f t="shared" si="2"/>
        <v>72</v>
      </c>
      <c r="P79" s="7">
        <v>1.2600735106701011</v>
      </c>
      <c r="Q79" s="7">
        <v>0.95105651629515353</v>
      </c>
    </row>
    <row r="80" spans="11:17" x14ac:dyDescent="0.25">
      <c r="K80">
        <f t="shared" si="3"/>
        <v>73</v>
      </c>
      <c r="L80" s="7">
        <v>0.29237170472273677</v>
      </c>
      <c r="M80" s="7">
        <v>0.95630475596303544</v>
      </c>
      <c r="O80" s="8">
        <f t="shared" si="2"/>
        <v>73</v>
      </c>
      <c r="P80" s="7">
        <v>1.2486764606857723</v>
      </c>
      <c r="Q80" s="7">
        <v>0.95630475596303544</v>
      </c>
    </row>
    <row r="81" spans="11:17" x14ac:dyDescent="0.25">
      <c r="K81">
        <f t="shared" si="3"/>
        <v>74</v>
      </c>
      <c r="L81" s="7">
        <v>0.27563735581699916</v>
      </c>
      <c r="M81" s="7">
        <v>0.96126169593831889</v>
      </c>
      <c r="O81" s="8">
        <f t="shared" si="2"/>
        <v>74</v>
      </c>
      <c r="P81" s="7">
        <v>1.236899051755318</v>
      </c>
      <c r="Q81" s="7">
        <v>0.96126169593831889</v>
      </c>
    </row>
    <row r="82" spans="11:17" x14ac:dyDescent="0.25">
      <c r="K82">
        <f t="shared" si="3"/>
        <v>75</v>
      </c>
      <c r="L82" s="7">
        <v>0.25881904510252074</v>
      </c>
      <c r="M82" s="7">
        <v>0.96592582628906831</v>
      </c>
      <c r="O82" s="8">
        <f t="shared" si="2"/>
        <v>75</v>
      </c>
      <c r="P82" s="7">
        <v>1.2247448713915889</v>
      </c>
      <c r="Q82" s="7">
        <v>0.96592582628906831</v>
      </c>
    </row>
    <row r="83" spans="11:17" x14ac:dyDescent="0.25">
      <c r="K83">
        <f t="shared" si="3"/>
        <v>76</v>
      </c>
      <c r="L83" s="7">
        <v>0.2419218955996679</v>
      </c>
      <c r="M83" s="7">
        <v>0.97029572627599647</v>
      </c>
      <c r="O83" s="8">
        <f t="shared" si="2"/>
        <v>76</v>
      </c>
      <c r="P83" s="7">
        <v>1.2122176218756644</v>
      </c>
      <c r="Q83" s="7">
        <v>0.97029572627599647</v>
      </c>
    </row>
    <row r="84" spans="11:17" x14ac:dyDescent="0.25">
      <c r="K84">
        <f t="shared" si="3"/>
        <v>77</v>
      </c>
      <c r="L84" s="7">
        <v>0.22495105434386492</v>
      </c>
      <c r="M84" s="7">
        <v>0.97437006478523525</v>
      </c>
      <c r="O84" s="8">
        <f t="shared" si="2"/>
        <v>77</v>
      </c>
      <c r="P84" s="7">
        <v>1.1993211191291002</v>
      </c>
      <c r="Q84" s="7">
        <v>0.97437006478523525</v>
      </c>
    </row>
    <row r="85" spans="11:17" x14ac:dyDescent="0.25">
      <c r="K85">
        <f t="shared" si="3"/>
        <v>78</v>
      </c>
      <c r="L85" s="7">
        <v>0.20791169081775945</v>
      </c>
      <c r="M85" s="7">
        <v>0.97814760073380558</v>
      </c>
      <c r="O85" s="8">
        <f t="shared" si="2"/>
        <v>78</v>
      </c>
      <c r="P85" s="7">
        <v>1.1860592915515651</v>
      </c>
      <c r="Q85" s="7">
        <v>0.97814760073380558</v>
      </c>
    </row>
    <row r="86" spans="11:17" x14ac:dyDescent="0.25">
      <c r="K86">
        <f t="shared" si="3"/>
        <v>79</v>
      </c>
      <c r="L86" s="7">
        <v>0.19080899537654492</v>
      </c>
      <c r="M86" s="7">
        <v>0.98162718344766398</v>
      </c>
      <c r="O86" s="8">
        <f t="shared" si="2"/>
        <v>79</v>
      </c>
      <c r="P86" s="7">
        <v>1.1724361788242088</v>
      </c>
      <c r="Q86" s="7">
        <v>0.98162718344766398</v>
      </c>
    </row>
    <row r="87" spans="11:17" x14ac:dyDescent="0.25">
      <c r="K87">
        <f t="shared" si="3"/>
        <v>80</v>
      </c>
      <c r="L87" s="7">
        <v>0.17364817766693041</v>
      </c>
      <c r="M87" s="7">
        <v>0.98480775301220802</v>
      </c>
      <c r="O87" s="8">
        <f t="shared" si="2"/>
        <v>80</v>
      </c>
      <c r="P87" s="7">
        <v>1.1584559306791384</v>
      </c>
      <c r="Q87" s="7">
        <v>0.98480775301220802</v>
      </c>
    </row>
    <row r="88" spans="11:17" x14ac:dyDescent="0.25">
      <c r="K88">
        <f t="shared" si="3"/>
        <v>81</v>
      </c>
      <c r="L88" s="7">
        <v>0.15643446504023092</v>
      </c>
      <c r="M88" s="7">
        <v>0.98768834059513777</v>
      </c>
      <c r="O88" s="8">
        <f t="shared" si="2"/>
        <v>81</v>
      </c>
      <c r="P88" s="7">
        <v>1.1441228056353687</v>
      </c>
      <c r="Q88" s="7">
        <v>0.98768834059513777</v>
      </c>
    </row>
    <row r="89" spans="11:17" x14ac:dyDescent="0.25">
      <c r="K89">
        <f t="shared" si="3"/>
        <v>82</v>
      </c>
      <c r="L89" s="7">
        <v>0.13917310096006569</v>
      </c>
      <c r="M89" s="7">
        <v>0.99026806874157025</v>
      </c>
      <c r="O89" s="8">
        <f t="shared" si="2"/>
        <v>82</v>
      </c>
      <c r="P89" s="7">
        <v>1.129441169701636</v>
      </c>
      <c r="Q89" s="7">
        <v>0.99026806874157025</v>
      </c>
    </row>
    <row r="90" spans="11:17" x14ac:dyDescent="0.25">
      <c r="K90">
        <f t="shared" si="3"/>
        <v>83</v>
      </c>
      <c r="L90" s="7">
        <v>0.12186934340514749</v>
      </c>
      <c r="M90" s="7">
        <v>0.99254615164132198</v>
      </c>
      <c r="O90" s="8">
        <f t="shared" si="2"/>
        <v>83</v>
      </c>
      <c r="P90" s="7">
        <v>1.1144154950464695</v>
      </c>
      <c r="Q90" s="7">
        <v>0.99254615164132198</v>
      </c>
    </row>
    <row r="91" spans="11:17" x14ac:dyDescent="0.25">
      <c r="K91">
        <f t="shared" si="3"/>
        <v>84</v>
      </c>
      <c r="L91" s="7">
        <v>0.10452846326765346</v>
      </c>
      <c r="M91" s="7">
        <v>0.99452189536827329</v>
      </c>
      <c r="O91" s="8">
        <f t="shared" si="2"/>
        <v>84</v>
      </c>
      <c r="P91" s="7">
        <v>1.0990503586359268</v>
      </c>
      <c r="Q91" s="7">
        <v>0.99452189536827329</v>
      </c>
    </row>
    <row r="92" spans="11:17" x14ac:dyDescent="0.25">
      <c r="K92">
        <f t="shared" si="3"/>
        <v>85</v>
      </c>
      <c r="L92" s="7">
        <v>8.7155742747658138E-2</v>
      </c>
      <c r="M92" s="7">
        <v>0.99619469809174555</v>
      </c>
      <c r="O92" s="8">
        <f t="shared" si="2"/>
        <v>85</v>
      </c>
      <c r="P92" s="7">
        <v>1.0833504408394037</v>
      </c>
      <c r="Q92" s="7">
        <v>0.99619469809174555</v>
      </c>
    </row>
    <row r="93" spans="11:17" x14ac:dyDescent="0.25">
      <c r="K93">
        <f t="shared" si="3"/>
        <v>86</v>
      </c>
      <c r="L93" s="7">
        <v>6.9756473744125455E-2</v>
      </c>
      <c r="M93" s="7">
        <v>0.9975640502598242</v>
      </c>
      <c r="O93" s="8">
        <f t="shared" si="2"/>
        <v>86</v>
      </c>
      <c r="P93" s="7">
        <v>1.0673205240039496</v>
      </c>
      <c r="Q93" s="7">
        <v>0.9975640502598242</v>
      </c>
    </row>
    <row r="94" spans="11:17" x14ac:dyDescent="0.25">
      <c r="K94">
        <f t="shared" si="3"/>
        <v>87</v>
      </c>
      <c r="L94" s="7">
        <v>5.2335956242943966E-2</v>
      </c>
      <c r="M94" s="7">
        <v>0.99862953475457383</v>
      </c>
      <c r="O94" s="8">
        <f t="shared" si="2"/>
        <v>87</v>
      </c>
      <c r="P94" s="7">
        <v>1.0509654909975179</v>
      </c>
      <c r="Q94" s="7">
        <v>0.99862953475457383</v>
      </c>
    </row>
    <row r="95" spans="11:17" x14ac:dyDescent="0.25">
      <c r="K95">
        <f t="shared" si="3"/>
        <v>88</v>
      </c>
      <c r="L95" s="7">
        <v>3.489949670250108E-2</v>
      </c>
      <c r="M95" s="7">
        <v>0.99939082701909576</v>
      </c>
      <c r="O95" s="8">
        <f t="shared" si="2"/>
        <v>88</v>
      </c>
      <c r="P95" s="7">
        <v>1.0342903237215968</v>
      </c>
      <c r="Q95" s="7">
        <v>0.99939082701909576</v>
      </c>
    </row>
    <row r="96" spans="11:17" x14ac:dyDescent="0.25">
      <c r="K96">
        <f t="shared" si="3"/>
        <v>89</v>
      </c>
      <c r="L96" s="7">
        <v>1.7452406437283376E-2</v>
      </c>
      <c r="M96" s="7">
        <v>0.99984769515639127</v>
      </c>
      <c r="O96" s="8">
        <f t="shared" si="2"/>
        <v>89</v>
      </c>
      <c r="P96" s="7">
        <v>1.0173001015936747</v>
      </c>
      <c r="Q96" s="7">
        <v>0.99984769515639127</v>
      </c>
    </row>
    <row r="97" spans="11:17" x14ac:dyDescent="0.25">
      <c r="K97">
        <f t="shared" si="3"/>
        <v>90</v>
      </c>
      <c r="L97" s="7">
        <v>6.1257422745431001E-17</v>
      </c>
      <c r="M97" s="7">
        <v>1</v>
      </c>
      <c r="O97" s="8">
        <f t="shared" si="2"/>
        <v>90</v>
      </c>
      <c r="P97" s="7">
        <v>1</v>
      </c>
      <c r="Q97" s="7">
        <v>1</v>
      </c>
    </row>
    <row r="98" spans="11:17" x14ac:dyDescent="0.25">
      <c r="K98">
        <f t="shared" si="3"/>
        <v>91</v>
      </c>
      <c r="L98" s="7">
        <v>-1.7452406437283477E-2</v>
      </c>
      <c r="M98" s="7">
        <v>0.99984769515639127</v>
      </c>
      <c r="O98" s="8">
        <f t="shared" si="2"/>
        <v>91</v>
      </c>
      <c r="P98" s="7">
        <v>0.98239528871910775</v>
      </c>
      <c r="Q98" s="7">
        <v>0.99984769515639127</v>
      </c>
    </row>
    <row r="99" spans="11:17" x14ac:dyDescent="0.25">
      <c r="K99">
        <f t="shared" si="3"/>
        <v>92</v>
      </c>
      <c r="L99" s="7">
        <v>-3.4899496702500733E-2</v>
      </c>
      <c r="M99" s="7">
        <v>0.99939082701909576</v>
      </c>
      <c r="O99" s="8">
        <f t="shared" si="2"/>
        <v>92</v>
      </c>
      <c r="P99" s="7">
        <v>0.96449133031659506</v>
      </c>
      <c r="Q99" s="7">
        <v>0.99939082701909576</v>
      </c>
    </row>
    <row r="100" spans="11:17" x14ac:dyDescent="0.25">
      <c r="K100">
        <f t="shared" si="3"/>
        <v>93</v>
      </c>
      <c r="L100" s="7">
        <v>-5.233595624294362E-2</v>
      </c>
      <c r="M100" s="7">
        <v>0.99862953475457383</v>
      </c>
      <c r="O100" s="8">
        <f t="shared" si="2"/>
        <v>93</v>
      </c>
      <c r="P100" s="7">
        <v>0.94629357851163021</v>
      </c>
      <c r="Q100" s="7">
        <v>0.99862953475457383</v>
      </c>
    </row>
    <row r="101" spans="11:17" x14ac:dyDescent="0.25">
      <c r="K101">
        <f t="shared" si="3"/>
        <v>94</v>
      </c>
      <c r="L101" s="7">
        <v>-6.975647374412533E-2</v>
      </c>
      <c r="M101" s="7">
        <v>0.9975640502598242</v>
      </c>
      <c r="O101" s="8">
        <f t="shared" si="2"/>
        <v>94</v>
      </c>
      <c r="P101" s="7">
        <v>0.9278075765156989</v>
      </c>
      <c r="Q101" s="7">
        <v>0.9975640502598242</v>
      </c>
    </row>
    <row r="102" spans="11:17" x14ac:dyDescent="0.25">
      <c r="K102">
        <f t="shared" si="3"/>
        <v>95</v>
      </c>
      <c r="L102" s="7">
        <v>-8.7155742747658235E-2</v>
      </c>
      <c r="M102" s="7">
        <v>0.99619469809174555</v>
      </c>
      <c r="O102" s="8">
        <f t="shared" si="2"/>
        <v>95</v>
      </c>
      <c r="P102" s="7">
        <v>0.9090389553440873</v>
      </c>
      <c r="Q102" s="7">
        <v>0.99619469809174555</v>
      </c>
    </row>
    <row r="103" spans="11:17" x14ac:dyDescent="0.25">
      <c r="K103">
        <f t="shared" si="3"/>
        <v>96</v>
      </c>
      <c r="L103" s="7">
        <v>-0.10452846326765333</v>
      </c>
      <c r="M103" s="7">
        <v>0.9945218953682734</v>
      </c>
      <c r="O103" s="8">
        <f t="shared" si="2"/>
        <v>96</v>
      </c>
      <c r="P103" s="7">
        <v>0.8899934321006201</v>
      </c>
      <c r="Q103" s="7">
        <v>0.9945218953682734</v>
      </c>
    </row>
    <row r="104" spans="11:17" x14ac:dyDescent="0.25">
      <c r="K104">
        <f t="shared" si="3"/>
        <v>97</v>
      </c>
      <c r="L104" s="7">
        <v>-0.12186934340514737</v>
      </c>
      <c r="M104" s="7">
        <v>0.99254615164132209</v>
      </c>
      <c r="O104" s="8">
        <f t="shared" si="2"/>
        <v>97</v>
      </c>
      <c r="P104" s="7">
        <v>0.87067680823617477</v>
      </c>
      <c r="Q104" s="7">
        <v>0.99254615164132209</v>
      </c>
    </row>
    <row r="105" spans="11:17" x14ac:dyDescent="0.25">
      <c r="K105">
        <f t="shared" si="3"/>
        <v>98</v>
      </c>
      <c r="L105" s="7">
        <v>-0.13917310096006535</v>
      </c>
      <c r="M105" s="7">
        <v>0.99026806874157036</v>
      </c>
      <c r="O105" s="8">
        <f t="shared" si="2"/>
        <v>98</v>
      </c>
      <c r="P105" s="7">
        <v>0.85109496778150495</v>
      </c>
      <c r="Q105" s="7">
        <v>0.99026806874157036</v>
      </c>
    </row>
    <row r="106" spans="11:17" x14ac:dyDescent="0.25">
      <c r="K106">
        <f t="shared" si="3"/>
        <v>99</v>
      </c>
      <c r="L106" s="7">
        <v>-0.15643446504023104</v>
      </c>
      <c r="M106" s="7">
        <v>0.98768834059513766</v>
      </c>
      <c r="O106" s="8">
        <f t="shared" si="2"/>
        <v>99</v>
      </c>
      <c r="P106" s="7">
        <v>0.8312538755549066</v>
      </c>
      <c r="Q106" s="7">
        <v>0.98768834059513766</v>
      </c>
    </row>
    <row r="107" spans="11:17" x14ac:dyDescent="0.25">
      <c r="K107">
        <f t="shared" si="3"/>
        <v>100</v>
      </c>
      <c r="L107" s="7">
        <v>-0.1736481776669303</v>
      </c>
      <c r="M107" s="7">
        <v>0.98480775301220802</v>
      </c>
      <c r="O107" s="8">
        <f t="shared" si="2"/>
        <v>100</v>
      </c>
      <c r="P107" s="7">
        <v>0.81115957534527772</v>
      </c>
      <c r="Q107" s="7">
        <v>0.98480775301220802</v>
      </c>
    </row>
    <row r="108" spans="11:17" x14ac:dyDescent="0.25">
      <c r="K108">
        <f t="shared" si="3"/>
        <v>101</v>
      </c>
      <c r="L108" s="7">
        <v>-0.1908089953765448</v>
      </c>
      <c r="M108" s="7">
        <v>0.98162718344766398</v>
      </c>
      <c r="O108" s="8">
        <f t="shared" si="2"/>
        <v>101</v>
      </c>
      <c r="P108" s="7">
        <v>0.79081818807111914</v>
      </c>
      <c r="Q108" s="7">
        <v>0.98162718344766398</v>
      </c>
    </row>
    <row r="109" spans="11:17" x14ac:dyDescent="0.25">
      <c r="K109">
        <f t="shared" si="3"/>
        <v>102</v>
      </c>
      <c r="L109" s="7">
        <v>-0.20791169081775912</v>
      </c>
      <c r="M109" s="7">
        <v>0.97814760073380569</v>
      </c>
      <c r="O109" s="8">
        <f t="shared" si="2"/>
        <v>102</v>
      </c>
      <c r="P109" s="7">
        <v>0.77023590991604651</v>
      </c>
      <c r="Q109" s="7">
        <v>0.97814760073380569</v>
      </c>
    </row>
    <row r="110" spans="11:17" x14ac:dyDescent="0.25">
      <c r="K110">
        <f t="shared" si="3"/>
        <v>103</v>
      </c>
      <c r="L110" s="7">
        <v>-0.22495105434386481</v>
      </c>
      <c r="M110" s="7">
        <v>0.97437006478523525</v>
      </c>
      <c r="O110" s="8">
        <f t="shared" si="2"/>
        <v>103</v>
      </c>
      <c r="P110" s="7">
        <v>0.74941901044137049</v>
      </c>
      <c r="Q110" s="7">
        <v>0.97437006478523525</v>
      </c>
    </row>
    <row r="111" spans="11:17" x14ac:dyDescent="0.25">
      <c r="K111">
        <f t="shared" si="3"/>
        <v>104</v>
      </c>
      <c r="L111" s="7">
        <v>-0.24192189559966779</v>
      </c>
      <c r="M111" s="7">
        <v>0.97029572627599647</v>
      </c>
      <c r="O111" s="8">
        <f t="shared" si="2"/>
        <v>104</v>
      </c>
      <c r="P111" s="7">
        <v>0.72837383067632866</v>
      </c>
      <c r="Q111" s="7">
        <v>0.97029572627599647</v>
      </c>
    </row>
    <row r="112" spans="11:17" x14ac:dyDescent="0.25">
      <c r="K112">
        <f t="shared" si="3"/>
        <v>105</v>
      </c>
      <c r="L112" s="7">
        <v>-0.25881904510252085</v>
      </c>
      <c r="M112" s="7">
        <v>0.96592582628906831</v>
      </c>
      <c r="O112" s="8">
        <f t="shared" si="2"/>
        <v>105</v>
      </c>
      <c r="P112" s="7">
        <v>0.70710678118654746</v>
      </c>
      <c r="Q112" s="7">
        <v>0.96592582628906831</v>
      </c>
    </row>
    <row r="113" spans="11:17" x14ac:dyDescent="0.25">
      <c r="K113">
        <f t="shared" si="3"/>
        <v>106</v>
      </c>
      <c r="L113" s="7">
        <v>-0.27563735581699905</v>
      </c>
      <c r="M113" s="7">
        <v>0.96126169593831889</v>
      </c>
      <c r="O113" s="8">
        <f t="shared" si="2"/>
        <v>106</v>
      </c>
      <c r="P113" s="7">
        <v>0.68562434012131979</v>
      </c>
      <c r="Q113" s="7">
        <v>0.96126169593831889</v>
      </c>
    </row>
    <row r="114" spans="11:17" x14ac:dyDescent="0.25">
      <c r="K114">
        <f t="shared" si="3"/>
        <v>107</v>
      </c>
      <c r="L114" s="7">
        <v>-0.29237170472273666</v>
      </c>
      <c r="M114" s="7">
        <v>0.95630475596303555</v>
      </c>
      <c r="O114" s="8">
        <f t="shared" si="2"/>
        <v>107</v>
      </c>
      <c r="P114" s="7">
        <v>0.66393305124029889</v>
      </c>
      <c r="Q114" s="7">
        <v>0.95630475596303555</v>
      </c>
    </row>
    <row r="115" spans="11:17" x14ac:dyDescent="0.25">
      <c r="K115">
        <f t="shared" si="3"/>
        <v>108</v>
      </c>
      <c r="L115" s="7">
        <v>-0.30901699437494734</v>
      </c>
      <c r="M115" s="7">
        <v>0.95105651629515364</v>
      </c>
      <c r="O115" s="8">
        <f t="shared" si="2"/>
        <v>108</v>
      </c>
      <c r="P115" s="7">
        <v>0.6420395219202063</v>
      </c>
      <c r="Q115" s="7">
        <v>0.95105651629515364</v>
      </c>
    </row>
    <row r="116" spans="11:17" x14ac:dyDescent="0.25">
      <c r="K116">
        <f t="shared" si="3"/>
        <v>109</v>
      </c>
      <c r="L116" s="7">
        <v>-0.32556815445715642</v>
      </c>
      <c r="M116" s="7">
        <v>0.94551857559931685</v>
      </c>
      <c r="O116" s="8">
        <f t="shared" si="2"/>
        <v>109</v>
      </c>
      <c r="P116" s="7">
        <v>0.61995042114216048</v>
      </c>
      <c r="Q116" s="7">
        <v>0.94551857559931685</v>
      </c>
    </row>
    <row r="117" spans="11:17" x14ac:dyDescent="0.25">
      <c r="K117">
        <f t="shared" si="3"/>
        <v>110</v>
      </c>
      <c r="L117" s="7">
        <v>-0.34202014332566871</v>
      </c>
      <c r="M117" s="7">
        <v>0.93969262078590843</v>
      </c>
      <c r="O117" s="8">
        <f t="shared" si="2"/>
        <v>110</v>
      </c>
      <c r="P117" s="7">
        <v>0.59767247746023977</v>
      </c>
      <c r="Q117" s="7">
        <v>0.93969262078590843</v>
      </c>
    </row>
    <row r="118" spans="11:17" x14ac:dyDescent="0.25">
      <c r="K118">
        <f t="shared" si="3"/>
        <v>111</v>
      </c>
      <c r="L118" s="7">
        <v>-0.35836794954530027</v>
      </c>
      <c r="M118" s="7">
        <v>0.93358042649720174</v>
      </c>
      <c r="O118" s="8">
        <f t="shared" si="2"/>
        <v>111</v>
      </c>
      <c r="P118" s="7">
        <v>0.57521247695190147</v>
      </c>
      <c r="Q118" s="7">
        <v>0.93358042649720174</v>
      </c>
    </row>
    <row r="119" spans="11:17" x14ac:dyDescent="0.25">
      <c r="K119">
        <f t="shared" si="3"/>
        <v>112</v>
      </c>
      <c r="L119" s="7">
        <v>-0.37460659341591207</v>
      </c>
      <c r="M119" s="7">
        <v>0.92718385456678742</v>
      </c>
      <c r="O119" s="8">
        <f t="shared" si="2"/>
        <v>112</v>
      </c>
      <c r="P119" s="7">
        <v>0.55257726115087535</v>
      </c>
      <c r="Q119" s="7">
        <v>0.92718385456678742</v>
      </c>
    </row>
    <row r="120" spans="11:17" x14ac:dyDescent="0.25">
      <c r="K120">
        <f t="shared" si="3"/>
        <v>113</v>
      </c>
      <c r="L120" s="7">
        <v>-0.3907311284892736</v>
      </c>
      <c r="M120" s="7">
        <v>0.92050485345244037</v>
      </c>
      <c r="O120" s="8">
        <f t="shared" si="2"/>
        <v>113</v>
      </c>
      <c r="P120" s="7">
        <v>0.52977372496316677</v>
      </c>
      <c r="Q120" s="7">
        <v>0.92050485345244037</v>
      </c>
    </row>
    <row r="121" spans="11:17" x14ac:dyDescent="0.25">
      <c r="K121">
        <f t="shared" si="3"/>
        <v>114</v>
      </c>
      <c r="L121" s="7">
        <v>-0.40673664307580004</v>
      </c>
      <c r="M121" s="7">
        <v>0.91354545764260098</v>
      </c>
      <c r="O121" s="8">
        <f t="shared" si="2"/>
        <v>114</v>
      </c>
      <c r="P121" s="7">
        <v>0.50680881456680094</v>
      </c>
      <c r="Q121" s="7">
        <v>0.91354545764260098</v>
      </c>
    </row>
    <row r="122" spans="11:17" x14ac:dyDescent="0.25">
      <c r="K122">
        <f t="shared" si="3"/>
        <v>115</v>
      </c>
      <c r="L122" s="7">
        <v>-0.42261826174069933</v>
      </c>
      <c r="M122" s="7">
        <v>0.90630778703665005</v>
      </c>
      <c r="O122" s="8">
        <f t="shared" si="2"/>
        <v>115</v>
      </c>
      <c r="P122" s="7">
        <v>0.48368952529595072</v>
      </c>
      <c r="Q122" s="7">
        <v>0.90630778703665005</v>
      </c>
    </row>
    <row r="123" spans="11:17" x14ac:dyDescent="0.25">
      <c r="K123">
        <f t="shared" si="3"/>
        <v>116</v>
      </c>
      <c r="L123" s="7">
        <v>-0.43837114678907751</v>
      </c>
      <c r="M123" s="7">
        <v>0.89879404629916693</v>
      </c>
      <c r="O123" s="8">
        <f t="shared" si="2"/>
        <v>116</v>
      </c>
      <c r="P123" s="7">
        <v>0.46042289951008941</v>
      </c>
      <c r="Q123" s="7">
        <v>0.89879404629916693</v>
      </c>
    </row>
    <row r="124" spans="11:17" x14ac:dyDescent="0.25">
      <c r="K124">
        <f t="shared" si="3"/>
        <v>117</v>
      </c>
      <c r="L124" s="7">
        <v>-0.45399049973954669</v>
      </c>
      <c r="M124" s="7">
        <v>0.8910065241883679</v>
      </c>
      <c r="O124" s="8">
        <f t="shared" si="2"/>
        <v>117</v>
      </c>
      <c r="P124" s="7">
        <v>0.43701602444882121</v>
      </c>
      <c r="Q124" s="7">
        <v>0.8910065241883679</v>
      </c>
    </row>
    <row r="125" spans="11:17" x14ac:dyDescent="0.25">
      <c r="K125">
        <f t="shared" si="3"/>
        <v>118</v>
      </c>
      <c r="L125" s="7">
        <v>-0.46947156278589053</v>
      </c>
      <c r="M125" s="7">
        <v>0.8829475928589271</v>
      </c>
      <c r="O125" s="8">
        <f t="shared" si="2"/>
        <v>118</v>
      </c>
      <c r="P125" s="7">
        <v>0.41347603007303657</v>
      </c>
      <c r="Q125" s="7">
        <v>0.8829475928589271</v>
      </c>
    </row>
    <row r="126" spans="11:17" x14ac:dyDescent="0.25">
      <c r="K126">
        <f t="shared" si="3"/>
        <v>119</v>
      </c>
      <c r="L126" s="7">
        <v>-0.484809620246337</v>
      </c>
      <c r="M126" s="7">
        <v>0.87461970713939585</v>
      </c>
      <c r="O126" s="8">
        <f t="shared" si="2"/>
        <v>119</v>
      </c>
      <c r="P126" s="7">
        <v>0.38981008689305885</v>
      </c>
      <c r="Q126" s="7">
        <v>0.87461970713939585</v>
      </c>
    </row>
    <row r="127" spans="11:17" x14ac:dyDescent="0.25">
      <c r="K127">
        <f t="shared" si="3"/>
        <v>120</v>
      </c>
      <c r="L127" s="7">
        <v>-0.49999999999999978</v>
      </c>
      <c r="M127" s="7">
        <v>0.86602540378443871</v>
      </c>
      <c r="O127" s="8">
        <f t="shared" si="2"/>
        <v>120</v>
      </c>
      <c r="P127" s="7">
        <v>0.36602540378443893</v>
      </c>
      <c r="Q127" s="7">
        <v>0.86602540378443871</v>
      </c>
    </row>
    <row r="128" spans="11:17" x14ac:dyDescent="0.25">
      <c r="K128">
        <f t="shared" si="3"/>
        <v>121</v>
      </c>
      <c r="L128" s="7">
        <v>-0.51503807491005427</v>
      </c>
      <c r="M128" s="7">
        <v>0.85716730070211233</v>
      </c>
      <c r="O128" s="8">
        <f t="shared" si="2"/>
        <v>121</v>
      </c>
      <c r="P128" s="7">
        <v>0.34212922579205807</v>
      </c>
      <c r="Q128" s="7">
        <v>0.85716730070211233</v>
      </c>
    </row>
    <row r="129" spans="11:17" x14ac:dyDescent="0.25">
      <c r="K129">
        <f t="shared" si="3"/>
        <v>122</v>
      </c>
      <c r="L129" s="7">
        <v>-0.52991926423320479</v>
      </c>
      <c r="M129" s="7">
        <v>0.84804809615642607</v>
      </c>
      <c r="O129" s="8">
        <f t="shared" si="2"/>
        <v>122</v>
      </c>
      <c r="P129" s="7">
        <v>0.31812883192322128</v>
      </c>
      <c r="Q129" s="7">
        <v>0.84804809615642607</v>
      </c>
    </row>
    <row r="130" spans="11:17" x14ac:dyDescent="0.25">
      <c r="K130">
        <f t="shared" si="3"/>
        <v>123</v>
      </c>
      <c r="L130" s="7">
        <v>-0.54463903501502708</v>
      </c>
      <c r="M130" s="7">
        <v>0.83867056794542394</v>
      </c>
      <c r="O130" s="8">
        <f t="shared" si="2"/>
        <v>123</v>
      </c>
      <c r="P130" s="7">
        <v>0.29403153293039686</v>
      </c>
      <c r="Q130" s="7">
        <v>0.83867056794542394</v>
      </c>
    </row>
    <row r="131" spans="11:17" x14ac:dyDescent="0.25">
      <c r="K131">
        <f t="shared" si="3"/>
        <v>124</v>
      </c>
      <c r="L131" s="7">
        <v>-0.55919290347074668</v>
      </c>
      <c r="M131" s="7">
        <v>0.82903757255504174</v>
      </c>
      <c r="O131" s="8">
        <f t="shared" si="2"/>
        <v>124</v>
      </c>
      <c r="P131" s="7">
        <v>0.26984466908429505</v>
      </c>
      <c r="Q131" s="7">
        <v>0.82903757255504174</v>
      </c>
    </row>
    <row r="132" spans="11:17" x14ac:dyDescent="0.25">
      <c r="K132">
        <f t="shared" si="3"/>
        <v>125</v>
      </c>
      <c r="L132" s="7">
        <v>-0.57357643635104583</v>
      </c>
      <c r="M132" s="7">
        <v>0.81915204428899202</v>
      </c>
      <c r="O132" s="8">
        <f t="shared" si="2"/>
        <v>125</v>
      </c>
      <c r="P132" s="7">
        <v>0.24557560793794619</v>
      </c>
      <c r="Q132" s="7">
        <v>0.81915204428899202</v>
      </c>
    </row>
    <row r="133" spans="11:17" x14ac:dyDescent="0.25">
      <c r="K133">
        <f t="shared" si="3"/>
        <v>126</v>
      </c>
      <c r="L133" s="7">
        <v>-0.58778525229247303</v>
      </c>
      <c r="M133" s="7">
        <v>0.80901699437494745</v>
      </c>
      <c r="O133" s="8">
        <f t="shared" si="2"/>
        <v>126</v>
      </c>
      <c r="P133" s="7">
        <v>0.22123174208247443</v>
      </c>
      <c r="Q133" s="7">
        <v>0.80901699437494745</v>
      </c>
    </row>
    <row r="134" spans="11:17" x14ac:dyDescent="0.25">
      <c r="K134">
        <f t="shared" si="3"/>
        <v>127</v>
      </c>
      <c r="L134" s="7">
        <v>-0.60181502315204838</v>
      </c>
      <c r="M134" s="7">
        <v>0.79863551004729272</v>
      </c>
      <c r="O134" s="8">
        <f t="shared" si="2"/>
        <v>127</v>
      </c>
      <c r="P134" s="7">
        <v>0.19682048689524434</v>
      </c>
      <c r="Q134" s="7">
        <v>0.79863551004729272</v>
      </c>
    </row>
    <row r="135" spans="11:17" x14ac:dyDescent="0.25">
      <c r="K135">
        <f t="shared" si="3"/>
        <v>128</v>
      </c>
      <c r="L135" s="7">
        <v>-0.61566147532565829</v>
      </c>
      <c r="M135" s="7">
        <v>0.78801075360672201</v>
      </c>
      <c r="O135" s="8">
        <f t="shared" ref="O135:O198" si="4">K135</f>
        <v>128</v>
      </c>
      <c r="P135" s="7">
        <v>0.17234927828106372</v>
      </c>
      <c r="Q135" s="7">
        <v>0.78801075360672201</v>
      </c>
    </row>
    <row r="136" spans="11:17" x14ac:dyDescent="0.25">
      <c r="K136">
        <f t="shared" ref="K136:K199" si="5">K135+1</f>
        <v>129</v>
      </c>
      <c r="L136" s="7">
        <v>-0.62932039104983728</v>
      </c>
      <c r="M136" s="7">
        <v>0.77714596145697101</v>
      </c>
      <c r="O136" s="8">
        <f t="shared" si="4"/>
        <v>129</v>
      </c>
      <c r="P136" s="7">
        <v>0.14782557040713373</v>
      </c>
      <c r="Q136" s="7">
        <v>0.77714596145697101</v>
      </c>
    </row>
    <row r="137" spans="11:17" x14ac:dyDescent="0.25">
      <c r="K137">
        <f t="shared" si="5"/>
        <v>130</v>
      </c>
      <c r="L137" s="7">
        <v>-0.64278760968653936</v>
      </c>
      <c r="M137" s="7">
        <v>0.76604444311897801</v>
      </c>
      <c r="O137" s="8">
        <f t="shared" si="4"/>
        <v>130</v>
      </c>
      <c r="P137" s="7">
        <v>0.12325683343243865</v>
      </c>
      <c r="Q137" s="7">
        <v>0.76604444311897801</v>
      </c>
    </row>
    <row r="138" spans="11:17" x14ac:dyDescent="0.25">
      <c r="K138">
        <f t="shared" si="5"/>
        <v>131</v>
      </c>
      <c r="L138" s="7">
        <v>-0.6560590289905075</v>
      </c>
      <c r="M138" s="7">
        <v>0.75470958022277179</v>
      </c>
      <c r="O138" s="8">
        <f t="shared" si="4"/>
        <v>131</v>
      </c>
      <c r="P138" s="7">
        <v>9.8650551232264294E-2</v>
      </c>
      <c r="Q138" s="7">
        <v>0.75470958022277179</v>
      </c>
    </row>
    <row r="139" spans="11:17" x14ac:dyDescent="0.25">
      <c r="K139">
        <f t="shared" si="5"/>
        <v>132</v>
      </c>
      <c r="L139" s="7">
        <v>-0.66913060635885824</v>
      </c>
      <c r="M139" s="7">
        <v>0.74314482547739424</v>
      </c>
      <c r="O139" s="8">
        <f t="shared" si="4"/>
        <v>132</v>
      </c>
      <c r="P139" s="7">
        <v>7.4014219118536007E-2</v>
      </c>
      <c r="Q139" s="7">
        <v>0.74314482547739424</v>
      </c>
    </row>
    <row r="140" spans="11:17" x14ac:dyDescent="0.25">
      <c r="K140">
        <f t="shared" si="5"/>
        <v>133</v>
      </c>
      <c r="L140" s="7">
        <v>-0.68199836006249837</v>
      </c>
      <c r="M140" s="7">
        <v>0.73135370161917057</v>
      </c>
      <c r="O140" s="8">
        <f t="shared" si="4"/>
        <v>133</v>
      </c>
      <c r="P140" s="7">
        <v>4.9355341556672205E-2</v>
      </c>
      <c r="Q140" s="7">
        <v>0.73135370161917057</v>
      </c>
    </row>
    <row r="141" spans="11:17" x14ac:dyDescent="0.25">
      <c r="K141">
        <f t="shared" si="5"/>
        <v>134</v>
      </c>
      <c r="L141" s="7">
        <v>-0.69465837045899703</v>
      </c>
      <c r="M141" s="7">
        <v>0.71933980033865141</v>
      </c>
      <c r="O141" s="8">
        <f t="shared" si="4"/>
        <v>134</v>
      </c>
      <c r="P141" s="7">
        <v>2.4681429879654382E-2</v>
      </c>
      <c r="Q141" s="7">
        <v>0.71933980033865141</v>
      </c>
    </row>
    <row r="142" spans="11:17" x14ac:dyDescent="0.25">
      <c r="K142">
        <f t="shared" si="5"/>
        <v>135</v>
      </c>
      <c r="L142" s="7">
        <v>-0.70710678118654746</v>
      </c>
      <c r="M142" s="7">
        <v>0.70710678118654757</v>
      </c>
      <c r="O142" s="8">
        <f t="shared" si="4"/>
        <v>135</v>
      </c>
      <c r="P142" s="7">
        <v>1.1102230246251565E-16</v>
      </c>
      <c r="Q142" s="7">
        <v>0.70710678118654757</v>
      </c>
    </row>
    <row r="143" spans="11:17" x14ac:dyDescent="0.25">
      <c r="K143">
        <f t="shared" si="5"/>
        <v>136</v>
      </c>
      <c r="L143" s="7">
        <v>-0.71933980033865119</v>
      </c>
      <c r="M143" s="7">
        <v>0.69465837045899714</v>
      </c>
      <c r="O143" s="8">
        <f t="shared" si="4"/>
        <v>136</v>
      </c>
      <c r="P143" s="7">
        <v>-2.4681429879654049E-2</v>
      </c>
      <c r="Q143" s="7">
        <v>0.69465837045899714</v>
      </c>
    </row>
    <row r="144" spans="11:17" x14ac:dyDescent="0.25">
      <c r="K144">
        <f t="shared" si="5"/>
        <v>137</v>
      </c>
      <c r="L144" s="7">
        <v>-0.73135370161917046</v>
      </c>
      <c r="M144" s="7">
        <v>0.68199836006249859</v>
      </c>
      <c r="O144" s="8">
        <f t="shared" si="4"/>
        <v>137</v>
      </c>
      <c r="P144" s="7">
        <v>-4.9355341556671872E-2</v>
      </c>
      <c r="Q144" s="7">
        <v>0.68199836006249859</v>
      </c>
    </row>
    <row r="145" spans="11:17" x14ac:dyDescent="0.25">
      <c r="K145">
        <f t="shared" si="5"/>
        <v>138</v>
      </c>
      <c r="L145" s="7">
        <v>-0.74314482547739402</v>
      </c>
      <c r="M145" s="7">
        <v>0.66913060635885835</v>
      </c>
      <c r="O145" s="8">
        <f t="shared" si="4"/>
        <v>138</v>
      </c>
      <c r="P145" s="7">
        <v>-7.4014219118535673E-2</v>
      </c>
      <c r="Q145" s="7">
        <v>0.66913060635885835</v>
      </c>
    </row>
    <row r="146" spans="11:17" x14ac:dyDescent="0.25">
      <c r="K146">
        <f t="shared" si="5"/>
        <v>139</v>
      </c>
      <c r="L146" s="7">
        <v>-0.75470958022277201</v>
      </c>
      <c r="M146" s="7">
        <v>0.65605902899050728</v>
      </c>
      <c r="O146" s="8">
        <f t="shared" si="4"/>
        <v>139</v>
      </c>
      <c r="P146" s="7">
        <v>-9.8650551232264738E-2</v>
      </c>
      <c r="Q146" s="7">
        <v>0.65605902899050728</v>
      </c>
    </row>
    <row r="147" spans="11:17" x14ac:dyDescent="0.25">
      <c r="K147">
        <f t="shared" si="5"/>
        <v>140</v>
      </c>
      <c r="L147" s="7">
        <v>-0.7660444431189779</v>
      </c>
      <c r="M147" s="7">
        <v>0.64278760968653947</v>
      </c>
      <c r="O147" s="8">
        <f t="shared" si="4"/>
        <v>140</v>
      </c>
      <c r="P147" s="7">
        <v>-0.12325683343243843</v>
      </c>
      <c r="Q147" s="7">
        <v>0.64278760968653947</v>
      </c>
    </row>
    <row r="148" spans="11:17" x14ac:dyDescent="0.25">
      <c r="K148">
        <f t="shared" si="5"/>
        <v>141</v>
      </c>
      <c r="L148" s="7">
        <v>-0.77714596145697068</v>
      </c>
      <c r="M148" s="7">
        <v>0.62932039104983772</v>
      </c>
      <c r="O148" s="8">
        <f t="shared" si="4"/>
        <v>141</v>
      </c>
      <c r="P148" s="7">
        <v>-0.14782557040713296</v>
      </c>
      <c r="Q148" s="7">
        <v>0.62932039104983772</v>
      </c>
    </row>
    <row r="149" spans="11:17" x14ac:dyDescent="0.25">
      <c r="K149">
        <f t="shared" si="5"/>
        <v>142</v>
      </c>
      <c r="L149" s="7">
        <v>-0.7880107536067219</v>
      </c>
      <c r="M149" s="7">
        <v>0.6156614753256584</v>
      </c>
      <c r="O149" s="8">
        <f t="shared" si="4"/>
        <v>142</v>
      </c>
      <c r="P149" s="7">
        <v>-0.1723492782810635</v>
      </c>
      <c r="Q149" s="7">
        <v>0.6156614753256584</v>
      </c>
    </row>
    <row r="150" spans="11:17" x14ac:dyDescent="0.25">
      <c r="K150">
        <f t="shared" si="5"/>
        <v>143</v>
      </c>
      <c r="L150" s="7">
        <v>-0.79863551004729294</v>
      </c>
      <c r="M150" s="7">
        <v>0.60181502315204816</v>
      </c>
      <c r="O150" s="8">
        <f t="shared" si="4"/>
        <v>143</v>
      </c>
      <c r="P150" s="7">
        <v>-0.19682048689524478</v>
      </c>
      <c r="Q150" s="7">
        <v>0.60181502315204816</v>
      </c>
    </row>
    <row r="151" spans="11:17" x14ac:dyDescent="0.25">
      <c r="K151">
        <f t="shared" si="5"/>
        <v>144</v>
      </c>
      <c r="L151" s="7">
        <v>-0.80901699437494734</v>
      </c>
      <c r="M151" s="7">
        <v>0.58778525229247325</v>
      </c>
      <c r="O151" s="8">
        <f t="shared" si="4"/>
        <v>144</v>
      </c>
      <c r="P151" s="7">
        <v>-0.22123174208247409</v>
      </c>
      <c r="Q151" s="7">
        <v>0.58778525229247325</v>
      </c>
    </row>
    <row r="152" spans="11:17" x14ac:dyDescent="0.25">
      <c r="K152">
        <f t="shared" si="5"/>
        <v>145</v>
      </c>
      <c r="L152" s="7">
        <v>-0.81915204428899158</v>
      </c>
      <c r="M152" s="7">
        <v>0.57357643635104638</v>
      </c>
      <c r="O152" s="8">
        <f t="shared" si="4"/>
        <v>145</v>
      </c>
      <c r="P152" s="7">
        <v>-0.2455756079379452</v>
      </c>
      <c r="Q152" s="7">
        <v>0.57357643635104638</v>
      </c>
    </row>
    <row r="153" spans="11:17" x14ac:dyDescent="0.25">
      <c r="K153">
        <f t="shared" si="5"/>
        <v>146</v>
      </c>
      <c r="L153" s="7">
        <v>-0.82903757255504162</v>
      </c>
      <c r="M153" s="7">
        <v>0.5591929034707469</v>
      </c>
      <c r="O153" s="8">
        <f t="shared" si="4"/>
        <v>146</v>
      </c>
      <c r="P153" s="7">
        <v>-0.26984466908429472</v>
      </c>
      <c r="Q153" s="7">
        <v>0.5591929034707469</v>
      </c>
    </row>
    <row r="154" spans="11:17" x14ac:dyDescent="0.25">
      <c r="K154">
        <f t="shared" si="5"/>
        <v>147</v>
      </c>
      <c r="L154" s="7">
        <v>-0.83867056794542416</v>
      </c>
      <c r="M154" s="7">
        <v>0.54463903501502697</v>
      </c>
      <c r="O154" s="8">
        <f t="shared" si="4"/>
        <v>147</v>
      </c>
      <c r="P154" s="7">
        <v>-0.29403153293039719</v>
      </c>
      <c r="Q154" s="7">
        <v>0.54463903501502697</v>
      </c>
    </row>
    <row r="155" spans="11:17" x14ac:dyDescent="0.25">
      <c r="K155">
        <f t="shared" si="5"/>
        <v>148</v>
      </c>
      <c r="L155" s="7">
        <v>-0.84804809615642596</v>
      </c>
      <c r="M155" s="7">
        <v>0.5299192642332049</v>
      </c>
      <c r="O155" s="8">
        <f t="shared" si="4"/>
        <v>148</v>
      </c>
      <c r="P155" s="7">
        <v>-0.31812883192322106</v>
      </c>
      <c r="Q155" s="7">
        <v>0.5299192642332049</v>
      </c>
    </row>
    <row r="156" spans="11:17" x14ac:dyDescent="0.25">
      <c r="K156">
        <f t="shared" si="5"/>
        <v>149</v>
      </c>
      <c r="L156" s="7">
        <v>-0.85716730070211222</v>
      </c>
      <c r="M156" s="7">
        <v>0.51503807491005438</v>
      </c>
      <c r="O156" s="8">
        <f t="shared" si="4"/>
        <v>149</v>
      </c>
      <c r="P156" s="7">
        <v>-0.34212922579205785</v>
      </c>
      <c r="Q156" s="7">
        <v>0.51503807491005438</v>
      </c>
    </row>
    <row r="157" spans="11:17" x14ac:dyDescent="0.25">
      <c r="K157">
        <f t="shared" si="5"/>
        <v>150</v>
      </c>
      <c r="L157" s="7">
        <v>-0.86602540378443871</v>
      </c>
      <c r="M157" s="7">
        <v>0.49999999999999994</v>
      </c>
      <c r="O157" s="8">
        <f t="shared" si="4"/>
        <v>150</v>
      </c>
      <c r="P157" s="7">
        <v>-0.36602540378443876</v>
      </c>
      <c r="Q157" s="7">
        <v>0.49999999999999994</v>
      </c>
    </row>
    <row r="158" spans="11:17" x14ac:dyDescent="0.25">
      <c r="K158">
        <f t="shared" si="5"/>
        <v>151</v>
      </c>
      <c r="L158" s="7">
        <v>-0.87461970713939574</v>
      </c>
      <c r="M158" s="7">
        <v>0.48480962024633717</v>
      </c>
      <c r="O158" s="8">
        <f t="shared" si="4"/>
        <v>151</v>
      </c>
      <c r="P158" s="7">
        <v>-0.38981008689305857</v>
      </c>
      <c r="Q158" s="7">
        <v>0.48480962024633717</v>
      </c>
    </row>
    <row r="159" spans="11:17" x14ac:dyDescent="0.25">
      <c r="K159">
        <f t="shared" si="5"/>
        <v>152</v>
      </c>
      <c r="L159" s="7">
        <v>-0.88294759285892677</v>
      </c>
      <c r="M159" s="7">
        <v>0.46947156278589108</v>
      </c>
      <c r="O159" s="8">
        <f t="shared" si="4"/>
        <v>152</v>
      </c>
      <c r="P159" s="7">
        <v>-0.41347603007303568</v>
      </c>
      <c r="Q159" s="7">
        <v>0.46947156278589108</v>
      </c>
    </row>
    <row r="160" spans="11:17" x14ac:dyDescent="0.25">
      <c r="K160">
        <f t="shared" si="5"/>
        <v>153</v>
      </c>
      <c r="L160" s="7">
        <v>-0.89100652418836779</v>
      </c>
      <c r="M160" s="7">
        <v>0.45399049973954686</v>
      </c>
      <c r="O160" s="8">
        <f t="shared" si="4"/>
        <v>153</v>
      </c>
      <c r="P160" s="7">
        <v>-0.43701602444882093</v>
      </c>
      <c r="Q160" s="7">
        <v>0.45399049973954686</v>
      </c>
    </row>
    <row r="161" spans="11:17" x14ac:dyDescent="0.25">
      <c r="K161">
        <f t="shared" si="5"/>
        <v>154</v>
      </c>
      <c r="L161" s="7">
        <v>-0.89879404629916704</v>
      </c>
      <c r="M161" s="7">
        <v>0.43837114678907729</v>
      </c>
      <c r="O161" s="8">
        <f t="shared" si="4"/>
        <v>154</v>
      </c>
      <c r="P161" s="7">
        <v>-0.46042289951008974</v>
      </c>
      <c r="Q161" s="7">
        <v>0.43837114678907729</v>
      </c>
    </row>
    <row r="162" spans="11:17" x14ac:dyDescent="0.25">
      <c r="K162">
        <f t="shared" si="5"/>
        <v>155</v>
      </c>
      <c r="L162" s="7">
        <v>-0.90630778703664994</v>
      </c>
      <c r="M162" s="7">
        <v>0.4226182617406995</v>
      </c>
      <c r="O162" s="8">
        <f t="shared" si="4"/>
        <v>155</v>
      </c>
      <c r="P162" s="7">
        <v>-0.48368952529595044</v>
      </c>
      <c r="Q162" s="7">
        <v>0.4226182617406995</v>
      </c>
    </row>
    <row r="163" spans="11:17" x14ac:dyDescent="0.25">
      <c r="K163">
        <f t="shared" si="5"/>
        <v>156</v>
      </c>
      <c r="L163" s="7">
        <v>-0.91354545764260076</v>
      </c>
      <c r="M163" s="7">
        <v>0.40673664307580043</v>
      </c>
      <c r="O163" s="8">
        <f t="shared" si="4"/>
        <v>156</v>
      </c>
      <c r="P163" s="7">
        <v>-0.50680881456680038</v>
      </c>
      <c r="Q163" s="7">
        <v>0.40673664307580043</v>
      </c>
    </row>
    <row r="164" spans="11:17" x14ac:dyDescent="0.25">
      <c r="K164">
        <f t="shared" si="5"/>
        <v>157</v>
      </c>
      <c r="L164" s="7">
        <v>-0.92050485345244015</v>
      </c>
      <c r="M164" s="7">
        <v>0.39073112848927416</v>
      </c>
      <c r="O164" s="8">
        <f t="shared" si="4"/>
        <v>157</v>
      </c>
      <c r="P164" s="7">
        <v>-0.52977372496316599</v>
      </c>
      <c r="Q164" s="7">
        <v>0.39073112848927416</v>
      </c>
    </row>
    <row r="165" spans="11:17" x14ac:dyDescent="0.25">
      <c r="K165">
        <f t="shared" si="5"/>
        <v>158</v>
      </c>
      <c r="L165" s="7">
        <v>-0.92718385456678731</v>
      </c>
      <c r="M165" s="7">
        <v>0.37460659341591224</v>
      </c>
      <c r="O165" s="8">
        <f t="shared" si="4"/>
        <v>158</v>
      </c>
      <c r="P165" s="7">
        <v>-0.55257726115087502</v>
      </c>
      <c r="Q165" s="7">
        <v>0.37460659341591224</v>
      </c>
    </row>
    <row r="166" spans="11:17" x14ac:dyDescent="0.25">
      <c r="K166">
        <f t="shared" si="5"/>
        <v>159</v>
      </c>
      <c r="L166" s="7">
        <v>-0.93358042649720174</v>
      </c>
      <c r="M166" s="7">
        <v>0.35836794954530021</v>
      </c>
      <c r="O166" s="8">
        <f t="shared" si="4"/>
        <v>159</v>
      </c>
      <c r="P166" s="7">
        <v>-0.57521247695190159</v>
      </c>
      <c r="Q166" s="7">
        <v>0.35836794954530021</v>
      </c>
    </row>
    <row r="167" spans="11:17" x14ac:dyDescent="0.25">
      <c r="K167">
        <f t="shared" si="5"/>
        <v>160</v>
      </c>
      <c r="L167" s="7">
        <v>-0.93969262078590832</v>
      </c>
      <c r="M167" s="7">
        <v>0.34202014332566888</v>
      </c>
      <c r="O167" s="8">
        <f t="shared" si="4"/>
        <v>160</v>
      </c>
      <c r="P167" s="7">
        <v>-0.59767247746023944</v>
      </c>
      <c r="Q167" s="7">
        <v>0.34202014332566888</v>
      </c>
    </row>
    <row r="168" spans="11:17" x14ac:dyDescent="0.25">
      <c r="K168">
        <f t="shared" si="5"/>
        <v>161</v>
      </c>
      <c r="L168" s="7">
        <v>-0.94551857559931674</v>
      </c>
      <c r="M168" s="7">
        <v>0.32556815445715703</v>
      </c>
      <c r="O168" s="8">
        <f t="shared" si="4"/>
        <v>161</v>
      </c>
      <c r="P168" s="7">
        <v>-0.6199504211421597</v>
      </c>
      <c r="Q168" s="7">
        <v>0.32556815445715703</v>
      </c>
    </row>
    <row r="169" spans="11:17" x14ac:dyDescent="0.25">
      <c r="K169">
        <f t="shared" si="5"/>
        <v>162</v>
      </c>
      <c r="L169" s="7">
        <v>-0.95105651629515353</v>
      </c>
      <c r="M169" s="7">
        <v>0.30901699437494751</v>
      </c>
      <c r="O169" s="8">
        <f t="shared" si="4"/>
        <v>162</v>
      </c>
      <c r="P169" s="7">
        <v>-0.64203952192020597</v>
      </c>
      <c r="Q169" s="7">
        <v>0.30901699437494751</v>
      </c>
    </row>
    <row r="170" spans="11:17" x14ac:dyDescent="0.25">
      <c r="K170">
        <f t="shared" si="5"/>
        <v>163</v>
      </c>
      <c r="L170" s="7">
        <v>-0.95630475596303544</v>
      </c>
      <c r="M170" s="7">
        <v>0.29237170472273705</v>
      </c>
      <c r="O170" s="8">
        <f t="shared" si="4"/>
        <v>163</v>
      </c>
      <c r="P170" s="7">
        <v>-0.66393305124029833</v>
      </c>
      <c r="Q170" s="7">
        <v>0.29237170472273705</v>
      </c>
    </row>
    <row r="171" spans="11:17" x14ac:dyDescent="0.25">
      <c r="K171">
        <f t="shared" si="5"/>
        <v>164</v>
      </c>
      <c r="L171" s="7">
        <v>-0.96126169593831867</v>
      </c>
      <c r="M171" s="7">
        <v>0.27563735581699966</v>
      </c>
      <c r="O171" s="8">
        <f t="shared" si="4"/>
        <v>164</v>
      </c>
      <c r="P171" s="7">
        <v>-0.68562434012131901</v>
      </c>
      <c r="Q171" s="7">
        <v>0.27563735581699966</v>
      </c>
    </row>
    <row r="172" spans="11:17" x14ac:dyDescent="0.25">
      <c r="K172">
        <f t="shared" si="5"/>
        <v>165</v>
      </c>
      <c r="L172" s="7">
        <v>-0.9659258262890682</v>
      </c>
      <c r="M172" s="7">
        <v>0.25881904510252102</v>
      </c>
      <c r="O172" s="8">
        <f t="shared" si="4"/>
        <v>165</v>
      </c>
      <c r="P172" s="7">
        <v>-0.70710678118654724</v>
      </c>
      <c r="Q172" s="7">
        <v>0.25881904510252102</v>
      </c>
    </row>
    <row r="173" spans="11:17" x14ac:dyDescent="0.25">
      <c r="K173">
        <f t="shared" si="5"/>
        <v>166</v>
      </c>
      <c r="L173" s="7">
        <v>-0.97029572627599647</v>
      </c>
      <c r="M173" s="7">
        <v>0.24192189559966773</v>
      </c>
      <c r="O173" s="8">
        <f t="shared" si="4"/>
        <v>166</v>
      </c>
      <c r="P173" s="7">
        <v>-0.72837383067632877</v>
      </c>
      <c r="Q173" s="7">
        <v>0.24192189559966773</v>
      </c>
    </row>
    <row r="174" spans="11:17" x14ac:dyDescent="0.25">
      <c r="K174">
        <f t="shared" si="5"/>
        <v>167</v>
      </c>
      <c r="L174" s="7">
        <v>-0.97437006478523525</v>
      </c>
      <c r="M174" s="7">
        <v>0.22495105434386478</v>
      </c>
      <c r="O174" s="8">
        <f t="shared" si="4"/>
        <v>167</v>
      </c>
      <c r="P174" s="7">
        <v>-0.74941901044137049</v>
      </c>
      <c r="Q174" s="7">
        <v>0.22495105434386478</v>
      </c>
    </row>
    <row r="175" spans="11:17" x14ac:dyDescent="0.25">
      <c r="K175">
        <f t="shared" si="5"/>
        <v>168</v>
      </c>
      <c r="L175" s="7">
        <v>-0.97814760073380569</v>
      </c>
      <c r="M175" s="7">
        <v>0.20791169081775931</v>
      </c>
      <c r="O175" s="8">
        <f t="shared" si="4"/>
        <v>168</v>
      </c>
      <c r="P175" s="7">
        <v>-0.7702359099160464</v>
      </c>
      <c r="Q175" s="7">
        <v>0.20791169081775931</v>
      </c>
    </row>
    <row r="176" spans="11:17" x14ac:dyDescent="0.25">
      <c r="K176">
        <f t="shared" si="5"/>
        <v>169</v>
      </c>
      <c r="L176" s="7">
        <v>-0.98162718344766398</v>
      </c>
      <c r="M176" s="7">
        <v>0.19080899537654497</v>
      </c>
      <c r="O176" s="8">
        <f t="shared" si="4"/>
        <v>169</v>
      </c>
      <c r="P176" s="7">
        <v>-0.79081818807111903</v>
      </c>
      <c r="Q176" s="7">
        <v>0.19080899537654497</v>
      </c>
    </row>
    <row r="177" spans="11:17" x14ac:dyDescent="0.25">
      <c r="K177">
        <f t="shared" si="5"/>
        <v>170</v>
      </c>
      <c r="L177" s="7">
        <v>-0.98480775301220802</v>
      </c>
      <c r="M177" s="7">
        <v>0.17364817766693028</v>
      </c>
      <c r="O177" s="8">
        <f t="shared" si="4"/>
        <v>170</v>
      </c>
      <c r="P177" s="7">
        <v>-0.81115957534527772</v>
      </c>
      <c r="Q177" s="7">
        <v>0.17364817766693028</v>
      </c>
    </row>
    <row r="178" spans="11:17" x14ac:dyDescent="0.25">
      <c r="K178">
        <f t="shared" si="5"/>
        <v>171</v>
      </c>
      <c r="L178" s="7">
        <v>-0.98768834059513766</v>
      </c>
      <c r="M178" s="7">
        <v>0.15643446504023098</v>
      </c>
      <c r="O178" s="8">
        <f t="shared" si="4"/>
        <v>171</v>
      </c>
      <c r="P178" s="7">
        <v>-0.83125387555490671</v>
      </c>
      <c r="Q178" s="7">
        <v>0.15643446504023098</v>
      </c>
    </row>
    <row r="179" spans="11:17" x14ac:dyDescent="0.25">
      <c r="K179">
        <f t="shared" si="5"/>
        <v>172</v>
      </c>
      <c r="L179" s="7">
        <v>-0.99026806874157025</v>
      </c>
      <c r="M179" s="7">
        <v>0.13917310096006574</v>
      </c>
      <c r="O179" s="8">
        <f t="shared" si="4"/>
        <v>172</v>
      </c>
      <c r="P179" s="7">
        <v>-0.85109496778150451</v>
      </c>
      <c r="Q179" s="7">
        <v>0.13917310096006574</v>
      </c>
    </row>
    <row r="180" spans="11:17" x14ac:dyDescent="0.25">
      <c r="K180">
        <f t="shared" si="5"/>
        <v>173</v>
      </c>
      <c r="L180" s="7">
        <v>-0.99254615164132198</v>
      </c>
      <c r="M180" s="7">
        <v>0.12186934340514755</v>
      </c>
      <c r="O180" s="8">
        <f t="shared" si="4"/>
        <v>173</v>
      </c>
      <c r="P180" s="7">
        <v>-0.87067680823617444</v>
      </c>
      <c r="Q180" s="7">
        <v>0.12186934340514755</v>
      </c>
    </row>
    <row r="181" spans="11:17" x14ac:dyDescent="0.25">
      <c r="K181">
        <f t="shared" si="5"/>
        <v>174</v>
      </c>
      <c r="L181" s="7">
        <v>-0.99452189536827329</v>
      </c>
      <c r="M181" s="7">
        <v>0.10452846326765373</v>
      </c>
      <c r="O181" s="8">
        <f t="shared" si="4"/>
        <v>174</v>
      </c>
      <c r="P181" s="7">
        <v>-0.88999343210061954</v>
      </c>
      <c r="Q181" s="7">
        <v>0.10452846326765373</v>
      </c>
    </row>
    <row r="182" spans="11:17" x14ac:dyDescent="0.25">
      <c r="K182">
        <f t="shared" si="5"/>
        <v>175</v>
      </c>
      <c r="L182" s="7">
        <v>-0.99619469809174555</v>
      </c>
      <c r="M182" s="7">
        <v>8.7155742747658638E-2</v>
      </c>
      <c r="O182" s="8">
        <f t="shared" si="4"/>
        <v>175</v>
      </c>
      <c r="P182" s="7">
        <v>-0.90903895534408696</v>
      </c>
      <c r="Q182" s="7">
        <v>8.7155742747658638E-2</v>
      </c>
    </row>
    <row r="183" spans="11:17" x14ac:dyDescent="0.25">
      <c r="K183">
        <f t="shared" si="5"/>
        <v>176</v>
      </c>
      <c r="L183" s="7">
        <v>-0.9975640502598242</v>
      </c>
      <c r="M183" s="7">
        <v>6.9756473744125524E-2</v>
      </c>
      <c r="O183" s="8">
        <f t="shared" si="4"/>
        <v>176</v>
      </c>
      <c r="P183" s="7">
        <v>-0.92780757651569867</v>
      </c>
      <c r="Q183" s="7">
        <v>6.9756473744125524E-2</v>
      </c>
    </row>
    <row r="184" spans="11:17" x14ac:dyDescent="0.25">
      <c r="K184">
        <f t="shared" si="5"/>
        <v>177</v>
      </c>
      <c r="L184" s="7">
        <v>-0.99862953475457383</v>
      </c>
      <c r="M184" s="7">
        <v>5.2335956242943807E-2</v>
      </c>
      <c r="O184" s="8">
        <f t="shared" si="4"/>
        <v>177</v>
      </c>
      <c r="P184" s="7">
        <v>-0.94629357851162998</v>
      </c>
      <c r="Q184" s="7">
        <v>5.2335956242943807E-2</v>
      </c>
    </row>
    <row r="185" spans="11:17" x14ac:dyDescent="0.25">
      <c r="K185">
        <f t="shared" si="5"/>
        <v>178</v>
      </c>
      <c r="L185" s="7">
        <v>-0.99939082701909576</v>
      </c>
      <c r="M185" s="7">
        <v>3.4899496702500699E-2</v>
      </c>
      <c r="O185" s="8">
        <f t="shared" si="4"/>
        <v>178</v>
      </c>
      <c r="P185" s="7">
        <v>-0.96449133031659506</v>
      </c>
      <c r="Q185" s="7">
        <v>3.4899496702500699E-2</v>
      </c>
    </row>
    <row r="186" spans="11:17" x14ac:dyDescent="0.25">
      <c r="K186">
        <f t="shared" si="5"/>
        <v>179</v>
      </c>
      <c r="L186" s="7">
        <v>-0.99984769515639127</v>
      </c>
      <c r="M186" s="7">
        <v>1.7452406437283439E-2</v>
      </c>
      <c r="O186" s="8">
        <f t="shared" si="4"/>
        <v>179</v>
      </c>
      <c r="P186" s="7">
        <v>-0.98239528871910786</v>
      </c>
      <c r="Q186" s="7">
        <v>1.7452406437283439E-2</v>
      </c>
    </row>
    <row r="187" spans="11:17" x14ac:dyDescent="0.25">
      <c r="K187">
        <f t="shared" si="5"/>
        <v>180</v>
      </c>
      <c r="L187" s="7">
        <v>-1</v>
      </c>
      <c r="M187" s="7">
        <v>1.22514845490862E-16</v>
      </c>
      <c r="O187" s="8">
        <f t="shared" si="4"/>
        <v>180</v>
      </c>
      <c r="P187" s="7">
        <v>-0.99999999999999989</v>
      </c>
      <c r="Q187" s="7">
        <v>1.22514845490862E-16</v>
      </c>
    </row>
    <row r="188" spans="11:17" x14ac:dyDescent="0.25">
      <c r="K188">
        <f t="shared" si="5"/>
        <v>181</v>
      </c>
      <c r="L188" s="7">
        <v>-0.99984769515639127</v>
      </c>
      <c r="M188" s="7">
        <v>-1.7452406437283192E-2</v>
      </c>
      <c r="O188" s="8">
        <f t="shared" si="4"/>
        <v>181</v>
      </c>
      <c r="P188" s="7">
        <v>-1.0173001015936745</v>
      </c>
      <c r="Q188" s="7">
        <v>-1.7452406437283192E-2</v>
      </c>
    </row>
    <row r="189" spans="11:17" x14ac:dyDescent="0.25">
      <c r="K189">
        <f t="shared" si="5"/>
        <v>182</v>
      </c>
      <c r="L189" s="7">
        <v>-0.99939082701909576</v>
      </c>
      <c r="M189" s="7">
        <v>-3.48994967025009E-2</v>
      </c>
      <c r="O189" s="8">
        <f t="shared" si="4"/>
        <v>182</v>
      </c>
      <c r="P189" s="7">
        <v>-1.0342903237215966</v>
      </c>
      <c r="Q189" s="7">
        <v>-3.48994967025009E-2</v>
      </c>
    </row>
    <row r="190" spans="11:17" x14ac:dyDescent="0.25">
      <c r="K190">
        <f t="shared" si="5"/>
        <v>183</v>
      </c>
      <c r="L190" s="7">
        <v>-0.99862953475457383</v>
      </c>
      <c r="M190" s="7">
        <v>-5.2335956242943557E-2</v>
      </c>
      <c r="O190" s="8">
        <f t="shared" si="4"/>
        <v>183</v>
      </c>
      <c r="P190" s="7">
        <v>-1.0509654909975175</v>
      </c>
      <c r="Q190" s="7">
        <v>-5.2335956242943557E-2</v>
      </c>
    </row>
    <row r="191" spans="11:17" x14ac:dyDescent="0.25">
      <c r="K191">
        <f t="shared" si="5"/>
        <v>184</v>
      </c>
      <c r="L191" s="7">
        <v>-0.99756405025982431</v>
      </c>
      <c r="M191" s="7">
        <v>-6.9756473744124831E-2</v>
      </c>
      <c r="O191" s="8">
        <f t="shared" si="4"/>
        <v>184</v>
      </c>
      <c r="P191" s="7">
        <v>-1.0673205240039492</v>
      </c>
      <c r="Q191" s="7">
        <v>-6.9756473744124831E-2</v>
      </c>
    </row>
    <row r="192" spans="11:17" x14ac:dyDescent="0.25">
      <c r="K192">
        <f t="shared" si="5"/>
        <v>185</v>
      </c>
      <c r="L192" s="7">
        <v>-0.99619469809174555</v>
      </c>
      <c r="M192" s="7">
        <v>-8.7155742747657944E-2</v>
      </c>
      <c r="O192" s="8">
        <f t="shared" si="4"/>
        <v>185</v>
      </c>
      <c r="P192" s="7">
        <v>-1.0833504408394035</v>
      </c>
      <c r="Q192" s="7">
        <v>-8.7155742747657944E-2</v>
      </c>
    </row>
    <row r="193" spans="11:17" x14ac:dyDescent="0.25">
      <c r="K193">
        <f t="shared" si="5"/>
        <v>186</v>
      </c>
      <c r="L193" s="7">
        <v>-0.9945218953682734</v>
      </c>
      <c r="M193" s="7">
        <v>-0.10452846326765305</v>
      </c>
      <c r="O193" s="8">
        <f t="shared" si="4"/>
        <v>186</v>
      </c>
      <c r="P193" s="7">
        <v>-1.0990503586359264</v>
      </c>
      <c r="Q193" s="7">
        <v>-0.10452846326765305</v>
      </c>
    </row>
    <row r="194" spans="11:17" x14ac:dyDescent="0.25">
      <c r="K194">
        <f t="shared" si="5"/>
        <v>187</v>
      </c>
      <c r="L194" s="7">
        <v>-0.99254615164132198</v>
      </c>
      <c r="M194" s="7">
        <v>-0.12186934340514774</v>
      </c>
      <c r="O194" s="8">
        <f t="shared" si="4"/>
        <v>187</v>
      </c>
      <c r="P194" s="7">
        <v>-1.1144154950464698</v>
      </c>
      <c r="Q194" s="7">
        <v>-0.12186934340514774</v>
      </c>
    </row>
    <row r="195" spans="11:17" x14ac:dyDescent="0.25">
      <c r="K195">
        <f t="shared" si="5"/>
        <v>188</v>
      </c>
      <c r="L195" s="7">
        <v>-0.99026806874157025</v>
      </c>
      <c r="M195" s="7">
        <v>-0.13917310096006552</v>
      </c>
      <c r="O195" s="8">
        <f t="shared" si="4"/>
        <v>188</v>
      </c>
      <c r="P195" s="7">
        <v>-1.1294411697016358</v>
      </c>
      <c r="Q195" s="7">
        <v>-0.13917310096006552</v>
      </c>
    </row>
    <row r="196" spans="11:17" x14ac:dyDescent="0.25">
      <c r="K196">
        <f t="shared" si="5"/>
        <v>189</v>
      </c>
      <c r="L196" s="7">
        <v>-0.98768834059513777</v>
      </c>
      <c r="M196" s="7">
        <v>-0.15643446504023073</v>
      </c>
      <c r="O196" s="8">
        <f t="shared" si="4"/>
        <v>189</v>
      </c>
      <c r="P196" s="7">
        <v>-1.1441228056353685</v>
      </c>
      <c r="Q196" s="7">
        <v>-0.15643446504023073</v>
      </c>
    </row>
    <row r="197" spans="11:17" x14ac:dyDescent="0.25">
      <c r="K197">
        <f t="shared" si="5"/>
        <v>190</v>
      </c>
      <c r="L197" s="7">
        <v>-0.98480775301220802</v>
      </c>
      <c r="M197" s="7">
        <v>-0.17364817766693047</v>
      </c>
      <c r="O197" s="8">
        <f t="shared" si="4"/>
        <v>190</v>
      </c>
      <c r="P197" s="7">
        <v>-1.1584559306791384</v>
      </c>
      <c r="Q197" s="7">
        <v>-0.17364817766693047</v>
      </c>
    </row>
    <row r="198" spans="11:17" x14ac:dyDescent="0.25">
      <c r="K198">
        <f t="shared" si="5"/>
        <v>191</v>
      </c>
      <c r="L198" s="7">
        <v>-0.98162718344766398</v>
      </c>
      <c r="M198" s="7">
        <v>-0.19080899537654472</v>
      </c>
      <c r="O198" s="8">
        <f t="shared" si="4"/>
        <v>191</v>
      </c>
      <c r="P198" s="7">
        <v>-1.1724361788242086</v>
      </c>
      <c r="Q198" s="7">
        <v>-0.19080899537654472</v>
      </c>
    </row>
    <row r="199" spans="11:17" x14ac:dyDescent="0.25">
      <c r="K199">
        <f t="shared" si="5"/>
        <v>192</v>
      </c>
      <c r="L199" s="7">
        <v>-0.97814760073380569</v>
      </c>
      <c r="M199" s="7">
        <v>-0.20791169081775907</v>
      </c>
      <c r="O199" s="8">
        <f t="shared" ref="O199:O262" si="6">K199</f>
        <v>192</v>
      </c>
      <c r="P199" s="7">
        <v>-1.1860592915515649</v>
      </c>
      <c r="Q199" s="7">
        <v>-0.20791169081775907</v>
      </c>
    </row>
    <row r="200" spans="11:17" x14ac:dyDescent="0.25">
      <c r="K200">
        <f t="shared" ref="K200:K263" si="7">K199+1</f>
        <v>193</v>
      </c>
      <c r="L200" s="7">
        <v>-0.97437006478523525</v>
      </c>
      <c r="M200" s="7">
        <v>-0.22495105434386498</v>
      </c>
      <c r="O200" s="8">
        <f t="shared" si="6"/>
        <v>193</v>
      </c>
      <c r="P200" s="7">
        <v>-1.1993211191291002</v>
      </c>
      <c r="Q200" s="7">
        <v>-0.22495105434386498</v>
      </c>
    </row>
    <row r="201" spans="11:17" x14ac:dyDescent="0.25">
      <c r="K201">
        <f t="shared" si="7"/>
        <v>194</v>
      </c>
      <c r="L201" s="7">
        <v>-0.97029572627599647</v>
      </c>
      <c r="M201" s="7">
        <v>-0.24192189559966751</v>
      </c>
      <c r="O201" s="8">
        <f t="shared" si="6"/>
        <v>194</v>
      </c>
      <c r="P201" s="7">
        <v>-1.212217621875664</v>
      </c>
      <c r="Q201" s="7">
        <v>-0.24192189559966751</v>
      </c>
    </row>
    <row r="202" spans="11:17" x14ac:dyDescent="0.25">
      <c r="K202">
        <f t="shared" si="7"/>
        <v>195</v>
      </c>
      <c r="L202" s="7">
        <v>-0.96592582628906842</v>
      </c>
      <c r="M202" s="7">
        <v>-0.25881904510252035</v>
      </c>
      <c r="O202" s="8">
        <f t="shared" si="6"/>
        <v>195</v>
      </c>
      <c r="P202" s="7">
        <v>-1.2247448713915887</v>
      </c>
      <c r="Q202" s="7">
        <v>-0.25881904510252035</v>
      </c>
    </row>
    <row r="203" spans="11:17" x14ac:dyDescent="0.25">
      <c r="K203">
        <f t="shared" si="7"/>
        <v>196</v>
      </c>
      <c r="L203" s="7">
        <v>-0.96126169593831889</v>
      </c>
      <c r="M203" s="7">
        <v>-0.275637355816999</v>
      </c>
      <c r="O203" s="8">
        <f t="shared" si="6"/>
        <v>196</v>
      </c>
      <c r="P203" s="7">
        <v>-1.236899051755318</v>
      </c>
      <c r="Q203" s="7">
        <v>-0.275637355816999</v>
      </c>
    </row>
    <row r="204" spans="11:17" x14ac:dyDescent="0.25">
      <c r="K204">
        <f t="shared" si="7"/>
        <v>197</v>
      </c>
      <c r="L204" s="7">
        <v>-0.95630475596303555</v>
      </c>
      <c r="M204" s="7">
        <v>-0.29237170472273638</v>
      </c>
      <c r="O204" s="8">
        <f t="shared" si="6"/>
        <v>197</v>
      </c>
      <c r="P204" s="7">
        <v>-1.2486764606857719</v>
      </c>
      <c r="Q204" s="7">
        <v>-0.29237170472273638</v>
      </c>
    </row>
    <row r="205" spans="11:17" x14ac:dyDescent="0.25">
      <c r="K205">
        <f t="shared" si="7"/>
        <v>198</v>
      </c>
      <c r="L205" s="7">
        <v>-0.95105651629515353</v>
      </c>
      <c r="M205" s="7">
        <v>-0.30901699437494773</v>
      </c>
      <c r="O205" s="8">
        <f t="shared" si="6"/>
        <v>198</v>
      </c>
      <c r="P205" s="7">
        <v>-1.2600735106701013</v>
      </c>
      <c r="Q205" s="7">
        <v>-0.30901699437494773</v>
      </c>
    </row>
    <row r="206" spans="11:17" x14ac:dyDescent="0.25">
      <c r="K206">
        <f t="shared" si="7"/>
        <v>199</v>
      </c>
      <c r="L206" s="7">
        <v>-0.94551857559931674</v>
      </c>
      <c r="M206" s="7">
        <v>-0.32556815445715676</v>
      </c>
      <c r="O206" s="8">
        <f t="shared" si="6"/>
        <v>199</v>
      </c>
      <c r="P206" s="7">
        <v>-1.2710867300564734</v>
      </c>
      <c r="Q206" s="7">
        <v>-0.32556815445715676</v>
      </c>
    </row>
    <row r="207" spans="11:17" x14ac:dyDescent="0.25">
      <c r="K207">
        <f t="shared" si="7"/>
        <v>200</v>
      </c>
      <c r="L207" s="7">
        <v>-0.93969262078590843</v>
      </c>
      <c r="M207" s="7">
        <v>-0.34202014332566866</v>
      </c>
      <c r="O207" s="8">
        <f t="shared" si="6"/>
        <v>200</v>
      </c>
      <c r="P207" s="7">
        <v>-1.2817127641115771</v>
      </c>
      <c r="Q207" s="7">
        <v>-0.34202014332566866</v>
      </c>
    </row>
    <row r="208" spans="11:17" x14ac:dyDescent="0.25">
      <c r="K208">
        <f t="shared" si="7"/>
        <v>201</v>
      </c>
      <c r="L208" s="7">
        <v>-0.93358042649720174</v>
      </c>
      <c r="M208" s="7">
        <v>-0.35836794954530043</v>
      </c>
      <c r="O208" s="8">
        <f t="shared" si="6"/>
        <v>201</v>
      </c>
      <c r="P208" s="7">
        <v>-1.2919483760425021</v>
      </c>
      <c r="Q208" s="7">
        <v>-0.35836794954530043</v>
      </c>
    </row>
    <row r="209" spans="11:17" x14ac:dyDescent="0.25">
      <c r="K209">
        <f t="shared" si="7"/>
        <v>202</v>
      </c>
      <c r="L209" s="7">
        <v>-0.92718385456678742</v>
      </c>
      <c r="M209" s="7">
        <v>-0.37460659341591201</v>
      </c>
      <c r="O209" s="8">
        <f t="shared" si="6"/>
        <v>202</v>
      </c>
      <c r="P209" s="7">
        <v>-1.3017904479826994</v>
      </c>
      <c r="Q209" s="7">
        <v>-0.37460659341591201</v>
      </c>
    </row>
    <row r="210" spans="11:17" x14ac:dyDescent="0.25">
      <c r="K210">
        <f t="shared" si="7"/>
        <v>203</v>
      </c>
      <c r="L210" s="7">
        <v>-0.92050485345244037</v>
      </c>
      <c r="M210" s="7">
        <v>-0.39073112848927355</v>
      </c>
      <c r="O210" s="8">
        <f t="shared" si="6"/>
        <v>203</v>
      </c>
      <c r="P210" s="7">
        <v>-1.3112359819417139</v>
      </c>
      <c r="Q210" s="7">
        <v>-0.39073112848927355</v>
      </c>
    </row>
    <row r="211" spans="11:17" x14ac:dyDescent="0.25">
      <c r="K211">
        <f t="shared" si="7"/>
        <v>204</v>
      </c>
      <c r="L211" s="7">
        <v>-0.91354545764260109</v>
      </c>
      <c r="M211" s="7">
        <v>-0.40673664307579982</v>
      </c>
      <c r="O211" s="8">
        <f t="shared" si="6"/>
        <v>204</v>
      </c>
      <c r="P211" s="7">
        <v>-1.3202821007184009</v>
      </c>
      <c r="Q211" s="7">
        <v>-0.40673664307579982</v>
      </c>
    </row>
    <row r="212" spans="11:17" x14ac:dyDescent="0.25">
      <c r="K212">
        <f t="shared" si="7"/>
        <v>205</v>
      </c>
      <c r="L212" s="7">
        <v>-0.90630778703665005</v>
      </c>
      <c r="M212" s="7">
        <v>-0.42261826174069927</v>
      </c>
      <c r="O212" s="8">
        <f t="shared" si="6"/>
        <v>205</v>
      </c>
      <c r="P212" s="7">
        <v>-1.3289260487773493</v>
      </c>
      <c r="Q212" s="7">
        <v>-0.42261826174069927</v>
      </c>
    </row>
    <row r="213" spans="11:17" x14ac:dyDescent="0.25">
      <c r="K213">
        <f t="shared" si="7"/>
        <v>206</v>
      </c>
      <c r="L213" s="7">
        <v>-0.89879404629916715</v>
      </c>
      <c r="M213" s="7">
        <v>-0.43837114678907707</v>
      </c>
      <c r="O213" s="8">
        <f t="shared" si="6"/>
        <v>206</v>
      </c>
      <c r="P213" s="7">
        <v>-1.3371651930882442</v>
      </c>
      <c r="Q213" s="7">
        <v>-0.43837114678907707</v>
      </c>
    </row>
    <row r="214" spans="11:17" x14ac:dyDescent="0.25">
      <c r="K214">
        <f t="shared" si="7"/>
        <v>207</v>
      </c>
      <c r="L214" s="7">
        <v>-0.89100652418836812</v>
      </c>
      <c r="M214" s="7">
        <v>-0.45399049973954625</v>
      </c>
      <c r="O214" s="8">
        <f t="shared" si="6"/>
        <v>207</v>
      </c>
      <c r="P214" s="7">
        <v>-1.3449970239279143</v>
      </c>
      <c r="Q214" s="7">
        <v>-0.45399049973954625</v>
      </c>
    </row>
    <row r="215" spans="11:17" x14ac:dyDescent="0.25">
      <c r="K215">
        <f t="shared" si="7"/>
        <v>208</v>
      </c>
      <c r="L215" s="7">
        <v>-0.88294759285892688</v>
      </c>
      <c r="M215" s="7">
        <v>-0.46947156278589086</v>
      </c>
      <c r="O215" s="8">
        <f t="shared" si="6"/>
        <v>208</v>
      </c>
      <c r="P215" s="7">
        <v>-1.3524191556448177</v>
      </c>
      <c r="Q215" s="7">
        <v>-0.46947156278589086</v>
      </c>
    </row>
    <row r="216" spans="11:17" x14ac:dyDescent="0.25">
      <c r="K216">
        <f t="shared" si="7"/>
        <v>209</v>
      </c>
      <c r="L216" s="7">
        <v>-0.87461970713939585</v>
      </c>
      <c r="M216" s="7">
        <v>-0.48480962024633695</v>
      </c>
      <c r="O216" s="8">
        <f t="shared" si="6"/>
        <v>209</v>
      </c>
      <c r="P216" s="7">
        <v>-1.3594293273857327</v>
      </c>
      <c r="Q216" s="7">
        <v>-0.48480962024633695</v>
      </c>
    </row>
    <row r="217" spans="11:17" x14ac:dyDescent="0.25">
      <c r="K217">
        <f t="shared" si="7"/>
        <v>210</v>
      </c>
      <c r="L217" s="7">
        <v>-0.8660254037844386</v>
      </c>
      <c r="M217" s="7">
        <v>-0.50000000000000011</v>
      </c>
      <c r="O217" s="8">
        <f t="shared" si="6"/>
        <v>210</v>
      </c>
      <c r="P217" s="7">
        <v>-1.3660254037844388</v>
      </c>
      <c r="Q217" s="7">
        <v>-0.50000000000000011</v>
      </c>
    </row>
    <row r="218" spans="11:17" x14ac:dyDescent="0.25">
      <c r="K218">
        <f t="shared" si="7"/>
        <v>211</v>
      </c>
      <c r="L218" s="7">
        <v>-0.85716730070211233</v>
      </c>
      <c r="M218" s="7">
        <v>-0.51503807491005416</v>
      </c>
      <c r="O218" s="8">
        <f t="shared" si="6"/>
        <v>211</v>
      </c>
      <c r="P218" s="7">
        <v>-1.3722053756121664</v>
      </c>
      <c r="Q218" s="7">
        <v>-0.51503807491005416</v>
      </c>
    </row>
    <row r="219" spans="11:17" x14ac:dyDescent="0.25">
      <c r="K219">
        <f t="shared" si="7"/>
        <v>212</v>
      </c>
      <c r="L219" s="7">
        <v>-0.84804809615642607</v>
      </c>
      <c r="M219" s="7">
        <v>-0.52991926423320479</v>
      </c>
      <c r="O219" s="8">
        <f t="shared" si="6"/>
        <v>212</v>
      </c>
      <c r="P219" s="7">
        <v>-1.377967360389631</v>
      </c>
      <c r="Q219" s="7">
        <v>-0.52991926423320479</v>
      </c>
    </row>
    <row r="220" spans="11:17" x14ac:dyDescent="0.25">
      <c r="K220">
        <f t="shared" si="7"/>
        <v>213</v>
      </c>
      <c r="L220" s="7">
        <v>-0.83867056794542405</v>
      </c>
      <c r="M220" s="7">
        <v>-0.54463903501502708</v>
      </c>
      <c r="O220" s="8">
        <f t="shared" si="6"/>
        <v>213</v>
      </c>
      <c r="P220" s="7">
        <v>-1.383309602960451</v>
      </c>
      <c r="Q220" s="7">
        <v>-0.54463903501502708</v>
      </c>
    </row>
    <row r="221" spans="11:17" x14ac:dyDescent="0.25">
      <c r="K221">
        <f t="shared" si="7"/>
        <v>214</v>
      </c>
      <c r="L221" s="7">
        <v>-0.82903757255504185</v>
      </c>
      <c r="M221" s="7">
        <v>-0.55919290347074668</v>
      </c>
      <c r="O221" s="8">
        <f t="shared" si="6"/>
        <v>214</v>
      </c>
      <c r="P221" s="7">
        <v>-1.3882304760257886</v>
      </c>
      <c r="Q221" s="7">
        <v>-0.55919290347074668</v>
      </c>
    </row>
    <row r="222" spans="11:17" x14ac:dyDescent="0.25">
      <c r="K222">
        <f t="shared" si="7"/>
        <v>215</v>
      </c>
      <c r="L222" s="7">
        <v>-0.81915204428899202</v>
      </c>
      <c r="M222" s="7">
        <v>-0.57357643635104583</v>
      </c>
      <c r="O222" s="8">
        <f t="shared" si="6"/>
        <v>215</v>
      </c>
      <c r="P222" s="7">
        <v>-1.392728480640038</v>
      </c>
      <c r="Q222" s="7">
        <v>-0.57357643635104583</v>
      </c>
    </row>
    <row r="223" spans="11:17" x14ac:dyDescent="0.25">
      <c r="K223">
        <f t="shared" si="7"/>
        <v>216</v>
      </c>
      <c r="L223" s="7">
        <v>-0.80901699437494756</v>
      </c>
      <c r="M223" s="7">
        <v>-0.58778525229247303</v>
      </c>
      <c r="O223" s="8">
        <f t="shared" si="6"/>
        <v>216</v>
      </c>
      <c r="P223" s="7">
        <v>-1.3968022466674206</v>
      </c>
      <c r="Q223" s="7">
        <v>-0.58778525229247303</v>
      </c>
    </row>
    <row r="224" spans="11:17" x14ac:dyDescent="0.25">
      <c r="K224">
        <f t="shared" si="7"/>
        <v>217</v>
      </c>
      <c r="L224" s="7">
        <v>-0.79863551004729305</v>
      </c>
      <c r="M224" s="7">
        <v>-0.60181502315204805</v>
      </c>
      <c r="O224" s="8">
        <f t="shared" si="6"/>
        <v>217</v>
      </c>
      <c r="P224" s="7">
        <v>-1.4004505331993411</v>
      </c>
      <c r="Q224" s="7">
        <v>-0.60181502315204805</v>
      </c>
    </row>
    <row r="225" spans="11:17" x14ac:dyDescent="0.25">
      <c r="K225">
        <f t="shared" si="7"/>
        <v>218</v>
      </c>
      <c r="L225" s="7">
        <v>-0.78801075360672224</v>
      </c>
      <c r="M225" s="7">
        <v>-0.61566147532565785</v>
      </c>
      <c r="O225" s="8">
        <f t="shared" si="6"/>
        <v>218</v>
      </c>
      <c r="P225" s="7">
        <v>-1.40367222893238</v>
      </c>
      <c r="Q225" s="7">
        <v>-0.61566147532565785</v>
      </c>
    </row>
    <row r="226" spans="11:17" x14ac:dyDescent="0.25">
      <c r="K226">
        <f t="shared" si="7"/>
        <v>219</v>
      </c>
      <c r="L226" s="7">
        <v>-0.77714596145697079</v>
      </c>
      <c r="M226" s="7">
        <v>-0.62932039104983761</v>
      </c>
      <c r="O226" s="8">
        <f t="shared" si="6"/>
        <v>219</v>
      </c>
      <c r="P226" s="7">
        <v>-1.4064663525068084</v>
      </c>
      <c r="Q226" s="7">
        <v>-0.62932039104983761</v>
      </c>
    </row>
    <row r="227" spans="11:17" x14ac:dyDescent="0.25">
      <c r="K227">
        <f t="shared" si="7"/>
        <v>220</v>
      </c>
      <c r="L227" s="7">
        <v>-0.76604444311897801</v>
      </c>
      <c r="M227" s="7">
        <v>-0.64278760968653925</v>
      </c>
      <c r="O227" s="8">
        <f t="shared" si="6"/>
        <v>220</v>
      </c>
      <c r="P227" s="7">
        <v>-1.4088320528055172</v>
      </c>
      <c r="Q227" s="7">
        <v>-0.64278760968653925</v>
      </c>
    </row>
    <row r="228" spans="11:17" x14ac:dyDescent="0.25">
      <c r="K228">
        <f t="shared" si="7"/>
        <v>221</v>
      </c>
      <c r="L228" s="7">
        <v>-0.7547095802227719</v>
      </c>
      <c r="M228" s="7">
        <v>-0.65605902899050739</v>
      </c>
      <c r="O228" s="8">
        <f t="shared" si="6"/>
        <v>221</v>
      </c>
      <c r="P228" s="7">
        <v>-1.4107686092132794</v>
      </c>
      <c r="Q228" s="7">
        <v>-0.65605902899050739</v>
      </c>
    </row>
    <row r="229" spans="11:17" x14ac:dyDescent="0.25">
      <c r="K229">
        <f t="shared" si="7"/>
        <v>222</v>
      </c>
      <c r="L229" s="7">
        <v>-0.74314482547739424</v>
      </c>
      <c r="M229" s="7">
        <v>-0.66913060635885824</v>
      </c>
      <c r="O229" s="8">
        <f t="shared" si="6"/>
        <v>222</v>
      </c>
      <c r="P229" s="7">
        <v>-1.4122754318362525</v>
      </c>
      <c r="Q229" s="7">
        <v>-0.66913060635885824</v>
      </c>
    </row>
    <row r="230" spans="11:17" x14ac:dyDescent="0.25">
      <c r="K230">
        <f t="shared" si="7"/>
        <v>223</v>
      </c>
      <c r="L230" s="7">
        <v>-0.73135370161917057</v>
      </c>
      <c r="M230" s="7">
        <v>-0.68199836006249837</v>
      </c>
      <c r="O230" s="8">
        <f t="shared" si="6"/>
        <v>223</v>
      </c>
      <c r="P230" s="7">
        <v>-1.4133520616816688</v>
      </c>
      <c r="Q230" s="7">
        <v>-0.68199836006249837</v>
      </c>
    </row>
    <row r="231" spans="11:17" x14ac:dyDescent="0.25">
      <c r="K231">
        <f t="shared" si="7"/>
        <v>224</v>
      </c>
      <c r="L231" s="7">
        <v>-0.71933980033865108</v>
      </c>
      <c r="M231" s="7">
        <v>-0.69465837045899737</v>
      </c>
      <c r="O231" s="8">
        <f t="shared" si="6"/>
        <v>224</v>
      </c>
      <c r="P231" s="7">
        <v>-1.4139981707976483</v>
      </c>
      <c r="Q231" s="7">
        <v>-0.69465837045899737</v>
      </c>
    </row>
    <row r="232" spans="11:17" x14ac:dyDescent="0.25">
      <c r="K232">
        <f t="shared" si="7"/>
        <v>225</v>
      </c>
      <c r="L232" s="7">
        <v>-0.70710678118654768</v>
      </c>
      <c r="M232" s="7">
        <v>-0.70710678118654746</v>
      </c>
      <c r="O232" s="8">
        <f t="shared" si="6"/>
        <v>225</v>
      </c>
      <c r="P232" s="7">
        <v>-1.4142135623730951</v>
      </c>
      <c r="Q232" s="7">
        <v>-0.70710678118654746</v>
      </c>
    </row>
    <row r="233" spans="11:17" x14ac:dyDescent="0.25">
      <c r="K233">
        <f t="shared" si="7"/>
        <v>226</v>
      </c>
      <c r="L233" s="7">
        <v>-0.69465837045899759</v>
      </c>
      <c r="M233" s="7">
        <v>-0.71933980033865086</v>
      </c>
      <c r="O233" s="8">
        <f t="shared" si="6"/>
        <v>226</v>
      </c>
      <c r="P233" s="7">
        <v>-1.4139981707976483</v>
      </c>
      <c r="Q233" s="7">
        <v>-0.71933980033865086</v>
      </c>
    </row>
    <row r="234" spans="11:17" x14ac:dyDescent="0.25">
      <c r="K234">
        <f t="shared" si="7"/>
        <v>227</v>
      </c>
      <c r="L234" s="7">
        <v>-0.68199836006249892</v>
      </c>
      <c r="M234" s="7">
        <v>-0.73135370161917013</v>
      </c>
      <c r="O234" s="8">
        <f t="shared" si="6"/>
        <v>227</v>
      </c>
      <c r="P234" s="7">
        <v>-1.413352061681669</v>
      </c>
      <c r="Q234" s="7">
        <v>-0.73135370161917013</v>
      </c>
    </row>
    <row r="235" spans="11:17" x14ac:dyDescent="0.25">
      <c r="K235">
        <f t="shared" si="7"/>
        <v>228</v>
      </c>
      <c r="L235" s="7">
        <v>-0.66913060635885846</v>
      </c>
      <c r="M235" s="7">
        <v>-0.74314482547739402</v>
      </c>
      <c r="O235" s="8">
        <f t="shared" si="6"/>
        <v>228</v>
      </c>
      <c r="P235" s="7">
        <v>-1.4122754318362525</v>
      </c>
      <c r="Q235" s="7">
        <v>-0.74314482547739402</v>
      </c>
    </row>
    <row r="236" spans="11:17" x14ac:dyDescent="0.25">
      <c r="K236">
        <f t="shared" si="7"/>
        <v>229</v>
      </c>
      <c r="L236" s="7">
        <v>-0.65605902899050761</v>
      </c>
      <c r="M236" s="7">
        <v>-0.75470958022277168</v>
      </c>
      <c r="O236" s="8">
        <f t="shared" si="6"/>
        <v>229</v>
      </c>
      <c r="P236" s="7">
        <v>-1.4107686092132794</v>
      </c>
      <c r="Q236" s="7">
        <v>-0.75470958022277168</v>
      </c>
    </row>
    <row r="237" spans="11:17" x14ac:dyDescent="0.25">
      <c r="K237">
        <f t="shared" si="7"/>
        <v>230</v>
      </c>
      <c r="L237" s="7">
        <v>-0.64278760968653947</v>
      </c>
      <c r="M237" s="7">
        <v>-0.7660444431189779</v>
      </c>
      <c r="O237" s="8">
        <f t="shared" si="6"/>
        <v>230</v>
      </c>
      <c r="P237" s="7">
        <v>-1.4088320528055174</v>
      </c>
      <c r="Q237" s="7">
        <v>-0.7660444431189779</v>
      </c>
    </row>
    <row r="238" spans="11:17" x14ac:dyDescent="0.25">
      <c r="K238">
        <f t="shared" si="7"/>
        <v>231</v>
      </c>
      <c r="L238" s="7">
        <v>-0.62932039104983717</v>
      </c>
      <c r="M238" s="7">
        <v>-0.77714596145697112</v>
      </c>
      <c r="O238" s="8">
        <f t="shared" si="6"/>
        <v>231</v>
      </c>
      <c r="P238" s="7">
        <v>-1.4064663525068082</v>
      </c>
      <c r="Q238" s="7">
        <v>-0.77714596145697112</v>
      </c>
    </row>
    <row r="239" spans="11:17" x14ac:dyDescent="0.25">
      <c r="K239">
        <f t="shared" si="7"/>
        <v>232</v>
      </c>
      <c r="L239" s="7">
        <v>-0.61566147532565807</v>
      </c>
      <c r="M239" s="7">
        <v>-0.78801075360672213</v>
      </c>
      <c r="O239" s="8">
        <f t="shared" si="6"/>
        <v>232</v>
      </c>
      <c r="P239" s="7">
        <v>-1.4036722289323802</v>
      </c>
      <c r="Q239" s="7">
        <v>-0.78801075360672213</v>
      </c>
    </row>
    <row r="240" spans="11:17" x14ac:dyDescent="0.25">
      <c r="K240">
        <f t="shared" si="7"/>
        <v>233</v>
      </c>
      <c r="L240" s="7">
        <v>-0.60181502315204827</v>
      </c>
      <c r="M240" s="7">
        <v>-0.79863551004729283</v>
      </c>
      <c r="O240" s="8">
        <f t="shared" si="6"/>
        <v>233</v>
      </c>
      <c r="P240" s="7">
        <v>-1.4004505331993411</v>
      </c>
      <c r="Q240" s="7">
        <v>-0.79863551004729283</v>
      </c>
    </row>
    <row r="241" spans="11:17" x14ac:dyDescent="0.25">
      <c r="K241">
        <f t="shared" si="7"/>
        <v>234</v>
      </c>
      <c r="L241" s="7">
        <v>-0.58778525229247325</v>
      </c>
      <c r="M241" s="7">
        <v>-0.80901699437494734</v>
      </c>
      <c r="O241" s="8">
        <f t="shared" si="6"/>
        <v>234</v>
      </c>
      <c r="P241" s="7">
        <v>-1.3968022466674206</v>
      </c>
      <c r="Q241" s="7">
        <v>-0.80901699437494734</v>
      </c>
    </row>
    <row r="242" spans="11:17" x14ac:dyDescent="0.25">
      <c r="K242">
        <f t="shared" si="7"/>
        <v>235</v>
      </c>
      <c r="L242" s="7">
        <v>-0.57357643635104638</v>
      </c>
      <c r="M242" s="7">
        <v>-0.81915204428899158</v>
      </c>
      <c r="O242" s="8">
        <f t="shared" si="6"/>
        <v>235</v>
      </c>
      <c r="P242" s="7">
        <v>-1.392728480640038</v>
      </c>
      <c r="Q242" s="7">
        <v>-0.81915204428899158</v>
      </c>
    </row>
    <row r="243" spans="11:17" x14ac:dyDescent="0.25">
      <c r="K243">
        <f t="shared" si="7"/>
        <v>236</v>
      </c>
      <c r="L243" s="7">
        <v>-0.55919290347074724</v>
      </c>
      <c r="M243" s="7">
        <v>-0.8290375725550414</v>
      </c>
      <c r="O243" s="8">
        <f t="shared" si="6"/>
        <v>236</v>
      </c>
      <c r="P243" s="7">
        <v>-1.3882304760257886</v>
      </c>
      <c r="Q243" s="7">
        <v>-0.8290375725550414</v>
      </c>
    </row>
    <row r="244" spans="11:17" x14ac:dyDescent="0.25">
      <c r="K244">
        <f t="shared" si="7"/>
        <v>237</v>
      </c>
      <c r="L244" s="7">
        <v>-0.54463903501502697</v>
      </c>
      <c r="M244" s="7">
        <v>-0.83867056794542405</v>
      </c>
      <c r="O244" s="8">
        <f t="shared" si="6"/>
        <v>237</v>
      </c>
      <c r="P244" s="7">
        <v>-1.383309602960451</v>
      </c>
      <c r="Q244" s="7">
        <v>-0.83867056794542405</v>
      </c>
    </row>
    <row r="245" spans="11:17" x14ac:dyDescent="0.25">
      <c r="K245">
        <f t="shared" si="7"/>
        <v>238</v>
      </c>
      <c r="L245" s="7">
        <v>-0.52991926423320501</v>
      </c>
      <c r="M245" s="7">
        <v>-0.84804809615642596</v>
      </c>
      <c r="O245" s="8">
        <f t="shared" si="6"/>
        <v>238</v>
      </c>
      <c r="P245" s="7">
        <v>-1.377967360389631</v>
      </c>
      <c r="Q245" s="7">
        <v>-0.84804809615642596</v>
      </c>
    </row>
    <row r="246" spans="11:17" x14ac:dyDescent="0.25">
      <c r="K246">
        <f t="shared" si="7"/>
        <v>239</v>
      </c>
      <c r="L246" s="7">
        <v>-0.51503807491005449</v>
      </c>
      <c r="M246" s="7">
        <v>-0.85716730070211211</v>
      </c>
      <c r="O246" s="8">
        <f t="shared" si="6"/>
        <v>239</v>
      </c>
      <c r="P246" s="7">
        <v>-1.3722053756121666</v>
      </c>
      <c r="Q246" s="7">
        <v>-0.85716730070211211</v>
      </c>
    </row>
    <row r="247" spans="11:17" x14ac:dyDescent="0.25">
      <c r="K247">
        <f t="shared" si="7"/>
        <v>240</v>
      </c>
      <c r="L247" s="7">
        <v>-0.50000000000000044</v>
      </c>
      <c r="M247" s="7">
        <v>-0.86602540378443837</v>
      </c>
      <c r="O247" s="8">
        <f t="shared" si="6"/>
        <v>240</v>
      </c>
      <c r="P247" s="7">
        <v>-1.3660254037844388</v>
      </c>
      <c r="Q247" s="7">
        <v>-0.86602540378443837</v>
      </c>
    </row>
    <row r="248" spans="11:17" x14ac:dyDescent="0.25">
      <c r="K248">
        <f t="shared" si="7"/>
        <v>241</v>
      </c>
      <c r="L248" s="7">
        <v>-0.48480962024633684</v>
      </c>
      <c r="M248" s="7">
        <v>-0.87461970713939596</v>
      </c>
      <c r="O248" s="8">
        <f t="shared" si="6"/>
        <v>241</v>
      </c>
      <c r="P248" s="7">
        <v>-1.3594293273857327</v>
      </c>
      <c r="Q248" s="7">
        <v>-0.87461970713939596</v>
      </c>
    </row>
    <row r="249" spans="11:17" x14ac:dyDescent="0.25">
      <c r="K249">
        <f t="shared" si="7"/>
        <v>242</v>
      </c>
      <c r="L249" s="7">
        <v>-0.46947156278589075</v>
      </c>
      <c r="M249" s="7">
        <v>-0.88294759285892699</v>
      </c>
      <c r="O249" s="8">
        <f t="shared" si="6"/>
        <v>242</v>
      </c>
      <c r="P249" s="7">
        <v>-1.3524191556448177</v>
      </c>
      <c r="Q249" s="7">
        <v>-0.88294759285892699</v>
      </c>
    </row>
    <row r="250" spans="11:17" x14ac:dyDescent="0.25">
      <c r="K250">
        <f t="shared" si="7"/>
        <v>243</v>
      </c>
      <c r="L250" s="7">
        <v>-0.45399049973954692</v>
      </c>
      <c r="M250" s="7">
        <v>-0.89100652418836779</v>
      </c>
      <c r="O250" s="8">
        <f t="shared" si="6"/>
        <v>243</v>
      </c>
      <c r="P250" s="7">
        <v>-1.3449970239279148</v>
      </c>
      <c r="Q250" s="7">
        <v>-0.89100652418836779</v>
      </c>
    </row>
    <row r="251" spans="11:17" x14ac:dyDescent="0.25">
      <c r="K251">
        <f t="shared" si="7"/>
        <v>244</v>
      </c>
      <c r="L251" s="7">
        <v>-0.43837114678907774</v>
      </c>
      <c r="M251" s="7">
        <v>-0.89879404629916682</v>
      </c>
      <c r="O251" s="8">
        <f t="shared" si="6"/>
        <v>244</v>
      </c>
      <c r="P251" s="7">
        <v>-1.3371651930882447</v>
      </c>
      <c r="Q251" s="7">
        <v>-0.89879404629916682</v>
      </c>
    </row>
    <row r="252" spans="11:17" x14ac:dyDescent="0.25">
      <c r="K252">
        <f t="shared" si="7"/>
        <v>245</v>
      </c>
      <c r="L252" s="7">
        <v>-0.42261826174069994</v>
      </c>
      <c r="M252" s="7">
        <v>-0.90630778703664971</v>
      </c>
      <c r="O252" s="8">
        <f t="shared" si="6"/>
        <v>245</v>
      </c>
      <c r="P252" s="7">
        <v>-1.3289260487773498</v>
      </c>
      <c r="Q252" s="7">
        <v>-0.90630778703664971</v>
      </c>
    </row>
    <row r="253" spans="11:17" x14ac:dyDescent="0.25">
      <c r="K253">
        <f t="shared" si="7"/>
        <v>246</v>
      </c>
      <c r="L253" s="7">
        <v>-0.4067366430758001</v>
      </c>
      <c r="M253" s="7">
        <v>-0.91354545764260098</v>
      </c>
      <c r="O253" s="8">
        <f t="shared" si="6"/>
        <v>246</v>
      </c>
      <c r="P253" s="7">
        <v>-1.3202821007184011</v>
      </c>
      <c r="Q253" s="7">
        <v>-0.91354545764260098</v>
      </c>
    </row>
    <row r="254" spans="11:17" x14ac:dyDescent="0.25">
      <c r="K254">
        <f t="shared" si="7"/>
        <v>247</v>
      </c>
      <c r="L254" s="7">
        <v>-0.39073112848927383</v>
      </c>
      <c r="M254" s="7">
        <v>-0.92050485345244026</v>
      </c>
      <c r="O254" s="8">
        <f t="shared" si="6"/>
        <v>247</v>
      </c>
      <c r="P254" s="7">
        <v>-1.3112359819417141</v>
      </c>
      <c r="Q254" s="7">
        <v>-0.92050485345244026</v>
      </c>
    </row>
    <row r="255" spans="11:17" x14ac:dyDescent="0.25">
      <c r="K255">
        <f t="shared" si="7"/>
        <v>248</v>
      </c>
      <c r="L255" s="7">
        <v>-0.37460659341591229</v>
      </c>
      <c r="M255" s="7">
        <v>-0.92718385456678731</v>
      </c>
      <c r="O255" s="8">
        <f t="shared" si="6"/>
        <v>248</v>
      </c>
      <c r="P255" s="7">
        <v>-1.3017904479826996</v>
      </c>
      <c r="Q255" s="7">
        <v>-0.92718385456678731</v>
      </c>
    </row>
    <row r="256" spans="11:17" x14ac:dyDescent="0.25">
      <c r="K256">
        <f t="shared" si="7"/>
        <v>249</v>
      </c>
      <c r="L256" s="7">
        <v>-0.35836794954530071</v>
      </c>
      <c r="M256" s="7">
        <v>-0.93358042649720163</v>
      </c>
      <c r="O256" s="8">
        <f t="shared" si="6"/>
        <v>249</v>
      </c>
      <c r="P256" s="7">
        <v>-1.2919483760425023</v>
      </c>
      <c r="Q256" s="7">
        <v>-0.93358042649720163</v>
      </c>
    </row>
    <row r="257" spans="11:17" x14ac:dyDescent="0.25">
      <c r="K257">
        <f t="shared" si="7"/>
        <v>250</v>
      </c>
      <c r="L257" s="7">
        <v>-0.34202014332566938</v>
      </c>
      <c r="M257" s="7">
        <v>-0.93969262078590821</v>
      </c>
      <c r="O257" s="8">
        <f t="shared" si="6"/>
        <v>250</v>
      </c>
      <c r="P257" s="7">
        <v>-1.2817127641115775</v>
      </c>
      <c r="Q257" s="7">
        <v>-0.93969262078590821</v>
      </c>
    </row>
    <row r="258" spans="11:17" x14ac:dyDescent="0.25">
      <c r="K258">
        <f t="shared" si="7"/>
        <v>251</v>
      </c>
      <c r="L258" s="7">
        <v>-0.32556815445715664</v>
      </c>
      <c r="M258" s="7">
        <v>-0.94551857559931685</v>
      </c>
      <c r="O258" s="8">
        <f t="shared" si="6"/>
        <v>251</v>
      </c>
      <c r="P258" s="7">
        <v>-1.2710867300564734</v>
      </c>
      <c r="Q258" s="7">
        <v>-0.94551857559931685</v>
      </c>
    </row>
    <row r="259" spans="11:17" x14ac:dyDescent="0.25">
      <c r="K259">
        <f t="shared" si="7"/>
        <v>252</v>
      </c>
      <c r="L259" s="7">
        <v>-0.30901699437494756</v>
      </c>
      <c r="M259" s="7">
        <v>-0.95105651629515353</v>
      </c>
      <c r="O259" s="8">
        <f t="shared" si="6"/>
        <v>252</v>
      </c>
      <c r="P259" s="7">
        <v>-1.2600735106701011</v>
      </c>
      <c r="Q259" s="7">
        <v>-0.95105651629515353</v>
      </c>
    </row>
    <row r="260" spans="11:17" x14ac:dyDescent="0.25">
      <c r="K260">
        <f t="shared" si="7"/>
        <v>253</v>
      </c>
      <c r="L260" s="7">
        <v>-0.2923717047227371</v>
      </c>
      <c r="M260" s="7">
        <v>-0.95630475596303532</v>
      </c>
      <c r="O260" s="8">
        <f t="shared" si="6"/>
        <v>253</v>
      </c>
      <c r="P260" s="7">
        <v>-1.2486764606857723</v>
      </c>
      <c r="Q260" s="7">
        <v>-0.95630475596303532</v>
      </c>
    </row>
    <row r="261" spans="11:17" x14ac:dyDescent="0.25">
      <c r="K261">
        <f t="shared" si="7"/>
        <v>254</v>
      </c>
      <c r="L261" s="7">
        <v>-0.27563735581699889</v>
      </c>
      <c r="M261" s="7">
        <v>-0.96126169593831901</v>
      </c>
      <c r="O261" s="8">
        <f t="shared" si="6"/>
        <v>254</v>
      </c>
      <c r="P261" s="7">
        <v>-1.236899051755318</v>
      </c>
      <c r="Q261" s="7">
        <v>-0.96126169593831901</v>
      </c>
    </row>
    <row r="262" spans="11:17" x14ac:dyDescent="0.25">
      <c r="K262">
        <f t="shared" si="7"/>
        <v>255</v>
      </c>
      <c r="L262" s="7">
        <v>-0.25881904510252063</v>
      </c>
      <c r="M262" s="7">
        <v>-0.96592582628906831</v>
      </c>
      <c r="O262" s="8">
        <f t="shared" si="6"/>
        <v>255</v>
      </c>
      <c r="P262" s="7">
        <v>-1.2247448713915889</v>
      </c>
      <c r="Q262" s="7">
        <v>-0.96592582628906831</v>
      </c>
    </row>
    <row r="263" spans="11:17" x14ac:dyDescent="0.25">
      <c r="K263">
        <f t="shared" si="7"/>
        <v>256</v>
      </c>
      <c r="L263" s="7">
        <v>-0.24192189559966779</v>
      </c>
      <c r="M263" s="7">
        <v>-0.97029572627599647</v>
      </c>
      <c r="O263" s="8">
        <f t="shared" ref="O263:O326" si="8">K263</f>
        <v>256</v>
      </c>
      <c r="P263" s="7">
        <v>-1.2122176218756642</v>
      </c>
      <c r="Q263" s="7">
        <v>-0.97029572627599647</v>
      </c>
    </row>
    <row r="264" spans="11:17" x14ac:dyDescent="0.25">
      <c r="K264">
        <f t="shared" ref="K264:K327" si="9">K263+1</f>
        <v>257</v>
      </c>
      <c r="L264" s="7">
        <v>-0.22495105434386525</v>
      </c>
      <c r="M264" s="7">
        <v>-0.97437006478523513</v>
      </c>
      <c r="O264" s="8">
        <f t="shared" si="8"/>
        <v>257</v>
      </c>
      <c r="P264" s="7">
        <v>-1.1993211191291004</v>
      </c>
      <c r="Q264" s="7">
        <v>-0.97437006478523513</v>
      </c>
    </row>
    <row r="265" spans="11:17" x14ac:dyDescent="0.25">
      <c r="K265">
        <f t="shared" si="9"/>
        <v>258</v>
      </c>
      <c r="L265" s="7">
        <v>-0.20791169081775979</v>
      </c>
      <c r="M265" s="7">
        <v>-0.97814760073380558</v>
      </c>
      <c r="O265" s="8">
        <f t="shared" si="8"/>
        <v>258</v>
      </c>
      <c r="P265" s="7">
        <v>-1.1860592915515653</v>
      </c>
      <c r="Q265" s="7">
        <v>-0.97814760073380558</v>
      </c>
    </row>
    <row r="266" spans="11:17" x14ac:dyDescent="0.25">
      <c r="K266">
        <f t="shared" si="9"/>
        <v>259</v>
      </c>
      <c r="L266" s="7">
        <v>-0.19080899537654547</v>
      </c>
      <c r="M266" s="7">
        <v>-0.98162718344766386</v>
      </c>
      <c r="O266" s="8">
        <f t="shared" si="8"/>
        <v>259</v>
      </c>
      <c r="P266" s="7">
        <v>-1.1724361788242093</v>
      </c>
      <c r="Q266" s="7">
        <v>-0.98162718344766386</v>
      </c>
    </row>
    <row r="267" spans="11:17" x14ac:dyDescent="0.25">
      <c r="K267">
        <f t="shared" si="9"/>
        <v>260</v>
      </c>
      <c r="L267" s="7">
        <v>-0.17364817766693033</v>
      </c>
      <c r="M267" s="7">
        <v>-0.98480775301220802</v>
      </c>
      <c r="O267" s="8">
        <f t="shared" si="8"/>
        <v>260</v>
      </c>
      <c r="P267" s="7">
        <v>-1.1584559306791384</v>
      </c>
      <c r="Q267" s="7">
        <v>-0.98480775301220802</v>
      </c>
    </row>
    <row r="268" spans="11:17" x14ac:dyDescent="0.25">
      <c r="K268">
        <f t="shared" si="9"/>
        <v>261</v>
      </c>
      <c r="L268" s="7">
        <v>-0.15643446504023104</v>
      </c>
      <c r="M268" s="7">
        <v>-0.98768834059513766</v>
      </c>
      <c r="O268" s="8">
        <f t="shared" si="8"/>
        <v>261</v>
      </c>
      <c r="P268" s="7">
        <v>-1.1441228056353687</v>
      </c>
      <c r="Q268" s="7">
        <v>-0.98768834059513766</v>
      </c>
    </row>
    <row r="269" spans="11:17" x14ac:dyDescent="0.25">
      <c r="K269">
        <f t="shared" si="9"/>
        <v>262</v>
      </c>
      <c r="L269" s="7">
        <v>-0.13917310096006494</v>
      </c>
      <c r="M269" s="7">
        <v>-0.99026806874157036</v>
      </c>
      <c r="O269" s="8">
        <f t="shared" si="8"/>
        <v>262</v>
      </c>
      <c r="P269" s="7">
        <v>-1.1294411697016353</v>
      </c>
      <c r="Q269" s="7">
        <v>-0.99026806874157036</v>
      </c>
    </row>
    <row r="270" spans="11:17" x14ac:dyDescent="0.25">
      <c r="K270">
        <f t="shared" si="9"/>
        <v>263</v>
      </c>
      <c r="L270" s="7">
        <v>-0.12186934340514717</v>
      </c>
      <c r="M270" s="7">
        <v>-0.99254615164132209</v>
      </c>
      <c r="O270" s="8">
        <f t="shared" si="8"/>
        <v>263</v>
      </c>
      <c r="P270" s="7">
        <v>-1.1144154950464693</v>
      </c>
      <c r="Q270" s="7">
        <v>-0.99254615164132209</v>
      </c>
    </row>
    <row r="271" spans="11:17" x14ac:dyDescent="0.25">
      <c r="K271">
        <f t="shared" si="9"/>
        <v>264</v>
      </c>
      <c r="L271" s="7">
        <v>-0.10452846326765336</v>
      </c>
      <c r="M271" s="7">
        <v>-0.9945218953682734</v>
      </c>
      <c r="O271" s="8">
        <f t="shared" si="8"/>
        <v>264</v>
      </c>
      <c r="P271" s="7">
        <v>-1.0990503586359268</v>
      </c>
      <c r="Q271" s="7">
        <v>-0.9945218953682734</v>
      </c>
    </row>
    <row r="272" spans="11:17" x14ac:dyDescent="0.25">
      <c r="K272">
        <f t="shared" si="9"/>
        <v>265</v>
      </c>
      <c r="L272" s="7">
        <v>-8.7155742747658249E-2</v>
      </c>
      <c r="M272" s="7">
        <v>-0.99619469809174555</v>
      </c>
      <c r="O272" s="8">
        <f t="shared" si="8"/>
        <v>265</v>
      </c>
      <c r="P272" s="7">
        <v>-1.0833504408394039</v>
      </c>
      <c r="Q272" s="7">
        <v>-0.99619469809174555</v>
      </c>
    </row>
    <row r="273" spans="11:17" x14ac:dyDescent="0.25">
      <c r="K273">
        <f t="shared" si="9"/>
        <v>266</v>
      </c>
      <c r="L273" s="7">
        <v>-6.975647374412558E-2</v>
      </c>
      <c r="M273" s="7">
        <v>-0.9975640502598242</v>
      </c>
      <c r="O273" s="8">
        <f t="shared" si="8"/>
        <v>266</v>
      </c>
      <c r="P273" s="7">
        <v>-1.0673205240039498</v>
      </c>
      <c r="Q273" s="7">
        <v>-0.9975640502598242</v>
      </c>
    </row>
    <row r="274" spans="11:17" x14ac:dyDescent="0.25">
      <c r="K274">
        <f t="shared" si="9"/>
        <v>267</v>
      </c>
      <c r="L274" s="7">
        <v>-5.2335956242944306E-2</v>
      </c>
      <c r="M274" s="7">
        <v>-0.99862953475457383</v>
      </c>
      <c r="O274" s="8">
        <f t="shared" si="8"/>
        <v>267</v>
      </c>
      <c r="P274" s="7">
        <v>-1.0509654909975181</v>
      </c>
      <c r="Q274" s="7">
        <v>-0.99862953475457383</v>
      </c>
    </row>
    <row r="275" spans="11:17" x14ac:dyDescent="0.25">
      <c r="K275">
        <f t="shared" si="9"/>
        <v>268</v>
      </c>
      <c r="L275" s="7">
        <v>-3.4899496702501649E-2</v>
      </c>
      <c r="M275" s="7">
        <v>-0.99939082701909565</v>
      </c>
      <c r="O275" s="8">
        <f t="shared" si="8"/>
        <v>268</v>
      </c>
      <c r="P275" s="7">
        <v>-1.0342903237215972</v>
      </c>
      <c r="Q275" s="7">
        <v>-0.99939082701909565</v>
      </c>
    </row>
    <row r="276" spans="11:17" x14ac:dyDescent="0.25">
      <c r="K276">
        <f t="shared" si="9"/>
        <v>269</v>
      </c>
      <c r="L276" s="7">
        <v>-1.7452406437283498E-2</v>
      </c>
      <c r="M276" s="7">
        <v>-0.99984769515639127</v>
      </c>
      <c r="O276" s="8">
        <f t="shared" si="8"/>
        <v>269</v>
      </c>
      <c r="P276" s="7">
        <v>-1.0173001015936747</v>
      </c>
      <c r="Q276" s="7">
        <v>-0.99984769515639127</v>
      </c>
    </row>
    <row r="277" spans="11:17" x14ac:dyDescent="0.25">
      <c r="K277">
        <f t="shared" si="9"/>
        <v>270</v>
      </c>
      <c r="L277" s="7">
        <v>-1.83772268236293E-16</v>
      </c>
      <c r="M277" s="7">
        <v>-1</v>
      </c>
      <c r="O277" s="8">
        <f t="shared" si="8"/>
        <v>270</v>
      </c>
      <c r="P277" s="7">
        <v>-1.0000000000000002</v>
      </c>
      <c r="Q277" s="7">
        <v>-1</v>
      </c>
    </row>
    <row r="278" spans="11:17" x14ac:dyDescent="0.25">
      <c r="K278">
        <f t="shared" si="9"/>
        <v>271</v>
      </c>
      <c r="L278" s="7">
        <v>1.745240643728313E-2</v>
      </c>
      <c r="M278" s="7">
        <v>-0.99984769515639127</v>
      </c>
      <c r="O278" s="8">
        <f t="shared" si="8"/>
        <v>271</v>
      </c>
      <c r="P278" s="7">
        <v>-0.98239528871910808</v>
      </c>
      <c r="Q278" s="7">
        <v>-0.99984769515639127</v>
      </c>
    </row>
    <row r="279" spans="11:17" x14ac:dyDescent="0.25">
      <c r="K279">
        <f t="shared" si="9"/>
        <v>272</v>
      </c>
      <c r="L279" s="7">
        <v>3.4899496702501281E-2</v>
      </c>
      <c r="M279" s="7">
        <v>-0.99939082701909576</v>
      </c>
      <c r="O279" s="8">
        <f t="shared" si="8"/>
        <v>272</v>
      </c>
      <c r="P279" s="7">
        <v>-0.96449133031659451</v>
      </c>
      <c r="Q279" s="7">
        <v>-0.99939082701909576</v>
      </c>
    </row>
    <row r="280" spans="11:17" x14ac:dyDescent="0.25">
      <c r="K280">
        <f t="shared" si="9"/>
        <v>273</v>
      </c>
      <c r="L280" s="7">
        <v>5.2335956242943946E-2</v>
      </c>
      <c r="M280" s="7">
        <v>-0.99862953475457383</v>
      </c>
      <c r="O280" s="8">
        <f t="shared" si="8"/>
        <v>273</v>
      </c>
      <c r="P280" s="7">
        <v>-0.94629357851162987</v>
      </c>
      <c r="Q280" s="7">
        <v>-0.99862953475457383</v>
      </c>
    </row>
    <row r="281" spans="11:17" x14ac:dyDescent="0.25">
      <c r="K281">
        <f t="shared" si="9"/>
        <v>274</v>
      </c>
      <c r="L281" s="7">
        <v>6.9756473744125219E-2</v>
      </c>
      <c r="M281" s="7">
        <v>-0.99756405025982431</v>
      </c>
      <c r="O281" s="8">
        <f t="shared" si="8"/>
        <v>274</v>
      </c>
      <c r="P281" s="7">
        <v>-0.92780757651569912</v>
      </c>
      <c r="Q281" s="7">
        <v>-0.99756405025982431</v>
      </c>
    </row>
    <row r="282" spans="11:17" x14ac:dyDescent="0.25">
      <c r="K282">
        <f t="shared" si="9"/>
        <v>275</v>
      </c>
      <c r="L282" s="7">
        <v>8.7155742747657888E-2</v>
      </c>
      <c r="M282" s="7">
        <v>-0.99619469809174555</v>
      </c>
      <c r="O282" s="8">
        <f t="shared" si="8"/>
        <v>275</v>
      </c>
      <c r="P282" s="7">
        <v>-0.90903895534408763</v>
      </c>
      <c r="Q282" s="7">
        <v>-0.99619469809174555</v>
      </c>
    </row>
    <row r="283" spans="11:17" x14ac:dyDescent="0.25">
      <c r="K283">
        <f t="shared" si="9"/>
        <v>276</v>
      </c>
      <c r="L283" s="7">
        <v>0.10452846326765299</v>
      </c>
      <c r="M283" s="7">
        <v>-0.9945218953682734</v>
      </c>
      <c r="O283" s="8">
        <f t="shared" si="8"/>
        <v>276</v>
      </c>
      <c r="P283" s="7">
        <v>-0.88999343210062043</v>
      </c>
      <c r="Q283" s="7">
        <v>-0.9945218953682734</v>
      </c>
    </row>
    <row r="284" spans="11:17" x14ac:dyDescent="0.25">
      <c r="K284">
        <f t="shared" si="9"/>
        <v>277</v>
      </c>
      <c r="L284" s="7">
        <v>0.12186934340514768</v>
      </c>
      <c r="M284" s="7">
        <v>-0.99254615164132198</v>
      </c>
      <c r="O284" s="8">
        <f t="shared" si="8"/>
        <v>277</v>
      </c>
      <c r="P284" s="7">
        <v>-0.87067680823617433</v>
      </c>
      <c r="Q284" s="7">
        <v>-0.99254615164132198</v>
      </c>
    </row>
    <row r="285" spans="11:17" x14ac:dyDescent="0.25">
      <c r="K285">
        <f t="shared" si="9"/>
        <v>278</v>
      </c>
      <c r="L285" s="7">
        <v>0.13917310096006547</v>
      </c>
      <c r="M285" s="7">
        <v>-0.99026806874157036</v>
      </c>
      <c r="O285" s="8">
        <f t="shared" si="8"/>
        <v>278</v>
      </c>
      <c r="P285" s="7">
        <v>-0.85109496778150495</v>
      </c>
      <c r="Q285" s="7">
        <v>-0.99026806874157036</v>
      </c>
    </row>
    <row r="286" spans="11:17" x14ac:dyDescent="0.25">
      <c r="K286">
        <f t="shared" si="9"/>
        <v>279</v>
      </c>
      <c r="L286" s="7">
        <v>0.15643446504023067</v>
      </c>
      <c r="M286" s="7">
        <v>-0.98768834059513777</v>
      </c>
      <c r="O286" s="8">
        <f t="shared" si="8"/>
        <v>279</v>
      </c>
      <c r="P286" s="7">
        <v>-0.83125387555490704</v>
      </c>
      <c r="Q286" s="7">
        <v>-0.98768834059513777</v>
      </c>
    </row>
    <row r="287" spans="11:17" x14ac:dyDescent="0.25">
      <c r="K287">
        <f t="shared" si="9"/>
        <v>280</v>
      </c>
      <c r="L287" s="7">
        <v>0.17364817766692997</v>
      </c>
      <c r="M287" s="7">
        <v>-0.98480775301220813</v>
      </c>
      <c r="O287" s="8">
        <f t="shared" si="8"/>
        <v>280</v>
      </c>
      <c r="P287" s="7">
        <v>-0.81115957534527816</v>
      </c>
      <c r="Q287" s="7">
        <v>-0.98480775301220813</v>
      </c>
    </row>
    <row r="288" spans="11:17" x14ac:dyDescent="0.25">
      <c r="K288">
        <f t="shared" si="9"/>
        <v>281</v>
      </c>
      <c r="L288" s="7">
        <v>0.19080899537654425</v>
      </c>
      <c r="M288" s="7">
        <v>-0.98162718344766409</v>
      </c>
      <c r="O288" s="8">
        <f t="shared" si="8"/>
        <v>281</v>
      </c>
      <c r="P288" s="7">
        <v>-0.79081818807111981</v>
      </c>
      <c r="Q288" s="7">
        <v>-0.98162718344766409</v>
      </c>
    </row>
    <row r="289" spans="11:17" x14ac:dyDescent="0.25">
      <c r="K289">
        <f t="shared" si="9"/>
        <v>282</v>
      </c>
      <c r="L289" s="7">
        <v>0.20791169081775857</v>
      </c>
      <c r="M289" s="7">
        <v>-0.9781476007338058</v>
      </c>
      <c r="O289" s="8">
        <f t="shared" si="8"/>
        <v>282</v>
      </c>
      <c r="P289" s="7">
        <v>-0.77023590991604718</v>
      </c>
      <c r="Q289" s="7">
        <v>-0.9781476007338058</v>
      </c>
    </row>
    <row r="290" spans="11:17" x14ac:dyDescent="0.25">
      <c r="K290">
        <f t="shared" si="9"/>
        <v>283</v>
      </c>
      <c r="L290" s="7">
        <v>0.22495105434386492</v>
      </c>
      <c r="M290" s="7">
        <v>-0.97437006478523525</v>
      </c>
      <c r="O290" s="8">
        <f t="shared" si="8"/>
        <v>283</v>
      </c>
      <c r="P290" s="7">
        <v>-0.74941901044137027</v>
      </c>
      <c r="Q290" s="7">
        <v>-0.97437006478523525</v>
      </c>
    </row>
    <row r="291" spans="11:17" x14ac:dyDescent="0.25">
      <c r="K291">
        <f t="shared" si="9"/>
        <v>284</v>
      </c>
      <c r="L291" s="7">
        <v>0.24192189559966745</v>
      </c>
      <c r="M291" s="7">
        <v>-0.97029572627599658</v>
      </c>
      <c r="O291" s="8">
        <f t="shared" si="8"/>
        <v>284</v>
      </c>
      <c r="P291" s="7">
        <v>-0.7283738306763291</v>
      </c>
      <c r="Q291" s="7">
        <v>-0.97029572627599658</v>
      </c>
    </row>
    <row r="292" spans="11:17" x14ac:dyDescent="0.25">
      <c r="K292">
        <f t="shared" si="9"/>
        <v>285</v>
      </c>
      <c r="L292" s="7">
        <v>0.25881904510252113</v>
      </c>
      <c r="M292" s="7">
        <v>-0.9659258262890682</v>
      </c>
      <c r="O292" s="8">
        <f t="shared" si="8"/>
        <v>285</v>
      </c>
      <c r="P292" s="7">
        <v>-0.70710678118654702</v>
      </c>
      <c r="Q292" s="7">
        <v>-0.9659258262890682</v>
      </c>
    </row>
    <row r="293" spans="11:17" x14ac:dyDescent="0.25">
      <c r="K293">
        <f t="shared" si="9"/>
        <v>286</v>
      </c>
      <c r="L293" s="7">
        <v>0.27563735581699939</v>
      </c>
      <c r="M293" s="7">
        <v>-0.96126169593831878</v>
      </c>
      <c r="O293" s="8">
        <f t="shared" si="8"/>
        <v>286</v>
      </c>
      <c r="P293" s="7">
        <v>-0.68562434012131934</v>
      </c>
      <c r="Q293" s="7">
        <v>-0.96126169593831878</v>
      </c>
    </row>
    <row r="294" spans="11:17" x14ac:dyDescent="0.25">
      <c r="K294">
        <f t="shared" si="9"/>
        <v>287</v>
      </c>
      <c r="L294" s="7">
        <v>0.29237170472273671</v>
      </c>
      <c r="M294" s="7">
        <v>-0.95630475596303544</v>
      </c>
      <c r="O294" s="8">
        <f t="shared" si="8"/>
        <v>287</v>
      </c>
      <c r="P294" s="7">
        <v>-0.66393305124029878</v>
      </c>
      <c r="Q294" s="7">
        <v>-0.95630475596303544</v>
      </c>
    </row>
    <row r="295" spans="11:17" x14ac:dyDescent="0.25">
      <c r="K295">
        <f t="shared" si="9"/>
        <v>288</v>
      </c>
      <c r="L295" s="7">
        <v>0.30901699437494723</v>
      </c>
      <c r="M295" s="7">
        <v>-0.95105651629515364</v>
      </c>
      <c r="O295" s="8">
        <f t="shared" si="8"/>
        <v>288</v>
      </c>
      <c r="P295" s="7">
        <v>-0.64203952192020641</v>
      </c>
      <c r="Q295" s="7">
        <v>-0.95105651629515364</v>
      </c>
    </row>
    <row r="296" spans="11:17" x14ac:dyDescent="0.25">
      <c r="K296">
        <f t="shared" si="9"/>
        <v>289</v>
      </c>
      <c r="L296" s="7">
        <v>0.32556815445715631</v>
      </c>
      <c r="M296" s="7">
        <v>-0.94551857559931696</v>
      </c>
      <c r="O296" s="8">
        <f t="shared" si="8"/>
        <v>289</v>
      </c>
      <c r="P296" s="7">
        <v>-0.6199504211421607</v>
      </c>
      <c r="Q296" s="7">
        <v>-0.94551857559931696</v>
      </c>
    </row>
    <row r="297" spans="11:17" x14ac:dyDescent="0.25">
      <c r="K297">
        <f t="shared" si="9"/>
        <v>290</v>
      </c>
      <c r="L297" s="7">
        <v>0.34202014332566816</v>
      </c>
      <c r="M297" s="7">
        <v>-0.93969262078590854</v>
      </c>
      <c r="O297" s="8">
        <f t="shared" si="8"/>
        <v>290</v>
      </c>
      <c r="P297" s="7">
        <v>-0.59767247746024044</v>
      </c>
      <c r="Q297" s="7">
        <v>-0.93969262078590854</v>
      </c>
    </row>
    <row r="298" spans="11:17" x14ac:dyDescent="0.25">
      <c r="K298">
        <f t="shared" si="9"/>
        <v>291</v>
      </c>
      <c r="L298" s="7">
        <v>0.35836794954529955</v>
      </c>
      <c r="M298" s="7">
        <v>-0.93358042649720208</v>
      </c>
      <c r="O298" s="8">
        <f t="shared" si="8"/>
        <v>291</v>
      </c>
      <c r="P298" s="7">
        <v>-0.57521247695190247</v>
      </c>
      <c r="Q298" s="7">
        <v>-0.93358042649720208</v>
      </c>
    </row>
    <row r="299" spans="11:17" x14ac:dyDescent="0.25">
      <c r="K299">
        <f t="shared" si="9"/>
        <v>292</v>
      </c>
      <c r="L299" s="7">
        <v>0.37460659341591196</v>
      </c>
      <c r="M299" s="7">
        <v>-0.92718385456678742</v>
      </c>
      <c r="O299" s="8">
        <f t="shared" si="8"/>
        <v>292</v>
      </c>
      <c r="P299" s="7">
        <v>-0.55257726115087547</v>
      </c>
      <c r="Q299" s="7">
        <v>-0.92718385456678742</v>
      </c>
    </row>
    <row r="300" spans="11:17" x14ac:dyDescent="0.25">
      <c r="K300">
        <f t="shared" si="9"/>
        <v>293</v>
      </c>
      <c r="L300" s="7">
        <v>0.39073112848927349</v>
      </c>
      <c r="M300" s="7">
        <v>-0.92050485345244049</v>
      </c>
      <c r="O300" s="8">
        <f t="shared" si="8"/>
        <v>293</v>
      </c>
      <c r="P300" s="7">
        <v>-0.52977372496316699</v>
      </c>
      <c r="Q300" s="7">
        <v>-0.92050485345244049</v>
      </c>
    </row>
    <row r="301" spans="11:17" x14ac:dyDescent="0.25">
      <c r="K301">
        <f t="shared" si="9"/>
        <v>294</v>
      </c>
      <c r="L301" s="7">
        <v>0.40673664307580054</v>
      </c>
      <c r="M301" s="7">
        <v>-0.91354545764260076</v>
      </c>
      <c r="O301" s="8">
        <f t="shared" si="8"/>
        <v>294</v>
      </c>
      <c r="P301" s="7">
        <v>-0.50680881456680016</v>
      </c>
      <c r="Q301" s="7">
        <v>-0.91354545764260076</v>
      </c>
    </row>
    <row r="302" spans="11:17" x14ac:dyDescent="0.25">
      <c r="K302">
        <f t="shared" si="9"/>
        <v>295</v>
      </c>
      <c r="L302" s="7">
        <v>0.42261826174069961</v>
      </c>
      <c r="M302" s="7">
        <v>-0.90630778703664994</v>
      </c>
      <c r="O302" s="8">
        <f t="shared" si="8"/>
        <v>295</v>
      </c>
      <c r="P302" s="7">
        <v>-0.48368952529595033</v>
      </c>
      <c r="Q302" s="7">
        <v>-0.90630778703664994</v>
      </c>
    </row>
    <row r="303" spans="11:17" x14ac:dyDescent="0.25">
      <c r="K303">
        <f t="shared" si="9"/>
        <v>296</v>
      </c>
      <c r="L303" s="7">
        <v>0.4383711467890774</v>
      </c>
      <c r="M303" s="7">
        <v>-0.89879404629916704</v>
      </c>
      <c r="O303" s="8">
        <f t="shared" si="8"/>
        <v>296</v>
      </c>
      <c r="P303" s="7">
        <v>-0.46042289951008963</v>
      </c>
      <c r="Q303" s="7">
        <v>-0.89879404629916704</v>
      </c>
    </row>
    <row r="304" spans="11:17" x14ac:dyDescent="0.25">
      <c r="K304">
        <f t="shared" si="9"/>
        <v>297</v>
      </c>
      <c r="L304" s="7">
        <v>0.45399049973954664</v>
      </c>
      <c r="M304" s="7">
        <v>-0.8910065241883679</v>
      </c>
      <c r="O304" s="8">
        <f t="shared" si="8"/>
        <v>297</v>
      </c>
      <c r="P304" s="7">
        <v>-0.43701602444882126</v>
      </c>
      <c r="Q304" s="7">
        <v>-0.8910065241883679</v>
      </c>
    </row>
    <row r="305" spans="11:17" x14ac:dyDescent="0.25">
      <c r="K305">
        <f t="shared" si="9"/>
        <v>298</v>
      </c>
      <c r="L305" s="7">
        <v>0.46947156278589042</v>
      </c>
      <c r="M305" s="7">
        <v>-0.8829475928589271</v>
      </c>
      <c r="O305" s="8">
        <f t="shared" si="8"/>
        <v>298</v>
      </c>
      <c r="P305" s="7">
        <v>-0.41347603007303668</v>
      </c>
      <c r="Q305" s="7">
        <v>-0.8829475928589271</v>
      </c>
    </row>
    <row r="306" spans="11:17" x14ac:dyDescent="0.25">
      <c r="K306">
        <f t="shared" si="9"/>
        <v>299</v>
      </c>
      <c r="L306" s="7">
        <v>0.4848096202463365</v>
      </c>
      <c r="M306" s="7">
        <v>-0.87461970713939607</v>
      </c>
      <c r="O306" s="8">
        <f t="shared" si="8"/>
        <v>299</v>
      </c>
      <c r="P306" s="7">
        <v>-0.38981008689305957</v>
      </c>
      <c r="Q306" s="7">
        <v>-0.87461970713939607</v>
      </c>
    </row>
    <row r="307" spans="11:17" x14ac:dyDescent="0.25">
      <c r="K307">
        <f t="shared" si="9"/>
        <v>300</v>
      </c>
      <c r="L307" s="7">
        <v>0.50000000000000011</v>
      </c>
      <c r="M307" s="7">
        <v>-0.8660254037844386</v>
      </c>
      <c r="O307" s="8">
        <f t="shared" si="8"/>
        <v>300</v>
      </c>
      <c r="P307" s="7">
        <v>-0.36602540378443849</v>
      </c>
      <c r="Q307" s="7">
        <v>-0.8660254037844386</v>
      </c>
    </row>
    <row r="308" spans="11:17" x14ac:dyDescent="0.25">
      <c r="K308">
        <f t="shared" si="9"/>
        <v>301</v>
      </c>
      <c r="L308" s="7">
        <v>0.51503807491005416</v>
      </c>
      <c r="M308" s="7">
        <v>-0.85716730070211233</v>
      </c>
      <c r="O308" s="8">
        <f t="shared" si="8"/>
        <v>301</v>
      </c>
      <c r="P308" s="7">
        <v>-0.34212922579205818</v>
      </c>
      <c r="Q308" s="7">
        <v>-0.85716730070211233</v>
      </c>
    </row>
    <row r="309" spans="11:17" x14ac:dyDescent="0.25">
      <c r="K309">
        <f t="shared" si="9"/>
        <v>302</v>
      </c>
      <c r="L309" s="7">
        <v>0.52991926423320468</v>
      </c>
      <c r="M309" s="7">
        <v>-0.84804809615642618</v>
      </c>
      <c r="O309" s="8">
        <f t="shared" si="8"/>
        <v>302</v>
      </c>
      <c r="P309" s="7">
        <v>-0.3181288319232215</v>
      </c>
      <c r="Q309" s="7">
        <v>-0.84804809615642618</v>
      </c>
    </row>
    <row r="310" spans="11:17" x14ac:dyDescent="0.25">
      <c r="K310">
        <f t="shared" si="9"/>
        <v>303</v>
      </c>
      <c r="L310" s="7">
        <v>0.54463903501502664</v>
      </c>
      <c r="M310" s="7">
        <v>-0.83867056794542427</v>
      </c>
      <c r="O310" s="8">
        <f t="shared" si="8"/>
        <v>303</v>
      </c>
      <c r="P310" s="7">
        <v>-0.29403153293039763</v>
      </c>
      <c r="Q310" s="7">
        <v>-0.83867056794542427</v>
      </c>
    </row>
    <row r="311" spans="11:17" x14ac:dyDescent="0.25">
      <c r="K311">
        <f t="shared" si="9"/>
        <v>304</v>
      </c>
      <c r="L311" s="7">
        <v>0.55919290347074624</v>
      </c>
      <c r="M311" s="7">
        <v>-0.82903757255504207</v>
      </c>
      <c r="O311" s="8">
        <f t="shared" si="8"/>
        <v>304</v>
      </c>
      <c r="P311" s="7">
        <v>-0.26984466908429583</v>
      </c>
      <c r="Q311" s="7">
        <v>-0.82903757255504207</v>
      </c>
    </row>
    <row r="312" spans="11:17" x14ac:dyDescent="0.25">
      <c r="K312">
        <f t="shared" si="9"/>
        <v>305</v>
      </c>
      <c r="L312" s="7">
        <v>0.57357643635104605</v>
      </c>
      <c r="M312" s="7">
        <v>-0.8191520442889918</v>
      </c>
      <c r="O312" s="8">
        <f t="shared" si="8"/>
        <v>305</v>
      </c>
      <c r="P312" s="7">
        <v>-0.24557560793794575</v>
      </c>
      <c r="Q312" s="7">
        <v>-0.8191520442889918</v>
      </c>
    </row>
    <row r="313" spans="11:17" x14ac:dyDescent="0.25">
      <c r="K313">
        <f t="shared" si="9"/>
        <v>306</v>
      </c>
      <c r="L313" s="7">
        <v>0.58778525229247292</v>
      </c>
      <c r="M313" s="7">
        <v>-0.80901699437494756</v>
      </c>
      <c r="O313" s="8">
        <f t="shared" si="8"/>
        <v>306</v>
      </c>
      <c r="P313" s="7">
        <v>-0.22123174208247465</v>
      </c>
      <c r="Q313" s="7">
        <v>-0.80901699437494756</v>
      </c>
    </row>
    <row r="314" spans="11:17" x14ac:dyDescent="0.25">
      <c r="K314">
        <f t="shared" si="9"/>
        <v>307</v>
      </c>
      <c r="L314" s="7">
        <v>0.60181502315204793</v>
      </c>
      <c r="M314" s="7">
        <v>-0.79863551004729305</v>
      </c>
      <c r="O314" s="8">
        <f t="shared" si="8"/>
        <v>307</v>
      </c>
      <c r="P314" s="7">
        <v>-0.19682048689524512</v>
      </c>
      <c r="Q314" s="7">
        <v>-0.79863551004729305</v>
      </c>
    </row>
    <row r="315" spans="11:17" x14ac:dyDescent="0.25">
      <c r="K315">
        <f t="shared" si="9"/>
        <v>308</v>
      </c>
      <c r="L315" s="7">
        <v>0.61566147532565851</v>
      </c>
      <c r="M315" s="7">
        <v>-0.78801075360672179</v>
      </c>
      <c r="O315" s="8">
        <f t="shared" si="8"/>
        <v>308</v>
      </c>
      <c r="P315" s="7">
        <v>-0.17234927828106328</v>
      </c>
      <c r="Q315" s="7">
        <v>-0.78801075360672179</v>
      </c>
    </row>
    <row r="316" spans="11:17" x14ac:dyDescent="0.25">
      <c r="K316">
        <f t="shared" si="9"/>
        <v>309</v>
      </c>
      <c r="L316" s="7">
        <v>0.6293203910498375</v>
      </c>
      <c r="M316" s="7">
        <v>-0.77714596145697079</v>
      </c>
      <c r="O316" s="8">
        <f t="shared" si="8"/>
        <v>309</v>
      </c>
      <c r="P316" s="7">
        <v>-0.14782557040713329</v>
      </c>
      <c r="Q316" s="7">
        <v>-0.77714596145697079</v>
      </c>
    </row>
    <row r="317" spans="11:17" x14ac:dyDescent="0.25">
      <c r="K317">
        <f t="shared" si="9"/>
        <v>310</v>
      </c>
      <c r="L317" s="7">
        <v>0.64278760968653925</v>
      </c>
      <c r="M317" s="7">
        <v>-0.76604444311897812</v>
      </c>
      <c r="O317" s="8">
        <f t="shared" si="8"/>
        <v>310</v>
      </c>
      <c r="P317" s="7">
        <v>-0.12325683343243887</v>
      </c>
      <c r="Q317" s="7">
        <v>-0.76604444311897812</v>
      </c>
    </row>
    <row r="318" spans="11:17" x14ac:dyDescent="0.25">
      <c r="K318">
        <f t="shared" si="9"/>
        <v>311</v>
      </c>
      <c r="L318" s="7">
        <v>0.65605902899050705</v>
      </c>
      <c r="M318" s="7">
        <v>-0.75470958022277224</v>
      </c>
      <c r="O318" s="8">
        <f t="shared" si="8"/>
        <v>311</v>
      </c>
      <c r="P318" s="7">
        <v>-9.8650551232265182E-2</v>
      </c>
      <c r="Q318" s="7">
        <v>-0.75470958022277224</v>
      </c>
    </row>
    <row r="319" spans="11:17" x14ac:dyDescent="0.25">
      <c r="K319">
        <f t="shared" si="9"/>
        <v>312</v>
      </c>
      <c r="L319" s="7">
        <v>0.66913060635885779</v>
      </c>
      <c r="M319" s="7">
        <v>-0.74314482547739458</v>
      </c>
      <c r="O319" s="8">
        <f t="shared" si="8"/>
        <v>312</v>
      </c>
      <c r="P319" s="7">
        <v>-7.4014219118536784E-2</v>
      </c>
      <c r="Q319" s="7">
        <v>-0.74314482547739458</v>
      </c>
    </row>
    <row r="320" spans="11:17" x14ac:dyDescent="0.25">
      <c r="K320">
        <f t="shared" si="9"/>
        <v>313</v>
      </c>
      <c r="L320" s="7">
        <v>0.68199836006249803</v>
      </c>
      <c r="M320" s="7">
        <v>-0.73135370161917101</v>
      </c>
      <c r="O320" s="8">
        <f t="shared" si="8"/>
        <v>313</v>
      </c>
      <c r="P320" s="7">
        <v>-4.9355341556672983E-2</v>
      </c>
      <c r="Q320" s="7">
        <v>-0.73135370161917101</v>
      </c>
    </row>
    <row r="321" spans="11:17" x14ac:dyDescent="0.25">
      <c r="K321">
        <f t="shared" si="9"/>
        <v>314</v>
      </c>
      <c r="L321" s="7">
        <v>0.69465837045899659</v>
      </c>
      <c r="M321" s="7">
        <v>-0.71933980033865175</v>
      </c>
      <c r="O321" s="8">
        <f t="shared" si="8"/>
        <v>314</v>
      </c>
      <c r="P321" s="7">
        <v>-2.4681429879655159E-2</v>
      </c>
      <c r="Q321" s="7">
        <v>-0.71933980033865175</v>
      </c>
    </row>
    <row r="322" spans="11:17" x14ac:dyDescent="0.25">
      <c r="K322">
        <f t="shared" si="9"/>
        <v>315</v>
      </c>
      <c r="L322" s="7">
        <v>0.70710678118654735</v>
      </c>
      <c r="M322" s="7">
        <v>-0.70710678118654768</v>
      </c>
      <c r="O322" s="8">
        <f t="shared" si="8"/>
        <v>315</v>
      </c>
      <c r="P322" s="7">
        <v>-3.3306690738754696E-16</v>
      </c>
      <c r="Q322" s="7">
        <v>-0.70710678118654768</v>
      </c>
    </row>
    <row r="323" spans="11:17" x14ac:dyDescent="0.25">
      <c r="K323">
        <f t="shared" si="9"/>
        <v>316</v>
      </c>
      <c r="L323" s="7">
        <v>0.71933980033865086</v>
      </c>
      <c r="M323" s="7">
        <v>-0.69465837045899759</v>
      </c>
      <c r="O323" s="8">
        <f t="shared" si="8"/>
        <v>316</v>
      </c>
      <c r="P323" s="7">
        <v>2.4681429879653272E-2</v>
      </c>
      <c r="Q323" s="7">
        <v>-0.69465837045899759</v>
      </c>
    </row>
    <row r="324" spans="11:17" x14ac:dyDescent="0.25">
      <c r="K324">
        <f t="shared" si="9"/>
        <v>317</v>
      </c>
      <c r="L324" s="7">
        <v>0.73135370161917068</v>
      </c>
      <c r="M324" s="7">
        <v>-0.68199836006249825</v>
      </c>
      <c r="O324" s="8">
        <f t="shared" si="8"/>
        <v>317</v>
      </c>
      <c r="P324" s="7">
        <v>4.9355341556672427E-2</v>
      </c>
      <c r="Q324" s="7">
        <v>-0.68199836006249825</v>
      </c>
    </row>
    <row r="325" spans="11:17" x14ac:dyDescent="0.25">
      <c r="K325">
        <f t="shared" si="9"/>
        <v>318</v>
      </c>
      <c r="L325" s="7">
        <v>0.74314482547739424</v>
      </c>
      <c r="M325" s="7">
        <v>-0.66913060635885813</v>
      </c>
      <c r="O325" s="8">
        <f t="shared" si="8"/>
        <v>318</v>
      </c>
      <c r="P325" s="7">
        <v>7.4014219118536118E-2</v>
      </c>
      <c r="Q325" s="7">
        <v>-0.66913060635885813</v>
      </c>
    </row>
    <row r="326" spans="11:17" x14ac:dyDescent="0.25">
      <c r="K326">
        <f t="shared" si="9"/>
        <v>319</v>
      </c>
      <c r="L326" s="7">
        <v>0.7547095802227719</v>
      </c>
      <c r="M326" s="7">
        <v>-0.65605902899050739</v>
      </c>
      <c r="O326" s="8">
        <f t="shared" si="8"/>
        <v>319</v>
      </c>
      <c r="P326" s="7">
        <v>9.8650551232264516E-2</v>
      </c>
      <c r="Q326" s="7">
        <v>-0.65605902899050739</v>
      </c>
    </row>
    <row r="327" spans="11:17" x14ac:dyDescent="0.25">
      <c r="K327">
        <f t="shared" si="9"/>
        <v>320</v>
      </c>
      <c r="L327" s="7">
        <v>0.76604444311897779</v>
      </c>
      <c r="M327" s="7">
        <v>-0.64278760968653958</v>
      </c>
      <c r="O327" s="8">
        <f t="shared" ref="O327:O367" si="10">K327</f>
        <v>320</v>
      </c>
      <c r="P327" s="7">
        <v>0.12325683343243821</v>
      </c>
      <c r="Q327" s="7">
        <v>-0.64278760968653958</v>
      </c>
    </row>
    <row r="328" spans="11:17" x14ac:dyDescent="0.25">
      <c r="K328">
        <f t="shared" ref="K328:K367" si="11">K327+1</f>
        <v>321</v>
      </c>
      <c r="L328" s="7">
        <v>0.77714596145697057</v>
      </c>
      <c r="M328" s="7">
        <v>-0.62932039104983784</v>
      </c>
      <c r="O328" s="8">
        <f t="shared" si="10"/>
        <v>321</v>
      </c>
      <c r="P328" s="7">
        <v>0.14782557040713273</v>
      </c>
      <c r="Q328" s="7">
        <v>-0.62932039104983784</v>
      </c>
    </row>
    <row r="329" spans="11:17" x14ac:dyDescent="0.25">
      <c r="K329">
        <f t="shared" si="11"/>
        <v>322</v>
      </c>
      <c r="L329" s="7">
        <v>0.78801075360672157</v>
      </c>
      <c r="M329" s="7">
        <v>-0.61566147532565885</v>
      </c>
      <c r="O329" s="8">
        <f t="shared" si="10"/>
        <v>322</v>
      </c>
      <c r="P329" s="7">
        <v>0.17234927828106272</v>
      </c>
      <c r="Q329" s="7">
        <v>-0.61566147532565885</v>
      </c>
    </row>
    <row r="330" spans="11:17" x14ac:dyDescent="0.25">
      <c r="K330">
        <f t="shared" si="11"/>
        <v>323</v>
      </c>
      <c r="L330" s="7">
        <v>0.79863551004729283</v>
      </c>
      <c r="M330" s="7">
        <v>-0.60181502315204827</v>
      </c>
      <c r="O330" s="8">
        <f t="shared" si="10"/>
        <v>323</v>
      </c>
      <c r="P330" s="7">
        <v>0.19682048689524456</v>
      </c>
      <c r="Q330" s="7">
        <v>-0.60181502315204827</v>
      </c>
    </row>
    <row r="331" spans="11:17" x14ac:dyDescent="0.25">
      <c r="K331">
        <f t="shared" si="11"/>
        <v>324</v>
      </c>
      <c r="L331" s="7">
        <v>0.80901699437494734</v>
      </c>
      <c r="M331" s="7">
        <v>-0.58778525229247336</v>
      </c>
      <c r="O331" s="8">
        <f t="shared" si="10"/>
        <v>324</v>
      </c>
      <c r="P331" s="7">
        <v>0.22123174208247398</v>
      </c>
      <c r="Q331" s="7">
        <v>-0.58778525229247336</v>
      </c>
    </row>
    <row r="332" spans="11:17" x14ac:dyDescent="0.25">
      <c r="K332">
        <f t="shared" si="11"/>
        <v>325</v>
      </c>
      <c r="L332" s="7">
        <v>0.81915204428899158</v>
      </c>
      <c r="M332" s="7">
        <v>-0.57357643635104649</v>
      </c>
      <c r="O332" s="8">
        <f t="shared" si="10"/>
        <v>325</v>
      </c>
      <c r="P332" s="7">
        <v>0.24557560793794508</v>
      </c>
      <c r="Q332" s="7">
        <v>-0.57357643635104649</v>
      </c>
    </row>
    <row r="333" spans="11:17" x14ac:dyDescent="0.25">
      <c r="K333">
        <f t="shared" si="11"/>
        <v>326</v>
      </c>
      <c r="L333" s="7">
        <v>0.8290375725550414</v>
      </c>
      <c r="M333" s="7">
        <v>-0.55919290347074735</v>
      </c>
      <c r="O333" s="8">
        <f t="shared" si="10"/>
        <v>326</v>
      </c>
      <c r="P333" s="7">
        <v>0.26984466908429405</v>
      </c>
      <c r="Q333" s="7">
        <v>-0.55919290347074735</v>
      </c>
    </row>
    <row r="334" spans="11:17" x14ac:dyDescent="0.25">
      <c r="K334">
        <f t="shared" si="11"/>
        <v>327</v>
      </c>
      <c r="L334" s="7">
        <v>0.83867056794542405</v>
      </c>
      <c r="M334" s="7">
        <v>-0.54463903501502697</v>
      </c>
      <c r="O334" s="8">
        <f t="shared" si="10"/>
        <v>327</v>
      </c>
      <c r="P334" s="7">
        <v>0.29403153293039708</v>
      </c>
      <c r="Q334" s="7">
        <v>-0.54463903501502697</v>
      </c>
    </row>
    <row r="335" spans="11:17" x14ac:dyDescent="0.25">
      <c r="K335">
        <f t="shared" si="11"/>
        <v>328</v>
      </c>
      <c r="L335" s="7">
        <v>0.8480480961564254</v>
      </c>
      <c r="M335" s="7">
        <v>-0.52991926423320579</v>
      </c>
      <c r="O335" s="8">
        <f t="shared" si="10"/>
        <v>328</v>
      </c>
      <c r="P335" s="7">
        <v>0.31812883192321961</v>
      </c>
      <c r="Q335" s="7">
        <v>-0.52991926423320579</v>
      </c>
    </row>
    <row r="336" spans="11:17" x14ac:dyDescent="0.25">
      <c r="K336">
        <f t="shared" si="11"/>
        <v>329</v>
      </c>
      <c r="L336" s="7">
        <v>0.85716730070211211</v>
      </c>
      <c r="M336" s="7">
        <v>-0.51503807491005449</v>
      </c>
      <c r="O336" s="8">
        <f t="shared" si="10"/>
        <v>329</v>
      </c>
      <c r="P336" s="7">
        <v>0.34212922579205762</v>
      </c>
      <c r="Q336" s="7">
        <v>-0.51503807491005449</v>
      </c>
    </row>
    <row r="337" spans="11:17" x14ac:dyDescent="0.25">
      <c r="K337">
        <f t="shared" si="11"/>
        <v>330</v>
      </c>
      <c r="L337" s="7">
        <v>0.86602540378443837</v>
      </c>
      <c r="M337" s="7">
        <v>-0.50000000000000044</v>
      </c>
      <c r="O337" s="8">
        <f t="shared" si="10"/>
        <v>330</v>
      </c>
      <c r="P337" s="7">
        <v>0.36602540378443793</v>
      </c>
      <c r="Q337" s="7">
        <v>-0.50000000000000044</v>
      </c>
    </row>
    <row r="338" spans="11:17" x14ac:dyDescent="0.25">
      <c r="K338">
        <f t="shared" si="11"/>
        <v>331</v>
      </c>
      <c r="L338" s="7">
        <v>0.87461970713939585</v>
      </c>
      <c r="M338" s="7">
        <v>-0.48480962024633689</v>
      </c>
      <c r="O338" s="8">
        <f t="shared" si="10"/>
        <v>331</v>
      </c>
      <c r="P338" s="7">
        <v>0.38981008689305896</v>
      </c>
      <c r="Q338" s="7">
        <v>-0.48480962024633689</v>
      </c>
    </row>
    <row r="339" spans="11:17" x14ac:dyDescent="0.25">
      <c r="K339">
        <f t="shared" si="11"/>
        <v>332</v>
      </c>
      <c r="L339" s="7">
        <v>0.88294759285892688</v>
      </c>
      <c r="M339" s="7">
        <v>-0.46947156278589081</v>
      </c>
      <c r="O339" s="8">
        <f t="shared" si="10"/>
        <v>332</v>
      </c>
      <c r="P339" s="7">
        <v>0.41347603007303607</v>
      </c>
      <c r="Q339" s="7">
        <v>-0.46947156278589081</v>
      </c>
    </row>
    <row r="340" spans="11:17" x14ac:dyDescent="0.25">
      <c r="K340">
        <f t="shared" si="11"/>
        <v>333</v>
      </c>
      <c r="L340" s="7">
        <v>0.89100652418836779</v>
      </c>
      <c r="M340" s="7">
        <v>-0.45399049973954697</v>
      </c>
      <c r="O340" s="8">
        <f t="shared" si="10"/>
        <v>333</v>
      </c>
      <c r="P340" s="7">
        <v>0.43701602444882082</v>
      </c>
      <c r="Q340" s="7">
        <v>-0.45399049973954697</v>
      </c>
    </row>
    <row r="341" spans="11:17" x14ac:dyDescent="0.25">
      <c r="K341">
        <f t="shared" si="11"/>
        <v>334</v>
      </c>
      <c r="L341" s="7">
        <v>0.89879404629916715</v>
      </c>
      <c r="M341" s="7">
        <v>-0.43837114678907702</v>
      </c>
      <c r="O341" s="8">
        <f t="shared" si="10"/>
        <v>334</v>
      </c>
      <c r="P341" s="7">
        <v>0.46042289951009013</v>
      </c>
      <c r="Q341" s="7">
        <v>-0.43837114678907702</v>
      </c>
    </row>
    <row r="342" spans="11:17" x14ac:dyDescent="0.25">
      <c r="K342">
        <f t="shared" si="11"/>
        <v>335</v>
      </c>
      <c r="L342" s="7">
        <v>0.90630778703664971</v>
      </c>
      <c r="M342" s="7">
        <v>-0.4226182617407</v>
      </c>
      <c r="O342" s="8">
        <f t="shared" si="10"/>
        <v>335</v>
      </c>
      <c r="P342" s="7">
        <v>0.48368952529594972</v>
      </c>
      <c r="Q342" s="7">
        <v>-0.4226182617407</v>
      </c>
    </row>
    <row r="343" spans="11:17" x14ac:dyDescent="0.25">
      <c r="K343">
        <f t="shared" si="11"/>
        <v>336</v>
      </c>
      <c r="L343" s="7">
        <v>0.91354545764260098</v>
      </c>
      <c r="M343" s="7">
        <v>-0.40673664307580015</v>
      </c>
      <c r="O343" s="8">
        <f t="shared" si="10"/>
        <v>336</v>
      </c>
      <c r="P343" s="7">
        <v>0.50680881456680082</v>
      </c>
      <c r="Q343" s="7">
        <v>-0.40673664307580015</v>
      </c>
    </row>
    <row r="344" spans="11:17" x14ac:dyDescent="0.25">
      <c r="K344">
        <f t="shared" si="11"/>
        <v>337</v>
      </c>
      <c r="L344" s="7">
        <v>0.92050485345243993</v>
      </c>
      <c r="M344" s="7">
        <v>-0.39073112848927471</v>
      </c>
      <c r="O344" s="8">
        <f t="shared" si="10"/>
        <v>337</v>
      </c>
      <c r="P344" s="7">
        <v>0.52977372496316522</v>
      </c>
      <c r="Q344" s="7">
        <v>-0.39073112848927471</v>
      </c>
    </row>
    <row r="345" spans="11:17" x14ac:dyDescent="0.25">
      <c r="K345">
        <f t="shared" si="11"/>
        <v>338</v>
      </c>
      <c r="L345" s="7">
        <v>0.92718385456678731</v>
      </c>
      <c r="M345" s="7">
        <v>-0.37460659341591235</v>
      </c>
      <c r="O345" s="8">
        <f t="shared" si="10"/>
        <v>338</v>
      </c>
      <c r="P345" s="7">
        <v>0.55257726115087502</v>
      </c>
      <c r="Q345" s="7">
        <v>-0.37460659341591235</v>
      </c>
    </row>
    <row r="346" spans="11:17" x14ac:dyDescent="0.25">
      <c r="K346">
        <f t="shared" si="11"/>
        <v>339</v>
      </c>
      <c r="L346" s="7">
        <v>0.93358042649720152</v>
      </c>
      <c r="M346" s="7">
        <v>-0.35836794954530077</v>
      </c>
      <c r="O346" s="8">
        <f t="shared" si="10"/>
        <v>339</v>
      </c>
      <c r="P346" s="7">
        <v>0.5752124769519007</v>
      </c>
      <c r="Q346" s="7">
        <v>-0.35836794954530077</v>
      </c>
    </row>
    <row r="347" spans="11:17" x14ac:dyDescent="0.25">
      <c r="K347">
        <f t="shared" si="11"/>
        <v>340</v>
      </c>
      <c r="L347" s="7">
        <v>0.93969262078590843</v>
      </c>
      <c r="M347" s="7">
        <v>-0.3420201433256686</v>
      </c>
      <c r="O347" s="8">
        <f t="shared" si="10"/>
        <v>340</v>
      </c>
      <c r="P347" s="7">
        <v>0.59767247746023977</v>
      </c>
      <c r="Q347" s="7">
        <v>-0.3420201433256686</v>
      </c>
    </row>
    <row r="348" spans="11:17" x14ac:dyDescent="0.25">
      <c r="K348">
        <f t="shared" si="11"/>
        <v>341</v>
      </c>
      <c r="L348" s="7">
        <v>0.94551857559931651</v>
      </c>
      <c r="M348" s="7">
        <v>-0.32556815445715753</v>
      </c>
      <c r="O348" s="8">
        <f t="shared" si="10"/>
        <v>341</v>
      </c>
      <c r="P348" s="7">
        <v>0.61995042114215893</v>
      </c>
      <c r="Q348" s="7">
        <v>-0.32556815445715753</v>
      </c>
    </row>
    <row r="349" spans="11:17" x14ac:dyDescent="0.25">
      <c r="K349">
        <f t="shared" si="11"/>
        <v>342</v>
      </c>
      <c r="L349" s="7">
        <v>0.95105651629515353</v>
      </c>
      <c r="M349" s="7">
        <v>-0.30901699437494762</v>
      </c>
      <c r="O349" s="8">
        <f t="shared" si="10"/>
        <v>342</v>
      </c>
      <c r="P349" s="7">
        <v>0.64203952192020597</v>
      </c>
      <c r="Q349" s="7">
        <v>-0.30901699437494762</v>
      </c>
    </row>
    <row r="350" spans="11:17" x14ac:dyDescent="0.25">
      <c r="K350">
        <f t="shared" si="11"/>
        <v>343</v>
      </c>
      <c r="L350" s="7">
        <v>0.95630475596303566</v>
      </c>
      <c r="M350" s="7">
        <v>-0.29237170472273627</v>
      </c>
      <c r="O350" s="8">
        <f t="shared" si="10"/>
        <v>343</v>
      </c>
      <c r="P350" s="7">
        <v>0.66393305124029944</v>
      </c>
      <c r="Q350" s="7">
        <v>-0.29237170472273627</v>
      </c>
    </row>
    <row r="351" spans="11:17" x14ac:dyDescent="0.25">
      <c r="K351">
        <f t="shared" si="11"/>
        <v>344</v>
      </c>
      <c r="L351" s="7">
        <v>0.96126169593831867</v>
      </c>
      <c r="M351" s="7">
        <v>-0.27563735581699977</v>
      </c>
      <c r="O351" s="8">
        <f t="shared" si="10"/>
        <v>344</v>
      </c>
      <c r="P351" s="7">
        <v>0.6856243401213189</v>
      </c>
      <c r="Q351" s="7">
        <v>-0.27563735581699977</v>
      </c>
    </row>
    <row r="352" spans="11:17" x14ac:dyDescent="0.25">
      <c r="K352">
        <f t="shared" si="11"/>
        <v>345</v>
      </c>
      <c r="L352" s="7">
        <v>0.96592582628906831</v>
      </c>
      <c r="M352" s="7">
        <v>-0.25881904510252068</v>
      </c>
      <c r="O352" s="8">
        <f t="shared" si="10"/>
        <v>345</v>
      </c>
      <c r="P352" s="7">
        <v>0.70710678118654768</v>
      </c>
      <c r="Q352" s="7">
        <v>-0.25881904510252068</v>
      </c>
    </row>
    <row r="353" spans="11:17" x14ac:dyDescent="0.25">
      <c r="K353">
        <f t="shared" si="11"/>
        <v>346</v>
      </c>
      <c r="L353" s="7">
        <v>0.97029572627599647</v>
      </c>
      <c r="M353" s="7">
        <v>-0.24192189559966787</v>
      </c>
      <c r="O353" s="8">
        <f t="shared" si="10"/>
        <v>346</v>
      </c>
      <c r="P353" s="7">
        <v>0.72837383067632855</v>
      </c>
      <c r="Q353" s="7">
        <v>-0.24192189559966787</v>
      </c>
    </row>
    <row r="354" spans="11:17" x14ac:dyDescent="0.25">
      <c r="K354">
        <f t="shared" si="11"/>
        <v>347</v>
      </c>
      <c r="L354" s="7">
        <v>0.97437006478523513</v>
      </c>
      <c r="M354" s="7">
        <v>-0.22495105434386534</v>
      </c>
      <c r="O354" s="8">
        <f t="shared" si="10"/>
        <v>347</v>
      </c>
      <c r="P354" s="7">
        <v>0.74941901044136983</v>
      </c>
      <c r="Q354" s="7">
        <v>-0.22495105434386534</v>
      </c>
    </row>
    <row r="355" spans="11:17" x14ac:dyDescent="0.25">
      <c r="K355">
        <f t="shared" si="11"/>
        <v>348</v>
      </c>
      <c r="L355" s="7">
        <v>0.97814760073380558</v>
      </c>
      <c r="M355" s="7">
        <v>-0.20791169081775987</v>
      </c>
      <c r="O355" s="8">
        <f t="shared" si="10"/>
        <v>348</v>
      </c>
      <c r="P355" s="7">
        <v>0.77023590991604574</v>
      </c>
      <c r="Q355" s="7">
        <v>-0.20791169081775987</v>
      </c>
    </row>
    <row r="356" spans="11:17" x14ac:dyDescent="0.25">
      <c r="K356">
        <f t="shared" si="11"/>
        <v>349</v>
      </c>
      <c r="L356" s="7">
        <v>0.98162718344766398</v>
      </c>
      <c r="M356" s="7">
        <v>-0.19080899537654467</v>
      </c>
      <c r="O356" s="8">
        <f t="shared" si="10"/>
        <v>349</v>
      </c>
      <c r="P356" s="7">
        <v>0.79081818807111937</v>
      </c>
      <c r="Q356" s="7">
        <v>-0.19080899537654467</v>
      </c>
    </row>
    <row r="357" spans="11:17" x14ac:dyDescent="0.25">
      <c r="K357">
        <f t="shared" si="11"/>
        <v>350</v>
      </c>
      <c r="L357" s="7">
        <v>0.98480775301220791</v>
      </c>
      <c r="M357" s="7">
        <v>-0.17364817766693127</v>
      </c>
      <c r="O357" s="8">
        <f t="shared" si="10"/>
        <v>350</v>
      </c>
      <c r="P357" s="7">
        <v>0.81115957534527661</v>
      </c>
      <c r="Q357" s="7">
        <v>-0.17364817766693127</v>
      </c>
    </row>
    <row r="358" spans="11:17" x14ac:dyDescent="0.25">
      <c r="K358">
        <f t="shared" si="11"/>
        <v>351</v>
      </c>
      <c r="L358" s="7">
        <v>0.98768834059513766</v>
      </c>
      <c r="M358" s="7">
        <v>-0.15643446504023112</v>
      </c>
      <c r="O358" s="8">
        <f t="shared" si="10"/>
        <v>351</v>
      </c>
      <c r="P358" s="7">
        <v>0.8312538755549066</v>
      </c>
      <c r="Q358" s="7">
        <v>-0.15643446504023112</v>
      </c>
    </row>
    <row r="359" spans="11:17" x14ac:dyDescent="0.25">
      <c r="K359">
        <f t="shared" si="11"/>
        <v>352</v>
      </c>
      <c r="L359" s="7">
        <v>0.99026806874157025</v>
      </c>
      <c r="M359" s="7">
        <v>-0.13917310096006588</v>
      </c>
      <c r="O359" s="8">
        <f t="shared" si="10"/>
        <v>352</v>
      </c>
      <c r="P359" s="7">
        <v>0.8510949677815044</v>
      </c>
      <c r="Q359" s="7">
        <v>-0.13917310096006588</v>
      </c>
    </row>
    <row r="360" spans="11:17" x14ac:dyDescent="0.25">
      <c r="K360">
        <f t="shared" si="11"/>
        <v>353</v>
      </c>
      <c r="L360" s="7">
        <v>0.99254615164132198</v>
      </c>
      <c r="M360" s="7">
        <v>-0.12186934340514811</v>
      </c>
      <c r="O360" s="8">
        <f t="shared" si="10"/>
        <v>353</v>
      </c>
      <c r="P360" s="7">
        <v>0.87067680823617388</v>
      </c>
      <c r="Q360" s="7">
        <v>-0.12186934340514811</v>
      </c>
    </row>
    <row r="361" spans="11:17" x14ac:dyDescent="0.25">
      <c r="K361">
        <f t="shared" si="11"/>
        <v>354</v>
      </c>
      <c r="L361" s="7">
        <v>0.99452189536827329</v>
      </c>
      <c r="M361" s="7">
        <v>-0.10452846326765342</v>
      </c>
      <c r="O361" s="8">
        <f t="shared" si="10"/>
        <v>354</v>
      </c>
      <c r="P361" s="7">
        <v>0.88999343210061987</v>
      </c>
      <c r="Q361" s="7">
        <v>-0.10452846326765342</v>
      </c>
    </row>
    <row r="362" spans="11:17" x14ac:dyDescent="0.25">
      <c r="K362">
        <f t="shared" si="11"/>
        <v>355</v>
      </c>
      <c r="L362" s="7">
        <v>0.99619469809174555</v>
      </c>
      <c r="M362" s="7">
        <v>-8.7155742747658319E-2</v>
      </c>
      <c r="O362" s="8">
        <f t="shared" si="10"/>
        <v>355</v>
      </c>
      <c r="P362" s="7">
        <v>0.90903895534408719</v>
      </c>
      <c r="Q362" s="7">
        <v>-8.7155742747658319E-2</v>
      </c>
    </row>
    <row r="363" spans="11:17" x14ac:dyDescent="0.25">
      <c r="K363">
        <f t="shared" si="11"/>
        <v>356</v>
      </c>
      <c r="L363" s="7">
        <v>0.99756405025982431</v>
      </c>
      <c r="M363" s="7">
        <v>-6.9756473744124761E-2</v>
      </c>
      <c r="O363" s="8">
        <f t="shared" si="10"/>
        <v>356</v>
      </c>
      <c r="P363" s="7">
        <v>0.92780757651569956</v>
      </c>
      <c r="Q363" s="7">
        <v>-6.9756473744124761E-2</v>
      </c>
    </row>
    <row r="364" spans="11:17" x14ac:dyDescent="0.25">
      <c r="K364">
        <f t="shared" si="11"/>
        <v>357</v>
      </c>
      <c r="L364" s="7">
        <v>0.99862953475457383</v>
      </c>
      <c r="M364" s="7">
        <v>-5.2335956242944369E-2</v>
      </c>
      <c r="O364" s="8">
        <f t="shared" si="10"/>
        <v>357</v>
      </c>
      <c r="P364" s="7">
        <v>0.94629357851162943</v>
      </c>
      <c r="Q364" s="7">
        <v>-5.2335956242944369E-2</v>
      </c>
    </row>
    <row r="365" spans="11:17" x14ac:dyDescent="0.25">
      <c r="K365">
        <f t="shared" si="11"/>
        <v>358</v>
      </c>
      <c r="L365" s="7">
        <v>0.99939082701909576</v>
      </c>
      <c r="M365" s="7">
        <v>-3.4899496702500823E-2</v>
      </c>
      <c r="O365" s="8">
        <f t="shared" si="10"/>
        <v>358</v>
      </c>
      <c r="P365" s="7">
        <v>0.96449133031659495</v>
      </c>
      <c r="Q365" s="7">
        <v>-3.4899496702500823E-2</v>
      </c>
    </row>
    <row r="366" spans="11:17" x14ac:dyDescent="0.25">
      <c r="K366">
        <f t="shared" si="11"/>
        <v>359</v>
      </c>
      <c r="L366" s="7">
        <v>0.99984769515639127</v>
      </c>
      <c r="M366" s="7">
        <v>-1.7452406437284448E-2</v>
      </c>
      <c r="O366" s="8">
        <f t="shared" si="10"/>
        <v>359</v>
      </c>
      <c r="P366" s="7">
        <v>0.98239528871910686</v>
      </c>
      <c r="Q366" s="7">
        <v>-1.7452406437284448E-2</v>
      </c>
    </row>
    <row r="367" spans="11:17" x14ac:dyDescent="0.25">
      <c r="K367">
        <f t="shared" si="11"/>
        <v>360</v>
      </c>
      <c r="L367" s="7">
        <v>1</v>
      </c>
      <c r="M367" s="7">
        <v>-2.45029690981724E-16</v>
      </c>
      <c r="O367" s="8">
        <f t="shared" si="10"/>
        <v>360</v>
      </c>
      <c r="P367" s="7">
        <v>0.99999999999999978</v>
      </c>
      <c r="Q367" s="7">
        <v>-2.45029690981724E-16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Scroll Bar 1">
              <controlPr defaultSize="0" autoPict="0">
                <anchor moveWithCells="1">
                  <from>
                    <xdr:col>1</xdr:col>
                    <xdr:colOff>0</xdr:colOff>
                    <xdr:row>1</xdr:row>
                    <xdr:rowOff>114300</xdr:rowOff>
                  </from>
                  <to>
                    <xdr:col>7</xdr:col>
                    <xdr:colOff>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6"/>
  <dimension ref="B4:J16"/>
  <sheetViews>
    <sheetView zoomScale="190" zoomScaleNormal="190" workbookViewId="0">
      <selection activeCell="G7" sqref="G7"/>
    </sheetView>
  </sheetViews>
  <sheetFormatPr defaultRowHeight="15" x14ac:dyDescent="0.25"/>
  <cols>
    <col min="1" max="1" width="2.7109375" customWidth="1"/>
  </cols>
  <sheetData>
    <row r="4" spans="2:10" x14ac:dyDescent="0.25">
      <c r="C4" s="6" t="s">
        <v>0</v>
      </c>
      <c r="F4" s="6" t="s">
        <v>8</v>
      </c>
      <c r="H4" s="6" t="s">
        <v>9</v>
      </c>
    </row>
    <row r="5" spans="2:10" x14ac:dyDescent="0.25">
      <c r="B5" s="22">
        <v>3.556</v>
      </c>
      <c r="C5" s="23">
        <v>-1.778</v>
      </c>
      <c r="D5" s="24">
        <v>0</v>
      </c>
      <c r="F5" s="28">
        <v>-0.70710678118654757</v>
      </c>
      <c r="H5" s="21">
        <f t="array" ref="H5:H7">MMULT(B5:D7,F5:F7)</f>
        <v>-4.2924717138993636</v>
      </c>
    </row>
    <row r="6" spans="2:10" x14ac:dyDescent="0.25">
      <c r="B6" s="22">
        <v>-1.778</v>
      </c>
      <c r="C6" s="23">
        <v>3.556</v>
      </c>
      <c r="D6" s="24">
        <v>-1.778</v>
      </c>
      <c r="F6" s="28">
        <v>1</v>
      </c>
      <c r="H6" s="21">
        <v>6.0704717138993631</v>
      </c>
    </row>
    <row r="7" spans="2:10" x14ac:dyDescent="0.25">
      <c r="B7" s="22">
        <v>0</v>
      </c>
      <c r="C7" s="23">
        <v>-1.778</v>
      </c>
      <c r="D7" s="24">
        <v>3.556</v>
      </c>
      <c r="F7" s="28">
        <v>-0.70710678118654757</v>
      </c>
      <c r="H7" s="21">
        <v>-4.2924717138993636</v>
      </c>
    </row>
    <row r="10" spans="2:10" x14ac:dyDescent="0.25">
      <c r="B10" s="4" t="s">
        <v>16</v>
      </c>
      <c r="C10" s="4" t="s">
        <v>20</v>
      </c>
      <c r="F10" s="25" t="s">
        <v>15</v>
      </c>
      <c r="H10" t="s">
        <v>18</v>
      </c>
    </row>
    <row r="11" spans="2:10" x14ac:dyDescent="0.25">
      <c r="B11" s="21">
        <f>ABS(H5)</f>
        <v>4.2924717138993636</v>
      </c>
      <c r="C11">
        <f>SIGN(H5*B11)</f>
        <v>-1</v>
      </c>
      <c r="E11" s="26" t="s">
        <v>14</v>
      </c>
      <c r="F11" s="21">
        <f>B11*C11/E$12</f>
        <v>-0.70710678118654757</v>
      </c>
      <c r="H11" s="22">
        <f>B5-$B$15</f>
        <v>-2.5144717138993631</v>
      </c>
      <c r="I11" s="23">
        <f>C5</f>
        <v>-1.778</v>
      </c>
      <c r="J11" s="24">
        <f>D5</f>
        <v>0</v>
      </c>
    </row>
    <row r="12" spans="2:10" x14ac:dyDescent="0.25">
      <c r="B12" s="21">
        <f>ABS(H6)</f>
        <v>6.0704717138993631</v>
      </c>
      <c r="C12">
        <f>SIGN(H6*B12)</f>
        <v>1</v>
      </c>
      <c r="E12">
        <f>B15*C15</f>
        <v>6.0704717138993631</v>
      </c>
      <c r="F12" s="21">
        <f>B12*C12/E$12</f>
        <v>1</v>
      </c>
      <c r="H12" s="22">
        <f>B6</f>
        <v>-1.778</v>
      </c>
      <c r="I12" s="23">
        <f>C6-$B$15</f>
        <v>-2.5144717138993631</v>
      </c>
      <c r="J12" s="24">
        <f>D6</f>
        <v>-1.778</v>
      </c>
    </row>
    <row r="13" spans="2:10" x14ac:dyDescent="0.25">
      <c r="B13" s="21">
        <f>ABS(H7)</f>
        <v>4.2924717138993636</v>
      </c>
      <c r="C13">
        <f>SIGN(H7*B13)</f>
        <v>-1</v>
      </c>
      <c r="F13" s="21">
        <f>B13*C13/E$12</f>
        <v>-0.70710678118654757</v>
      </c>
      <c r="H13" s="22">
        <f>B7</f>
        <v>0</v>
      </c>
      <c r="I13" s="23">
        <f>C7</f>
        <v>-1.778</v>
      </c>
      <c r="J13" s="24">
        <f>D7-$B$15</f>
        <v>-2.5144717138993631</v>
      </c>
    </row>
    <row r="15" spans="2:10" x14ac:dyDescent="0.25">
      <c r="B15">
        <f>LARGE(B11:B13,1)</f>
        <v>6.0704717138993631</v>
      </c>
      <c r="C15">
        <f>VLOOKUP(B15,B11:C13,2)</f>
        <v>1</v>
      </c>
      <c r="H15" s="5" t="s">
        <v>17</v>
      </c>
      <c r="I15" s="27">
        <f>MDETERM(H11:J13)</f>
        <v>-1.9854032672630716E-15</v>
      </c>
    </row>
    <row r="16" spans="2:10" x14ac:dyDescent="0.25">
      <c r="B16" s="19" t="s">
        <v>19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14017" r:id="rId3" name="Autovalor">
          <controlPr autoLine="0" r:id="rId4">
            <anchor moveWithCells="1">
              <from>
                <xdr:col>1</xdr:col>
                <xdr:colOff>38100</xdr:colOff>
                <xdr:row>0</xdr:row>
                <xdr:rowOff>142875</xdr:rowOff>
              </from>
              <to>
                <xdr:col>3</xdr:col>
                <xdr:colOff>142875</xdr:colOff>
                <xdr:row>2</xdr:row>
                <xdr:rowOff>95250</xdr:rowOff>
              </to>
            </anchor>
          </controlPr>
        </control>
      </mc:Choice>
      <mc:Fallback>
        <control shapeId="214017" r:id="rId3" name="Autovalo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2:D15"/>
  <sheetViews>
    <sheetView zoomScale="190" zoomScaleNormal="190" workbookViewId="0">
      <selection activeCell="B5" sqref="B5:D8"/>
    </sheetView>
  </sheetViews>
  <sheetFormatPr defaultRowHeight="15" x14ac:dyDescent="0.25"/>
  <sheetData>
    <row r="2" spans="2:4" x14ac:dyDescent="0.25">
      <c r="B2" s="22">
        <v>0.9</v>
      </c>
      <c r="C2" s="24">
        <v>0.8</v>
      </c>
    </row>
    <row r="3" spans="2:4" x14ac:dyDescent="0.25">
      <c r="B3" s="22">
        <v>0.8</v>
      </c>
      <c r="C3" s="24">
        <v>0.6</v>
      </c>
    </row>
    <row r="5" spans="2:4" x14ac:dyDescent="0.25">
      <c r="B5" t="str">
        <f t="array" ref="B5:D8">autovetores(B2:C3)</f>
        <v>Autovalores:</v>
      </c>
      <c r="C5">
        <v>1.5639410298049852</v>
      </c>
      <c r="D5">
        <v>-6.3941029804985283E-2</v>
      </c>
    </row>
    <row r="6" spans="2:4" x14ac:dyDescent="0.25">
      <c r="B6" t="str">
        <v/>
      </c>
      <c r="C6" t="str">
        <v/>
      </c>
      <c r="D6" t="str">
        <v/>
      </c>
    </row>
    <row r="7" spans="2:4" x14ac:dyDescent="0.25">
      <c r="B7" t="str">
        <v>Autovetores:</v>
      </c>
      <c r="C7">
        <v>0.76950910814953488</v>
      </c>
      <c r="D7">
        <v>-0.6386358371363976</v>
      </c>
    </row>
    <row r="8" spans="2:4" x14ac:dyDescent="0.25">
      <c r="B8" t="str">
        <v/>
      </c>
      <c r="C8">
        <v>0.6386358371363976</v>
      </c>
      <c r="D8">
        <v>0.76950910814953488</v>
      </c>
    </row>
    <row r="10" spans="2:4" x14ac:dyDescent="0.25">
      <c r="B10" t="s">
        <v>7</v>
      </c>
    </row>
    <row r="11" spans="2:4" x14ac:dyDescent="0.25">
      <c r="B11" t="s">
        <v>6</v>
      </c>
    </row>
    <row r="12" spans="2:4" x14ac:dyDescent="0.25">
      <c r="B12" t="s">
        <v>5</v>
      </c>
    </row>
    <row r="13" spans="2:4" x14ac:dyDescent="0.25">
      <c r="B13" t="s">
        <v>4</v>
      </c>
    </row>
    <row r="15" spans="2:4" x14ac:dyDescent="0.25">
      <c r="B15" t="s">
        <v>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E15"/>
  <sheetViews>
    <sheetView tabSelected="1" zoomScale="230" zoomScaleNormal="230" workbookViewId="0">
      <selection activeCell="C8" sqref="C8"/>
    </sheetView>
  </sheetViews>
  <sheetFormatPr defaultRowHeight="15" x14ac:dyDescent="0.25"/>
  <cols>
    <col min="3" max="5" width="9.140625" customWidth="1"/>
  </cols>
  <sheetData>
    <row r="1" spans="1:5" x14ac:dyDescent="0.25">
      <c r="A1" s="19" t="s">
        <v>2</v>
      </c>
    </row>
    <row r="2" spans="1:5" x14ac:dyDescent="0.25">
      <c r="C2" s="4"/>
      <c r="D2" s="6" t="s">
        <v>0</v>
      </c>
      <c r="E2" s="4"/>
    </row>
    <row r="3" spans="1:5" x14ac:dyDescent="0.25">
      <c r="C3" s="3">
        <v>3.556</v>
      </c>
      <c r="D3" s="2">
        <v>-1.778</v>
      </c>
      <c r="E3" s="1">
        <v>0</v>
      </c>
    </row>
    <row r="4" spans="1:5" x14ac:dyDescent="0.25">
      <c r="C4" s="3">
        <v>-1.778</v>
      </c>
      <c r="D4" s="2">
        <v>3.556</v>
      </c>
      <c r="E4" s="1">
        <v>-1.778</v>
      </c>
    </row>
    <row r="5" spans="1:5" x14ac:dyDescent="0.25">
      <c r="C5" s="3">
        <v>0</v>
      </c>
      <c r="D5" s="2">
        <v>-1.778</v>
      </c>
      <c r="E5" s="1">
        <v>3.556</v>
      </c>
    </row>
    <row r="7" spans="1:5" x14ac:dyDescent="0.25">
      <c r="C7" s="6" t="s">
        <v>1</v>
      </c>
    </row>
    <row r="8" spans="1:5" x14ac:dyDescent="0.25">
      <c r="B8" s="35" t="str">
        <f t="array" ref="B8:E12">autovetores(C3:E5)</f>
        <v>Autovalores:</v>
      </c>
      <c r="C8" s="29">
        <v>6.070471713899364</v>
      </c>
      <c r="D8" s="29">
        <v>3.5559999999999996</v>
      </c>
      <c r="E8" s="30">
        <v>1.0415282861006376</v>
      </c>
    </row>
    <row r="9" spans="1:5" x14ac:dyDescent="0.25">
      <c r="B9" s="12" t="str">
        <v/>
      </c>
      <c r="C9" s="31" t="str">
        <v/>
      </c>
      <c r="D9" s="31" t="str">
        <v/>
      </c>
      <c r="E9" s="11" t="str">
        <v/>
      </c>
    </row>
    <row r="10" spans="1:5" x14ac:dyDescent="0.25">
      <c r="B10" s="36" t="str">
        <v>Autovetores:</v>
      </c>
      <c r="C10" s="31">
        <v>0.50000000000000011</v>
      </c>
      <c r="D10" s="31">
        <v>-0.70710678118685089</v>
      </c>
      <c r="E10" s="11">
        <v>0.49999999999957145</v>
      </c>
    </row>
    <row r="11" spans="1:5" x14ac:dyDescent="0.25">
      <c r="B11" s="12" t="str">
        <v/>
      </c>
      <c r="C11" s="31">
        <v>-0.70710678118654757</v>
      </c>
      <c r="D11" s="31">
        <v>-4.2855276016947982E-13</v>
      </c>
      <c r="E11" s="11">
        <v>0.70710678118654768</v>
      </c>
    </row>
    <row r="12" spans="1:5" x14ac:dyDescent="0.25">
      <c r="B12" s="32" t="str">
        <v/>
      </c>
      <c r="C12" s="33">
        <v>0.50000000000000011</v>
      </c>
      <c r="D12" s="33">
        <v>0.70710678118624448</v>
      </c>
      <c r="E12" s="34">
        <v>0.50000000000042866</v>
      </c>
    </row>
    <row r="15" spans="1:5" x14ac:dyDescent="0.25">
      <c r="B15" s="13"/>
      <c r="C15" s="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autoval&amp;vet - circularização</vt:lpstr>
      <vt:lpstr>autoval&amp;vet - circularizaçã (2)</vt:lpstr>
      <vt:lpstr>autoval&amp;vet - circularizaçã (3)</vt:lpstr>
      <vt:lpstr>autoval&amp;vet - circularizaçã (4)</vt:lpstr>
      <vt:lpstr>autoval&amp;vet - circularizaçã (5)</vt:lpstr>
      <vt:lpstr>autoval&amp;vet - circularizaçã (6)</vt:lpstr>
      <vt:lpstr>autovalores - via iteração</vt:lpstr>
      <vt:lpstr>autovalores - via VBA</vt:lpstr>
      <vt:lpstr>autovalores - via VBA 3x3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 Mirapalheta</cp:lastModifiedBy>
  <dcterms:created xsi:type="dcterms:W3CDTF">2011-02-13T17:24:15Z</dcterms:created>
  <dcterms:modified xsi:type="dcterms:W3CDTF">2021-12-02T16:04:55Z</dcterms:modified>
</cp:coreProperties>
</file>