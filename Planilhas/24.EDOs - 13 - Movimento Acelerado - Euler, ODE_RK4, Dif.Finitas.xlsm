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Z:\Google Drive\Disciplinas\Matemática II\cálculo, abordagem computacional\planilhas\"/>
    </mc:Choice>
  </mc:AlternateContent>
  <xr:revisionPtr revIDLastSave="0" documentId="13_ncr:1_{5A126D52-DF60-494F-B6FB-923C603D93BD}" xr6:coauthVersionLast="47" xr6:coauthVersionMax="47" xr10:uidLastSave="{00000000-0000-0000-0000-000000000000}"/>
  <bookViews>
    <workbookView xWindow="-120" yWindow="-120" windowWidth="27960" windowHeight="14220" xr2:uid="{00000000-000D-0000-FFFF-FFFF00000000}"/>
  </bookViews>
  <sheets>
    <sheet name="edo - rk4" sheetId="2" r:id="rId1"/>
    <sheet name="Gráf2" sheetId="6" r:id="rId2"/>
    <sheet name="edo - fd" sheetId="3" r:id="rId3"/>
    <sheet name="Gráf3" sheetId="7" r:id="rId4"/>
    <sheet name="edo - erro" sheetId="4" r:id="rId5"/>
  </sheets>
  <functionGroups builtInGroupCount="19"/>
  <definedNames>
    <definedName name="Equação">#REF!</definedName>
    <definedName name="F_">#REF!</definedName>
    <definedName name="h_">#REF!</definedName>
    <definedName name="k_">#REF!</definedName>
    <definedName name="Q_">#REF!</definedName>
    <definedName name="V_">#REF!</definedName>
  </definedNames>
  <calcPr calcId="181029" calcMode="autoNoTable" iterate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4" l="1"/>
  <c r="C12" i="3"/>
  <c r="F12" i="3"/>
  <c r="E12" i="3"/>
  <c r="A13" i="3"/>
  <c r="F13" i="3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14" i="3"/>
  <c r="F14" i="3"/>
  <c r="A15" i="3"/>
  <c r="F15" i="3"/>
  <c r="A16" i="3"/>
  <c r="F16" i="3"/>
  <c r="A17" i="3"/>
  <c r="F17" i="3"/>
  <c r="A18" i="3"/>
  <c r="F18" i="3"/>
  <c r="A19" i="3"/>
  <c r="F19" i="3"/>
  <c r="A20" i="3"/>
  <c r="F20" i="3"/>
  <c r="A21" i="3"/>
  <c r="F21" i="3"/>
  <c r="A22" i="3"/>
  <c r="F22" i="3"/>
  <c r="A23" i="3"/>
  <c r="F23" i="3"/>
  <c r="A24" i="3"/>
  <c r="F24" i="3"/>
  <c r="A25" i="3"/>
  <c r="F25" i="3"/>
  <c r="A26" i="3"/>
  <c r="F26" i="3"/>
  <c r="A27" i="3"/>
  <c r="F27" i="3"/>
  <c r="A28" i="3"/>
  <c r="F28" i="3"/>
  <c r="A29" i="3"/>
  <c r="F29" i="3"/>
  <c r="A30" i="3"/>
  <c r="F30" i="3"/>
  <c r="A31" i="3"/>
  <c r="F31" i="3"/>
  <c r="A32" i="3"/>
  <c r="F32" i="3"/>
  <c r="A33" i="3"/>
  <c r="F33" i="3"/>
  <c r="A34" i="3"/>
  <c r="F34" i="3"/>
  <c r="A35" i="3"/>
  <c r="F35" i="3"/>
  <c r="A36" i="3"/>
  <c r="F36" i="3"/>
  <c r="A37" i="3"/>
  <c r="F37" i="3"/>
  <c r="A38" i="3"/>
  <c r="F38" i="3"/>
  <c r="A39" i="3"/>
  <c r="F39" i="3"/>
  <c r="A40" i="3"/>
  <c r="F40" i="3"/>
  <c r="A41" i="3"/>
  <c r="F41" i="3"/>
  <c r="A42" i="3"/>
  <c r="F42" i="3"/>
  <c r="A43" i="3"/>
  <c r="F43" i="3"/>
  <c r="A44" i="3"/>
  <c r="F44" i="3"/>
  <c r="A45" i="3"/>
  <c r="F45" i="3"/>
  <c r="A46" i="3"/>
  <c r="F46" i="3"/>
  <c r="A47" i="3"/>
  <c r="F47" i="3"/>
  <c r="A48" i="3"/>
  <c r="F48" i="3"/>
  <c r="A49" i="3"/>
  <c r="F49" i="3"/>
  <c r="A50" i="3"/>
  <c r="F50" i="3"/>
  <c r="A51" i="3"/>
  <c r="F51" i="3"/>
  <c r="A52" i="3"/>
  <c r="F52" i="3"/>
  <c r="A53" i="3"/>
  <c r="F53" i="3"/>
  <c r="A54" i="3"/>
  <c r="F54" i="3"/>
  <c r="A55" i="3"/>
  <c r="F55" i="3"/>
  <c r="A56" i="3"/>
  <c r="F56" i="3"/>
  <c r="A57" i="3"/>
  <c r="F57" i="3"/>
  <c r="A58" i="3"/>
  <c r="F58" i="3"/>
  <c r="A59" i="3"/>
  <c r="F59" i="3"/>
  <c r="A60" i="3"/>
  <c r="F60" i="3"/>
  <c r="A61" i="3"/>
  <c r="F61" i="3"/>
  <c r="A62" i="3"/>
  <c r="F62" i="3"/>
  <c r="A63" i="3"/>
  <c r="F63" i="3"/>
  <c r="A64" i="3"/>
  <c r="F64" i="3"/>
  <c r="A65" i="3"/>
  <c r="F65" i="3"/>
  <c r="A66" i="3"/>
  <c r="F66" i="3"/>
  <c r="A67" i="3"/>
  <c r="F67" i="3"/>
  <c r="A68" i="3"/>
  <c r="F68" i="3"/>
  <c r="A69" i="3"/>
  <c r="F69" i="3"/>
  <c r="A70" i="3"/>
  <c r="F70" i="3"/>
  <c r="A71" i="3"/>
  <c r="F71" i="3"/>
  <c r="A72" i="3"/>
  <c r="F72" i="3"/>
  <c r="A73" i="3"/>
  <c r="F73" i="3"/>
  <c r="A74" i="3"/>
  <c r="F74" i="3"/>
  <c r="A75" i="3"/>
  <c r="F75" i="3"/>
  <c r="A76" i="3"/>
  <c r="F76" i="3"/>
  <c r="A77" i="3"/>
  <c r="F77" i="3"/>
  <c r="A78" i="3"/>
  <c r="F78" i="3"/>
  <c r="A79" i="3"/>
  <c r="F79" i="3"/>
  <c r="A80" i="3"/>
  <c r="F80" i="3"/>
  <c r="A81" i="3"/>
  <c r="F81" i="3"/>
  <c r="A82" i="3"/>
  <c r="F82" i="3"/>
  <c r="A83" i="3"/>
  <c r="F83" i="3"/>
  <c r="A84" i="3"/>
  <c r="F84" i="3"/>
  <c r="A85" i="3"/>
  <c r="F85" i="3"/>
  <c r="A86" i="3"/>
  <c r="F86" i="3"/>
  <c r="A87" i="3"/>
  <c r="F87" i="3"/>
  <c r="A88" i="3"/>
  <c r="F88" i="3"/>
  <c r="A89" i="3"/>
  <c r="F89" i="3"/>
  <c r="A90" i="3"/>
  <c r="F90" i="3"/>
  <c r="A91" i="3"/>
  <c r="F91" i="3"/>
  <c r="A92" i="3"/>
  <c r="F92" i="3"/>
  <c r="A93" i="3"/>
  <c r="F93" i="3"/>
  <c r="A94" i="3"/>
  <c r="F94" i="3"/>
  <c r="A95" i="3"/>
  <c r="F95" i="3"/>
  <c r="A96" i="3"/>
  <c r="F96" i="3"/>
  <c r="A97" i="3"/>
  <c r="F97" i="3"/>
  <c r="A98" i="3"/>
  <c r="F98" i="3"/>
  <c r="A99" i="3"/>
  <c r="A100" i="3"/>
  <c r="F99" i="3"/>
  <c r="F100" i="3"/>
  <c r="A101" i="3"/>
  <c r="F101" i="3"/>
  <c r="A102" i="3"/>
  <c r="A103" i="3"/>
  <c r="F102" i="3"/>
  <c r="A104" i="3"/>
  <c r="F103" i="3"/>
  <c r="F104" i="3"/>
  <c r="A105" i="3"/>
  <c r="A106" i="3"/>
  <c r="F105" i="3"/>
  <c r="A107" i="3"/>
  <c r="F106" i="3"/>
  <c r="A108" i="3"/>
  <c r="F107" i="3"/>
  <c r="A109" i="3"/>
  <c r="F108" i="3"/>
  <c r="F109" i="3"/>
  <c r="A110" i="3"/>
  <c r="A111" i="3"/>
  <c r="F110" i="3"/>
  <c r="A112" i="3"/>
  <c r="F112" i="3"/>
  <c r="F111" i="3"/>
  <c r="A14" i="2" a="1"/>
  <c r="A13" i="2" a="1"/>
  <c r="C14" i="2" l="1"/>
  <c r="B14" i="2"/>
  <c r="A14" i="2"/>
  <c r="A13" i="2"/>
  <c r="B13" i="2"/>
  <c r="C13" i="2"/>
  <c r="A15" i="2" a="1"/>
  <c r="C15" i="2" l="1"/>
  <c r="B15" i="2"/>
  <c r="A15" i="2"/>
  <c r="A16" i="2" a="1"/>
  <c r="C16" i="2" l="1"/>
  <c r="B16" i="2"/>
  <c r="A16" i="2"/>
  <c r="A17" i="2" a="1"/>
  <c r="C17" i="2" l="1"/>
  <c r="B17" i="2"/>
  <c r="A17" i="2"/>
  <c r="A18" i="2" a="1"/>
  <c r="C18" i="2" l="1"/>
  <c r="B18" i="2"/>
  <c r="A18" i="2"/>
  <c r="A19" i="2" a="1"/>
  <c r="C19" i="2" l="1"/>
  <c r="B19" i="2"/>
  <c r="A19" i="2"/>
  <c r="A20" i="2" a="1"/>
  <c r="C20" i="2" l="1"/>
  <c r="B20" i="2"/>
  <c r="A20" i="2"/>
  <c r="A21" i="2" a="1"/>
  <c r="C21" i="2" l="1"/>
  <c r="B21" i="2"/>
  <c r="A21" i="2"/>
  <c r="A22" i="2" a="1"/>
  <c r="C22" i="2" l="1"/>
  <c r="B22" i="2"/>
  <c r="A22" i="2"/>
  <c r="A23" i="2" a="1"/>
  <c r="C23" i="2" l="1"/>
  <c r="B23" i="2"/>
  <c r="A23" i="2"/>
  <c r="A24" i="2" a="1"/>
  <c r="C24" i="2" l="1"/>
  <c r="B24" i="2"/>
  <c r="A24" i="2"/>
  <c r="A25" i="2" a="1"/>
  <c r="C25" i="2" l="1"/>
  <c r="B25" i="2"/>
  <c r="A25" i="2"/>
  <c r="A26" i="2" a="1"/>
  <c r="C26" i="2" l="1"/>
  <c r="B26" i="2"/>
  <c r="A26" i="2"/>
  <c r="A27" i="2" a="1"/>
  <c r="C27" i="2" l="1"/>
  <c r="B27" i="2"/>
  <c r="A27" i="2"/>
  <c r="A28" i="2" a="1"/>
  <c r="C28" i="2" l="1"/>
  <c r="B28" i="2"/>
  <c r="A28" i="2"/>
  <c r="A29" i="2" a="1"/>
  <c r="C29" i="2" l="1"/>
  <c r="B29" i="2"/>
  <c r="A29" i="2"/>
  <c r="A30" i="2" a="1"/>
  <c r="C30" i="2" l="1"/>
  <c r="B30" i="2"/>
  <c r="A30" i="2"/>
  <c r="A31" i="2" a="1"/>
  <c r="C31" i="2" l="1"/>
  <c r="B31" i="2"/>
  <c r="A31" i="2"/>
  <c r="A32" i="2" a="1"/>
  <c r="C32" i="2" l="1"/>
  <c r="B32" i="2"/>
  <c r="A32" i="2"/>
  <c r="A33" i="2" a="1"/>
  <c r="C33" i="2" l="1"/>
  <c r="B33" i="2"/>
  <c r="A33" i="2"/>
  <c r="A34" i="2" a="1"/>
  <c r="C34" i="2" l="1"/>
  <c r="B34" i="2"/>
  <c r="A34" i="2"/>
  <c r="A35" i="2" a="1"/>
  <c r="C35" i="2" l="1"/>
  <c r="B35" i="2"/>
  <c r="A35" i="2"/>
  <c r="A36" i="2" a="1"/>
  <c r="C36" i="2" l="1"/>
  <c r="B36" i="2"/>
  <c r="A36" i="2"/>
  <c r="A37" i="2" a="1"/>
  <c r="C37" i="2" l="1"/>
  <c r="B37" i="2"/>
  <c r="A37" i="2"/>
  <c r="A38" i="2" a="1"/>
  <c r="C38" i="2" l="1"/>
  <c r="B38" i="2"/>
  <c r="A38" i="2"/>
  <c r="A39" i="2" a="1"/>
  <c r="C39" i="2" l="1"/>
  <c r="B39" i="2"/>
  <c r="A39" i="2"/>
  <c r="A40" i="2" a="1"/>
  <c r="C40" i="2" l="1"/>
  <c r="B40" i="2"/>
  <c r="A40" i="2"/>
  <c r="A41" i="2" a="1"/>
  <c r="C41" i="2" l="1"/>
  <c r="B41" i="2"/>
  <c r="A41" i="2"/>
  <c r="A42" i="2" a="1"/>
  <c r="C42" i="2" l="1"/>
  <c r="B42" i="2"/>
  <c r="A42" i="2"/>
  <c r="A43" i="2" a="1"/>
  <c r="C43" i="2" l="1"/>
  <c r="B43" i="2"/>
  <c r="A43" i="2"/>
  <c r="A44" i="2" a="1"/>
  <c r="C44" i="2" l="1"/>
  <c r="B44" i="2"/>
  <c r="A44" i="2"/>
  <c r="A45" i="2" a="1"/>
  <c r="C45" i="2" l="1"/>
  <c r="B45" i="2"/>
  <c r="A45" i="2"/>
  <c r="A46" i="2" a="1"/>
  <c r="C46" i="2" l="1"/>
  <c r="B46" i="2"/>
  <c r="A46" i="2"/>
  <c r="A47" i="2" a="1"/>
  <c r="C47" i="2" l="1"/>
  <c r="B47" i="2"/>
  <c r="A47" i="2"/>
  <c r="A48" i="2" a="1"/>
  <c r="C48" i="2" l="1"/>
  <c r="B48" i="2"/>
  <c r="A48" i="2"/>
  <c r="A49" i="2" a="1"/>
  <c r="C49" i="2" l="1"/>
  <c r="B49" i="2"/>
  <c r="A49" i="2"/>
  <c r="A50" i="2" a="1"/>
  <c r="C50" i="2" l="1"/>
  <c r="B50" i="2"/>
  <c r="A50" i="2"/>
  <c r="A51" i="2" a="1"/>
  <c r="C51" i="2" l="1"/>
  <c r="B51" i="2"/>
  <c r="A51" i="2"/>
  <c r="A52" i="2" a="1"/>
  <c r="C52" i="2" l="1"/>
  <c r="B52" i="2"/>
  <c r="A52" i="2"/>
  <c r="A53" i="2" a="1"/>
  <c r="C53" i="2" l="1"/>
  <c r="B53" i="2"/>
  <c r="A53" i="2"/>
  <c r="A54" i="2" a="1"/>
  <c r="C54" i="2" l="1"/>
  <c r="B54" i="2"/>
  <c r="A54" i="2"/>
  <c r="A55" i="2" a="1"/>
  <c r="C55" i="2" l="1"/>
  <c r="B55" i="2"/>
  <c r="A55" i="2"/>
  <c r="A56" i="2" a="1"/>
  <c r="C56" i="2" l="1"/>
  <c r="B56" i="2"/>
  <c r="A56" i="2"/>
  <c r="A57" i="2" a="1"/>
  <c r="C57" i="2" l="1"/>
  <c r="B57" i="2"/>
  <c r="A57" i="2"/>
  <c r="A58" i="2" a="1"/>
  <c r="C58" i="2" l="1"/>
  <c r="B58" i="2"/>
  <c r="A58" i="2"/>
  <c r="A59" i="2" a="1"/>
  <c r="C59" i="2" l="1"/>
  <c r="B59" i="2"/>
  <c r="A59" i="2"/>
  <c r="A60" i="2" a="1"/>
  <c r="C60" i="2" l="1"/>
  <c r="B60" i="2"/>
  <c r="A60" i="2"/>
  <c r="A61" i="2" a="1"/>
  <c r="C61" i="2" l="1"/>
  <c r="B61" i="2"/>
  <c r="A61" i="2"/>
  <c r="A62" i="2" a="1"/>
  <c r="C62" i="2" l="1"/>
  <c r="B62" i="2"/>
  <c r="A62" i="2"/>
  <c r="A63" i="2" a="1"/>
  <c r="C63" i="2" l="1"/>
  <c r="B63" i="2"/>
  <c r="A63" i="2"/>
  <c r="A64" i="2" a="1"/>
  <c r="C64" i="2" l="1"/>
  <c r="B64" i="2"/>
  <c r="A64" i="2"/>
  <c r="A65" i="2" a="1"/>
  <c r="C65" i="2" l="1"/>
  <c r="B65" i="2"/>
  <c r="A65" i="2"/>
  <c r="A66" i="2" a="1"/>
  <c r="C66" i="2" l="1"/>
  <c r="B66" i="2"/>
  <c r="A66" i="2"/>
  <c r="A67" i="2" a="1"/>
  <c r="C67" i="2" l="1"/>
  <c r="B67" i="2"/>
  <c r="A67" i="2"/>
  <c r="A68" i="2" a="1"/>
  <c r="C68" i="2" l="1"/>
  <c r="B68" i="2"/>
  <c r="A68" i="2"/>
  <c r="A69" i="2" a="1"/>
  <c r="C69" i="2" l="1"/>
  <c r="B69" i="2"/>
  <c r="A69" i="2"/>
  <c r="A70" i="2" a="1"/>
  <c r="C70" i="2" l="1"/>
  <c r="B70" i="2"/>
  <c r="A70" i="2"/>
  <c r="A71" i="2" a="1"/>
  <c r="C71" i="2" l="1"/>
  <c r="B71" i="2"/>
  <c r="A71" i="2"/>
  <c r="A72" i="2" a="1"/>
  <c r="C72" i="2" l="1"/>
  <c r="B72" i="2"/>
  <c r="A72" i="2"/>
  <c r="A73" i="2" a="1"/>
  <c r="C73" i="2" l="1"/>
  <c r="B73" i="2"/>
  <c r="A73" i="2"/>
  <c r="A74" i="2" a="1"/>
  <c r="C74" i="2" l="1"/>
  <c r="B74" i="2"/>
  <c r="A74" i="2"/>
  <c r="A75" i="2" a="1"/>
  <c r="C75" i="2" l="1"/>
  <c r="B75" i="2"/>
  <c r="A75" i="2"/>
  <c r="A76" i="2" a="1"/>
  <c r="C76" i="2" l="1"/>
  <c r="B76" i="2"/>
  <c r="A76" i="2"/>
  <c r="A77" i="2" a="1"/>
  <c r="C77" i="2" l="1"/>
  <c r="B77" i="2"/>
  <c r="A77" i="2"/>
  <c r="A78" i="2" a="1"/>
  <c r="C78" i="2" l="1"/>
  <c r="B78" i="2"/>
  <c r="A78" i="2"/>
  <c r="A79" i="2" a="1"/>
  <c r="C79" i="2" l="1"/>
  <c r="B79" i="2"/>
  <c r="A79" i="2"/>
  <c r="A80" i="2" a="1"/>
  <c r="C80" i="2" l="1"/>
  <c r="B80" i="2"/>
  <c r="A80" i="2"/>
  <c r="A81" i="2" a="1"/>
  <c r="C81" i="2" l="1"/>
  <c r="B81" i="2"/>
  <c r="A81" i="2"/>
  <c r="A82" i="2" a="1"/>
  <c r="C82" i="2" l="1"/>
  <c r="B82" i="2"/>
  <c r="A82" i="2"/>
  <c r="A83" i="2" a="1"/>
  <c r="C83" i="2" l="1"/>
  <c r="B83" i="2"/>
  <c r="A83" i="2"/>
  <c r="A84" i="2" a="1"/>
  <c r="C84" i="2" l="1"/>
  <c r="B84" i="2"/>
  <c r="A84" i="2"/>
  <c r="A85" i="2" a="1"/>
  <c r="C85" i="2" l="1"/>
  <c r="B85" i="2"/>
  <c r="A85" i="2"/>
  <c r="A86" i="2" a="1"/>
  <c r="C86" i="2" l="1"/>
  <c r="B86" i="2"/>
  <c r="A86" i="2"/>
  <c r="A87" i="2" a="1"/>
  <c r="C87" i="2" l="1"/>
  <c r="B87" i="2"/>
  <c r="A87" i="2"/>
  <c r="A88" i="2" a="1"/>
  <c r="C88" i="2" l="1"/>
  <c r="B88" i="2"/>
  <c r="A88" i="2"/>
  <c r="A89" i="2" a="1"/>
  <c r="C89" i="2" l="1"/>
  <c r="B89" i="2"/>
  <c r="A89" i="2"/>
  <c r="A90" i="2" a="1"/>
  <c r="C90" i="2" l="1"/>
  <c r="B90" i="2"/>
  <c r="A90" i="2"/>
  <c r="A91" i="2" a="1"/>
  <c r="C91" i="2" l="1"/>
  <c r="B91" i="2"/>
  <c r="A91" i="2"/>
  <c r="A92" i="2" a="1"/>
  <c r="C92" i="2" l="1"/>
  <c r="B92" i="2"/>
  <c r="A92" i="2"/>
  <c r="A93" i="2" a="1"/>
  <c r="C93" i="2" l="1"/>
  <c r="B93" i="2"/>
  <c r="A93" i="2"/>
  <c r="A94" i="2" a="1"/>
  <c r="C94" i="2" l="1"/>
  <c r="B94" i="2"/>
  <c r="A94" i="2"/>
  <c r="A95" i="2" a="1"/>
  <c r="C95" i="2" l="1"/>
  <c r="B95" i="2"/>
  <c r="A95" i="2"/>
  <c r="A96" i="2" a="1"/>
  <c r="C96" i="2" l="1"/>
  <c r="B96" i="2"/>
  <c r="A96" i="2"/>
  <c r="A97" i="2" a="1"/>
  <c r="C97" i="2" l="1"/>
  <c r="B97" i="2"/>
  <c r="A97" i="2"/>
  <c r="A98" i="2" a="1"/>
  <c r="C98" i="2" l="1"/>
  <c r="B98" i="2"/>
  <c r="A98" i="2"/>
  <c r="A99" i="2" a="1"/>
  <c r="C99" i="2" l="1"/>
  <c r="B99" i="2"/>
  <c r="A99" i="2"/>
  <c r="A100" i="2" a="1"/>
  <c r="C100" i="2" l="1"/>
  <c r="B100" i="2"/>
  <c r="A100" i="2"/>
  <c r="A101" i="2" a="1"/>
  <c r="C101" i="2" l="1"/>
  <c r="B101" i="2"/>
  <c r="A101" i="2"/>
  <c r="A102" i="2" a="1"/>
  <c r="C102" i="2" l="1"/>
  <c r="B102" i="2"/>
  <c r="A102" i="2"/>
  <c r="A103" i="2" a="1"/>
  <c r="C103" i="2" l="1"/>
  <c r="B103" i="2"/>
  <c r="A103" i="2"/>
  <c r="A104" i="2" a="1"/>
  <c r="C104" i="2" l="1"/>
  <c r="B104" i="2"/>
  <c r="A104" i="2"/>
  <c r="A105" i="2" a="1"/>
  <c r="C105" i="2" l="1"/>
  <c r="B105" i="2"/>
  <c r="A105" i="2"/>
  <c r="A106" i="2" a="1"/>
  <c r="C106" i="2" l="1"/>
  <c r="B106" i="2"/>
  <c r="A106" i="2"/>
  <c r="A107" i="2" a="1"/>
  <c r="C107" i="2" l="1"/>
  <c r="B107" i="2"/>
  <c r="A107" i="2"/>
  <c r="A108" i="2" a="1"/>
  <c r="C108" i="2" l="1"/>
  <c r="B108" i="2"/>
  <c r="A108" i="2"/>
  <c r="A109" i="2" a="1"/>
  <c r="C109" i="2" l="1"/>
  <c r="B109" i="2"/>
  <c r="A109" i="2"/>
  <c r="A110" i="2" a="1"/>
  <c r="C110" i="2" l="1"/>
  <c r="B110" i="2"/>
  <c r="A110" i="2"/>
  <c r="A111" i="2" a="1"/>
  <c r="C111" i="2" l="1"/>
  <c r="B111" i="2"/>
  <c r="A111" i="2"/>
  <c r="A112" i="2" a="1"/>
  <c r="C112" i="2" l="1"/>
  <c r="B112" i="2"/>
  <c r="A112" i="2"/>
  <c r="B6" i="4"/>
  <c r="C6" i="4"/>
  <c r="B7" i="4"/>
  <c r="C7" i="4"/>
  <c r="B8" i="4"/>
  <c r="C8" i="4"/>
  <c r="B9" i="4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19" i="4"/>
  <c r="C19" i="4"/>
  <c r="B20" i="4"/>
  <c r="C20" i="4"/>
  <c r="B21" i="4"/>
  <c r="C21" i="4"/>
  <c r="B22" i="4"/>
  <c r="C22" i="4"/>
  <c r="B23" i="4"/>
  <c r="C23" i="4"/>
  <c r="B24" i="4"/>
  <c r="C24" i="4"/>
  <c r="B25" i="4"/>
  <c r="C25" i="4"/>
  <c r="B26" i="4"/>
  <c r="C26" i="4"/>
  <c r="B27" i="4"/>
  <c r="C27" i="4"/>
  <c r="B28" i="4"/>
  <c r="C28" i="4"/>
  <c r="B29" i="4"/>
  <c r="C29" i="4"/>
  <c r="B30" i="4"/>
  <c r="C30" i="4"/>
  <c r="B31" i="4"/>
  <c r="C31" i="4"/>
  <c r="B32" i="4"/>
  <c r="C32" i="4"/>
  <c r="B33" i="4"/>
  <c r="C33" i="4"/>
  <c r="B34" i="4"/>
  <c r="C34" i="4"/>
  <c r="B35" i="4"/>
  <c r="C35" i="4"/>
  <c r="B36" i="4"/>
  <c r="C36" i="4"/>
  <c r="B37" i="4"/>
  <c r="C37" i="4"/>
  <c r="B38" i="4"/>
  <c r="C38" i="4"/>
  <c r="B39" i="4"/>
  <c r="C39" i="4"/>
  <c r="B40" i="4"/>
  <c r="C40" i="4"/>
  <c r="B41" i="4"/>
  <c r="C41" i="4"/>
  <c r="B42" i="4"/>
  <c r="C42" i="4"/>
  <c r="B43" i="4"/>
  <c r="C43" i="4"/>
  <c r="B44" i="4"/>
  <c r="C44" i="4"/>
  <c r="B45" i="4"/>
  <c r="C45" i="4"/>
  <c r="B46" i="4"/>
  <c r="C46" i="4"/>
  <c r="B47" i="4"/>
  <c r="C47" i="4"/>
  <c r="B48" i="4"/>
  <c r="C48" i="4"/>
  <c r="B49" i="4"/>
  <c r="C49" i="4"/>
  <c r="B50" i="4"/>
  <c r="C50" i="4"/>
  <c r="B51" i="4"/>
  <c r="C51" i="4"/>
  <c r="B52" i="4"/>
  <c r="C52" i="4"/>
  <c r="B53" i="4"/>
  <c r="C53" i="4"/>
  <c r="B54" i="4"/>
  <c r="C54" i="4"/>
  <c r="B55" i="4"/>
  <c r="C55" i="4"/>
  <c r="B13" i="3"/>
  <c r="C13" i="3"/>
  <c r="D13" i="3"/>
  <c r="E13" i="3"/>
  <c r="B14" i="3"/>
  <c r="C14" i="3"/>
  <c r="D14" i="3"/>
  <c r="E14" i="3"/>
  <c r="B15" i="3"/>
  <c r="C15" i="3"/>
  <c r="D15" i="3"/>
  <c r="E15" i="3"/>
  <c r="B16" i="3"/>
  <c r="C16" i="3"/>
  <c r="D16" i="3"/>
  <c r="E16" i="3"/>
  <c r="B17" i="3"/>
  <c r="C17" i="3"/>
  <c r="D17" i="3"/>
  <c r="E17" i="3"/>
  <c r="B18" i="3"/>
  <c r="C18" i="3"/>
  <c r="D18" i="3"/>
  <c r="E18" i="3"/>
  <c r="B19" i="3"/>
  <c r="C19" i="3"/>
  <c r="D19" i="3"/>
  <c r="E19" i="3"/>
  <c r="B20" i="3"/>
  <c r="C20" i="3"/>
  <c r="D20" i="3"/>
  <c r="E20" i="3"/>
  <c r="B21" i="3"/>
  <c r="C21" i="3"/>
  <c r="D21" i="3"/>
  <c r="E21" i="3"/>
  <c r="B22" i="3"/>
  <c r="C22" i="3"/>
  <c r="D22" i="3"/>
  <c r="E22" i="3"/>
  <c r="B23" i="3"/>
  <c r="C23" i="3"/>
  <c r="D23" i="3"/>
  <c r="E23" i="3"/>
  <c r="B24" i="3"/>
  <c r="C24" i="3"/>
  <c r="D24" i="3"/>
  <c r="E24" i="3"/>
  <c r="B25" i="3"/>
  <c r="C25" i="3"/>
  <c r="D25" i="3"/>
  <c r="E25" i="3"/>
  <c r="B26" i="3"/>
  <c r="C26" i="3"/>
  <c r="D26" i="3"/>
  <c r="E26" i="3"/>
  <c r="B27" i="3"/>
  <c r="C27" i="3"/>
  <c r="D27" i="3"/>
  <c r="E27" i="3"/>
  <c r="B28" i="3"/>
  <c r="C28" i="3"/>
  <c r="D28" i="3"/>
  <c r="E28" i="3"/>
  <c r="B29" i="3"/>
  <c r="C29" i="3"/>
  <c r="D29" i="3"/>
  <c r="E29" i="3"/>
  <c r="B30" i="3"/>
  <c r="C30" i="3"/>
  <c r="D30" i="3"/>
  <c r="E30" i="3"/>
  <c r="B31" i="3"/>
  <c r="C31" i="3"/>
  <c r="D31" i="3"/>
  <c r="E31" i="3"/>
  <c r="B32" i="3"/>
  <c r="C32" i="3"/>
  <c r="D32" i="3"/>
  <c r="E32" i="3"/>
  <c r="B33" i="3"/>
  <c r="C33" i="3"/>
  <c r="D33" i="3"/>
  <c r="E33" i="3"/>
  <c r="B34" i="3"/>
  <c r="C34" i="3"/>
  <c r="D34" i="3"/>
  <c r="E34" i="3"/>
  <c r="B35" i="3"/>
  <c r="C35" i="3"/>
  <c r="D35" i="3"/>
  <c r="E35" i="3"/>
  <c r="B36" i="3"/>
  <c r="C36" i="3"/>
  <c r="D36" i="3"/>
  <c r="E36" i="3"/>
  <c r="B37" i="3"/>
  <c r="C37" i="3"/>
  <c r="D37" i="3"/>
  <c r="E37" i="3"/>
  <c r="B38" i="3"/>
  <c r="C38" i="3"/>
  <c r="D38" i="3"/>
  <c r="E38" i="3"/>
  <c r="B39" i="3"/>
  <c r="C39" i="3"/>
  <c r="D39" i="3"/>
  <c r="E39" i="3"/>
  <c r="B40" i="3"/>
  <c r="C40" i="3"/>
  <c r="D40" i="3"/>
  <c r="E40" i="3"/>
  <c r="B41" i="3"/>
  <c r="C41" i="3"/>
  <c r="D41" i="3"/>
  <c r="E41" i="3"/>
  <c r="B42" i="3"/>
  <c r="C42" i="3"/>
  <c r="D42" i="3"/>
  <c r="E42" i="3"/>
  <c r="B43" i="3"/>
  <c r="C43" i="3"/>
  <c r="D43" i="3"/>
  <c r="E43" i="3"/>
  <c r="B44" i="3"/>
  <c r="C44" i="3"/>
  <c r="D44" i="3"/>
  <c r="E44" i="3"/>
  <c r="B45" i="3"/>
  <c r="C45" i="3"/>
  <c r="D45" i="3"/>
  <c r="E45" i="3"/>
  <c r="B46" i="3"/>
  <c r="C46" i="3"/>
  <c r="D46" i="3"/>
  <c r="E46" i="3"/>
  <c r="B47" i="3"/>
  <c r="C47" i="3"/>
  <c r="D47" i="3"/>
  <c r="E47" i="3"/>
  <c r="B48" i="3"/>
  <c r="C48" i="3"/>
  <c r="D48" i="3"/>
  <c r="E48" i="3"/>
  <c r="B49" i="3"/>
  <c r="C49" i="3"/>
  <c r="D49" i="3"/>
  <c r="E49" i="3"/>
  <c r="B50" i="3"/>
  <c r="C50" i="3"/>
  <c r="D50" i="3"/>
  <c r="E50" i="3"/>
  <c r="B51" i="3"/>
  <c r="C51" i="3"/>
  <c r="D51" i="3"/>
  <c r="E51" i="3"/>
  <c r="B52" i="3"/>
  <c r="C52" i="3"/>
  <c r="D52" i="3"/>
  <c r="E52" i="3"/>
  <c r="B53" i="3"/>
  <c r="C53" i="3"/>
  <c r="D53" i="3"/>
  <c r="E53" i="3"/>
  <c r="B54" i="3"/>
  <c r="C54" i="3"/>
  <c r="D54" i="3"/>
  <c r="E54" i="3"/>
  <c r="B55" i="3"/>
  <c r="C55" i="3"/>
  <c r="D55" i="3"/>
  <c r="E55" i="3"/>
  <c r="B56" i="3"/>
  <c r="C56" i="3"/>
  <c r="D56" i="3"/>
  <c r="E56" i="3"/>
  <c r="B57" i="3"/>
  <c r="C57" i="3"/>
  <c r="D57" i="3"/>
  <c r="E57" i="3"/>
  <c r="B58" i="3"/>
  <c r="C58" i="3"/>
  <c r="D58" i="3"/>
  <c r="E58" i="3"/>
  <c r="B59" i="3"/>
  <c r="C59" i="3"/>
  <c r="D59" i="3"/>
  <c r="E59" i="3"/>
  <c r="B60" i="3"/>
  <c r="C60" i="3"/>
  <c r="D60" i="3"/>
  <c r="E60" i="3"/>
  <c r="B61" i="3"/>
  <c r="C61" i="3"/>
  <c r="D61" i="3"/>
  <c r="E61" i="3"/>
  <c r="B62" i="3"/>
  <c r="C62" i="3"/>
  <c r="D62" i="3"/>
  <c r="E62" i="3"/>
  <c r="B63" i="3"/>
  <c r="C63" i="3"/>
  <c r="D63" i="3"/>
  <c r="E63" i="3"/>
  <c r="B64" i="3"/>
  <c r="C64" i="3"/>
  <c r="D64" i="3"/>
  <c r="E64" i="3"/>
  <c r="B65" i="3"/>
  <c r="C65" i="3"/>
  <c r="D65" i="3"/>
  <c r="E65" i="3"/>
  <c r="B66" i="3"/>
  <c r="C66" i="3"/>
  <c r="D66" i="3"/>
  <c r="E66" i="3"/>
  <c r="B67" i="3"/>
  <c r="C67" i="3"/>
  <c r="D67" i="3"/>
  <c r="E67" i="3"/>
  <c r="B68" i="3"/>
  <c r="C68" i="3"/>
  <c r="D68" i="3"/>
  <c r="E68" i="3"/>
  <c r="B69" i="3"/>
  <c r="C69" i="3"/>
  <c r="D69" i="3"/>
  <c r="E69" i="3"/>
  <c r="B70" i="3"/>
  <c r="C70" i="3"/>
  <c r="D70" i="3"/>
  <c r="E70" i="3"/>
  <c r="B71" i="3"/>
  <c r="C71" i="3"/>
  <c r="D71" i="3"/>
  <c r="E71" i="3"/>
  <c r="B72" i="3"/>
  <c r="C72" i="3"/>
  <c r="D72" i="3"/>
  <c r="E72" i="3"/>
  <c r="B73" i="3"/>
  <c r="C73" i="3"/>
  <c r="D73" i="3"/>
  <c r="E73" i="3"/>
  <c r="B74" i="3"/>
  <c r="C74" i="3"/>
  <c r="D74" i="3"/>
  <c r="E74" i="3"/>
  <c r="B75" i="3"/>
  <c r="C75" i="3"/>
  <c r="D75" i="3"/>
  <c r="E75" i="3"/>
  <c r="B76" i="3"/>
  <c r="C76" i="3"/>
  <c r="D76" i="3"/>
  <c r="E76" i="3"/>
  <c r="B77" i="3"/>
  <c r="C77" i="3"/>
  <c r="D77" i="3"/>
  <c r="E77" i="3"/>
  <c r="B78" i="3"/>
  <c r="C78" i="3"/>
  <c r="D78" i="3"/>
  <c r="E78" i="3"/>
  <c r="B79" i="3"/>
  <c r="C79" i="3"/>
  <c r="D79" i="3"/>
  <c r="E79" i="3"/>
  <c r="B80" i="3"/>
  <c r="C80" i="3"/>
  <c r="D80" i="3"/>
  <c r="E80" i="3"/>
  <c r="B81" i="3"/>
  <c r="C81" i="3"/>
  <c r="D81" i="3"/>
  <c r="E81" i="3"/>
  <c r="B82" i="3"/>
  <c r="C82" i="3"/>
  <c r="D82" i="3"/>
  <c r="E82" i="3"/>
  <c r="B83" i="3"/>
  <c r="C83" i="3"/>
  <c r="D83" i="3"/>
  <c r="E83" i="3"/>
  <c r="B84" i="3"/>
  <c r="C84" i="3"/>
  <c r="D84" i="3"/>
  <c r="E84" i="3"/>
  <c r="B85" i="3"/>
  <c r="C85" i="3"/>
  <c r="D85" i="3"/>
  <c r="E85" i="3"/>
  <c r="B86" i="3"/>
  <c r="C86" i="3"/>
  <c r="D86" i="3"/>
  <c r="E86" i="3"/>
  <c r="B87" i="3"/>
  <c r="C87" i="3"/>
  <c r="D87" i="3"/>
  <c r="E87" i="3"/>
  <c r="B88" i="3"/>
  <c r="C88" i="3"/>
  <c r="D88" i="3"/>
  <c r="E88" i="3"/>
  <c r="B89" i="3"/>
  <c r="C89" i="3"/>
  <c r="D89" i="3"/>
  <c r="E89" i="3"/>
  <c r="B90" i="3"/>
  <c r="C90" i="3"/>
  <c r="D90" i="3"/>
  <c r="E90" i="3"/>
  <c r="B91" i="3"/>
  <c r="C91" i="3"/>
  <c r="D91" i="3"/>
  <c r="E91" i="3"/>
  <c r="B92" i="3"/>
  <c r="C92" i="3"/>
  <c r="D92" i="3"/>
  <c r="E92" i="3"/>
  <c r="B93" i="3"/>
  <c r="C93" i="3"/>
  <c r="D93" i="3"/>
  <c r="E93" i="3"/>
  <c r="B94" i="3"/>
  <c r="C94" i="3"/>
  <c r="D94" i="3"/>
  <c r="E94" i="3"/>
  <c r="B95" i="3"/>
  <c r="C95" i="3"/>
  <c r="D95" i="3"/>
  <c r="E95" i="3"/>
  <c r="B96" i="3"/>
  <c r="C96" i="3"/>
  <c r="D96" i="3"/>
  <c r="E96" i="3"/>
  <c r="B97" i="3"/>
  <c r="C97" i="3"/>
  <c r="D97" i="3"/>
  <c r="E97" i="3"/>
  <c r="B98" i="3"/>
  <c r="C98" i="3"/>
  <c r="D98" i="3"/>
  <c r="E98" i="3"/>
  <c r="B99" i="3"/>
  <c r="C99" i="3"/>
  <c r="D99" i="3"/>
  <c r="E99" i="3"/>
  <c r="B100" i="3"/>
  <c r="C100" i="3"/>
  <c r="D100" i="3"/>
  <c r="E100" i="3"/>
  <c r="B101" i="3"/>
  <c r="C101" i="3"/>
  <c r="D101" i="3"/>
  <c r="E101" i="3"/>
  <c r="B102" i="3"/>
  <c r="C102" i="3"/>
  <c r="D102" i="3"/>
  <c r="E102" i="3"/>
  <c r="B103" i="3"/>
  <c r="C103" i="3"/>
  <c r="D103" i="3"/>
  <c r="E103" i="3"/>
  <c r="B104" i="3"/>
  <c r="C104" i="3"/>
  <c r="D104" i="3"/>
  <c r="E104" i="3"/>
  <c r="B105" i="3"/>
  <c r="C105" i="3"/>
  <c r="D105" i="3"/>
  <c r="E105" i="3"/>
  <c r="B106" i="3"/>
  <c r="C106" i="3"/>
  <c r="D106" i="3"/>
  <c r="E106" i="3"/>
  <c r="B107" i="3"/>
  <c r="C107" i="3"/>
  <c r="D107" i="3"/>
  <c r="E107" i="3"/>
  <c r="B108" i="3"/>
  <c r="C108" i="3"/>
  <c r="D108" i="3"/>
  <c r="E108" i="3"/>
  <c r="B109" i="3"/>
  <c r="C109" i="3"/>
  <c r="D109" i="3"/>
  <c r="E109" i="3"/>
  <c r="B110" i="3"/>
  <c r="C110" i="3"/>
  <c r="D110" i="3"/>
  <c r="E110" i="3"/>
  <c r="B111" i="3"/>
  <c r="C111" i="3"/>
  <c r="D111" i="3"/>
  <c r="E111" i="3"/>
  <c r="B112" i="3"/>
  <c r="C112" i="3"/>
  <c r="D112" i="3"/>
  <c r="E11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C13" authorId="0" shapeId="0" xr:uid="{00000000-0006-0000-0000-000001000000}">
      <text>
        <r>
          <rPr>
            <b/>
            <sz val="10"/>
            <color indexed="81"/>
            <rFont val="Tahoma"/>
            <family val="2"/>
          </rPr>
          <t>=ODE_RK4(SE(E(A12&gt;=$H$6;A12&lt;$I$6);$E$11:$E$12;SE(E(A12&gt;=$H$7;A12&lt;=$I$7);$E$13:$E$14;$E$15:$E$16));A12:C12;$E$3;$G$3;$H$3)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F12" authorId="0" shapeId="0" xr:uid="{00000000-0006-0000-0200-000001000000}">
      <text>
        <r>
          <rPr>
            <b/>
            <sz val="10"/>
            <color indexed="81"/>
            <rFont val="Tahoma"/>
            <family val="2"/>
          </rPr>
          <t>=SE(E(A12&gt;=$H$6;A12&lt;$I$6);0,5;SE(E(A12&gt;=$H$7;A12&lt;=$I$7);1-A12/8;0))</t>
        </r>
      </text>
    </comment>
    <comment ref="B13" authorId="0" shapeId="0" xr:uid="{00000000-0006-0000-0200-000002000000}">
      <text>
        <r>
          <rPr>
            <b/>
            <sz val="10"/>
            <color indexed="81"/>
            <rFont val="Tahoma"/>
            <family val="2"/>
          </rPr>
          <t>=SE($B$9="n";B12;B12+$E$3/2*(C12+C13))</t>
        </r>
      </text>
    </comment>
    <comment ref="D13" authorId="0" shapeId="0" xr:uid="{00000000-0006-0000-0200-000003000000}">
      <text>
        <r>
          <rPr>
            <b/>
            <sz val="10"/>
            <color indexed="81"/>
            <rFont val="Tahoma"/>
            <family val="2"/>
          </rPr>
          <t>=SE($B$9="n";D12;D12+$E$3/2*(E12+E13))</t>
        </r>
      </text>
    </comment>
  </commentList>
</comments>
</file>

<file path=xl/sharedStrings.xml><?xml version="1.0" encoding="utf-8"?>
<sst xmlns="http://schemas.openxmlformats.org/spreadsheetml/2006/main" count="61" uniqueCount="37">
  <si>
    <t>t</t>
  </si>
  <si>
    <t>s</t>
  </si>
  <si>
    <t>Inicia?</t>
  </si>
  <si>
    <t>h</t>
  </si>
  <si>
    <t>z</t>
  </si>
  <si>
    <t>x</t>
  </si>
  <si>
    <t>x'</t>
  </si>
  <si>
    <t>x' = z</t>
  </si>
  <si>
    <t>z'=(0-u*z)/m</t>
  </si>
  <si>
    <t>t &gt; 8</t>
  </si>
  <si>
    <t>4 &lt;= t &lt;= 8</t>
  </si>
  <si>
    <t>1-t/8</t>
  </si>
  <si>
    <t>F(t) =</t>
  </si>
  <si>
    <t>0 &lt;= t &lt; 4</t>
  </si>
  <si>
    <r>
      <rPr>
        <b/>
        <sz val="11"/>
        <color indexed="8"/>
        <rFont val="Calibri"/>
        <family val="2"/>
      </rPr>
      <t>x</t>
    </r>
    <r>
      <rPr>
        <sz val="11"/>
        <color theme="1"/>
        <rFont val="Calibri"/>
        <family val="2"/>
        <scheme val="minor"/>
      </rPr>
      <t xml:space="preserve">' = </t>
    </r>
    <r>
      <rPr>
        <b/>
        <sz val="11"/>
        <color indexed="8"/>
        <rFont val="Calibri"/>
        <family val="2"/>
      </rPr>
      <t>z</t>
    </r>
  </si>
  <si>
    <t>z'=(1-t/8-u*z)/m</t>
  </si>
  <si>
    <t>t(fim)</t>
  </si>
  <si>
    <t>t(inicial)</t>
  </si>
  <si>
    <r>
      <rPr>
        <b/>
        <sz val="11"/>
        <color indexed="8"/>
        <rFont val="Calibri"/>
        <family val="2"/>
      </rPr>
      <t>z</t>
    </r>
    <r>
      <rPr>
        <sz val="11"/>
        <color theme="1"/>
        <rFont val="Calibri"/>
        <family val="2"/>
        <scheme val="minor"/>
      </rPr>
      <t>' = [F(t) - u.</t>
    </r>
    <r>
      <rPr>
        <b/>
        <sz val="11"/>
        <color indexed="8"/>
        <rFont val="Calibri"/>
        <family val="2"/>
      </rPr>
      <t>z</t>
    </r>
    <r>
      <rPr>
        <sz val="11"/>
        <color theme="1"/>
        <rFont val="Calibri"/>
        <family val="2"/>
        <scheme val="minor"/>
      </rPr>
      <t>]/m</t>
    </r>
  </si>
  <si>
    <t>x'' = [F(t) - u.x']/m</t>
  </si>
  <si>
    <t>x''m = F(t) - u.x'</t>
  </si>
  <si>
    <t>u</t>
  </si>
  <si>
    <t>m</t>
  </si>
  <si>
    <t>mx'' + u.x' = F(x)</t>
  </si>
  <si>
    <t>Equação :</t>
  </si>
  <si>
    <t xml:space="preserve">  --&gt; y(t+h) = y(t) + h/2*[ y'(t+h) + y'(t) ]</t>
  </si>
  <si>
    <t>[ y(t+h) - y(t) ]/h = [ y'(t+h) + y'(t) ]/2</t>
  </si>
  <si>
    <t>Método das diferenças finitas :</t>
  </si>
  <si>
    <t>F(t)</t>
  </si>
  <si>
    <t>z'</t>
  </si>
  <si>
    <t>e(x')</t>
  </si>
  <si>
    <t>e(x)</t>
  </si>
  <si>
    <t>Referência : rk4 com passo=0.1</t>
  </si>
  <si>
    <t>Erro no método das diferenças finitas - passo = 1</t>
  </si>
  <si>
    <t>Equação : mx'' + u.x' = F(x) resolvida pelo método das diferenças finitas</t>
  </si>
  <si>
    <t>Equação : mx'' + u.x' = F(x) resolvida pelo método RK4</t>
  </si>
  <si>
    <t>z'=(0,5-u*z)/m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</si>
</sst>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0"/>
      <name val="Arial"/>
      <family val="2"/>
    </font>
    <font>
      <b/>
      <sz val="10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20">
    <xf numFmtId="0" fontId="0" fillId="0" borderId="0" xfId="0"/>
    <xf numFmtId="2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0" fontId="6" fillId="0" borderId="0" xfId="0" applyFont="1" applyAlignment="1"/>
    <xf numFmtId="164" fontId="4" fillId="0" borderId="0" xfId="2" applyNumberFormat="1" applyFont="1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2" fontId="0" fillId="2" borderId="0" xfId="0" applyNumberFormat="1" applyFill="1"/>
    <xf numFmtId="2" fontId="0" fillId="2" borderId="0" xfId="0" applyNumberFormat="1" applyFill="1" applyAlignment="1"/>
    <xf numFmtId="0" fontId="0" fillId="2" borderId="0" xfId="0" applyFill="1" applyAlignment="1">
      <alignment horizontal="center"/>
    </xf>
    <xf numFmtId="2" fontId="0" fillId="0" borderId="5" xfId="0" applyNumberFormat="1" applyBorder="1"/>
    <xf numFmtId="2" fontId="0" fillId="0" borderId="6" xfId="0" applyNumberFormat="1" applyBorder="1"/>
    <xf numFmtId="2" fontId="0" fillId="0" borderId="7" xfId="0" applyNumberFormat="1" applyBorder="1"/>
    <xf numFmtId="2" fontId="0" fillId="0" borderId="8" xfId="0" applyNumberFormat="1" applyBorder="1"/>
  </cellXfs>
  <cellStyles count="4">
    <cellStyle name="Normal" xfId="0" builtinId="0"/>
    <cellStyle name="Normal 2" xfId="1" xr:uid="{00000000-0005-0000-0000-000001000000}"/>
    <cellStyle name="Porcentagem" xfId="2" builtinId="5"/>
    <cellStyle name="Separador de milhares 2" xfId="3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3.xml"/><Relationship Id="rId10" Type="http://schemas.microsoft.com/office/2006/relationships/vbaProject" Target="vbaProject.bin"/><Relationship Id="rId4" Type="http://schemas.openxmlformats.org/officeDocument/2006/relationships/chartsheet" Target="chartsheets/sheet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315514993481324E-2"/>
          <c:y val="3.3412887828162291E-2"/>
          <c:w val="0.85788787483702733"/>
          <c:h val="0.7828162291169434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'edo - rk4'!$B$11</c:f>
              <c:strCache>
                <c:ptCount val="1"/>
                <c:pt idx="0">
                  <c:v>x</c:v>
                </c:pt>
              </c:strCache>
            </c:strRef>
          </c:tx>
          <c:marker>
            <c:symbol val="circle"/>
            <c:size val="4"/>
            <c:spPr>
              <a:solidFill>
                <a:srgbClr val="FFFF00"/>
              </a:solidFill>
            </c:spPr>
          </c:marker>
          <c:xVal>
            <c:numRef>
              <c:f>'edo - rk4'!$A$12:$A$512</c:f>
              <c:numCache>
                <c:formatCode>0.00</c:formatCode>
                <c:ptCount val="50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</c:numCache>
            </c:numRef>
          </c:xVal>
          <c:yVal>
            <c:numRef>
              <c:f>'edo - rk4'!$B$12:$B$512</c:f>
              <c:numCache>
                <c:formatCode>0.00</c:formatCode>
                <c:ptCount val="501"/>
                <c:pt idx="0">
                  <c:v>0</c:v>
                </c:pt>
                <c:pt idx="1">
                  <c:v>3.0729166666666669E-2</c:v>
                </c:pt>
                <c:pt idx="2">
                  <c:v>0.12092318793402777</c:v>
                </c:pt>
                <c:pt idx="3">
                  <c:v>0.26768191328916197</c:v>
                </c:pt>
                <c:pt idx="4">
                  <c:v>0.46824663497645513</c:v>
                </c:pt>
                <c:pt idx="5">
                  <c:v>0.71999318971645754</c:v>
                </c:pt>
                <c:pt idx="6">
                  <c:v>1.020425396859661</c:v>
                </c:pt>
                <c:pt idx="7">
                  <c:v>1.3671688165669846</c:v>
                </c:pt>
                <c:pt idx="8">
                  <c:v>1.757964812408999</c:v>
                </c:pt>
                <c:pt idx="9">
                  <c:v>2.1906649035371353</c:v>
                </c:pt>
                <c:pt idx="10">
                  <c:v>2.6593842464708763</c:v>
                </c:pt>
                <c:pt idx="11">
                  <c:v>3.1547457095752862</c:v>
                </c:pt>
                <c:pt idx="12">
                  <c:v>3.6678294917395413</c:v>
                </c:pt>
                <c:pt idx="13">
                  <c:v>4.1901508179861606</c:v>
                </c:pt>
                <c:pt idx="14">
                  <c:v>4.7136387228839602</c:v>
                </c:pt>
                <c:pt idx="15">
                  <c:v>5.2306158687116406</c:v>
                </c:pt>
                <c:pt idx="16">
                  <c:v>5.7337793479063501</c:v>
                </c:pt>
                <c:pt idx="17">
                  <c:v>6.2161824217928343</c:v>
                </c:pt>
                <c:pt idx="18">
                  <c:v>6.6750582957633133</c:v>
                </c:pt>
                <c:pt idx="19">
                  <c:v>7.1115544109636897</c:v>
                </c:pt>
                <c:pt idx="20">
                  <c:v>7.526762246878981</c:v>
                </c:pt>
                <c:pt idx="21">
                  <c:v>7.9217200506301539</c:v>
                </c:pt>
                <c:pt idx="22">
                  <c:v>8.2974154331608787</c:v>
                </c:pt>
                <c:pt idx="23">
                  <c:v>8.6547878388060955</c:v>
                </c:pt>
                <c:pt idx="24">
                  <c:v>8.9947308944176569</c:v>
                </c:pt>
                <c:pt idx="25">
                  <c:v>9.318094643921162</c:v>
                </c:pt>
                <c:pt idx="26">
                  <c:v>9.6256876738915906</c:v>
                </c:pt>
                <c:pt idx="27">
                  <c:v>9.9182791354628357</c:v>
                </c:pt>
                <c:pt idx="28">
                  <c:v>10.196600667627033</c:v>
                </c:pt>
                <c:pt idx="29">
                  <c:v>10.461348226732973</c:v>
                </c:pt>
                <c:pt idx="30">
                  <c:v>10.71318382675835</c:v>
                </c:pt>
                <c:pt idx="31">
                  <c:v>10.952737194707488</c:v>
                </c:pt>
                <c:pt idx="32">
                  <c:v>11.180607345273941</c:v>
                </c:pt>
                <c:pt idx="33">
                  <c:v>11.397364078705477</c:v>
                </c:pt>
                <c:pt idx="34">
                  <c:v>11.603549405616945</c:v>
                </c:pt>
                <c:pt idx="35">
                  <c:v>11.799678902313836</c:v>
                </c:pt>
                <c:pt idx="36">
                  <c:v>11.986243000015572</c:v>
                </c:pt>
                <c:pt idx="37">
                  <c:v>12.163708211202312</c:v>
                </c:pt>
                <c:pt idx="38">
                  <c:v>12.3325182961518</c:v>
                </c:pt>
                <c:pt idx="39">
                  <c:v>12.49309537258323</c:v>
                </c:pt>
                <c:pt idx="40">
                  <c:v>12.645840971182869</c:v>
                </c:pt>
                <c:pt idx="41">
                  <c:v>12.791137039650804</c:v>
                </c:pt>
                <c:pt idx="42">
                  <c:v>12.929346897779501</c:v>
                </c:pt>
                <c:pt idx="43">
                  <c:v>13.06081614595238</c:v>
                </c:pt>
                <c:pt idx="44">
                  <c:v>13.185873529334161</c:v>
                </c:pt>
                <c:pt idx="45">
                  <c:v>13.304831759913926</c:v>
                </c:pt>
                <c:pt idx="46">
                  <c:v>13.417988298456457</c:v>
                </c:pt>
                <c:pt idx="47">
                  <c:v>13.525626098317154</c:v>
                </c:pt>
                <c:pt idx="48">
                  <c:v>13.628014312980477</c:v>
                </c:pt>
                <c:pt idx="49">
                  <c:v>13.725408969091159</c:v>
                </c:pt>
                <c:pt idx="50">
                  <c:v>13.81805360666111</c:v>
                </c:pt>
                <c:pt idx="51">
                  <c:v>13.906179888052909</c:v>
                </c:pt>
                <c:pt idx="52">
                  <c:v>13.990008177262663</c:v>
                </c:pt>
                <c:pt idx="53">
                  <c:v>14.069748090950748</c:v>
                </c:pt>
                <c:pt idx="54">
                  <c:v>14.145599022598338</c:v>
                </c:pt>
                <c:pt idx="55">
                  <c:v>14.217750641100364</c:v>
                </c:pt>
                <c:pt idx="56">
                  <c:v>14.286383365041699</c:v>
                </c:pt>
                <c:pt idx="57">
                  <c:v>14.351668813842478</c:v>
                </c:pt>
                <c:pt idx="58">
                  <c:v>14.413770236900701</c:v>
                </c:pt>
                <c:pt idx="59">
                  <c:v>14.47284292180519</c:v>
                </c:pt>
                <c:pt idx="60">
                  <c:v>14.52903458263965</c:v>
                </c:pt>
                <c:pt idx="61">
                  <c:v>14.582485729348829</c:v>
                </c:pt>
                <c:pt idx="62">
                  <c:v>14.633330019090378</c:v>
                </c:pt>
                <c:pt idx="63">
                  <c:v>14.681694590450991</c:v>
                </c:pt>
                <c:pt idx="64">
                  <c:v>14.727700381362538</c:v>
                </c:pt>
                <c:pt idx="65">
                  <c:v>14.77146243151317</c:v>
                </c:pt>
                <c:pt idx="66">
                  <c:v>14.813090170009579</c:v>
                </c:pt>
                <c:pt idx="67">
                  <c:v>14.852687689009736</c:v>
                </c:pt>
                <c:pt idx="68">
                  <c:v>14.890354004010323</c:v>
                </c:pt>
                <c:pt idx="69">
                  <c:v>14.926183301439735</c:v>
                </c:pt>
                <c:pt idx="70">
                  <c:v>14.960265174175769</c:v>
                </c:pt>
                <c:pt idx="71">
                  <c:v>14.992684845576905</c:v>
                </c:pt>
                <c:pt idx="72">
                  <c:v>15.023523382587415</c:v>
                </c:pt>
                <c:pt idx="73">
                  <c:v>15.052857898449142</c:v>
                </c:pt>
                <c:pt idx="74">
                  <c:v>15.080761745526862</c:v>
                </c:pt>
                <c:pt idx="75">
                  <c:v>15.107304698729395</c:v>
                </c:pt>
                <c:pt idx="76">
                  <c:v>15.132553129985114</c:v>
                </c:pt>
                <c:pt idx="77">
                  <c:v>15.156570174208131</c:v>
                </c:pt>
                <c:pt idx="78">
                  <c:v>15.179415887170189</c:v>
                </c:pt>
                <c:pt idx="79">
                  <c:v>15.201147395672992</c:v>
                </c:pt>
                <c:pt idx="80">
                  <c:v>15.221819040396523</c:v>
                </c:pt>
                <c:pt idx="81">
                  <c:v>15.241482511780518</c:v>
                </c:pt>
                <c:pt idx="82">
                  <c:v>15.260186979278888</c:v>
                </c:pt>
                <c:pt idx="83">
                  <c:v>15.277979214310307</c:v>
                </c:pt>
                <c:pt idx="84">
                  <c:v>15.294903707212381</c:v>
                </c:pt>
                <c:pt idx="85">
                  <c:v>15.311002778491877</c:v>
                </c:pt>
                <c:pt idx="86">
                  <c:v>15.32631668464918</c:v>
                </c:pt>
                <c:pt idx="87">
                  <c:v>15.340883718841603</c:v>
                </c:pt>
                <c:pt idx="88">
                  <c:v>15.354740306637266</c:v>
                </c:pt>
                <c:pt idx="89">
                  <c:v>15.367921097098979</c:v>
                </c:pt>
                <c:pt idx="90">
                  <c:v>15.38045904942588</c:v>
                </c:pt>
                <c:pt idx="91">
                  <c:v>15.392385515369506</c:v>
                </c:pt>
                <c:pt idx="92">
                  <c:v>15.403730317630339</c:v>
                </c:pt>
                <c:pt idx="93">
                  <c:v>15.41452182443091</c:v>
                </c:pt>
                <c:pt idx="94">
                  <c:v>15.424787020451895</c:v>
                </c:pt>
                <c:pt idx="95">
                  <c:v>15.434551574308605</c:v>
                </c:pt>
                <c:pt idx="96">
                  <c:v>15.443839902736595</c:v>
                </c:pt>
                <c:pt idx="97">
                  <c:v>15.452675231646879</c:v>
                </c:pt>
                <c:pt idx="98">
                  <c:v>15.461079654203434</c:v>
                </c:pt>
                <c:pt idx="99">
                  <c:v>15.469074186068221</c:v>
                </c:pt>
                <c:pt idx="100">
                  <c:v>15.476678817951852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0F-4A83-89DA-66E04D93D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131864"/>
        <c:axId val="1"/>
      </c:scatterChart>
      <c:scatterChart>
        <c:scatterStyle val="smoothMarker"/>
        <c:varyColors val="0"/>
        <c:ser>
          <c:idx val="1"/>
          <c:order val="1"/>
          <c:tx>
            <c:strRef>
              <c:f>'edo - rk4'!$C$11</c:f>
              <c:strCache>
                <c:ptCount val="1"/>
                <c:pt idx="0">
                  <c:v>z</c:v>
                </c:pt>
              </c:strCache>
            </c:strRef>
          </c:tx>
          <c:marker>
            <c:symbol val="circle"/>
            <c:size val="4"/>
            <c:spPr>
              <a:solidFill>
                <a:srgbClr val="FFFF00"/>
              </a:solidFill>
            </c:spPr>
          </c:marker>
          <c:xVal>
            <c:numRef>
              <c:f>'edo - rk4'!$A$12:$A$512</c:f>
              <c:numCache>
                <c:formatCode>0.00</c:formatCode>
                <c:ptCount val="50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</c:numCache>
            </c:numRef>
          </c:xVal>
          <c:yVal>
            <c:numRef>
              <c:f>'edo - rk4'!$C$12:$C$512</c:f>
              <c:numCache>
                <c:formatCode>0.00</c:formatCode>
                <c:ptCount val="501"/>
                <c:pt idx="0">
                  <c:v>0</c:v>
                </c:pt>
                <c:pt idx="1">
                  <c:v>0.12192708333333332</c:v>
                </c:pt>
                <c:pt idx="2">
                  <c:v>0.23790768120659722</c:v>
                </c:pt>
                <c:pt idx="3">
                  <c:v>0.34823180867108378</c:v>
                </c:pt>
                <c:pt idx="4">
                  <c:v>0.45317533650235442</c:v>
                </c:pt>
                <c:pt idx="5">
                  <c:v>0.5530006810283542</c:v>
                </c:pt>
                <c:pt idx="6">
                  <c:v>0.6479574603140339</c:v>
                </c:pt>
                <c:pt idx="7">
                  <c:v>0.73828311834330151</c:v>
                </c:pt>
                <c:pt idx="8">
                  <c:v>0.82420351875910014</c:v>
                </c:pt>
                <c:pt idx="9">
                  <c:v>0.90593350964628649</c:v>
                </c:pt>
                <c:pt idx="10">
                  <c:v>0.96843657535291239</c:v>
                </c:pt>
                <c:pt idx="11">
                  <c:v>1.0126504290424714</c:v>
                </c:pt>
                <c:pt idx="12">
                  <c:v>1.0394670508260457</c:v>
                </c:pt>
                <c:pt idx="13">
                  <c:v>1.0497349182013838</c:v>
                </c:pt>
                <c:pt idx="14">
                  <c:v>1.0442611277116038</c:v>
                </c:pt>
                <c:pt idx="15">
                  <c:v>1.0238134131288359</c:v>
                </c:pt>
                <c:pt idx="16">
                  <c:v>0.98912206520936496</c:v>
                </c:pt>
                <c:pt idx="17">
                  <c:v>0.94088175782071659</c:v>
                </c:pt>
                <c:pt idx="18">
                  <c:v>0.89499417042366869</c:v>
                </c:pt>
                <c:pt idx="19">
                  <c:v>0.85134455890363103</c:v>
                </c:pt>
                <c:pt idx="20">
                  <c:v>0.80982377531210181</c:v>
                </c:pt>
                <c:pt idx="21">
                  <c:v>0.77032799493698456</c:v>
                </c:pt>
                <c:pt idx="22">
                  <c:v>0.73275845668391204</c:v>
                </c:pt>
                <c:pt idx="23">
                  <c:v>0.69702121611939039</c:v>
                </c:pt>
                <c:pt idx="24">
                  <c:v>0.66302691055823426</c:v>
                </c:pt>
                <c:pt idx="25">
                  <c:v>0.63069053560788368</c:v>
                </c:pt>
                <c:pt idx="26">
                  <c:v>0.5999312326108408</c:v>
                </c:pt>
                <c:pt idx="27">
                  <c:v>0.57067208645371625</c:v>
                </c:pt>
                <c:pt idx="28">
                  <c:v>0.54283993323729651</c:v>
                </c:pt>
                <c:pt idx="29">
                  <c:v>0.51636517732670251</c:v>
                </c:pt>
                <c:pt idx="30">
                  <c:v>0.49118161732416477</c:v>
                </c:pt>
                <c:pt idx="31">
                  <c:v>0.4672262805292508</c:v>
                </c:pt>
                <c:pt idx="32">
                  <c:v>0.44443926547260548</c:v>
                </c:pt>
                <c:pt idx="33">
                  <c:v>0.42276359212945197</c:v>
                </c:pt>
                <c:pt idx="34">
                  <c:v>0.40214505943830514</c:v>
                </c:pt>
                <c:pt idx="35">
                  <c:v>0.38253210976861612</c:v>
                </c:pt>
                <c:pt idx="36">
                  <c:v>0.3638756999984426</c:v>
                </c:pt>
                <c:pt idx="37">
                  <c:v>0.34612917887976857</c:v>
                </c:pt>
                <c:pt idx="38">
                  <c:v>0.32924817038481985</c:v>
                </c:pt>
                <c:pt idx="39">
                  <c:v>0.31319046274167683</c:v>
                </c:pt>
                <c:pt idx="40">
                  <c:v>0.29791590288171299</c:v>
                </c:pt>
                <c:pt idx="41">
                  <c:v>0.28338629603491944</c:v>
                </c:pt>
                <c:pt idx="42">
                  <c:v>0.26956531022204971</c:v>
                </c:pt>
                <c:pt idx="43">
                  <c:v>0.25641838540476181</c:v>
                </c:pt>
                <c:pt idx="44">
                  <c:v>0.24391264706658372</c:v>
                </c:pt>
                <c:pt idx="45">
                  <c:v>0.23201682400860721</c:v>
                </c:pt>
                <c:pt idx="46">
                  <c:v>0.22070117015435409</c:v>
                </c:pt>
                <c:pt idx="47">
                  <c:v>0.20993739016828444</c:v>
                </c:pt>
                <c:pt idx="48">
                  <c:v>0.19969856870195207</c:v>
                </c:pt>
                <c:pt idx="49">
                  <c:v>0.18995910309088396</c:v>
                </c:pt>
                <c:pt idx="50">
                  <c:v>0.18069463933388896</c:v>
                </c:pt>
                <c:pt idx="51">
                  <c:v>0.17188201119470908</c:v>
                </c:pt>
                <c:pt idx="52">
                  <c:v>0.16349918227373378</c:v>
                </c:pt>
                <c:pt idx="53">
                  <c:v>0.15552519090492523</c:v>
                </c:pt>
                <c:pt idx="54">
                  <c:v>0.14794009774016625</c:v>
                </c:pt>
                <c:pt idx="55">
                  <c:v>0.14072493588996357</c:v>
                </c:pt>
                <c:pt idx="56">
                  <c:v>0.13386166349583015</c:v>
                </c:pt>
                <c:pt idx="57">
                  <c:v>0.12733311861575225</c:v>
                </c:pt>
                <c:pt idx="58">
                  <c:v>0.12112297630992983</c:v>
                </c:pt>
                <c:pt idx="59">
                  <c:v>0.11521570781948096</c:v>
                </c:pt>
                <c:pt idx="60">
                  <c:v>0.10959654173603502</c:v>
                </c:pt>
                <c:pt idx="61">
                  <c:v>0.10425142706511714</c:v>
                </c:pt>
                <c:pt idx="62">
                  <c:v>9.9166998090962161E-2</c:v>
                </c:pt>
                <c:pt idx="63">
                  <c:v>9.4330540954900857E-2</c:v>
                </c:pt>
                <c:pt idx="64">
                  <c:v>8.972996186374621E-2</c:v>
                </c:pt>
                <c:pt idx="65">
                  <c:v>8.5353756848683085E-2</c:v>
                </c:pt>
                <c:pt idx="66">
                  <c:v>8.1190982999042108E-2</c:v>
                </c:pt>
                <c:pt idx="67">
                  <c:v>7.7231231099026326E-2</c:v>
                </c:pt>
                <c:pt idx="68">
                  <c:v>7.3464599598967562E-2</c:v>
                </c:pt>
                <c:pt idx="69">
                  <c:v>6.9881669856026243E-2</c:v>
                </c:pt>
                <c:pt idx="70">
                  <c:v>6.6473482582422957E-2</c:v>
                </c:pt>
                <c:pt idx="71">
                  <c:v>6.3231515442309372E-2</c:v>
                </c:pt>
                <c:pt idx="72">
                  <c:v>6.0147661741258407E-2</c:v>
                </c:pt>
                <c:pt idx="73">
                  <c:v>5.7214210155085786E-2</c:v>
                </c:pt>
                <c:pt idx="74">
                  <c:v>5.4423825447313792E-2</c:v>
                </c:pt>
                <c:pt idx="75">
                  <c:v>5.1769530127060426E-2</c:v>
                </c:pt>
                <c:pt idx="76">
                  <c:v>4.9244687001488582E-2</c:v>
                </c:pt>
                <c:pt idx="77">
                  <c:v>4.6842982579186815E-2</c:v>
                </c:pt>
                <c:pt idx="78">
                  <c:v>4.4558411282981061E-2</c:v>
                </c:pt>
                <c:pt idx="79">
                  <c:v>4.2385260432700675E-2</c:v>
                </c:pt>
                <c:pt idx="80">
                  <c:v>4.0318095960347501E-2</c:v>
                </c:pt>
                <c:pt idx="81">
                  <c:v>3.8351748821948056E-2</c:v>
                </c:pt>
                <c:pt idx="82">
                  <c:v>3.6481302072110963E-2</c:v>
                </c:pt>
                <c:pt idx="83">
                  <c:v>3.470207856896905E-2</c:v>
                </c:pt>
                <c:pt idx="84">
                  <c:v>3.3009629278761624E-2</c:v>
                </c:pt>
                <c:pt idx="85">
                  <c:v>3.1399722150812021E-2</c:v>
                </c:pt>
                <c:pt idx="86">
                  <c:v>2.9868331535081793E-2</c:v>
                </c:pt>
                <c:pt idx="87">
                  <c:v>2.8411628115839575E-2</c:v>
                </c:pt>
                <c:pt idx="88">
                  <c:v>2.7025969336273315E-2</c:v>
                </c:pt>
                <c:pt idx="89">
                  <c:v>2.5707890290102151E-2</c:v>
                </c:pt>
                <c:pt idx="90">
                  <c:v>2.4454095057411959E-2</c:v>
                </c:pt>
                <c:pt idx="91">
                  <c:v>2.3261448463049429E-2</c:v>
                </c:pt>
                <c:pt idx="92">
                  <c:v>2.2126968236966124E-2</c:v>
                </c:pt>
                <c:pt idx="93">
                  <c:v>2.1047817556909088E-2</c:v>
                </c:pt>
                <c:pt idx="94">
                  <c:v>2.0021297954810668E-2</c:v>
                </c:pt>
                <c:pt idx="95">
                  <c:v>1.9044842569139589E-2</c:v>
                </c:pt>
                <c:pt idx="96">
                  <c:v>1.8116009726340511E-2</c:v>
                </c:pt>
                <c:pt idx="97">
                  <c:v>1.7232476835312111E-2</c:v>
                </c:pt>
                <c:pt idx="98">
                  <c:v>1.6392034579656576E-2</c:v>
                </c:pt>
                <c:pt idx="99">
                  <c:v>1.5592581393177908E-2</c:v>
                </c:pt>
                <c:pt idx="100">
                  <c:v>1.4832118204814794E-2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0F-4A83-89DA-66E04D93D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420131864"/>
        <c:scaling>
          <c:orientation val="minMax"/>
          <c:max val="5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20131864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3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315514993481269E-2"/>
          <c:y val="3.3412887828162291E-2"/>
          <c:w val="0.85788787483702733"/>
          <c:h val="0.7828162291169439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'edo - fd'!$B$11</c:f>
              <c:strCache>
                <c:ptCount val="1"/>
                <c:pt idx="0">
                  <c:v>x</c:v>
                </c:pt>
              </c:strCache>
            </c:strRef>
          </c:tx>
          <c:marker>
            <c:symbol val="circle"/>
            <c:size val="4"/>
            <c:spPr>
              <a:solidFill>
                <a:srgbClr val="FFFF00"/>
              </a:solidFill>
            </c:spPr>
          </c:marker>
          <c:xVal>
            <c:numRef>
              <c:f>'edo - fd'!$A$12:$A$112</c:f>
              <c:numCache>
                <c:formatCode>0.00</c:formatCode>
                <c:ptCount val="10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</c:numCache>
            </c:numRef>
          </c:xVal>
          <c:yVal>
            <c:numRef>
              <c:f>'edo - fd'!$B$12:$B$112</c:f>
              <c:numCache>
                <c:formatCode>0.00</c:formatCode>
                <c:ptCount val="101"/>
                <c:pt idx="0">
                  <c:v>0</c:v>
                </c:pt>
                <c:pt idx="1">
                  <c:v>3.048780487804878E-2</c:v>
                </c:pt>
                <c:pt idx="2">
                  <c:v>0.12046400951814396</c:v>
                </c:pt>
                <c:pt idx="3">
                  <c:v>0.26702674076116129</c:v>
                </c:pt>
                <c:pt idx="4">
                  <c:v>0.46741568023622659</c:v>
                </c:pt>
                <c:pt idx="5">
                  <c:v>0.71900515924909358</c:v>
                </c:pt>
                <c:pt idx="6">
                  <c:v>1.0192975905052353</c:v>
                </c:pt>
                <c:pt idx="7">
                  <c:v>1.3659172202366872</c:v>
                </c:pt>
                <c:pt idx="8">
                  <c:v>1.7566041851031904</c:v>
                </c:pt>
                <c:pt idx="9">
                  <c:v>2.1873033711957177</c:v>
                </c:pt>
                <c:pt idx="10">
                  <c:v>2.6503464994300732</c:v>
                </c:pt>
                <c:pt idx="11">
                  <c:v>3.1365338653115331</c:v>
                </c:pt>
                <c:pt idx="12">
                  <c:v>3.6371145304182875</c:v>
                </c:pt>
                <c:pt idx="13">
                  <c:v>4.1437644313734934</c:v>
                </c:pt>
                <c:pt idx="14">
                  <c:v>4.6485655566723469</c:v>
                </c:pt>
                <c:pt idx="15">
                  <c:v>5.1439861392736956</c:v>
                </c:pt>
                <c:pt idx="16">
                  <c:v>5.6228618154066865</c:v>
                </c:pt>
                <c:pt idx="17">
                  <c:v>6.0802831902648968</c:v>
                </c:pt>
                <c:pt idx="18">
                  <c:v>6.5153913273251458</c:v>
                </c:pt>
                <c:pt idx="19">
                  <c:v>6.9292746772117244</c:v>
                </c:pt>
                <c:pt idx="20">
                  <c:v>7.3229685953965182</c:v>
                </c:pt>
                <c:pt idx="21">
                  <c:v>7.6974579322064445</c:v>
                </c:pt>
                <c:pt idx="22">
                  <c:v>8.0536794964890568</c:v>
                </c:pt>
                <c:pt idx="23">
                  <c:v>8.3925243990993472</c:v>
                </c:pt>
                <c:pt idx="24">
                  <c:v>8.7148402820701101</c:v>
                </c:pt>
                <c:pt idx="25">
                  <c:v>9.0214334390422994</c:v>
                </c:pt>
                <c:pt idx="26">
                  <c:v>9.3130708322597489</c:v>
                </c:pt>
                <c:pt idx="27">
                  <c:v>9.5904820111739078</c:v>
                </c:pt>
                <c:pt idx="28">
                  <c:v>9.8543609374581074</c:v>
                </c:pt>
                <c:pt idx="29">
                  <c:v>10.105367720996735</c:v>
                </c:pt>
                <c:pt idx="30">
                  <c:v>10.344130271192016</c:v>
                </c:pt>
                <c:pt idx="31">
                  <c:v>10.571245867719234</c:v>
                </c:pt>
                <c:pt idx="32">
                  <c:v>10.787282654659759</c:v>
                </c:pt>
                <c:pt idx="33">
                  <c:v>10.992781061749527</c:v>
                </c:pt>
                <c:pt idx="34">
                  <c:v>11.188255156298331</c:v>
                </c:pt>
                <c:pt idx="35">
                  <c:v>11.374193929161827</c:v>
                </c:pt>
                <c:pt idx="36">
                  <c:v>11.551062517983201</c:v>
                </c:pt>
                <c:pt idx="37">
                  <c:v>11.719303370764509</c:v>
                </c:pt>
                <c:pt idx="38">
                  <c:v>11.879337352678435</c:v>
                </c:pt>
                <c:pt idx="39">
                  <c:v>12.031564798889244</c:v>
                </c:pt>
                <c:pt idx="40">
                  <c:v>12.176366516016598</c:v>
                </c:pt>
                <c:pt idx="41">
                  <c:v>12.314104734747495</c:v>
                </c:pt>
                <c:pt idx="42">
                  <c:v>12.445124015979324</c:v>
                </c:pt>
                <c:pt idx="43">
                  <c:v>12.56975211276082</c:v>
                </c:pt>
                <c:pt idx="44">
                  <c:v>12.688300790187121</c:v>
                </c:pt>
                <c:pt idx="45">
                  <c:v>12.801066605299944</c:v>
                </c:pt>
                <c:pt idx="46">
                  <c:v>12.908331648943848</c:v>
                </c:pt>
                <c:pt idx="47">
                  <c:v>13.010364251434392</c:v>
                </c:pt>
                <c:pt idx="48">
                  <c:v>13.107419653803447</c:v>
                </c:pt>
                <c:pt idx="49">
                  <c:v>13.199740646300841</c:v>
                </c:pt>
                <c:pt idx="50">
                  <c:v>13.287558175749581</c:v>
                </c:pt>
                <c:pt idx="51">
                  <c:v>13.371091923273992</c:v>
                </c:pt>
                <c:pt idx="52">
                  <c:v>13.450550853845993</c:v>
                </c:pt>
                <c:pt idx="53">
                  <c:v>13.526133739024237</c:v>
                </c:pt>
                <c:pt idx="54">
                  <c:v>13.598029654193786</c:v>
                </c:pt>
                <c:pt idx="55">
                  <c:v>13.666418451550186</c:v>
                </c:pt>
                <c:pt idx="56">
                  <c:v>13.731471210011152</c:v>
                </c:pt>
                <c:pt idx="57">
                  <c:v>13.793350663181339</c:v>
                </c:pt>
                <c:pt idx="58">
                  <c:v>13.852211606440786</c:v>
                </c:pt>
                <c:pt idx="59">
                  <c:v>13.908201284175382</c:v>
                </c:pt>
                <c:pt idx="60">
                  <c:v>13.961459758118046</c:v>
                </c:pt>
                <c:pt idx="61">
                  <c:v>14.012120257722044</c:v>
                </c:pt>
                <c:pt idx="62">
                  <c:v>14.06030951344292</c:v>
                </c:pt>
                <c:pt idx="63">
                  <c:v>14.106148073762778</c:v>
                </c:pt>
                <c:pt idx="64">
                  <c:v>14.14975060674996</c:v>
                </c:pt>
                <c:pt idx="65">
                  <c:v>14.191226186908498</c:v>
                </c:pt>
                <c:pt idx="66">
                  <c:v>14.230678568034913</c:v>
                </c:pt>
                <c:pt idx="67">
                  <c:v>14.268206442764917</c:v>
                </c:pt>
                <c:pt idx="68">
                  <c:v>14.303903689459311</c:v>
                </c:pt>
                <c:pt idx="69">
                  <c:v>14.337859607046662</c:v>
                </c:pt>
                <c:pt idx="70">
                  <c:v>14.370159138410239</c:v>
                </c:pt>
                <c:pt idx="71">
                  <c:v>14.400883082878032</c:v>
                </c:pt>
                <c:pt idx="72">
                  <c:v>14.430108298347395</c:v>
                </c:pt>
                <c:pt idx="73">
                  <c:v>14.457907893549962</c:v>
                </c:pt>
                <c:pt idx="74">
                  <c:v>14.484351410937768</c:v>
                </c:pt>
                <c:pt idx="75">
                  <c:v>14.509505000648121</c:v>
                </c:pt>
                <c:pt idx="76">
                  <c:v>14.533431585982358</c:v>
                </c:pt>
                <c:pt idx="77">
                  <c:v>14.556191020812486</c:v>
                </c:pt>
                <c:pt idx="78">
                  <c:v>14.577840239309438</c:v>
                </c:pt>
                <c:pt idx="79">
                  <c:v>14.598433398367515</c:v>
                </c:pt>
                <c:pt idx="80">
                  <c:v>14.618022013081294</c:v>
                </c:pt>
                <c:pt idx="81">
                  <c:v>14.636655085613913</c:v>
                </c:pt>
                <c:pt idx="82">
                  <c:v>14.654379227779089</c:v>
                </c:pt>
                <c:pt idx="83">
                  <c:v>14.671238777643524</c:v>
                </c:pt>
                <c:pt idx="84">
                  <c:v>14.6872759104414</c:v>
                </c:pt>
                <c:pt idx="85">
                  <c:v>14.702530744078405</c:v>
                </c:pt>
                <c:pt idx="86">
                  <c:v>14.717041439489215</c:v>
                </c:pt>
                <c:pt idx="87">
                  <c:v>14.730844296099496</c:v>
                </c:pt>
                <c:pt idx="88">
                  <c:v>14.743973842631227</c:v>
                </c:pt>
                <c:pt idx="89">
                  <c:v>14.756462923478484</c:v>
                </c:pt>
                <c:pt idx="90">
                  <c:v>14.768342780869776</c:v>
                </c:pt>
                <c:pt idx="91">
                  <c:v>14.77964313302247</c:v>
                </c:pt>
                <c:pt idx="92">
                  <c:v>14.790392248484787</c:v>
                </c:pt>
                <c:pt idx="93">
                  <c:v>14.800617016851383</c:v>
                </c:pt>
                <c:pt idx="94">
                  <c:v>14.810343016029364</c:v>
                </c:pt>
                <c:pt idx="95">
                  <c:v>14.819594576223054</c:v>
                </c:pt>
                <c:pt idx="96">
                  <c:v>14.828394840797539</c:v>
                </c:pt>
                <c:pt idx="97">
                  <c:v>14.83676582417327</c:v>
                </c:pt>
                <c:pt idx="98">
                  <c:v>14.844728466896525</c:v>
                </c:pt>
                <c:pt idx="99">
                  <c:v>14.852302688023524</c:v>
                </c:pt>
                <c:pt idx="100">
                  <c:v>14.859507434949206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F9-4789-86B0-ACC6667DB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698456"/>
        <c:axId val="1"/>
      </c:scatterChart>
      <c:scatterChart>
        <c:scatterStyle val="smoothMarker"/>
        <c:varyColors val="0"/>
        <c:ser>
          <c:idx val="1"/>
          <c:order val="1"/>
          <c:tx>
            <c:strRef>
              <c:f>'edo - fd'!$C$11</c:f>
              <c:strCache>
                <c:ptCount val="1"/>
                <c:pt idx="0">
                  <c:v>x'</c:v>
                </c:pt>
              </c:strCache>
            </c:strRef>
          </c:tx>
          <c:marker>
            <c:symbol val="circle"/>
            <c:size val="4"/>
            <c:spPr>
              <a:solidFill>
                <a:srgbClr val="FFFF00"/>
              </a:solidFill>
            </c:spPr>
          </c:marker>
          <c:xVal>
            <c:numRef>
              <c:f>'edo - fd'!$A$12:$A$112</c:f>
              <c:numCache>
                <c:formatCode>0.00</c:formatCode>
                <c:ptCount val="10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</c:numCache>
            </c:numRef>
          </c:xVal>
          <c:yVal>
            <c:numRef>
              <c:f>'edo - fd'!$C$12:$C$112</c:f>
              <c:numCache>
                <c:formatCode>0.00</c:formatCode>
                <c:ptCount val="101"/>
                <c:pt idx="0">
                  <c:v>0</c:v>
                </c:pt>
                <c:pt idx="1">
                  <c:v>0.12195121951219512</c:v>
                </c:pt>
                <c:pt idx="2">
                  <c:v>0.23795359904818558</c:v>
                </c:pt>
                <c:pt idx="3">
                  <c:v>0.34829732592388385</c:v>
                </c:pt>
                <c:pt idx="4">
                  <c:v>0.45325843197637733</c:v>
                </c:pt>
                <c:pt idx="5">
                  <c:v>0.55309948407509069</c:v>
                </c:pt>
                <c:pt idx="6">
                  <c:v>0.64807024094947652</c:v>
                </c:pt>
                <c:pt idx="7">
                  <c:v>0.73840827797633135</c:v>
                </c:pt>
                <c:pt idx="8">
                  <c:v>0.82433958148968101</c:v>
                </c:pt>
                <c:pt idx="9">
                  <c:v>0.89845716288042832</c:v>
                </c:pt>
                <c:pt idx="10">
                  <c:v>0.95371535005699282</c:v>
                </c:pt>
                <c:pt idx="11">
                  <c:v>0.99103411346884684</c:v>
                </c:pt>
                <c:pt idx="12">
                  <c:v>1.0112885469581714</c:v>
                </c:pt>
                <c:pt idx="13">
                  <c:v>1.0153110568626509</c:v>
                </c:pt>
                <c:pt idx="14">
                  <c:v>1.0038934443327654</c:v>
                </c:pt>
                <c:pt idx="15">
                  <c:v>0.97778888607263048</c:v>
                </c:pt>
                <c:pt idx="16">
                  <c:v>0.93771381845933144</c:v>
                </c:pt>
                <c:pt idx="17">
                  <c:v>0.89197168097351043</c:v>
                </c:pt>
                <c:pt idx="18">
                  <c:v>0.84846086726748549</c:v>
                </c:pt>
                <c:pt idx="19">
                  <c:v>0.80707253227882769</c:v>
                </c:pt>
                <c:pt idx="20">
                  <c:v>0.76770314046034827</c:v>
                </c:pt>
                <c:pt idx="21">
                  <c:v>0.73025420677935571</c:v>
                </c:pt>
                <c:pt idx="22">
                  <c:v>0.69463205035109443</c:v>
                </c:pt>
                <c:pt idx="23">
                  <c:v>0.66074756009006541</c:v>
                </c:pt>
                <c:pt idx="24">
                  <c:v>0.62851597179298901</c:v>
                </c:pt>
                <c:pt idx="25">
                  <c:v>0.59785665609576999</c:v>
                </c:pt>
                <c:pt idx="26">
                  <c:v>0.56869291677402511</c:v>
                </c:pt>
                <c:pt idx="27">
                  <c:v>0.54095179888260925</c:v>
                </c:pt>
                <c:pt idx="28">
                  <c:v>0.51456390625418924</c:v>
                </c:pt>
                <c:pt idx="29">
                  <c:v>0.48946322790032637</c:v>
                </c:pt>
                <c:pt idx="30">
                  <c:v>0.46558697288079826</c:v>
                </c:pt>
                <c:pt idx="31">
                  <c:v>0.44287541322807639</c:v>
                </c:pt>
                <c:pt idx="32">
                  <c:v>0.42127173453402389</c:v>
                </c:pt>
                <c:pt idx="33">
                  <c:v>0.40072189382504714</c:v>
                </c:pt>
                <c:pt idx="34">
                  <c:v>0.38117448437016677</c:v>
                </c:pt>
                <c:pt idx="35">
                  <c:v>0.36258060708381717</c:v>
                </c:pt>
                <c:pt idx="36">
                  <c:v>0.34489374820167973</c:v>
                </c:pt>
                <c:pt idx="37">
                  <c:v>0.328069662923549</c:v>
                </c:pt>
                <c:pt idx="38">
                  <c:v>0.31206626473215637</c:v>
                </c:pt>
                <c:pt idx="39">
                  <c:v>0.29684352011107557</c:v>
                </c:pt>
                <c:pt idx="40">
                  <c:v>0.28236334839834015</c:v>
                </c:pt>
                <c:pt idx="41">
                  <c:v>0.26858952652525037</c:v>
                </c:pt>
                <c:pt idx="42">
                  <c:v>0.25548759840206742</c:v>
                </c:pt>
                <c:pt idx="43">
                  <c:v>0.24302478872391778</c:v>
                </c:pt>
                <c:pt idx="44">
                  <c:v>0.23116992098128764</c:v>
                </c:pt>
                <c:pt idx="45">
                  <c:v>0.21989333947000531</c:v>
                </c:pt>
                <c:pt idx="46">
                  <c:v>0.20916683510561479</c:v>
                </c:pt>
                <c:pt idx="47">
                  <c:v>0.19896357485656041</c:v>
                </c:pt>
                <c:pt idx="48">
                  <c:v>0.18925803461965501</c:v>
                </c:pt>
                <c:pt idx="49">
                  <c:v>0.18002593536991573</c:v>
                </c:pt>
                <c:pt idx="50">
                  <c:v>0.1712441824250418</c:v>
                </c:pt>
                <c:pt idx="51">
                  <c:v>0.16289080767260072</c:v>
                </c:pt>
                <c:pt idx="52">
                  <c:v>0.15494491461540069</c:v>
                </c:pt>
                <c:pt idx="53">
                  <c:v>0.14738662609757627</c:v>
                </c:pt>
                <c:pt idx="54">
                  <c:v>0.14019703458062133</c:v>
                </c:pt>
                <c:pt idx="55">
                  <c:v>0.13335815484498126</c:v>
                </c:pt>
                <c:pt idx="56">
                  <c:v>0.12685287899888462</c:v>
                </c:pt>
                <c:pt idx="57">
                  <c:v>0.12066493368186586</c:v>
                </c:pt>
                <c:pt idx="58">
                  <c:v>0.11477883935592118</c:v>
                </c:pt>
                <c:pt idx="59">
                  <c:v>0.1091798715824616</c:v>
                </c:pt>
                <c:pt idx="60">
                  <c:v>0.10385402418819518</c:v>
                </c:pt>
                <c:pt idx="61">
                  <c:v>9.8787974227795422E-2</c:v>
                </c:pt>
                <c:pt idx="62">
                  <c:v>9.3969048655707835E-2</c:v>
                </c:pt>
                <c:pt idx="63">
                  <c:v>8.938519262372209E-2</c:v>
                </c:pt>
                <c:pt idx="64">
                  <c:v>8.5024939325003934E-2</c:v>
                </c:pt>
                <c:pt idx="65">
                  <c:v>8.0877381309150079E-2</c:v>
                </c:pt>
                <c:pt idx="66">
                  <c:v>7.6932143196508609E-2</c:v>
                </c:pt>
                <c:pt idx="67">
                  <c:v>7.3179355723508185E-2</c:v>
                </c:pt>
                <c:pt idx="68">
                  <c:v>6.9609631054068755E-2</c:v>
                </c:pt>
                <c:pt idx="69">
                  <c:v>6.621403929533369E-2</c:v>
                </c:pt>
                <c:pt idx="70">
                  <c:v>6.2984086158975952E-2</c:v>
                </c:pt>
                <c:pt idx="71">
                  <c:v>5.9911691712196638E-2</c:v>
                </c:pt>
                <c:pt idx="72">
                  <c:v>5.6989170165260214E-2</c:v>
                </c:pt>
                <c:pt idx="73">
                  <c:v>5.4209210645003621E-2</c:v>
                </c:pt>
                <c:pt idx="74">
                  <c:v>5.1564858906222956E-2</c:v>
                </c:pt>
                <c:pt idx="75">
                  <c:v>4.9049499935187688E-2</c:v>
                </c:pt>
                <c:pt idx="76">
                  <c:v>4.6656841401763897E-2</c:v>
                </c:pt>
                <c:pt idx="77">
                  <c:v>4.4380897918751022E-2</c:v>
                </c:pt>
                <c:pt idx="78">
                  <c:v>4.2215976069055854E-2</c:v>
                </c:pt>
                <c:pt idx="79">
                  <c:v>4.0156660163248252E-2</c:v>
                </c:pt>
                <c:pt idx="80">
                  <c:v>3.8197798691870288E-2</c:v>
                </c:pt>
                <c:pt idx="81">
                  <c:v>3.6334491438608327E-2</c:v>
                </c:pt>
                <c:pt idx="82">
                  <c:v>3.4562077222090849E-2</c:v>
                </c:pt>
                <c:pt idx="83">
                  <c:v>3.2876122235647391E-2</c:v>
                </c:pt>
                <c:pt idx="84">
                  <c:v>3.1272408955859712E-2</c:v>
                </c:pt>
                <c:pt idx="85">
                  <c:v>2.9746925592159239E-2</c:v>
                </c:pt>
                <c:pt idx="86">
                  <c:v>2.8295856051078299E-2</c:v>
                </c:pt>
                <c:pt idx="87">
                  <c:v>2.6915570390050089E-2</c:v>
                </c:pt>
                <c:pt idx="88">
                  <c:v>2.5602615736876916E-2</c:v>
                </c:pt>
                <c:pt idx="89">
                  <c:v>2.4353707652151214E-2</c:v>
                </c:pt>
                <c:pt idx="90">
                  <c:v>2.3165721913021887E-2</c:v>
                </c:pt>
                <c:pt idx="91">
                  <c:v>2.2035686697752528E-2</c:v>
                </c:pt>
                <c:pt idx="92">
                  <c:v>2.09607751515207E-2</c:v>
                </c:pt>
                <c:pt idx="93">
                  <c:v>1.9938298314861155E-2</c:v>
                </c:pt>
                <c:pt idx="94">
                  <c:v>1.8965698397063049E-2</c:v>
                </c:pt>
                <c:pt idx="95">
                  <c:v>1.8040542377694119E-2</c:v>
                </c:pt>
                <c:pt idx="96">
                  <c:v>1.7160515920245624E-2</c:v>
                </c:pt>
                <c:pt idx="97">
                  <c:v>1.6323417582672667E-2</c:v>
                </c:pt>
                <c:pt idx="98">
                  <c:v>1.5527153310347172E-2</c:v>
                </c:pt>
                <c:pt idx="99">
                  <c:v>1.4769731197647309E-2</c:v>
                </c:pt>
                <c:pt idx="100">
                  <c:v>1.4049256505079148E-2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F9-4789-86B0-ACC6667DB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423698456"/>
        <c:scaling>
          <c:orientation val="minMax"/>
          <c:max val="5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23698456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3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289156626506021E-2"/>
          <c:y val="2.9166666666666667E-2"/>
          <c:w val="0.89036144578313248"/>
          <c:h val="0.870833333333334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'edo - erro'!$B$5</c:f>
              <c:strCache>
                <c:ptCount val="1"/>
                <c:pt idx="0">
                  <c:v>e(x)</c:v>
                </c:pt>
              </c:strCache>
            </c:strRef>
          </c:tx>
          <c:marker>
            <c:symbol val="circle"/>
            <c:size val="4"/>
            <c:spPr>
              <a:solidFill>
                <a:srgbClr val="FFFF00"/>
              </a:solidFill>
            </c:spPr>
          </c:marker>
          <c:xVal>
            <c:numRef>
              <c:f>'edo - erro'!$A$6:$A$55</c:f>
              <c:numCache>
                <c:formatCode>0.00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'edo - erro'!$B$6:$B$55</c:f>
              <c:numCache>
                <c:formatCode>0.0%</c:formatCode>
                <c:ptCount val="50"/>
                <c:pt idx="0">
                  <c:v>-3.7972734901293714E-3</c:v>
                </c:pt>
                <c:pt idx="1">
                  <c:v>-1.7746091016123122E-3</c:v>
                </c:pt>
                <c:pt idx="2">
                  <c:v>-1.1052315611671526E-3</c:v>
                </c:pt>
                <c:pt idx="3">
                  <c:v>-7.7397869183981616E-4</c:v>
                </c:pt>
                <c:pt idx="4">
                  <c:v>-3.3984359547879484E-3</c:v>
                </c:pt>
                <c:pt idx="5">
                  <c:v>-8.374151903851601E-3</c:v>
                </c:pt>
                <c:pt idx="6">
                  <c:v>-1.3805293540146257E-2</c:v>
                </c:pt>
                <c:pt idx="7">
                  <c:v>-1.9344576372678945E-2</c:v>
                </c:pt>
                <c:pt idx="8">
                  <c:v>-2.3919936180858303E-2</c:v>
                </c:pt>
                <c:pt idx="9">
                  <c:v>-2.7075872041390281E-2</c:v>
                </c:pt>
                <c:pt idx="10">
                  <c:v>-2.937492266540298E-2</c:v>
                </c:pt>
                <c:pt idx="11">
                  <c:v>-3.1117174669589409E-2</c:v>
                </c:pt>
                <c:pt idx="12">
                  <c:v>-3.2477351460277859E-2</c:v>
                </c:pt>
                <c:pt idx="13">
                  <c:v>-3.3564100559071108E-2</c:v>
                </c:pt>
                <c:pt idx="14">
                  <c:v>-3.4448541305204472E-2</c:v>
                </c:pt>
                <c:pt idx="15">
                  <c:v>-3.5179188255854532E-2</c:v>
                </c:pt>
                <c:pt idx="16">
                  <c:v>-3.5790277164466811E-2</c:v>
                </c:pt>
                <c:pt idx="17">
                  <c:v>-3.630666273258476E-2</c:v>
                </c:pt>
                <c:pt idx="18">
                  <c:v>-3.6746829203146092E-2</c:v>
                </c:pt>
                <c:pt idx="19">
                  <c:v>-3.7124810934765162E-2</c:v>
                </c:pt>
                <c:pt idx="20">
                  <c:v>-3.7451457187163695E-2</c:v>
                </c:pt>
                <c:pt idx="21">
                  <c:v>-3.7735288302296222E-2</c:v>
                </c:pt>
                <c:pt idx="22">
                  <c:v>-3.7983089430122519E-2</c:v>
                </c:pt>
                <c:pt idx="23">
                  <c:v>-3.8200331113621755E-2</c:v>
                </c:pt>
                <c:pt idx="24">
                  <c:v>-3.8391472924652614E-2</c:v>
                </c:pt>
                <c:pt idx="25">
                  <c:v>-3.8560186426011223E-2</c:v>
                </c:pt>
                <c:pt idx="26">
                  <c:v>-3.8709521422866655E-2</c:v>
                </c:pt>
                <c:pt idx="27">
                  <c:v>-3.8842031664108823E-2</c:v>
                </c:pt>
                <c:pt idx="28">
                  <c:v>-3.8959871097588916E-2</c:v>
                </c:pt>
                <c:pt idx="29">
                  <c:v>-3.9064868439351308E-2</c:v>
                </c:pt>
                <c:pt idx="30">
                  <c:v>-3.9158585564591619E-2</c:v>
                </c:pt>
                <c:pt idx="31">
                  <c:v>-3.9242363685233372E-2</c:v>
                </c:pt>
                <c:pt idx="32">
                  <c:v>-3.9317360205759821E-2</c:v>
                </c:pt>
                <c:pt idx="33">
                  <c:v>-3.9384578391693514E-2</c:v>
                </c:pt>
                <c:pt idx="34">
                  <c:v>-3.9444891443780272E-2</c:v>
                </c:pt>
                <c:pt idx="35">
                  <c:v>-3.94990621792356E-2</c:v>
                </c:pt>
                <c:pt idx="36">
                  <c:v>-3.9547759234774604E-2</c:v>
                </c:pt>
                <c:pt idx="37">
                  <c:v>-3.9591570494181716E-2</c:v>
                </c:pt>
                <c:pt idx="38">
                  <c:v>-3.9631014284891464E-2</c:v>
                </c:pt>
                <c:pt idx="39">
                  <c:v>-3.966654876876663E-2</c:v>
                </c:pt>
                <c:pt idx="40">
                  <c:v>-3.9698579861596639E-2</c:v>
                </c:pt>
                <c:pt idx="41">
                  <c:v>-3.9727467946362505E-2</c:v>
                </c:pt>
                <c:pt idx="42">
                  <c:v>-3.9753533591682544E-2</c:v>
                </c:pt>
                <c:pt idx="43">
                  <c:v>-3.9777062445141342E-2</c:v>
                </c:pt>
                <c:pt idx="44">
                  <c:v>-3.9798309438556889E-2</c:v>
                </c:pt>
                <c:pt idx="45">
                  <c:v>-3.9817502416512496E-2</c:v>
                </c:pt>
                <c:pt idx="46">
                  <c:v>-3.983484527908443E-2</c:v>
                </c:pt>
                <c:pt idx="47">
                  <c:v>-3.9850520713439974E-2</c:v>
                </c:pt>
                <c:pt idx="48">
                  <c:v>-3.9864692575937943E-2</c:v>
                </c:pt>
                <c:pt idx="49">
                  <c:v>-3.9877507975856541E-2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64-482B-94BF-BD6113A0588F}"/>
            </c:ext>
          </c:extLst>
        </c:ser>
        <c:ser>
          <c:idx val="1"/>
          <c:order val="1"/>
          <c:tx>
            <c:strRef>
              <c:f>'edo - erro'!$C$5</c:f>
              <c:strCache>
                <c:ptCount val="1"/>
                <c:pt idx="0">
                  <c:v>e(x')</c:v>
                </c:pt>
              </c:strCache>
            </c:strRef>
          </c:tx>
          <c:marker>
            <c:symbol val="circle"/>
            <c:size val="4"/>
            <c:spPr>
              <a:solidFill>
                <a:srgbClr val="FFFF00"/>
              </a:solidFill>
            </c:spPr>
          </c:marker>
          <c:xVal>
            <c:numRef>
              <c:f>'edo - erro'!$A$6:$A$55</c:f>
              <c:numCache>
                <c:formatCode>0.00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'edo - erro'!$C$6:$C$55</c:f>
              <c:numCache>
                <c:formatCode>0.0%</c:formatCode>
                <c:ptCount val="50"/>
                <c:pt idx="0">
                  <c:v>1.9300697377855336E-4</c:v>
                </c:pt>
                <c:pt idx="1">
                  <c:v>1.8336274578456546E-4</c:v>
                </c:pt>
                <c:pt idx="2">
                  <c:v>1.7405561684236126E-4</c:v>
                </c:pt>
                <c:pt idx="3">
                  <c:v>1.6508389916336519E-4</c:v>
                </c:pt>
                <c:pt idx="4">
                  <c:v>-1.520102159561143E-2</c:v>
                </c:pt>
                <c:pt idx="5">
                  <c:v>-2.7108607093876969E-2</c:v>
                </c:pt>
                <c:pt idx="6">
                  <c:v>-3.8656694487230636E-2</c:v>
                </c:pt>
                <c:pt idx="7">
                  <c:v>-5.1973612315636797E-2</c:v>
                </c:pt>
                <c:pt idx="8">
                  <c:v>-5.1992856148052269E-2</c:v>
                </c:pt>
                <c:pt idx="9">
                  <c:v>-5.2012099589840322E-2</c:v>
                </c:pt>
                <c:pt idx="10">
                  <c:v>-5.203134264100906E-2</c:v>
                </c:pt>
                <c:pt idx="11">
                  <c:v>-5.2050585301566143E-2</c:v>
                </c:pt>
                <c:pt idx="12">
                  <c:v>-5.2069827571519567E-2</c:v>
                </c:pt>
                <c:pt idx="13">
                  <c:v>-5.2089069450877545E-2</c:v>
                </c:pt>
                <c:pt idx="14">
                  <c:v>-5.2108310939647517E-2</c:v>
                </c:pt>
                <c:pt idx="15">
                  <c:v>-5.2127552037837699E-2</c:v>
                </c:pt>
                <c:pt idx="16">
                  <c:v>-5.2146792745455972E-2</c:v>
                </c:pt>
                <c:pt idx="17">
                  <c:v>-5.2166033062510442E-2</c:v>
                </c:pt>
                <c:pt idx="18">
                  <c:v>-5.2185272989008658E-2</c:v>
                </c:pt>
                <c:pt idx="19">
                  <c:v>-5.2204512524958946E-2</c:v>
                </c:pt>
                <c:pt idx="20">
                  <c:v>-5.2223751670368967E-2</c:v>
                </c:pt>
                <c:pt idx="21">
                  <c:v>-5.2242990425246605E-2</c:v>
                </c:pt>
                <c:pt idx="22">
                  <c:v>-5.2262228789600074E-2</c:v>
                </c:pt>
                <c:pt idx="23">
                  <c:v>-5.2281466763437034E-2</c:v>
                </c:pt>
                <c:pt idx="24">
                  <c:v>-5.2300704346765592E-2</c:v>
                </c:pt>
                <c:pt idx="25">
                  <c:v>-5.2319941539593406E-2</c:v>
                </c:pt>
                <c:pt idx="26">
                  <c:v>-5.2339178341928694E-2</c:v>
                </c:pt>
                <c:pt idx="27">
                  <c:v>-5.2358414753779448E-2</c:v>
                </c:pt>
                <c:pt idx="28">
                  <c:v>-5.2377650775153106E-2</c:v>
                </c:pt>
                <c:pt idx="29">
                  <c:v>-5.2396886406058107E-2</c:v>
                </c:pt>
                <c:pt idx="30">
                  <c:v>-5.2416121646502223E-2</c:v>
                </c:pt>
                <c:pt idx="31">
                  <c:v>-5.2435356496493224E-2</c:v>
                </c:pt>
                <c:pt idx="32">
                  <c:v>-5.2454590956039326E-2</c:v>
                </c:pt>
                <c:pt idx="33">
                  <c:v>-5.2473825025148302E-2</c:v>
                </c:pt>
                <c:pt idx="34">
                  <c:v>-5.2493058703827811E-2</c:v>
                </c:pt>
                <c:pt idx="35">
                  <c:v>-5.251229199208618E-2</c:v>
                </c:pt>
                <c:pt idx="36">
                  <c:v>-5.253152488993118E-2</c:v>
                </c:pt>
                <c:pt idx="37">
                  <c:v>-5.2550757397370806E-2</c:v>
                </c:pt>
                <c:pt idx="38">
                  <c:v>-5.256998951441294E-2</c:v>
                </c:pt>
                <c:pt idx="39">
                  <c:v>-5.2589221241065354E-2</c:v>
                </c:pt>
                <c:pt idx="40">
                  <c:v>-5.2608452577336262E-2</c:v>
                </c:pt>
                <c:pt idx="41">
                  <c:v>-5.2627683523233326E-2</c:v>
                </c:pt>
                <c:pt idx="42">
                  <c:v>-5.2646914078764651E-2</c:v>
                </c:pt>
                <c:pt idx="43">
                  <c:v>-5.2666144243937896E-2</c:v>
                </c:pt>
                <c:pt idx="44">
                  <c:v>-5.2685374018761055E-2</c:v>
                </c:pt>
                <c:pt idx="45">
                  <c:v>-5.2704603403242456E-2</c:v>
                </c:pt>
                <c:pt idx="46">
                  <c:v>-5.2723832397389647E-2</c:v>
                </c:pt>
                <c:pt idx="47">
                  <c:v>-5.2743061001210734E-2</c:v>
                </c:pt>
                <c:pt idx="48">
                  <c:v>-5.2762289214713265E-2</c:v>
                </c:pt>
                <c:pt idx="49">
                  <c:v>-5.2781517037905679E-2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64-482B-94BF-BD6113A05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589160"/>
        <c:axId val="1"/>
      </c:scatterChart>
      <c:valAx>
        <c:axId val="42258916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42258916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58" footer="0.31496062000000058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Gráfico1"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Gráfico2"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F6516FC-6239-43F7-A09E-EED1CB5B456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4174EA1-90B3-41CB-B77F-35F51433393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171450</xdr:rowOff>
    </xdr:from>
    <xdr:to>
      <xdr:col>17</xdr:col>
      <xdr:colOff>600075</xdr:colOff>
      <xdr:row>25</xdr:row>
      <xdr:rowOff>171450</xdr:rowOff>
    </xdr:to>
    <xdr:graphicFrame macro="">
      <xdr:nvGraphicFramePr>
        <xdr:cNvPr id="11279" name="Gráfico 1">
          <a:extLst>
            <a:ext uri="{FF2B5EF4-FFF2-40B4-BE49-F238E27FC236}">
              <a16:creationId xmlns:a16="http://schemas.microsoft.com/office/drawing/2014/main" id="{C79116BE-35C4-4143-9170-4E00D97E7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A1:I641"/>
  <sheetViews>
    <sheetView tabSelected="1" zoomScale="190" zoomScaleNormal="190" workbookViewId="0">
      <selection activeCell="A14" sqref="A14:C112"/>
    </sheetView>
  </sheetViews>
  <sheetFormatPr defaultRowHeight="15" x14ac:dyDescent="0.25"/>
  <cols>
    <col min="4" max="4" width="3.28515625" customWidth="1"/>
  </cols>
  <sheetData>
    <row r="1" spans="1:9" x14ac:dyDescent="0.25">
      <c r="A1" s="8" t="s">
        <v>35</v>
      </c>
    </row>
    <row r="2" spans="1:9" x14ac:dyDescent="0.25">
      <c r="A2" t="s">
        <v>24</v>
      </c>
      <c r="B2" t="s">
        <v>23</v>
      </c>
      <c r="E2" s="5" t="s">
        <v>3</v>
      </c>
      <c r="G2" s="6" t="s">
        <v>22</v>
      </c>
      <c r="H2" s="5" t="s">
        <v>21</v>
      </c>
    </row>
    <row r="3" spans="1:9" x14ac:dyDescent="0.25">
      <c r="B3" t="s">
        <v>20</v>
      </c>
      <c r="E3" s="15">
        <v>0.5</v>
      </c>
      <c r="G3" s="15">
        <v>2</v>
      </c>
      <c r="H3" s="15">
        <v>0.2</v>
      </c>
    </row>
    <row r="4" spans="1:9" x14ac:dyDescent="0.25">
      <c r="B4" t="s">
        <v>19</v>
      </c>
    </row>
    <row r="5" spans="1:9" x14ac:dyDescent="0.25">
      <c r="B5" t="s">
        <v>18</v>
      </c>
      <c r="H5" s="3" t="s">
        <v>17</v>
      </c>
      <c r="I5" s="3" t="s">
        <v>16</v>
      </c>
    </row>
    <row r="6" spans="1:9" x14ac:dyDescent="0.25">
      <c r="B6" t="s">
        <v>14</v>
      </c>
      <c r="F6">
        <v>0.5</v>
      </c>
      <c r="G6" s="3" t="s">
        <v>13</v>
      </c>
      <c r="H6" s="3">
        <v>0</v>
      </c>
      <c r="I6" s="3">
        <v>4</v>
      </c>
    </row>
    <row r="7" spans="1:9" x14ac:dyDescent="0.25">
      <c r="E7" s="2" t="s">
        <v>12</v>
      </c>
      <c r="F7" s="2" t="s">
        <v>11</v>
      </c>
      <c r="G7" s="3" t="s">
        <v>10</v>
      </c>
      <c r="H7" s="3">
        <v>4</v>
      </c>
      <c r="I7" s="3">
        <v>8</v>
      </c>
    </row>
    <row r="8" spans="1:9" x14ac:dyDescent="0.25">
      <c r="F8" s="2">
        <v>0</v>
      </c>
      <c r="G8" s="3" t="s">
        <v>9</v>
      </c>
      <c r="H8" s="3">
        <v>8</v>
      </c>
      <c r="I8" s="3">
        <v>1000</v>
      </c>
    </row>
    <row r="10" spans="1:9" x14ac:dyDescent="0.25">
      <c r="C10" s="3" t="s">
        <v>6</v>
      </c>
    </row>
    <row r="11" spans="1:9" x14ac:dyDescent="0.25">
      <c r="A11" s="3" t="s">
        <v>0</v>
      </c>
      <c r="B11" s="3" t="s">
        <v>5</v>
      </c>
      <c r="C11" s="3" t="s">
        <v>4</v>
      </c>
      <c r="E11" s="9" t="s">
        <v>36</v>
      </c>
      <c r="F11" s="10"/>
      <c r="G11" s="8"/>
    </row>
    <row r="12" spans="1:9" x14ac:dyDescent="0.25">
      <c r="A12" s="13">
        <v>0</v>
      </c>
      <c r="B12" s="14">
        <v>0</v>
      </c>
      <c r="C12" s="13">
        <v>0</v>
      </c>
      <c r="E12" s="11" t="s">
        <v>7</v>
      </c>
      <c r="F12" s="12"/>
      <c r="G12" s="8"/>
    </row>
    <row r="13" spans="1:9" x14ac:dyDescent="0.25">
      <c r="A13" s="17">
        <f t="array" ref="A13:C13">ode_rk4(A12:C12,$E$3,$G$3,$H$3)</f>
        <v>0.5</v>
      </c>
      <c r="B13" s="18">
        <v>3.0729166666666669E-2</v>
      </c>
      <c r="C13" s="19">
        <v>0.12192708333333332</v>
      </c>
      <c r="E13" s="9" t="s">
        <v>15</v>
      </c>
      <c r="F13" s="10"/>
      <c r="G13" s="8"/>
    </row>
    <row r="14" spans="1:9" x14ac:dyDescent="0.25">
      <c r="A14" s="1">
        <f t="array" ref="A14:C14">ode_rk4(A13:C13,$E$3,$G$3,$H$3)</f>
        <v>1</v>
      </c>
      <c r="B14" s="1">
        <v>0.12092318793402777</v>
      </c>
      <c r="C14" s="1">
        <v>0.23790768120659722</v>
      </c>
      <c r="E14" s="11" t="s">
        <v>7</v>
      </c>
      <c r="F14" s="12"/>
    </row>
    <row r="15" spans="1:9" x14ac:dyDescent="0.25">
      <c r="A15" s="1">
        <f t="array" ref="A15:C15">ode_rk4(A14:C14,$E$3,$G$3,$H$3)</f>
        <v>1.5</v>
      </c>
      <c r="B15" s="1">
        <v>0.26768191328916197</v>
      </c>
      <c r="C15" s="1">
        <v>0.34823180867108378</v>
      </c>
      <c r="E15" s="9" t="s">
        <v>8</v>
      </c>
      <c r="F15" s="10"/>
    </row>
    <row r="16" spans="1:9" x14ac:dyDescent="0.25">
      <c r="A16" s="1">
        <f t="array" ref="A16:C16">ode_rk4(A15:C15,$E$3,$G$3,$H$3)</f>
        <v>2</v>
      </c>
      <c r="B16" s="1">
        <v>0.46824663497645513</v>
      </c>
      <c r="C16" s="1">
        <v>0.45317533650235442</v>
      </c>
      <c r="E16" s="11" t="s">
        <v>7</v>
      </c>
      <c r="F16" s="12"/>
    </row>
    <row r="17" spans="1:3" x14ac:dyDescent="0.25">
      <c r="A17" s="1">
        <f t="array" ref="A17:C17">ode_rk4(A16:C16,$E$3,$G$3,$H$3)</f>
        <v>2.5</v>
      </c>
      <c r="B17" s="1">
        <v>0.71999318971645754</v>
      </c>
      <c r="C17" s="1">
        <v>0.5530006810283542</v>
      </c>
    </row>
    <row r="18" spans="1:3" x14ac:dyDescent="0.25">
      <c r="A18" s="1">
        <f t="array" ref="A18:C18">ode_rk4(A17:C17,$E$3,$G$3,$H$3)</f>
        <v>3</v>
      </c>
      <c r="B18" s="1">
        <v>1.020425396859661</v>
      </c>
      <c r="C18" s="1">
        <v>0.6479574603140339</v>
      </c>
    </row>
    <row r="19" spans="1:3" x14ac:dyDescent="0.25">
      <c r="A19" s="1">
        <f t="array" ref="A19:C19">ode_rk4(A18:C18,$E$3,$G$3,$H$3)</f>
        <v>3.5</v>
      </c>
      <c r="B19" s="1">
        <v>1.3671688165669846</v>
      </c>
      <c r="C19" s="1">
        <v>0.73828311834330151</v>
      </c>
    </row>
    <row r="20" spans="1:3" x14ac:dyDescent="0.25">
      <c r="A20" s="1">
        <f t="array" ref="A20:C20">ode_rk4(A19:C19,$E$3,$G$3,$H$3)</f>
        <v>4</v>
      </c>
      <c r="B20" s="1">
        <v>1.757964812408999</v>
      </c>
      <c r="C20" s="1">
        <v>0.82420351875910014</v>
      </c>
    </row>
    <row r="21" spans="1:3" x14ac:dyDescent="0.25">
      <c r="A21" s="1">
        <f t="array" ref="A21:C21">ode_rk4(A20:C20,$E$3,$G$3,$H$3)</f>
        <v>4.5</v>
      </c>
      <c r="B21" s="1">
        <v>2.1906649035371353</v>
      </c>
      <c r="C21" s="1">
        <v>0.90593350964628649</v>
      </c>
    </row>
    <row r="22" spans="1:3" x14ac:dyDescent="0.25">
      <c r="A22" s="1">
        <f t="array" ref="A22:C22">ode_rk4(A21:C21,$E$3,$G$3,$H$3)</f>
        <v>5</v>
      </c>
      <c r="B22" s="1">
        <v>2.6593842464708763</v>
      </c>
      <c r="C22" s="1">
        <v>0.96843657535291239</v>
      </c>
    </row>
    <row r="23" spans="1:3" x14ac:dyDescent="0.25">
      <c r="A23" s="1">
        <f t="array" ref="A23:C23">ode_rk4(A22:C22,$E$3,$G$3,$H$3)</f>
        <v>5.5</v>
      </c>
      <c r="B23" s="1">
        <v>3.1547457095752862</v>
      </c>
      <c r="C23" s="1">
        <v>1.0126504290424714</v>
      </c>
    </row>
    <row r="24" spans="1:3" x14ac:dyDescent="0.25">
      <c r="A24" s="1">
        <f t="array" ref="A24:C24">ode_rk4(A23:C23,$E$3,$G$3,$H$3)</f>
        <v>6</v>
      </c>
      <c r="B24" s="1">
        <v>3.6678294917395413</v>
      </c>
      <c r="C24" s="1">
        <v>1.0394670508260457</v>
      </c>
    </row>
    <row r="25" spans="1:3" x14ac:dyDescent="0.25">
      <c r="A25" s="1">
        <f t="array" ref="A25:C25">ode_rk4(A24:C24,$E$3,$G$3,$H$3)</f>
        <v>6.5</v>
      </c>
      <c r="B25" s="1">
        <v>4.1901508179861606</v>
      </c>
      <c r="C25" s="1">
        <v>1.0497349182013838</v>
      </c>
    </row>
    <row r="26" spans="1:3" x14ac:dyDescent="0.25">
      <c r="A26" s="1">
        <f t="array" ref="A26:C26">ode_rk4(A25:C25,$E$3,$G$3,$H$3)</f>
        <v>7</v>
      </c>
      <c r="B26" s="1">
        <v>4.7136387228839602</v>
      </c>
      <c r="C26" s="1">
        <v>1.0442611277116038</v>
      </c>
    </row>
    <row r="27" spans="1:3" x14ac:dyDescent="0.25">
      <c r="A27" s="1">
        <f t="array" ref="A27:C27">ode_rk4(A26:C26,$E$3,$G$3,$H$3)</f>
        <v>7.5</v>
      </c>
      <c r="B27" s="1">
        <v>5.2306158687116406</v>
      </c>
      <c r="C27" s="1">
        <v>1.0238134131288359</v>
      </c>
    </row>
    <row r="28" spans="1:3" x14ac:dyDescent="0.25">
      <c r="A28" s="1">
        <f t="array" ref="A28:C28">ode_rk4(A27:C27,$E$3,$G$3,$H$3)</f>
        <v>8</v>
      </c>
      <c r="B28" s="1">
        <v>5.7337793479063501</v>
      </c>
      <c r="C28" s="1">
        <v>0.98912206520936496</v>
      </c>
    </row>
    <row r="29" spans="1:3" x14ac:dyDescent="0.25">
      <c r="A29" s="1">
        <f t="array" ref="A29:C29">ode_rk4(A28:C28,$E$3,$G$3,$H$3)</f>
        <v>8.5</v>
      </c>
      <c r="B29" s="1">
        <v>6.2161824217928343</v>
      </c>
      <c r="C29" s="1">
        <v>0.94088175782071659</v>
      </c>
    </row>
    <row r="30" spans="1:3" x14ac:dyDescent="0.25">
      <c r="A30" s="1">
        <f t="array" ref="A30:C30">ode_rk4(A29:C29,$E$3,$G$3,$H$3)</f>
        <v>9</v>
      </c>
      <c r="B30" s="1">
        <v>6.6750582957633133</v>
      </c>
      <c r="C30" s="1">
        <v>0.89499417042366869</v>
      </c>
    </row>
    <row r="31" spans="1:3" x14ac:dyDescent="0.25">
      <c r="A31" s="1">
        <f t="array" ref="A31:C31">ode_rk4(A30:C30,$E$3,$G$3,$H$3)</f>
        <v>9.5</v>
      </c>
      <c r="B31" s="1">
        <v>7.1115544109636897</v>
      </c>
      <c r="C31" s="1">
        <v>0.85134455890363103</v>
      </c>
    </row>
    <row r="32" spans="1:3" x14ac:dyDescent="0.25">
      <c r="A32" s="1">
        <f t="array" ref="A32:C32">ode_rk4(A31:C31,$E$3,$G$3,$H$3)</f>
        <v>10</v>
      </c>
      <c r="B32" s="1">
        <v>7.526762246878981</v>
      </c>
      <c r="C32" s="1">
        <v>0.80982377531210181</v>
      </c>
    </row>
    <row r="33" spans="1:3" x14ac:dyDescent="0.25">
      <c r="A33" s="1">
        <f t="array" ref="A33:C33">ode_rk4(A32:C32,$E$3,$G$3,$H$3)</f>
        <v>10.5</v>
      </c>
      <c r="B33" s="1">
        <v>7.9217200506301539</v>
      </c>
      <c r="C33" s="1">
        <v>0.77032799493698456</v>
      </c>
    </row>
    <row r="34" spans="1:3" x14ac:dyDescent="0.25">
      <c r="A34" s="1">
        <f t="array" ref="A34:C34">ode_rk4(A33:C33,$E$3,$G$3,$H$3)</f>
        <v>11</v>
      </c>
      <c r="B34" s="1">
        <v>8.2974154331608787</v>
      </c>
      <c r="C34" s="1">
        <v>0.73275845668391204</v>
      </c>
    </row>
    <row r="35" spans="1:3" x14ac:dyDescent="0.25">
      <c r="A35" s="1">
        <f t="array" ref="A35:C35">ode_rk4(A34:C34,$E$3,$G$3,$H$3)</f>
        <v>11.5</v>
      </c>
      <c r="B35" s="1">
        <v>8.6547878388060955</v>
      </c>
      <c r="C35" s="1">
        <v>0.69702121611939039</v>
      </c>
    </row>
    <row r="36" spans="1:3" x14ac:dyDescent="0.25">
      <c r="A36" s="1">
        <f t="array" ref="A36:C36">ode_rk4(A35:C35,$E$3,$G$3,$H$3)</f>
        <v>12</v>
      </c>
      <c r="B36" s="1">
        <v>8.9947308944176569</v>
      </c>
      <c r="C36" s="1">
        <v>0.66302691055823426</v>
      </c>
    </row>
    <row r="37" spans="1:3" x14ac:dyDescent="0.25">
      <c r="A37" s="1">
        <f t="array" ref="A37:C37">ode_rk4(A36:C36,$E$3,$G$3,$H$3)</f>
        <v>12.5</v>
      </c>
      <c r="B37" s="1">
        <v>9.318094643921162</v>
      </c>
      <c r="C37" s="1">
        <v>0.63069053560788368</v>
      </c>
    </row>
    <row r="38" spans="1:3" x14ac:dyDescent="0.25">
      <c r="A38" s="1">
        <f t="array" ref="A38:C38">ode_rk4(A37:C37,$E$3,$G$3,$H$3)</f>
        <v>13</v>
      </c>
      <c r="B38" s="1">
        <v>9.6256876738915906</v>
      </c>
      <c r="C38" s="1">
        <v>0.5999312326108408</v>
      </c>
    </row>
    <row r="39" spans="1:3" x14ac:dyDescent="0.25">
      <c r="A39" s="1">
        <f t="array" ref="A39:C39">ode_rk4(A38:C38,$E$3,$G$3,$H$3)</f>
        <v>13.5</v>
      </c>
      <c r="B39" s="1">
        <v>9.9182791354628357</v>
      </c>
      <c r="C39" s="1">
        <v>0.57067208645371625</v>
      </c>
    </row>
    <row r="40" spans="1:3" x14ac:dyDescent="0.25">
      <c r="A40" s="1">
        <f t="array" ref="A40:C40">ode_rk4(A39:C39,$E$3,$G$3,$H$3)</f>
        <v>14</v>
      </c>
      <c r="B40" s="1">
        <v>10.196600667627033</v>
      </c>
      <c r="C40" s="1">
        <v>0.54283993323729651</v>
      </c>
    </row>
    <row r="41" spans="1:3" x14ac:dyDescent="0.25">
      <c r="A41" s="1">
        <f t="array" ref="A41:C41">ode_rk4(A40:C40,$E$3,$G$3,$H$3)</f>
        <v>14.5</v>
      </c>
      <c r="B41" s="1">
        <v>10.461348226732973</v>
      </c>
      <c r="C41" s="1">
        <v>0.51636517732670251</v>
      </c>
    </row>
    <row r="42" spans="1:3" x14ac:dyDescent="0.25">
      <c r="A42" s="1">
        <f t="array" ref="A42:C42">ode_rk4(A41:C41,$E$3,$G$3,$H$3)</f>
        <v>15</v>
      </c>
      <c r="B42" s="1">
        <v>10.71318382675835</v>
      </c>
      <c r="C42" s="1">
        <v>0.49118161732416477</v>
      </c>
    </row>
    <row r="43" spans="1:3" x14ac:dyDescent="0.25">
      <c r="A43" s="1">
        <f t="array" ref="A43:C43">ode_rk4(A42:C42,$E$3,$G$3,$H$3)</f>
        <v>15.5</v>
      </c>
      <c r="B43" s="1">
        <v>10.952737194707488</v>
      </c>
      <c r="C43" s="1">
        <v>0.4672262805292508</v>
      </c>
    </row>
    <row r="44" spans="1:3" x14ac:dyDescent="0.25">
      <c r="A44" s="1">
        <f t="array" ref="A44:C44">ode_rk4(A43:C43,$E$3,$G$3,$H$3)</f>
        <v>16</v>
      </c>
      <c r="B44" s="1">
        <v>11.180607345273941</v>
      </c>
      <c r="C44" s="1">
        <v>0.44443926547260548</v>
      </c>
    </row>
    <row r="45" spans="1:3" x14ac:dyDescent="0.25">
      <c r="A45" s="1">
        <f t="array" ref="A45:C45">ode_rk4(A44:C44,$E$3,$G$3,$H$3)</f>
        <v>16.5</v>
      </c>
      <c r="B45" s="1">
        <v>11.397364078705477</v>
      </c>
      <c r="C45" s="1">
        <v>0.42276359212945197</v>
      </c>
    </row>
    <row r="46" spans="1:3" x14ac:dyDescent="0.25">
      <c r="A46" s="1">
        <f t="array" ref="A46:C46">ode_rk4(A45:C45,$E$3,$G$3,$H$3)</f>
        <v>17</v>
      </c>
      <c r="B46" s="1">
        <v>11.603549405616945</v>
      </c>
      <c r="C46" s="1">
        <v>0.40214505943830514</v>
      </c>
    </row>
    <row r="47" spans="1:3" x14ac:dyDescent="0.25">
      <c r="A47" s="1">
        <f t="array" ref="A47:C47">ode_rk4(A46:C46,$E$3,$G$3,$H$3)</f>
        <v>17.5</v>
      </c>
      <c r="B47" s="1">
        <v>11.799678902313836</v>
      </c>
      <c r="C47" s="1">
        <v>0.38253210976861612</v>
      </c>
    </row>
    <row r="48" spans="1:3" x14ac:dyDescent="0.25">
      <c r="A48" s="1">
        <f t="array" ref="A48:C48">ode_rk4(A47:C47,$E$3,$G$3,$H$3)</f>
        <v>18</v>
      </c>
      <c r="B48" s="1">
        <v>11.986243000015572</v>
      </c>
      <c r="C48" s="1">
        <v>0.3638756999984426</v>
      </c>
    </row>
    <row r="49" spans="1:3" x14ac:dyDescent="0.25">
      <c r="A49" s="1">
        <f t="array" ref="A49:C49">ode_rk4(A48:C48,$E$3,$G$3,$H$3)</f>
        <v>18.5</v>
      </c>
      <c r="B49" s="1">
        <v>12.163708211202312</v>
      </c>
      <c r="C49" s="1">
        <v>0.34612917887976857</v>
      </c>
    </row>
    <row r="50" spans="1:3" x14ac:dyDescent="0.25">
      <c r="A50" s="1">
        <f t="array" ref="A50:C50">ode_rk4(A49:C49,$E$3,$G$3,$H$3)</f>
        <v>19</v>
      </c>
      <c r="B50" s="1">
        <v>12.3325182961518</v>
      </c>
      <c r="C50" s="1">
        <v>0.32924817038481985</v>
      </c>
    </row>
    <row r="51" spans="1:3" x14ac:dyDescent="0.25">
      <c r="A51" s="1">
        <f t="array" ref="A51:C51">ode_rk4(A50:C50,$E$3,$G$3,$H$3)</f>
        <v>19.5</v>
      </c>
      <c r="B51" s="1">
        <v>12.49309537258323</v>
      </c>
      <c r="C51" s="1">
        <v>0.31319046274167683</v>
      </c>
    </row>
    <row r="52" spans="1:3" x14ac:dyDescent="0.25">
      <c r="A52" s="1">
        <f t="array" ref="A52:C52">ode_rk4(A51:C51,$E$3,$G$3,$H$3)</f>
        <v>20</v>
      </c>
      <c r="B52" s="1">
        <v>12.645840971182869</v>
      </c>
      <c r="C52" s="1">
        <v>0.29791590288171299</v>
      </c>
    </row>
    <row r="53" spans="1:3" x14ac:dyDescent="0.25">
      <c r="A53" s="1">
        <f t="array" ref="A53:C53">ode_rk4(A52:C52,$E$3,$G$3,$H$3)</f>
        <v>20.5</v>
      </c>
      <c r="B53" s="1">
        <v>12.791137039650804</v>
      </c>
      <c r="C53" s="1">
        <v>0.28338629603491944</v>
      </c>
    </row>
    <row r="54" spans="1:3" x14ac:dyDescent="0.25">
      <c r="A54" s="1">
        <f t="array" ref="A54:C54">ode_rk4(A53:C53,$E$3,$G$3,$H$3)</f>
        <v>21</v>
      </c>
      <c r="B54" s="1">
        <v>12.929346897779501</v>
      </c>
      <c r="C54" s="1">
        <v>0.26956531022204971</v>
      </c>
    </row>
    <row r="55" spans="1:3" x14ac:dyDescent="0.25">
      <c r="A55" s="1">
        <f t="array" ref="A55:C55">ode_rk4(A54:C54,$E$3,$G$3,$H$3)</f>
        <v>21.5</v>
      </c>
      <c r="B55" s="1">
        <v>13.06081614595238</v>
      </c>
      <c r="C55" s="1">
        <v>0.25641838540476181</v>
      </c>
    </row>
    <row r="56" spans="1:3" x14ac:dyDescent="0.25">
      <c r="A56" s="1">
        <f t="array" ref="A56:C56">ode_rk4(A55:C55,$E$3,$G$3,$H$3)</f>
        <v>22</v>
      </c>
      <c r="B56" s="1">
        <v>13.185873529334161</v>
      </c>
      <c r="C56" s="1">
        <v>0.24391264706658372</v>
      </c>
    </row>
    <row r="57" spans="1:3" x14ac:dyDescent="0.25">
      <c r="A57" s="1">
        <f t="array" ref="A57:C57">ode_rk4(A56:C56,$E$3,$G$3,$H$3)</f>
        <v>22.5</v>
      </c>
      <c r="B57" s="1">
        <v>13.304831759913926</v>
      </c>
      <c r="C57" s="1">
        <v>0.23201682400860721</v>
      </c>
    </row>
    <row r="58" spans="1:3" x14ac:dyDescent="0.25">
      <c r="A58" s="1">
        <f t="array" ref="A58:C58">ode_rk4(A57:C57,$E$3,$G$3,$H$3)</f>
        <v>23</v>
      </c>
      <c r="B58" s="1">
        <v>13.417988298456457</v>
      </c>
      <c r="C58" s="1">
        <v>0.22070117015435409</v>
      </c>
    </row>
    <row r="59" spans="1:3" x14ac:dyDescent="0.25">
      <c r="A59" s="1">
        <f t="array" ref="A59:C59">ode_rk4(A58:C58,$E$3,$G$3,$H$3)</f>
        <v>23.5</v>
      </c>
      <c r="B59" s="1">
        <v>13.525626098317154</v>
      </c>
      <c r="C59" s="1">
        <v>0.20993739016828444</v>
      </c>
    </row>
    <row r="60" spans="1:3" x14ac:dyDescent="0.25">
      <c r="A60" s="1">
        <f t="array" ref="A60:C60">ode_rk4(A59:C59,$E$3,$G$3,$H$3)</f>
        <v>24</v>
      </c>
      <c r="B60" s="1">
        <v>13.628014312980477</v>
      </c>
      <c r="C60" s="1">
        <v>0.19969856870195207</v>
      </c>
    </row>
    <row r="61" spans="1:3" x14ac:dyDescent="0.25">
      <c r="A61" s="1">
        <f t="array" ref="A61:C61">ode_rk4(A60:C60,$E$3,$G$3,$H$3)</f>
        <v>24.5</v>
      </c>
      <c r="B61" s="1">
        <v>13.725408969091159</v>
      </c>
      <c r="C61" s="1">
        <v>0.18995910309088396</v>
      </c>
    </row>
    <row r="62" spans="1:3" x14ac:dyDescent="0.25">
      <c r="A62" s="1">
        <f t="array" ref="A62:C62">ode_rk4(A61:C61,$E$3,$G$3,$H$3)</f>
        <v>25</v>
      </c>
      <c r="B62" s="1">
        <v>13.81805360666111</v>
      </c>
      <c r="C62" s="1">
        <v>0.18069463933388896</v>
      </c>
    </row>
    <row r="63" spans="1:3" x14ac:dyDescent="0.25">
      <c r="A63" s="1">
        <f t="array" ref="A63:C63">ode_rk4(A62:C62,$E$3,$G$3,$H$3)</f>
        <v>25.5</v>
      </c>
      <c r="B63" s="1">
        <v>13.906179888052909</v>
      </c>
      <c r="C63" s="1">
        <v>0.17188201119470908</v>
      </c>
    </row>
    <row r="64" spans="1:3" x14ac:dyDescent="0.25">
      <c r="A64" s="1">
        <f t="array" ref="A64:C64">ode_rk4(A63:C63,$E$3,$G$3,$H$3)</f>
        <v>26</v>
      </c>
      <c r="B64" s="1">
        <v>13.990008177262663</v>
      </c>
      <c r="C64" s="1">
        <v>0.16349918227373378</v>
      </c>
    </row>
    <row r="65" spans="1:3" x14ac:dyDescent="0.25">
      <c r="A65" s="1">
        <f t="array" ref="A65:C65">ode_rk4(A64:C64,$E$3,$G$3,$H$3)</f>
        <v>26.5</v>
      </c>
      <c r="B65" s="1">
        <v>14.069748090950748</v>
      </c>
      <c r="C65" s="1">
        <v>0.15552519090492523</v>
      </c>
    </row>
    <row r="66" spans="1:3" x14ac:dyDescent="0.25">
      <c r="A66" s="1">
        <f t="array" ref="A66:C66">ode_rk4(A65:C65,$E$3,$G$3,$H$3)</f>
        <v>27</v>
      </c>
      <c r="B66" s="1">
        <v>14.145599022598338</v>
      </c>
      <c r="C66" s="1">
        <v>0.14794009774016625</v>
      </c>
    </row>
    <row r="67" spans="1:3" x14ac:dyDescent="0.25">
      <c r="A67" s="1">
        <f t="array" ref="A67:C67">ode_rk4(A66:C66,$E$3,$G$3,$H$3)</f>
        <v>27.5</v>
      </c>
      <c r="B67" s="1">
        <v>14.217750641100364</v>
      </c>
      <c r="C67" s="1">
        <v>0.14072493588996357</v>
      </c>
    </row>
    <row r="68" spans="1:3" x14ac:dyDescent="0.25">
      <c r="A68" s="1">
        <f t="array" ref="A68:C68">ode_rk4(A67:C67,$E$3,$G$3,$H$3)</f>
        <v>28</v>
      </c>
      <c r="B68" s="1">
        <v>14.286383365041699</v>
      </c>
      <c r="C68" s="1">
        <v>0.13386166349583015</v>
      </c>
    </row>
    <row r="69" spans="1:3" x14ac:dyDescent="0.25">
      <c r="A69" s="1">
        <f t="array" ref="A69:C69">ode_rk4(A68:C68,$E$3,$G$3,$H$3)</f>
        <v>28.5</v>
      </c>
      <c r="B69" s="1">
        <v>14.351668813842478</v>
      </c>
      <c r="C69" s="1">
        <v>0.12733311861575225</v>
      </c>
    </row>
    <row r="70" spans="1:3" x14ac:dyDescent="0.25">
      <c r="A70" s="1">
        <f t="array" ref="A70:C70">ode_rk4(A69:C69,$E$3,$G$3,$H$3)</f>
        <v>29</v>
      </c>
      <c r="B70" s="1">
        <v>14.413770236900701</v>
      </c>
      <c r="C70" s="1">
        <v>0.12112297630992983</v>
      </c>
    </row>
    <row r="71" spans="1:3" x14ac:dyDescent="0.25">
      <c r="A71" s="1">
        <f t="array" ref="A71:C71">ode_rk4(A70:C70,$E$3,$G$3,$H$3)</f>
        <v>29.5</v>
      </c>
      <c r="B71" s="1">
        <v>14.47284292180519</v>
      </c>
      <c r="C71" s="1">
        <v>0.11521570781948096</v>
      </c>
    </row>
    <row r="72" spans="1:3" x14ac:dyDescent="0.25">
      <c r="A72" s="1">
        <f t="array" ref="A72:C72">ode_rk4(A71:C71,$E$3,$G$3,$H$3)</f>
        <v>30</v>
      </c>
      <c r="B72" s="1">
        <v>14.52903458263965</v>
      </c>
      <c r="C72" s="1">
        <v>0.10959654173603502</v>
      </c>
    </row>
    <row r="73" spans="1:3" x14ac:dyDescent="0.25">
      <c r="A73" s="1">
        <f t="array" ref="A73:C73">ode_rk4(A72:C72,$E$3,$G$3,$H$3)</f>
        <v>30.5</v>
      </c>
      <c r="B73" s="1">
        <v>14.582485729348829</v>
      </c>
      <c r="C73" s="1">
        <v>0.10425142706511714</v>
      </c>
    </row>
    <row r="74" spans="1:3" x14ac:dyDescent="0.25">
      <c r="A74" s="1">
        <f t="array" ref="A74:C74">ode_rk4(A73:C73,$E$3,$G$3,$H$3)</f>
        <v>31</v>
      </c>
      <c r="B74" s="1">
        <v>14.633330019090378</v>
      </c>
      <c r="C74" s="1">
        <v>9.9166998090962161E-2</v>
      </c>
    </row>
    <row r="75" spans="1:3" x14ac:dyDescent="0.25">
      <c r="A75" s="1">
        <f t="array" ref="A75:C75">ode_rk4(A74:C74,$E$3,$G$3,$H$3)</f>
        <v>31.5</v>
      </c>
      <c r="B75" s="1">
        <v>14.681694590450991</v>
      </c>
      <c r="C75" s="1">
        <v>9.4330540954900857E-2</v>
      </c>
    </row>
    <row r="76" spans="1:3" x14ac:dyDescent="0.25">
      <c r="A76" s="1">
        <f t="array" ref="A76:C76">ode_rk4(A75:C75,$E$3,$G$3,$H$3)</f>
        <v>32</v>
      </c>
      <c r="B76" s="1">
        <v>14.727700381362538</v>
      </c>
      <c r="C76" s="1">
        <v>8.972996186374621E-2</v>
      </c>
    </row>
    <row r="77" spans="1:3" x14ac:dyDescent="0.25">
      <c r="A77" s="1">
        <f t="array" ref="A77:C77">ode_rk4(A76:C76,$E$3,$G$3,$H$3)</f>
        <v>32.5</v>
      </c>
      <c r="B77" s="1">
        <v>14.77146243151317</v>
      </c>
      <c r="C77" s="1">
        <v>8.5353756848683085E-2</v>
      </c>
    </row>
    <row r="78" spans="1:3" x14ac:dyDescent="0.25">
      <c r="A78" s="1">
        <f t="array" ref="A78:C78">ode_rk4(A77:C77,$E$3,$G$3,$H$3)</f>
        <v>33</v>
      </c>
      <c r="B78" s="1">
        <v>14.813090170009579</v>
      </c>
      <c r="C78" s="1">
        <v>8.1190982999042108E-2</v>
      </c>
    </row>
    <row r="79" spans="1:3" x14ac:dyDescent="0.25">
      <c r="A79" s="1">
        <f t="array" ref="A79:C79">ode_rk4(A78:C78,$E$3,$G$3,$H$3)</f>
        <v>33.5</v>
      </c>
      <c r="B79" s="1">
        <v>14.852687689009736</v>
      </c>
      <c r="C79" s="1">
        <v>7.7231231099026326E-2</v>
      </c>
    </row>
    <row r="80" spans="1:3" x14ac:dyDescent="0.25">
      <c r="A80" s="1">
        <f t="array" ref="A80:C80">ode_rk4(A79:C79,$E$3,$G$3,$H$3)</f>
        <v>34</v>
      </c>
      <c r="B80" s="1">
        <v>14.890354004010323</v>
      </c>
      <c r="C80" s="1">
        <v>7.3464599598967562E-2</v>
      </c>
    </row>
    <row r="81" spans="1:3" x14ac:dyDescent="0.25">
      <c r="A81" s="1">
        <f t="array" ref="A81:C81">ode_rk4(A80:C80,$E$3,$G$3,$H$3)</f>
        <v>34.5</v>
      </c>
      <c r="B81" s="1">
        <v>14.926183301439735</v>
      </c>
      <c r="C81" s="1">
        <v>6.9881669856026243E-2</v>
      </c>
    </row>
    <row r="82" spans="1:3" x14ac:dyDescent="0.25">
      <c r="A82" s="1">
        <f t="array" ref="A82:C82">ode_rk4(A81:C81,$E$3,$G$3,$H$3)</f>
        <v>35</v>
      </c>
      <c r="B82" s="1">
        <v>14.960265174175769</v>
      </c>
      <c r="C82" s="1">
        <v>6.6473482582422957E-2</v>
      </c>
    </row>
    <row r="83" spans="1:3" x14ac:dyDescent="0.25">
      <c r="A83" s="1">
        <f t="array" ref="A83:C83">ode_rk4(A82:C82,$E$3,$G$3,$H$3)</f>
        <v>35.5</v>
      </c>
      <c r="B83" s="1">
        <v>14.992684845576905</v>
      </c>
      <c r="C83" s="1">
        <v>6.3231515442309372E-2</v>
      </c>
    </row>
    <row r="84" spans="1:3" x14ac:dyDescent="0.25">
      <c r="A84" s="1">
        <f t="array" ref="A84:C84">ode_rk4(A83:C83,$E$3,$G$3,$H$3)</f>
        <v>36</v>
      </c>
      <c r="B84" s="1">
        <v>15.023523382587415</v>
      </c>
      <c r="C84" s="1">
        <v>6.0147661741258407E-2</v>
      </c>
    </row>
    <row r="85" spans="1:3" x14ac:dyDescent="0.25">
      <c r="A85" s="1">
        <f t="array" ref="A85:C85">ode_rk4(A84:C84,$E$3,$G$3,$H$3)</f>
        <v>36.5</v>
      </c>
      <c r="B85" s="1">
        <v>15.052857898449142</v>
      </c>
      <c r="C85" s="1">
        <v>5.7214210155085786E-2</v>
      </c>
    </row>
    <row r="86" spans="1:3" x14ac:dyDescent="0.25">
      <c r="A86" s="1">
        <f t="array" ref="A86:C86">ode_rk4(A85:C85,$E$3,$G$3,$H$3)</f>
        <v>37</v>
      </c>
      <c r="B86" s="1">
        <v>15.080761745526862</v>
      </c>
      <c r="C86" s="1">
        <v>5.4423825447313792E-2</v>
      </c>
    </row>
    <row r="87" spans="1:3" x14ac:dyDescent="0.25">
      <c r="A87" s="1">
        <f t="array" ref="A87:C87">ode_rk4(A86:C86,$E$3,$G$3,$H$3)</f>
        <v>37.5</v>
      </c>
      <c r="B87" s="1">
        <v>15.107304698729395</v>
      </c>
      <c r="C87" s="1">
        <v>5.1769530127060426E-2</v>
      </c>
    </row>
    <row r="88" spans="1:3" x14ac:dyDescent="0.25">
      <c r="A88" s="1">
        <f t="array" ref="A88:C88">ode_rk4(A87:C87,$E$3,$G$3,$H$3)</f>
        <v>38</v>
      </c>
      <c r="B88" s="1">
        <v>15.132553129985114</v>
      </c>
      <c r="C88" s="1">
        <v>4.9244687001488582E-2</v>
      </c>
    </row>
    <row r="89" spans="1:3" x14ac:dyDescent="0.25">
      <c r="A89" s="1">
        <f t="array" ref="A89:C89">ode_rk4(A88:C88,$E$3,$G$3,$H$3)</f>
        <v>38.5</v>
      </c>
      <c r="B89" s="1">
        <v>15.156570174208131</v>
      </c>
      <c r="C89" s="1">
        <v>4.6842982579186815E-2</v>
      </c>
    </row>
    <row r="90" spans="1:3" x14ac:dyDescent="0.25">
      <c r="A90" s="1">
        <f t="array" ref="A90:C90">ode_rk4(A89:C89,$E$3,$G$3,$H$3)</f>
        <v>39</v>
      </c>
      <c r="B90" s="1">
        <v>15.179415887170189</v>
      </c>
      <c r="C90" s="1">
        <v>4.4558411282981061E-2</v>
      </c>
    </row>
    <row r="91" spans="1:3" x14ac:dyDescent="0.25">
      <c r="A91" s="1">
        <f t="array" ref="A91:C91">ode_rk4(A90:C90,$E$3,$G$3,$H$3)</f>
        <v>39.5</v>
      </c>
      <c r="B91" s="1">
        <v>15.201147395672992</v>
      </c>
      <c r="C91" s="1">
        <v>4.2385260432700675E-2</v>
      </c>
    </row>
    <row r="92" spans="1:3" x14ac:dyDescent="0.25">
      <c r="A92" s="1">
        <f t="array" ref="A92:C92">ode_rk4(A91:C91,$E$3,$G$3,$H$3)</f>
        <v>40</v>
      </c>
      <c r="B92" s="1">
        <v>15.221819040396523</v>
      </c>
      <c r="C92" s="1">
        <v>4.0318095960347501E-2</v>
      </c>
    </row>
    <row r="93" spans="1:3" x14ac:dyDescent="0.25">
      <c r="A93" s="1">
        <f t="array" ref="A93:C93">ode_rk4(A92:C92,$E$3,$G$3,$H$3)</f>
        <v>40.5</v>
      </c>
      <c r="B93" s="1">
        <v>15.241482511780518</v>
      </c>
      <c r="C93" s="1">
        <v>3.8351748821948056E-2</v>
      </c>
    </row>
    <row r="94" spans="1:3" x14ac:dyDescent="0.25">
      <c r="A94" s="1">
        <f t="array" ref="A94:C94">ode_rk4(A93:C93,$E$3,$G$3,$H$3)</f>
        <v>41</v>
      </c>
      <c r="B94" s="1">
        <v>15.260186979278888</v>
      </c>
      <c r="C94" s="1">
        <v>3.6481302072110963E-2</v>
      </c>
    </row>
    <row r="95" spans="1:3" x14ac:dyDescent="0.25">
      <c r="A95" s="1">
        <f t="array" ref="A95:C95">ode_rk4(A94:C94,$E$3,$G$3,$H$3)</f>
        <v>41.5</v>
      </c>
      <c r="B95" s="1">
        <v>15.277979214310307</v>
      </c>
      <c r="C95" s="1">
        <v>3.470207856896905E-2</v>
      </c>
    </row>
    <row r="96" spans="1:3" x14ac:dyDescent="0.25">
      <c r="A96" s="1">
        <f t="array" ref="A96:C96">ode_rk4(A95:C95,$E$3,$G$3,$H$3)</f>
        <v>42</v>
      </c>
      <c r="B96" s="1">
        <v>15.294903707212381</v>
      </c>
      <c r="C96" s="1">
        <v>3.3009629278761624E-2</v>
      </c>
    </row>
    <row r="97" spans="1:3" x14ac:dyDescent="0.25">
      <c r="A97" s="1">
        <f t="array" ref="A97:C97">ode_rk4(A96:C96,$E$3,$G$3,$H$3)</f>
        <v>42.5</v>
      </c>
      <c r="B97" s="1">
        <v>15.311002778491877</v>
      </c>
      <c r="C97" s="1">
        <v>3.1399722150812021E-2</v>
      </c>
    </row>
    <row r="98" spans="1:3" x14ac:dyDescent="0.25">
      <c r="A98" s="1">
        <f t="array" ref="A98:C98">ode_rk4(A97:C97,$E$3,$G$3,$H$3)</f>
        <v>43</v>
      </c>
      <c r="B98" s="1">
        <v>15.32631668464918</v>
      </c>
      <c r="C98" s="1">
        <v>2.9868331535081793E-2</v>
      </c>
    </row>
    <row r="99" spans="1:3" x14ac:dyDescent="0.25">
      <c r="A99" s="1">
        <f t="array" ref="A99:C99">ode_rk4(A98:C98,$E$3,$G$3,$H$3)</f>
        <v>43.5</v>
      </c>
      <c r="B99" s="1">
        <v>15.340883718841603</v>
      </c>
      <c r="C99" s="1">
        <v>2.8411628115839575E-2</v>
      </c>
    </row>
    <row r="100" spans="1:3" x14ac:dyDescent="0.25">
      <c r="A100" s="1">
        <f t="array" ref="A100:C100">ode_rk4(A99:C99,$E$3,$G$3,$H$3)</f>
        <v>44</v>
      </c>
      <c r="B100" s="1">
        <v>15.354740306637266</v>
      </c>
      <c r="C100" s="1">
        <v>2.7025969336273315E-2</v>
      </c>
    </row>
    <row r="101" spans="1:3" x14ac:dyDescent="0.25">
      <c r="A101" s="1">
        <f t="array" ref="A101:C101">ode_rk4(A100:C100,$E$3,$G$3,$H$3)</f>
        <v>44.5</v>
      </c>
      <c r="B101" s="1">
        <v>15.367921097098979</v>
      </c>
      <c r="C101" s="1">
        <v>2.5707890290102151E-2</v>
      </c>
    </row>
    <row r="102" spans="1:3" x14ac:dyDescent="0.25">
      <c r="A102" s="1">
        <f t="array" ref="A102:C102">ode_rk4(A101:C101,$E$3,$G$3,$H$3)</f>
        <v>45</v>
      </c>
      <c r="B102" s="1">
        <v>15.38045904942588</v>
      </c>
      <c r="C102" s="1">
        <v>2.4454095057411959E-2</v>
      </c>
    </row>
    <row r="103" spans="1:3" x14ac:dyDescent="0.25">
      <c r="A103" s="1">
        <f t="array" ref="A103:C103">ode_rk4(A102:C102,$E$3,$G$3,$H$3)</f>
        <v>45.5</v>
      </c>
      <c r="B103" s="1">
        <v>15.392385515369506</v>
      </c>
      <c r="C103" s="1">
        <v>2.3261448463049429E-2</v>
      </c>
    </row>
    <row r="104" spans="1:3" x14ac:dyDescent="0.25">
      <c r="A104" s="1">
        <f t="array" ref="A104:C104">ode_rk4(A103:C103,$E$3,$G$3,$H$3)</f>
        <v>46</v>
      </c>
      <c r="B104" s="1">
        <v>15.403730317630339</v>
      </c>
      <c r="C104" s="1">
        <v>2.2126968236966124E-2</v>
      </c>
    </row>
    <row r="105" spans="1:3" x14ac:dyDescent="0.25">
      <c r="A105" s="1">
        <f t="array" ref="A105:C105">ode_rk4(A104:C104,$E$3,$G$3,$H$3)</f>
        <v>46.5</v>
      </c>
      <c r="B105" s="1">
        <v>15.41452182443091</v>
      </c>
      <c r="C105" s="1">
        <v>2.1047817556909088E-2</v>
      </c>
    </row>
    <row r="106" spans="1:3" x14ac:dyDescent="0.25">
      <c r="A106" s="1">
        <f t="array" ref="A106:C106">ode_rk4(A105:C105,$E$3,$G$3,$H$3)</f>
        <v>47</v>
      </c>
      <c r="B106" s="1">
        <v>15.424787020451895</v>
      </c>
      <c r="C106" s="1">
        <v>2.0021297954810668E-2</v>
      </c>
    </row>
    <row r="107" spans="1:3" x14ac:dyDescent="0.25">
      <c r="A107" s="1">
        <f t="array" ref="A107:C107">ode_rk4(A106:C106,$E$3,$G$3,$H$3)</f>
        <v>47.5</v>
      </c>
      <c r="B107" s="1">
        <v>15.434551574308605</v>
      </c>
      <c r="C107" s="1">
        <v>1.9044842569139589E-2</v>
      </c>
    </row>
    <row r="108" spans="1:3" x14ac:dyDescent="0.25">
      <c r="A108" s="1">
        <f t="array" ref="A108:C108">ode_rk4(A107:C107,$E$3,$G$3,$H$3)</f>
        <v>48</v>
      </c>
      <c r="B108" s="1">
        <v>15.443839902736595</v>
      </c>
      <c r="C108" s="1">
        <v>1.8116009726340511E-2</v>
      </c>
    </row>
    <row r="109" spans="1:3" x14ac:dyDescent="0.25">
      <c r="A109" s="1">
        <f t="array" ref="A109:C109">ode_rk4(A108:C108,$E$3,$G$3,$H$3)</f>
        <v>48.5</v>
      </c>
      <c r="B109" s="1">
        <v>15.452675231646879</v>
      </c>
      <c r="C109" s="1">
        <v>1.7232476835312111E-2</v>
      </c>
    </row>
    <row r="110" spans="1:3" x14ac:dyDescent="0.25">
      <c r="A110" s="1">
        <f t="array" ref="A110:C110">ode_rk4(A109:C109,$E$3,$G$3,$H$3)</f>
        <v>49</v>
      </c>
      <c r="B110" s="1">
        <v>15.461079654203434</v>
      </c>
      <c r="C110" s="1">
        <v>1.6392034579656576E-2</v>
      </c>
    </row>
    <row r="111" spans="1:3" x14ac:dyDescent="0.25">
      <c r="A111" s="1">
        <f t="array" ref="A111:C111">ode_rk4(A110:C110,$E$3,$G$3,$H$3)</f>
        <v>49.5</v>
      </c>
      <c r="B111" s="1">
        <v>15.469074186068221</v>
      </c>
      <c r="C111" s="1">
        <v>1.5592581393177908E-2</v>
      </c>
    </row>
    <row r="112" spans="1:3" x14ac:dyDescent="0.25">
      <c r="A112" s="1">
        <f t="array" ref="A112:C112">ode_rk4(A111:C111,$E$3,$G$3,$H$3)</f>
        <v>50</v>
      </c>
      <c r="B112" s="1">
        <v>15.476678817951852</v>
      </c>
      <c r="C112" s="1">
        <v>1.4832118204814794E-2</v>
      </c>
    </row>
    <row r="113" spans="1:6" x14ac:dyDescent="0.25">
      <c r="A113" s="1"/>
      <c r="B113" s="1"/>
      <c r="C113" s="1"/>
      <c r="D113" s="1"/>
      <c r="E113" s="1"/>
      <c r="F113" s="1"/>
    </row>
    <row r="114" spans="1:6" x14ac:dyDescent="0.25">
      <c r="A114" s="1"/>
      <c r="B114" s="1"/>
      <c r="C114" s="1"/>
      <c r="D114" s="1"/>
      <c r="E114" s="1"/>
      <c r="F114" s="1"/>
    </row>
    <row r="115" spans="1:6" x14ac:dyDescent="0.25">
      <c r="A115" s="1"/>
      <c r="B115" s="1"/>
      <c r="C115" s="1"/>
      <c r="D115" s="1"/>
      <c r="E115" s="1"/>
      <c r="F115" s="1"/>
    </row>
    <row r="116" spans="1:6" x14ac:dyDescent="0.25">
      <c r="A116" s="1"/>
      <c r="B116" s="1"/>
      <c r="C116" s="1"/>
      <c r="D116" s="1"/>
      <c r="E116" s="1"/>
      <c r="F116" s="1"/>
    </row>
    <row r="117" spans="1:6" x14ac:dyDescent="0.25">
      <c r="A117" s="1"/>
      <c r="B117" s="1"/>
      <c r="C117" s="1"/>
      <c r="D117" s="1"/>
      <c r="E117" s="1"/>
      <c r="F117" s="1"/>
    </row>
    <row r="118" spans="1:6" x14ac:dyDescent="0.25">
      <c r="A118" s="1"/>
      <c r="B118" s="1"/>
      <c r="C118" s="1"/>
      <c r="D118" s="1"/>
      <c r="E118" s="1"/>
      <c r="F118" s="1"/>
    </row>
    <row r="119" spans="1:6" x14ac:dyDescent="0.25">
      <c r="A119" s="1"/>
      <c r="B119" s="1"/>
      <c r="C119" s="1"/>
      <c r="D119" s="1"/>
      <c r="E119" s="1"/>
      <c r="F119" s="1"/>
    </row>
    <row r="120" spans="1:6" x14ac:dyDescent="0.25">
      <c r="A120" s="1"/>
      <c r="B120" s="1"/>
      <c r="C120" s="1"/>
      <c r="D120" s="1"/>
      <c r="E120" s="1"/>
      <c r="F120" s="1"/>
    </row>
    <row r="121" spans="1:6" x14ac:dyDescent="0.25">
      <c r="A121" s="1"/>
      <c r="B121" s="1"/>
      <c r="C121" s="1"/>
      <c r="D121" s="1"/>
      <c r="E121" s="1"/>
      <c r="F121" s="1"/>
    </row>
    <row r="122" spans="1:6" x14ac:dyDescent="0.25">
      <c r="A122" s="1"/>
      <c r="B122" s="1"/>
      <c r="C122" s="1"/>
      <c r="D122" s="1"/>
      <c r="E122" s="1"/>
      <c r="F122" s="1"/>
    </row>
    <row r="123" spans="1:6" x14ac:dyDescent="0.25">
      <c r="A123" s="1"/>
      <c r="B123" s="1"/>
      <c r="C123" s="1"/>
      <c r="D123" s="1"/>
      <c r="E123" s="1"/>
      <c r="F123" s="1"/>
    </row>
    <row r="124" spans="1:6" x14ac:dyDescent="0.25">
      <c r="A124" s="1"/>
      <c r="B124" s="1"/>
      <c r="C124" s="1"/>
      <c r="D124" s="1"/>
      <c r="E124" s="1"/>
      <c r="F124" s="1"/>
    </row>
    <row r="125" spans="1:6" x14ac:dyDescent="0.25">
      <c r="A125" s="1"/>
      <c r="B125" s="1"/>
      <c r="C125" s="1"/>
      <c r="D125" s="1"/>
      <c r="E125" s="1"/>
      <c r="F125" s="1"/>
    </row>
    <row r="126" spans="1:6" x14ac:dyDescent="0.25">
      <c r="A126" s="1"/>
      <c r="B126" s="1"/>
      <c r="C126" s="1"/>
      <c r="D126" s="1"/>
      <c r="E126" s="1"/>
      <c r="F126" s="1"/>
    </row>
    <row r="127" spans="1:6" x14ac:dyDescent="0.25">
      <c r="A127" s="1"/>
      <c r="B127" s="1"/>
      <c r="C127" s="1"/>
      <c r="D127" s="1"/>
      <c r="E127" s="1"/>
      <c r="F127" s="1"/>
    </row>
    <row r="128" spans="1:6" x14ac:dyDescent="0.25">
      <c r="A128" s="1"/>
      <c r="B128" s="1"/>
      <c r="C128" s="1"/>
    </row>
    <row r="129" spans="1:3" x14ac:dyDescent="0.25">
      <c r="A129" s="1"/>
      <c r="B129" s="1"/>
      <c r="C129" s="1"/>
    </row>
    <row r="130" spans="1:3" x14ac:dyDescent="0.25">
      <c r="A130" s="1"/>
      <c r="B130" s="1"/>
      <c r="C130" s="1"/>
    </row>
    <row r="131" spans="1:3" x14ac:dyDescent="0.25">
      <c r="A131" s="1"/>
      <c r="B131" s="1"/>
      <c r="C131" s="1"/>
    </row>
    <row r="132" spans="1:3" x14ac:dyDescent="0.25">
      <c r="A132" s="1"/>
      <c r="B132" s="1"/>
      <c r="C132" s="1"/>
    </row>
    <row r="133" spans="1:3" x14ac:dyDescent="0.25">
      <c r="A133" s="1"/>
      <c r="B133" s="1"/>
      <c r="C133" s="1"/>
    </row>
    <row r="134" spans="1:3" x14ac:dyDescent="0.25">
      <c r="A134" s="1"/>
      <c r="B134" s="1"/>
      <c r="C134" s="1"/>
    </row>
    <row r="135" spans="1:3" x14ac:dyDescent="0.25">
      <c r="A135" s="1"/>
      <c r="B135" s="1"/>
      <c r="C135" s="1"/>
    </row>
    <row r="136" spans="1:3" x14ac:dyDescent="0.25">
      <c r="A136" s="1"/>
      <c r="B136" s="1"/>
      <c r="C136" s="1"/>
    </row>
    <row r="137" spans="1:3" x14ac:dyDescent="0.25">
      <c r="A137" s="1"/>
      <c r="B137" s="1"/>
      <c r="C137" s="1"/>
    </row>
    <row r="138" spans="1:3" x14ac:dyDescent="0.25">
      <c r="A138" s="1"/>
      <c r="B138" s="1"/>
      <c r="C138" s="1"/>
    </row>
    <row r="139" spans="1:3" x14ac:dyDescent="0.25">
      <c r="A139" s="1"/>
      <c r="B139" s="1"/>
      <c r="C139" s="1"/>
    </row>
    <row r="140" spans="1:3" x14ac:dyDescent="0.25">
      <c r="A140" s="1"/>
      <c r="B140" s="1"/>
      <c r="C140" s="1"/>
    </row>
    <row r="141" spans="1:3" x14ac:dyDescent="0.25">
      <c r="A141" s="1"/>
      <c r="B141" s="1"/>
      <c r="C141" s="1"/>
    </row>
    <row r="142" spans="1:3" x14ac:dyDescent="0.25">
      <c r="A142" s="1"/>
      <c r="B142" s="1"/>
      <c r="C142" s="1"/>
    </row>
    <row r="143" spans="1:3" x14ac:dyDescent="0.25">
      <c r="A143" s="1"/>
      <c r="B143" s="1"/>
      <c r="C143" s="1"/>
    </row>
    <row r="144" spans="1:3" x14ac:dyDescent="0.25">
      <c r="A144" s="1"/>
      <c r="B144" s="1"/>
      <c r="C144" s="1"/>
    </row>
    <row r="145" spans="1:3" x14ac:dyDescent="0.25">
      <c r="A145" s="1"/>
      <c r="B145" s="1"/>
      <c r="C145" s="1"/>
    </row>
    <row r="146" spans="1:3" x14ac:dyDescent="0.25">
      <c r="A146" s="1"/>
      <c r="B146" s="1"/>
      <c r="C146" s="1"/>
    </row>
    <row r="147" spans="1:3" x14ac:dyDescent="0.25">
      <c r="A147" s="1"/>
      <c r="B147" s="1"/>
      <c r="C147" s="1"/>
    </row>
    <row r="148" spans="1:3" x14ac:dyDescent="0.25">
      <c r="A148" s="1"/>
      <c r="B148" s="1"/>
      <c r="C148" s="1"/>
    </row>
    <row r="149" spans="1:3" x14ac:dyDescent="0.25">
      <c r="A149" s="1"/>
      <c r="B149" s="1"/>
      <c r="C149" s="1"/>
    </row>
    <row r="150" spans="1:3" x14ac:dyDescent="0.25">
      <c r="A150" s="1"/>
      <c r="B150" s="1"/>
      <c r="C150" s="1"/>
    </row>
    <row r="151" spans="1:3" x14ac:dyDescent="0.25">
      <c r="A151" s="1"/>
      <c r="B151" s="1"/>
      <c r="C151" s="1"/>
    </row>
    <row r="152" spans="1:3" x14ac:dyDescent="0.25">
      <c r="A152" s="1"/>
      <c r="B152" s="1"/>
      <c r="C152" s="1"/>
    </row>
    <row r="153" spans="1:3" x14ac:dyDescent="0.25">
      <c r="A153" s="1"/>
      <c r="B153" s="1"/>
      <c r="C153" s="1"/>
    </row>
    <row r="154" spans="1:3" x14ac:dyDescent="0.25">
      <c r="A154" s="1"/>
      <c r="B154" s="1"/>
      <c r="C154" s="1"/>
    </row>
    <row r="155" spans="1:3" x14ac:dyDescent="0.25">
      <c r="A155" s="1"/>
      <c r="B155" s="1"/>
      <c r="C155" s="1"/>
    </row>
    <row r="156" spans="1:3" x14ac:dyDescent="0.25">
      <c r="A156" s="1"/>
      <c r="B156" s="1"/>
      <c r="C156" s="1"/>
    </row>
    <row r="157" spans="1:3" x14ac:dyDescent="0.25">
      <c r="A157" s="1"/>
      <c r="B157" s="1"/>
      <c r="C157" s="1"/>
    </row>
    <row r="158" spans="1:3" x14ac:dyDescent="0.25">
      <c r="A158" s="1"/>
      <c r="B158" s="1"/>
      <c r="C158" s="1"/>
    </row>
    <row r="159" spans="1:3" x14ac:dyDescent="0.25">
      <c r="A159" s="1"/>
      <c r="B159" s="1"/>
      <c r="C159" s="1"/>
    </row>
    <row r="160" spans="1:3" x14ac:dyDescent="0.25">
      <c r="A160" s="1"/>
      <c r="B160" s="1"/>
      <c r="C160" s="1"/>
    </row>
    <row r="161" spans="1:3" x14ac:dyDescent="0.25">
      <c r="A161" s="1"/>
      <c r="B161" s="1"/>
      <c r="C161" s="1"/>
    </row>
    <row r="162" spans="1:3" x14ac:dyDescent="0.25">
      <c r="A162" s="1"/>
      <c r="B162" s="1"/>
      <c r="C162" s="1"/>
    </row>
    <row r="163" spans="1:3" x14ac:dyDescent="0.25">
      <c r="A163" s="1"/>
      <c r="B163" s="1"/>
      <c r="C163" s="1"/>
    </row>
    <row r="164" spans="1:3" x14ac:dyDescent="0.25">
      <c r="A164" s="1"/>
      <c r="B164" s="1"/>
      <c r="C164" s="1"/>
    </row>
    <row r="165" spans="1:3" x14ac:dyDescent="0.25">
      <c r="A165" s="1"/>
      <c r="B165" s="1"/>
      <c r="C165" s="1"/>
    </row>
    <row r="166" spans="1:3" x14ac:dyDescent="0.25">
      <c r="A166" s="1"/>
      <c r="B166" s="1"/>
      <c r="C166" s="1"/>
    </row>
    <row r="167" spans="1:3" x14ac:dyDescent="0.25">
      <c r="A167" s="1"/>
      <c r="B167" s="1"/>
      <c r="C167" s="1"/>
    </row>
    <row r="168" spans="1:3" x14ac:dyDescent="0.25">
      <c r="A168" s="1"/>
      <c r="B168" s="1"/>
      <c r="C168" s="1"/>
    </row>
    <row r="169" spans="1:3" x14ac:dyDescent="0.25">
      <c r="A169" s="1"/>
      <c r="B169" s="1"/>
      <c r="C169" s="1"/>
    </row>
    <row r="170" spans="1:3" x14ac:dyDescent="0.25">
      <c r="A170" s="1"/>
      <c r="B170" s="1"/>
      <c r="C170" s="1"/>
    </row>
    <row r="171" spans="1:3" x14ac:dyDescent="0.25">
      <c r="A171" s="1"/>
      <c r="B171" s="1"/>
      <c r="C171" s="1"/>
    </row>
    <row r="172" spans="1:3" x14ac:dyDescent="0.25">
      <c r="A172" s="1"/>
      <c r="B172" s="1"/>
      <c r="C172" s="1"/>
    </row>
    <row r="173" spans="1:3" x14ac:dyDescent="0.25">
      <c r="A173" s="1"/>
      <c r="B173" s="1"/>
      <c r="C173" s="1"/>
    </row>
    <row r="174" spans="1:3" x14ac:dyDescent="0.25">
      <c r="A174" s="1"/>
      <c r="B174" s="1"/>
      <c r="C174" s="1"/>
    </row>
    <row r="175" spans="1:3" x14ac:dyDescent="0.25">
      <c r="A175" s="1"/>
      <c r="B175" s="1"/>
      <c r="C175" s="1"/>
    </row>
    <row r="176" spans="1:3" x14ac:dyDescent="0.25">
      <c r="A176" s="1"/>
      <c r="B176" s="1"/>
      <c r="C176" s="1"/>
    </row>
    <row r="177" spans="1:3" x14ac:dyDescent="0.25">
      <c r="A177" s="1"/>
      <c r="B177" s="1"/>
      <c r="C177" s="1"/>
    </row>
    <row r="178" spans="1:3" x14ac:dyDescent="0.25">
      <c r="A178" s="1"/>
      <c r="B178" s="1"/>
      <c r="C178" s="1"/>
    </row>
    <row r="179" spans="1:3" x14ac:dyDescent="0.25">
      <c r="A179" s="1"/>
      <c r="B179" s="1"/>
      <c r="C179" s="1"/>
    </row>
    <row r="180" spans="1:3" x14ac:dyDescent="0.25">
      <c r="A180" s="1"/>
      <c r="B180" s="1"/>
      <c r="C180" s="1"/>
    </row>
    <row r="181" spans="1:3" x14ac:dyDescent="0.25">
      <c r="A181" s="1"/>
      <c r="B181" s="1"/>
      <c r="C181" s="1"/>
    </row>
    <row r="182" spans="1:3" x14ac:dyDescent="0.25">
      <c r="A182" s="1"/>
      <c r="B182" s="1"/>
      <c r="C182" s="1"/>
    </row>
    <row r="183" spans="1:3" x14ac:dyDescent="0.25">
      <c r="A183" s="1"/>
      <c r="B183" s="1"/>
      <c r="C183" s="1"/>
    </row>
    <row r="184" spans="1:3" x14ac:dyDescent="0.25">
      <c r="A184" s="1"/>
      <c r="B184" s="1"/>
      <c r="C184" s="1"/>
    </row>
    <row r="185" spans="1:3" x14ac:dyDescent="0.25">
      <c r="A185" s="1"/>
      <c r="B185" s="1"/>
      <c r="C185" s="1"/>
    </row>
    <row r="186" spans="1:3" x14ac:dyDescent="0.25">
      <c r="A186" s="1"/>
      <c r="B186" s="1"/>
      <c r="C186" s="1"/>
    </row>
    <row r="187" spans="1:3" x14ac:dyDescent="0.25">
      <c r="A187" s="1"/>
      <c r="B187" s="1"/>
      <c r="C187" s="1"/>
    </row>
    <row r="188" spans="1:3" x14ac:dyDescent="0.25">
      <c r="A188" s="1"/>
      <c r="B188" s="1"/>
      <c r="C188" s="1"/>
    </row>
    <row r="189" spans="1:3" x14ac:dyDescent="0.25">
      <c r="A189" s="1"/>
      <c r="B189" s="1"/>
      <c r="C189" s="1"/>
    </row>
    <row r="190" spans="1:3" x14ac:dyDescent="0.25">
      <c r="A190" s="1"/>
      <c r="B190" s="1"/>
      <c r="C190" s="1"/>
    </row>
    <row r="191" spans="1:3" x14ac:dyDescent="0.25">
      <c r="A191" s="1"/>
      <c r="B191" s="1"/>
      <c r="C191" s="1"/>
    </row>
    <row r="192" spans="1:3" x14ac:dyDescent="0.25">
      <c r="A192" s="1"/>
      <c r="B192" s="1"/>
      <c r="C192" s="1"/>
    </row>
    <row r="193" spans="1:3" x14ac:dyDescent="0.25">
      <c r="A193" s="1"/>
      <c r="B193" s="1"/>
      <c r="C193" s="1"/>
    </row>
    <row r="194" spans="1:3" x14ac:dyDescent="0.25">
      <c r="A194" s="1"/>
      <c r="B194" s="1"/>
      <c r="C194" s="1"/>
    </row>
    <row r="195" spans="1:3" x14ac:dyDescent="0.25">
      <c r="A195" s="1"/>
      <c r="B195" s="1"/>
      <c r="C195" s="1"/>
    </row>
    <row r="196" spans="1:3" x14ac:dyDescent="0.25">
      <c r="A196" s="1"/>
      <c r="B196" s="1"/>
      <c r="C196" s="1"/>
    </row>
    <row r="197" spans="1:3" x14ac:dyDescent="0.25">
      <c r="A197" s="1"/>
      <c r="B197" s="1"/>
      <c r="C197" s="1"/>
    </row>
    <row r="198" spans="1:3" x14ac:dyDescent="0.25">
      <c r="A198" s="1"/>
      <c r="B198" s="1"/>
      <c r="C198" s="1"/>
    </row>
    <row r="199" spans="1:3" x14ac:dyDescent="0.25">
      <c r="A199" s="1"/>
      <c r="B199" s="1"/>
      <c r="C199" s="1"/>
    </row>
    <row r="200" spans="1:3" x14ac:dyDescent="0.25">
      <c r="A200" s="1"/>
      <c r="B200" s="1"/>
      <c r="C200" s="1"/>
    </row>
    <row r="201" spans="1:3" x14ac:dyDescent="0.25">
      <c r="A201" s="1"/>
      <c r="B201" s="1"/>
      <c r="C201" s="1"/>
    </row>
    <row r="202" spans="1:3" x14ac:dyDescent="0.25">
      <c r="A202" s="1"/>
      <c r="B202" s="1"/>
      <c r="C202" s="1"/>
    </row>
    <row r="203" spans="1:3" x14ac:dyDescent="0.25">
      <c r="A203" s="1"/>
      <c r="B203" s="1"/>
      <c r="C203" s="1"/>
    </row>
    <row r="204" spans="1:3" x14ac:dyDescent="0.25">
      <c r="A204" s="1"/>
      <c r="B204" s="1"/>
      <c r="C204" s="1"/>
    </row>
    <row r="205" spans="1:3" x14ac:dyDescent="0.25">
      <c r="A205" s="1"/>
      <c r="B205" s="1"/>
      <c r="C205" s="1"/>
    </row>
    <row r="206" spans="1:3" x14ac:dyDescent="0.25">
      <c r="A206" s="1"/>
      <c r="B206" s="1"/>
      <c r="C206" s="1"/>
    </row>
    <row r="207" spans="1:3" x14ac:dyDescent="0.25">
      <c r="A207" s="1"/>
      <c r="B207" s="1"/>
      <c r="C207" s="1"/>
    </row>
    <row r="208" spans="1:3" x14ac:dyDescent="0.25">
      <c r="A208" s="1"/>
      <c r="B208" s="1"/>
      <c r="C208" s="1"/>
    </row>
    <row r="209" spans="1:3" x14ac:dyDescent="0.25">
      <c r="A209" s="1"/>
      <c r="B209" s="1"/>
      <c r="C209" s="1"/>
    </row>
    <row r="210" spans="1:3" x14ac:dyDescent="0.25">
      <c r="A210" s="1"/>
      <c r="B210" s="1"/>
      <c r="C210" s="1"/>
    </row>
    <row r="211" spans="1:3" x14ac:dyDescent="0.25">
      <c r="A211" s="1"/>
      <c r="B211" s="1"/>
      <c r="C211" s="1"/>
    </row>
    <row r="212" spans="1:3" x14ac:dyDescent="0.25">
      <c r="A212" s="1"/>
      <c r="B212" s="1"/>
      <c r="C212" s="1"/>
    </row>
    <row r="213" spans="1:3" x14ac:dyDescent="0.25">
      <c r="A213" s="1"/>
      <c r="B213" s="1"/>
      <c r="C213" s="1"/>
    </row>
    <row r="214" spans="1:3" x14ac:dyDescent="0.25">
      <c r="A214" s="1"/>
      <c r="B214" s="1"/>
      <c r="C214" s="1"/>
    </row>
    <row r="215" spans="1:3" x14ac:dyDescent="0.25">
      <c r="A215" s="1"/>
      <c r="B215" s="1"/>
      <c r="C215" s="1"/>
    </row>
    <row r="216" spans="1:3" x14ac:dyDescent="0.25">
      <c r="A216" s="1"/>
      <c r="B216" s="1"/>
      <c r="C216" s="1"/>
    </row>
    <row r="217" spans="1:3" x14ac:dyDescent="0.25">
      <c r="A217" s="1"/>
      <c r="B217" s="1"/>
      <c r="C217" s="1"/>
    </row>
    <row r="218" spans="1:3" x14ac:dyDescent="0.25">
      <c r="A218" s="1"/>
      <c r="B218" s="1"/>
      <c r="C218" s="1"/>
    </row>
    <row r="219" spans="1:3" x14ac:dyDescent="0.25">
      <c r="A219" s="1"/>
      <c r="B219" s="1"/>
      <c r="C219" s="1"/>
    </row>
    <row r="220" spans="1:3" x14ac:dyDescent="0.25">
      <c r="A220" s="1"/>
      <c r="B220" s="1"/>
      <c r="C220" s="1"/>
    </row>
    <row r="221" spans="1:3" x14ac:dyDescent="0.25">
      <c r="A221" s="1"/>
      <c r="B221" s="1"/>
      <c r="C221" s="1"/>
    </row>
    <row r="222" spans="1:3" x14ac:dyDescent="0.25">
      <c r="A222" s="1"/>
      <c r="B222" s="1"/>
      <c r="C222" s="1"/>
    </row>
    <row r="223" spans="1:3" x14ac:dyDescent="0.25">
      <c r="A223" s="1"/>
      <c r="B223" s="1"/>
      <c r="C223" s="1"/>
    </row>
    <row r="224" spans="1:3" x14ac:dyDescent="0.25">
      <c r="A224" s="1"/>
      <c r="B224" s="1"/>
      <c r="C224" s="1"/>
    </row>
    <row r="225" spans="1:3" x14ac:dyDescent="0.25">
      <c r="A225" s="1"/>
      <c r="B225" s="1"/>
      <c r="C225" s="1"/>
    </row>
    <row r="226" spans="1:3" x14ac:dyDescent="0.25">
      <c r="A226" s="1"/>
      <c r="B226" s="1"/>
      <c r="C226" s="1"/>
    </row>
    <row r="227" spans="1:3" x14ac:dyDescent="0.25">
      <c r="A227" s="1"/>
      <c r="B227" s="1"/>
      <c r="C227" s="1"/>
    </row>
    <row r="228" spans="1:3" x14ac:dyDescent="0.25">
      <c r="A228" s="1"/>
      <c r="B228" s="1"/>
      <c r="C228" s="1"/>
    </row>
    <row r="229" spans="1:3" x14ac:dyDescent="0.25">
      <c r="A229" s="1"/>
      <c r="B229" s="1"/>
      <c r="C229" s="1"/>
    </row>
    <row r="230" spans="1:3" x14ac:dyDescent="0.25">
      <c r="A230" s="1"/>
      <c r="B230" s="1"/>
      <c r="C230" s="1"/>
    </row>
    <row r="231" spans="1:3" x14ac:dyDescent="0.25">
      <c r="A231" s="1"/>
      <c r="B231" s="1"/>
      <c r="C231" s="1"/>
    </row>
    <row r="232" spans="1:3" x14ac:dyDescent="0.25">
      <c r="A232" s="1"/>
      <c r="B232" s="1"/>
      <c r="C232" s="1"/>
    </row>
    <row r="233" spans="1:3" x14ac:dyDescent="0.25">
      <c r="A233" s="1"/>
      <c r="B233" s="1"/>
      <c r="C233" s="1"/>
    </row>
    <row r="234" spans="1:3" x14ac:dyDescent="0.25">
      <c r="A234" s="1"/>
      <c r="B234" s="1"/>
      <c r="C234" s="1"/>
    </row>
    <row r="235" spans="1:3" x14ac:dyDescent="0.25">
      <c r="A235" s="1"/>
      <c r="B235" s="1"/>
      <c r="C235" s="1"/>
    </row>
    <row r="236" spans="1:3" x14ac:dyDescent="0.25">
      <c r="A236" s="1"/>
      <c r="B236" s="1"/>
      <c r="C236" s="1"/>
    </row>
    <row r="237" spans="1:3" x14ac:dyDescent="0.25">
      <c r="A237" s="1"/>
      <c r="B237" s="1"/>
      <c r="C237" s="1"/>
    </row>
    <row r="238" spans="1:3" x14ac:dyDescent="0.25">
      <c r="A238" s="1"/>
      <c r="B238" s="1"/>
      <c r="C238" s="1"/>
    </row>
    <row r="239" spans="1:3" x14ac:dyDescent="0.25">
      <c r="A239" s="1"/>
      <c r="B239" s="1"/>
      <c r="C239" s="1"/>
    </row>
    <row r="240" spans="1:3" x14ac:dyDescent="0.25">
      <c r="A240" s="1"/>
      <c r="B240" s="1"/>
      <c r="C240" s="1"/>
    </row>
    <row r="241" spans="1:3" x14ac:dyDescent="0.25">
      <c r="A241" s="1"/>
      <c r="B241" s="1"/>
      <c r="C241" s="1"/>
    </row>
    <row r="242" spans="1:3" x14ac:dyDescent="0.25">
      <c r="A242" s="1"/>
      <c r="B242" s="1"/>
      <c r="C242" s="1"/>
    </row>
    <row r="243" spans="1:3" x14ac:dyDescent="0.25">
      <c r="A243" s="1"/>
      <c r="B243" s="1"/>
      <c r="C243" s="1"/>
    </row>
    <row r="244" spans="1:3" x14ac:dyDescent="0.25">
      <c r="A244" s="1"/>
      <c r="B244" s="1"/>
      <c r="C244" s="1"/>
    </row>
    <row r="245" spans="1:3" x14ac:dyDescent="0.25">
      <c r="A245" s="1"/>
      <c r="B245" s="1"/>
      <c r="C245" s="1"/>
    </row>
    <row r="246" spans="1:3" x14ac:dyDescent="0.25">
      <c r="A246" s="1"/>
      <c r="B246" s="1"/>
      <c r="C246" s="1"/>
    </row>
    <row r="247" spans="1:3" x14ac:dyDescent="0.25">
      <c r="A247" s="1"/>
      <c r="B247" s="1"/>
      <c r="C247" s="1"/>
    </row>
    <row r="248" spans="1:3" x14ac:dyDescent="0.25">
      <c r="A248" s="1"/>
      <c r="B248" s="1"/>
      <c r="C248" s="1"/>
    </row>
    <row r="249" spans="1:3" x14ac:dyDescent="0.25">
      <c r="A249" s="1"/>
      <c r="B249" s="1"/>
      <c r="C249" s="1"/>
    </row>
    <row r="250" spans="1:3" x14ac:dyDescent="0.25">
      <c r="A250" s="1"/>
      <c r="B250" s="1"/>
      <c r="C250" s="1"/>
    </row>
    <row r="251" spans="1:3" x14ac:dyDescent="0.25">
      <c r="A251" s="1"/>
      <c r="B251" s="1"/>
      <c r="C251" s="1"/>
    </row>
    <row r="252" spans="1:3" x14ac:dyDescent="0.25">
      <c r="A252" s="1"/>
      <c r="B252" s="1"/>
      <c r="C252" s="1"/>
    </row>
    <row r="253" spans="1:3" x14ac:dyDescent="0.25">
      <c r="A253" s="1"/>
      <c r="B253" s="1"/>
      <c r="C253" s="1"/>
    </row>
    <row r="254" spans="1:3" x14ac:dyDescent="0.25">
      <c r="A254" s="1"/>
      <c r="B254" s="1"/>
      <c r="C254" s="1"/>
    </row>
    <row r="255" spans="1:3" x14ac:dyDescent="0.25">
      <c r="A255" s="1"/>
      <c r="B255" s="1"/>
      <c r="C255" s="1"/>
    </row>
    <row r="256" spans="1:3" x14ac:dyDescent="0.25">
      <c r="A256" s="1"/>
      <c r="B256" s="1"/>
      <c r="C256" s="1"/>
    </row>
    <row r="257" spans="1:3" x14ac:dyDescent="0.25">
      <c r="A257" s="1"/>
      <c r="B257" s="1"/>
      <c r="C257" s="1"/>
    </row>
    <row r="258" spans="1:3" x14ac:dyDescent="0.25">
      <c r="A258" s="1"/>
      <c r="B258" s="1"/>
      <c r="C258" s="1"/>
    </row>
    <row r="259" spans="1:3" x14ac:dyDescent="0.25">
      <c r="A259" s="1"/>
      <c r="B259" s="1"/>
      <c r="C259" s="1"/>
    </row>
    <row r="260" spans="1:3" x14ac:dyDescent="0.25">
      <c r="A260" s="1"/>
      <c r="B260" s="1"/>
      <c r="C260" s="1"/>
    </row>
    <row r="261" spans="1:3" x14ac:dyDescent="0.25">
      <c r="A261" s="1"/>
      <c r="B261" s="1"/>
      <c r="C261" s="1"/>
    </row>
    <row r="262" spans="1:3" x14ac:dyDescent="0.25">
      <c r="A262" s="1"/>
      <c r="B262" s="1"/>
      <c r="C262" s="1"/>
    </row>
    <row r="263" spans="1:3" x14ac:dyDescent="0.25">
      <c r="A263" s="1"/>
      <c r="B263" s="1"/>
      <c r="C263" s="1"/>
    </row>
    <row r="264" spans="1:3" x14ac:dyDescent="0.25">
      <c r="A264" s="1"/>
      <c r="B264" s="1"/>
      <c r="C264" s="1"/>
    </row>
    <row r="265" spans="1:3" x14ac:dyDescent="0.25">
      <c r="A265" s="1"/>
      <c r="B265" s="1"/>
      <c r="C265" s="1"/>
    </row>
    <row r="266" spans="1:3" x14ac:dyDescent="0.25">
      <c r="A266" s="1"/>
      <c r="B266" s="1"/>
      <c r="C266" s="1"/>
    </row>
    <row r="267" spans="1:3" x14ac:dyDescent="0.25">
      <c r="A267" s="1"/>
      <c r="B267" s="1"/>
      <c r="C267" s="1"/>
    </row>
    <row r="268" spans="1:3" x14ac:dyDescent="0.25">
      <c r="A268" s="1"/>
      <c r="B268" s="1"/>
      <c r="C268" s="1"/>
    </row>
    <row r="269" spans="1:3" x14ac:dyDescent="0.25">
      <c r="A269" s="1"/>
      <c r="B269" s="1"/>
      <c r="C269" s="1"/>
    </row>
    <row r="270" spans="1:3" x14ac:dyDescent="0.25">
      <c r="A270" s="1"/>
      <c r="B270" s="1"/>
      <c r="C270" s="1"/>
    </row>
    <row r="271" spans="1:3" x14ac:dyDescent="0.25">
      <c r="A271" s="1"/>
      <c r="B271" s="1"/>
      <c r="C271" s="1"/>
    </row>
    <row r="272" spans="1:3" x14ac:dyDescent="0.25">
      <c r="A272" s="1"/>
      <c r="B272" s="1"/>
      <c r="C272" s="1"/>
    </row>
    <row r="273" spans="1:3" x14ac:dyDescent="0.25">
      <c r="A273" s="1"/>
      <c r="B273" s="1"/>
      <c r="C273" s="1"/>
    </row>
    <row r="274" spans="1:3" x14ac:dyDescent="0.25">
      <c r="A274" s="1"/>
      <c r="B274" s="1"/>
      <c r="C274" s="1"/>
    </row>
    <row r="275" spans="1:3" x14ac:dyDescent="0.25">
      <c r="A275" s="1"/>
      <c r="B275" s="1"/>
      <c r="C275" s="1"/>
    </row>
    <row r="276" spans="1:3" x14ac:dyDescent="0.25">
      <c r="A276" s="1"/>
      <c r="B276" s="1"/>
      <c r="C276" s="1"/>
    </row>
    <row r="277" spans="1:3" x14ac:dyDescent="0.25">
      <c r="A277" s="1"/>
      <c r="B277" s="1"/>
      <c r="C277" s="1"/>
    </row>
    <row r="278" spans="1:3" x14ac:dyDescent="0.25">
      <c r="A278" s="1"/>
      <c r="B278" s="1"/>
      <c r="C278" s="1"/>
    </row>
    <row r="279" spans="1:3" x14ac:dyDescent="0.25">
      <c r="A279" s="1"/>
      <c r="B279" s="1"/>
      <c r="C279" s="1"/>
    </row>
    <row r="280" spans="1:3" x14ac:dyDescent="0.25">
      <c r="A280" s="1"/>
      <c r="B280" s="1"/>
      <c r="C280" s="1"/>
    </row>
    <row r="281" spans="1:3" x14ac:dyDescent="0.25">
      <c r="A281" s="1"/>
      <c r="B281" s="1"/>
      <c r="C281" s="1"/>
    </row>
    <row r="282" spans="1:3" x14ac:dyDescent="0.25">
      <c r="A282" s="1"/>
      <c r="B282" s="1"/>
      <c r="C282" s="1"/>
    </row>
    <row r="283" spans="1:3" x14ac:dyDescent="0.25">
      <c r="A283" s="1"/>
      <c r="B283" s="1"/>
      <c r="C283" s="1"/>
    </row>
    <row r="284" spans="1:3" x14ac:dyDescent="0.25">
      <c r="A284" s="1"/>
      <c r="B284" s="1"/>
      <c r="C284" s="1"/>
    </row>
    <row r="285" spans="1:3" x14ac:dyDescent="0.25">
      <c r="A285" s="1"/>
      <c r="B285" s="1"/>
      <c r="C285" s="1"/>
    </row>
    <row r="286" spans="1:3" x14ac:dyDescent="0.25">
      <c r="A286" s="1"/>
      <c r="B286" s="1"/>
      <c r="C286" s="1"/>
    </row>
    <row r="287" spans="1:3" x14ac:dyDescent="0.25">
      <c r="A287" s="1"/>
      <c r="B287" s="1"/>
      <c r="C287" s="1"/>
    </row>
    <row r="288" spans="1:3" x14ac:dyDescent="0.25">
      <c r="A288" s="1"/>
      <c r="B288" s="1"/>
      <c r="C288" s="1"/>
    </row>
    <row r="289" spans="1:3" x14ac:dyDescent="0.25">
      <c r="A289" s="1"/>
      <c r="B289" s="1"/>
      <c r="C289" s="1"/>
    </row>
    <row r="290" spans="1:3" x14ac:dyDescent="0.25">
      <c r="A290" s="1"/>
      <c r="B290" s="1"/>
      <c r="C290" s="1"/>
    </row>
    <row r="291" spans="1:3" x14ac:dyDescent="0.25">
      <c r="A291" s="1"/>
      <c r="B291" s="1"/>
      <c r="C291" s="1"/>
    </row>
    <row r="292" spans="1:3" x14ac:dyDescent="0.25">
      <c r="A292" s="1"/>
      <c r="B292" s="1"/>
      <c r="C292" s="1"/>
    </row>
    <row r="293" spans="1:3" x14ac:dyDescent="0.25">
      <c r="A293" s="1"/>
      <c r="B293" s="1"/>
      <c r="C293" s="1"/>
    </row>
    <row r="294" spans="1:3" x14ac:dyDescent="0.25">
      <c r="A294" s="1"/>
      <c r="B294" s="1"/>
      <c r="C294" s="1"/>
    </row>
    <row r="295" spans="1:3" x14ac:dyDescent="0.25">
      <c r="A295" s="1"/>
      <c r="B295" s="1"/>
      <c r="C295" s="1"/>
    </row>
    <row r="296" spans="1:3" x14ac:dyDescent="0.25">
      <c r="A296" s="1"/>
      <c r="B296" s="1"/>
      <c r="C296" s="1"/>
    </row>
    <row r="297" spans="1:3" x14ac:dyDescent="0.25">
      <c r="A297" s="1"/>
      <c r="B297" s="1"/>
      <c r="C297" s="1"/>
    </row>
    <row r="298" spans="1:3" x14ac:dyDescent="0.25">
      <c r="A298" s="1"/>
      <c r="B298" s="1"/>
      <c r="C298" s="1"/>
    </row>
    <row r="299" spans="1:3" x14ac:dyDescent="0.25">
      <c r="A299" s="1"/>
      <c r="B299" s="1"/>
      <c r="C299" s="1"/>
    </row>
    <row r="300" spans="1:3" x14ac:dyDescent="0.25">
      <c r="A300" s="1"/>
      <c r="B300" s="1"/>
      <c r="C300" s="1"/>
    </row>
    <row r="301" spans="1:3" x14ac:dyDescent="0.25">
      <c r="A301" s="1"/>
      <c r="B301" s="1"/>
      <c r="C301" s="1"/>
    </row>
    <row r="302" spans="1:3" x14ac:dyDescent="0.25">
      <c r="A302" s="1"/>
      <c r="B302" s="1"/>
      <c r="C302" s="1"/>
    </row>
    <row r="303" spans="1:3" x14ac:dyDescent="0.25">
      <c r="A303" s="1"/>
      <c r="B303" s="1"/>
      <c r="C303" s="1"/>
    </row>
    <row r="304" spans="1:3" x14ac:dyDescent="0.25">
      <c r="A304" s="1"/>
      <c r="B304" s="1"/>
      <c r="C304" s="1"/>
    </row>
    <row r="305" spans="1:3" x14ac:dyDescent="0.25">
      <c r="A305" s="1"/>
      <c r="B305" s="1"/>
      <c r="C305" s="1"/>
    </row>
    <row r="306" spans="1:3" x14ac:dyDescent="0.25">
      <c r="A306" s="1"/>
      <c r="B306" s="1"/>
      <c r="C306" s="1"/>
    </row>
    <row r="307" spans="1:3" x14ac:dyDescent="0.25">
      <c r="A307" s="1"/>
      <c r="B307" s="1"/>
      <c r="C307" s="1"/>
    </row>
    <row r="308" spans="1:3" x14ac:dyDescent="0.25">
      <c r="A308" s="1"/>
      <c r="B308" s="1"/>
      <c r="C308" s="1"/>
    </row>
    <row r="309" spans="1:3" x14ac:dyDescent="0.25">
      <c r="A309" s="1"/>
      <c r="B309" s="1"/>
      <c r="C309" s="1"/>
    </row>
    <row r="310" spans="1:3" x14ac:dyDescent="0.25">
      <c r="A310" s="1"/>
      <c r="B310" s="1"/>
      <c r="C310" s="1"/>
    </row>
    <row r="311" spans="1:3" x14ac:dyDescent="0.25">
      <c r="A311" s="1"/>
      <c r="B311" s="1"/>
      <c r="C311" s="1"/>
    </row>
    <row r="312" spans="1:3" x14ac:dyDescent="0.25">
      <c r="A312" s="1"/>
      <c r="B312" s="1"/>
      <c r="C312" s="1"/>
    </row>
    <row r="313" spans="1:3" x14ac:dyDescent="0.25">
      <c r="A313" s="1"/>
      <c r="B313" s="1"/>
      <c r="C313" s="1"/>
    </row>
    <row r="314" spans="1:3" x14ac:dyDescent="0.25">
      <c r="A314" s="1"/>
      <c r="B314" s="1"/>
      <c r="C314" s="1"/>
    </row>
    <row r="315" spans="1:3" x14ac:dyDescent="0.25">
      <c r="A315" s="1"/>
      <c r="B315" s="1"/>
      <c r="C315" s="1"/>
    </row>
    <row r="316" spans="1:3" x14ac:dyDescent="0.25">
      <c r="A316" s="1"/>
      <c r="B316" s="1"/>
      <c r="C316" s="1"/>
    </row>
    <row r="317" spans="1:3" x14ac:dyDescent="0.25">
      <c r="A317" s="1"/>
      <c r="B317" s="1"/>
      <c r="C317" s="1"/>
    </row>
    <row r="318" spans="1:3" x14ac:dyDescent="0.25">
      <c r="A318" s="1"/>
      <c r="B318" s="1"/>
      <c r="C318" s="1"/>
    </row>
    <row r="319" spans="1:3" x14ac:dyDescent="0.25">
      <c r="A319" s="1"/>
      <c r="B319" s="1"/>
      <c r="C319" s="1"/>
    </row>
    <row r="320" spans="1:3" x14ac:dyDescent="0.25">
      <c r="A320" s="1"/>
      <c r="B320" s="1"/>
      <c r="C320" s="1"/>
    </row>
    <row r="321" spans="1:3" x14ac:dyDescent="0.25">
      <c r="A321" s="1"/>
      <c r="B321" s="1"/>
      <c r="C321" s="1"/>
    </row>
    <row r="322" spans="1:3" x14ac:dyDescent="0.25">
      <c r="A322" s="1"/>
      <c r="B322" s="1"/>
      <c r="C322" s="1"/>
    </row>
    <row r="323" spans="1:3" x14ac:dyDescent="0.25">
      <c r="A323" s="1"/>
      <c r="B323" s="1"/>
      <c r="C323" s="1"/>
    </row>
    <row r="324" spans="1:3" x14ac:dyDescent="0.25">
      <c r="A324" s="1"/>
      <c r="B324" s="1"/>
      <c r="C324" s="1"/>
    </row>
    <row r="325" spans="1:3" x14ac:dyDescent="0.25">
      <c r="A325" s="1"/>
      <c r="B325" s="1"/>
      <c r="C325" s="1"/>
    </row>
    <row r="326" spans="1:3" x14ac:dyDescent="0.25">
      <c r="A326" s="1"/>
      <c r="B326" s="1"/>
      <c r="C326" s="1"/>
    </row>
    <row r="327" spans="1:3" x14ac:dyDescent="0.25">
      <c r="A327" s="1"/>
      <c r="B327" s="1"/>
      <c r="C327" s="1"/>
    </row>
    <row r="328" spans="1:3" x14ac:dyDescent="0.25">
      <c r="A328" s="1"/>
      <c r="B328" s="1"/>
      <c r="C328" s="1"/>
    </row>
    <row r="329" spans="1:3" x14ac:dyDescent="0.25">
      <c r="A329" s="1"/>
      <c r="B329" s="1"/>
      <c r="C329" s="1"/>
    </row>
    <row r="330" spans="1:3" x14ac:dyDescent="0.25">
      <c r="A330" s="1"/>
      <c r="B330" s="1"/>
      <c r="C330" s="1"/>
    </row>
    <row r="331" spans="1:3" x14ac:dyDescent="0.25">
      <c r="A331" s="1"/>
      <c r="B331" s="1"/>
      <c r="C331" s="1"/>
    </row>
    <row r="332" spans="1:3" x14ac:dyDescent="0.25">
      <c r="A332" s="1"/>
      <c r="B332" s="1"/>
      <c r="C332" s="1"/>
    </row>
    <row r="333" spans="1:3" x14ac:dyDescent="0.25">
      <c r="A333" s="1"/>
      <c r="B333" s="1"/>
      <c r="C333" s="1"/>
    </row>
    <row r="334" spans="1:3" x14ac:dyDescent="0.25">
      <c r="A334" s="1"/>
      <c r="B334" s="1"/>
      <c r="C334" s="1"/>
    </row>
    <row r="335" spans="1:3" x14ac:dyDescent="0.25">
      <c r="A335" s="1"/>
      <c r="B335" s="1"/>
      <c r="C335" s="1"/>
    </row>
    <row r="336" spans="1:3" x14ac:dyDescent="0.25">
      <c r="A336" s="1"/>
      <c r="B336" s="1"/>
      <c r="C336" s="1"/>
    </row>
    <row r="337" spans="1:3" x14ac:dyDescent="0.25">
      <c r="A337" s="1"/>
      <c r="B337" s="1"/>
      <c r="C337" s="1"/>
    </row>
    <row r="338" spans="1:3" x14ac:dyDescent="0.25">
      <c r="A338" s="1"/>
      <c r="B338" s="1"/>
      <c r="C338" s="1"/>
    </row>
    <row r="339" spans="1:3" x14ac:dyDescent="0.25">
      <c r="A339" s="1"/>
      <c r="B339" s="1"/>
      <c r="C339" s="1"/>
    </row>
    <row r="340" spans="1:3" x14ac:dyDescent="0.25">
      <c r="A340" s="1"/>
      <c r="B340" s="1"/>
      <c r="C340" s="1"/>
    </row>
    <row r="341" spans="1:3" x14ac:dyDescent="0.25">
      <c r="A341" s="1"/>
      <c r="B341" s="1"/>
      <c r="C341" s="1"/>
    </row>
    <row r="342" spans="1:3" x14ac:dyDescent="0.25">
      <c r="A342" s="1"/>
      <c r="B342" s="1"/>
      <c r="C342" s="1"/>
    </row>
    <row r="343" spans="1:3" x14ac:dyDescent="0.25">
      <c r="A343" s="1"/>
      <c r="B343" s="1"/>
      <c r="C343" s="1"/>
    </row>
    <row r="344" spans="1:3" x14ac:dyDescent="0.25">
      <c r="A344" s="1"/>
      <c r="B344" s="1"/>
      <c r="C344" s="1"/>
    </row>
    <row r="345" spans="1:3" x14ac:dyDescent="0.25">
      <c r="A345" s="1"/>
      <c r="B345" s="1"/>
      <c r="C345" s="1"/>
    </row>
    <row r="346" spans="1:3" x14ac:dyDescent="0.25">
      <c r="A346" s="1"/>
      <c r="B346" s="1"/>
      <c r="C346" s="1"/>
    </row>
    <row r="347" spans="1:3" x14ac:dyDescent="0.25">
      <c r="A347" s="1"/>
      <c r="B347" s="1"/>
      <c r="C347" s="1"/>
    </row>
    <row r="348" spans="1:3" x14ac:dyDescent="0.25">
      <c r="A348" s="1"/>
      <c r="B348" s="1"/>
      <c r="C348" s="1"/>
    </row>
    <row r="349" spans="1:3" x14ac:dyDescent="0.25">
      <c r="A349" s="1"/>
      <c r="B349" s="1"/>
      <c r="C349" s="1"/>
    </row>
    <row r="350" spans="1:3" x14ac:dyDescent="0.25">
      <c r="A350" s="1"/>
      <c r="B350" s="1"/>
      <c r="C350" s="1"/>
    </row>
    <row r="351" spans="1:3" x14ac:dyDescent="0.25">
      <c r="A351" s="1"/>
      <c r="B351" s="1"/>
      <c r="C351" s="1"/>
    </row>
    <row r="352" spans="1:3" x14ac:dyDescent="0.25">
      <c r="A352" s="1"/>
      <c r="B352" s="1"/>
      <c r="C352" s="1"/>
    </row>
    <row r="353" spans="1:3" x14ac:dyDescent="0.25">
      <c r="A353" s="1"/>
      <c r="B353" s="1"/>
      <c r="C353" s="1"/>
    </row>
    <row r="354" spans="1:3" x14ac:dyDescent="0.25">
      <c r="A354" s="1"/>
      <c r="B354" s="1"/>
      <c r="C354" s="1"/>
    </row>
    <row r="355" spans="1:3" x14ac:dyDescent="0.25">
      <c r="A355" s="1"/>
      <c r="B355" s="1"/>
      <c r="C355" s="1"/>
    </row>
    <row r="356" spans="1:3" x14ac:dyDescent="0.25">
      <c r="A356" s="1"/>
      <c r="B356" s="1"/>
      <c r="C356" s="1"/>
    </row>
    <row r="357" spans="1:3" x14ac:dyDescent="0.25">
      <c r="A357" s="1"/>
      <c r="B357" s="1"/>
      <c r="C357" s="1"/>
    </row>
    <row r="358" spans="1:3" x14ac:dyDescent="0.25">
      <c r="A358" s="1"/>
      <c r="B358" s="1"/>
      <c r="C358" s="1"/>
    </row>
    <row r="359" spans="1:3" x14ac:dyDescent="0.25">
      <c r="A359" s="1"/>
      <c r="B359" s="1"/>
      <c r="C359" s="1"/>
    </row>
    <row r="360" spans="1:3" x14ac:dyDescent="0.25">
      <c r="A360" s="1"/>
      <c r="B360" s="1"/>
      <c r="C360" s="1"/>
    </row>
    <row r="361" spans="1:3" x14ac:dyDescent="0.25">
      <c r="A361" s="1"/>
      <c r="B361" s="1"/>
      <c r="C361" s="1"/>
    </row>
    <row r="362" spans="1:3" x14ac:dyDescent="0.25">
      <c r="A362" s="1"/>
      <c r="B362" s="1"/>
      <c r="C362" s="1"/>
    </row>
    <row r="363" spans="1:3" x14ac:dyDescent="0.25">
      <c r="A363" s="1"/>
      <c r="B363" s="1"/>
      <c r="C363" s="1"/>
    </row>
    <row r="364" spans="1:3" x14ac:dyDescent="0.25">
      <c r="A364" s="1"/>
      <c r="B364" s="1"/>
      <c r="C364" s="1"/>
    </row>
    <row r="365" spans="1:3" x14ac:dyDescent="0.25">
      <c r="A365" s="1"/>
      <c r="B365" s="1"/>
      <c r="C365" s="1"/>
    </row>
    <row r="366" spans="1:3" x14ac:dyDescent="0.25">
      <c r="A366" s="1"/>
      <c r="B366" s="1"/>
      <c r="C366" s="1"/>
    </row>
    <row r="367" spans="1:3" x14ac:dyDescent="0.25">
      <c r="A367" s="1"/>
      <c r="B367" s="1"/>
      <c r="C367" s="1"/>
    </row>
    <row r="368" spans="1:3" x14ac:dyDescent="0.25">
      <c r="A368" s="1"/>
      <c r="B368" s="1"/>
      <c r="C368" s="1"/>
    </row>
    <row r="369" spans="1:3" x14ac:dyDescent="0.25">
      <c r="A369" s="1"/>
      <c r="B369" s="1"/>
      <c r="C369" s="1"/>
    </row>
    <row r="370" spans="1:3" x14ac:dyDescent="0.25">
      <c r="A370" s="1"/>
      <c r="B370" s="1"/>
      <c r="C370" s="1"/>
    </row>
    <row r="371" spans="1:3" x14ac:dyDescent="0.25">
      <c r="A371" s="1"/>
      <c r="B371" s="1"/>
      <c r="C371" s="1"/>
    </row>
    <row r="372" spans="1:3" x14ac:dyDescent="0.25">
      <c r="A372" s="1"/>
      <c r="B372" s="1"/>
      <c r="C372" s="1"/>
    </row>
    <row r="373" spans="1:3" x14ac:dyDescent="0.25">
      <c r="A373" s="1"/>
      <c r="B373" s="1"/>
      <c r="C373" s="1"/>
    </row>
    <row r="374" spans="1:3" x14ac:dyDescent="0.25">
      <c r="A374" s="1"/>
      <c r="B374" s="1"/>
      <c r="C374" s="1"/>
    </row>
    <row r="375" spans="1:3" x14ac:dyDescent="0.25">
      <c r="A375" s="1"/>
      <c r="B375" s="1"/>
      <c r="C375" s="1"/>
    </row>
    <row r="376" spans="1:3" x14ac:dyDescent="0.25">
      <c r="A376" s="1"/>
      <c r="B376" s="1"/>
      <c r="C376" s="1"/>
    </row>
    <row r="377" spans="1:3" x14ac:dyDescent="0.25">
      <c r="A377" s="1"/>
      <c r="B377" s="1"/>
      <c r="C377" s="1"/>
    </row>
    <row r="378" spans="1:3" x14ac:dyDescent="0.25">
      <c r="A378" s="1"/>
      <c r="B378" s="1"/>
      <c r="C378" s="1"/>
    </row>
    <row r="379" spans="1:3" x14ac:dyDescent="0.25">
      <c r="A379" s="1"/>
      <c r="B379" s="1"/>
      <c r="C379" s="1"/>
    </row>
    <row r="380" spans="1:3" x14ac:dyDescent="0.25">
      <c r="A380" s="1"/>
      <c r="B380" s="1"/>
      <c r="C380" s="1"/>
    </row>
    <row r="381" spans="1:3" x14ac:dyDescent="0.25">
      <c r="A381" s="1"/>
      <c r="B381" s="1"/>
      <c r="C381" s="1"/>
    </row>
    <row r="382" spans="1:3" x14ac:dyDescent="0.25">
      <c r="A382" s="1"/>
      <c r="B382" s="1"/>
      <c r="C382" s="1"/>
    </row>
    <row r="383" spans="1:3" x14ac:dyDescent="0.25">
      <c r="A383" s="1"/>
      <c r="B383" s="1"/>
      <c r="C383" s="1"/>
    </row>
    <row r="384" spans="1:3" x14ac:dyDescent="0.25">
      <c r="A384" s="1"/>
      <c r="B384" s="1"/>
      <c r="C384" s="1"/>
    </row>
    <row r="385" spans="1:3" x14ac:dyDescent="0.25">
      <c r="A385" s="1"/>
      <c r="B385" s="1"/>
      <c r="C385" s="1"/>
    </row>
    <row r="386" spans="1:3" x14ac:dyDescent="0.25">
      <c r="A386" s="1"/>
      <c r="B386" s="1"/>
      <c r="C386" s="1"/>
    </row>
    <row r="387" spans="1:3" x14ac:dyDescent="0.25">
      <c r="A387" s="1"/>
      <c r="B387" s="1"/>
      <c r="C387" s="1"/>
    </row>
    <row r="388" spans="1:3" x14ac:dyDescent="0.25">
      <c r="A388" s="1"/>
      <c r="B388" s="1"/>
      <c r="C388" s="1"/>
    </row>
    <row r="389" spans="1:3" x14ac:dyDescent="0.25">
      <c r="A389" s="1"/>
      <c r="B389" s="1"/>
      <c r="C389" s="1"/>
    </row>
    <row r="390" spans="1:3" x14ac:dyDescent="0.25">
      <c r="A390" s="1"/>
      <c r="B390" s="1"/>
      <c r="C390" s="1"/>
    </row>
    <row r="391" spans="1:3" x14ac:dyDescent="0.25">
      <c r="A391" s="1"/>
      <c r="B391" s="1"/>
      <c r="C391" s="1"/>
    </row>
    <row r="392" spans="1:3" x14ac:dyDescent="0.25">
      <c r="A392" s="1"/>
      <c r="B392" s="1"/>
      <c r="C392" s="1"/>
    </row>
    <row r="393" spans="1:3" x14ac:dyDescent="0.25">
      <c r="A393" s="1"/>
      <c r="B393" s="1"/>
      <c r="C393" s="1"/>
    </row>
    <row r="394" spans="1:3" x14ac:dyDescent="0.25">
      <c r="A394" s="1"/>
      <c r="B394" s="1"/>
      <c r="C394" s="1"/>
    </row>
    <row r="395" spans="1:3" x14ac:dyDescent="0.25">
      <c r="A395" s="1"/>
      <c r="B395" s="1"/>
      <c r="C395" s="1"/>
    </row>
    <row r="396" spans="1:3" x14ac:dyDescent="0.25">
      <c r="A396" s="1"/>
      <c r="B396" s="1"/>
      <c r="C396" s="1"/>
    </row>
    <row r="397" spans="1:3" x14ac:dyDescent="0.25">
      <c r="A397" s="1"/>
      <c r="B397" s="1"/>
      <c r="C397" s="1"/>
    </row>
    <row r="398" spans="1:3" x14ac:dyDescent="0.25">
      <c r="A398" s="1"/>
      <c r="B398" s="1"/>
      <c r="C398" s="1"/>
    </row>
    <row r="399" spans="1:3" x14ac:dyDescent="0.25">
      <c r="A399" s="1"/>
      <c r="B399" s="1"/>
      <c r="C399" s="1"/>
    </row>
    <row r="400" spans="1:3" x14ac:dyDescent="0.25">
      <c r="A400" s="1"/>
      <c r="B400" s="1"/>
      <c r="C400" s="1"/>
    </row>
    <row r="401" spans="1:3" x14ac:dyDescent="0.25">
      <c r="A401" s="1"/>
      <c r="B401" s="1"/>
      <c r="C401" s="1"/>
    </row>
    <row r="402" spans="1:3" x14ac:dyDescent="0.25">
      <c r="A402" s="1"/>
      <c r="B402" s="1"/>
      <c r="C402" s="1"/>
    </row>
    <row r="403" spans="1:3" x14ac:dyDescent="0.25">
      <c r="A403" s="1"/>
      <c r="B403" s="1"/>
      <c r="C403" s="1"/>
    </row>
    <row r="404" spans="1:3" x14ac:dyDescent="0.25">
      <c r="A404" s="1"/>
      <c r="B404" s="1"/>
      <c r="C404" s="1"/>
    </row>
    <row r="405" spans="1:3" x14ac:dyDescent="0.25">
      <c r="A405" s="1"/>
      <c r="B405" s="1"/>
      <c r="C405" s="1"/>
    </row>
    <row r="406" spans="1:3" x14ac:dyDescent="0.25">
      <c r="A406" s="1"/>
      <c r="B406" s="1"/>
      <c r="C406" s="1"/>
    </row>
    <row r="407" spans="1:3" x14ac:dyDescent="0.25">
      <c r="A407" s="1"/>
      <c r="B407" s="1"/>
      <c r="C407" s="1"/>
    </row>
    <row r="408" spans="1:3" x14ac:dyDescent="0.25">
      <c r="A408" s="1"/>
      <c r="B408" s="1"/>
      <c r="C408" s="1"/>
    </row>
    <row r="409" spans="1:3" x14ac:dyDescent="0.25">
      <c r="A409" s="1"/>
      <c r="B409" s="1"/>
      <c r="C409" s="1"/>
    </row>
    <row r="410" spans="1:3" x14ac:dyDescent="0.25">
      <c r="A410" s="1"/>
      <c r="B410" s="1"/>
      <c r="C410" s="1"/>
    </row>
    <row r="411" spans="1:3" x14ac:dyDescent="0.25">
      <c r="A411" s="1"/>
      <c r="B411" s="1"/>
      <c r="C411" s="1"/>
    </row>
    <row r="412" spans="1:3" x14ac:dyDescent="0.25">
      <c r="A412" s="1"/>
      <c r="B412" s="1"/>
      <c r="C412" s="1"/>
    </row>
    <row r="413" spans="1:3" x14ac:dyDescent="0.25">
      <c r="A413" s="1"/>
      <c r="B413" s="1"/>
      <c r="C413" s="1"/>
    </row>
    <row r="414" spans="1:3" x14ac:dyDescent="0.25">
      <c r="A414" s="1"/>
      <c r="B414" s="1"/>
      <c r="C414" s="1"/>
    </row>
    <row r="415" spans="1:3" x14ac:dyDescent="0.25">
      <c r="A415" s="1"/>
      <c r="B415" s="1"/>
      <c r="C415" s="1"/>
    </row>
    <row r="416" spans="1:3" x14ac:dyDescent="0.25">
      <c r="A416" s="1"/>
      <c r="B416" s="1"/>
      <c r="C416" s="1"/>
    </row>
    <row r="417" spans="1:3" x14ac:dyDescent="0.25">
      <c r="A417" s="1"/>
      <c r="B417" s="1"/>
      <c r="C417" s="1"/>
    </row>
    <row r="418" spans="1:3" x14ac:dyDescent="0.25">
      <c r="A418" s="1"/>
      <c r="B418" s="1"/>
      <c r="C418" s="1"/>
    </row>
    <row r="419" spans="1:3" x14ac:dyDescent="0.25">
      <c r="A419" s="1"/>
      <c r="B419" s="1"/>
      <c r="C419" s="1"/>
    </row>
    <row r="420" spans="1:3" x14ac:dyDescent="0.25">
      <c r="A420" s="1"/>
      <c r="B420" s="1"/>
      <c r="C420" s="1"/>
    </row>
    <row r="421" spans="1:3" x14ac:dyDescent="0.25">
      <c r="A421" s="1"/>
      <c r="B421" s="1"/>
      <c r="C421" s="1"/>
    </row>
    <row r="422" spans="1:3" x14ac:dyDescent="0.25">
      <c r="A422" s="1"/>
      <c r="B422" s="1"/>
      <c r="C422" s="1"/>
    </row>
    <row r="423" spans="1:3" x14ac:dyDescent="0.25">
      <c r="A423" s="1"/>
      <c r="B423" s="1"/>
      <c r="C423" s="1"/>
    </row>
    <row r="424" spans="1:3" x14ac:dyDescent="0.25">
      <c r="A424" s="1"/>
      <c r="B424" s="1"/>
      <c r="C424" s="1"/>
    </row>
    <row r="425" spans="1:3" x14ac:dyDescent="0.25">
      <c r="A425" s="1"/>
      <c r="B425" s="1"/>
      <c r="C425" s="1"/>
    </row>
    <row r="426" spans="1:3" x14ac:dyDescent="0.25">
      <c r="A426" s="1"/>
      <c r="B426" s="1"/>
      <c r="C426" s="1"/>
    </row>
    <row r="427" spans="1:3" x14ac:dyDescent="0.25">
      <c r="A427" s="1"/>
      <c r="B427" s="1"/>
      <c r="C427" s="1"/>
    </row>
    <row r="428" spans="1:3" x14ac:dyDescent="0.25">
      <c r="A428" s="1"/>
      <c r="B428" s="1"/>
      <c r="C428" s="1"/>
    </row>
    <row r="429" spans="1:3" x14ac:dyDescent="0.25">
      <c r="A429" s="1"/>
      <c r="B429" s="1"/>
      <c r="C429" s="1"/>
    </row>
    <row r="430" spans="1:3" x14ac:dyDescent="0.25">
      <c r="A430" s="1"/>
      <c r="B430" s="1"/>
      <c r="C430" s="1"/>
    </row>
    <row r="431" spans="1:3" x14ac:dyDescent="0.25">
      <c r="A431" s="1"/>
      <c r="B431" s="1"/>
      <c r="C431" s="1"/>
    </row>
    <row r="432" spans="1:3" x14ac:dyDescent="0.25">
      <c r="A432" s="1"/>
      <c r="B432" s="1"/>
      <c r="C432" s="1"/>
    </row>
    <row r="433" spans="1:3" x14ac:dyDescent="0.25">
      <c r="A433" s="1"/>
      <c r="B433" s="1"/>
      <c r="C433" s="1"/>
    </row>
    <row r="434" spans="1:3" x14ac:dyDescent="0.25">
      <c r="A434" s="1"/>
      <c r="B434" s="1"/>
      <c r="C434" s="1"/>
    </row>
    <row r="435" spans="1:3" x14ac:dyDescent="0.25">
      <c r="A435" s="1"/>
      <c r="B435" s="1"/>
      <c r="C435" s="1"/>
    </row>
    <row r="436" spans="1:3" x14ac:dyDescent="0.25">
      <c r="A436" s="1"/>
      <c r="B436" s="1"/>
      <c r="C436" s="1"/>
    </row>
    <row r="437" spans="1:3" x14ac:dyDescent="0.25">
      <c r="A437" s="1"/>
      <c r="B437" s="1"/>
      <c r="C437" s="1"/>
    </row>
    <row r="438" spans="1:3" x14ac:dyDescent="0.25">
      <c r="A438" s="1"/>
      <c r="B438" s="1"/>
      <c r="C438" s="1"/>
    </row>
    <row r="439" spans="1:3" x14ac:dyDescent="0.25">
      <c r="A439" s="1"/>
      <c r="B439" s="1"/>
      <c r="C439" s="1"/>
    </row>
    <row r="440" spans="1:3" x14ac:dyDescent="0.25">
      <c r="A440" s="1"/>
      <c r="B440" s="1"/>
      <c r="C440" s="1"/>
    </row>
    <row r="441" spans="1:3" x14ac:dyDescent="0.25">
      <c r="A441" s="1"/>
      <c r="B441" s="1"/>
      <c r="C441" s="1"/>
    </row>
    <row r="442" spans="1:3" x14ac:dyDescent="0.25">
      <c r="A442" s="1"/>
      <c r="B442" s="1"/>
      <c r="C442" s="1"/>
    </row>
    <row r="443" spans="1:3" x14ac:dyDescent="0.25">
      <c r="A443" s="1"/>
      <c r="B443" s="1"/>
      <c r="C443" s="1"/>
    </row>
    <row r="444" spans="1:3" x14ac:dyDescent="0.25">
      <c r="A444" s="1"/>
      <c r="B444" s="1"/>
      <c r="C444" s="1"/>
    </row>
    <row r="445" spans="1:3" x14ac:dyDescent="0.25">
      <c r="A445" s="1"/>
      <c r="B445" s="1"/>
      <c r="C445" s="1"/>
    </row>
    <row r="446" spans="1:3" x14ac:dyDescent="0.25">
      <c r="A446" s="1"/>
      <c r="B446" s="1"/>
      <c r="C446" s="1"/>
    </row>
    <row r="447" spans="1:3" x14ac:dyDescent="0.25">
      <c r="A447" s="1"/>
      <c r="B447" s="1"/>
      <c r="C447" s="1"/>
    </row>
    <row r="448" spans="1:3" x14ac:dyDescent="0.25">
      <c r="A448" s="1"/>
      <c r="B448" s="1"/>
      <c r="C448" s="1"/>
    </row>
    <row r="449" spans="1:3" x14ac:dyDescent="0.25">
      <c r="A449" s="1"/>
      <c r="B449" s="1"/>
      <c r="C449" s="1"/>
    </row>
    <row r="450" spans="1:3" x14ac:dyDescent="0.25">
      <c r="A450" s="1"/>
      <c r="B450" s="1"/>
      <c r="C450" s="1"/>
    </row>
    <row r="451" spans="1:3" x14ac:dyDescent="0.25">
      <c r="A451" s="1"/>
      <c r="B451" s="1"/>
      <c r="C451" s="1"/>
    </row>
    <row r="452" spans="1:3" x14ac:dyDescent="0.25">
      <c r="A452" s="1"/>
      <c r="B452" s="1"/>
      <c r="C452" s="1"/>
    </row>
    <row r="453" spans="1:3" x14ac:dyDescent="0.25">
      <c r="A453" s="1"/>
      <c r="B453" s="1"/>
      <c r="C453" s="1"/>
    </row>
    <row r="454" spans="1:3" x14ac:dyDescent="0.25">
      <c r="A454" s="1"/>
      <c r="B454" s="1"/>
      <c r="C454" s="1"/>
    </row>
    <row r="455" spans="1:3" x14ac:dyDescent="0.25">
      <c r="A455" s="1"/>
      <c r="B455" s="1"/>
      <c r="C455" s="1"/>
    </row>
    <row r="456" spans="1:3" x14ac:dyDescent="0.25">
      <c r="A456" s="1"/>
      <c r="B456" s="1"/>
      <c r="C456" s="1"/>
    </row>
    <row r="457" spans="1:3" x14ac:dyDescent="0.25">
      <c r="A457" s="1"/>
      <c r="B457" s="1"/>
      <c r="C457" s="1"/>
    </row>
    <row r="458" spans="1:3" x14ac:dyDescent="0.25">
      <c r="A458" s="1"/>
      <c r="B458" s="1"/>
      <c r="C458" s="1"/>
    </row>
    <row r="459" spans="1:3" x14ac:dyDescent="0.25">
      <c r="A459" s="1"/>
      <c r="B459" s="1"/>
      <c r="C459" s="1"/>
    </row>
    <row r="460" spans="1:3" x14ac:dyDescent="0.25">
      <c r="A460" s="1"/>
      <c r="B460" s="1"/>
      <c r="C460" s="1"/>
    </row>
    <row r="461" spans="1:3" x14ac:dyDescent="0.25">
      <c r="A461" s="1"/>
      <c r="B461" s="1"/>
      <c r="C461" s="1"/>
    </row>
    <row r="462" spans="1:3" x14ac:dyDescent="0.25">
      <c r="A462" s="1"/>
      <c r="B462" s="1"/>
      <c r="C462" s="1"/>
    </row>
    <row r="463" spans="1:3" x14ac:dyDescent="0.25">
      <c r="A463" s="1"/>
      <c r="B463" s="1"/>
      <c r="C463" s="1"/>
    </row>
    <row r="464" spans="1:3" x14ac:dyDescent="0.25">
      <c r="A464" s="1"/>
      <c r="B464" s="1"/>
      <c r="C464" s="1"/>
    </row>
    <row r="465" spans="1:3" x14ac:dyDescent="0.25">
      <c r="A465" s="1"/>
      <c r="B465" s="1"/>
      <c r="C465" s="1"/>
    </row>
    <row r="466" spans="1:3" x14ac:dyDescent="0.25">
      <c r="A466" s="1"/>
      <c r="B466" s="1"/>
      <c r="C466" s="1"/>
    </row>
    <row r="467" spans="1:3" x14ac:dyDescent="0.25">
      <c r="A467" s="1"/>
      <c r="B467" s="1"/>
      <c r="C467" s="1"/>
    </row>
    <row r="468" spans="1:3" x14ac:dyDescent="0.25">
      <c r="A468" s="1"/>
      <c r="B468" s="1"/>
      <c r="C468" s="1"/>
    </row>
    <row r="469" spans="1:3" x14ac:dyDescent="0.25">
      <c r="A469" s="1"/>
      <c r="B469" s="1"/>
      <c r="C469" s="1"/>
    </row>
    <row r="470" spans="1:3" x14ac:dyDescent="0.25">
      <c r="A470" s="1"/>
      <c r="B470" s="1"/>
      <c r="C470" s="1"/>
    </row>
    <row r="471" spans="1:3" x14ac:dyDescent="0.25">
      <c r="A471" s="1"/>
      <c r="B471" s="1"/>
      <c r="C471" s="1"/>
    </row>
    <row r="472" spans="1:3" x14ac:dyDescent="0.25">
      <c r="A472" s="1"/>
      <c r="B472" s="1"/>
      <c r="C472" s="1"/>
    </row>
    <row r="473" spans="1:3" x14ac:dyDescent="0.25">
      <c r="A473" s="1"/>
      <c r="B473" s="1"/>
      <c r="C473" s="1"/>
    </row>
    <row r="474" spans="1:3" x14ac:dyDescent="0.25">
      <c r="A474" s="1"/>
      <c r="B474" s="1"/>
      <c r="C474" s="1"/>
    </row>
    <row r="475" spans="1:3" x14ac:dyDescent="0.25">
      <c r="A475" s="1"/>
      <c r="B475" s="1"/>
      <c r="C475" s="1"/>
    </row>
    <row r="476" spans="1:3" x14ac:dyDescent="0.25">
      <c r="A476" s="1"/>
      <c r="B476" s="1"/>
      <c r="C476" s="1"/>
    </row>
    <row r="477" spans="1:3" x14ac:dyDescent="0.25">
      <c r="A477" s="1"/>
      <c r="B477" s="1"/>
      <c r="C477" s="1"/>
    </row>
    <row r="478" spans="1:3" x14ac:dyDescent="0.25">
      <c r="A478" s="1"/>
      <c r="B478" s="1"/>
      <c r="C478" s="1"/>
    </row>
    <row r="479" spans="1:3" x14ac:dyDescent="0.25">
      <c r="A479" s="1"/>
      <c r="B479" s="1"/>
      <c r="C479" s="1"/>
    </row>
    <row r="480" spans="1:3" x14ac:dyDescent="0.25">
      <c r="A480" s="1"/>
      <c r="B480" s="1"/>
      <c r="C480" s="1"/>
    </row>
    <row r="481" spans="1:3" x14ac:dyDescent="0.25">
      <c r="A481" s="1"/>
      <c r="B481" s="1"/>
      <c r="C481" s="1"/>
    </row>
    <row r="482" spans="1:3" x14ac:dyDescent="0.25">
      <c r="A482" s="1"/>
      <c r="B482" s="1"/>
      <c r="C482" s="1"/>
    </row>
    <row r="483" spans="1:3" x14ac:dyDescent="0.25">
      <c r="A483" s="1"/>
      <c r="B483" s="1"/>
      <c r="C483" s="1"/>
    </row>
    <row r="484" spans="1:3" x14ac:dyDescent="0.25">
      <c r="A484" s="1"/>
      <c r="B484" s="1"/>
      <c r="C484" s="1"/>
    </row>
    <row r="485" spans="1:3" x14ac:dyDescent="0.25">
      <c r="A485" s="1"/>
      <c r="B485" s="1"/>
      <c r="C485" s="1"/>
    </row>
    <row r="486" spans="1:3" x14ac:dyDescent="0.25">
      <c r="A486" s="1"/>
      <c r="B486" s="1"/>
      <c r="C486" s="1"/>
    </row>
    <row r="487" spans="1:3" x14ac:dyDescent="0.25">
      <c r="A487" s="1"/>
      <c r="B487" s="1"/>
      <c r="C487" s="1"/>
    </row>
    <row r="488" spans="1:3" x14ac:dyDescent="0.25">
      <c r="A488" s="1"/>
      <c r="B488" s="1"/>
      <c r="C488" s="1"/>
    </row>
    <row r="489" spans="1:3" x14ac:dyDescent="0.25">
      <c r="A489" s="1"/>
      <c r="B489" s="1"/>
      <c r="C489" s="1"/>
    </row>
    <row r="490" spans="1:3" x14ac:dyDescent="0.25">
      <c r="A490" s="1"/>
      <c r="B490" s="1"/>
      <c r="C490" s="1"/>
    </row>
    <row r="491" spans="1:3" x14ac:dyDescent="0.25">
      <c r="A491" s="1"/>
      <c r="B491" s="1"/>
      <c r="C491" s="1"/>
    </row>
    <row r="492" spans="1:3" x14ac:dyDescent="0.25">
      <c r="A492" s="1"/>
      <c r="B492" s="1"/>
      <c r="C492" s="1"/>
    </row>
    <row r="493" spans="1:3" x14ac:dyDescent="0.25">
      <c r="A493" s="1"/>
      <c r="B493" s="1"/>
      <c r="C493" s="1"/>
    </row>
    <row r="494" spans="1:3" x14ac:dyDescent="0.25">
      <c r="A494" s="1"/>
      <c r="B494" s="1"/>
      <c r="C494" s="1"/>
    </row>
    <row r="495" spans="1:3" x14ac:dyDescent="0.25">
      <c r="A495" s="1"/>
      <c r="B495" s="1"/>
      <c r="C495" s="1"/>
    </row>
    <row r="496" spans="1:3" x14ac:dyDescent="0.25">
      <c r="A496" s="1"/>
      <c r="B496" s="1"/>
      <c r="C496" s="1"/>
    </row>
    <row r="497" spans="1:3" x14ac:dyDescent="0.25">
      <c r="A497" s="1"/>
      <c r="B497" s="1"/>
      <c r="C497" s="1"/>
    </row>
    <row r="498" spans="1:3" x14ac:dyDescent="0.25">
      <c r="A498" s="1"/>
      <c r="B498" s="1"/>
      <c r="C498" s="1"/>
    </row>
    <row r="499" spans="1:3" x14ac:dyDescent="0.25">
      <c r="A499" s="1"/>
      <c r="B499" s="1"/>
      <c r="C499" s="1"/>
    </row>
    <row r="500" spans="1:3" x14ac:dyDescent="0.25">
      <c r="A500" s="1"/>
      <c r="B500" s="1"/>
      <c r="C500" s="1"/>
    </row>
    <row r="501" spans="1:3" x14ac:dyDescent="0.25">
      <c r="A501" s="1"/>
      <c r="B501" s="1"/>
      <c r="C501" s="1"/>
    </row>
    <row r="502" spans="1:3" x14ac:dyDescent="0.25">
      <c r="A502" s="1"/>
      <c r="B502" s="1"/>
      <c r="C502" s="1"/>
    </row>
    <row r="503" spans="1:3" x14ac:dyDescent="0.25">
      <c r="A503" s="1"/>
      <c r="B503" s="1"/>
      <c r="C503" s="1"/>
    </row>
    <row r="504" spans="1:3" x14ac:dyDescent="0.25">
      <c r="A504" s="1"/>
      <c r="B504" s="1"/>
      <c r="C504" s="1"/>
    </row>
    <row r="505" spans="1:3" x14ac:dyDescent="0.25">
      <c r="A505" s="1"/>
      <c r="B505" s="1"/>
      <c r="C505" s="1"/>
    </row>
    <row r="506" spans="1:3" x14ac:dyDescent="0.25">
      <c r="A506" s="1"/>
      <c r="B506" s="1"/>
      <c r="C506" s="1"/>
    </row>
    <row r="507" spans="1:3" x14ac:dyDescent="0.25">
      <c r="A507" s="1"/>
      <c r="B507" s="1"/>
      <c r="C507" s="1"/>
    </row>
    <row r="508" spans="1:3" x14ac:dyDescent="0.25">
      <c r="A508" s="1"/>
      <c r="B508" s="1"/>
      <c r="C508" s="1"/>
    </row>
    <row r="509" spans="1:3" x14ac:dyDescent="0.25">
      <c r="A509" s="1"/>
      <c r="B509" s="1"/>
      <c r="C509" s="1"/>
    </row>
    <row r="510" spans="1:3" x14ac:dyDescent="0.25">
      <c r="A510" s="1"/>
      <c r="B510" s="1"/>
      <c r="C510" s="1"/>
    </row>
    <row r="511" spans="1:3" x14ac:dyDescent="0.25">
      <c r="A511" s="1"/>
      <c r="B511" s="1"/>
      <c r="C511" s="1"/>
    </row>
    <row r="512" spans="1:3" x14ac:dyDescent="0.25">
      <c r="A512" s="1"/>
      <c r="B512" s="1"/>
      <c r="C512" s="1"/>
    </row>
    <row r="513" spans="1:3" x14ac:dyDescent="0.25">
      <c r="A513" s="1"/>
      <c r="B513" s="1"/>
      <c r="C513" s="1"/>
    </row>
    <row r="514" spans="1:3" x14ac:dyDescent="0.25">
      <c r="A514" s="1"/>
      <c r="B514" s="1"/>
      <c r="C514" s="1"/>
    </row>
    <row r="515" spans="1:3" x14ac:dyDescent="0.25">
      <c r="A515" s="1"/>
      <c r="B515" s="1"/>
      <c r="C515" s="1"/>
    </row>
    <row r="516" spans="1:3" x14ac:dyDescent="0.25">
      <c r="A516" s="1"/>
      <c r="B516" s="1"/>
      <c r="C516" s="1"/>
    </row>
    <row r="517" spans="1:3" x14ac:dyDescent="0.25">
      <c r="A517" s="1"/>
      <c r="B517" s="1"/>
      <c r="C517" s="1"/>
    </row>
    <row r="518" spans="1:3" x14ac:dyDescent="0.25">
      <c r="A518" s="1"/>
      <c r="B518" s="1"/>
      <c r="C518" s="1"/>
    </row>
    <row r="519" spans="1:3" x14ac:dyDescent="0.25">
      <c r="A519" s="1"/>
      <c r="B519" s="1"/>
      <c r="C519" s="1"/>
    </row>
    <row r="520" spans="1:3" x14ac:dyDescent="0.25">
      <c r="A520" s="1"/>
      <c r="B520" s="1"/>
      <c r="C520" s="1"/>
    </row>
    <row r="521" spans="1:3" x14ac:dyDescent="0.25">
      <c r="A521" s="1"/>
      <c r="B521" s="1"/>
      <c r="C521" s="1"/>
    </row>
    <row r="522" spans="1:3" x14ac:dyDescent="0.25">
      <c r="A522" s="1"/>
      <c r="B522" s="1"/>
      <c r="C522" s="1"/>
    </row>
    <row r="523" spans="1:3" x14ac:dyDescent="0.25">
      <c r="A523" s="1"/>
      <c r="B523" s="1"/>
      <c r="C523" s="1"/>
    </row>
    <row r="524" spans="1:3" x14ac:dyDescent="0.25">
      <c r="A524" s="1"/>
      <c r="B524" s="1"/>
      <c r="C524" s="1"/>
    </row>
    <row r="525" spans="1:3" x14ac:dyDescent="0.25">
      <c r="A525" s="1"/>
      <c r="B525" s="1"/>
      <c r="C525" s="1"/>
    </row>
    <row r="526" spans="1:3" x14ac:dyDescent="0.25">
      <c r="A526" s="1"/>
      <c r="B526" s="1"/>
      <c r="C526" s="1"/>
    </row>
    <row r="527" spans="1:3" x14ac:dyDescent="0.25">
      <c r="A527" s="1"/>
      <c r="B527" s="1"/>
      <c r="C527" s="1"/>
    </row>
    <row r="528" spans="1:3" x14ac:dyDescent="0.25">
      <c r="A528" s="1"/>
      <c r="B528" s="1"/>
      <c r="C528" s="1"/>
    </row>
    <row r="529" spans="1:3" x14ac:dyDescent="0.25">
      <c r="A529" s="1"/>
      <c r="B529" s="1"/>
      <c r="C529" s="1"/>
    </row>
    <row r="530" spans="1:3" x14ac:dyDescent="0.25">
      <c r="A530" s="1"/>
      <c r="B530" s="1"/>
      <c r="C530" s="1"/>
    </row>
    <row r="531" spans="1:3" x14ac:dyDescent="0.25">
      <c r="A531" s="1"/>
      <c r="B531" s="1"/>
      <c r="C531" s="1"/>
    </row>
    <row r="532" spans="1:3" x14ac:dyDescent="0.25">
      <c r="A532" s="1"/>
      <c r="B532" s="1"/>
      <c r="C532" s="1"/>
    </row>
    <row r="533" spans="1:3" x14ac:dyDescent="0.25">
      <c r="A533" s="1"/>
      <c r="B533" s="1"/>
      <c r="C533" s="1"/>
    </row>
    <row r="534" spans="1:3" x14ac:dyDescent="0.25">
      <c r="A534" s="1"/>
      <c r="B534" s="1"/>
      <c r="C534" s="1"/>
    </row>
    <row r="535" spans="1:3" x14ac:dyDescent="0.25">
      <c r="A535" s="1"/>
      <c r="B535" s="1"/>
      <c r="C535" s="1"/>
    </row>
    <row r="536" spans="1:3" x14ac:dyDescent="0.25">
      <c r="A536" s="1"/>
      <c r="B536" s="1"/>
      <c r="C536" s="1"/>
    </row>
    <row r="537" spans="1:3" x14ac:dyDescent="0.25">
      <c r="A537" s="1"/>
      <c r="B537" s="1"/>
      <c r="C537" s="1"/>
    </row>
    <row r="538" spans="1:3" x14ac:dyDescent="0.25">
      <c r="A538" s="1"/>
      <c r="B538" s="1"/>
      <c r="C538" s="1"/>
    </row>
    <row r="539" spans="1:3" x14ac:dyDescent="0.25">
      <c r="A539" s="1"/>
      <c r="B539" s="1"/>
      <c r="C539" s="1"/>
    </row>
    <row r="540" spans="1:3" x14ac:dyDescent="0.25">
      <c r="A540" s="1"/>
      <c r="B540" s="1"/>
      <c r="C540" s="1"/>
    </row>
    <row r="541" spans="1:3" x14ac:dyDescent="0.25">
      <c r="A541" s="1"/>
      <c r="B541" s="1"/>
      <c r="C541" s="1"/>
    </row>
    <row r="542" spans="1:3" x14ac:dyDescent="0.25">
      <c r="A542" s="1"/>
      <c r="B542" s="1"/>
      <c r="C542" s="1"/>
    </row>
    <row r="543" spans="1:3" x14ac:dyDescent="0.25">
      <c r="A543" s="1"/>
      <c r="B543" s="1"/>
      <c r="C543" s="1"/>
    </row>
    <row r="544" spans="1:3" x14ac:dyDescent="0.25">
      <c r="A544" s="1"/>
      <c r="B544" s="1"/>
      <c r="C544" s="1"/>
    </row>
    <row r="545" spans="1:3" x14ac:dyDescent="0.25">
      <c r="A545" s="1"/>
      <c r="B545" s="1"/>
      <c r="C545" s="1"/>
    </row>
    <row r="546" spans="1:3" x14ac:dyDescent="0.25">
      <c r="A546" s="1"/>
      <c r="B546" s="1"/>
      <c r="C546" s="1"/>
    </row>
    <row r="547" spans="1:3" x14ac:dyDescent="0.25">
      <c r="A547" s="1"/>
      <c r="B547" s="1"/>
      <c r="C547" s="1"/>
    </row>
    <row r="548" spans="1:3" x14ac:dyDescent="0.25">
      <c r="A548" s="1"/>
      <c r="B548" s="1"/>
      <c r="C548" s="1"/>
    </row>
    <row r="549" spans="1:3" x14ac:dyDescent="0.25">
      <c r="A549" s="1"/>
      <c r="B549" s="1"/>
      <c r="C549" s="1"/>
    </row>
    <row r="550" spans="1:3" x14ac:dyDescent="0.25">
      <c r="A550" s="1"/>
      <c r="B550" s="1"/>
      <c r="C550" s="1"/>
    </row>
    <row r="551" spans="1:3" x14ac:dyDescent="0.25">
      <c r="A551" s="1"/>
      <c r="B551" s="1"/>
      <c r="C551" s="1"/>
    </row>
    <row r="552" spans="1:3" x14ac:dyDescent="0.25">
      <c r="A552" s="1"/>
      <c r="B552" s="1"/>
      <c r="C552" s="1"/>
    </row>
    <row r="553" spans="1:3" x14ac:dyDescent="0.25">
      <c r="A553" s="1"/>
      <c r="B553" s="1"/>
      <c r="C553" s="1"/>
    </row>
    <row r="554" spans="1:3" x14ac:dyDescent="0.25">
      <c r="A554" s="1"/>
      <c r="B554" s="1"/>
      <c r="C554" s="1"/>
    </row>
    <row r="555" spans="1:3" x14ac:dyDescent="0.25">
      <c r="A555" s="1"/>
      <c r="B555" s="1"/>
      <c r="C555" s="1"/>
    </row>
    <row r="556" spans="1:3" x14ac:dyDescent="0.25">
      <c r="A556" s="1"/>
      <c r="B556" s="1"/>
      <c r="C556" s="1"/>
    </row>
    <row r="557" spans="1:3" x14ac:dyDescent="0.25">
      <c r="A557" s="1"/>
      <c r="B557" s="1"/>
      <c r="C557" s="1"/>
    </row>
    <row r="558" spans="1:3" x14ac:dyDescent="0.25">
      <c r="A558" s="1"/>
      <c r="B558" s="1"/>
      <c r="C558" s="1"/>
    </row>
    <row r="559" spans="1:3" x14ac:dyDescent="0.25">
      <c r="A559" s="1"/>
      <c r="B559" s="1"/>
      <c r="C559" s="1"/>
    </row>
    <row r="560" spans="1:3" x14ac:dyDescent="0.25">
      <c r="A560" s="1"/>
      <c r="B560" s="1"/>
      <c r="C560" s="1"/>
    </row>
    <row r="561" spans="1:3" x14ac:dyDescent="0.25">
      <c r="A561" s="1"/>
      <c r="B561" s="1"/>
      <c r="C561" s="1"/>
    </row>
    <row r="562" spans="1:3" x14ac:dyDescent="0.25">
      <c r="A562" s="1"/>
      <c r="B562" s="1"/>
      <c r="C562" s="1"/>
    </row>
    <row r="563" spans="1:3" x14ac:dyDescent="0.25">
      <c r="A563" s="1"/>
      <c r="B563" s="1"/>
      <c r="C563" s="1"/>
    </row>
    <row r="564" spans="1:3" x14ac:dyDescent="0.25">
      <c r="A564" s="1"/>
      <c r="B564" s="1"/>
      <c r="C564" s="1"/>
    </row>
    <row r="565" spans="1:3" x14ac:dyDescent="0.25">
      <c r="A565" s="1"/>
      <c r="B565" s="1"/>
      <c r="C565" s="1"/>
    </row>
    <row r="566" spans="1:3" x14ac:dyDescent="0.25">
      <c r="A566" s="1"/>
      <c r="B566" s="1"/>
      <c r="C566" s="1"/>
    </row>
    <row r="567" spans="1:3" x14ac:dyDescent="0.25">
      <c r="A567" s="1"/>
      <c r="B567" s="1"/>
      <c r="C567" s="1"/>
    </row>
    <row r="568" spans="1:3" x14ac:dyDescent="0.25">
      <c r="A568" s="1"/>
      <c r="B568" s="1"/>
      <c r="C568" s="1"/>
    </row>
    <row r="569" spans="1:3" x14ac:dyDescent="0.25">
      <c r="A569" s="1"/>
      <c r="B569" s="1"/>
      <c r="C569" s="1"/>
    </row>
    <row r="570" spans="1:3" x14ac:dyDescent="0.25">
      <c r="A570" s="1"/>
      <c r="B570" s="1"/>
      <c r="C570" s="1"/>
    </row>
    <row r="571" spans="1:3" x14ac:dyDescent="0.25">
      <c r="A571" s="1"/>
      <c r="B571" s="1"/>
      <c r="C571" s="1"/>
    </row>
    <row r="572" spans="1:3" x14ac:dyDescent="0.25">
      <c r="A572" s="1"/>
      <c r="B572" s="1"/>
      <c r="C572" s="1"/>
    </row>
    <row r="573" spans="1:3" x14ac:dyDescent="0.25">
      <c r="A573" s="1"/>
      <c r="B573" s="1"/>
      <c r="C573" s="1"/>
    </row>
    <row r="574" spans="1:3" x14ac:dyDescent="0.25">
      <c r="A574" s="1"/>
      <c r="B574" s="1"/>
      <c r="C574" s="1"/>
    </row>
    <row r="575" spans="1:3" x14ac:dyDescent="0.25">
      <c r="A575" s="1"/>
      <c r="B575" s="1"/>
      <c r="C575" s="1"/>
    </row>
    <row r="576" spans="1:3" x14ac:dyDescent="0.25">
      <c r="A576" s="1"/>
      <c r="B576" s="1"/>
      <c r="C576" s="1"/>
    </row>
    <row r="577" spans="1:3" x14ac:dyDescent="0.25">
      <c r="A577" s="1"/>
      <c r="B577" s="1"/>
      <c r="C577" s="1"/>
    </row>
    <row r="578" spans="1:3" x14ac:dyDescent="0.25">
      <c r="A578" s="1"/>
      <c r="B578" s="1"/>
      <c r="C578" s="1"/>
    </row>
    <row r="579" spans="1:3" x14ac:dyDescent="0.25">
      <c r="A579" s="1"/>
      <c r="B579" s="1"/>
      <c r="C579" s="1"/>
    </row>
    <row r="580" spans="1:3" x14ac:dyDescent="0.25">
      <c r="A580" s="1"/>
      <c r="B580" s="1"/>
      <c r="C580" s="1"/>
    </row>
    <row r="581" spans="1:3" x14ac:dyDescent="0.25">
      <c r="A581" s="1"/>
      <c r="B581" s="1"/>
      <c r="C581" s="1"/>
    </row>
    <row r="582" spans="1:3" x14ac:dyDescent="0.25">
      <c r="A582" s="1"/>
      <c r="B582" s="1"/>
      <c r="C582" s="1"/>
    </row>
    <row r="583" spans="1:3" x14ac:dyDescent="0.25">
      <c r="A583" s="1"/>
      <c r="B583" s="1"/>
      <c r="C583" s="1"/>
    </row>
    <row r="584" spans="1:3" x14ac:dyDescent="0.25">
      <c r="A584" s="1"/>
      <c r="B584" s="1"/>
      <c r="C584" s="1"/>
    </row>
    <row r="585" spans="1:3" x14ac:dyDescent="0.25">
      <c r="A585" s="1"/>
      <c r="B585" s="1"/>
      <c r="C585" s="1"/>
    </row>
    <row r="586" spans="1:3" x14ac:dyDescent="0.25">
      <c r="A586" s="1"/>
      <c r="B586" s="1"/>
      <c r="C586" s="1"/>
    </row>
    <row r="587" spans="1:3" x14ac:dyDescent="0.25">
      <c r="A587" s="1"/>
      <c r="B587" s="1"/>
      <c r="C587" s="1"/>
    </row>
    <row r="588" spans="1:3" x14ac:dyDescent="0.25">
      <c r="A588" s="1"/>
      <c r="B588" s="1"/>
      <c r="C588" s="1"/>
    </row>
    <row r="589" spans="1:3" x14ac:dyDescent="0.25">
      <c r="A589" s="1"/>
      <c r="B589" s="1"/>
      <c r="C589" s="1"/>
    </row>
    <row r="590" spans="1:3" x14ac:dyDescent="0.25">
      <c r="A590" s="1"/>
      <c r="B590" s="1"/>
      <c r="C590" s="1"/>
    </row>
    <row r="591" spans="1:3" x14ac:dyDescent="0.25">
      <c r="A591" s="1"/>
      <c r="B591" s="1"/>
      <c r="C591" s="1"/>
    </row>
    <row r="592" spans="1:3" x14ac:dyDescent="0.25">
      <c r="A592" s="1"/>
      <c r="B592" s="1"/>
      <c r="C592" s="1"/>
    </row>
    <row r="593" spans="1:3" x14ac:dyDescent="0.25">
      <c r="A593" s="1"/>
      <c r="B593" s="1"/>
      <c r="C593" s="1"/>
    </row>
    <row r="594" spans="1:3" x14ac:dyDescent="0.25">
      <c r="A594" s="1"/>
      <c r="B594" s="1"/>
      <c r="C594" s="1"/>
    </row>
    <row r="595" spans="1:3" x14ac:dyDescent="0.25">
      <c r="A595" s="1"/>
      <c r="B595" s="1"/>
      <c r="C595" s="1"/>
    </row>
    <row r="596" spans="1:3" x14ac:dyDescent="0.25">
      <c r="A596" s="1"/>
      <c r="B596" s="1"/>
      <c r="C596" s="1"/>
    </row>
    <row r="597" spans="1:3" x14ac:dyDescent="0.25">
      <c r="A597" s="1"/>
      <c r="B597" s="1"/>
      <c r="C597" s="1"/>
    </row>
    <row r="598" spans="1:3" x14ac:dyDescent="0.25">
      <c r="A598" s="1"/>
      <c r="B598" s="1"/>
      <c r="C598" s="1"/>
    </row>
    <row r="599" spans="1:3" x14ac:dyDescent="0.25">
      <c r="A599" s="1"/>
      <c r="B599" s="1"/>
      <c r="C599" s="1"/>
    </row>
    <row r="600" spans="1:3" x14ac:dyDescent="0.25">
      <c r="A600" s="1"/>
      <c r="B600" s="1"/>
      <c r="C600" s="1"/>
    </row>
    <row r="601" spans="1:3" x14ac:dyDescent="0.25">
      <c r="A601" s="1"/>
      <c r="B601" s="1"/>
      <c r="C601" s="1"/>
    </row>
    <row r="602" spans="1:3" x14ac:dyDescent="0.25">
      <c r="A602" s="1"/>
      <c r="B602" s="1"/>
      <c r="C602" s="1"/>
    </row>
    <row r="603" spans="1:3" x14ac:dyDescent="0.25">
      <c r="A603" s="1"/>
      <c r="B603" s="1"/>
      <c r="C603" s="1"/>
    </row>
    <row r="604" spans="1:3" x14ac:dyDescent="0.25">
      <c r="A604" s="1"/>
      <c r="B604" s="1"/>
      <c r="C604" s="1"/>
    </row>
    <row r="605" spans="1:3" x14ac:dyDescent="0.25">
      <c r="A605" s="1"/>
      <c r="B605" s="1"/>
      <c r="C605" s="1"/>
    </row>
    <row r="606" spans="1:3" x14ac:dyDescent="0.25">
      <c r="A606" s="1"/>
      <c r="B606" s="1"/>
      <c r="C606" s="1"/>
    </row>
    <row r="607" spans="1:3" x14ac:dyDescent="0.25">
      <c r="A607" s="1"/>
      <c r="B607" s="1"/>
      <c r="C607" s="1"/>
    </row>
    <row r="608" spans="1:3" x14ac:dyDescent="0.25">
      <c r="A608" s="1"/>
      <c r="B608" s="1"/>
      <c r="C608" s="1"/>
    </row>
    <row r="609" spans="1:3" x14ac:dyDescent="0.25">
      <c r="A609" s="1"/>
      <c r="B609" s="1"/>
      <c r="C609" s="1"/>
    </row>
    <row r="610" spans="1:3" x14ac:dyDescent="0.25">
      <c r="A610" s="1"/>
      <c r="B610" s="1"/>
      <c r="C610" s="1"/>
    </row>
    <row r="611" spans="1:3" x14ac:dyDescent="0.25">
      <c r="A611" s="1"/>
      <c r="B611" s="1"/>
      <c r="C611" s="1"/>
    </row>
    <row r="612" spans="1:3" x14ac:dyDescent="0.25">
      <c r="A612" s="1"/>
      <c r="B612" s="1"/>
      <c r="C612" s="1"/>
    </row>
    <row r="613" spans="1:3" x14ac:dyDescent="0.25">
      <c r="A613" s="1"/>
      <c r="B613" s="1"/>
      <c r="C613" s="1"/>
    </row>
    <row r="614" spans="1:3" x14ac:dyDescent="0.25">
      <c r="A614" s="1"/>
      <c r="B614" s="1"/>
      <c r="C614" s="1"/>
    </row>
    <row r="615" spans="1:3" x14ac:dyDescent="0.25">
      <c r="A615" s="1"/>
      <c r="B615" s="1"/>
      <c r="C615" s="1"/>
    </row>
    <row r="616" spans="1:3" x14ac:dyDescent="0.25">
      <c r="A616" s="1"/>
      <c r="B616" s="1"/>
      <c r="C616" s="1"/>
    </row>
    <row r="617" spans="1:3" x14ac:dyDescent="0.25">
      <c r="A617" s="1"/>
      <c r="B617" s="1"/>
      <c r="C617" s="1"/>
    </row>
    <row r="618" spans="1:3" x14ac:dyDescent="0.25">
      <c r="A618" s="1"/>
      <c r="B618" s="1"/>
      <c r="C618" s="1"/>
    </row>
    <row r="619" spans="1:3" x14ac:dyDescent="0.25">
      <c r="A619" s="1"/>
      <c r="B619" s="1"/>
      <c r="C619" s="1"/>
    </row>
    <row r="620" spans="1:3" x14ac:dyDescent="0.25">
      <c r="A620" s="1"/>
      <c r="B620" s="1"/>
      <c r="C620" s="1"/>
    </row>
    <row r="621" spans="1:3" x14ac:dyDescent="0.25">
      <c r="A621" s="1"/>
      <c r="B621" s="1"/>
      <c r="C621" s="1"/>
    </row>
    <row r="622" spans="1:3" x14ac:dyDescent="0.25">
      <c r="A622" s="1"/>
      <c r="B622" s="1"/>
      <c r="C622" s="1"/>
    </row>
    <row r="623" spans="1:3" x14ac:dyDescent="0.25">
      <c r="A623" s="1"/>
      <c r="B623" s="1"/>
      <c r="C623" s="1"/>
    </row>
    <row r="624" spans="1:3" x14ac:dyDescent="0.25">
      <c r="A624" s="1"/>
      <c r="B624" s="1"/>
      <c r="C624" s="1"/>
    </row>
    <row r="625" spans="1:3" x14ac:dyDescent="0.25">
      <c r="A625" s="1"/>
      <c r="B625" s="1"/>
      <c r="C625" s="1"/>
    </row>
    <row r="626" spans="1:3" x14ac:dyDescent="0.25">
      <c r="A626" s="1"/>
      <c r="B626" s="1"/>
      <c r="C626" s="1"/>
    </row>
    <row r="627" spans="1:3" x14ac:dyDescent="0.25">
      <c r="A627" s="1"/>
      <c r="B627" s="1"/>
      <c r="C627" s="1"/>
    </row>
    <row r="628" spans="1:3" x14ac:dyDescent="0.25">
      <c r="A628" s="1"/>
      <c r="B628" s="1"/>
      <c r="C628" s="1"/>
    </row>
    <row r="629" spans="1:3" x14ac:dyDescent="0.25">
      <c r="A629" s="1"/>
      <c r="B629" s="1"/>
      <c r="C629" s="1"/>
    </row>
    <row r="630" spans="1:3" x14ac:dyDescent="0.25">
      <c r="A630" s="1"/>
      <c r="B630" s="1"/>
      <c r="C630" s="1"/>
    </row>
    <row r="631" spans="1:3" x14ac:dyDescent="0.25">
      <c r="A631" s="1"/>
      <c r="B631" s="1"/>
      <c r="C631" s="1"/>
    </row>
    <row r="632" spans="1:3" x14ac:dyDescent="0.25">
      <c r="A632" s="1"/>
      <c r="B632" s="1"/>
      <c r="C632" s="1"/>
    </row>
    <row r="633" spans="1:3" x14ac:dyDescent="0.25">
      <c r="A633" s="1"/>
      <c r="B633" s="1"/>
      <c r="C633" s="1"/>
    </row>
    <row r="634" spans="1:3" x14ac:dyDescent="0.25">
      <c r="A634" s="1"/>
      <c r="B634" s="1"/>
      <c r="C634" s="1"/>
    </row>
    <row r="635" spans="1:3" x14ac:dyDescent="0.25">
      <c r="A635" s="1"/>
      <c r="B635" s="1"/>
      <c r="C635" s="1"/>
    </row>
    <row r="636" spans="1:3" x14ac:dyDescent="0.25">
      <c r="A636" s="1"/>
      <c r="B636" s="1"/>
      <c r="C636" s="1"/>
    </row>
    <row r="637" spans="1:3" x14ac:dyDescent="0.25">
      <c r="A637" s="1"/>
      <c r="B637" s="1"/>
      <c r="C637" s="1"/>
    </row>
    <row r="638" spans="1:3" x14ac:dyDescent="0.25">
      <c r="A638" s="1"/>
      <c r="B638" s="1"/>
      <c r="C638" s="1"/>
    </row>
    <row r="639" spans="1:3" x14ac:dyDescent="0.25">
      <c r="A639" s="1"/>
      <c r="B639" s="1"/>
      <c r="C639" s="1"/>
    </row>
    <row r="640" spans="1:3" x14ac:dyDescent="0.25">
      <c r="A640" s="1"/>
      <c r="B640" s="1"/>
      <c r="C640" s="1"/>
    </row>
    <row r="641" spans="1:3" x14ac:dyDescent="0.25">
      <c r="A641" s="1"/>
      <c r="B641" s="1"/>
      <c r="C641" s="1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J127"/>
  <sheetViews>
    <sheetView zoomScale="180" zoomScaleNormal="180" workbookViewId="0">
      <selection activeCell="D1" sqref="D1"/>
    </sheetView>
  </sheetViews>
  <sheetFormatPr defaultRowHeight="15" x14ac:dyDescent="0.25"/>
  <sheetData>
    <row r="1" spans="1:10" x14ac:dyDescent="0.25">
      <c r="A1" s="8" t="s">
        <v>34</v>
      </c>
    </row>
    <row r="2" spans="1:10" x14ac:dyDescent="0.25">
      <c r="A2" t="s">
        <v>24</v>
      </c>
      <c r="B2" t="s">
        <v>23</v>
      </c>
      <c r="E2" s="5" t="s">
        <v>3</v>
      </c>
      <c r="G2" s="6" t="s">
        <v>22</v>
      </c>
      <c r="H2" s="5" t="s">
        <v>21</v>
      </c>
    </row>
    <row r="3" spans="1:10" x14ac:dyDescent="0.25">
      <c r="B3" t="s">
        <v>20</v>
      </c>
      <c r="E3" s="15">
        <v>0.5</v>
      </c>
      <c r="G3" s="15">
        <v>2</v>
      </c>
      <c r="H3" s="15">
        <v>0.2</v>
      </c>
    </row>
    <row r="4" spans="1:10" x14ac:dyDescent="0.25">
      <c r="B4" t="s">
        <v>19</v>
      </c>
    </row>
    <row r="5" spans="1:10" x14ac:dyDescent="0.25">
      <c r="B5" t="s">
        <v>18</v>
      </c>
      <c r="I5" s="3" t="s">
        <v>17</v>
      </c>
      <c r="J5" s="3" t="s">
        <v>16</v>
      </c>
    </row>
    <row r="6" spans="1:10" x14ac:dyDescent="0.25">
      <c r="B6" t="s">
        <v>14</v>
      </c>
      <c r="G6">
        <v>0.5</v>
      </c>
      <c r="H6" s="3" t="s">
        <v>13</v>
      </c>
      <c r="I6" s="3">
        <v>0</v>
      </c>
      <c r="J6" s="3">
        <v>4</v>
      </c>
    </row>
    <row r="7" spans="1:10" x14ac:dyDescent="0.25">
      <c r="F7" s="2" t="s">
        <v>12</v>
      </c>
      <c r="G7" s="2" t="s">
        <v>11</v>
      </c>
      <c r="H7" s="3" t="s">
        <v>10</v>
      </c>
      <c r="I7" s="3">
        <v>4</v>
      </c>
      <c r="J7" s="3">
        <v>8</v>
      </c>
    </row>
    <row r="8" spans="1:10" x14ac:dyDescent="0.25">
      <c r="G8" s="2">
        <v>0</v>
      </c>
      <c r="H8" s="3" t="s">
        <v>9</v>
      </c>
      <c r="I8" s="3">
        <v>8</v>
      </c>
      <c r="J8" s="3">
        <v>1000</v>
      </c>
    </row>
    <row r="9" spans="1:10" x14ac:dyDescent="0.25">
      <c r="A9" t="s">
        <v>2</v>
      </c>
      <c r="B9" t="s">
        <v>1</v>
      </c>
    </row>
    <row r="11" spans="1:10" x14ac:dyDescent="0.25">
      <c r="A11" s="3" t="s">
        <v>0</v>
      </c>
      <c r="B11" s="3" t="s">
        <v>5</v>
      </c>
      <c r="C11" s="3" t="s">
        <v>6</v>
      </c>
      <c r="D11" s="3" t="s">
        <v>4</v>
      </c>
      <c r="E11" s="3" t="s">
        <v>29</v>
      </c>
      <c r="F11" s="3" t="s">
        <v>28</v>
      </c>
      <c r="G11" s="8" t="s">
        <v>27</v>
      </c>
    </row>
    <row r="12" spans="1:10" x14ac:dyDescent="0.25">
      <c r="A12" s="13">
        <v>0</v>
      </c>
      <c r="B12" s="14">
        <v>0</v>
      </c>
      <c r="C12" s="1">
        <f t="shared" ref="C12:C43" si="0">D12</f>
        <v>0</v>
      </c>
      <c r="D12" s="13">
        <v>0</v>
      </c>
      <c r="E12" s="1">
        <f t="shared" ref="E12:E43" si="1">(F12-$H$3*D12)/$G$3</f>
        <v>0.25</v>
      </c>
      <c r="F12" s="1">
        <f t="shared" ref="F12:F43" si="2">IF(AND(A12&gt;=$I$6,A12&lt;$J$6),0.5,IF(AND(A12&gt;=$I$7,A12&lt;=$J$7),1-A12/8,0))</f>
        <v>0.5</v>
      </c>
      <c r="G12" s="8" t="s">
        <v>26</v>
      </c>
    </row>
    <row r="13" spans="1:10" x14ac:dyDescent="0.25">
      <c r="A13" s="1">
        <f t="shared" ref="A13:A44" si="3">A12+$E$3</f>
        <v>0.5</v>
      </c>
      <c r="B13" s="16">
        <f t="shared" ref="B13:B44" ca="1" si="4">IF($B$9="n",B12,B12+$E$3/2*(C12+C13))</f>
        <v>3.048780487804878E-2</v>
      </c>
      <c r="C13" s="1">
        <f t="shared" ca="1" si="0"/>
        <v>0.12195121951219512</v>
      </c>
      <c r="D13" s="16">
        <f t="shared" ref="D13:D44" ca="1" si="5">IF($B$9="n",D12,D12+$E$3/2*(E12+E13))</f>
        <v>0.12195121951219512</v>
      </c>
      <c r="E13" s="1">
        <f t="shared" ca="1" si="1"/>
        <v>0.23780487804878048</v>
      </c>
      <c r="F13" s="16">
        <f t="shared" si="2"/>
        <v>0.5</v>
      </c>
      <c r="G13" s="8" t="s">
        <v>25</v>
      </c>
    </row>
    <row r="14" spans="1:10" x14ac:dyDescent="0.25">
      <c r="A14" s="1">
        <f t="shared" si="3"/>
        <v>1</v>
      </c>
      <c r="B14" s="1">
        <f t="shared" ca="1" si="4"/>
        <v>0.12046400951814396</v>
      </c>
      <c r="C14" s="1">
        <f t="shared" ca="1" si="0"/>
        <v>0.23795359904818558</v>
      </c>
      <c r="D14" s="1">
        <f t="shared" ca="1" si="5"/>
        <v>0.23795359904818558</v>
      </c>
      <c r="E14" s="1">
        <f t="shared" ca="1" si="1"/>
        <v>0.22620464009518143</v>
      </c>
      <c r="F14" s="1">
        <f t="shared" si="2"/>
        <v>0.5</v>
      </c>
    </row>
    <row r="15" spans="1:10" x14ac:dyDescent="0.25">
      <c r="A15" s="1">
        <f t="shared" si="3"/>
        <v>1.5</v>
      </c>
      <c r="B15" s="1">
        <f t="shared" ca="1" si="4"/>
        <v>0.26702674076116129</v>
      </c>
      <c r="C15" s="1">
        <f t="shared" ca="1" si="0"/>
        <v>0.34829732592388385</v>
      </c>
      <c r="D15" s="1">
        <f t="shared" ca="1" si="5"/>
        <v>0.34829732592388385</v>
      </c>
      <c r="E15" s="1">
        <f t="shared" ca="1" si="1"/>
        <v>0.21517026740761161</v>
      </c>
      <c r="F15" s="1">
        <f t="shared" si="2"/>
        <v>0.5</v>
      </c>
    </row>
    <row r="16" spans="1:10" x14ac:dyDescent="0.25">
      <c r="A16" s="1">
        <f t="shared" si="3"/>
        <v>2</v>
      </c>
      <c r="B16" s="1">
        <f t="shared" ca="1" si="4"/>
        <v>0.46741568023622659</v>
      </c>
      <c r="C16" s="1">
        <f t="shared" ca="1" si="0"/>
        <v>0.45325843197637733</v>
      </c>
      <c r="D16" s="1">
        <f t="shared" ca="1" si="5"/>
        <v>0.45325843197637733</v>
      </c>
      <c r="E16" s="1">
        <f t="shared" ca="1" si="1"/>
        <v>0.20467415680236226</v>
      </c>
      <c r="F16" s="1">
        <f t="shared" si="2"/>
        <v>0.5</v>
      </c>
    </row>
    <row r="17" spans="1:6" x14ac:dyDescent="0.25">
      <c r="A17" s="1">
        <f t="shared" si="3"/>
        <v>2.5</v>
      </c>
      <c r="B17" s="1">
        <f t="shared" ca="1" si="4"/>
        <v>0.71900515924909358</v>
      </c>
      <c r="C17" s="1">
        <f t="shared" ca="1" si="0"/>
        <v>0.55309948407509069</v>
      </c>
      <c r="D17" s="1">
        <f t="shared" ca="1" si="5"/>
        <v>0.55309948407509069</v>
      </c>
      <c r="E17" s="1">
        <f t="shared" ca="1" si="1"/>
        <v>0.19469005159249092</v>
      </c>
      <c r="F17" s="1">
        <f t="shared" si="2"/>
        <v>0.5</v>
      </c>
    </row>
    <row r="18" spans="1:6" x14ac:dyDescent="0.25">
      <c r="A18" s="1">
        <f t="shared" si="3"/>
        <v>3</v>
      </c>
      <c r="B18" s="1">
        <f t="shared" ca="1" si="4"/>
        <v>1.0192975905052353</v>
      </c>
      <c r="C18" s="1">
        <f t="shared" ca="1" si="0"/>
        <v>0.64807024094947652</v>
      </c>
      <c r="D18" s="1">
        <f t="shared" ca="1" si="5"/>
        <v>0.64807024094947652</v>
      </c>
      <c r="E18" s="1">
        <f t="shared" ca="1" si="1"/>
        <v>0.18519297590505235</v>
      </c>
      <c r="F18" s="1">
        <f t="shared" si="2"/>
        <v>0.5</v>
      </c>
    </row>
    <row r="19" spans="1:6" x14ac:dyDescent="0.25">
      <c r="A19" s="1">
        <f t="shared" si="3"/>
        <v>3.5</v>
      </c>
      <c r="B19" s="1">
        <f t="shared" ca="1" si="4"/>
        <v>1.3659172202366872</v>
      </c>
      <c r="C19" s="1">
        <f t="shared" ca="1" si="0"/>
        <v>0.73840827797633135</v>
      </c>
      <c r="D19" s="1">
        <f t="shared" ca="1" si="5"/>
        <v>0.73840827797633135</v>
      </c>
      <c r="E19" s="1">
        <f t="shared" ca="1" si="1"/>
        <v>0.17615917220236688</v>
      </c>
      <c r="F19" s="1">
        <f t="shared" si="2"/>
        <v>0.5</v>
      </c>
    </row>
    <row r="20" spans="1:6" x14ac:dyDescent="0.25">
      <c r="A20" s="1">
        <f t="shared" si="3"/>
        <v>4</v>
      </c>
      <c r="B20" s="1">
        <f t="shared" ca="1" si="4"/>
        <v>1.7566041851031904</v>
      </c>
      <c r="C20" s="1">
        <f t="shared" ca="1" si="0"/>
        <v>0.82433958148968101</v>
      </c>
      <c r="D20" s="1">
        <f t="shared" ca="1" si="5"/>
        <v>0.82433958148968101</v>
      </c>
      <c r="E20" s="1">
        <f t="shared" ca="1" si="1"/>
        <v>0.16756604185103191</v>
      </c>
      <c r="F20" s="1">
        <f t="shared" si="2"/>
        <v>0.5</v>
      </c>
    </row>
    <row r="21" spans="1:6" x14ac:dyDescent="0.25">
      <c r="A21" s="1">
        <f t="shared" si="3"/>
        <v>4.5</v>
      </c>
      <c r="B21" s="1">
        <f t="shared" ca="1" si="4"/>
        <v>2.1873033711957177</v>
      </c>
      <c r="C21" s="1">
        <f t="shared" ca="1" si="0"/>
        <v>0.89845716288042832</v>
      </c>
      <c r="D21" s="1">
        <f t="shared" ca="1" si="5"/>
        <v>0.89845716288042832</v>
      </c>
      <c r="E21" s="1">
        <f t="shared" ca="1" si="1"/>
        <v>0.12890428371195717</v>
      </c>
      <c r="F21" s="1">
        <f t="shared" si="2"/>
        <v>0.4375</v>
      </c>
    </row>
    <row r="22" spans="1:6" x14ac:dyDescent="0.25">
      <c r="A22" s="1">
        <f t="shared" si="3"/>
        <v>5</v>
      </c>
      <c r="B22" s="1">
        <f t="shared" ca="1" si="4"/>
        <v>2.6503464994300732</v>
      </c>
      <c r="C22" s="1">
        <f t="shared" ca="1" si="0"/>
        <v>0.95371535005699282</v>
      </c>
      <c r="D22" s="1">
        <f t="shared" ca="1" si="5"/>
        <v>0.95371535005699282</v>
      </c>
      <c r="E22" s="1">
        <f t="shared" ca="1" si="1"/>
        <v>9.2128464994300718E-2</v>
      </c>
      <c r="F22" s="1">
        <f t="shared" si="2"/>
        <v>0.375</v>
      </c>
    </row>
    <row r="23" spans="1:6" x14ac:dyDescent="0.25">
      <c r="A23" s="1">
        <f t="shared" si="3"/>
        <v>5.5</v>
      </c>
      <c r="B23" s="1">
        <f t="shared" ca="1" si="4"/>
        <v>3.1365338653115331</v>
      </c>
      <c r="C23" s="1">
        <f t="shared" ca="1" si="0"/>
        <v>0.99103411346884684</v>
      </c>
      <c r="D23" s="1">
        <f t="shared" ca="1" si="5"/>
        <v>0.99103411346884684</v>
      </c>
      <c r="E23" s="1">
        <f t="shared" ca="1" si="1"/>
        <v>5.714658865311531E-2</v>
      </c>
      <c r="F23" s="1">
        <f t="shared" si="2"/>
        <v>0.3125</v>
      </c>
    </row>
    <row r="24" spans="1:6" x14ac:dyDescent="0.25">
      <c r="A24" s="1">
        <f t="shared" si="3"/>
        <v>6</v>
      </c>
      <c r="B24" s="1">
        <f t="shared" ca="1" si="4"/>
        <v>3.6371145304182875</v>
      </c>
      <c r="C24" s="1">
        <f t="shared" ca="1" si="0"/>
        <v>1.0112885469581714</v>
      </c>
      <c r="D24" s="1">
        <f t="shared" ca="1" si="5"/>
        <v>1.0112885469581714</v>
      </c>
      <c r="E24" s="1">
        <f t="shared" ca="1" si="1"/>
        <v>2.3871145304182856E-2</v>
      </c>
      <c r="F24" s="1">
        <f t="shared" si="2"/>
        <v>0.25</v>
      </c>
    </row>
    <row r="25" spans="1:6" x14ac:dyDescent="0.25">
      <c r="A25" s="1">
        <f t="shared" si="3"/>
        <v>6.5</v>
      </c>
      <c r="B25" s="1">
        <f t="shared" ca="1" si="4"/>
        <v>4.1437644313734934</v>
      </c>
      <c r="C25" s="1">
        <f t="shared" ca="1" si="0"/>
        <v>1.0153110568626509</v>
      </c>
      <c r="D25" s="1">
        <f t="shared" ca="1" si="5"/>
        <v>1.0153110568626509</v>
      </c>
      <c r="E25" s="1">
        <f t="shared" ca="1" si="1"/>
        <v>-7.7811056862650968E-3</v>
      </c>
      <c r="F25" s="1">
        <f t="shared" si="2"/>
        <v>0.1875</v>
      </c>
    </row>
    <row r="26" spans="1:6" x14ac:dyDescent="0.25">
      <c r="A26" s="1">
        <f t="shared" si="3"/>
        <v>7</v>
      </c>
      <c r="B26" s="1">
        <f t="shared" ca="1" si="4"/>
        <v>4.6485655566723469</v>
      </c>
      <c r="C26" s="1">
        <f t="shared" ca="1" si="0"/>
        <v>1.0038934443327654</v>
      </c>
      <c r="D26" s="1">
        <f t="shared" ca="1" si="5"/>
        <v>1.0038934443327654</v>
      </c>
      <c r="E26" s="1">
        <f t="shared" ca="1" si="1"/>
        <v>-3.7889344433276545E-2</v>
      </c>
      <c r="F26" s="1">
        <f t="shared" si="2"/>
        <v>0.125</v>
      </c>
    </row>
    <row r="27" spans="1:6" x14ac:dyDescent="0.25">
      <c r="A27" s="1">
        <f t="shared" si="3"/>
        <v>7.5</v>
      </c>
      <c r="B27" s="1">
        <f t="shared" ca="1" si="4"/>
        <v>5.1439861392736956</v>
      </c>
      <c r="C27" s="1">
        <f t="shared" ca="1" si="0"/>
        <v>0.97778888607263048</v>
      </c>
      <c r="D27" s="1">
        <f t="shared" ca="1" si="5"/>
        <v>0.97778888607263048</v>
      </c>
      <c r="E27" s="1">
        <f t="shared" ca="1" si="1"/>
        <v>-6.6528888607263054E-2</v>
      </c>
      <c r="F27" s="1">
        <f t="shared" si="2"/>
        <v>6.25E-2</v>
      </c>
    </row>
    <row r="28" spans="1:6" x14ac:dyDescent="0.25">
      <c r="A28" s="1">
        <f t="shared" si="3"/>
        <v>8</v>
      </c>
      <c r="B28" s="1">
        <f t="shared" ca="1" si="4"/>
        <v>5.6228618154066865</v>
      </c>
      <c r="C28" s="1">
        <f t="shared" ca="1" si="0"/>
        <v>0.93771381845933144</v>
      </c>
      <c r="D28" s="1">
        <f t="shared" ca="1" si="5"/>
        <v>0.93771381845933144</v>
      </c>
      <c r="E28" s="1">
        <f t="shared" ca="1" si="1"/>
        <v>-9.3771381845933144E-2</v>
      </c>
      <c r="F28" s="1">
        <f t="shared" si="2"/>
        <v>0</v>
      </c>
    </row>
    <row r="29" spans="1:6" x14ac:dyDescent="0.25">
      <c r="A29" s="1">
        <f t="shared" si="3"/>
        <v>8.5</v>
      </c>
      <c r="B29" s="1">
        <f t="shared" ca="1" si="4"/>
        <v>6.0802831902648968</v>
      </c>
      <c r="C29" s="1">
        <f t="shared" ca="1" si="0"/>
        <v>0.89197168097351043</v>
      </c>
      <c r="D29" s="1">
        <f t="shared" ca="1" si="5"/>
        <v>0.89197168097351043</v>
      </c>
      <c r="E29" s="1">
        <f t="shared" ca="1" si="1"/>
        <v>-8.9197168097351051E-2</v>
      </c>
      <c r="F29" s="1">
        <f t="shared" si="2"/>
        <v>0</v>
      </c>
    </row>
    <row r="30" spans="1:6" x14ac:dyDescent="0.25">
      <c r="A30" s="1">
        <f t="shared" si="3"/>
        <v>9</v>
      </c>
      <c r="B30" s="1">
        <f t="shared" ca="1" si="4"/>
        <v>6.5153913273251458</v>
      </c>
      <c r="C30" s="1">
        <f t="shared" ca="1" si="0"/>
        <v>0.84846086726748549</v>
      </c>
      <c r="D30" s="1">
        <f t="shared" ca="1" si="5"/>
        <v>0.84846086726748549</v>
      </c>
      <c r="E30" s="1">
        <f t="shared" ca="1" si="1"/>
        <v>-8.4846086726748551E-2</v>
      </c>
      <c r="F30" s="1">
        <f t="shared" si="2"/>
        <v>0</v>
      </c>
    </row>
    <row r="31" spans="1:6" x14ac:dyDescent="0.25">
      <c r="A31" s="1">
        <f t="shared" si="3"/>
        <v>9.5</v>
      </c>
      <c r="B31" s="1">
        <f t="shared" ca="1" si="4"/>
        <v>6.9292746772117244</v>
      </c>
      <c r="C31" s="1">
        <f t="shared" ca="1" si="0"/>
        <v>0.80707253227882769</v>
      </c>
      <c r="D31" s="1">
        <f t="shared" ca="1" si="5"/>
        <v>0.80707253227882769</v>
      </c>
      <c r="E31" s="1">
        <f t="shared" ca="1" si="1"/>
        <v>-8.0707253227882775E-2</v>
      </c>
      <c r="F31" s="1">
        <f t="shared" si="2"/>
        <v>0</v>
      </c>
    </row>
    <row r="32" spans="1:6" x14ac:dyDescent="0.25">
      <c r="A32" s="1">
        <f t="shared" si="3"/>
        <v>10</v>
      </c>
      <c r="B32" s="1">
        <f t="shared" ca="1" si="4"/>
        <v>7.3229685953965182</v>
      </c>
      <c r="C32" s="1">
        <f t="shared" ca="1" si="0"/>
        <v>0.76770314046034827</v>
      </c>
      <c r="D32" s="1">
        <f t="shared" ca="1" si="5"/>
        <v>0.76770314046034827</v>
      </c>
      <c r="E32" s="1">
        <f t="shared" ca="1" si="1"/>
        <v>-7.6770314046034835E-2</v>
      </c>
      <c r="F32" s="1">
        <f t="shared" si="2"/>
        <v>0</v>
      </c>
    </row>
    <row r="33" spans="1:6" x14ac:dyDescent="0.25">
      <c r="A33" s="1">
        <f t="shared" si="3"/>
        <v>10.5</v>
      </c>
      <c r="B33" s="1">
        <f t="shared" ca="1" si="4"/>
        <v>7.6974579322064445</v>
      </c>
      <c r="C33" s="1">
        <f t="shared" ca="1" si="0"/>
        <v>0.73025420677935571</v>
      </c>
      <c r="D33" s="1">
        <f t="shared" ca="1" si="5"/>
        <v>0.73025420677935571</v>
      </c>
      <c r="E33" s="1">
        <f t="shared" ca="1" si="1"/>
        <v>-7.3025420677935576E-2</v>
      </c>
      <c r="F33" s="1">
        <f t="shared" si="2"/>
        <v>0</v>
      </c>
    </row>
    <row r="34" spans="1:6" x14ac:dyDescent="0.25">
      <c r="A34" s="1">
        <f t="shared" si="3"/>
        <v>11</v>
      </c>
      <c r="B34" s="1">
        <f t="shared" ca="1" si="4"/>
        <v>8.0536794964890568</v>
      </c>
      <c r="C34" s="1">
        <f t="shared" ca="1" si="0"/>
        <v>0.69463205035109443</v>
      </c>
      <c r="D34" s="1">
        <f t="shared" ca="1" si="5"/>
        <v>0.69463205035109443</v>
      </c>
      <c r="E34" s="1">
        <f t="shared" ca="1" si="1"/>
        <v>-6.9463205035109443E-2</v>
      </c>
      <c r="F34" s="1">
        <f t="shared" si="2"/>
        <v>0</v>
      </c>
    </row>
    <row r="35" spans="1:6" x14ac:dyDescent="0.25">
      <c r="A35" s="1">
        <f t="shared" si="3"/>
        <v>11.5</v>
      </c>
      <c r="B35" s="1">
        <f t="shared" ca="1" si="4"/>
        <v>8.3925243990993472</v>
      </c>
      <c r="C35" s="1">
        <f t="shared" ca="1" si="0"/>
        <v>0.66074756009006541</v>
      </c>
      <c r="D35" s="1">
        <f t="shared" ca="1" si="5"/>
        <v>0.66074756009006541</v>
      </c>
      <c r="E35" s="1">
        <f t="shared" ca="1" si="1"/>
        <v>-6.6074756009006544E-2</v>
      </c>
      <c r="F35" s="1">
        <f t="shared" si="2"/>
        <v>0</v>
      </c>
    </row>
    <row r="36" spans="1:6" x14ac:dyDescent="0.25">
      <c r="A36" s="1">
        <f t="shared" si="3"/>
        <v>12</v>
      </c>
      <c r="B36" s="1">
        <f t="shared" ca="1" si="4"/>
        <v>8.7148402820701101</v>
      </c>
      <c r="C36" s="1">
        <f t="shared" ca="1" si="0"/>
        <v>0.62851597179298901</v>
      </c>
      <c r="D36" s="1">
        <f t="shared" ca="1" si="5"/>
        <v>0.62851597179298901</v>
      </c>
      <c r="E36" s="1">
        <f t="shared" ca="1" si="1"/>
        <v>-6.2851597179298904E-2</v>
      </c>
      <c r="F36" s="1">
        <f t="shared" si="2"/>
        <v>0</v>
      </c>
    </row>
    <row r="37" spans="1:6" x14ac:dyDescent="0.25">
      <c r="A37" s="1">
        <f t="shared" si="3"/>
        <v>12.5</v>
      </c>
      <c r="B37" s="1">
        <f t="shared" ca="1" si="4"/>
        <v>9.0214334390422994</v>
      </c>
      <c r="C37" s="1">
        <f t="shared" ca="1" si="0"/>
        <v>0.59785665609576999</v>
      </c>
      <c r="D37" s="1">
        <f t="shared" ca="1" si="5"/>
        <v>0.59785665609576999</v>
      </c>
      <c r="E37" s="1">
        <f t="shared" ca="1" si="1"/>
        <v>-5.9785665609577002E-2</v>
      </c>
      <c r="F37" s="1">
        <f t="shared" si="2"/>
        <v>0</v>
      </c>
    </row>
    <row r="38" spans="1:6" x14ac:dyDescent="0.25">
      <c r="A38" s="1">
        <f t="shared" si="3"/>
        <v>13</v>
      </c>
      <c r="B38" s="1">
        <f t="shared" ca="1" si="4"/>
        <v>9.3130708322597489</v>
      </c>
      <c r="C38" s="1">
        <f t="shared" ca="1" si="0"/>
        <v>0.56869291677402511</v>
      </c>
      <c r="D38" s="1">
        <f t="shared" ca="1" si="5"/>
        <v>0.56869291677402511</v>
      </c>
      <c r="E38" s="1">
        <f t="shared" ca="1" si="1"/>
        <v>-5.6869291677402511E-2</v>
      </c>
      <c r="F38" s="1">
        <f t="shared" si="2"/>
        <v>0</v>
      </c>
    </row>
    <row r="39" spans="1:6" x14ac:dyDescent="0.25">
      <c r="A39" s="1">
        <f t="shared" si="3"/>
        <v>13.5</v>
      </c>
      <c r="B39" s="1">
        <f t="shared" ca="1" si="4"/>
        <v>9.5904820111739078</v>
      </c>
      <c r="C39" s="1">
        <f t="shared" ca="1" si="0"/>
        <v>0.54095179888260925</v>
      </c>
      <c r="D39" s="1">
        <f t="shared" ca="1" si="5"/>
        <v>0.54095179888260925</v>
      </c>
      <c r="E39" s="1">
        <f t="shared" ca="1" si="1"/>
        <v>-5.409517988826093E-2</v>
      </c>
      <c r="F39" s="1">
        <f t="shared" si="2"/>
        <v>0</v>
      </c>
    </row>
    <row r="40" spans="1:6" x14ac:dyDescent="0.25">
      <c r="A40" s="1">
        <f t="shared" si="3"/>
        <v>14</v>
      </c>
      <c r="B40" s="1">
        <f t="shared" ca="1" si="4"/>
        <v>9.8543609374581074</v>
      </c>
      <c r="C40" s="1">
        <f t="shared" ca="1" si="0"/>
        <v>0.51456390625418924</v>
      </c>
      <c r="D40" s="1">
        <f t="shared" ca="1" si="5"/>
        <v>0.51456390625418924</v>
      </c>
      <c r="E40" s="1">
        <f t="shared" ca="1" si="1"/>
        <v>-5.145639062541893E-2</v>
      </c>
      <c r="F40" s="1">
        <f t="shared" si="2"/>
        <v>0</v>
      </c>
    </row>
    <row r="41" spans="1:6" x14ac:dyDescent="0.25">
      <c r="A41" s="1">
        <f t="shared" si="3"/>
        <v>14.5</v>
      </c>
      <c r="B41" s="1">
        <f t="shared" ca="1" si="4"/>
        <v>10.105367720996735</v>
      </c>
      <c r="C41" s="1">
        <f t="shared" ca="1" si="0"/>
        <v>0.48946322790032637</v>
      </c>
      <c r="D41" s="1">
        <f t="shared" ca="1" si="5"/>
        <v>0.48946322790032637</v>
      </c>
      <c r="E41" s="1">
        <f t="shared" ca="1" si="1"/>
        <v>-4.8946322790032637E-2</v>
      </c>
      <c r="F41" s="1">
        <f t="shared" si="2"/>
        <v>0</v>
      </c>
    </row>
    <row r="42" spans="1:6" x14ac:dyDescent="0.25">
      <c r="A42" s="1">
        <f t="shared" si="3"/>
        <v>15</v>
      </c>
      <c r="B42" s="1">
        <f t="shared" ca="1" si="4"/>
        <v>10.344130271192016</v>
      </c>
      <c r="C42" s="1">
        <f t="shared" ca="1" si="0"/>
        <v>0.46558697288079826</v>
      </c>
      <c r="D42" s="1">
        <f t="shared" ca="1" si="5"/>
        <v>0.46558697288079826</v>
      </c>
      <c r="E42" s="1">
        <f t="shared" ca="1" si="1"/>
        <v>-4.6558697288079827E-2</v>
      </c>
      <c r="F42" s="1">
        <f t="shared" si="2"/>
        <v>0</v>
      </c>
    </row>
    <row r="43" spans="1:6" x14ac:dyDescent="0.25">
      <c r="A43" s="1">
        <f t="shared" si="3"/>
        <v>15.5</v>
      </c>
      <c r="B43" s="1">
        <f t="shared" ca="1" si="4"/>
        <v>10.571245867719234</v>
      </c>
      <c r="C43" s="1">
        <f t="shared" ca="1" si="0"/>
        <v>0.44287541322807639</v>
      </c>
      <c r="D43" s="1">
        <f t="shared" ca="1" si="5"/>
        <v>0.44287541322807639</v>
      </c>
      <c r="E43" s="1">
        <f t="shared" ca="1" si="1"/>
        <v>-4.4287541322807641E-2</v>
      </c>
      <c r="F43" s="1">
        <f t="shared" si="2"/>
        <v>0</v>
      </c>
    </row>
    <row r="44" spans="1:6" x14ac:dyDescent="0.25">
      <c r="A44" s="1">
        <f t="shared" si="3"/>
        <v>16</v>
      </c>
      <c r="B44" s="1">
        <f t="shared" ca="1" si="4"/>
        <v>10.787282654659759</v>
      </c>
      <c r="C44" s="1">
        <f t="shared" ref="C44:C75" ca="1" si="6">D44</f>
        <v>0.42127173453402389</v>
      </c>
      <c r="D44" s="1">
        <f t="shared" ca="1" si="5"/>
        <v>0.42127173453402389</v>
      </c>
      <c r="E44" s="1">
        <f t="shared" ref="E44:E75" ca="1" si="7">(F44-$H$3*D44)/$G$3</f>
        <v>-4.2127173453402389E-2</v>
      </c>
      <c r="F44" s="1">
        <f t="shared" ref="F44:F75" si="8">IF(AND(A44&gt;=$I$6,A44&lt;$J$6),0.5,IF(AND(A44&gt;=$I$7,A44&lt;=$J$7),1-A44/8,0))</f>
        <v>0</v>
      </c>
    </row>
    <row r="45" spans="1:6" x14ac:dyDescent="0.25">
      <c r="A45" s="1">
        <f t="shared" ref="A45:A76" si="9">A44+$E$3</f>
        <v>16.5</v>
      </c>
      <c r="B45" s="1">
        <f t="shared" ref="B45:B76" ca="1" si="10">IF($B$9="n",B44,B44+$E$3/2*(C44+C45))</f>
        <v>10.992781061749527</v>
      </c>
      <c r="C45" s="1">
        <f t="shared" ca="1" si="6"/>
        <v>0.40072189382504714</v>
      </c>
      <c r="D45" s="1">
        <f t="shared" ref="D45:D76" ca="1" si="11">IF($B$9="n",D44,D44+$E$3/2*(E44+E45))</f>
        <v>0.40072189382504714</v>
      </c>
      <c r="E45" s="1">
        <f t="shared" ca="1" si="7"/>
        <v>-4.0072189382504717E-2</v>
      </c>
      <c r="F45" s="1">
        <f t="shared" si="8"/>
        <v>0</v>
      </c>
    </row>
    <row r="46" spans="1:6" x14ac:dyDescent="0.25">
      <c r="A46" s="1">
        <f t="shared" si="9"/>
        <v>17</v>
      </c>
      <c r="B46" s="1">
        <f t="shared" ca="1" si="10"/>
        <v>11.188255156298331</v>
      </c>
      <c r="C46" s="1">
        <f t="shared" ca="1" si="6"/>
        <v>0.38117448437016677</v>
      </c>
      <c r="D46" s="1">
        <f t="shared" ca="1" si="11"/>
        <v>0.38117448437016677</v>
      </c>
      <c r="E46" s="1">
        <f t="shared" ca="1" si="7"/>
        <v>-3.8117448437016678E-2</v>
      </c>
      <c r="F46" s="1">
        <f t="shared" si="8"/>
        <v>0</v>
      </c>
    </row>
    <row r="47" spans="1:6" x14ac:dyDescent="0.25">
      <c r="A47" s="1">
        <f t="shared" si="9"/>
        <v>17.5</v>
      </c>
      <c r="B47" s="1">
        <f t="shared" ca="1" si="10"/>
        <v>11.374193929161827</v>
      </c>
      <c r="C47" s="1">
        <f t="shared" ca="1" si="6"/>
        <v>0.36258060708381717</v>
      </c>
      <c r="D47" s="1">
        <f t="shared" ca="1" si="11"/>
        <v>0.36258060708381717</v>
      </c>
      <c r="E47" s="1">
        <f t="shared" ca="1" si="7"/>
        <v>-3.6258060708381716E-2</v>
      </c>
      <c r="F47" s="1">
        <f t="shared" si="8"/>
        <v>0</v>
      </c>
    </row>
    <row r="48" spans="1:6" x14ac:dyDescent="0.25">
      <c r="A48" s="1">
        <f t="shared" si="9"/>
        <v>18</v>
      </c>
      <c r="B48" s="1">
        <f t="shared" ca="1" si="10"/>
        <v>11.551062517983201</v>
      </c>
      <c r="C48" s="1">
        <f t="shared" ca="1" si="6"/>
        <v>0.34489374820167973</v>
      </c>
      <c r="D48" s="1">
        <f t="shared" ca="1" si="11"/>
        <v>0.34489374820167973</v>
      </c>
      <c r="E48" s="1">
        <f t="shared" ca="1" si="7"/>
        <v>-3.4489374820167971E-2</v>
      </c>
      <c r="F48" s="1">
        <f t="shared" si="8"/>
        <v>0</v>
      </c>
    </row>
    <row r="49" spans="1:6" x14ac:dyDescent="0.25">
      <c r="A49" s="1">
        <f t="shared" si="9"/>
        <v>18.5</v>
      </c>
      <c r="B49" s="1">
        <f t="shared" ca="1" si="10"/>
        <v>11.719303370764509</v>
      </c>
      <c r="C49" s="1">
        <f t="shared" ca="1" si="6"/>
        <v>0.328069662923549</v>
      </c>
      <c r="D49" s="1">
        <f t="shared" ca="1" si="11"/>
        <v>0.328069662923549</v>
      </c>
      <c r="E49" s="1">
        <f t="shared" ca="1" si="7"/>
        <v>-3.2806966292354904E-2</v>
      </c>
      <c r="F49" s="1">
        <f t="shared" si="8"/>
        <v>0</v>
      </c>
    </row>
    <row r="50" spans="1:6" x14ac:dyDescent="0.25">
      <c r="A50" s="1">
        <f t="shared" si="9"/>
        <v>19</v>
      </c>
      <c r="B50" s="1">
        <f t="shared" ca="1" si="10"/>
        <v>11.879337352678435</v>
      </c>
      <c r="C50" s="1">
        <f t="shared" ca="1" si="6"/>
        <v>0.31206626473215637</v>
      </c>
      <c r="D50" s="1">
        <f t="shared" ca="1" si="11"/>
        <v>0.31206626473215637</v>
      </c>
      <c r="E50" s="1">
        <f t="shared" ca="1" si="7"/>
        <v>-3.1206626473215638E-2</v>
      </c>
      <c r="F50" s="1">
        <f t="shared" si="8"/>
        <v>0</v>
      </c>
    </row>
    <row r="51" spans="1:6" x14ac:dyDescent="0.25">
      <c r="A51" s="1">
        <f t="shared" si="9"/>
        <v>19.5</v>
      </c>
      <c r="B51" s="1">
        <f t="shared" ca="1" si="10"/>
        <v>12.031564798889244</v>
      </c>
      <c r="C51" s="1">
        <f t="shared" ca="1" si="6"/>
        <v>0.29684352011107557</v>
      </c>
      <c r="D51" s="1">
        <f t="shared" ca="1" si="11"/>
        <v>0.29684352011107557</v>
      </c>
      <c r="E51" s="1">
        <f t="shared" ca="1" si="7"/>
        <v>-2.9684352011107557E-2</v>
      </c>
      <c r="F51" s="1">
        <f t="shared" si="8"/>
        <v>0</v>
      </c>
    </row>
    <row r="52" spans="1:6" x14ac:dyDescent="0.25">
      <c r="A52" s="1">
        <f t="shared" si="9"/>
        <v>20</v>
      </c>
      <c r="B52" s="1">
        <f t="shared" ca="1" si="10"/>
        <v>12.176366516016598</v>
      </c>
      <c r="C52" s="1">
        <f t="shared" ca="1" si="6"/>
        <v>0.28236334839834015</v>
      </c>
      <c r="D52" s="1">
        <f t="shared" ca="1" si="11"/>
        <v>0.28236334839834015</v>
      </c>
      <c r="E52" s="1">
        <f t="shared" ca="1" si="7"/>
        <v>-2.8236334839834017E-2</v>
      </c>
      <c r="F52" s="1">
        <f t="shared" si="8"/>
        <v>0</v>
      </c>
    </row>
    <row r="53" spans="1:6" x14ac:dyDescent="0.25">
      <c r="A53" s="1">
        <f t="shared" si="9"/>
        <v>20.5</v>
      </c>
      <c r="B53" s="1">
        <f t="shared" ca="1" si="10"/>
        <v>12.314104734747495</v>
      </c>
      <c r="C53" s="1">
        <f t="shared" ca="1" si="6"/>
        <v>0.26858952652525037</v>
      </c>
      <c r="D53" s="1">
        <f t="shared" ca="1" si="11"/>
        <v>0.26858952652525037</v>
      </c>
      <c r="E53" s="1">
        <f t="shared" ca="1" si="7"/>
        <v>-2.6858952652525039E-2</v>
      </c>
      <c r="F53" s="1">
        <f t="shared" si="8"/>
        <v>0</v>
      </c>
    </row>
    <row r="54" spans="1:6" x14ac:dyDescent="0.25">
      <c r="A54" s="1">
        <f t="shared" si="9"/>
        <v>21</v>
      </c>
      <c r="B54" s="1">
        <f t="shared" ca="1" si="10"/>
        <v>12.445124015979324</v>
      </c>
      <c r="C54" s="1">
        <f t="shared" ca="1" si="6"/>
        <v>0.25548759840206742</v>
      </c>
      <c r="D54" s="1">
        <f t="shared" ca="1" si="11"/>
        <v>0.25548759840206742</v>
      </c>
      <c r="E54" s="1">
        <f t="shared" ca="1" si="7"/>
        <v>-2.5548759840206742E-2</v>
      </c>
      <c r="F54" s="1">
        <f t="shared" si="8"/>
        <v>0</v>
      </c>
    </row>
    <row r="55" spans="1:6" x14ac:dyDescent="0.25">
      <c r="A55" s="1">
        <f t="shared" si="9"/>
        <v>21.5</v>
      </c>
      <c r="B55" s="1">
        <f t="shared" ca="1" si="10"/>
        <v>12.56975211276082</v>
      </c>
      <c r="C55" s="1">
        <f t="shared" ca="1" si="6"/>
        <v>0.24302478872391778</v>
      </c>
      <c r="D55" s="1">
        <f t="shared" ca="1" si="11"/>
        <v>0.24302478872391778</v>
      </c>
      <c r="E55" s="1">
        <f t="shared" ca="1" si="7"/>
        <v>-2.4302478872391779E-2</v>
      </c>
      <c r="F55" s="1">
        <f t="shared" si="8"/>
        <v>0</v>
      </c>
    </row>
    <row r="56" spans="1:6" x14ac:dyDescent="0.25">
      <c r="A56" s="1">
        <f t="shared" si="9"/>
        <v>22</v>
      </c>
      <c r="B56" s="1">
        <f t="shared" ca="1" si="10"/>
        <v>12.688300790187121</v>
      </c>
      <c r="C56" s="1">
        <f t="shared" ca="1" si="6"/>
        <v>0.23116992098128764</v>
      </c>
      <c r="D56" s="1">
        <f t="shared" ca="1" si="11"/>
        <v>0.23116992098128764</v>
      </c>
      <c r="E56" s="1">
        <f t="shared" ca="1" si="7"/>
        <v>-2.3116992098128765E-2</v>
      </c>
      <c r="F56" s="1">
        <f t="shared" si="8"/>
        <v>0</v>
      </c>
    </row>
    <row r="57" spans="1:6" x14ac:dyDescent="0.25">
      <c r="A57" s="1">
        <f t="shared" si="9"/>
        <v>22.5</v>
      </c>
      <c r="B57" s="1">
        <f t="shared" ca="1" si="10"/>
        <v>12.801066605299944</v>
      </c>
      <c r="C57" s="1">
        <f t="shared" ca="1" si="6"/>
        <v>0.21989333947000531</v>
      </c>
      <c r="D57" s="1">
        <f t="shared" ca="1" si="11"/>
        <v>0.21989333947000531</v>
      </c>
      <c r="E57" s="1">
        <f t="shared" ca="1" si="7"/>
        <v>-2.1989333947000533E-2</v>
      </c>
      <c r="F57" s="1">
        <f t="shared" si="8"/>
        <v>0</v>
      </c>
    </row>
    <row r="58" spans="1:6" x14ac:dyDescent="0.25">
      <c r="A58" s="1">
        <f t="shared" si="9"/>
        <v>23</v>
      </c>
      <c r="B58" s="1">
        <f t="shared" ca="1" si="10"/>
        <v>12.908331648943848</v>
      </c>
      <c r="C58" s="1">
        <f t="shared" ca="1" si="6"/>
        <v>0.20916683510561479</v>
      </c>
      <c r="D58" s="1">
        <f t="shared" ca="1" si="11"/>
        <v>0.20916683510561479</v>
      </c>
      <c r="E58" s="1">
        <f t="shared" ca="1" si="7"/>
        <v>-2.091668351056148E-2</v>
      </c>
      <c r="F58" s="1">
        <f t="shared" si="8"/>
        <v>0</v>
      </c>
    </row>
    <row r="59" spans="1:6" x14ac:dyDescent="0.25">
      <c r="A59" s="1">
        <f t="shared" si="9"/>
        <v>23.5</v>
      </c>
      <c r="B59" s="1">
        <f t="shared" ca="1" si="10"/>
        <v>13.010364251434392</v>
      </c>
      <c r="C59" s="1">
        <f t="shared" ca="1" si="6"/>
        <v>0.19896357485656041</v>
      </c>
      <c r="D59" s="1">
        <f t="shared" ca="1" si="11"/>
        <v>0.19896357485656041</v>
      </c>
      <c r="E59" s="1">
        <f t="shared" ca="1" si="7"/>
        <v>-1.9896357485656043E-2</v>
      </c>
      <c r="F59" s="1">
        <f t="shared" si="8"/>
        <v>0</v>
      </c>
    </row>
    <row r="60" spans="1:6" x14ac:dyDescent="0.25">
      <c r="A60" s="1">
        <f t="shared" si="9"/>
        <v>24</v>
      </c>
      <c r="B60" s="1">
        <f t="shared" ca="1" si="10"/>
        <v>13.107419653803447</v>
      </c>
      <c r="C60" s="1">
        <f t="shared" ca="1" si="6"/>
        <v>0.18925803461965501</v>
      </c>
      <c r="D60" s="1">
        <f t="shared" ca="1" si="11"/>
        <v>0.18925803461965501</v>
      </c>
      <c r="E60" s="1">
        <f t="shared" ca="1" si="7"/>
        <v>-1.8925803461965502E-2</v>
      </c>
      <c r="F60" s="1">
        <f t="shared" si="8"/>
        <v>0</v>
      </c>
    </row>
    <row r="61" spans="1:6" x14ac:dyDescent="0.25">
      <c r="A61" s="1">
        <f t="shared" si="9"/>
        <v>24.5</v>
      </c>
      <c r="B61" s="1">
        <f t="shared" ca="1" si="10"/>
        <v>13.199740646300841</v>
      </c>
      <c r="C61" s="1">
        <f t="shared" ca="1" si="6"/>
        <v>0.18002593536991573</v>
      </c>
      <c r="D61" s="1">
        <f t="shared" ca="1" si="11"/>
        <v>0.18002593536991573</v>
      </c>
      <c r="E61" s="1">
        <f t="shared" ca="1" si="7"/>
        <v>-1.8002593536991573E-2</v>
      </c>
      <c r="F61" s="1">
        <f t="shared" si="8"/>
        <v>0</v>
      </c>
    </row>
    <row r="62" spans="1:6" x14ac:dyDescent="0.25">
      <c r="A62" s="1">
        <f t="shared" si="9"/>
        <v>25</v>
      </c>
      <c r="B62" s="1">
        <f t="shared" ca="1" si="10"/>
        <v>13.287558175749581</v>
      </c>
      <c r="C62" s="1">
        <f t="shared" ca="1" si="6"/>
        <v>0.1712441824250418</v>
      </c>
      <c r="D62" s="1">
        <f t="shared" ca="1" si="11"/>
        <v>0.1712441824250418</v>
      </c>
      <c r="E62" s="1">
        <f t="shared" ca="1" si="7"/>
        <v>-1.7124418242504182E-2</v>
      </c>
      <c r="F62" s="1">
        <f t="shared" si="8"/>
        <v>0</v>
      </c>
    </row>
    <row r="63" spans="1:6" x14ac:dyDescent="0.25">
      <c r="A63" s="1">
        <f t="shared" si="9"/>
        <v>25.5</v>
      </c>
      <c r="B63" s="1">
        <f t="shared" ca="1" si="10"/>
        <v>13.371091923273992</v>
      </c>
      <c r="C63" s="1">
        <f t="shared" ca="1" si="6"/>
        <v>0.16289080767260072</v>
      </c>
      <c r="D63" s="1">
        <f t="shared" ca="1" si="11"/>
        <v>0.16289080767260072</v>
      </c>
      <c r="E63" s="1">
        <f t="shared" ca="1" si="7"/>
        <v>-1.6289080767260072E-2</v>
      </c>
      <c r="F63" s="1">
        <f t="shared" si="8"/>
        <v>0</v>
      </c>
    </row>
    <row r="64" spans="1:6" x14ac:dyDescent="0.25">
      <c r="A64" s="1">
        <f t="shared" si="9"/>
        <v>26</v>
      </c>
      <c r="B64" s="1">
        <f t="shared" ca="1" si="10"/>
        <v>13.450550853845993</v>
      </c>
      <c r="C64" s="1">
        <f t="shared" ca="1" si="6"/>
        <v>0.15494491461540069</v>
      </c>
      <c r="D64" s="1">
        <f t="shared" ca="1" si="11"/>
        <v>0.15494491461540069</v>
      </c>
      <c r="E64" s="1">
        <f t="shared" ca="1" si="7"/>
        <v>-1.5494491461540069E-2</v>
      </c>
      <c r="F64" s="1">
        <f t="shared" si="8"/>
        <v>0</v>
      </c>
    </row>
    <row r="65" spans="1:6" x14ac:dyDescent="0.25">
      <c r="A65" s="1">
        <f t="shared" si="9"/>
        <v>26.5</v>
      </c>
      <c r="B65" s="1">
        <f t="shared" ca="1" si="10"/>
        <v>13.526133739024237</v>
      </c>
      <c r="C65" s="1">
        <f t="shared" ca="1" si="6"/>
        <v>0.14738662609757627</v>
      </c>
      <c r="D65" s="1">
        <f t="shared" ca="1" si="11"/>
        <v>0.14738662609757627</v>
      </c>
      <c r="E65" s="1">
        <f t="shared" ca="1" si="7"/>
        <v>-1.4738662609757628E-2</v>
      </c>
      <c r="F65" s="1">
        <f t="shared" si="8"/>
        <v>0</v>
      </c>
    </row>
    <row r="66" spans="1:6" x14ac:dyDescent="0.25">
      <c r="A66" s="1">
        <f t="shared" si="9"/>
        <v>27</v>
      </c>
      <c r="B66" s="1">
        <f t="shared" ca="1" si="10"/>
        <v>13.598029654193786</v>
      </c>
      <c r="C66" s="1">
        <f t="shared" ca="1" si="6"/>
        <v>0.14019703458062133</v>
      </c>
      <c r="D66" s="1">
        <f t="shared" ca="1" si="11"/>
        <v>0.14019703458062133</v>
      </c>
      <c r="E66" s="1">
        <f t="shared" ca="1" si="7"/>
        <v>-1.4019703458062133E-2</v>
      </c>
      <c r="F66" s="1">
        <f t="shared" si="8"/>
        <v>0</v>
      </c>
    </row>
    <row r="67" spans="1:6" x14ac:dyDescent="0.25">
      <c r="A67" s="1">
        <f t="shared" si="9"/>
        <v>27.5</v>
      </c>
      <c r="B67" s="1">
        <f t="shared" ca="1" si="10"/>
        <v>13.666418451550186</v>
      </c>
      <c r="C67" s="1">
        <f t="shared" ca="1" si="6"/>
        <v>0.13335815484498126</v>
      </c>
      <c r="D67" s="1">
        <f t="shared" ca="1" si="11"/>
        <v>0.13335815484498126</v>
      </c>
      <c r="E67" s="1">
        <f t="shared" ca="1" si="7"/>
        <v>-1.3335815484498127E-2</v>
      </c>
      <c r="F67" s="1">
        <f t="shared" si="8"/>
        <v>0</v>
      </c>
    </row>
    <row r="68" spans="1:6" x14ac:dyDescent="0.25">
      <c r="A68" s="1">
        <f t="shared" si="9"/>
        <v>28</v>
      </c>
      <c r="B68" s="1">
        <f t="shared" ca="1" si="10"/>
        <v>13.731471210011152</v>
      </c>
      <c r="C68" s="1">
        <f t="shared" ca="1" si="6"/>
        <v>0.12685287899888462</v>
      </c>
      <c r="D68" s="1">
        <f t="shared" ca="1" si="11"/>
        <v>0.12685287899888462</v>
      </c>
      <c r="E68" s="1">
        <f t="shared" ca="1" si="7"/>
        <v>-1.2685287899888462E-2</v>
      </c>
      <c r="F68" s="1">
        <f t="shared" si="8"/>
        <v>0</v>
      </c>
    </row>
    <row r="69" spans="1:6" x14ac:dyDescent="0.25">
      <c r="A69" s="1">
        <f t="shared" si="9"/>
        <v>28.5</v>
      </c>
      <c r="B69" s="1">
        <f t="shared" ca="1" si="10"/>
        <v>13.793350663181339</v>
      </c>
      <c r="C69" s="1">
        <f t="shared" ca="1" si="6"/>
        <v>0.12066493368186586</v>
      </c>
      <c r="D69" s="1">
        <f t="shared" ca="1" si="11"/>
        <v>0.12066493368186586</v>
      </c>
      <c r="E69" s="1">
        <f t="shared" ca="1" si="7"/>
        <v>-1.2066493368186586E-2</v>
      </c>
      <c r="F69" s="1">
        <f t="shared" si="8"/>
        <v>0</v>
      </c>
    </row>
    <row r="70" spans="1:6" x14ac:dyDescent="0.25">
      <c r="A70" s="1">
        <f t="shared" si="9"/>
        <v>29</v>
      </c>
      <c r="B70" s="1">
        <f t="shared" ca="1" si="10"/>
        <v>13.852211606440786</v>
      </c>
      <c r="C70" s="1">
        <f t="shared" ca="1" si="6"/>
        <v>0.11477883935592118</v>
      </c>
      <c r="D70" s="1">
        <f t="shared" ca="1" si="11"/>
        <v>0.11477883935592118</v>
      </c>
      <c r="E70" s="1">
        <f t="shared" ca="1" si="7"/>
        <v>-1.1477883935592119E-2</v>
      </c>
      <c r="F70" s="1">
        <f t="shared" si="8"/>
        <v>0</v>
      </c>
    </row>
    <row r="71" spans="1:6" x14ac:dyDescent="0.25">
      <c r="A71" s="1">
        <f t="shared" si="9"/>
        <v>29.5</v>
      </c>
      <c r="B71" s="1">
        <f t="shared" ca="1" si="10"/>
        <v>13.908201284175382</v>
      </c>
      <c r="C71" s="1">
        <f t="shared" ca="1" si="6"/>
        <v>0.1091798715824616</v>
      </c>
      <c r="D71" s="1">
        <f t="shared" ca="1" si="11"/>
        <v>0.1091798715824616</v>
      </c>
      <c r="E71" s="1">
        <f t="shared" ca="1" si="7"/>
        <v>-1.0917987158246161E-2</v>
      </c>
      <c r="F71" s="1">
        <f t="shared" si="8"/>
        <v>0</v>
      </c>
    </row>
    <row r="72" spans="1:6" x14ac:dyDescent="0.25">
      <c r="A72" s="1">
        <f t="shared" si="9"/>
        <v>30</v>
      </c>
      <c r="B72" s="1">
        <f t="shared" ca="1" si="10"/>
        <v>13.961459758118046</v>
      </c>
      <c r="C72" s="1">
        <f t="shared" ca="1" si="6"/>
        <v>0.10385402418819518</v>
      </c>
      <c r="D72" s="1">
        <f t="shared" ca="1" si="11"/>
        <v>0.10385402418819518</v>
      </c>
      <c r="E72" s="1">
        <f t="shared" ca="1" si="7"/>
        <v>-1.0385402418819519E-2</v>
      </c>
      <c r="F72" s="1">
        <f t="shared" si="8"/>
        <v>0</v>
      </c>
    </row>
    <row r="73" spans="1:6" x14ac:dyDescent="0.25">
      <c r="A73" s="1">
        <f t="shared" si="9"/>
        <v>30.5</v>
      </c>
      <c r="B73" s="1">
        <f t="shared" ca="1" si="10"/>
        <v>14.012120257722044</v>
      </c>
      <c r="C73" s="1">
        <f t="shared" ca="1" si="6"/>
        <v>9.8787974227795422E-2</v>
      </c>
      <c r="D73" s="1">
        <f t="shared" ca="1" si="11"/>
        <v>9.8787974227795422E-2</v>
      </c>
      <c r="E73" s="1">
        <f t="shared" ca="1" si="7"/>
        <v>-9.8787974227795422E-3</v>
      </c>
      <c r="F73" s="1">
        <f t="shared" si="8"/>
        <v>0</v>
      </c>
    </row>
    <row r="74" spans="1:6" x14ac:dyDescent="0.25">
      <c r="A74" s="1">
        <f t="shared" si="9"/>
        <v>31</v>
      </c>
      <c r="B74" s="1">
        <f t="shared" ca="1" si="10"/>
        <v>14.06030951344292</v>
      </c>
      <c r="C74" s="1">
        <f t="shared" ca="1" si="6"/>
        <v>9.3969048655707835E-2</v>
      </c>
      <c r="D74" s="1">
        <f t="shared" ca="1" si="11"/>
        <v>9.3969048655707835E-2</v>
      </c>
      <c r="E74" s="1">
        <f t="shared" ca="1" si="7"/>
        <v>-9.3969048655707845E-3</v>
      </c>
      <c r="F74" s="1">
        <f t="shared" si="8"/>
        <v>0</v>
      </c>
    </row>
    <row r="75" spans="1:6" x14ac:dyDescent="0.25">
      <c r="A75" s="1">
        <f t="shared" si="9"/>
        <v>31.5</v>
      </c>
      <c r="B75" s="1">
        <f t="shared" ca="1" si="10"/>
        <v>14.106148073762778</v>
      </c>
      <c r="C75" s="1">
        <f t="shared" ca="1" si="6"/>
        <v>8.938519262372209E-2</v>
      </c>
      <c r="D75" s="1">
        <f t="shared" ca="1" si="11"/>
        <v>8.938519262372209E-2</v>
      </c>
      <c r="E75" s="1">
        <f t="shared" ca="1" si="7"/>
        <v>-8.9385192623722097E-3</v>
      </c>
      <c r="F75" s="1">
        <f t="shared" si="8"/>
        <v>0</v>
      </c>
    </row>
    <row r="76" spans="1:6" x14ac:dyDescent="0.25">
      <c r="A76" s="1">
        <f t="shared" si="9"/>
        <v>32</v>
      </c>
      <c r="B76" s="1">
        <f t="shared" ca="1" si="10"/>
        <v>14.14975060674996</v>
      </c>
      <c r="C76" s="1">
        <f t="shared" ref="C76:C107" ca="1" si="12">D76</f>
        <v>8.5024939325003934E-2</v>
      </c>
      <c r="D76" s="1">
        <f t="shared" ca="1" si="11"/>
        <v>8.5024939325003934E-2</v>
      </c>
      <c r="E76" s="1">
        <f t="shared" ref="E76:E107" ca="1" si="13">(F76-$H$3*D76)/$G$3</f>
        <v>-8.5024939325003945E-3</v>
      </c>
      <c r="F76" s="1">
        <f t="shared" ref="F76:F112" si="14">IF(AND(A76&gt;=$I$6,A76&lt;$J$6),0.5,IF(AND(A76&gt;=$I$7,A76&lt;=$J$7),1-A76/8,0))</f>
        <v>0</v>
      </c>
    </row>
    <row r="77" spans="1:6" x14ac:dyDescent="0.25">
      <c r="A77" s="1">
        <f t="shared" ref="A77:A112" si="15">A76+$E$3</f>
        <v>32.5</v>
      </c>
      <c r="B77" s="1">
        <f t="shared" ref="B77:B108" ca="1" si="16">IF($B$9="n",B76,B76+$E$3/2*(C76+C77))</f>
        <v>14.191226186908498</v>
      </c>
      <c r="C77" s="1">
        <f t="shared" ca="1" si="12"/>
        <v>8.0877381309150079E-2</v>
      </c>
      <c r="D77" s="1">
        <f t="shared" ref="D77:D108" ca="1" si="17">IF($B$9="n",D76,D76+$E$3/2*(E76+E77))</f>
        <v>8.0877381309150079E-2</v>
      </c>
      <c r="E77" s="1">
        <f t="shared" ca="1" si="13"/>
        <v>-8.0877381309150086E-3</v>
      </c>
      <c r="F77" s="1">
        <f t="shared" si="14"/>
        <v>0</v>
      </c>
    </row>
    <row r="78" spans="1:6" x14ac:dyDescent="0.25">
      <c r="A78" s="1">
        <f t="shared" si="15"/>
        <v>33</v>
      </c>
      <c r="B78" s="1">
        <f t="shared" ca="1" si="16"/>
        <v>14.230678568034913</v>
      </c>
      <c r="C78" s="1">
        <f t="shared" ca="1" si="12"/>
        <v>7.6932143196508609E-2</v>
      </c>
      <c r="D78" s="1">
        <f t="shared" ca="1" si="17"/>
        <v>7.6932143196508609E-2</v>
      </c>
      <c r="E78" s="1">
        <f t="shared" ca="1" si="13"/>
        <v>-7.6932143196508616E-3</v>
      </c>
      <c r="F78" s="1">
        <f t="shared" si="14"/>
        <v>0</v>
      </c>
    </row>
    <row r="79" spans="1:6" x14ac:dyDescent="0.25">
      <c r="A79" s="1">
        <f t="shared" si="15"/>
        <v>33.5</v>
      </c>
      <c r="B79" s="1">
        <f t="shared" ca="1" si="16"/>
        <v>14.268206442764917</v>
      </c>
      <c r="C79" s="1">
        <f t="shared" ca="1" si="12"/>
        <v>7.3179355723508185E-2</v>
      </c>
      <c r="D79" s="1">
        <f t="shared" ca="1" si="17"/>
        <v>7.3179355723508185E-2</v>
      </c>
      <c r="E79" s="1">
        <f t="shared" ca="1" si="13"/>
        <v>-7.3179355723508189E-3</v>
      </c>
      <c r="F79" s="1">
        <f t="shared" si="14"/>
        <v>0</v>
      </c>
    </row>
    <row r="80" spans="1:6" x14ac:dyDescent="0.25">
      <c r="A80" s="1">
        <f t="shared" si="15"/>
        <v>34</v>
      </c>
      <c r="B80" s="1">
        <f t="shared" ca="1" si="16"/>
        <v>14.303903689459311</v>
      </c>
      <c r="C80" s="1">
        <f t="shared" ca="1" si="12"/>
        <v>6.9609631054068755E-2</v>
      </c>
      <c r="D80" s="1">
        <f t="shared" ca="1" si="17"/>
        <v>6.9609631054068755E-2</v>
      </c>
      <c r="E80" s="1">
        <f t="shared" ca="1" si="13"/>
        <v>-6.9609631054068756E-3</v>
      </c>
      <c r="F80" s="1">
        <f t="shared" si="14"/>
        <v>0</v>
      </c>
    </row>
    <row r="81" spans="1:6" x14ac:dyDescent="0.25">
      <c r="A81" s="1">
        <f t="shared" si="15"/>
        <v>34.5</v>
      </c>
      <c r="B81" s="1">
        <f t="shared" ca="1" si="16"/>
        <v>14.337859607046662</v>
      </c>
      <c r="C81" s="1">
        <f t="shared" ca="1" si="12"/>
        <v>6.621403929533369E-2</v>
      </c>
      <c r="D81" s="1">
        <f t="shared" ca="1" si="17"/>
        <v>6.621403929533369E-2</v>
      </c>
      <c r="E81" s="1">
        <f t="shared" ca="1" si="13"/>
        <v>-6.6214039295333692E-3</v>
      </c>
      <c r="F81" s="1">
        <f t="shared" si="14"/>
        <v>0</v>
      </c>
    </row>
    <row r="82" spans="1:6" x14ac:dyDescent="0.25">
      <c r="A82" s="1">
        <f t="shared" si="15"/>
        <v>35</v>
      </c>
      <c r="B82" s="1">
        <f t="shared" ca="1" si="16"/>
        <v>14.370159138410239</v>
      </c>
      <c r="C82" s="1">
        <f t="shared" ca="1" si="12"/>
        <v>6.2984086158975952E-2</v>
      </c>
      <c r="D82" s="1">
        <f t="shared" ca="1" si="17"/>
        <v>6.2984086158975952E-2</v>
      </c>
      <c r="E82" s="1">
        <f t="shared" ca="1" si="13"/>
        <v>-6.2984086158975952E-3</v>
      </c>
      <c r="F82" s="1">
        <f t="shared" si="14"/>
        <v>0</v>
      </c>
    </row>
    <row r="83" spans="1:6" x14ac:dyDescent="0.25">
      <c r="A83" s="1">
        <f t="shared" si="15"/>
        <v>35.5</v>
      </c>
      <c r="B83" s="1">
        <f t="shared" ca="1" si="16"/>
        <v>14.400883082878032</v>
      </c>
      <c r="C83" s="1">
        <f t="shared" ca="1" si="12"/>
        <v>5.9911691712196638E-2</v>
      </c>
      <c r="D83" s="1">
        <f t="shared" ca="1" si="17"/>
        <v>5.9911691712196638E-2</v>
      </c>
      <c r="E83" s="1">
        <f t="shared" ca="1" si="13"/>
        <v>-5.9911691712196645E-3</v>
      </c>
      <c r="F83" s="1">
        <f t="shared" si="14"/>
        <v>0</v>
      </c>
    </row>
    <row r="84" spans="1:6" x14ac:dyDescent="0.25">
      <c r="A84" s="1">
        <f t="shared" si="15"/>
        <v>36</v>
      </c>
      <c r="B84" s="1">
        <f t="shared" ca="1" si="16"/>
        <v>14.430108298347395</v>
      </c>
      <c r="C84" s="1">
        <f t="shared" ca="1" si="12"/>
        <v>5.6989170165260214E-2</v>
      </c>
      <c r="D84" s="1">
        <f t="shared" ca="1" si="17"/>
        <v>5.6989170165260214E-2</v>
      </c>
      <c r="E84" s="1">
        <f t="shared" ca="1" si="13"/>
        <v>-5.6989170165260214E-3</v>
      </c>
      <c r="F84" s="1">
        <f t="shared" si="14"/>
        <v>0</v>
      </c>
    </row>
    <row r="85" spans="1:6" x14ac:dyDescent="0.25">
      <c r="A85" s="1">
        <f t="shared" si="15"/>
        <v>36.5</v>
      </c>
      <c r="B85" s="1">
        <f t="shared" ca="1" si="16"/>
        <v>14.457907893549962</v>
      </c>
      <c r="C85" s="1">
        <f t="shared" ca="1" si="12"/>
        <v>5.4209210645003621E-2</v>
      </c>
      <c r="D85" s="1">
        <f t="shared" ca="1" si="17"/>
        <v>5.4209210645003621E-2</v>
      </c>
      <c r="E85" s="1">
        <f t="shared" ca="1" si="13"/>
        <v>-5.4209210645003621E-3</v>
      </c>
      <c r="F85" s="1">
        <f t="shared" si="14"/>
        <v>0</v>
      </c>
    </row>
    <row r="86" spans="1:6" x14ac:dyDescent="0.25">
      <c r="A86" s="1">
        <f t="shared" si="15"/>
        <v>37</v>
      </c>
      <c r="B86" s="1">
        <f t="shared" ca="1" si="16"/>
        <v>14.484351410937768</v>
      </c>
      <c r="C86" s="1">
        <f t="shared" ca="1" si="12"/>
        <v>5.1564858906222956E-2</v>
      </c>
      <c r="D86" s="1">
        <f t="shared" ca="1" si="17"/>
        <v>5.1564858906222956E-2</v>
      </c>
      <c r="E86" s="1">
        <f t="shared" ca="1" si="13"/>
        <v>-5.1564858906222961E-3</v>
      </c>
      <c r="F86" s="1">
        <f t="shared" si="14"/>
        <v>0</v>
      </c>
    </row>
    <row r="87" spans="1:6" x14ac:dyDescent="0.25">
      <c r="A87" s="1">
        <f t="shared" si="15"/>
        <v>37.5</v>
      </c>
      <c r="B87" s="1">
        <f t="shared" ca="1" si="16"/>
        <v>14.509505000648121</v>
      </c>
      <c r="C87" s="1">
        <f t="shared" ca="1" si="12"/>
        <v>4.9049499935187688E-2</v>
      </c>
      <c r="D87" s="1">
        <f t="shared" ca="1" si="17"/>
        <v>4.9049499935187688E-2</v>
      </c>
      <c r="E87" s="1">
        <f t="shared" ca="1" si="13"/>
        <v>-4.9049499935187695E-3</v>
      </c>
      <c r="F87" s="1">
        <f t="shared" si="14"/>
        <v>0</v>
      </c>
    </row>
    <row r="88" spans="1:6" x14ac:dyDescent="0.25">
      <c r="A88" s="1">
        <f t="shared" si="15"/>
        <v>38</v>
      </c>
      <c r="B88" s="1">
        <f t="shared" ca="1" si="16"/>
        <v>14.533431585982358</v>
      </c>
      <c r="C88" s="1">
        <f t="shared" ca="1" si="12"/>
        <v>4.6656841401763897E-2</v>
      </c>
      <c r="D88" s="1">
        <f t="shared" ca="1" si="17"/>
        <v>4.6656841401763897E-2</v>
      </c>
      <c r="E88" s="1">
        <f t="shared" ca="1" si="13"/>
        <v>-4.6656841401763903E-3</v>
      </c>
      <c r="F88" s="1">
        <f t="shared" si="14"/>
        <v>0</v>
      </c>
    </row>
    <row r="89" spans="1:6" x14ac:dyDescent="0.25">
      <c r="A89" s="1">
        <f t="shared" si="15"/>
        <v>38.5</v>
      </c>
      <c r="B89" s="1">
        <f t="shared" ca="1" si="16"/>
        <v>14.556191020812486</v>
      </c>
      <c r="C89" s="1">
        <f t="shared" ca="1" si="12"/>
        <v>4.4380897918751022E-2</v>
      </c>
      <c r="D89" s="1">
        <f t="shared" ca="1" si="17"/>
        <v>4.4380897918751022E-2</v>
      </c>
      <c r="E89" s="1">
        <f t="shared" ca="1" si="13"/>
        <v>-4.438089791875102E-3</v>
      </c>
      <c r="F89" s="1">
        <f t="shared" si="14"/>
        <v>0</v>
      </c>
    </row>
    <row r="90" spans="1:6" x14ac:dyDescent="0.25">
      <c r="A90" s="1">
        <f t="shared" si="15"/>
        <v>39</v>
      </c>
      <c r="B90" s="1">
        <f t="shared" ca="1" si="16"/>
        <v>14.577840239309438</v>
      </c>
      <c r="C90" s="1">
        <f t="shared" ca="1" si="12"/>
        <v>4.2215976069055854E-2</v>
      </c>
      <c r="D90" s="1">
        <f t="shared" ca="1" si="17"/>
        <v>4.2215976069055847E-2</v>
      </c>
      <c r="E90" s="1">
        <f t="shared" ca="1" si="13"/>
        <v>-4.2215976069055845E-3</v>
      </c>
      <c r="F90" s="1">
        <f t="shared" si="14"/>
        <v>0</v>
      </c>
    </row>
    <row r="91" spans="1:6" x14ac:dyDescent="0.25">
      <c r="A91" s="1">
        <f t="shared" si="15"/>
        <v>39.5</v>
      </c>
      <c r="B91" s="1">
        <f t="shared" ca="1" si="16"/>
        <v>14.598433398367515</v>
      </c>
      <c r="C91" s="1">
        <f t="shared" ca="1" si="12"/>
        <v>4.0156660163248252E-2</v>
      </c>
      <c r="D91" s="1">
        <f t="shared" ca="1" si="17"/>
        <v>4.0156660163248245E-2</v>
      </c>
      <c r="E91" s="1">
        <f t="shared" ca="1" si="13"/>
        <v>-4.0156660163248245E-3</v>
      </c>
      <c r="F91" s="1">
        <f t="shared" si="14"/>
        <v>0</v>
      </c>
    </row>
    <row r="92" spans="1:6" x14ac:dyDescent="0.25">
      <c r="A92" s="1">
        <f t="shared" si="15"/>
        <v>40</v>
      </c>
      <c r="B92" s="1">
        <f t="shared" ca="1" si="16"/>
        <v>14.618022013081294</v>
      </c>
      <c r="C92" s="1">
        <f t="shared" ca="1" si="12"/>
        <v>3.8197798691870288E-2</v>
      </c>
      <c r="D92" s="1">
        <f t="shared" ca="1" si="17"/>
        <v>3.8197798691870281E-2</v>
      </c>
      <c r="E92" s="1">
        <f t="shared" ca="1" si="13"/>
        <v>-3.8197798691870285E-3</v>
      </c>
      <c r="F92" s="1">
        <f t="shared" si="14"/>
        <v>0</v>
      </c>
    </row>
    <row r="93" spans="1:6" x14ac:dyDescent="0.25">
      <c r="A93" s="1">
        <f t="shared" si="15"/>
        <v>40.5</v>
      </c>
      <c r="B93" s="1">
        <f t="shared" ca="1" si="16"/>
        <v>14.636655085613913</v>
      </c>
      <c r="C93" s="1">
        <f t="shared" ca="1" si="12"/>
        <v>3.6334491438608327E-2</v>
      </c>
      <c r="D93" s="1">
        <f t="shared" ca="1" si="17"/>
        <v>3.6334491438608313E-2</v>
      </c>
      <c r="E93" s="1">
        <f t="shared" ca="1" si="13"/>
        <v>-3.6334491438608316E-3</v>
      </c>
      <c r="F93" s="1">
        <f t="shared" si="14"/>
        <v>0</v>
      </c>
    </row>
    <row r="94" spans="1:6" x14ac:dyDescent="0.25">
      <c r="A94" s="1">
        <f t="shared" si="15"/>
        <v>41</v>
      </c>
      <c r="B94" s="1">
        <f t="shared" ca="1" si="16"/>
        <v>14.654379227779089</v>
      </c>
      <c r="C94" s="1">
        <f t="shared" ca="1" si="12"/>
        <v>3.4562077222090849E-2</v>
      </c>
      <c r="D94" s="1">
        <f t="shared" ca="1" si="17"/>
        <v>3.4562077222090835E-2</v>
      </c>
      <c r="E94" s="1">
        <f t="shared" ca="1" si="13"/>
        <v>-3.4562077222090835E-3</v>
      </c>
      <c r="F94" s="1">
        <f t="shared" si="14"/>
        <v>0</v>
      </c>
    </row>
    <row r="95" spans="1:6" x14ac:dyDescent="0.25">
      <c r="A95" s="1">
        <f t="shared" si="15"/>
        <v>41.5</v>
      </c>
      <c r="B95" s="1">
        <f t="shared" ca="1" si="16"/>
        <v>14.671238777643524</v>
      </c>
      <c r="C95" s="1">
        <f t="shared" ca="1" si="12"/>
        <v>3.2876122235647391E-2</v>
      </c>
      <c r="D95" s="1">
        <f t="shared" ca="1" si="17"/>
        <v>3.2876122235647377E-2</v>
      </c>
      <c r="E95" s="1">
        <f t="shared" ca="1" si="13"/>
        <v>-3.287612223564738E-3</v>
      </c>
      <c r="F95" s="1">
        <f t="shared" si="14"/>
        <v>0</v>
      </c>
    </row>
    <row r="96" spans="1:6" x14ac:dyDescent="0.25">
      <c r="A96" s="1">
        <f t="shared" si="15"/>
        <v>42</v>
      </c>
      <c r="B96" s="1">
        <f t="shared" ca="1" si="16"/>
        <v>14.6872759104414</v>
      </c>
      <c r="C96" s="1">
        <f t="shared" ca="1" si="12"/>
        <v>3.1272408955859712E-2</v>
      </c>
      <c r="D96" s="1">
        <f t="shared" ca="1" si="17"/>
        <v>3.1272408955859698E-2</v>
      </c>
      <c r="E96" s="1">
        <f t="shared" ca="1" si="13"/>
        <v>-3.1272408955859698E-3</v>
      </c>
      <c r="F96" s="1">
        <f t="shared" si="14"/>
        <v>0</v>
      </c>
    </row>
    <row r="97" spans="1:6" x14ac:dyDescent="0.25">
      <c r="A97" s="1">
        <f t="shared" si="15"/>
        <v>42.5</v>
      </c>
      <c r="B97" s="1">
        <f t="shared" ca="1" si="16"/>
        <v>14.702530744078405</v>
      </c>
      <c r="C97" s="1">
        <f t="shared" ca="1" si="12"/>
        <v>2.9746925592159239E-2</v>
      </c>
      <c r="D97" s="1">
        <f t="shared" ca="1" si="17"/>
        <v>2.9746925592159225E-2</v>
      </c>
      <c r="E97" s="1">
        <f t="shared" ca="1" si="13"/>
        <v>-2.9746925592159228E-3</v>
      </c>
      <c r="F97" s="1">
        <f t="shared" si="14"/>
        <v>0</v>
      </c>
    </row>
    <row r="98" spans="1:6" x14ac:dyDescent="0.25">
      <c r="A98" s="1">
        <f t="shared" si="15"/>
        <v>43</v>
      </c>
      <c r="B98" s="1">
        <f t="shared" ca="1" si="16"/>
        <v>14.717041439489215</v>
      </c>
      <c r="C98" s="1">
        <f t="shared" ca="1" si="12"/>
        <v>2.8295856051078299E-2</v>
      </c>
      <c r="D98" s="1">
        <f t="shared" ca="1" si="17"/>
        <v>2.8295856051078285E-2</v>
      </c>
      <c r="E98" s="1">
        <f t="shared" ca="1" si="13"/>
        <v>-2.8295856051078288E-3</v>
      </c>
      <c r="F98" s="1">
        <f t="shared" si="14"/>
        <v>0</v>
      </c>
    </row>
    <row r="99" spans="1:6" x14ac:dyDescent="0.25">
      <c r="A99" s="1">
        <f t="shared" si="15"/>
        <v>43.5</v>
      </c>
      <c r="B99" s="1">
        <f t="shared" ca="1" si="16"/>
        <v>14.730844296099496</v>
      </c>
      <c r="C99" s="1">
        <f t="shared" ca="1" si="12"/>
        <v>2.6915570390050089E-2</v>
      </c>
      <c r="D99" s="1">
        <f t="shared" ca="1" si="17"/>
        <v>2.6915570390050075E-2</v>
      </c>
      <c r="E99" s="1">
        <f t="shared" ca="1" si="13"/>
        <v>-2.6915570390050078E-3</v>
      </c>
      <c r="F99" s="1">
        <f t="shared" si="14"/>
        <v>0</v>
      </c>
    </row>
    <row r="100" spans="1:6" x14ac:dyDescent="0.25">
      <c r="A100" s="1">
        <f t="shared" si="15"/>
        <v>44</v>
      </c>
      <c r="B100" s="1">
        <f t="shared" ca="1" si="16"/>
        <v>14.743973842631227</v>
      </c>
      <c r="C100" s="1">
        <f t="shared" ca="1" si="12"/>
        <v>2.5602615736876916E-2</v>
      </c>
      <c r="D100" s="1">
        <f t="shared" ca="1" si="17"/>
        <v>2.5602615736876902E-2</v>
      </c>
      <c r="E100" s="1">
        <f t="shared" ca="1" si="13"/>
        <v>-2.5602615736876905E-3</v>
      </c>
      <c r="F100" s="1">
        <f t="shared" si="14"/>
        <v>0</v>
      </c>
    </row>
    <row r="101" spans="1:6" x14ac:dyDescent="0.25">
      <c r="A101" s="1">
        <f t="shared" si="15"/>
        <v>44.5</v>
      </c>
      <c r="B101" s="1">
        <f t="shared" ca="1" si="16"/>
        <v>14.756462923478484</v>
      </c>
      <c r="C101" s="1">
        <f t="shared" ca="1" si="12"/>
        <v>2.4353707652151214E-2</v>
      </c>
      <c r="D101" s="1">
        <f t="shared" ca="1" si="17"/>
        <v>2.43537076521512E-2</v>
      </c>
      <c r="E101" s="1">
        <f t="shared" ca="1" si="13"/>
        <v>-2.4353707652151201E-3</v>
      </c>
      <c r="F101" s="1">
        <f t="shared" si="14"/>
        <v>0</v>
      </c>
    </row>
    <row r="102" spans="1:6" x14ac:dyDescent="0.25">
      <c r="A102" s="1">
        <f t="shared" si="15"/>
        <v>45</v>
      </c>
      <c r="B102" s="1">
        <f t="shared" ca="1" si="16"/>
        <v>14.768342780869776</v>
      </c>
      <c r="C102" s="1">
        <f t="shared" ca="1" si="12"/>
        <v>2.3165721913021887E-2</v>
      </c>
      <c r="D102" s="1">
        <f t="shared" ca="1" si="17"/>
        <v>2.3165721913021874E-2</v>
      </c>
      <c r="E102" s="1">
        <f t="shared" ca="1" si="13"/>
        <v>-2.3165721913021874E-3</v>
      </c>
      <c r="F102" s="1">
        <f t="shared" si="14"/>
        <v>0</v>
      </c>
    </row>
    <row r="103" spans="1:6" x14ac:dyDescent="0.25">
      <c r="A103" s="1">
        <f t="shared" si="15"/>
        <v>45.5</v>
      </c>
      <c r="B103" s="1">
        <f t="shared" ca="1" si="16"/>
        <v>14.77964313302247</v>
      </c>
      <c r="C103" s="1">
        <f t="shared" ca="1" si="12"/>
        <v>2.2035686697752528E-2</v>
      </c>
      <c r="D103" s="1">
        <f t="shared" ca="1" si="17"/>
        <v>2.2035686697752514E-2</v>
      </c>
      <c r="E103" s="1">
        <f t="shared" ca="1" si="13"/>
        <v>-2.2035686697752517E-3</v>
      </c>
      <c r="F103" s="1">
        <f t="shared" si="14"/>
        <v>0</v>
      </c>
    </row>
    <row r="104" spans="1:6" x14ac:dyDescent="0.25">
      <c r="A104" s="1">
        <f t="shared" si="15"/>
        <v>46</v>
      </c>
      <c r="B104" s="1">
        <f t="shared" ca="1" si="16"/>
        <v>14.790392248484787</v>
      </c>
      <c r="C104" s="1">
        <f t="shared" ca="1" si="12"/>
        <v>2.09607751515207E-2</v>
      </c>
      <c r="D104" s="1">
        <f t="shared" ca="1" si="17"/>
        <v>2.0960775151520682E-2</v>
      </c>
      <c r="E104" s="1">
        <f t="shared" ca="1" si="13"/>
        <v>-2.0960775151520681E-3</v>
      </c>
      <c r="F104" s="1">
        <f t="shared" si="14"/>
        <v>0</v>
      </c>
    </row>
    <row r="105" spans="1:6" x14ac:dyDescent="0.25">
      <c r="A105" s="1">
        <f t="shared" si="15"/>
        <v>46.5</v>
      </c>
      <c r="B105" s="1">
        <f t="shared" ca="1" si="16"/>
        <v>14.800617016851383</v>
      </c>
      <c r="C105" s="1">
        <f t="shared" ca="1" si="12"/>
        <v>1.9938298314861155E-2</v>
      </c>
      <c r="D105" s="1">
        <f t="shared" ca="1" si="17"/>
        <v>1.9938298314861137E-2</v>
      </c>
      <c r="E105" s="1">
        <f t="shared" ca="1" si="13"/>
        <v>-1.9938298314861138E-3</v>
      </c>
      <c r="F105" s="1">
        <f t="shared" si="14"/>
        <v>0</v>
      </c>
    </row>
    <row r="106" spans="1:6" x14ac:dyDescent="0.25">
      <c r="A106" s="1">
        <f t="shared" si="15"/>
        <v>47</v>
      </c>
      <c r="B106" s="1">
        <f t="shared" ca="1" si="16"/>
        <v>14.810343016029364</v>
      </c>
      <c r="C106" s="1">
        <f t="shared" ca="1" si="12"/>
        <v>1.8965698397063049E-2</v>
      </c>
      <c r="D106" s="1">
        <f t="shared" ca="1" si="17"/>
        <v>1.8965698397063031E-2</v>
      </c>
      <c r="E106" s="1">
        <f t="shared" ca="1" si="13"/>
        <v>-1.8965698397063033E-3</v>
      </c>
      <c r="F106" s="1">
        <f t="shared" si="14"/>
        <v>0</v>
      </c>
    </row>
    <row r="107" spans="1:6" x14ac:dyDescent="0.25">
      <c r="A107" s="1">
        <f t="shared" si="15"/>
        <v>47.5</v>
      </c>
      <c r="B107" s="1">
        <f t="shared" ca="1" si="16"/>
        <v>14.819594576223054</v>
      </c>
      <c r="C107" s="1">
        <f t="shared" ca="1" si="12"/>
        <v>1.8040542377694119E-2</v>
      </c>
      <c r="D107" s="1">
        <f t="shared" ca="1" si="17"/>
        <v>1.8040542377694101E-2</v>
      </c>
      <c r="E107" s="1">
        <f t="shared" ca="1" si="13"/>
        <v>-1.8040542377694103E-3</v>
      </c>
      <c r="F107" s="1">
        <f t="shared" si="14"/>
        <v>0</v>
      </c>
    </row>
    <row r="108" spans="1:6" x14ac:dyDescent="0.25">
      <c r="A108" s="1">
        <f t="shared" si="15"/>
        <v>48</v>
      </c>
      <c r="B108" s="1">
        <f t="shared" ca="1" si="16"/>
        <v>14.828394840797539</v>
      </c>
      <c r="C108" s="1">
        <f ca="1">D108</f>
        <v>1.7160515920245624E-2</v>
      </c>
      <c r="D108" s="1">
        <f t="shared" ca="1" si="17"/>
        <v>1.7160515920245607E-2</v>
      </c>
      <c r="E108" s="1">
        <f ca="1">(F108-$H$3*D108)/$G$3</f>
        <v>-1.7160515920245608E-3</v>
      </c>
      <c r="F108" s="1">
        <f t="shared" si="14"/>
        <v>0</v>
      </c>
    </row>
    <row r="109" spans="1:6" x14ac:dyDescent="0.25">
      <c r="A109" s="1">
        <f t="shared" si="15"/>
        <v>48.5</v>
      </c>
      <c r="B109" s="1">
        <f ca="1">IF($B$9="n",B108,B108+$E$3/2*(C108+C109))</f>
        <v>14.83676582417327</v>
      </c>
      <c r="C109" s="1">
        <f ca="1">D109</f>
        <v>1.6323417582672667E-2</v>
      </c>
      <c r="D109" s="1">
        <f ca="1">IF($B$9="n",D108,D108+$E$3/2*(E108+E109))</f>
        <v>1.632341758267265E-2</v>
      </c>
      <c r="E109" s="1">
        <f ca="1">(F109-$H$3*D109)/$G$3</f>
        <v>-1.632341758267265E-3</v>
      </c>
      <c r="F109" s="1">
        <f t="shared" si="14"/>
        <v>0</v>
      </c>
    </row>
    <row r="110" spans="1:6" x14ac:dyDescent="0.25">
      <c r="A110" s="1">
        <f t="shared" si="15"/>
        <v>49</v>
      </c>
      <c r="B110" s="1">
        <f ca="1">IF($B$9="n",B109,B109+$E$3/2*(C109+C110))</f>
        <v>14.844728466896525</v>
      </c>
      <c r="C110" s="1">
        <f ca="1">D110</f>
        <v>1.5527153310347172E-2</v>
      </c>
      <c r="D110" s="1">
        <f ca="1">IF($B$9="n",D109,D109+$E$3/2*(E109+E110))</f>
        <v>1.5527153310347154E-2</v>
      </c>
      <c r="E110" s="1">
        <f ca="1">(F110-$H$3*D110)/$G$3</f>
        <v>-1.5527153310347156E-3</v>
      </c>
      <c r="F110" s="1">
        <f t="shared" si="14"/>
        <v>0</v>
      </c>
    </row>
    <row r="111" spans="1:6" x14ac:dyDescent="0.25">
      <c r="A111" s="1">
        <f t="shared" si="15"/>
        <v>49.5</v>
      </c>
      <c r="B111" s="1">
        <f ca="1">IF($B$9="n",B110,B110+$E$3/2*(C110+C111))</f>
        <v>14.852302688023524</v>
      </c>
      <c r="C111" s="1">
        <f ca="1">D111</f>
        <v>1.4769731197647309E-2</v>
      </c>
      <c r="D111" s="1">
        <f ca="1">IF($B$9="n",D110,D110+$E$3/2*(E110+E111))</f>
        <v>1.4769731197647292E-2</v>
      </c>
      <c r="E111" s="1">
        <f ca="1">(F111-$H$3*D111)/$G$3</f>
        <v>-1.4769731197647293E-3</v>
      </c>
      <c r="F111" s="1">
        <f t="shared" si="14"/>
        <v>0</v>
      </c>
    </row>
    <row r="112" spans="1:6" x14ac:dyDescent="0.25">
      <c r="A112" s="1">
        <f t="shared" si="15"/>
        <v>50</v>
      </c>
      <c r="B112" s="1">
        <f ca="1">IF($B$9="n",B111,B111+$E$3/2*(C111+C112))</f>
        <v>14.859507434949206</v>
      </c>
      <c r="C112" s="1">
        <f ca="1">D112</f>
        <v>1.4049256505079148E-2</v>
      </c>
      <c r="D112" s="1">
        <f ca="1">IF($B$9="n",D111,D111+$E$3/2*(E111+E112))</f>
        <v>1.4049256505079131E-2</v>
      </c>
      <c r="E112" s="1">
        <f ca="1">(F112-$H$3*D112)/$G$3</f>
        <v>-1.4049256505079132E-3</v>
      </c>
      <c r="F112" s="1">
        <f t="shared" si="14"/>
        <v>0</v>
      </c>
    </row>
    <row r="113" spans="1:6" x14ac:dyDescent="0.25">
      <c r="A113" s="1"/>
      <c r="B113" s="1"/>
      <c r="C113" s="1"/>
      <c r="D113" s="1"/>
      <c r="E113" s="1"/>
      <c r="F113" s="1"/>
    </row>
    <row r="114" spans="1:6" x14ac:dyDescent="0.25">
      <c r="A114" s="1"/>
      <c r="B114" s="1"/>
      <c r="C114" s="1"/>
      <c r="D114" s="1"/>
      <c r="E114" s="1"/>
      <c r="F114" s="1"/>
    </row>
    <row r="115" spans="1:6" x14ac:dyDescent="0.25">
      <c r="A115" s="1"/>
      <c r="B115" s="1"/>
      <c r="C115" s="1"/>
      <c r="D115" s="1"/>
      <c r="E115" s="1"/>
      <c r="F115" s="1"/>
    </row>
    <row r="116" spans="1:6" x14ac:dyDescent="0.25">
      <c r="A116" s="1"/>
      <c r="B116" s="1"/>
      <c r="C116" s="1"/>
      <c r="D116" s="1"/>
      <c r="E116" s="1"/>
      <c r="F116" s="1"/>
    </row>
    <row r="117" spans="1:6" x14ac:dyDescent="0.25">
      <c r="A117" s="1"/>
      <c r="B117" s="1"/>
      <c r="C117" s="1"/>
      <c r="D117" s="1"/>
      <c r="E117" s="1"/>
      <c r="F117" s="1"/>
    </row>
    <row r="118" spans="1:6" x14ac:dyDescent="0.25">
      <c r="A118" s="1"/>
      <c r="B118" s="1"/>
      <c r="C118" s="1"/>
      <c r="D118" s="1"/>
      <c r="E118" s="1"/>
      <c r="F118" s="1"/>
    </row>
    <row r="119" spans="1:6" x14ac:dyDescent="0.25">
      <c r="A119" s="1"/>
      <c r="B119" s="1"/>
      <c r="C119" s="1"/>
      <c r="D119" s="1"/>
      <c r="E119" s="1"/>
      <c r="F119" s="1"/>
    </row>
    <row r="120" spans="1:6" x14ac:dyDescent="0.25">
      <c r="A120" s="1"/>
      <c r="B120" s="1"/>
      <c r="C120" s="1"/>
      <c r="D120" s="1"/>
      <c r="E120" s="1"/>
      <c r="F120" s="1"/>
    </row>
    <row r="121" spans="1:6" x14ac:dyDescent="0.25">
      <c r="A121" s="1"/>
      <c r="B121" s="1"/>
      <c r="C121" s="1"/>
      <c r="D121" s="1"/>
      <c r="E121" s="1"/>
      <c r="F121" s="1"/>
    </row>
    <row r="122" spans="1:6" x14ac:dyDescent="0.25">
      <c r="A122" s="1"/>
      <c r="B122" s="1"/>
      <c r="C122" s="1"/>
      <c r="D122" s="1"/>
      <c r="E122" s="1"/>
      <c r="F122" s="1"/>
    </row>
    <row r="123" spans="1:6" x14ac:dyDescent="0.25">
      <c r="A123" s="1"/>
      <c r="B123" s="1"/>
      <c r="C123" s="1"/>
      <c r="D123" s="1"/>
      <c r="E123" s="1"/>
      <c r="F123" s="1"/>
    </row>
    <row r="124" spans="1:6" x14ac:dyDescent="0.25">
      <c r="A124" s="1"/>
      <c r="B124" s="1"/>
      <c r="C124" s="1"/>
      <c r="D124" s="1"/>
      <c r="E124" s="1"/>
      <c r="F124" s="1"/>
    </row>
    <row r="125" spans="1:6" x14ac:dyDescent="0.25">
      <c r="A125" s="1"/>
      <c r="B125" s="1"/>
      <c r="C125" s="1"/>
      <c r="D125" s="1"/>
      <c r="E125" s="1"/>
      <c r="F125" s="1"/>
    </row>
    <row r="126" spans="1:6" x14ac:dyDescent="0.25">
      <c r="A126" s="1"/>
      <c r="B126" s="1"/>
      <c r="C126" s="1"/>
      <c r="D126" s="1"/>
      <c r="E126" s="1"/>
      <c r="F126" s="1"/>
    </row>
    <row r="127" spans="1:6" x14ac:dyDescent="0.25">
      <c r="A127" s="1"/>
      <c r="B127" s="1"/>
      <c r="C127" s="1"/>
      <c r="D127" s="1"/>
      <c r="E127" s="1"/>
      <c r="F127" s="1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1:C106"/>
  <sheetViews>
    <sheetView workbookViewId="0">
      <selection activeCell="C11" sqref="C11"/>
    </sheetView>
  </sheetViews>
  <sheetFormatPr defaultRowHeight="15" x14ac:dyDescent="0.25"/>
  <sheetData>
    <row r="1" spans="1:3" x14ac:dyDescent="0.25">
      <c r="A1" s="5" t="s">
        <v>3</v>
      </c>
    </row>
    <row r="2" spans="1:3" x14ac:dyDescent="0.25">
      <c r="A2" s="3">
        <v>1</v>
      </c>
    </row>
    <row r="3" spans="1:3" x14ac:dyDescent="0.25">
      <c r="A3" s="4" t="s">
        <v>33</v>
      </c>
    </row>
    <row r="4" spans="1:3" x14ac:dyDescent="0.25">
      <c r="A4" t="s">
        <v>32</v>
      </c>
    </row>
    <row r="5" spans="1:3" x14ac:dyDescent="0.25">
      <c r="A5" s="3" t="s">
        <v>0</v>
      </c>
      <c r="B5" s="3" t="s">
        <v>31</v>
      </c>
      <c r="C5" s="3" t="s">
        <v>30</v>
      </c>
    </row>
    <row r="6" spans="1:3" x14ac:dyDescent="0.25">
      <c r="A6" s="1">
        <v>1</v>
      </c>
      <c r="B6" s="7">
        <f ca="1">VLOOKUP($A6,'edo - fd'!$A$11:$C$112,2)/VLOOKUP($A6,'edo - rk4'!$A$12:$C$512,2)-1</f>
        <v>-3.7972734901293714E-3</v>
      </c>
      <c r="C6" s="7">
        <f ca="1">VLOOKUP($A6,'edo - fd'!$A$11:$C$112,3)/VLOOKUP($A6,'edo - rk4'!$A$12:$C$512,3)-1</f>
        <v>1.9300697377855336E-4</v>
      </c>
    </row>
    <row r="7" spans="1:3" x14ac:dyDescent="0.25">
      <c r="A7" s="1">
        <f t="shared" ref="A7:A38" si="0">A6+$A$2</f>
        <v>2</v>
      </c>
      <c r="B7" s="7">
        <f ca="1">VLOOKUP($A7,'edo - fd'!$A$11:$C$112,2)/VLOOKUP($A7,'edo - rk4'!$A$12:$C$512,2)-1</f>
        <v>-1.7746091016123122E-3</v>
      </c>
      <c r="C7" s="7">
        <f ca="1">VLOOKUP($A7,'edo - fd'!$A$11:$C$112,3)/VLOOKUP($A7,'edo - rk4'!$A$12:$C$512,3)-1</f>
        <v>1.8336274578456546E-4</v>
      </c>
    </row>
    <row r="8" spans="1:3" x14ac:dyDescent="0.25">
      <c r="A8" s="1">
        <f t="shared" si="0"/>
        <v>3</v>
      </c>
      <c r="B8" s="7">
        <f ca="1">VLOOKUP($A8,'edo - fd'!$A$11:$C$112,2)/VLOOKUP($A8,'edo - rk4'!$A$12:$C$512,2)-1</f>
        <v>-1.1052315611671526E-3</v>
      </c>
      <c r="C8" s="7">
        <f ca="1">VLOOKUP($A8,'edo - fd'!$A$11:$C$112,3)/VLOOKUP($A8,'edo - rk4'!$A$12:$C$512,3)-1</f>
        <v>1.7405561684236126E-4</v>
      </c>
    </row>
    <row r="9" spans="1:3" x14ac:dyDescent="0.25">
      <c r="A9" s="1">
        <f t="shared" si="0"/>
        <v>4</v>
      </c>
      <c r="B9" s="7">
        <f ca="1">VLOOKUP($A9,'edo - fd'!$A$11:$C$112,2)/VLOOKUP($A9,'edo - rk4'!$A$12:$C$512,2)-1</f>
        <v>-7.7397869183981616E-4</v>
      </c>
      <c r="C9" s="7">
        <f ca="1">VLOOKUP($A9,'edo - fd'!$A$11:$C$112,3)/VLOOKUP($A9,'edo - rk4'!$A$12:$C$512,3)-1</f>
        <v>1.6508389916336519E-4</v>
      </c>
    </row>
    <row r="10" spans="1:3" x14ac:dyDescent="0.25">
      <c r="A10" s="1">
        <f t="shared" si="0"/>
        <v>5</v>
      </c>
      <c r="B10" s="7">
        <f ca="1">VLOOKUP($A10,'edo - fd'!$A$11:$C$112,2)/VLOOKUP($A10,'edo - rk4'!$A$12:$C$512,2)-1</f>
        <v>-3.3984359547879484E-3</v>
      </c>
      <c r="C10" s="7">
        <f ca="1">VLOOKUP($A10,'edo - fd'!$A$11:$C$112,3)/VLOOKUP($A10,'edo - rk4'!$A$12:$C$512,3)-1</f>
        <v>-1.520102159561143E-2</v>
      </c>
    </row>
    <row r="11" spans="1:3" x14ac:dyDescent="0.25">
      <c r="A11" s="1">
        <f t="shared" si="0"/>
        <v>6</v>
      </c>
      <c r="B11" s="7">
        <f ca="1">VLOOKUP($A11,'edo - fd'!$A$11:$C$112,2)/VLOOKUP($A11,'edo - rk4'!$A$12:$C$512,2)-1</f>
        <v>-8.374151903851601E-3</v>
      </c>
      <c r="C11" s="7">
        <f ca="1">VLOOKUP($A11,'edo - fd'!$A$11:$C$112,3)/VLOOKUP($A11,'edo - rk4'!$A$12:$C$512,3)-1</f>
        <v>-2.7108607093876969E-2</v>
      </c>
    </row>
    <row r="12" spans="1:3" x14ac:dyDescent="0.25">
      <c r="A12" s="1">
        <f t="shared" si="0"/>
        <v>7</v>
      </c>
      <c r="B12" s="7">
        <f ca="1">VLOOKUP($A12,'edo - fd'!$A$11:$C$112,2)/VLOOKUP($A12,'edo - rk4'!$A$12:$C$512,2)-1</f>
        <v>-1.3805293540146257E-2</v>
      </c>
      <c r="C12" s="7">
        <f ca="1">VLOOKUP($A12,'edo - fd'!$A$11:$C$112,3)/VLOOKUP($A12,'edo - rk4'!$A$12:$C$512,3)-1</f>
        <v>-3.8656694487230636E-2</v>
      </c>
    </row>
    <row r="13" spans="1:3" x14ac:dyDescent="0.25">
      <c r="A13" s="1">
        <f t="shared" si="0"/>
        <v>8</v>
      </c>
      <c r="B13" s="7">
        <f ca="1">VLOOKUP($A13,'edo - fd'!$A$11:$C$112,2)/VLOOKUP($A13,'edo - rk4'!$A$12:$C$512,2)-1</f>
        <v>-1.9344576372678945E-2</v>
      </c>
      <c r="C13" s="7">
        <f ca="1">VLOOKUP($A13,'edo - fd'!$A$11:$C$112,3)/VLOOKUP($A13,'edo - rk4'!$A$12:$C$512,3)-1</f>
        <v>-5.1973612315636797E-2</v>
      </c>
    </row>
    <row r="14" spans="1:3" x14ac:dyDescent="0.25">
      <c r="A14" s="1">
        <f t="shared" si="0"/>
        <v>9</v>
      </c>
      <c r="B14" s="7">
        <f ca="1">VLOOKUP($A14,'edo - fd'!$A$11:$C$112,2)/VLOOKUP($A14,'edo - rk4'!$A$12:$C$512,2)-1</f>
        <v>-2.3919936180858303E-2</v>
      </c>
      <c r="C14" s="7">
        <f ca="1">VLOOKUP($A14,'edo - fd'!$A$11:$C$112,3)/VLOOKUP($A14,'edo - rk4'!$A$12:$C$512,3)-1</f>
        <v>-5.1992856148052269E-2</v>
      </c>
    </row>
    <row r="15" spans="1:3" x14ac:dyDescent="0.25">
      <c r="A15" s="1">
        <f t="shared" si="0"/>
        <v>10</v>
      </c>
      <c r="B15" s="7">
        <f ca="1">VLOOKUP($A15,'edo - fd'!$A$11:$C$112,2)/VLOOKUP($A15,'edo - rk4'!$A$12:$C$512,2)-1</f>
        <v>-2.7075872041390281E-2</v>
      </c>
      <c r="C15" s="7">
        <f ca="1">VLOOKUP($A15,'edo - fd'!$A$11:$C$112,3)/VLOOKUP($A15,'edo - rk4'!$A$12:$C$512,3)-1</f>
        <v>-5.2012099589840322E-2</v>
      </c>
    </row>
    <row r="16" spans="1:3" x14ac:dyDescent="0.25">
      <c r="A16" s="1">
        <f t="shared" si="0"/>
        <v>11</v>
      </c>
      <c r="B16" s="7">
        <f ca="1">VLOOKUP($A16,'edo - fd'!$A$11:$C$112,2)/VLOOKUP($A16,'edo - rk4'!$A$12:$C$512,2)-1</f>
        <v>-2.937492266540298E-2</v>
      </c>
      <c r="C16" s="7">
        <f ca="1">VLOOKUP($A16,'edo - fd'!$A$11:$C$112,3)/VLOOKUP($A16,'edo - rk4'!$A$12:$C$512,3)-1</f>
        <v>-5.203134264100906E-2</v>
      </c>
    </row>
    <row r="17" spans="1:3" x14ac:dyDescent="0.25">
      <c r="A17" s="1">
        <f t="shared" si="0"/>
        <v>12</v>
      </c>
      <c r="B17" s="7">
        <f ca="1">VLOOKUP($A17,'edo - fd'!$A$11:$C$112,2)/VLOOKUP($A17,'edo - rk4'!$A$12:$C$512,2)-1</f>
        <v>-3.1117174669589409E-2</v>
      </c>
      <c r="C17" s="7">
        <f ca="1">VLOOKUP($A17,'edo - fd'!$A$11:$C$112,3)/VLOOKUP($A17,'edo - rk4'!$A$12:$C$512,3)-1</f>
        <v>-5.2050585301566143E-2</v>
      </c>
    </row>
    <row r="18" spans="1:3" x14ac:dyDescent="0.25">
      <c r="A18" s="1">
        <f t="shared" si="0"/>
        <v>13</v>
      </c>
      <c r="B18" s="7">
        <f ca="1">VLOOKUP($A18,'edo - fd'!$A$11:$C$112,2)/VLOOKUP($A18,'edo - rk4'!$A$12:$C$512,2)-1</f>
        <v>-3.2477351460277859E-2</v>
      </c>
      <c r="C18" s="7">
        <f ca="1">VLOOKUP($A18,'edo - fd'!$A$11:$C$112,3)/VLOOKUP($A18,'edo - rk4'!$A$12:$C$512,3)-1</f>
        <v>-5.2069827571519567E-2</v>
      </c>
    </row>
    <row r="19" spans="1:3" x14ac:dyDescent="0.25">
      <c r="A19" s="1">
        <f t="shared" si="0"/>
        <v>14</v>
      </c>
      <c r="B19" s="7">
        <f ca="1">VLOOKUP($A19,'edo - fd'!$A$11:$C$112,2)/VLOOKUP($A19,'edo - rk4'!$A$12:$C$512,2)-1</f>
        <v>-3.3564100559071108E-2</v>
      </c>
      <c r="C19" s="7">
        <f ca="1">VLOOKUP($A19,'edo - fd'!$A$11:$C$112,3)/VLOOKUP($A19,'edo - rk4'!$A$12:$C$512,3)-1</f>
        <v>-5.2089069450877545E-2</v>
      </c>
    </row>
    <row r="20" spans="1:3" x14ac:dyDescent="0.25">
      <c r="A20" s="1">
        <f t="shared" si="0"/>
        <v>15</v>
      </c>
      <c r="B20" s="7">
        <f ca="1">VLOOKUP($A20,'edo - fd'!$A$11:$C$112,2)/VLOOKUP($A20,'edo - rk4'!$A$12:$C$512,2)-1</f>
        <v>-3.4448541305204472E-2</v>
      </c>
      <c r="C20" s="7">
        <f ca="1">VLOOKUP($A20,'edo - fd'!$A$11:$C$112,3)/VLOOKUP($A20,'edo - rk4'!$A$12:$C$512,3)-1</f>
        <v>-5.2108310939647517E-2</v>
      </c>
    </row>
    <row r="21" spans="1:3" x14ac:dyDescent="0.25">
      <c r="A21" s="1">
        <f t="shared" si="0"/>
        <v>16</v>
      </c>
      <c r="B21" s="7">
        <f ca="1">VLOOKUP($A21,'edo - fd'!$A$11:$C$112,2)/VLOOKUP($A21,'edo - rk4'!$A$12:$C$512,2)-1</f>
        <v>-3.5179188255854532E-2</v>
      </c>
      <c r="C21" s="7">
        <f ca="1">VLOOKUP($A21,'edo - fd'!$A$11:$C$112,3)/VLOOKUP($A21,'edo - rk4'!$A$12:$C$512,3)-1</f>
        <v>-5.2127552037837699E-2</v>
      </c>
    </row>
    <row r="22" spans="1:3" x14ac:dyDescent="0.25">
      <c r="A22" s="1">
        <f t="shared" si="0"/>
        <v>17</v>
      </c>
      <c r="B22" s="7">
        <f ca="1">VLOOKUP($A22,'edo - fd'!$A$11:$C$112,2)/VLOOKUP($A22,'edo - rk4'!$A$12:$C$512,2)-1</f>
        <v>-3.5790277164466811E-2</v>
      </c>
      <c r="C22" s="7">
        <f ca="1">VLOOKUP($A22,'edo - fd'!$A$11:$C$112,3)/VLOOKUP($A22,'edo - rk4'!$A$12:$C$512,3)-1</f>
        <v>-5.2146792745455972E-2</v>
      </c>
    </row>
    <row r="23" spans="1:3" x14ac:dyDescent="0.25">
      <c r="A23" s="1">
        <f t="shared" si="0"/>
        <v>18</v>
      </c>
      <c r="B23" s="7">
        <f ca="1">VLOOKUP($A23,'edo - fd'!$A$11:$C$112,2)/VLOOKUP($A23,'edo - rk4'!$A$12:$C$512,2)-1</f>
        <v>-3.630666273258476E-2</v>
      </c>
      <c r="C23" s="7">
        <f ca="1">VLOOKUP($A23,'edo - fd'!$A$11:$C$112,3)/VLOOKUP($A23,'edo - rk4'!$A$12:$C$512,3)-1</f>
        <v>-5.2166033062510442E-2</v>
      </c>
    </row>
    <row r="24" spans="1:3" x14ac:dyDescent="0.25">
      <c r="A24" s="1">
        <f t="shared" si="0"/>
        <v>19</v>
      </c>
      <c r="B24" s="7">
        <f ca="1">VLOOKUP($A24,'edo - fd'!$A$11:$C$112,2)/VLOOKUP($A24,'edo - rk4'!$A$12:$C$512,2)-1</f>
        <v>-3.6746829203146092E-2</v>
      </c>
      <c r="C24" s="7">
        <f ca="1">VLOOKUP($A24,'edo - fd'!$A$11:$C$112,3)/VLOOKUP($A24,'edo - rk4'!$A$12:$C$512,3)-1</f>
        <v>-5.2185272989008658E-2</v>
      </c>
    </row>
    <row r="25" spans="1:3" x14ac:dyDescent="0.25">
      <c r="A25" s="1">
        <f t="shared" si="0"/>
        <v>20</v>
      </c>
      <c r="B25" s="7">
        <f ca="1">VLOOKUP($A25,'edo - fd'!$A$11:$C$112,2)/VLOOKUP($A25,'edo - rk4'!$A$12:$C$512,2)-1</f>
        <v>-3.7124810934765162E-2</v>
      </c>
      <c r="C25" s="7">
        <f ca="1">VLOOKUP($A25,'edo - fd'!$A$11:$C$112,3)/VLOOKUP($A25,'edo - rk4'!$A$12:$C$512,3)-1</f>
        <v>-5.2204512524958946E-2</v>
      </c>
    </row>
    <row r="26" spans="1:3" x14ac:dyDescent="0.25">
      <c r="A26" s="1">
        <f t="shared" si="0"/>
        <v>21</v>
      </c>
      <c r="B26" s="7">
        <f ca="1">VLOOKUP($A26,'edo - fd'!$A$11:$C$112,2)/VLOOKUP($A26,'edo - rk4'!$A$12:$C$512,2)-1</f>
        <v>-3.7451457187163695E-2</v>
      </c>
      <c r="C26" s="7">
        <f ca="1">VLOOKUP($A26,'edo - fd'!$A$11:$C$112,3)/VLOOKUP($A26,'edo - rk4'!$A$12:$C$512,3)-1</f>
        <v>-5.2223751670368967E-2</v>
      </c>
    </row>
    <row r="27" spans="1:3" x14ac:dyDescent="0.25">
      <c r="A27" s="1">
        <f t="shared" si="0"/>
        <v>22</v>
      </c>
      <c r="B27" s="7">
        <f ca="1">VLOOKUP($A27,'edo - fd'!$A$11:$C$112,2)/VLOOKUP($A27,'edo - rk4'!$A$12:$C$512,2)-1</f>
        <v>-3.7735288302296222E-2</v>
      </c>
      <c r="C27" s="7">
        <f ca="1">VLOOKUP($A27,'edo - fd'!$A$11:$C$112,3)/VLOOKUP($A27,'edo - rk4'!$A$12:$C$512,3)-1</f>
        <v>-5.2242990425246605E-2</v>
      </c>
    </row>
    <row r="28" spans="1:3" x14ac:dyDescent="0.25">
      <c r="A28" s="1">
        <f t="shared" si="0"/>
        <v>23</v>
      </c>
      <c r="B28" s="7">
        <f ca="1">VLOOKUP($A28,'edo - fd'!$A$11:$C$112,2)/VLOOKUP($A28,'edo - rk4'!$A$12:$C$512,2)-1</f>
        <v>-3.7983089430122519E-2</v>
      </c>
      <c r="C28" s="7">
        <f ca="1">VLOOKUP($A28,'edo - fd'!$A$11:$C$112,3)/VLOOKUP($A28,'edo - rk4'!$A$12:$C$512,3)-1</f>
        <v>-5.2262228789600074E-2</v>
      </c>
    </row>
    <row r="29" spans="1:3" x14ac:dyDescent="0.25">
      <c r="A29" s="1">
        <f t="shared" si="0"/>
        <v>24</v>
      </c>
      <c r="B29" s="7">
        <f ca="1">VLOOKUP($A29,'edo - fd'!$A$11:$C$112,2)/VLOOKUP($A29,'edo - rk4'!$A$12:$C$512,2)-1</f>
        <v>-3.8200331113621755E-2</v>
      </c>
      <c r="C29" s="7">
        <f ca="1">VLOOKUP($A29,'edo - fd'!$A$11:$C$112,3)/VLOOKUP($A29,'edo - rk4'!$A$12:$C$512,3)-1</f>
        <v>-5.2281466763437034E-2</v>
      </c>
    </row>
    <row r="30" spans="1:3" x14ac:dyDescent="0.25">
      <c r="A30" s="1">
        <f t="shared" si="0"/>
        <v>25</v>
      </c>
      <c r="B30" s="7">
        <f ca="1">VLOOKUP($A30,'edo - fd'!$A$11:$C$112,2)/VLOOKUP($A30,'edo - rk4'!$A$12:$C$512,2)-1</f>
        <v>-3.8391472924652614E-2</v>
      </c>
      <c r="C30" s="7">
        <f ca="1">VLOOKUP($A30,'edo - fd'!$A$11:$C$112,3)/VLOOKUP($A30,'edo - rk4'!$A$12:$C$512,3)-1</f>
        <v>-5.2300704346765592E-2</v>
      </c>
    </row>
    <row r="31" spans="1:3" x14ac:dyDescent="0.25">
      <c r="A31" s="1">
        <f t="shared" si="0"/>
        <v>26</v>
      </c>
      <c r="B31" s="7">
        <f ca="1">VLOOKUP($A31,'edo - fd'!$A$11:$C$112,2)/VLOOKUP($A31,'edo - rk4'!$A$12:$C$512,2)-1</f>
        <v>-3.8560186426011223E-2</v>
      </c>
      <c r="C31" s="7">
        <f ca="1">VLOOKUP($A31,'edo - fd'!$A$11:$C$112,3)/VLOOKUP($A31,'edo - rk4'!$A$12:$C$512,3)-1</f>
        <v>-5.2319941539593406E-2</v>
      </c>
    </row>
    <row r="32" spans="1:3" x14ac:dyDescent="0.25">
      <c r="A32" s="1">
        <f t="shared" si="0"/>
        <v>27</v>
      </c>
      <c r="B32" s="7">
        <f ca="1">VLOOKUP($A32,'edo - fd'!$A$11:$C$112,2)/VLOOKUP($A32,'edo - rk4'!$A$12:$C$512,2)-1</f>
        <v>-3.8709521422866655E-2</v>
      </c>
      <c r="C32" s="7">
        <f ca="1">VLOOKUP($A32,'edo - fd'!$A$11:$C$112,3)/VLOOKUP($A32,'edo - rk4'!$A$12:$C$512,3)-1</f>
        <v>-5.2339178341928694E-2</v>
      </c>
    </row>
    <row r="33" spans="1:3" x14ac:dyDescent="0.25">
      <c r="A33" s="1">
        <f t="shared" si="0"/>
        <v>28</v>
      </c>
      <c r="B33" s="7">
        <f ca="1">VLOOKUP($A33,'edo - fd'!$A$11:$C$112,2)/VLOOKUP($A33,'edo - rk4'!$A$12:$C$512,2)-1</f>
        <v>-3.8842031664108823E-2</v>
      </c>
      <c r="C33" s="7">
        <f ca="1">VLOOKUP($A33,'edo - fd'!$A$11:$C$112,3)/VLOOKUP($A33,'edo - rk4'!$A$12:$C$512,3)-1</f>
        <v>-5.2358414753779448E-2</v>
      </c>
    </row>
    <row r="34" spans="1:3" x14ac:dyDescent="0.25">
      <c r="A34" s="1">
        <f t="shared" si="0"/>
        <v>29</v>
      </c>
      <c r="B34" s="7">
        <f ca="1">VLOOKUP($A34,'edo - fd'!$A$11:$C$112,2)/VLOOKUP($A34,'edo - rk4'!$A$12:$C$512,2)-1</f>
        <v>-3.8959871097588916E-2</v>
      </c>
      <c r="C34" s="7">
        <f ca="1">VLOOKUP($A34,'edo - fd'!$A$11:$C$112,3)/VLOOKUP($A34,'edo - rk4'!$A$12:$C$512,3)-1</f>
        <v>-5.2377650775153106E-2</v>
      </c>
    </row>
    <row r="35" spans="1:3" x14ac:dyDescent="0.25">
      <c r="A35" s="1">
        <f t="shared" si="0"/>
        <v>30</v>
      </c>
      <c r="B35" s="7">
        <f ca="1">VLOOKUP($A35,'edo - fd'!$A$11:$C$112,2)/VLOOKUP($A35,'edo - rk4'!$A$12:$C$512,2)-1</f>
        <v>-3.9064868439351308E-2</v>
      </c>
      <c r="C35" s="7">
        <f ca="1">VLOOKUP($A35,'edo - fd'!$A$11:$C$112,3)/VLOOKUP($A35,'edo - rk4'!$A$12:$C$512,3)-1</f>
        <v>-5.2396886406058107E-2</v>
      </c>
    </row>
    <row r="36" spans="1:3" x14ac:dyDescent="0.25">
      <c r="A36" s="1">
        <f t="shared" si="0"/>
        <v>31</v>
      </c>
      <c r="B36" s="7">
        <f ca="1">VLOOKUP($A36,'edo - fd'!$A$11:$C$112,2)/VLOOKUP($A36,'edo - rk4'!$A$12:$C$512,2)-1</f>
        <v>-3.9158585564591619E-2</v>
      </c>
      <c r="C36" s="7">
        <f ca="1">VLOOKUP($A36,'edo - fd'!$A$11:$C$112,3)/VLOOKUP($A36,'edo - rk4'!$A$12:$C$512,3)-1</f>
        <v>-5.2416121646502223E-2</v>
      </c>
    </row>
    <row r="37" spans="1:3" x14ac:dyDescent="0.25">
      <c r="A37" s="1">
        <f t="shared" si="0"/>
        <v>32</v>
      </c>
      <c r="B37" s="7">
        <f ca="1">VLOOKUP($A37,'edo - fd'!$A$11:$C$112,2)/VLOOKUP($A37,'edo - rk4'!$A$12:$C$512,2)-1</f>
        <v>-3.9242363685233372E-2</v>
      </c>
      <c r="C37" s="7">
        <f ca="1">VLOOKUP($A37,'edo - fd'!$A$11:$C$112,3)/VLOOKUP($A37,'edo - rk4'!$A$12:$C$512,3)-1</f>
        <v>-5.2435356496493224E-2</v>
      </c>
    </row>
    <row r="38" spans="1:3" x14ac:dyDescent="0.25">
      <c r="A38" s="1">
        <f t="shared" si="0"/>
        <v>33</v>
      </c>
      <c r="B38" s="7">
        <f ca="1">VLOOKUP($A38,'edo - fd'!$A$11:$C$112,2)/VLOOKUP($A38,'edo - rk4'!$A$12:$C$512,2)-1</f>
        <v>-3.9317360205759821E-2</v>
      </c>
      <c r="C38" s="7">
        <f ca="1">VLOOKUP($A38,'edo - fd'!$A$11:$C$112,3)/VLOOKUP($A38,'edo - rk4'!$A$12:$C$512,3)-1</f>
        <v>-5.2454590956039326E-2</v>
      </c>
    </row>
    <row r="39" spans="1:3" x14ac:dyDescent="0.25">
      <c r="A39" s="1">
        <f t="shared" ref="A39:A55" si="1">A38+$A$2</f>
        <v>34</v>
      </c>
      <c r="B39" s="7">
        <f ca="1">VLOOKUP($A39,'edo - fd'!$A$11:$C$112,2)/VLOOKUP($A39,'edo - rk4'!$A$12:$C$512,2)-1</f>
        <v>-3.9384578391693514E-2</v>
      </c>
      <c r="C39" s="7">
        <f ca="1">VLOOKUP($A39,'edo - fd'!$A$11:$C$112,3)/VLOOKUP($A39,'edo - rk4'!$A$12:$C$512,3)-1</f>
        <v>-5.2473825025148302E-2</v>
      </c>
    </row>
    <row r="40" spans="1:3" x14ac:dyDescent="0.25">
      <c r="A40" s="1">
        <f t="shared" si="1"/>
        <v>35</v>
      </c>
      <c r="B40" s="7">
        <f ca="1">VLOOKUP($A40,'edo - fd'!$A$11:$C$112,2)/VLOOKUP($A40,'edo - rk4'!$A$12:$C$512,2)-1</f>
        <v>-3.9444891443780272E-2</v>
      </c>
      <c r="C40" s="7">
        <f ca="1">VLOOKUP($A40,'edo - fd'!$A$11:$C$112,3)/VLOOKUP($A40,'edo - rk4'!$A$12:$C$512,3)-1</f>
        <v>-5.2493058703827811E-2</v>
      </c>
    </row>
    <row r="41" spans="1:3" x14ac:dyDescent="0.25">
      <c r="A41" s="1">
        <f t="shared" si="1"/>
        <v>36</v>
      </c>
      <c r="B41" s="7">
        <f ca="1">VLOOKUP($A41,'edo - fd'!$A$11:$C$112,2)/VLOOKUP($A41,'edo - rk4'!$A$12:$C$512,2)-1</f>
        <v>-3.94990621792356E-2</v>
      </c>
      <c r="C41" s="7">
        <f ca="1">VLOOKUP($A41,'edo - fd'!$A$11:$C$112,3)/VLOOKUP($A41,'edo - rk4'!$A$12:$C$512,3)-1</f>
        <v>-5.251229199208618E-2</v>
      </c>
    </row>
    <row r="42" spans="1:3" x14ac:dyDescent="0.25">
      <c r="A42" s="1">
        <f t="shared" si="1"/>
        <v>37</v>
      </c>
      <c r="B42" s="7">
        <f ca="1">VLOOKUP($A42,'edo - fd'!$A$11:$C$112,2)/VLOOKUP($A42,'edo - rk4'!$A$12:$C$512,2)-1</f>
        <v>-3.9547759234774604E-2</v>
      </c>
      <c r="C42" s="7">
        <f ca="1">VLOOKUP($A42,'edo - fd'!$A$11:$C$112,3)/VLOOKUP($A42,'edo - rk4'!$A$12:$C$512,3)-1</f>
        <v>-5.253152488993118E-2</v>
      </c>
    </row>
    <row r="43" spans="1:3" x14ac:dyDescent="0.25">
      <c r="A43" s="1">
        <f t="shared" si="1"/>
        <v>38</v>
      </c>
      <c r="B43" s="7">
        <f ca="1">VLOOKUP($A43,'edo - fd'!$A$11:$C$112,2)/VLOOKUP($A43,'edo - rk4'!$A$12:$C$512,2)-1</f>
        <v>-3.9591570494181716E-2</v>
      </c>
      <c r="C43" s="7">
        <f ca="1">VLOOKUP($A43,'edo - fd'!$A$11:$C$112,3)/VLOOKUP($A43,'edo - rk4'!$A$12:$C$512,3)-1</f>
        <v>-5.2550757397370806E-2</v>
      </c>
    </row>
    <row r="44" spans="1:3" x14ac:dyDescent="0.25">
      <c r="A44" s="1">
        <f t="shared" si="1"/>
        <v>39</v>
      </c>
      <c r="B44" s="7">
        <f ca="1">VLOOKUP($A44,'edo - fd'!$A$11:$C$112,2)/VLOOKUP($A44,'edo - rk4'!$A$12:$C$512,2)-1</f>
        <v>-3.9631014284891464E-2</v>
      </c>
      <c r="C44" s="7">
        <f ca="1">VLOOKUP($A44,'edo - fd'!$A$11:$C$112,3)/VLOOKUP($A44,'edo - rk4'!$A$12:$C$512,3)-1</f>
        <v>-5.256998951441294E-2</v>
      </c>
    </row>
    <row r="45" spans="1:3" x14ac:dyDescent="0.25">
      <c r="A45" s="1">
        <f t="shared" si="1"/>
        <v>40</v>
      </c>
      <c r="B45" s="7">
        <f ca="1">VLOOKUP($A45,'edo - fd'!$A$11:$C$112,2)/VLOOKUP($A45,'edo - rk4'!$A$12:$C$512,2)-1</f>
        <v>-3.966654876876663E-2</v>
      </c>
      <c r="C45" s="7">
        <f ca="1">VLOOKUP($A45,'edo - fd'!$A$11:$C$112,3)/VLOOKUP($A45,'edo - rk4'!$A$12:$C$512,3)-1</f>
        <v>-5.2589221241065354E-2</v>
      </c>
    </row>
    <row r="46" spans="1:3" x14ac:dyDescent="0.25">
      <c r="A46" s="1">
        <f t="shared" si="1"/>
        <v>41</v>
      </c>
      <c r="B46" s="7">
        <f ca="1">VLOOKUP($A46,'edo - fd'!$A$11:$C$112,2)/VLOOKUP($A46,'edo - rk4'!$A$12:$C$512,2)-1</f>
        <v>-3.9698579861596639E-2</v>
      </c>
      <c r="C46" s="7">
        <f ca="1">VLOOKUP($A46,'edo - fd'!$A$11:$C$112,3)/VLOOKUP($A46,'edo - rk4'!$A$12:$C$512,3)-1</f>
        <v>-5.2608452577336262E-2</v>
      </c>
    </row>
    <row r="47" spans="1:3" x14ac:dyDescent="0.25">
      <c r="A47" s="1">
        <f t="shared" si="1"/>
        <v>42</v>
      </c>
      <c r="B47" s="7">
        <f ca="1">VLOOKUP($A47,'edo - fd'!$A$11:$C$112,2)/VLOOKUP($A47,'edo - rk4'!$A$12:$C$512,2)-1</f>
        <v>-3.9727467946362505E-2</v>
      </c>
      <c r="C47" s="7">
        <f ca="1">VLOOKUP($A47,'edo - fd'!$A$11:$C$112,3)/VLOOKUP($A47,'edo - rk4'!$A$12:$C$512,3)-1</f>
        <v>-5.2627683523233326E-2</v>
      </c>
    </row>
    <row r="48" spans="1:3" x14ac:dyDescent="0.25">
      <c r="A48" s="1">
        <f t="shared" si="1"/>
        <v>43</v>
      </c>
      <c r="B48" s="7">
        <f ca="1">VLOOKUP($A48,'edo - fd'!$A$11:$C$112,2)/VLOOKUP($A48,'edo - rk4'!$A$12:$C$512,2)-1</f>
        <v>-3.9753533591682544E-2</v>
      </c>
      <c r="C48" s="7">
        <f ca="1">VLOOKUP($A48,'edo - fd'!$A$11:$C$112,3)/VLOOKUP($A48,'edo - rk4'!$A$12:$C$512,3)-1</f>
        <v>-5.2646914078764651E-2</v>
      </c>
    </row>
    <row r="49" spans="1:3" x14ac:dyDescent="0.25">
      <c r="A49" s="1">
        <f t="shared" si="1"/>
        <v>44</v>
      </c>
      <c r="B49" s="7">
        <f ca="1">VLOOKUP($A49,'edo - fd'!$A$11:$C$112,2)/VLOOKUP($A49,'edo - rk4'!$A$12:$C$512,2)-1</f>
        <v>-3.9777062445141342E-2</v>
      </c>
      <c r="C49" s="7">
        <f ca="1">VLOOKUP($A49,'edo - fd'!$A$11:$C$112,3)/VLOOKUP($A49,'edo - rk4'!$A$12:$C$512,3)-1</f>
        <v>-5.2666144243937896E-2</v>
      </c>
    </row>
    <row r="50" spans="1:3" x14ac:dyDescent="0.25">
      <c r="A50" s="1">
        <f t="shared" si="1"/>
        <v>45</v>
      </c>
      <c r="B50" s="7">
        <f ca="1">VLOOKUP($A50,'edo - fd'!$A$11:$C$112,2)/VLOOKUP($A50,'edo - rk4'!$A$12:$C$512,2)-1</f>
        <v>-3.9798309438556889E-2</v>
      </c>
      <c r="C50" s="7">
        <f ca="1">VLOOKUP($A50,'edo - fd'!$A$11:$C$112,3)/VLOOKUP($A50,'edo - rk4'!$A$12:$C$512,3)-1</f>
        <v>-5.2685374018761055E-2</v>
      </c>
    </row>
    <row r="51" spans="1:3" x14ac:dyDescent="0.25">
      <c r="A51" s="1">
        <f t="shared" si="1"/>
        <v>46</v>
      </c>
      <c r="B51" s="7">
        <f ca="1">VLOOKUP($A51,'edo - fd'!$A$11:$C$112,2)/VLOOKUP($A51,'edo - rk4'!$A$12:$C$512,2)-1</f>
        <v>-3.9817502416512496E-2</v>
      </c>
      <c r="C51" s="7">
        <f ca="1">VLOOKUP($A51,'edo - fd'!$A$11:$C$112,3)/VLOOKUP($A51,'edo - rk4'!$A$12:$C$512,3)-1</f>
        <v>-5.2704603403242456E-2</v>
      </c>
    </row>
    <row r="52" spans="1:3" x14ac:dyDescent="0.25">
      <c r="A52" s="1">
        <f t="shared" si="1"/>
        <v>47</v>
      </c>
      <c r="B52" s="7">
        <f ca="1">VLOOKUP($A52,'edo - fd'!$A$11:$C$112,2)/VLOOKUP($A52,'edo - rk4'!$A$12:$C$512,2)-1</f>
        <v>-3.983484527908443E-2</v>
      </c>
      <c r="C52" s="7">
        <f ca="1">VLOOKUP($A52,'edo - fd'!$A$11:$C$112,3)/VLOOKUP($A52,'edo - rk4'!$A$12:$C$512,3)-1</f>
        <v>-5.2723832397389647E-2</v>
      </c>
    </row>
    <row r="53" spans="1:3" x14ac:dyDescent="0.25">
      <c r="A53" s="1">
        <f t="shared" si="1"/>
        <v>48</v>
      </c>
      <c r="B53" s="7">
        <f ca="1">VLOOKUP($A53,'edo - fd'!$A$11:$C$112,2)/VLOOKUP($A53,'edo - rk4'!$A$12:$C$512,2)-1</f>
        <v>-3.9850520713439974E-2</v>
      </c>
      <c r="C53" s="7">
        <f ca="1">VLOOKUP($A53,'edo - fd'!$A$11:$C$112,3)/VLOOKUP($A53,'edo - rk4'!$A$12:$C$512,3)-1</f>
        <v>-5.2743061001210734E-2</v>
      </c>
    </row>
    <row r="54" spans="1:3" x14ac:dyDescent="0.25">
      <c r="A54" s="1">
        <f t="shared" si="1"/>
        <v>49</v>
      </c>
      <c r="B54" s="7">
        <f ca="1">VLOOKUP($A54,'edo - fd'!$A$11:$C$112,2)/VLOOKUP($A54,'edo - rk4'!$A$12:$C$512,2)-1</f>
        <v>-3.9864692575937943E-2</v>
      </c>
      <c r="C54" s="7">
        <f ca="1">VLOOKUP($A54,'edo - fd'!$A$11:$C$112,3)/VLOOKUP($A54,'edo - rk4'!$A$12:$C$512,3)-1</f>
        <v>-5.2762289214713265E-2</v>
      </c>
    </row>
    <row r="55" spans="1:3" x14ac:dyDescent="0.25">
      <c r="A55" s="1">
        <f t="shared" si="1"/>
        <v>50</v>
      </c>
      <c r="B55" s="7">
        <f ca="1">VLOOKUP($A55,'edo - fd'!$A$11:$C$112,2)/VLOOKUP($A55,'edo - rk4'!$A$12:$C$512,2)-1</f>
        <v>-3.9877507975856541E-2</v>
      </c>
      <c r="C55" s="7">
        <f ca="1">VLOOKUP($A55,'edo - fd'!$A$11:$C$112,3)/VLOOKUP($A55,'edo - rk4'!$A$12:$C$512,3)-1</f>
        <v>-5.2781517037905679E-2</v>
      </c>
    </row>
    <row r="56" spans="1:3" x14ac:dyDescent="0.25">
      <c r="A56" s="1"/>
      <c r="B56" s="7"/>
      <c r="C56" s="7"/>
    </row>
    <row r="57" spans="1:3" x14ac:dyDescent="0.25">
      <c r="A57" s="1"/>
      <c r="B57" s="7"/>
      <c r="C57" s="7"/>
    </row>
    <row r="58" spans="1:3" x14ac:dyDescent="0.25">
      <c r="A58" s="1"/>
      <c r="B58" s="7"/>
      <c r="C58" s="7"/>
    </row>
    <row r="59" spans="1:3" x14ac:dyDescent="0.25">
      <c r="A59" s="1"/>
      <c r="B59" s="7"/>
      <c r="C59" s="7"/>
    </row>
    <row r="60" spans="1:3" x14ac:dyDescent="0.25">
      <c r="A60" s="1"/>
      <c r="B60" s="7"/>
      <c r="C60" s="7"/>
    </row>
    <row r="61" spans="1:3" x14ac:dyDescent="0.25">
      <c r="A61" s="1"/>
      <c r="B61" s="7"/>
      <c r="C61" s="7"/>
    </row>
    <row r="62" spans="1:3" x14ac:dyDescent="0.25">
      <c r="A62" s="1"/>
      <c r="B62" s="7"/>
      <c r="C62" s="7"/>
    </row>
    <row r="63" spans="1:3" x14ac:dyDescent="0.25">
      <c r="A63" s="1"/>
      <c r="B63" s="7"/>
      <c r="C63" s="7"/>
    </row>
    <row r="64" spans="1:3" x14ac:dyDescent="0.25">
      <c r="A64" s="1"/>
      <c r="B64" s="7"/>
      <c r="C64" s="7"/>
    </row>
    <row r="65" spans="1:3" x14ac:dyDescent="0.25">
      <c r="A65" s="1"/>
      <c r="B65" s="7"/>
      <c r="C65" s="7"/>
    </row>
    <row r="66" spans="1:3" x14ac:dyDescent="0.25">
      <c r="A66" s="1"/>
      <c r="B66" s="7"/>
      <c r="C66" s="7"/>
    </row>
    <row r="67" spans="1:3" x14ac:dyDescent="0.25">
      <c r="A67" s="1"/>
      <c r="B67" s="7"/>
      <c r="C67" s="7"/>
    </row>
    <row r="68" spans="1:3" x14ac:dyDescent="0.25">
      <c r="A68" s="1"/>
      <c r="B68" s="7"/>
      <c r="C68" s="7"/>
    </row>
    <row r="69" spans="1:3" x14ac:dyDescent="0.25">
      <c r="A69" s="1"/>
      <c r="B69" s="7"/>
      <c r="C69" s="7"/>
    </row>
    <row r="70" spans="1:3" x14ac:dyDescent="0.25">
      <c r="A70" s="1"/>
      <c r="B70" s="7"/>
      <c r="C70" s="7"/>
    </row>
    <row r="71" spans="1:3" x14ac:dyDescent="0.25">
      <c r="A71" s="1"/>
      <c r="B71" s="7"/>
      <c r="C71" s="7"/>
    </row>
    <row r="72" spans="1:3" x14ac:dyDescent="0.25">
      <c r="A72" s="1"/>
      <c r="B72" s="7"/>
      <c r="C72" s="7"/>
    </row>
    <row r="73" spans="1:3" x14ac:dyDescent="0.25">
      <c r="A73" s="1"/>
      <c r="B73" s="7"/>
      <c r="C73" s="7"/>
    </row>
    <row r="74" spans="1:3" x14ac:dyDescent="0.25">
      <c r="A74" s="1"/>
      <c r="B74" s="7"/>
      <c r="C74" s="7"/>
    </row>
    <row r="75" spans="1:3" x14ac:dyDescent="0.25">
      <c r="A75" s="1"/>
      <c r="B75" s="7"/>
      <c r="C75" s="7"/>
    </row>
    <row r="76" spans="1:3" x14ac:dyDescent="0.25">
      <c r="A76" s="1"/>
      <c r="B76" s="7"/>
      <c r="C76" s="7"/>
    </row>
    <row r="77" spans="1:3" x14ac:dyDescent="0.25">
      <c r="A77" s="1"/>
      <c r="B77" s="7"/>
      <c r="C77" s="7"/>
    </row>
    <row r="78" spans="1:3" x14ac:dyDescent="0.25">
      <c r="A78" s="1"/>
      <c r="B78" s="7"/>
      <c r="C78" s="7"/>
    </row>
    <row r="79" spans="1:3" x14ac:dyDescent="0.25">
      <c r="A79" s="1"/>
      <c r="B79" s="7"/>
      <c r="C79" s="7"/>
    </row>
    <row r="80" spans="1:3" x14ac:dyDescent="0.25">
      <c r="A80" s="1"/>
      <c r="B80" s="7"/>
      <c r="C80" s="7"/>
    </row>
    <row r="81" spans="1:3" x14ac:dyDescent="0.25">
      <c r="A81" s="1"/>
      <c r="B81" s="7"/>
      <c r="C81" s="7"/>
    </row>
    <row r="82" spans="1:3" x14ac:dyDescent="0.25">
      <c r="A82" s="1"/>
      <c r="B82" s="7"/>
      <c r="C82" s="7"/>
    </row>
    <row r="83" spans="1:3" x14ac:dyDescent="0.25">
      <c r="A83" s="1"/>
      <c r="B83" s="7"/>
      <c r="C83" s="7"/>
    </row>
    <row r="84" spans="1:3" x14ac:dyDescent="0.25">
      <c r="A84" s="1"/>
      <c r="B84" s="7"/>
      <c r="C84" s="7"/>
    </row>
    <row r="85" spans="1:3" x14ac:dyDescent="0.25">
      <c r="A85" s="1"/>
      <c r="B85" s="7"/>
      <c r="C85" s="7"/>
    </row>
    <row r="86" spans="1:3" x14ac:dyDescent="0.25">
      <c r="A86" s="1"/>
      <c r="B86" s="7"/>
      <c r="C86" s="7"/>
    </row>
    <row r="87" spans="1:3" x14ac:dyDescent="0.25">
      <c r="A87" s="1"/>
      <c r="B87" s="7"/>
      <c r="C87" s="7"/>
    </row>
    <row r="88" spans="1:3" x14ac:dyDescent="0.25">
      <c r="A88" s="1"/>
      <c r="B88" s="7"/>
      <c r="C88" s="7"/>
    </row>
    <row r="89" spans="1:3" x14ac:dyDescent="0.25">
      <c r="A89" s="1"/>
      <c r="B89" s="7"/>
      <c r="C89" s="7"/>
    </row>
    <row r="90" spans="1:3" x14ac:dyDescent="0.25">
      <c r="A90" s="1"/>
      <c r="B90" s="7"/>
      <c r="C90" s="7"/>
    </row>
    <row r="91" spans="1:3" x14ac:dyDescent="0.25">
      <c r="A91" s="1"/>
      <c r="B91" s="7"/>
      <c r="C91" s="7"/>
    </row>
    <row r="92" spans="1:3" x14ac:dyDescent="0.25">
      <c r="A92" s="1"/>
      <c r="B92" s="7"/>
      <c r="C92" s="7"/>
    </row>
    <row r="93" spans="1:3" x14ac:dyDescent="0.25">
      <c r="A93" s="1"/>
      <c r="B93" s="7"/>
      <c r="C93" s="7"/>
    </row>
    <row r="94" spans="1:3" x14ac:dyDescent="0.25">
      <c r="A94" s="1"/>
      <c r="B94" s="7"/>
      <c r="C94" s="7"/>
    </row>
    <row r="95" spans="1:3" x14ac:dyDescent="0.25">
      <c r="A95" s="1"/>
      <c r="B95" s="7"/>
      <c r="C95" s="7"/>
    </row>
    <row r="96" spans="1:3" x14ac:dyDescent="0.25">
      <c r="A96" s="1"/>
      <c r="B96" s="7"/>
      <c r="C96" s="7"/>
    </row>
    <row r="97" spans="1:3" x14ac:dyDescent="0.25">
      <c r="A97" s="1"/>
      <c r="B97" s="7"/>
      <c r="C97" s="7"/>
    </row>
    <row r="98" spans="1:3" x14ac:dyDescent="0.25">
      <c r="A98" s="1"/>
      <c r="B98" s="7"/>
      <c r="C98" s="7"/>
    </row>
    <row r="99" spans="1:3" x14ac:dyDescent="0.25">
      <c r="A99" s="1"/>
      <c r="B99" s="7"/>
      <c r="C99" s="7"/>
    </row>
    <row r="100" spans="1:3" x14ac:dyDescent="0.25">
      <c r="A100" s="1"/>
      <c r="B100" s="7"/>
      <c r="C100" s="7"/>
    </row>
    <row r="101" spans="1:3" x14ac:dyDescent="0.25">
      <c r="A101" s="1"/>
      <c r="B101" s="7"/>
      <c r="C101" s="7"/>
    </row>
    <row r="102" spans="1:3" x14ac:dyDescent="0.25">
      <c r="A102" s="1"/>
      <c r="B102" s="7"/>
      <c r="C102" s="7"/>
    </row>
    <row r="103" spans="1:3" x14ac:dyDescent="0.25">
      <c r="A103" s="1"/>
      <c r="B103" s="7"/>
      <c r="C103" s="7"/>
    </row>
    <row r="104" spans="1:3" x14ac:dyDescent="0.25">
      <c r="A104" s="1"/>
      <c r="B104" s="7"/>
      <c r="C104" s="7"/>
    </row>
    <row r="105" spans="1:3" x14ac:dyDescent="0.25">
      <c r="A105" s="1"/>
      <c r="B105" s="7"/>
      <c r="C105" s="7"/>
    </row>
    <row r="106" spans="1:3" x14ac:dyDescent="0.25">
      <c r="A106" s="1"/>
      <c r="B106" s="7"/>
      <c r="C106" s="7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2</vt:i4>
      </vt:variant>
    </vt:vector>
  </HeadingPairs>
  <TitlesOfParts>
    <vt:vector size="5" baseType="lpstr">
      <vt:lpstr>edo - rk4</vt:lpstr>
      <vt:lpstr>edo - fd</vt:lpstr>
      <vt:lpstr>edo - erro</vt:lpstr>
      <vt:lpstr>Gráf2</vt:lpstr>
      <vt:lpstr>Gráf3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 Mirapalheta</cp:lastModifiedBy>
  <dcterms:created xsi:type="dcterms:W3CDTF">2011-02-13T18:01:24Z</dcterms:created>
  <dcterms:modified xsi:type="dcterms:W3CDTF">2021-12-02T10:15:11Z</dcterms:modified>
</cp:coreProperties>
</file>