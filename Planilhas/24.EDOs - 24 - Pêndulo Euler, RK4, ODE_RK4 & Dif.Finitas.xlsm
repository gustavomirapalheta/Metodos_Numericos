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051CF760-AF30-4FFD-ABF1-051324048FC1}" xr6:coauthVersionLast="47" xr6:coauthVersionMax="47" xr10:uidLastSave="{00000000-0000-0000-0000-000000000000}"/>
  <bookViews>
    <workbookView xWindow="-120" yWindow="-120" windowWidth="27960" windowHeight="14220" firstSheet="1" activeTab="4"/>
  </bookViews>
  <sheets>
    <sheet name="edo - pêndulo - an.eul" sheetId="1" r:id="rId1"/>
    <sheet name="Gráf1" sheetId="5" r:id="rId2"/>
    <sheet name="edo - pêndulo - an.eul.rk4 - v2" sheetId="4" r:id="rId3"/>
    <sheet name="Gráf2" sheetId="6" r:id="rId4"/>
    <sheet name="edo - pêndulo - rk4" sheetId="2" r:id="rId5"/>
    <sheet name="edo - pêndulo - dif.fin." sheetId="3" r:id="rId6"/>
    <sheet name="Gráf3" sheetId="7" r:id="rId7"/>
  </sheets>
  <functionGroups builtInGroupCount="19"/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" l="1"/>
  <c r="B7" i="3"/>
  <c r="B11" i="3"/>
  <c r="E11" i="3"/>
  <c r="B8" i="2"/>
  <c r="C10" i="4"/>
  <c r="D9" i="1"/>
  <c r="I10" i="4"/>
  <c r="M10" i="4"/>
  <c r="A11" i="4"/>
  <c r="M11" i="4"/>
  <c r="D11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 s="1"/>
  <c r="A105" i="3" s="1"/>
  <c r="A106" i="3" s="1"/>
  <c r="A107" i="3" s="1"/>
  <c r="A108" i="3" s="1"/>
  <c r="A109" i="3" s="1"/>
  <c r="A110" i="3" s="1"/>
  <c r="A111" i="3" s="1"/>
  <c r="E9" i="1"/>
  <c r="F9" i="1"/>
  <c r="E10" i="1"/>
  <c r="A10" i="1"/>
  <c r="C10" i="1"/>
  <c r="B10" i="1"/>
  <c r="A11" i="1"/>
  <c r="C9" i="1"/>
  <c r="D10" i="4"/>
  <c r="E10" i="4"/>
  <c r="A12" i="4"/>
  <c r="M12" i="4"/>
  <c r="J10" i="4"/>
  <c r="K10" i="4"/>
  <c r="L10" i="4"/>
  <c r="H11" i="4"/>
  <c r="A13" i="4"/>
  <c r="M13" i="4"/>
  <c r="G9" i="1"/>
  <c r="D8" i="2"/>
  <c r="G10" i="1"/>
  <c r="F10" i="1"/>
  <c r="F11" i="1"/>
  <c r="A12" i="1"/>
  <c r="C11" i="1"/>
  <c r="B11" i="1"/>
  <c r="D10" i="1"/>
  <c r="A14" i="4"/>
  <c r="A15" i="4"/>
  <c r="E11" i="1"/>
  <c r="M14" i="4"/>
  <c r="C12" i="1"/>
  <c r="B12" i="1"/>
  <c r="A13" i="1"/>
  <c r="C13" i="1"/>
  <c r="B13" i="1"/>
  <c r="D11" i="1"/>
  <c r="G11" i="1"/>
  <c r="A16" i="4"/>
  <c r="M15" i="4"/>
  <c r="D11" i="4"/>
  <c r="E11" i="4"/>
  <c r="F11" i="4" s="1"/>
  <c r="F10" i="4"/>
  <c r="G10" i="4"/>
  <c r="E12" i="1"/>
  <c r="F12" i="1"/>
  <c r="E13" i="1"/>
  <c r="D12" i="1"/>
  <c r="G12" i="1"/>
  <c r="F13" i="1"/>
  <c r="A14" i="1"/>
  <c r="C11" i="4"/>
  <c r="B11" i="4"/>
  <c r="I11" i="4"/>
  <c r="M16" i="4"/>
  <c r="A17" i="4"/>
  <c r="C14" i="1"/>
  <c r="B14" i="1"/>
  <c r="A15" i="1"/>
  <c r="G13" i="1"/>
  <c r="D13" i="1"/>
  <c r="E14" i="1"/>
  <c r="F14" i="1"/>
  <c r="M17" i="4"/>
  <c r="A18" i="4"/>
  <c r="J11" i="4"/>
  <c r="K11" i="4"/>
  <c r="L11" i="4"/>
  <c r="A16" i="1"/>
  <c r="C15" i="1"/>
  <c r="B15" i="1"/>
  <c r="D14" i="1"/>
  <c r="G14" i="1"/>
  <c r="E15" i="1"/>
  <c r="F15" i="1"/>
  <c r="A19" i="4"/>
  <c r="M18" i="4"/>
  <c r="H12" i="4"/>
  <c r="G15" i="1"/>
  <c r="D15" i="1"/>
  <c r="E16" i="1"/>
  <c r="C16" i="1"/>
  <c r="B16" i="1"/>
  <c r="A17" i="1"/>
  <c r="F16" i="1"/>
  <c r="D12" i="4"/>
  <c r="E12" i="4"/>
  <c r="F12" i="4"/>
  <c r="G12" i="4"/>
  <c r="A20" i="4"/>
  <c r="M19" i="4"/>
  <c r="C17" i="1"/>
  <c r="B17" i="1"/>
  <c r="A18" i="1"/>
  <c r="G16" i="1"/>
  <c r="E17" i="1"/>
  <c r="D16" i="1"/>
  <c r="F17" i="1"/>
  <c r="A21" i="4"/>
  <c r="M20" i="4"/>
  <c r="E18" i="1"/>
  <c r="D17" i="1"/>
  <c r="G17" i="1"/>
  <c r="C18" i="1"/>
  <c r="B18" i="1"/>
  <c r="A19" i="1"/>
  <c r="F18" i="1"/>
  <c r="M21" i="4"/>
  <c r="A22" i="4"/>
  <c r="C19" i="1"/>
  <c r="B19" i="1"/>
  <c r="A20" i="1"/>
  <c r="E19" i="1"/>
  <c r="G18" i="1"/>
  <c r="D18" i="1"/>
  <c r="F19" i="1"/>
  <c r="A23" i="4"/>
  <c r="M22" i="4"/>
  <c r="C20" i="1"/>
  <c r="B20" i="1"/>
  <c r="A21" i="1"/>
  <c r="G19" i="1"/>
  <c r="D19" i="1"/>
  <c r="E20" i="1"/>
  <c r="F20" i="1"/>
  <c r="M23" i="4"/>
  <c r="A24" i="4"/>
  <c r="C21" i="1"/>
  <c r="B21" i="1"/>
  <c r="A22" i="1"/>
  <c r="E21" i="1"/>
  <c r="G20" i="1"/>
  <c r="D20" i="1"/>
  <c r="F21" i="1"/>
  <c r="A25" i="4"/>
  <c r="M24" i="4"/>
  <c r="C22" i="1"/>
  <c r="B22" i="1"/>
  <c r="A23" i="1"/>
  <c r="D21" i="1"/>
  <c r="G21" i="1"/>
  <c r="E22" i="1"/>
  <c r="F22" i="1"/>
  <c r="M25" i="4"/>
  <c r="A26" i="4"/>
  <c r="C23" i="1"/>
  <c r="B23" i="1"/>
  <c r="A24" i="1"/>
  <c r="G22" i="1"/>
  <c r="E23" i="1"/>
  <c r="D22" i="1"/>
  <c r="F23" i="1"/>
  <c r="M26" i="4"/>
  <c r="A27" i="4"/>
  <c r="E24" i="1"/>
  <c r="G23" i="1"/>
  <c r="D23" i="1"/>
  <c r="C24" i="1"/>
  <c r="B24" i="1"/>
  <c r="A25" i="1"/>
  <c r="F24" i="1"/>
  <c r="A28" i="4"/>
  <c r="M27" i="4"/>
  <c r="C25" i="1"/>
  <c r="B25" i="1"/>
  <c r="A26" i="1"/>
  <c r="G24" i="1"/>
  <c r="E25" i="1"/>
  <c r="D24" i="1"/>
  <c r="F25" i="1"/>
  <c r="M28" i="4"/>
  <c r="A29" i="4"/>
  <c r="G25" i="1"/>
  <c r="E26" i="1"/>
  <c r="D25" i="1"/>
  <c r="A27" i="1"/>
  <c r="C26" i="1"/>
  <c r="B26" i="1"/>
  <c r="F26" i="1"/>
  <c r="A30" i="4"/>
  <c r="M29" i="4"/>
  <c r="C27" i="1"/>
  <c r="B27" i="1"/>
  <c r="A28" i="1"/>
  <c r="E27" i="1"/>
  <c r="G26" i="1"/>
  <c r="D26" i="1"/>
  <c r="F27" i="1"/>
  <c r="M30" i="4"/>
  <c r="A31" i="4"/>
  <c r="C28" i="1"/>
  <c r="B28" i="1"/>
  <c r="A29" i="1"/>
  <c r="G27" i="1"/>
  <c r="D27" i="1"/>
  <c r="E28" i="1"/>
  <c r="F28" i="1"/>
  <c r="M31" i="4"/>
  <c r="A32" i="4"/>
  <c r="C29" i="1"/>
  <c r="B29" i="1"/>
  <c r="A30" i="1"/>
  <c r="G28" i="1"/>
  <c r="E29" i="1"/>
  <c r="D28" i="1"/>
  <c r="F29" i="1"/>
  <c r="M32" i="4"/>
  <c r="A33" i="4"/>
  <c r="E30" i="1"/>
  <c r="D29" i="1"/>
  <c r="G29" i="1"/>
  <c r="C30" i="1"/>
  <c r="B30" i="1"/>
  <c r="A31" i="1"/>
  <c r="F30" i="1"/>
  <c r="A34" i="4"/>
  <c r="M33" i="4"/>
  <c r="C31" i="1"/>
  <c r="B31" i="1"/>
  <c r="A32" i="1"/>
  <c r="E31" i="1"/>
  <c r="G30" i="1"/>
  <c r="D30" i="1"/>
  <c r="F31" i="1"/>
  <c r="A35" i="4"/>
  <c r="M34" i="4"/>
  <c r="A33" i="1"/>
  <c r="C32" i="1"/>
  <c r="B32" i="1"/>
  <c r="D31" i="1"/>
  <c r="E32" i="1"/>
  <c r="G31" i="1"/>
  <c r="F32" i="1"/>
  <c r="M35" i="4"/>
  <c r="A36" i="4"/>
  <c r="D32" i="1"/>
  <c r="G32" i="1"/>
  <c r="E33" i="1"/>
  <c r="C33" i="1"/>
  <c r="B33" i="1"/>
  <c r="A34" i="1"/>
  <c r="F33" i="1"/>
  <c r="A37" i="4"/>
  <c r="M36" i="4"/>
  <c r="C34" i="1"/>
  <c r="B34" i="1"/>
  <c r="A35" i="1"/>
  <c r="D33" i="1"/>
  <c r="E34" i="1"/>
  <c r="G33" i="1"/>
  <c r="F34" i="1"/>
  <c r="M37" i="4"/>
  <c r="A38" i="4"/>
  <c r="D34" i="1"/>
  <c r="G34" i="1"/>
  <c r="E35" i="1"/>
  <c r="C35" i="1"/>
  <c r="B35" i="1"/>
  <c r="A36" i="1"/>
  <c r="F35" i="1"/>
  <c r="A39" i="4"/>
  <c r="M38" i="4"/>
  <c r="C36" i="1"/>
  <c r="B36" i="1"/>
  <c r="A37" i="1"/>
  <c r="E36" i="1"/>
  <c r="G35" i="1"/>
  <c r="D35" i="1"/>
  <c r="F36" i="1"/>
  <c r="A40" i="4"/>
  <c r="M39" i="4"/>
  <c r="C37" i="1"/>
  <c r="B37" i="1"/>
  <c r="A38" i="1"/>
  <c r="D36" i="1"/>
  <c r="G36" i="1"/>
  <c r="E37" i="1"/>
  <c r="F37" i="1"/>
  <c r="A41" i="4"/>
  <c r="M40" i="4"/>
  <c r="C38" i="1"/>
  <c r="B38" i="1"/>
  <c r="A39" i="1"/>
  <c r="D37" i="1"/>
  <c r="G37" i="1"/>
  <c r="E38" i="1"/>
  <c r="F38" i="1"/>
  <c r="A42" i="4"/>
  <c r="M41" i="4"/>
  <c r="C39" i="1"/>
  <c r="B39" i="1"/>
  <c r="A40" i="1"/>
  <c r="E39" i="1"/>
  <c r="G38" i="1"/>
  <c r="D38" i="1"/>
  <c r="F39" i="1"/>
  <c r="M42" i="4"/>
  <c r="A43" i="4"/>
  <c r="C40" i="1"/>
  <c r="B40" i="1"/>
  <c r="A41" i="1"/>
  <c r="D39" i="1"/>
  <c r="G39" i="1"/>
  <c r="E40" i="1"/>
  <c r="F40" i="1"/>
  <c r="A44" i="4"/>
  <c r="M43" i="4"/>
  <c r="C41" i="1"/>
  <c r="B41" i="1"/>
  <c r="A42" i="1"/>
  <c r="E41" i="1"/>
  <c r="G40" i="1"/>
  <c r="D40" i="1"/>
  <c r="F41" i="1"/>
  <c r="A45" i="4"/>
  <c r="M44" i="4"/>
  <c r="C42" i="1"/>
  <c r="B42" i="1"/>
  <c r="A43" i="1"/>
  <c r="E42" i="1"/>
  <c r="G41" i="1"/>
  <c r="D41" i="1"/>
  <c r="F42" i="1"/>
  <c r="A46" i="4"/>
  <c r="M45" i="4"/>
  <c r="C43" i="1"/>
  <c r="B43" i="1"/>
  <c r="A44" i="1"/>
  <c r="D42" i="1"/>
  <c r="G42" i="1"/>
  <c r="E43" i="1"/>
  <c r="F43" i="1"/>
  <c r="A47" i="4"/>
  <c r="M46" i="4"/>
  <c r="C44" i="1"/>
  <c r="B44" i="1"/>
  <c r="A45" i="1"/>
  <c r="G43" i="1"/>
  <c r="D43" i="1"/>
  <c r="E44" i="1"/>
  <c r="F44" i="1"/>
  <c r="M47" i="4"/>
  <c r="A48" i="4"/>
  <c r="C45" i="1"/>
  <c r="B45" i="1"/>
  <c r="A46" i="1"/>
  <c r="E45" i="1"/>
  <c r="D44" i="1"/>
  <c r="G44" i="1"/>
  <c r="F45" i="1"/>
  <c r="A49" i="4"/>
  <c r="M48" i="4"/>
  <c r="C46" i="1"/>
  <c r="B46" i="1"/>
  <c r="A47" i="1"/>
  <c r="D45" i="1"/>
  <c r="G45" i="1"/>
  <c r="E46" i="1"/>
  <c r="F46" i="1"/>
  <c r="M49" i="4"/>
  <c r="A50" i="4"/>
  <c r="C47" i="1"/>
  <c r="B47" i="1"/>
  <c r="A48" i="1"/>
  <c r="D46" i="1"/>
  <c r="E47" i="1"/>
  <c r="G46" i="1"/>
  <c r="F47" i="1"/>
  <c r="A51" i="4"/>
  <c r="M50" i="4"/>
  <c r="D47" i="1"/>
  <c r="G47" i="1"/>
  <c r="E48" i="1"/>
  <c r="C48" i="1"/>
  <c r="B48" i="1"/>
  <c r="A49" i="1"/>
  <c r="F48" i="1"/>
  <c r="M51" i="4"/>
  <c r="A52" i="4"/>
  <c r="C49" i="1"/>
  <c r="B49" i="1"/>
  <c r="A50" i="1"/>
  <c r="G48" i="1"/>
  <c r="D48" i="1"/>
  <c r="E49" i="1"/>
  <c r="F49" i="1"/>
  <c r="A53" i="4"/>
  <c r="M52" i="4"/>
  <c r="C50" i="1"/>
  <c r="B50" i="1"/>
  <c r="A51" i="1"/>
  <c r="D49" i="1"/>
  <c r="G49" i="1"/>
  <c r="E50" i="1"/>
  <c r="F50" i="1"/>
  <c r="M53" i="4"/>
  <c r="A54" i="4"/>
  <c r="C51" i="1"/>
  <c r="B51" i="1"/>
  <c r="A52" i="1"/>
  <c r="D50" i="1"/>
  <c r="G50" i="1"/>
  <c r="E51" i="1"/>
  <c r="F51" i="1"/>
  <c r="M54" i="4"/>
  <c r="A55" i="4"/>
  <c r="C52" i="1"/>
  <c r="B52" i="1"/>
  <c r="A53" i="1"/>
  <c r="D51" i="1"/>
  <c r="E52" i="1"/>
  <c r="G51" i="1"/>
  <c r="F52" i="1"/>
  <c r="M55" i="4"/>
  <c r="A56" i="4"/>
  <c r="D52" i="1"/>
  <c r="G52" i="1"/>
  <c r="E53" i="1"/>
  <c r="C53" i="1"/>
  <c r="B53" i="1"/>
  <c r="A54" i="1"/>
  <c r="F53" i="1"/>
  <c r="A57" i="4"/>
  <c r="M56" i="4"/>
  <c r="C54" i="1"/>
  <c r="B54" i="1"/>
  <c r="A55" i="1"/>
  <c r="G53" i="1"/>
  <c r="D53" i="1"/>
  <c r="E54" i="1"/>
  <c r="F54" i="1"/>
  <c r="M57" i="4"/>
  <c r="A58" i="4"/>
  <c r="C55" i="1"/>
  <c r="B55" i="1"/>
  <c r="A56" i="1"/>
  <c r="D54" i="1"/>
  <c r="G54" i="1"/>
  <c r="E55" i="1"/>
  <c r="F55" i="1"/>
  <c r="A59" i="4"/>
  <c r="M58" i="4"/>
  <c r="C56" i="1"/>
  <c r="B56" i="1"/>
  <c r="A57" i="1"/>
  <c r="E56" i="1"/>
  <c r="G55" i="1"/>
  <c r="D55" i="1"/>
  <c r="F56" i="1"/>
  <c r="A60" i="4"/>
  <c r="M59" i="4"/>
  <c r="C57" i="1"/>
  <c r="B57" i="1"/>
  <c r="A58" i="1"/>
  <c r="G56" i="1"/>
  <c r="E57" i="1"/>
  <c r="D56" i="1"/>
  <c r="F57" i="1"/>
  <c r="A61" i="4"/>
  <c r="M60" i="4"/>
  <c r="E58" i="1"/>
  <c r="G57" i="1"/>
  <c r="D57" i="1"/>
  <c r="C58" i="1"/>
  <c r="B58" i="1"/>
  <c r="A59" i="1"/>
  <c r="F58" i="1"/>
  <c r="A62" i="4"/>
  <c r="M61" i="4"/>
  <c r="C59" i="1"/>
  <c r="B59" i="1"/>
  <c r="A60" i="1"/>
  <c r="E59" i="1"/>
  <c r="G58" i="1"/>
  <c r="D58" i="1"/>
  <c r="F59" i="1"/>
  <c r="A63" i="4"/>
  <c r="M62" i="4"/>
  <c r="C60" i="1"/>
  <c r="B60" i="1"/>
  <c r="A61" i="1"/>
  <c r="G59" i="1"/>
  <c r="E60" i="1"/>
  <c r="D59" i="1"/>
  <c r="F60" i="1"/>
  <c r="M63" i="4"/>
  <c r="A64" i="4"/>
  <c r="D60" i="1"/>
  <c r="E61" i="1"/>
  <c r="G60" i="1"/>
  <c r="C61" i="1"/>
  <c r="B61" i="1"/>
  <c r="A62" i="1"/>
  <c r="F61" i="1"/>
  <c r="A65" i="4"/>
  <c r="M64" i="4"/>
  <c r="E62" i="1"/>
  <c r="D61" i="1"/>
  <c r="G61" i="1"/>
  <c r="C62" i="1"/>
  <c r="B62" i="1"/>
  <c r="A63" i="1"/>
  <c r="F62" i="1"/>
  <c r="A66" i="4"/>
  <c r="M65" i="4"/>
  <c r="C63" i="1"/>
  <c r="B63" i="1"/>
  <c r="A64" i="1"/>
  <c r="E63" i="1"/>
  <c r="G62" i="1"/>
  <c r="D62" i="1"/>
  <c r="F63" i="1"/>
  <c r="M66" i="4"/>
  <c r="A67" i="4"/>
  <c r="C64" i="1"/>
  <c r="B64" i="1"/>
  <c r="A65" i="1"/>
  <c r="D63" i="1"/>
  <c r="G63" i="1"/>
  <c r="E64" i="1"/>
  <c r="F64" i="1"/>
  <c r="M67" i="4"/>
  <c r="A68" i="4"/>
  <c r="C65" i="1"/>
  <c r="B65" i="1"/>
  <c r="A66" i="1"/>
  <c r="E65" i="1"/>
  <c r="G64" i="1"/>
  <c r="D64" i="1"/>
  <c r="F65" i="1"/>
  <c r="M68" i="4"/>
  <c r="A69" i="4"/>
  <c r="C66" i="1"/>
  <c r="B66" i="1"/>
  <c r="A67" i="1"/>
  <c r="G65" i="1"/>
  <c r="E66" i="1"/>
  <c r="D65" i="1"/>
  <c r="F66" i="1"/>
  <c r="A70" i="4"/>
  <c r="M69" i="4"/>
  <c r="D66" i="1"/>
  <c r="E67" i="1"/>
  <c r="G66" i="1"/>
  <c r="C67" i="1"/>
  <c r="B67" i="1"/>
  <c r="A68" i="1"/>
  <c r="F67" i="1"/>
  <c r="A71" i="4"/>
  <c r="M70" i="4"/>
  <c r="G67" i="1"/>
  <c r="E68" i="1"/>
  <c r="D67" i="1"/>
  <c r="C68" i="1"/>
  <c r="B68" i="1"/>
  <c r="A69" i="1"/>
  <c r="F68" i="1"/>
  <c r="A72" i="4"/>
  <c r="M71" i="4"/>
  <c r="G68" i="1"/>
  <c r="D68" i="1"/>
  <c r="E69" i="1"/>
  <c r="C69" i="1"/>
  <c r="B69" i="1"/>
  <c r="A70" i="1"/>
  <c r="F69" i="1"/>
  <c r="A73" i="4"/>
  <c r="M72" i="4"/>
  <c r="C70" i="1"/>
  <c r="B70" i="1"/>
  <c r="A71" i="1"/>
  <c r="D69" i="1"/>
  <c r="G69" i="1"/>
  <c r="E70" i="1"/>
  <c r="F70" i="1"/>
  <c r="A74" i="4"/>
  <c r="M73" i="4"/>
  <c r="C71" i="1"/>
  <c r="B71" i="1"/>
  <c r="A72" i="1"/>
  <c r="G70" i="1"/>
  <c r="D70" i="1"/>
  <c r="E71" i="1"/>
  <c r="F71" i="1"/>
  <c r="M74" i="4"/>
  <c r="A75" i="4"/>
  <c r="C72" i="1"/>
  <c r="B72" i="1"/>
  <c r="A73" i="1"/>
  <c r="E72" i="1"/>
  <c r="G71" i="1"/>
  <c r="D71" i="1"/>
  <c r="F72" i="1"/>
  <c r="A76" i="4"/>
  <c r="M75" i="4"/>
  <c r="C73" i="1"/>
  <c r="B73" i="1"/>
  <c r="A74" i="1"/>
  <c r="D72" i="1"/>
  <c r="G72" i="1"/>
  <c r="E73" i="1"/>
  <c r="F73" i="1"/>
  <c r="M76" i="4"/>
  <c r="A77" i="4"/>
  <c r="G73" i="1"/>
  <c r="F74" i="1"/>
  <c r="D73" i="1"/>
  <c r="E74" i="1"/>
  <c r="C74" i="1"/>
  <c r="B74" i="1"/>
  <c r="A75" i="1"/>
  <c r="M77" i="4"/>
  <c r="A78" i="4"/>
  <c r="C75" i="1"/>
  <c r="B75" i="1"/>
  <c r="A76" i="1"/>
  <c r="D74" i="1"/>
  <c r="G74" i="1"/>
  <c r="F75" i="1"/>
  <c r="E75" i="1"/>
  <c r="M78" i="4"/>
  <c r="A79" i="4"/>
  <c r="E76" i="1"/>
  <c r="G75" i="1"/>
  <c r="F76" i="1"/>
  <c r="D75" i="1"/>
  <c r="C76" i="1"/>
  <c r="B76" i="1"/>
  <c r="A77" i="1"/>
  <c r="M79" i="4"/>
  <c r="A80" i="4"/>
  <c r="C77" i="1"/>
  <c r="B77" i="1"/>
  <c r="A78" i="1"/>
  <c r="D76" i="1"/>
  <c r="E77" i="1"/>
  <c r="G76" i="1"/>
  <c r="F77" i="1"/>
  <c r="A81" i="4"/>
  <c r="M80" i="4"/>
  <c r="D77" i="1"/>
  <c r="G77" i="1"/>
  <c r="F78" i="1"/>
  <c r="E78" i="1"/>
  <c r="C78" i="1"/>
  <c r="B78" i="1"/>
  <c r="A79" i="1"/>
  <c r="A82" i="4"/>
  <c r="M81" i="4"/>
  <c r="A80" i="1"/>
  <c r="C79" i="1"/>
  <c r="B79" i="1"/>
  <c r="E79" i="1"/>
  <c r="G78" i="1"/>
  <c r="F79" i="1"/>
  <c r="D78" i="1"/>
  <c r="M82" i="4"/>
  <c r="A83" i="4"/>
  <c r="D79" i="1"/>
  <c r="G79" i="1"/>
  <c r="F80" i="1"/>
  <c r="E80" i="1"/>
  <c r="C80" i="1"/>
  <c r="B80" i="1"/>
  <c r="A81" i="1"/>
  <c r="A84" i="4"/>
  <c r="M83" i="4"/>
  <c r="C81" i="1"/>
  <c r="B81" i="1"/>
  <c r="A82" i="1"/>
  <c r="E81" i="1"/>
  <c r="D80" i="1"/>
  <c r="G80" i="1"/>
  <c r="F81" i="1"/>
  <c r="A85" i="4"/>
  <c r="M84" i="4"/>
  <c r="C82" i="1"/>
  <c r="B82" i="1"/>
  <c r="A83" i="1"/>
  <c r="G81" i="1"/>
  <c r="F82" i="1"/>
  <c r="D81" i="1"/>
  <c r="E82" i="1"/>
  <c r="A86" i="4"/>
  <c r="M85" i="4"/>
  <c r="G82" i="1"/>
  <c r="F83" i="1"/>
  <c r="D82" i="1"/>
  <c r="E83" i="1"/>
  <c r="C83" i="1"/>
  <c r="B83" i="1"/>
  <c r="A84" i="1"/>
  <c r="A87" i="4"/>
  <c r="M86" i="4"/>
  <c r="C84" i="1"/>
  <c r="B84" i="1"/>
  <c r="A85" i="1"/>
  <c r="D83" i="1"/>
  <c r="E84" i="1"/>
  <c r="G83" i="1"/>
  <c r="F84" i="1"/>
  <c r="M87" i="4"/>
  <c r="A88" i="4"/>
  <c r="G84" i="1"/>
  <c r="F85" i="1"/>
  <c r="D84" i="1"/>
  <c r="E85" i="1"/>
  <c r="C85" i="1"/>
  <c r="B85" i="1"/>
  <c r="A86" i="1"/>
  <c r="M88" i="4"/>
  <c r="A89" i="4"/>
  <c r="A87" i="1"/>
  <c r="C86" i="1"/>
  <c r="B86" i="1"/>
  <c r="D85" i="1"/>
  <c r="G85" i="1"/>
  <c r="F86" i="1"/>
  <c r="E86" i="1"/>
  <c r="A90" i="4"/>
  <c r="M89" i="4"/>
  <c r="G86" i="1"/>
  <c r="F87" i="1"/>
  <c r="E87" i="1"/>
  <c r="D86" i="1"/>
  <c r="C87" i="1"/>
  <c r="B87" i="1"/>
  <c r="A88" i="1"/>
  <c r="M90" i="4"/>
  <c r="A91" i="4"/>
  <c r="G87" i="1"/>
  <c r="F88" i="1"/>
  <c r="E88" i="1"/>
  <c r="D87" i="1"/>
  <c r="C88" i="1"/>
  <c r="B88" i="1"/>
  <c r="A89" i="1"/>
  <c r="A92" i="4"/>
  <c r="M91" i="4"/>
  <c r="D88" i="1"/>
  <c r="E89" i="1"/>
  <c r="G88" i="1"/>
  <c r="F89" i="1"/>
  <c r="C89" i="1"/>
  <c r="B89" i="1"/>
  <c r="A90" i="1"/>
  <c r="M92" i="4"/>
  <c r="A93" i="4"/>
  <c r="G89" i="1"/>
  <c r="F90" i="1"/>
  <c r="D89" i="1"/>
  <c r="E90" i="1"/>
  <c r="C90" i="1"/>
  <c r="B90" i="1"/>
  <c r="A91" i="1"/>
  <c r="M93" i="4"/>
  <c r="A94" i="4"/>
  <c r="C91" i="1"/>
  <c r="B91" i="1"/>
  <c r="A92" i="1"/>
  <c r="E91" i="1"/>
  <c r="G90" i="1"/>
  <c r="F91" i="1"/>
  <c r="D90" i="1"/>
  <c r="A95" i="4"/>
  <c r="M94" i="4"/>
  <c r="C92" i="1"/>
  <c r="B92" i="1"/>
  <c r="A93" i="1"/>
  <c r="G91" i="1"/>
  <c r="F92" i="1"/>
  <c r="D91" i="1"/>
  <c r="E92" i="1"/>
  <c r="M95" i="4"/>
  <c r="A96" i="4"/>
  <c r="E93" i="1"/>
  <c r="D92" i="1"/>
  <c r="G92" i="1"/>
  <c r="F93" i="1"/>
  <c r="A94" i="1"/>
  <c r="C93" i="1"/>
  <c r="B93" i="1"/>
  <c r="M96" i="4"/>
  <c r="A97" i="4"/>
  <c r="C94" i="1"/>
  <c r="B94" i="1"/>
  <c r="A95" i="1"/>
  <c r="D93" i="1"/>
  <c r="G93" i="1"/>
  <c r="F94" i="1"/>
  <c r="E94" i="1"/>
  <c r="A98" i="4"/>
  <c r="M97" i="4"/>
  <c r="C95" i="1"/>
  <c r="B95" i="1"/>
  <c r="A96" i="1"/>
  <c r="E95" i="1"/>
  <c r="G94" i="1"/>
  <c r="F95" i="1"/>
  <c r="D94" i="1"/>
  <c r="A99" i="4"/>
  <c r="M98" i="4"/>
  <c r="C96" i="1"/>
  <c r="B96" i="1"/>
  <c r="A97" i="1"/>
  <c r="E96" i="1"/>
  <c r="D95" i="1"/>
  <c r="G95" i="1"/>
  <c r="F96" i="1"/>
  <c r="A100" i="4"/>
  <c r="M99" i="4"/>
  <c r="C97" i="1"/>
  <c r="B97" i="1"/>
  <c r="A98" i="1"/>
  <c r="G96" i="1"/>
  <c r="F97" i="1"/>
  <c r="D96" i="1"/>
  <c r="E97" i="1"/>
  <c r="A101" i="4"/>
  <c r="M100" i="4"/>
  <c r="A99" i="1"/>
  <c r="C98" i="1"/>
  <c r="B98" i="1"/>
  <c r="G97" i="1"/>
  <c r="F98" i="1"/>
  <c r="D97" i="1"/>
  <c r="E98" i="1"/>
  <c r="M101" i="4"/>
  <c r="A102" i="4"/>
  <c r="G98" i="1"/>
  <c r="F99" i="1"/>
  <c r="D98" i="1"/>
  <c r="E99" i="1"/>
  <c r="C99" i="1"/>
  <c r="B99" i="1"/>
  <c r="A100" i="1"/>
  <c r="A103" i="4"/>
  <c r="M102" i="4"/>
  <c r="C100" i="1"/>
  <c r="B100" i="1"/>
  <c r="A101" i="1"/>
  <c r="G99" i="1"/>
  <c r="E100" i="1"/>
  <c r="D99" i="1"/>
  <c r="F100" i="1"/>
  <c r="M103" i="4"/>
  <c r="A104" i="4"/>
  <c r="D100" i="1"/>
  <c r="G100" i="1"/>
  <c r="E101" i="1"/>
  <c r="C101" i="1"/>
  <c r="B101" i="1"/>
  <c r="A102" i="1"/>
  <c r="F101" i="1"/>
  <c r="M104" i="4"/>
  <c r="A105" i="4"/>
  <c r="A103" i="1"/>
  <c r="C102" i="1"/>
  <c r="B102" i="1"/>
  <c r="G101" i="1"/>
  <c r="D101" i="1"/>
  <c r="E102" i="1"/>
  <c r="F102" i="1"/>
  <c r="M105" i="4"/>
  <c r="A106" i="4"/>
  <c r="G102" i="1"/>
  <c r="F103" i="1"/>
  <c r="D102" i="1"/>
  <c r="E103" i="1"/>
  <c r="C103" i="1"/>
  <c r="B103" i="1"/>
  <c r="A104" i="1"/>
  <c r="M106" i="4"/>
  <c r="A107" i="4"/>
  <c r="C104" i="1"/>
  <c r="B104" i="1"/>
  <c r="A105" i="1"/>
  <c r="G103" i="1"/>
  <c r="F104" i="1"/>
  <c r="D103" i="1"/>
  <c r="E104" i="1"/>
  <c r="M107" i="4"/>
  <c r="A108" i="4"/>
  <c r="C105" i="1"/>
  <c r="B105" i="1"/>
  <c r="A106" i="1"/>
  <c r="D104" i="1"/>
  <c r="G104" i="1"/>
  <c r="F105" i="1"/>
  <c r="E105" i="1"/>
  <c r="M108" i="4"/>
  <c r="A109" i="4"/>
  <c r="G105" i="1"/>
  <c r="F106" i="1"/>
  <c r="D105" i="1"/>
  <c r="E106" i="1"/>
  <c r="C106" i="1"/>
  <c r="B106" i="1"/>
  <c r="A107" i="1"/>
  <c r="A110" i="4"/>
  <c r="M109" i="4"/>
  <c r="C107" i="1"/>
  <c r="B107" i="1"/>
  <c r="A108" i="1"/>
  <c r="D106" i="1"/>
  <c r="E107" i="1"/>
  <c r="G106" i="1"/>
  <c r="F107" i="1"/>
  <c r="M110" i="4"/>
  <c r="A111" i="4"/>
  <c r="G107" i="1"/>
  <c r="F108" i="1" s="1"/>
  <c r="D107" i="1"/>
  <c r="E108" i="1"/>
  <c r="C108" i="1"/>
  <c r="B108" i="1"/>
  <c r="A109" i="1"/>
  <c r="M111" i="4"/>
  <c r="A112" i="4"/>
  <c r="A110" i="1"/>
  <c r="C109" i="1"/>
  <c r="B109" i="1"/>
  <c r="G108" i="1"/>
  <c r="D108" i="1"/>
  <c r="A113" i="4"/>
  <c r="M112" i="4"/>
  <c r="C110" i="1"/>
  <c r="B110" i="1"/>
  <c r="A111" i="1"/>
  <c r="A114" i="4"/>
  <c r="M113" i="4"/>
  <c r="C111" i="1"/>
  <c r="B111" i="1"/>
  <c r="A112" i="1"/>
  <c r="M114" i="4"/>
  <c r="A115" i="4"/>
  <c r="C112" i="1"/>
  <c r="B112" i="1"/>
  <c r="A113" i="1"/>
  <c r="M115" i="4"/>
  <c r="A116" i="4"/>
  <c r="A114" i="1"/>
  <c r="C113" i="1"/>
  <c r="B113" i="1"/>
  <c r="A117" i="4"/>
  <c r="M116" i="4"/>
  <c r="C114" i="1"/>
  <c r="B114" i="1"/>
  <c r="A115" i="1"/>
  <c r="M117" i="4"/>
  <c r="A118" i="4"/>
  <c r="C115" i="1"/>
  <c r="B115" i="1"/>
  <c r="A116" i="1"/>
  <c r="A119" i="4"/>
  <c r="M118" i="4"/>
  <c r="A117" i="1"/>
  <c r="C116" i="1"/>
  <c r="B116" i="1"/>
  <c r="A120" i="4"/>
  <c r="M119" i="4"/>
  <c r="A118" i="1"/>
  <c r="C117" i="1"/>
  <c r="B117" i="1"/>
  <c r="M120" i="4"/>
  <c r="A121" i="4"/>
  <c r="A119" i="1"/>
  <c r="C118" i="1"/>
  <c r="B118" i="1"/>
  <c r="M121" i="4"/>
  <c r="A122" i="4"/>
  <c r="C119" i="1"/>
  <c r="B119" i="1"/>
  <c r="A120" i="1"/>
  <c r="M122" i="4"/>
  <c r="A123" i="4"/>
  <c r="C120" i="1"/>
  <c r="B120" i="1"/>
  <c r="A121" i="1"/>
  <c r="A124" i="4"/>
  <c r="M123" i="4"/>
  <c r="C121" i="1"/>
  <c r="B121" i="1"/>
  <c r="A122" i="1"/>
  <c r="A125" i="4"/>
  <c r="M124" i="4"/>
  <c r="C122" i="1"/>
  <c r="B122" i="1"/>
  <c r="A123" i="1"/>
  <c r="A126" i="4"/>
  <c r="M125" i="4"/>
  <c r="C123" i="1"/>
  <c r="B123" i="1"/>
  <c r="A124" i="1"/>
  <c r="A127" i="4"/>
  <c r="M126" i="4"/>
  <c r="A125" i="1"/>
  <c r="C124" i="1"/>
  <c r="B124" i="1"/>
  <c r="M127" i="4"/>
  <c r="A128" i="4"/>
  <c r="C125" i="1"/>
  <c r="B125" i="1"/>
  <c r="A126" i="1"/>
  <c r="A129" i="4"/>
  <c r="M128" i="4"/>
  <c r="C126" i="1"/>
  <c r="B126" i="1"/>
  <c r="A127" i="1"/>
  <c r="M129" i="4"/>
  <c r="A130" i="4"/>
  <c r="A128" i="1"/>
  <c r="C127" i="1"/>
  <c r="B127" i="1"/>
  <c r="A131" i="4"/>
  <c r="M130" i="4"/>
  <c r="C128" i="1"/>
  <c r="B128" i="1"/>
  <c r="A129" i="1"/>
  <c r="M131" i="4"/>
  <c r="A132" i="4"/>
  <c r="C129" i="1"/>
  <c r="B129" i="1"/>
  <c r="A130" i="1"/>
  <c r="M132" i="4"/>
  <c r="A133" i="4"/>
  <c r="C130" i="1"/>
  <c r="B130" i="1"/>
  <c r="A131" i="1"/>
  <c r="A134" i="4"/>
  <c r="M133" i="4"/>
  <c r="A132" i="1"/>
  <c r="C131" i="1"/>
  <c r="B131" i="1"/>
  <c r="M134" i="4"/>
  <c r="A135" i="4"/>
  <c r="C132" i="1"/>
  <c r="B132" i="1"/>
  <c r="A133" i="1"/>
  <c r="A136" i="4"/>
  <c r="M135" i="4"/>
  <c r="C133" i="1"/>
  <c r="B133" i="1"/>
  <c r="A134" i="1"/>
  <c r="A137" i="4"/>
  <c r="M136" i="4"/>
  <c r="A135" i="1"/>
  <c r="C134" i="1"/>
  <c r="B134" i="1"/>
  <c r="M137" i="4"/>
  <c r="A138" i="4"/>
  <c r="C135" i="1"/>
  <c r="B135" i="1"/>
  <c r="A136" i="1"/>
  <c r="M138" i="4"/>
  <c r="A139" i="4"/>
  <c r="C136" i="1"/>
  <c r="B136" i="1"/>
  <c r="A137" i="1"/>
  <c r="M139" i="4"/>
  <c r="A140" i="4"/>
  <c r="C137" i="1"/>
  <c r="B137" i="1"/>
  <c r="A138" i="1"/>
  <c r="A141" i="4"/>
  <c r="M140" i="4"/>
  <c r="C138" i="1"/>
  <c r="B138" i="1"/>
  <c r="A139" i="1"/>
  <c r="M141" i="4"/>
  <c r="A142" i="4"/>
  <c r="C139" i="1"/>
  <c r="B139" i="1"/>
  <c r="A140" i="1"/>
  <c r="A143" i="4"/>
  <c r="M142" i="4"/>
  <c r="A141" i="1"/>
  <c r="C140" i="1"/>
  <c r="B140" i="1"/>
  <c r="A144" i="4"/>
  <c r="M143" i="4"/>
  <c r="C141" i="1"/>
  <c r="B141" i="1"/>
  <c r="A142" i="1"/>
  <c r="A145" i="4"/>
  <c r="M144" i="4"/>
  <c r="C142" i="1"/>
  <c r="B142" i="1"/>
  <c r="A143" i="1"/>
  <c r="A146" i="4"/>
  <c r="M145" i="4"/>
  <c r="A144" i="1"/>
  <c r="C143" i="1"/>
  <c r="B143" i="1"/>
  <c r="A147" i="4"/>
  <c r="M146" i="4"/>
  <c r="C144" i="1"/>
  <c r="B144" i="1"/>
  <c r="A145" i="1"/>
  <c r="M147" i="4"/>
  <c r="A148" i="4"/>
  <c r="C145" i="1"/>
  <c r="B145" i="1"/>
  <c r="A146" i="1"/>
  <c r="M148" i="4"/>
  <c r="A149" i="4"/>
  <c r="A147" i="1"/>
  <c r="C146" i="1"/>
  <c r="B146" i="1"/>
  <c r="A150" i="4"/>
  <c r="M149" i="4"/>
  <c r="C147" i="1"/>
  <c r="B147" i="1"/>
  <c r="A148" i="1"/>
  <c r="M150" i="4"/>
  <c r="A151" i="4"/>
  <c r="A149" i="1"/>
  <c r="C148" i="1"/>
  <c r="B148" i="1"/>
  <c r="A152" i="4"/>
  <c r="M151" i="4"/>
  <c r="C149" i="1"/>
  <c r="B149" i="1"/>
  <c r="A150" i="1"/>
  <c r="M152" i="4"/>
  <c r="A153" i="4"/>
  <c r="C150" i="1"/>
  <c r="B150" i="1"/>
  <c r="A151" i="1"/>
  <c r="A154" i="4"/>
  <c r="M153" i="4"/>
  <c r="C151" i="1"/>
  <c r="B151" i="1"/>
  <c r="A152" i="1"/>
  <c r="A155" i="4"/>
  <c r="M154" i="4"/>
  <c r="A153" i="1"/>
  <c r="C152" i="1"/>
  <c r="B152" i="1"/>
  <c r="M155" i="4"/>
  <c r="A156" i="4"/>
  <c r="C153" i="1"/>
  <c r="B153" i="1"/>
  <c r="A154" i="1"/>
  <c r="A157" i="4"/>
  <c r="M156" i="4"/>
  <c r="A155" i="1"/>
  <c r="C154" i="1"/>
  <c r="B154" i="1"/>
  <c r="A158" i="4"/>
  <c r="M157" i="4"/>
  <c r="C155" i="1"/>
  <c r="B155" i="1"/>
  <c r="A156" i="1"/>
  <c r="M158" i="4"/>
  <c r="A159" i="4"/>
  <c r="C156" i="1"/>
  <c r="B156" i="1"/>
  <c r="A157" i="1"/>
  <c r="M159" i="4"/>
  <c r="A160" i="4"/>
  <c r="C157" i="1"/>
  <c r="B157" i="1"/>
  <c r="A158" i="1"/>
  <c r="A161" i="4"/>
  <c r="M160" i="4"/>
  <c r="C158" i="1"/>
  <c r="B158" i="1"/>
  <c r="A159" i="1"/>
  <c r="A162" i="4"/>
  <c r="M161" i="4"/>
  <c r="C159" i="1"/>
  <c r="B159" i="1"/>
  <c r="A160" i="1"/>
  <c r="M162" i="4"/>
  <c r="A163" i="4"/>
  <c r="C160" i="1"/>
  <c r="B160" i="1"/>
  <c r="A161" i="1"/>
  <c r="A164" i="4"/>
  <c r="M163" i="4"/>
  <c r="C161" i="1"/>
  <c r="B161" i="1"/>
  <c r="A162" i="1"/>
  <c r="M164" i="4"/>
  <c r="A165" i="4"/>
  <c r="A163" i="1"/>
  <c r="C162" i="1"/>
  <c r="B162" i="1"/>
  <c r="A166" i="4"/>
  <c r="M165" i="4"/>
  <c r="C163" i="1"/>
  <c r="B163" i="1"/>
  <c r="A164" i="1"/>
  <c r="A167" i="4"/>
  <c r="M166" i="4"/>
  <c r="C164" i="1"/>
  <c r="B164" i="1"/>
  <c r="A165" i="1"/>
  <c r="A168" i="4"/>
  <c r="M167" i="4"/>
  <c r="C165" i="1"/>
  <c r="B165" i="1"/>
  <c r="A166" i="1"/>
  <c r="A169" i="4"/>
  <c r="M168" i="4"/>
  <c r="C166" i="1"/>
  <c r="B166" i="1"/>
  <c r="A167" i="1"/>
  <c r="M169" i="4"/>
  <c r="A170" i="4"/>
  <c r="C167" i="1"/>
  <c r="B167" i="1"/>
  <c r="A168" i="1"/>
  <c r="M170" i="4"/>
  <c r="A171" i="4"/>
  <c r="C168" i="1"/>
  <c r="B168" i="1"/>
  <c r="A169" i="1"/>
  <c r="M171" i="4"/>
  <c r="A172" i="4"/>
  <c r="C169" i="1"/>
  <c r="B169" i="1"/>
  <c r="A170" i="1"/>
  <c r="A173" i="4"/>
  <c r="M172" i="4"/>
  <c r="A171" i="1"/>
  <c r="C170" i="1"/>
  <c r="B170" i="1"/>
  <c r="M173" i="4"/>
  <c r="A174" i="4"/>
  <c r="C171" i="1"/>
  <c r="B171" i="1"/>
  <c r="A172" i="1"/>
  <c r="M174" i="4"/>
  <c r="A175" i="4"/>
  <c r="C172" i="1"/>
  <c r="B172" i="1"/>
  <c r="A173" i="1"/>
  <c r="M175" i="4"/>
  <c r="A176" i="4"/>
  <c r="C173" i="1"/>
  <c r="B173" i="1"/>
  <c r="A174" i="1"/>
  <c r="M176" i="4"/>
  <c r="A177" i="4"/>
  <c r="C174" i="1"/>
  <c r="B174" i="1"/>
  <c r="A175" i="1"/>
  <c r="A178" i="4"/>
  <c r="M177" i="4"/>
  <c r="A176" i="1"/>
  <c r="C175" i="1"/>
  <c r="B175" i="1"/>
  <c r="M178" i="4"/>
  <c r="A179" i="4"/>
  <c r="C176" i="1"/>
  <c r="B176" i="1"/>
  <c r="A177" i="1"/>
  <c r="A180" i="4"/>
  <c r="M179" i="4"/>
  <c r="C177" i="1"/>
  <c r="B177" i="1"/>
  <c r="A178" i="1"/>
  <c r="A181" i="4"/>
  <c r="M180" i="4"/>
  <c r="C178" i="1"/>
  <c r="B178" i="1"/>
  <c r="A179" i="1"/>
  <c r="M181" i="4"/>
  <c r="A182" i="4"/>
  <c r="C179" i="1"/>
  <c r="B179" i="1"/>
  <c r="A180" i="1"/>
  <c r="A183" i="4"/>
  <c r="M182" i="4"/>
  <c r="C180" i="1"/>
  <c r="B180" i="1"/>
  <c r="A181" i="1"/>
  <c r="M183" i="4"/>
  <c r="A184" i="4"/>
  <c r="C181" i="1"/>
  <c r="B181" i="1"/>
  <c r="A182" i="1"/>
  <c r="A185" i="4"/>
  <c r="M184" i="4"/>
  <c r="C182" i="1"/>
  <c r="B182" i="1"/>
  <c r="A183" i="1"/>
  <c r="A186" i="4"/>
  <c r="M185" i="4"/>
  <c r="C183" i="1"/>
  <c r="B183" i="1"/>
  <c r="A184" i="1"/>
  <c r="A187" i="4"/>
  <c r="M186" i="4"/>
  <c r="C184" i="1"/>
  <c r="B184" i="1"/>
  <c r="A185" i="1"/>
  <c r="M187" i="4"/>
  <c r="A188" i="4"/>
  <c r="C185" i="1"/>
  <c r="B185" i="1"/>
  <c r="A186" i="1"/>
  <c r="M188" i="4"/>
  <c r="A189" i="4"/>
  <c r="C186" i="1"/>
  <c r="B186" i="1"/>
  <c r="A187" i="1"/>
  <c r="M189" i="4"/>
  <c r="A190" i="4"/>
  <c r="C187" i="1"/>
  <c r="B187" i="1"/>
  <c r="A188" i="1"/>
  <c r="M190" i="4"/>
  <c r="A191" i="4"/>
  <c r="C188" i="1"/>
  <c r="B188" i="1"/>
  <c r="A189" i="1"/>
  <c r="A192" i="4"/>
  <c r="M191" i="4"/>
  <c r="C189" i="1"/>
  <c r="B189" i="1"/>
  <c r="A190" i="1"/>
  <c r="M192" i="4"/>
  <c r="A193" i="4"/>
  <c r="C190" i="1"/>
  <c r="B190" i="1"/>
  <c r="A191" i="1"/>
  <c r="M193" i="4"/>
  <c r="A194" i="4"/>
  <c r="C191" i="1"/>
  <c r="B191" i="1"/>
  <c r="A192" i="1"/>
  <c r="A195" i="4"/>
  <c r="M194" i="4"/>
  <c r="C192" i="1"/>
  <c r="B192" i="1"/>
  <c r="A193" i="1"/>
  <c r="A196" i="4"/>
  <c r="M195" i="4"/>
  <c r="C193" i="1"/>
  <c r="B193" i="1"/>
  <c r="A194" i="1"/>
  <c r="M196" i="4"/>
  <c r="A197" i="4"/>
  <c r="C194" i="1"/>
  <c r="B194" i="1"/>
  <c r="A195" i="1"/>
  <c r="A198" i="4"/>
  <c r="M197" i="4"/>
  <c r="C195" i="1"/>
  <c r="B195" i="1"/>
  <c r="A196" i="1"/>
  <c r="M198" i="4"/>
  <c r="A199" i="4"/>
  <c r="C196" i="1"/>
  <c r="B196" i="1"/>
  <c r="A197" i="1"/>
  <c r="A200" i="4"/>
  <c r="M199" i="4"/>
  <c r="C197" i="1"/>
  <c r="B197" i="1"/>
  <c r="A198" i="1"/>
  <c r="M200" i="4"/>
  <c r="A201" i="4"/>
  <c r="C198" i="1"/>
  <c r="B198" i="1"/>
  <c r="A199" i="1"/>
  <c r="M201" i="4"/>
  <c r="A202" i="4"/>
  <c r="C199" i="1"/>
  <c r="B199" i="1"/>
  <c r="A200" i="1"/>
  <c r="M202" i="4"/>
  <c r="A203" i="4"/>
  <c r="C200" i="1"/>
  <c r="B200" i="1"/>
  <c r="A201" i="1"/>
  <c r="M203" i="4"/>
  <c r="A204" i="4"/>
  <c r="C201" i="1"/>
  <c r="B201" i="1"/>
  <c r="A202" i="1"/>
  <c r="M204" i="4"/>
  <c r="A205" i="4"/>
  <c r="C202" i="1"/>
  <c r="B202" i="1"/>
  <c r="A203" i="1"/>
  <c r="M205" i="4"/>
  <c r="A206" i="4"/>
  <c r="C203" i="1"/>
  <c r="B203" i="1"/>
  <c r="A204" i="1"/>
  <c r="A207" i="4"/>
  <c r="M206" i="4"/>
  <c r="C204" i="1"/>
  <c r="B204" i="1"/>
  <c r="A205" i="1"/>
  <c r="M207" i="4"/>
  <c r="A208" i="4"/>
  <c r="C205" i="1"/>
  <c r="B205" i="1"/>
  <c r="A206" i="1"/>
  <c r="M208" i="4"/>
  <c r="A209" i="4"/>
  <c r="C206" i="1"/>
  <c r="B206" i="1"/>
  <c r="A207" i="1"/>
  <c r="A210" i="4"/>
  <c r="M209" i="4"/>
  <c r="C207" i="1"/>
  <c r="B207" i="1"/>
  <c r="A208" i="1"/>
  <c r="M210" i="4"/>
  <c r="A211" i="4"/>
  <c r="C208" i="1"/>
  <c r="B208" i="1"/>
  <c r="A209" i="1"/>
  <c r="A212" i="4"/>
  <c r="M211" i="4"/>
  <c r="A210" i="1"/>
  <c r="C209" i="1"/>
  <c r="B209" i="1"/>
  <c r="M212" i="4"/>
  <c r="A213" i="4"/>
  <c r="C210" i="1"/>
  <c r="B210" i="1"/>
  <c r="A211" i="1"/>
  <c r="A214" i="4"/>
  <c r="M213" i="4"/>
  <c r="C211" i="1"/>
  <c r="B211" i="1"/>
  <c r="A212" i="1"/>
  <c r="M214" i="4"/>
  <c r="A215" i="4"/>
  <c r="C212" i="1"/>
  <c r="B212" i="1"/>
  <c r="A213" i="1"/>
  <c r="M215" i="4"/>
  <c r="A216" i="4"/>
  <c r="C213" i="1"/>
  <c r="B213" i="1"/>
  <c r="A214" i="1"/>
  <c r="A217" i="4"/>
  <c r="M216" i="4"/>
  <c r="C214" i="1"/>
  <c r="B214" i="1"/>
  <c r="A215" i="1"/>
  <c r="M217" i="4"/>
  <c r="A218" i="4"/>
  <c r="C215" i="1"/>
  <c r="B215" i="1"/>
  <c r="A216" i="1"/>
  <c r="M218" i="4"/>
  <c r="A219" i="4"/>
  <c r="C216" i="1"/>
  <c r="B216" i="1"/>
  <c r="A217" i="1"/>
  <c r="A220" i="4"/>
  <c r="M219" i="4"/>
  <c r="C217" i="1"/>
  <c r="B217" i="1"/>
  <c r="A218" i="1"/>
  <c r="A221" i="4"/>
  <c r="M220" i="4"/>
  <c r="C218" i="1"/>
  <c r="B218" i="1"/>
  <c r="A219" i="1"/>
  <c r="A222" i="4"/>
  <c r="M221" i="4"/>
  <c r="C219" i="1"/>
  <c r="B219" i="1"/>
  <c r="A220" i="1"/>
  <c r="A223" i="4"/>
  <c r="M222" i="4"/>
  <c r="C220" i="1"/>
  <c r="B220" i="1"/>
  <c r="A221" i="1"/>
  <c r="M223" i="4"/>
  <c r="A224" i="4"/>
  <c r="C221" i="1"/>
  <c r="B221" i="1"/>
  <c r="A222" i="1"/>
  <c r="A225" i="4"/>
  <c r="M224" i="4"/>
  <c r="C222" i="1"/>
  <c r="B222" i="1"/>
  <c r="A223" i="1"/>
  <c r="A226" i="4"/>
  <c r="M225" i="4"/>
  <c r="C223" i="1"/>
  <c r="B223" i="1"/>
  <c r="A224" i="1"/>
  <c r="A227" i="4"/>
  <c r="M226" i="4"/>
  <c r="C224" i="1"/>
  <c r="B224" i="1"/>
  <c r="A225" i="1"/>
  <c r="M227" i="4"/>
  <c r="A228" i="4"/>
  <c r="C225" i="1"/>
  <c r="B225" i="1"/>
  <c r="A226" i="1"/>
  <c r="M228" i="4"/>
  <c r="A229" i="4"/>
  <c r="C226" i="1"/>
  <c r="B226" i="1"/>
  <c r="A227" i="1"/>
  <c r="M229" i="4"/>
  <c r="A230" i="4"/>
  <c r="C227" i="1"/>
  <c r="B227" i="1"/>
  <c r="A228" i="1"/>
  <c r="M230" i="4"/>
  <c r="A231" i="4"/>
  <c r="C228" i="1"/>
  <c r="B228" i="1"/>
  <c r="A229" i="1"/>
  <c r="A232" i="4"/>
  <c r="M231" i="4"/>
  <c r="C229" i="1"/>
  <c r="B229" i="1"/>
  <c r="A230" i="1"/>
  <c r="A233" i="4"/>
  <c r="M232" i="4"/>
  <c r="C230" i="1"/>
  <c r="B230" i="1"/>
  <c r="A231" i="1"/>
  <c r="M233" i="4"/>
  <c r="A234" i="4"/>
  <c r="C231" i="1"/>
  <c r="B231" i="1"/>
  <c r="A232" i="1"/>
  <c r="A235" i="4"/>
  <c r="M234" i="4"/>
  <c r="C232" i="1"/>
  <c r="B232" i="1"/>
  <c r="A233" i="1"/>
  <c r="M235" i="4"/>
  <c r="A236" i="4"/>
  <c r="C233" i="1"/>
  <c r="B233" i="1"/>
  <c r="A234" i="1"/>
  <c r="A237" i="4"/>
  <c r="M236" i="4"/>
  <c r="C234" i="1"/>
  <c r="B234" i="1"/>
  <c r="A235" i="1"/>
  <c r="M237" i="4"/>
  <c r="A238" i="4"/>
  <c r="C235" i="1"/>
  <c r="B235" i="1"/>
  <c r="A236" i="1"/>
  <c r="A239" i="4"/>
  <c r="M238" i="4"/>
  <c r="C236" i="1"/>
  <c r="B236" i="1"/>
  <c r="A237" i="1"/>
  <c r="A240" i="4"/>
  <c r="M239" i="4"/>
  <c r="C237" i="1"/>
  <c r="B237" i="1"/>
  <c r="A238" i="1"/>
  <c r="M240" i="4"/>
  <c r="A241" i="4"/>
  <c r="C238" i="1"/>
  <c r="B238" i="1"/>
  <c r="A239" i="1"/>
  <c r="A242" i="4"/>
  <c r="M241" i="4"/>
  <c r="C239" i="1"/>
  <c r="B239" i="1"/>
  <c r="A240" i="1"/>
  <c r="A243" i="4"/>
  <c r="M242" i="4"/>
  <c r="C240" i="1"/>
  <c r="B240" i="1"/>
  <c r="A241" i="1"/>
  <c r="A244" i="4"/>
  <c r="M243" i="4"/>
  <c r="C241" i="1"/>
  <c r="B241" i="1"/>
  <c r="A242" i="1"/>
  <c r="A245" i="4"/>
  <c r="M244" i="4"/>
  <c r="C242" i="1"/>
  <c r="B242" i="1"/>
  <c r="A243" i="1"/>
  <c r="M245" i="4"/>
  <c r="A246" i="4"/>
  <c r="C243" i="1"/>
  <c r="B243" i="1"/>
  <c r="A244" i="1"/>
  <c r="A247" i="4"/>
  <c r="M246" i="4"/>
  <c r="C244" i="1"/>
  <c r="B244" i="1"/>
  <c r="A245" i="1"/>
  <c r="M247" i="4"/>
  <c r="A248" i="4"/>
  <c r="C245" i="1"/>
  <c r="B245" i="1"/>
  <c r="A246" i="1"/>
  <c r="A249" i="4"/>
  <c r="M248" i="4"/>
  <c r="C246" i="1"/>
  <c r="B246" i="1"/>
  <c r="A247" i="1"/>
  <c r="M249" i="4"/>
  <c r="A250" i="4"/>
  <c r="C247" i="1"/>
  <c r="B247" i="1"/>
  <c r="A248" i="1"/>
  <c r="A251" i="4"/>
  <c r="M250" i="4"/>
  <c r="C248" i="1"/>
  <c r="B248" i="1"/>
  <c r="A249" i="1"/>
  <c r="A252" i="4"/>
  <c r="M251" i="4"/>
  <c r="C249" i="1"/>
  <c r="B249" i="1"/>
  <c r="A250" i="1"/>
  <c r="A253" i="4"/>
  <c r="M252" i="4"/>
  <c r="C250" i="1"/>
  <c r="B250" i="1"/>
  <c r="A251" i="1"/>
  <c r="A254" i="4"/>
  <c r="M253" i="4"/>
  <c r="C251" i="1"/>
  <c r="B251" i="1"/>
  <c r="A252" i="1"/>
  <c r="M254" i="4"/>
  <c r="A255" i="4"/>
  <c r="C252" i="1"/>
  <c r="B252" i="1"/>
  <c r="A253" i="1"/>
  <c r="M255" i="4"/>
  <c r="A256" i="4"/>
  <c r="C253" i="1"/>
  <c r="B253" i="1"/>
  <c r="A254" i="1"/>
  <c r="A257" i="4"/>
  <c r="M256" i="4"/>
  <c r="C254" i="1"/>
  <c r="B254" i="1"/>
  <c r="A255" i="1"/>
  <c r="A258" i="4"/>
  <c r="M257" i="4"/>
  <c r="C255" i="1"/>
  <c r="B255" i="1"/>
  <c r="A256" i="1"/>
  <c r="M258" i="4"/>
  <c r="A259" i="4"/>
  <c r="C256" i="1"/>
  <c r="B256" i="1"/>
  <c r="A257" i="1"/>
  <c r="A260" i="4"/>
  <c r="M259" i="4"/>
  <c r="C257" i="1"/>
  <c r="B257" i="1"/>
  <c r="A258" i="1"/>
  <c r="A261" i="4"/>
  <c r="M260" i="4"/>
  <c r="C258" i="1"/>
  <c r="B258" i="1"/>
  <c r="A259" i="1"/>
  <c r="A262" i="4"/>
  <c r="M261" i="4"/>
  <c r="C259" i="1"/>
  <c r="B259" i="1"/>
  <c r="A260" i="1"/>
  <c r="A263" i="4"/>
  <c r="M262" i="4"/>
  <c r="C260" i="1"/>
  <c r="B260" i="1"/>
  <c r="A261" i="1"/>
  <c r="A264" i="4"/>
  <c r="M263" i="4"/>
  <c r="A262" i="1"/>
  <c r="C261" i="1"/>
  <c r="B261" i="1"/>
  <c r="M264" i="4"/>
  <c r="A265" i="4"/>
  <c r="C262" i="1"/>
  <c r="B262" i="1"/>
  <c r="A263" i="1"/>
  <c r="A266" i="4"/>
  <c r="M265" i="4"/>
  <c r="C263" i="1"/>
  <c r="B263" i="1"/>
  <c r="A264" i="1"/>
  <c r="A267" i="4"/>
  <c r="M266" i="4"/>
  <c r="A265" i="1"/>
  <c r="C264" i="1"/>
  <c r="B264" i="1"/>
  <c r="M267" i="4"/>
  <c r="A268" i="4"/>
  <c r="C265" i="1"/>
  <c r="B265" i="1"/>
  <c r="A266" i="1"/>
  <c r="A269" i="4"/>
  <c r="M268" i="4"/>
  <c r="C266" i="1"/>
  <c r="B266" i="1"/>
  <c r="A267" i="1"/>
  <c r="M269" i="4"/>
  <c r="A270" i="4"/>
  <c r="C267" i="1"/>
  <c r="B267" i="1"/>
  <c r="A268" i="1"/>
  <c r="A271" i="4"/>
  <c r="M270" i="4"/>
  <c r="C268" i="1"/>
  <c r="B268" i="1"/>
  <c r="A269" i="1"/>
  <c r="M271" i="4"/>
  <c r="A272" i="4"/>
  <c r="C269" i="1"/>
  <c r="B269" i="1"/>
  <c r="A270" i="1"/>
  <c r="A273" i="4"/>
  <c r="M272" i="4"/>
  <c r="C270" i="1"/>
  <c r="B270" i="1"/>
  <c r="A271" i="1"/>
  <c r="M273" i="4"/>
  <c r="A274" i="4"/>
  <c r="C271" i="1"/>
  <c r="B271" i="1"/>
  <c r="A272" i="1"/>
  <c r="M274" i="4"/>
  <c r="A275" i="4"/>
  <c r="C272" i="1"/>
  <c r="B272" i="1"/>
  <c r="A273" i="1"/>
  <c r="A276" i="4"/>
  <c r="M275" i="4"/>
  <c r="C273" i="1"/>
  <c r="B273" i="1"/>
  <c r="A274" i="1"/>
  <c r="M276" i="4"/>
  <c r="A277" i="4"/>
  <c r="C274" i="1"/>
  <c r="B274" i="1"/>
  <c r="A275" i="1"/>
  <c r="M277" i="4"/>
  <c r="A278" i="4"/>
  <c r="C275" i="1"/>
  <c r="B275" i="1"/>
  <c r="A276" i="1"/>
  <c r="A279" i="4"/>
  <c r="M278" i="4"/>
  <c r="C276" i="1"/>
  <c r="B276" i="1"/>
  <c r="A277" i="1"/>
  <c r="A280" i="4"/>
  <c r="M279" i="4"/>
  <c r="C277" i="1"/>
  <c r="B277" i="1"/>
  <c r="A278" i="1"/>
  <c r="A281" i="4"/>
  <c r="M280" i="4"/>
  <c r="C278" i="1"/>
  <c r="B278" i="1"/>
  <c r="A279" i="1"/>
  <c r="M281" i="4"/>
  <c r="A282" i="4"/>
  <c r="C279" i="1"/>
  <c r="B279" i="1"/>
  <c r="A280" i="1"/>
  <c r="M282" i="4"/>
  <c r="A283" i="4"/>
  <c r="C280" i="1"/>
  <c r="B280" i="1"/>
  <c r="A281" i="1"/>
  <c r="M283" i="4"/>
  <c r="A284" i="4"/>
  <c r="C281" i="1"/>
  <c r="B281" i="1"/>
  <c r="A282" i="1"/>
  <c r="A285" i="4"/>
  <c r="M284" i="4"/>
  <c r="C282" i="1"/>
  <c r="B282" i="1"/>
  <c r="A283" i="1"/>
  <c r="A286" i="4"/>
  <c r="M285" i="4"/>
  <c r="C283" i="1"/>
  <c r="B283" i="1"/>
  <c r="A284" i="1"/>
  <c r="A287" i="4"/>
  <c r="M286" i="4"/>
  <c r="C284" i="1"/>
  <c r="B284" i="1"/>
  <c r="A285" i="1"/>
  <c r="M287" i="4"/>
  <c r="A288" i="4"/>
  <c r="C285" i="1"/>
  <c r="B285" i="1"/>
  <c r="A286" i="1"/>
  <c r="M288" i="4"/>
  <c r="A289" i="4"/>
  <c r="A287" i="1"/>
  <c r="C286" i="1"/>
  <c r="B286" i="1"/>
  <c r="A290" i="4"/>
  <c r="M289" i="4"/>
  <c r="C287" i="1"/>
  <c r="B287" i="1"/>
  <c r="A288" i="1"/>
  <c r="M290" i="4"/>
  <c r="A291" i="4"/>
  <c r="A289" i="1"/>
  <c r="C288" i="1"/>
  <c r="B288" i="1"/>
  <c r="A292" i="4"/>
  <c r="M291" i="4"/>
  <c r="C289" i="1"/>
  <c r="B289" i="1"/>
  <c r="A290" i="1"/>
  <c r="A293" i="4"/>
  <c r="M292" i="4"/>
  <c r="C290" i="1"/>
  <c r="B290" i="1"/>
  <c r="A291" i="1"/>
  <c r="M293" i="4"/>
  <c r="A294" i="4"/>
  <c r="C291" i="1"/>
  <c r="B291" i="1"/>
  <c r="A292" i="1"/>
  <c r="M294" i="4"/>
  <c r="A295" i="4"/>
  <c r="C292" i="1"/>
  <c r="B292" i="1"/>
  <c r="A293" i="1"/>
  <c r="M295" i="4"/>
  <c r="A296" i="4"/>
  <c r="C293" i="1"/>
  <c r="B293" i="1"/>
  <c r="A294" i="1"/>
  <c r="A297" i="4"/>
  <c r="M296" i="4"/>
  <c r="C294" i="1"/>
  <c r="B294" i="1"/>
  <c r="A295" i="1"/>
  <c r="M297" i="4"/>
  <c r="A298" i="4"/>
  <c r="C295" i="1"/>
  <c r="B295" i="1"/>
  <c r="A296" i="1"/>
  <c r="M298" i="4"/>
  <c r="A299" i="4"/>
  <c r="C296" i="1"/>
  <c r="B296" i="1"/>
  <c r="A297" i="1"/>
  <c r="A300" i="4"/>
  <c r="M299" i="4"/>
  <c r="C297" i="1"/>
  <c r="B297" i="1"/>
  <c r="A298" i="1"/>
  <c r="M300" i="4"/>
  <c r="A301" i="4"/>
  <c r="C298" i="1"/>
  <c r="B298" i="1"/>
  <c r="A299" i="1"/>
  <c r="A302" i="4"/>
  <c r="M301" i="4"/>
  <c r="C299" i="1"/>
  <c r="B299" i="1"/>
  <c r="A300" i="1"/>
  <c r="M302" i="4"/>
  <c r="A303" i="4"/>
  <c r="C300" i="1"/>
  <c r="B300" i="1"/>
  <c r="A301" i="1"/>
  <c r="M303" i="4"/>
  <c r="A304" i="4"/>
  <c r="C301" i="1"/>
  <c r="B301" i="1"/>
  <c r="A302" i="1"/>
  <c r="A305" i="4"/>
  <c r="M304" i="4"/>
  <c r="C302" i="1"/>
  <c r="B302" i="1"/>
  <c r="A303" i="1"/>
  <c r="A306" i="4"/>
  <c r="M305" i="4"/>
  <c r="C303" i="1"/>
  <c r="B303" i="1"/>
  <c r="A304" i="1"/>
  <c r="M306" i="4"/>
  <c r="A307" i="4"/>
  <c r="C304" i="1"/>
  <c r="B304" i="1"/>
  <c r="A305" i="1"/>
  <c r="M307" i="4"/>
  <c r="A308" i="4"/>
  <c r="C305" i="1"/>
  <c r="B305" i="1"/>
  <c r="A306" i="1"/>
  <c r="A309" i="4"/>
  <c r="M308" i="4"/>
  <c r="C306" i="1"/>
  <c r="B306" i="1"/>
  <c r="A307" i="1"/>
  <c r="A310" i="4"/>
  <c r="M309" i="4"/>
  <c r="C307" i="1"/>
  <c r="B307" i="1"/>
  <c r="A308" i="1"/>
  <c r="M310" i="4"/>
  <c r="A311" i="4"/>
  <c r="A309" i="1"/>
  <c r="C308" i="1"/>
  <c r="B308" i="1"/>
  <c r="M311" i="4"/>
  <c r="A312" i="4"/>
  <c r="C309" i="1"/>
  <c r="B309" i="1"/>
  <c r="A310" i="1"/>
  <c r="M312" i="4"/>
  <c r="A313" i="4"/>
  <c r="C310" i="1"/>
  <c r="B310" i="1"/>
  <c r="A311" i="1"/>
  <c r="A314" i="4"/>
  <c r="M313" i="4"/>
  <c r="C311" i="1"/>
  <c r="B311" i="1"/>
  <c r="A312" i="1"/>
  <c r="M314" i="4"/>
  <c r="A315" i="4"/>
  <c r="C312" i="1"/>
  <c r="B312" i="1"/>
  <c r="A313" i="1"/>
  <c r="M315" i="4"/>
  <c r="A316" i="4"/>
  <c r="C313" i="1"/>
  <c r="B313" i="1"/>
  <c r="A314" i="1"/>
  <c r="M316" i="4"/>
  <c r="A317" i="4"/>
  <c r="C314" i="1"/>
  <c r="B314" i="1"/>
  <c r="A315" i="1"/>
  <c r="M317" i="4"/>
  <c r="A318" i="4"/>
  <c r="C315" i="1"/>
  <c r="B315" i="1"/>
  <c r="A316" i="1"/>
  <c r="A319" i="4"/>
  <c r="M318" i="4"/>
  <c r="C316" i="1"/>
  <c r="B316" i="1"/>
  <c r="A317" i="1"/>
  <c r="M319" i="4"/>
  <c r="A320" i="4"/>
  <c r="C317" i="1"/>
  <c r="B317" i="1"/>
  <c r="A318" i="1"/>
  <c r="M320" i="4"/>
  <c r="A321" i="4"/>
  <c r="C318" i="1"/>
  <c r="B318" i="1"/>
  <c r="A319" i="1"/>
  <c r="M321" i="4"/>
  <c r="A322" i="4"/>
  <c r="C319" i="1"/>
  <c r="B319" i="1"/>
  <c r="A320" i="1"/>
  <c r="A323" i="4"/>
  <c r="M322" i="4"/>
  <c r="C320" i="1"/>
  <c r="B320" i="1"/>
  <c r="A321" i="1"/>
  <c r="A324" i="4"/>
  <c r="M323" i="4"/>
  <c r="C321" i="1"/>
  <c r="B321" i="1"/>
  <c r="A322" i="1"/>
  <c r="A325" i="4"/>
  <c r="M324" i="4"/>
  <c r="C322" i="1"/>
  <c r="B322" i="1"/>
  <c r="A323" i="1"/>
  <c r="A326" i="4"/>
  <c r="M325" i="4"/>
  <c r="C323" i="1"/>
  <c r="B323" i="1"/>
  <c r="A324" i="1"/>
  <c r="M326" i="4"/>
  <c r="A327" i="4"/>
  <c r="C324" i="1"/>
  <c r="B324" i="1"/>
  <c r="A325" i="1"/>
  <c r="A328" i="4"/>
  <c r="M327" i="4"/>
  <c r="C325" i="1"/>
  <c r="B325" i="1"/>
  <c r="A326" i="1"/>
  <c r="M328" i="4"/>
  <c r="A329" i="4"/>
  <c r="C326" i="1"/>
  <c r="B326" i="1"/>
  <c r="A327" i="1"/>
  <c r="M329" i="4"/>
  <c r="A330" i="4"/>
  <c r="C327" i="1"/>
  <c r="B327" i="1"/>
  <c r="A328" i="1"/>
  <c r="A331" i="4"/>
  <c r="M330" i="4"/>
  <c r="C328" i="1"/>
  <c r="B328" i="1"/>
  <c r="A329" i="1"/>
  <c r="M331" i="4"/>
  <c r="A332" i="4"/>
  <c r="C329" i="1"/>
  <c r="B329" i="1"/>
  <c r="A330" i="1"/>
  <c r="M332" i="4"/>
  <c r="A333" i="4"/>
  <c r="C330" i="1"/>
  <c r="B330" i="1"/>
  <c r="A331" i="1"/>
  <c r="A334" i="4"/>
  <c r="M333" i="4"/>
  <c r="C331" i="1"/>
  <c r="B331" i="1"/>
  <c r="A332" i="1"/>
  <c r="A335" i="4"/>
  <c r="M334" i="4"/>
  <c r="C332" i="1"/>
  <c r="B332" i="1"/>
  <c r="A333" i="1"/>
  <c r="M335" i="4"/>
  <c r="A336" i="4"/>
  <c r="C333" i="1"/>
  <c r="B333" i="1"/>
  <c r="A334" i="1"/>
  <c r="M336" i="4"/>
  <c r="A337" i="4"/>
  <c r="C334" i="1"/>
  <c r="B334" i="1"/>
  <c r="A335" i="1"/>
  <c r="M337" i="4"/>
  <c r="A338" i="4"/>
  <c r="C335" i="1"/>
  <c r="B335" i="1"/>
  <c r="A336" i="1"/>
  <c r="M338" i="4"/>
  <c r="A339" i="4"/>
  <c r="C336" i="1"/>
  <c r="B336" i="1"/>
  <c r="A337" i="1"/>
  <c r="A340" i="4"/>
  <c r="M339" i="4"/>
  <c r="C337" i="1"/>
  <c r="B337" i="1"/>
  <c r="A338" i="1"/>
  <c r="M340" i="4"/>
  <c r="A341" i="4"/>
  <c r="C338" i="1"/>
  <c r="B338" i="1"/>
  <c r="A339" i="1"/>
  <c r="A342" i="4"/>
  <c r="M341" i="4"/>
  <c r="C339" i="1"/>
  <c r="B339" i="1"/>
  <c r="A340" i="1"/>
  <c r="A343" i="4"/>
  <c r="M342" i="4"/>
  <c r="C340" i="1"/>
  <c r="B340" i="1"/>
  <c r="A341" i="1"/>
  <c r="M343" i="4"/>
  <c r="A344" i="4"/>
  <c r="C341" i="1"/>
  <c r="B341" i="1"/>
  <c r="A342" i="1"/>
  <c r="A345" i="4"/>
  <c r="M344" i="4"/>
  <c r="C342" i="1"/>
  <c r="B342" i="1"/>
  <c r="A343" i="1"/>
  <c r="A346" i="4"/>
  <c r="M345" i="4"/>
  <c r="C343" i="1"/>
  <c r="B343" i="1"/>
  <c r="A344" i="1"/>
  <c r="A347" i="4"/>
  <c r="M346" i="4"/>
  <c r="A345" i="1"/>
  <c r="C344" i="1"/>
  <c r="B344" i="1"/>
  <c r="A348" i="4"/>
  <c r="M347" i="4"/>
  <c r="C345" i="1"/>
  <c r="B345" i="1"/>
  <c r="A346" i="1"/>
  <c r="M348" i="4"/>
  <c r="A349" i="4"/>
  <c r="A347" i="1"/>
  <c r="C346" i="1"/>
  <c r="B346" i="1"/>
  <c r="A350" i="4"/>
  <c r="M349" i="4"/>
  <c r="C347" i="1"/>
  <c r="B347" i="1"/>
  <c r="A348" i="1"/>
  <c r="A351" i="4"/>
  <c r="M350" i="4"/>
  <c r="C348" i="1"/>
  <c r="B348" i="1"/>
  <c r="A349" i="1"/>
  <c r="M351" i="4"/>
  <c r="A352" i="4"/>
  <c r="C349" i="1"/>
  <c r="B349" i="1"/>
  <c r="A350" i="1"/>
  <c r="A353" i="4"/>
  <c r="M352" i="4"/>
  <c r="C350" i="1"/>
  <c r="B350" i="1"/>
  <c r="A351" i="1"/>
  <c r="M353" i="4"/>
  <c r="A354" i="4"/>
  <c r="C351" i="1"/>
  <c r="B351" i="1"/>
  <c r="A352" i="1"/>
  <c r="A355" i="4"/>
  <c r="M354" i="4"/>
  <c r="C352" i="1"/>
  <c r="B352" i="1"/>
  <c r="A353" i="1"/>
  <c r="M355" i="4"/>
  <c r="A356" i="4"/>
  <c r="C353" i="1"/>
  <c r="B353" i="1"/>
  <c r="A354" i="1"/>
  <c r="A357" i="4"/>
  <c r="M356" i="4"/>
  <c r="C354" i="1"/>
  <c r="B354" i="1"/>
  <c r="A355" i="1"/>
  <c r="M357" i="4"/>
  <c r="A358" i="4"/>
  <c r="C355" i="1"/>
  <c r="B355" i="1"/>
  <c r="A356" i="1"/>
  <c r="A359" i="4"/>
  <c r="M358" i="4"/>
  <c r="C356" i="1"/>
  <c r="B356" i="1"/>
  <c r="A357" i="1"/>
  <c r="A360" i="4"/>
  <c r="M359" i="4"/>
  <c r="C357" i="1"/>
  <c r="B357" i="1"/>
  <c r="A358" i="1"/>
  <c r="M360" i="4"/>
  <c r="C358" i="1"/>
  <c r="B358" i="1"/>
  <c r="A359" i="1"/>
  <c r="C359" i="1"/>
  <c r="B359" i="1"/>
  <c r="A10" i="2" a="1"/>
  <c r="A9" i="2" a="1"/>
  <c r="A10" i="2" l="1"/>
  <c r="D10" i="2" s="1"/>
  <c r="B10" i="2"/>
  <c r="C10" i="2"/>
  <c r="A9" i="2"/>
  <c r="B9" i="2"/>
  <c r="C9" i="2"/>
  <c r="D9" i="2"/>
  <c r="E109" i="1"/>
  <c r="F109" i="1"/>
  <c r="G11" i="4"/>
  <c r="C12" i="4"/>
  <c r="A11" i="2" a="1"/>
  <c r="A11" i="2" l="1"/>
  <c r="D11" i="2" s="1"/>
  <c r="B11" i="2"/>
  <c r="C11" i="2"/>
  <c r="B12" i="4"/>
  <c r="I12" i="4"/>
  <c r="J12" i="4"/>
  <c r="K12" i="4"/>
  <c r="L12" i="4"/>
  <c r="C13" i="4"/>
  <c r="E110" i="1"/>
  <c r="G109" i="1"/>
  <c r="F110" i="1" s="1"/>
  <c r="D109" i="1"/>
  <c r="A12" i="2" a="1"/>
  <c r="A12" i="2" l="1"/>
  <c r="D12" i="2" s="1"/>
  <c r="B12" i="2"/>
  <c r="C12" i="2"/>
  <c r="G110" i="1"/>
  <c r="F111" i="1" s="1"/>
  <c r="E111" i="1"/>
  <c r="D110" i="1"/>
  <c r="B13" i="4"/>
  <c r="I13" i="4"/>
  <c r="J13" i="4"/>
  <c r="K13" i="4"/>
  <c r="L13" i="4"/>
  <c r="H13" i="4"/>
  <c r="A13" i="2" a="1"/>
  <c r="A13" i="2" l="1"/>
  <c r="D13" i="2" s="1"/>
  <c r="B13" i="2"/>
  <c r="C13" i="2"/>
  <c r="D13" i="4"/>
  <c r="E13" i="4"/>
  <c r="F13" i="4"/>
  <c r="G13" i="4"/>
  <c r="H14" i="4"/>
  <c r="E112" i="1"/>
  <c r="D111" i="1"/>
  <c r="G111" i="1"/>
  <c r="F112" i="1" s="1"/>
  <c r="A14" i="2" a="1"/>
  <c r="A14" i="2" l="1"/>
  <c r="D14" i="2" s="1"/>
  <c r="B14" i="2"/>
  <c r="C14" i="2"/>
  <c r="E113" i="1"/>
  <c r="G112" i="1"/>
  <c r="F113" i="1" s="1"/>
  <c r="D112" i="1"/>
  <c r="D14" i="4"/>
  <c r="E14" i="4"/>
  <c r="F14" i="4"/>
  <c r="G14" i="4"/>
  <c r="C14" i="4"/>
  <c r="A15" i="2" a="1"/>
  <c r="A15" i="2" l="1"/>
  <c r="D15" i="2" s="1"/>
  <c r="B15" i="2"/>
  <c r="C15" i="2"/>
  <c r="B14" i="4"/>
  <c r="I14" i="4"/>
  <c r="J14" i="4"/>
  <c r="K14" i="4"/>
  <c r="L14" i="4"/>
  <c r="C15" i="4"/>
  <c r="D113" i="1"/>
  <c r="G113" i="1"/>
  <c r="F114" i="1" s="1"/>
  <c r="E114" i="1"/>
  <c r="A16" i="2" a="1"/>
  <c r="A16" i="2" l="1"/>
  <c r="D16" i="2" s="1"/>
  <c r="B16" i="2"/>
  <c r="C16" i="2"/>
  <c r="E115" i="1"/>
  <c r="D114" i="1"/>
  <c r="G114" i="1"/>
  <c r="F115" i="1" s="1"/>
  <c r="B15" i="4"/>
  <c r="I15" i="4"/>
  <c r="J15" i="4"/>
  <c r="K15" i="4"/>
  <c r="L15" i="4"/>
  <c r="H15" i="4"/>
  <c r="A17" i="2" a="1"/>
  <c r="A17" i="2" l="1"/>
  <c r="D17" i="2" s="1"/>
  <c r="B17" i="2"/>
  <c r="C17" i="2"/>
  <c r="D15" i="4"/>
  <c r="E15" i="4"/>
  <c r="F15" i="4"/>
  <c r="G15" i="4"/>
  <c r="H16" i="4"/>
  <c r="D115" i="1"/>
  <c r="E116" i="1"/>
  <c r="G115" i="1"/>
  <c r="F116" i="1" s="1"/>
  <c r="A18" i="2" a="1"/>
  <c r="A18" i="2" l="1"/>
  <c r="D18" i="2" s="1"/>
  <c r="B18" i="2"/>
  <c r="C18" i="2"/>
  <c r="G116" i="1"/>
  <c r="F117" i="1" s="1"/>
  <c r="E117" i="1"/>
  <c r="D116" i="1"/>
  <c r="D16" i="4"/>
  <c r="E16" i="4"/>
  <c r="F16" i="4"/>
  <c r="G16" i="4"/>
  <c r="C16" i="4"/>
  <c r="A19" i="2" a="1"/>
  <c r="A19" i="2" l="1"/>
  <c r="D19" i="2" s="1"/>
  <c r="B19" i="2"/>
  <c r="C19" i="2"/>
  <c r="I16" i="4"/>
  <c r="J16" i="4"/>
  <c r="K16" i="4"/>
  <c r="L16" i="4"/>
  <c r="B16" i="4"/>
  <c r="C17" i="4"/>
  <c r="D117" i="1"/>
  <c r="E118" i="1"/>
  <c r="G117" i="1"/>
  <c r="F118" i="1" s="1"/>
  <c r="A20" i="2" a="1"/>
  <c r="A20" i="2" l="1"/>
  <c r="D20" i="2" s="1"/>
  <c r="B20" i="2"/>
  <c r="C20" i="2"/>
  <c r="E119" i="1"/>
  <c r="G118" i="1"/>
  <c r="F119" i="1" s="1"/>
  <c r="D118" i="1"/>
  <c r="B17" i="4"/>
  <c r="I17" i="4"/>
  <c r="J17" i="4"/>
  <c r="K17" i="4"/>
  <c r="L17" i="4"/>
  <c r="H17" i="4"/>
  <c r="A21" i="2" a="1"/>
  <c r="A21" i="2" l="1"/>
  <c r="D21" i="2" s="1"/>
  <c r="B21" i="2"/>
  <c r="C21" i="2"/>
  <c r="D17" i="4"/>
  <c r="E17" i="4"/>
  <c r="F17" i="4"/>
  <c r="G17" i="4"/>
  <c r="H18" i="4"/>
  <c r="G119" i="1"/>
  <c r="F120" i="1" s="1"/>
  <c r="E120" i="1"/>
  <c r="D119" i="1"/>
  <c r="A22" i="2" a="1"/>
  <c r="A22" i="2" l="1"/>
  <c r="D22" i="2" s="1"/>
  <c r="B22" i="2"/>
  <c r="C22" i="2"/>
  <c r="D120" i="1"/>
  <c r="E121" i="1"/>
  <c r="G120" i="1"/>
  <c r="F121" i="1" s="1"/>
  <c r="D18" i="4"/>
  <c r="E18" i="4"/>
  <c r="F18" i="4"/>
  <c r="G18" i="4"/>
  <c r="C18" i="4"/>
  <c r="A23" i="2" a="1"/>
  <c r="A23" i="2" l="1"/>
  <c r="D23" i="2" s="1"/>
  <c r="B23" i="2"/>
  <c r="C23" i="2"/>
  <c r="I18" i="4"/>
  <c r="J18" i="4"/>
  <c r="K18" i="4"/>
  <c r="L18" i="4"/>
  <c r="B18" i="4"/>
  <c r="C19" i="4"/>
  <c r="E122" i="1"/>
  <c r="G121" i="1"/>
  <c r="F122" i="1" s="1"/>
  <c r="D121" i="1"/>
  <c r="A24" i="2" a="1"/>
  <c r="A24" i="2" l="1"/>
  <c r="D24" i="2" s="1"/>
  <c r="B24" i="2"/>
  <c r="C24" i="2"/>
  <c r="D122" i="1"/>
  <c r="G122" i="1"/>
  <c r="F123" i="1" s="1"/>
  <c r="E123" i="1"/>
  <c r="I19" i="4"/>
  <c r="B19" i="4"/>
  <c r="J19" i="4"/>
  <c r="K19" i="4"/>
  <c r="L19" i="4"/>
  <c r="H19" i="4"/>
  <c r="A25" i="2" a="1"/>
  <c r="A25" i="2" l="1"/>
  <c r="D25" i="2" s="1"/>
  <c r="B25" i="2"/>
  <c r="C25" i="2"/>
  <c r="D19" i="4"/>
  <c r="E19" i="4"/>
  <c r="F19" i="4"/>
  <c r="G19" i="4"/>
  <c r="H20" i="4"/>
  <c r="E124" i="1"/>
  <c r="D123" i="1"/>
  <c r="G123" i="1"/>
  <c r="F124" i="1" s="1"/>
  <c r="A26" i="2" a="1"/>
  <c r="A26" i="2" l="1"/>
  <c r="D26" i="2" s="1"/>
  <c r="B26" i="2"/>
  <c r="C26" i="2"/>
  <c r="G124" i="1"/>
  <c r="F125" i="1" s="1"/>
  <c r="E125" i="1"/>
  <c r="D124" i="1"/>
  <c r="D20" i="4"/>
  <c r="E20" i="4"/>
  <c r="F20" i="4"/>
  <c r="G20" i="4"/>
  <c r="C20" i="4"/>
  <c r="A27" i="2" a="1"/>
  <c r="A27" i="2" l="1"/>
  <c r="D27" i="2" s="1"/>
  <c r="B27" i="2"/>
  <c r="C27" i="2"/>
  <c r="I20" i="4"/>
  <c r="J20" i="4"/>
  <c r="K20" i="4"/>
  <c r="L20" i="4"/>
  <c r="B20" i="4"/>
  <c r="C21" i="4"/>
  <c r="G125" i="1"/>
  <c r="F126" i="1" s="1"/>
  <c r="E126" i="1"/>
  <c r="D125" i="1"/>
  <c r="A28" i="2" a="1"/>
  <c r="A28" i="2" l="1"/>
  <c r="D28" i="2" s="1"/>
  <c r="B28" i="2"/>
  <c r="C28" i="2"/>
  <c r="D126" i="1"/>
  <c r="E127" i="1"/>
  <c r="G126" i="1"/>
  <c r="F127" i="1" s="1"/>
  <c r="B21" i="4"/>
  <c r="I21" i="4"/>
  <c r="J21" i="4"/>
  <c r="K21" i="4"/>
  <c r="L21" i="4"/>
  <c r="H21" i="4"/>
  <c r="A29" i="2" a="1"/>
  <c r="A29" i="2" l="1"/>
  <c r="D29" i="2" s="1"/>
  <c r="B29" i="2"/>
  <c r="C29" i="2"/>
  <c r="D21" i="4"/>
  <c r="E21" i="4"/>
  <c r="F21" i="4" s="1"/>
  <c r="G21" i="4" s="1"/>
  <c r="H22" i="4"/>
  <c r="D127" i="1"/>
  <c r="E128" i="1"/>
  <c r="G127" i="1"/>
  <c r="F128" i="1" s="1"/>
  <c r="A30" i="2" a="1"/>
  <c r="A30" i="2" l="1"/>
  <c r="D30" i="2" s="1"/>
  <c r="B30" i="2"/>
  <c r="C30" i="2"/>
  <c r="D128" i="1"/>
  <c r="G128" i="1"/>
  <c r="F129" i="1" s="1"/>
  <c r="E129" i="1"/>
  <c r="D22" i="4"/>
  <c r="E22" i="4"/>
  <c r="F22" i="4"/>
  <c r="G22" i="4"/>
  <c r="C22" i="4"/>
  <c r="A31" i="2" a="1"/>
  <c r="A31" i="2" l="1"/>
  <c r="D31" i="2" s="1"/>
  <c r="B31" i="2"/>
  <c r="C31" i="2"/>
  <c r="I22" i="4"/>
  <c r="J22" i="4"/>
  <c r="K22" i="4"/>
  <c r="L22" i="4"/>
  <c r="B22" i="4"/>
  <c r="C23" i="4"/>
  <c r="D129" i="1"/>
  <c r="G129" i="1"/>
  <c r="F130" i="1" s="1"/>
  <c r="E130" i="1"/>
  <c r="A32" i="2" a="1"/>
  <c r="A32" i="2" l="1"/>
  <c r="D32" i="2" s="1"/>
  <c r="B32" i="2"/>
  <c r="C32" i="2"/>
  <c r="D130" i="1"/>
  <c r="G130" i="1"/>
  <c r="F131" i="1" s="1"/>
  <c r="E131" i="1"/>
  <c r="B23" i="4"/>
  <c r="I23" i="4"/>
  <c r="J23" i="4"/>
  <c r="K23" i="4"/>
  <c r="L23" i="4"/>
  <c r="H23" i="4"/>
  <c r="A33" i="2" a="1"/>
  <c r="A33" i="2" l="1"/>
  <c r="D33" i="2" s="1"/>
  <c r="B33" i="2"/>
  <c r="C33" i="2"/>
  <c r="D23" i="4"/>
  <c r="E23" i="4"/>
  <c r="F23" i="4"/>
  <c r="G23" i="4"/>
  <c r="H24" i="4"/>
  <c r="D131" i="1"/>
  <c r="E132" i="1"/>
  <c r="G131" i="1"/>
  <c r="F132" i="1" s="1"/>
  <c r="A34" i="2" a="1"/>
  <c r="A34" i="2" l="1"/>
  <c r="D34" i="2" s="1"/>
  <c r="B34" i="2"/>
  <c r="C34" i="2"/>
  <c r="E133" i="1"/>
  <c r="G132" i="1"/>
  <c r="F133" i="1" s="1"/>
  <c r="D132" i="1"/>
  <c r="D24" i="4"/>
  <c r="E24" i="4"/>
  <c r="F24" i="4"/>
  <c r="G24" i="4"/>
  <c r="C24" i="4"/>
  <c r="A35" i="2" a="1"/>
  <c r="A35" i="2" l="1"/>
  <c r="D35" i="2" s="1"/>
  <c r="B35" i="2"/>
  <c r="C35" i="2"/>
  <c r="B24" i="4"/>
  <c r="I24" i="4"/>
  <c r="J24" i="4"/>
  <c r="K24" i="4"/>
  <c r="L24" i="4"/>
  <c r="C25" i="4"/>
  <c r="D133" i="1"/>
  <c r="G133" i="1"/>
  <c r="F134" i="1" s="1"/>
  <c r="E134" i="1"/>
  <c r="A36" i="2" a="1"/>
  <c r="A36" i="2" l="1"/>
  <c r="D36" i="2" s="1"/>
  <c r="B36" i="2"/>
  <c r="C36" i="2"/>
  <c r="D134" i="1"/>
  <c r="G134" i="1"/>
  <c r="F135" i="1" s="1"/>
  <c r="E135" i="1"/>
  <c r="B25" i="4"/>
  <c r="I25" i="4"/>
  <c r="J25" i="4"/>
  <c r="K25" i="4"/>
  <c r="L25" i="4"/>
  <c r="H25" i="4"/>
  <c r="A37" i="2" a="1"/>
  <c r="A37" i="2" l="1"/>
  <c r="D37" i="2" s="1"/>
  <c r="B37" i="2"/>
  <c r="C37" i="2"/>
  <c r="D25" i="4"/>
  <c r="E25" i="4"/>
  <c r="F25" i="4"/>
  <c r="G25" i="4"/>
  <c r="H26" i="4"/>
  <c r="G135" i="1"/>
  <c r="F136" i="1" s="1"/>
  <c r="E136" i="1"/>
  <c r="D135" i="1"/>
  <c r="A38" i="2" a="1"/>
  <c r="A38" i="2" l="1"/>
  <c r="D38" i="2" s="1"/>
  <c r="B38" i="2"/>
  <c r="C38" i="2"/>
  <c r="G136" i="1"/>
  <c r="F137" i="1" s="1"/>
  <c r="D136" i="1"/>
  <c r="E137" i="1"/>
  <c r="D26" i="4"/>
  <c r="E26" i="4"/>
  <c r="F26" i="4"/>
  <c r="G26" i="4"/>
  <c r="C26" i="4"/>
  <c r="A39" i="2" a="1"/>
  <c r="A39" i="2" l="1"/>
  <c r="D39" i="2" s="1"/>
  <c r="B39" i="2"/>
  <c r="C39" i="2"/>
  <c r="I26" i="4"/>
  <c r="B26" i="4"/>
  <c r="J26" i="4"/>
  <c r="K26" i="4"/>
  <c r="L26" i="4"/>
  <c r="C27" i="4"/>
  <c r="D137" i="1"/>
  <c r="G137" i="1"/>
  <c r="F138" i="1" s="1"/>
  <c r="E138" i="1"/>
  <c r="A40" i="2" a="1"/>
  <c r="A40" i="2" l="1"/>
  <c r="D40" i="2" s="1"/>
  <c r="B40" i="2"/>
  <c r="C40" i="2"/>
  <c r="G138" i="1"/>
  <c r="F139" i="1" s="1"/>
  <c r="E139" i="1"/>
  <c r="D138" i="1"/>
  <c r="I27" i="4"/>
  <c r="B27" i="4"/>
  <c r="J27" i="4"/>
  <c r="K27" i="4"/>
  <c r="L27" i="4"/>
  <c r="H27" i="4"/>
  <c r="A41" i="2" a="1"/>
  <c r="A41" i="2" l="1"/>
  <c r="D41" i="2" s="1"/>
  <c r="B41" i="2"/>
  <c r="C41" i="2"/>
  <c r="D27" i="4"/>
  <c r="E27" i="4"/>
  <c r="F27" i="4"/>
  <c r="G27" i="4"/>
  <c r="H28" i="4"/>
  <c r="G139" i="1"/>
  <c r="F140" i="1" s="1"/>
  <c r="E140" i="1"/>
  <c r="D139" i="1"/>
  <c r="A42" i="2" a="1"/>
  <c r="A42" i="2" l="1"/>
  <c r="D42" i="2" s="1"/>
  <c r="B42" i="2"/>
  <c r="C42" i="2"/>
  <c r="E141" i="1"/>
  <c r="D140" i="1"/>
  <c r="G140" i="1"/>
  <c r="F141" i="1" s="1"/>
  <c r="D28" i="4"/>
  <c r="E28" i="4"/>
  <c r="F28" i="4"/>
  <c r="G28" i="4"/>
  <c r="C28" i="4"/>
  <c r="A43" i="2" a="1"/>
  <c r="A43" i="2" l="1"/>
  <c r="D43" i="2" s="1"/>
  <c r="B43" i="2"/>
  <c r="C43" i="2"/>
  <c r="I28" i="4"/>
  <c r="B28" i="4"/>
  <c r="J28" i="4"/>
  <c r="K28" i="4"/>
  <c r="L28" i="4"/>
  <c r="C29" i="4"/>
  <c r="D141" i="1"/>
  <c r="E142" i="1"/>
  <c r="G141" i="1"/>
  <c r="F142" i="1" s="1"/>
  <c r="A44" i="2" a="1"/>
  <c r="A44" i="2" l="1"/>
  <c r="D44" i="2" s="1"/>
  <c r="B44" i="2"/>
  <c r="C44" i="2"/>
  <c r="D142" i="1"/>
  <c r="E143" i="1"/>
  <c r="G142" i="1"/>
  <c r="F143" i="1" s="1"/>
  <c r="I29" i="4"/>
  <c r="B29" i="4"/>
  <c r="J29" i="4"/>
  <c r="K29" i="4"/>
  <c r="L29" i="4"/>
  <c r="H29" i="4"/>
  <c r="A45" i="2" a="1"/>
  <c r="A45" i="2" l="1"/>
  <c r="D45" i="2" s="1"/>
  <c r="B45" i="2"/>
  <c r="C45" i="2"/>
  <c r="D29" i="4"/>
  <c r="E29" i="4"/>
  <c r="F29" i="4"/>
  <c r="G29" i="4"/>
  <c r="H30" i="4"/>
  <c r="G143" i="1"/>
  <c r="F144" i="1" s="1"/>
  <c r="D143" i="1"/>
  <c r="E144" i="1"/>
  <c r="A46" i="2" a="1"/>
  <c r="A46" i="2" l="1"/>
  <c r="D46" i="2" s="1"/>
  <c r="B46" i="2"/>
  <c r="C46" i="2"/>
  <c r="G144" i="1"/>
  <c r="F145" i="1" s="1"/>
  <c r="D144" i="1"/>
  <c r="E145" i="1"/>
  <c r="D30" i="4"/>
  <c r="E30" i="4"/>
  <c r="F30" i="4"/>
  <c r="G30" i="4"/>
  <c r="C30" i="4"/>
  <c r="A47" i="2" a="1"/>
  <c r="A47" i="2" l="1"/>
  <c r="D47" i="2" s="1"/>
  <c r="B47" i="2"/>
  <c r="C47" i="2"/>
  <c r="I30" i="4"/>
  <c r="J30" i="4"/>
  <c r="K30" i="4"/>
  <c r="L30" i="4"/>
  <c r="B30" i="4"/>
  <c r="C31" i="4"/>
  <c r="E146" i="1"/>
  <c r="G145" i="1"/>
  <c r="F146" i="1" s="1"/>
  <c r="D145" i="1"/>
  <c r="A48" i="2" a="1"/>
  <c r="A48" i="2" l="1"/>
  <c r="D48" i="2" s="1"/>
  <c r="B48" i="2"/>
  <c r="C48" i="2"/>
  <c r="E147" i="1"/>
  <c r="D146" i="1"/>
  <c r="G146" i="1"/>
  <c r="F147" i="1" s="1"/>
  <c r="B31" i="4"/>
  <c r="I31" i="4"/>
  <c r="J31" i="4"/>
  <c r="K31" i="4"/>
  <c r="L31" i="4"/>
  <c r="H31" i="4"/>
  <c r="A49" i="2" a="1"/>
  <c r="A49" i="2" l="1"/>
  <c r="D49" i="2" s="1"/>
  <c r="B49" i="2"/>
  <c r="C49" i="2"/>
  <c r="D31" i="4"/>
  <c r="E31" i="4"/>
  <c r="F31" i="4"/>
  <c r="G31" i="4"/>
  <c r="H32" i="4"/>
  <c r="G147" i="1"/>
  <c r="F148" i="1" s="1"/>
  <c r="D147" i="1"/>
  <c r="E148" i="1"/>
  <c r="A50" i="2" a="1"/>
  <c r="A50" i="2" l="1"/>
  <c r="D50" i="2" s="1"/>
  <c r="B50" i="2"/>
  <c r="C50" i="2"/>
  <c r="E149" i="1"/>
  <c r="D148" i="1"/>
  <c r="G148" i="1"/>
  <c r="F149" i="1" s="1"/>
  <c r="D32" i="4"/>
  <c r="E32" i="4"/>
  <c r="F32" i="4"/>
  <c r="G32" i="4"/>
  <c r="C32" i="4"/>
  <c r="A51" i="2" a="1"/>
  <c r="A51" i="2" l="1"/>
  <c r="D51" i="2" s="1"/>
  <c r="B51" i="2"/>
  <c r="C51" i="2"/>
  <c r="I32" i="4"/>
  <c r="B32" i="4"/>
  <c r="J32" i="4"/>
  <c r="K32" i="4"/>
  <c r="L32" i="4"/>
  <c r="C33" i="4"/>
  <c r="G149" i="1"/>
  <c r="F150" i="1" s="1"/>
  <c r="E150" i="1"/>
  <c r="D149" i="1"/>
  <c r="A52" i="2" a="1"/>
  <c r="A52" i="2" l="1"/>
  <c r="D52" i="2" s="1"/>
  <c r="B52" i="2"/>
  <c r="C52" i="2"/>
  <c r="D150" i="1"/>
  <c r="E151" i="1"/>
  <c r="G150" i="1"/>
  <c r="F151" i="1" s="1"/>
  <c r="B33" i="4"/>
  <c r="I33" i="4"/>
  <c r="J33" i="4"/>
  <c r="K33" i="4"/>
  <c r="L33" i="4"/>
  <c r="H33" i="4"/>
  <c r="A53" i="2" a="1"/>
  <c r="A53" i="2" l="1"/>
  <c r="D53" i="2" s="1"/>
  <c r="B53" i="2"/>
  <c r="C53" i="2"/>
  <c r="D33" i="4"/>
  <c r="E33" i="4"/>
  <c r="F33" i="4"/>
  <c r="G33" i="4"/>
  <c r="H34" i="4"/>
  <c r="E152" i="1"/>
  <c r="G151" i="1"/>
  <c r="F152" i="1" s="1"/>
  <c r="D151" i="1"/>
  <c r="A54" i="2" a="1"/>
  <c r="A54" i="2" l="1"/>
  <c r="D54" i="2" s="1"/>
  <c r="B54" i="2"/>
  <c r="C54" i="2"/>
  <c r="G152" i="1"/>
  <c r="F153" i="1" s="1"/>
  <c r="E153" i="1"/>
  <c r="D152" i="1"/>
  <c r="D34" i="4"/>
  <c r="E34" i="4"/>
  <c r="F34" i="4"/>
  <c r="G34" i="4"/>
  <c r="C34" i="4"/>
  <c r="A55" i="2" a="1"/>
  <c r="A55" i="2" l="1"/>
  <c r="D55" i="2" s="1"/>
  <c r="B55" i="2"/>
  <c r="C55" i="2"/>
  <c r="B34" i="4"/>
  <c r="I34" i="4"/>
  <c r="J34" i="4"/>
  <c r="K34" i="4"/>
  <c r="L34" i="4"/>
  <c r="C35" i="4"/>
  <c r="E154" i="1"/>
  <c r="D153" i="1"/>
  <c r="G153" i="1"/>
  <c r="F154" i="1" s="1"/>
  <c r="A56" i="2" a="1"/>
  <c r="A56" i="2" l="1"/>
  <c r="D56" i="2" s="1"/>
  <c r="B56" i="2"/>
  <c r="C56" i="2"/>
  <c r="E155" i="1"/>
  <c r="D154" i="1"/>
  <c r="G154" i="1"/>
  <c r="F155" i="1" s="1"/>
  <c r="I35" i="4"/>
  <c r="J35" i="4"/>
  <c r="B35" i="4"/>
  <c r="K35" i="4"/>
  <c r="L35" i="4"/>
  <c r="H35" i="4"/>
  <c r="A57" i="2" a="1"/>
  <c r="A57" i="2" l="1"/>
  <c r="D57" i="2" s="1"/>
  <c r="B57" i="2"/>
  <c r="C57" i="2"/>
  <c r="D35" i="4"/>
  <c r="E35" i="4"/>
  <c r="F35" i="4" s="1"/>
  <c r="G35" i="4" s="1"/>
  <c r="H36" i="4"/>
  <c r="G155" i="1"/>
  <c r="F156" i="1" s="1"/>
  <c r="E156" i="1"/>
  <c r="D155" i="1"/>
  <c r="A58" i="2" a="1"/>
  <c r="A58" i="2" l="1"/>
  <c r="D58" i="2" s="1"/>
  <c r="B58" i="2"/>
  <c r="C58" i="2"/>
  <c r="G156" i="1"/>
  <c r="F157" i="1" s="1"/>
  <c r="E157" i="1"/>
  <c r="D156" i="1"/>
  <c r="D36" i="4"/>
  <c r="E36" i="4"/>
  <c r="F36" i="4"/>
  <c r="G36" i="4"/>
  <c r="C36" i="4"/>
  <c r="A59" i="2" a="1"/>
  <c r="A59" i="2" l="1"/>
  <c r="D59" i="2" s="1"/>
  <c r="B59" i="2"/>
  <c r="C59" i="2"/>
  <c r="I36" i="4"/>
  <c r="J36" i="4"/>
  <c r="K36" i="4"/>
  <c r="L36" i="4"/>
  <c r="B36" i="4"/>
  <c r="C37" i="4"/>
  <c r="G157" i="1"/>
  <c r="F158" i="1" s="1"/>
  <c r="E158" i="1"/>
  <c r="D157" i="1"/>
  <c r="A60" i="2" a="1"/>
  <c r="A60" i="2" l="1"/>
  <c r="D60" i="2" s="1"/>
  <c r="B60" i="2"/>
  <c r="C60" i="2"/>
  <c r="D158" i="1"/>
  <c r="G158" i="1"/>
  <c r="F159" i="1" s="1"/>
  <c r="E159" i="1"/>
  <c r="I37" i="4"/>
  <c r="B37" i="4"/>
  <c r="J37" i="4"/>
  <c r="K37" i="4"/>
  <c r="L37" i="4"/>
  <c r="H37" i="4"/>
  <c r="A61" i="2" a="1"/>
  <c r="A61" i="2" l="1"/>
  <c r="D61" i="2" s="1"/>
  <c r="B61" i="2"/>
  <c r="C61" i="2"/>
  <c r="D37" i="4"/>
  <c r="E37" i="4"/>
  <c r="F37" i="4"/>
  <c r="G37" i="4"/>
  <c r="H38" i="4"/>
  <c r="G159" i="1"/>
  <c r="F160" i="1" s="1"/>
  <c r="D159" i="1"/>
  <c r="E160" i="1"/>
  <c r="A62" i="2" a="1"/>
  <c r="A62" i="2" l="1"/>
  <c r="D62" i="2" s="1"/>
  <c r="B62" i="2"/>
  <c r="C62" i="2"/>
  <c r="E161" i="1"/>
  <c r="D160" i="1"/>
  <c r="G160" i="1"/>
  <c r="F161" i="1" s="1"/>
  <c r="D38" i="4"/>
  <c r="E38" i="4"/>
  <c r="F38" i="4"/>
  <c r="G38" i="4"/>
  <c r="C38" i="4"/>
  <c r="A63" i="2" a="1"/>
  <c r="A63" i="2" l="1"/>
  <c r="D63" i="2" s="1"/>
  <c r="B63" i="2"/>
  <c r="C63" i="2"/>
  <c r="B38" i="4"/>
  <c r="I38" i="4"/>
  <c r="J38" i="4"/>
  <c r="K38" i="4"/>
  <c r="L38" i="4"/>
  <c r="C39" i="4"/>
  <c r="E162" i="1"/>
  <c r="G161" i="1"/>
  <c r="F162" i="1" s="1"/>
  <c r="D161" i="1"/>
  <c r="A64" i="2" a="1"/>
  <c r="A64" i="2" l="1"/>
  <c r="D64" i="2" s="1"/>
  <c r="B64" i="2"/>
  <c r="C64" i="2"/>
  <c r="G162" i="1"/>
  <c r="F163" i="1" s="1"/>
  <c r="D162" i="1"/>
  <c r="E163" i="1"/>
  <c r="I39" i="4"/>
  <c r="J39" i="4"/>
  <c r="K39" i="4"/>
  <c r="L39" i="4"/>
  <c r="B39" i="4"/>
  <c r="H39" i="4"/>
  <c r="A65" i="2" a="1"/>
  <c r="A65" i="2" l="1"/>
  <c r="D65" i="2" s="1"/>
  <c r="B65" i="2"/>
  <c r="C65" i="2"/>
  <c r="D39" i="4"/>
  <c r="E39" i="4"/>
  <c r="F39" i="4" s="1"/>
  <c r="G39" i="4" s="1"/>
  <c r="H40" i="4"/>
  <c r="E164" i="1"/>
  <c r="G163" i="1"/>
  <c r="F164" i="1" s="1"/>
  <c r="D163" i="1"/>
  <c r="A66" i="2" a="1"/>
  <c r="A66" i="2" l="1"/>
  <c r="D66" i="2" s="1"/>
  <c r="B66" i="2"/>
  <c r="C66" i="2"/>
  <c r="G164" i="1"/>
  <c r="F165" i="1" s="1"/>
  <c r="E165" i="1"/>
  <c r="D164" i="1"/>
  <c r="D40" i="4"/>
  <c r="E40" i="4"/>
  <c r="F40" i="4"/>
  <c r="G40" i="4"/>
  <c r="C40" i="4"/>
  <c r="A67" i="2" a="1"/>
  <c r="A67" i="2" l="1"/>
  <c r="D67" i="2" s="1"/>
  <c r="B67" i="2"/>
  <c r="C67" i="2"/>
  <c r="B40" i="4"/>
  <c r="I40" i="4"/>
  <c r="J40" i="4"/>
  <c r="K40" i="4"/>
  <c r="L40" i="4"/>
  <c r="C41" i="4"/>
  <c r="G165" i="1"/>
  <c r="F166" i="1" s="1"/>
  <c r="D165" i="1"/>
  <c r="E166" i="1"/>
  <c r="A68" i="2" a="1"/>
  <c r="A68" i="2" l="1"/>
  <c r="D68" i="2" s="1"/>
  <c r="B68" i="2"/>
  <c r="C68" i="2"/>
  <c r="E167" i="1"/>
  <c r="G166" i="1"/>
  <c r="F167" i="1" s="1"/>
  <c r="D166" i="1"/>
  <c r="I41" i="4"/>
  <c r="J41" i="4"/>
  <c r="K41" i="4"/>
  <c r="L41" i="4"/>
  <c r="B41" i="4"/>
  <c r="H41" i="4"/>
  <c r="A69" i="2" a="1"/>
  <c r="A69" i="2" l="1"/>
  <c r="D69" i="2" s="1"/>
  <c r="B69" i="2"/>
  <c r="C69" i="2"/>
  <c r="D41" i="4"/>
  <c r="E41" i="4"/>
  <c r="F41" i="4"/>
  <c r="G41" i="4"/>
  <c r="H42" i="4"/>
  <c r="G167" i="1"/>
  <c r="F168" i="1" s="1"/>
  <c r="E168" i="1"/>
  <c r="D167" i="1"/>
  <c r="A70" i="2" a="1"/>
  <c r="A70" i="2" l="1"/>
  <c r="D70" i="2" s="1"/>
  <c r="B70" i="2"/>
  <c r="C70" i="2"/>
  <c r="G168" i="1"/>
  <c r="F169" i="1" s="1"/>
  <c r="E169" i="1"/>
  <c r="D168" i="1"/>
  <c r="D42" i="4"/>
  <c r="E42" i="4"/>
  <c r="F42" i="4"/>
  <c r="G42" i="4"/>
  <c r="C42" i="4"/>
  <c r="A71" i="2" a="1"/>
  <c r="A71" i="2" l="1"/>
  <c r="D71" i="2" s="1"/>
  <c r="B71" i="2"/>
  <c r="C71" i="2"/>
  <c r="B42" i="4"/>
  <c r="I42" i="4"/>
  <c r="J42" i="4"/>
  <c r="K42" i="4"/>
  <c r="L42" i="4"/>
  <c r="C43" i="4"/>
  <c r="E170" i="1"/>
  <c r="G169" i="1"/>
  <c r="F170" i="1" s="1"/>
  <c r="D169" i="1"/>
  <c r="A72" i="2" a="1"/>
  <c r="A72" i="2" l="1"/>
  <c r="D72" i="2" s="1"/>
  <c r="B72" i="2"/>
  <c r="C72" i="2"/>
  <c r="G170" i="1"/>
  <c r="F171" i="1" s="1"/>
  <c r="D170" i="1"/>
  <c r="E171" i="1"/>
  <c r="B43" i="4"/>
  <c r="I43" i="4"/>
  <c r="J43" i="4"/>
  <c r="K43" i="4"/>
  <c r="L43" i="4"/>
  <c r="H43" i="4"/>
  <c r="A73" i="2" a="1"/>
  <c r="A73" i="2" l="1"/>
  <c r="D73" i="2" s="1"/>
  <c r="B73" i="2"/>
  <c r="C73" i="2"/>
  <c r="D43" i="4"/>
  <c r="E43" i="4"/>
  <c r="F43" i="4"/>
  <c r="G43" i="4"/>
  <c r="H44" i="4"/>
  <c r="E172" i="1"/>
  <c r="G171" i="1"/>
  <c r="F172" i="1" s="1"/>
  <c r="D171" i="1"/>
  <c r="A74" i="2" a="1"/>
  <c r="A74" i="2" l="1"/>
  <c r="D74" i="2" s="1"/>
  <c r="B74" i="2"/>
  <c r="C74" i="2"/>
  <c r="G172" i="1"/>
  <c r="F173" i="1" s="1"/>
  <c r="D172" i="1"/>
  <c r="E173" i="1"/>
  <c r="D44" i="4"/>
  <c r="E44" i="4"/>
  <c r="F44" i="4"/>
  <c r="G44" i="4"/>
  <c r="C44" i="4"/>
  <c r="A75" i="2" a="1"/>
  <c r="A75" i="2" l="1"/>
  <c r="D75" i="2" s="1"/>
  <c r="B75" i="2"/>
  <c r="C75" i="2"/>
  <c r="I44" i="4"/>
  <c r="J44" i="4"/>
  <c r="K44" i="4"/>
  <c r="L44" i="4"/>
  <c r="B44" i="4"/>
  <c r="C45" i="4"/>
  <c r="G173" i="1"/>
  <c r="F174" i="1" s="1"/>
  <c r="E174" i="1"/>
  <c r="D173" i="1"/>
  <c r="A76" i="2" a="1"/>
  <c r="A76" i="2" l="1"/>
  <c r="D76" i="2" s="1"/>
  <c r="B76" i="2"/>
  <c r="C76" i="2"/>
  <c r="D174" i="1"/>
  <c r="G174" i="1"/>
  <c r="F175" i="1" s="1"/>
  <c r="E175" i="1"/>
  <c r="B45" i="4"/>
  <c r="I45" i="4"/>
  <c r="J45" i="4"/>
  <c r="K45" i="4"/>
  <c r="L45" i="4"/>
  <c r="H45" i="4"/>
  <c r="A77" i="2" a="1"/>
  <c r="A77" i="2" l="1"/>
  <c r="D77" i="2" s="1"/>
  <c r="B77" i="2"/>
  <c r="C77" i="2"/>
  <c r="D45" i="4"/>
  <c r="E45" i="4"/>
  <c r="F45" i="4"/>
  <c r="G45" i="4"/>
  <c r="H46" i="4"/>
  <c r="E176" i="1"/>
  <c r="G175" i="1"/>
  <c r="F176" i="1" s="1"/>
  <c r="D175" i="1"/>
  <c r="A78" i="2" a="1"/>
  <c r="A78" i="2" l="1"/>
  <c r="D78" i="2" s="1"/>
  <c r="B78" i="2"/>
  <c r="C78" i="2"/>
  <c r="G176" i="1"/>
  <c r="F177" i="1" s="1"/>
  <c r="D176" i="1"/>
  <c r="E177" i="1"/>
  <c r="D46" i="4"/>
  <c r="E46" i="4"/>
  <c r="F46" i="4"/>
  <c r="G46" i="4"/>
  <c r="C46" i="4"/>
  <c r="A79" i="2" a="1"/>
  <c r="A79" i="2" l="1"/>
  <c r="D79" i="2" s="1"/>
  <c r="B79" i="2"/>
  <c r="C79" i="2"/>
  <c r="I46" i="4"/>
  <c r="J46" i="4"/>
  <c r="K46" i="4"/>
  <c r="L46" i="4"/>
  <c r="B46" i="4"/>
  <c r="C47" i="4"/>
  <c r="D177" i="1"/>
  <c r="G177" i="1"/>
  <c r="F178" i="1" s="1"/>
  <c r="E178" i="1"/>
  <c r="A80" i="2" a="1"/>
  <c r="A80" i="2" l="1"/>
  <c r="D80" i="2" s="1"/>
  <c r="B80" i="2"/>
  <c r="C80" i="2"/>
  <c r="G178" i="1"/>
  <c r="F179" i="1" s="1"/>
  <c r="E179" i="1"/>
  <c r="D178" i="1"/>
  <c r="B47" i="4"/>
  <c r="I47" i="4"/>
  <c r="J47" i="4"/>
  <c r="K47" i="4"/>
  <c r="L47" i="4"/>
  <c r="H47" i="4"/>
  <c r="A81" i="2" a="1"/>
  <c r="A81" i="2" l="1"/>
  <c r="D81" i="2" s="1"/>
  <c r="B81" i="2"/>
  <c r="C81" i="2"/>
  <c r="D47" i="4"/>
  <c r="E47" i="4"/>
  <c r="F47" i="4"/>
  <c r="G47" i="4"/>
  <c r="H48" i="4"/>
  <c r="E180" i="1"/>
  <c r="G179" i="1"/>
  <c r="F180" i="1" s="1"/>
  <c r="D179" i="1"/>
  <c r="A82" i="2" a="1"/>
  <c r="A82" i="2" l="1"/>
  <c r="D82" i="2" s="1"/>
  <c r="B82" i="2"/>
  <c r="C82" i="2"/>
  <c r="E181" i="1"/>
  <c r="G180" i="1"/>
  <c r="F181" i="1" s="1"/>
  <c r="D180" i="1"/>
  <c r="D48" i="4"/>
  <c r="E48" i="4"/>
  <c r="F48" i="4"/>
  <c r="G48" i="4"/>
  <c r="C48" i="4"/>
  <c r="A83" i="2" a="1"/>
  <c r="A83" i="2" l="1"/>
  <c r="D83" i="2" s="1"/>
  <c r="B83" i="2"/>
  <c r="C83" i="2"/>
  <c r="B48" i="4"/>
  <c r="I48" i="4"/>
  <c r="J48" i="4"/>
  <c r="K48" i="4"/>
  <c r="L48" i="4"/>
  <c r="C49" i="4"/>
  <c r="D181" i="1"/>
  <c r="E182" i="1"/>
  <c r="G181" i="1"/>
  <c r="F182" i="1" s="1"/>
  <c r="A84" i="2" a="1"/>
  <c r="A84" i="2" l="1"/>
  <c r="D84" i="2" s="1"/>
  <c r="B84" i="2"/>
  <c r="C84" i="2"/>
  <c r="G182" i="1"/>
  <c r="F183" i="1" s="1"/>
  <c r="D182" i="1"/>
  <c r="E183" i="1"/>
  <c r="I49" i="4"/>
  <c r="B49" i="4"/>
  <c r="J49" i="4"/>
  <c r="K49" i="4"/>
  <c r="L49" i="4"/>
  <c r="H49" i="4"/>
  <c r="A85" i="2" a="1"/>
  <c r="A85" i="2" l="1"/>
  <c r="D85" i="2" s="1"/>
  <c r="B85" i="2"/>
  <c r="C85" i="2"/>
  <c r="D49" i="4"/>
  <c r="E49" i="4"/>
  <c r="F49" i="4"/>
  <c r="G49" i="4"/>
  <c r="H50" i="4"/>
  <c r="D183" i="1"/>
  <c r="G183" i="1"/>
  <c r="F184" i="1" s="1"/>
  <c r="E184" i="1"/>
  <c r="A86" i="2" a="1"/>
  <c r="A86" i="2" l="1"/>
  <c r="D86" i="2" s="1"/>
  <c r="B86" i="2"/>
  <c r="C86" i="2"/>
  <c r="E185" i="1"/>
  <c r="G184" i="1"/>
  <c r="F185" i="1" s="1"/>
  <c r="D184" i="1"/>
  <c r="D50" i="4"/>
  <c r="E50" i="4"/>
  <c r="F50" i="4"/>
  <c r="G50" i="4"/>
  <c r="C50" i="4"/>
  <c r="A87" i="2" a="1"/>
  <c r="A87" i="2" l="1"/>
  <c r="D87" i="2" s="1"/>
  <c r="B87" i="2"/>
  <c r="C87" i="2"/>
  <c r="B50" i="4"/>
  <c r="I50" i="4"/>
  <c r="J50" i="4"/>
  <c r="K50" i="4"/>
  <c r="L50" i="4"/>
  <c r="C51" i="4"/>
  <c r="E186" i="1"/>
  <c r="G185" i="1"/>
  <c r="F186" i="1" s="1"/>
  <c r="D185" i="1"/>
  <c r="A88" i="2" a="1"/>
  <c r="A88" i="2" l="1"/>
  <c r="D88" i="2" s="1"/>
  <c r="B88" i="2"/>
  <c r="C88" i="2"/>
  <c r="G186" i="1"/>
  <c r="F187" i="1" s="1"/>
  <c r="E187" i="1"/>
  <c r="D186" i="1"/>
  <c r="B51" i="4"/>
  <c r="I51" i="4"/>
  <c r="J51" i="4"/>
  <c r="K51" i="4"/>
  <c r="L51" i="4"/>
  <c r="H51" i="4"/>
  <c r="A89" i="2" a="1"/>
  <c r="A89" i="2" l="1"/>
  <c r="D89" i="2" s="1"/>
  <c r="B89" i="2"/>
  <c r="C89" i="2"/>
  <c r="D51" i="4"/>
  <c r="E51" i="4"/>
  <c r="F51" i="4"/>
  <c r="G51" i="4"/>
  <c r="H52" i="4"/>
  <c r="D187" i="1"/>
  <c r="G187" i="1"/>
  <c r="F188" i="1" s="1"/>
  <c r="E188" i="1"/>
  <c r="A90" i="2" a="1"/>
  <c r="A90" i="2" l="1"/>
  <c r="D90" i="2" s="1"/>
  <c r="B90" i="2"/>
  <c r="C90" i="2"/>
  <c r="G188" i="1"/>
  <c r="F189" i="1" s="1"/>
  <c r="D188" i="1"/>
  <c r="E189" i="1"/>
  <c r="D52" i="4"/>
  <c r="E52" i="4"/>
  <c r="F52" i="4"/>
  <c r="G52" i="4"/>
  <c r="C52" i="4"/>
  <c r="A91" i="2" a="1"/>
  <c r="A91" i="2" l="1"/>
  <c r="D91" i="2" s="1"/>
  <c r="B91" i="2"/>
  <c r="C91" i="2"/>
  <c r="I52" i="4"/>
  <c r="J52" i="4"/>
  <c r="K52" i="4"/>
  <c r="L52" i="4"/>
  <c r="B52" i="4"/>
  <c r="C53" i="4"/>
  <c r="D189" i="1"/>
  <c r="G189" i="1"/>
  <c r="F190" i="1" s="1"/>
  <c r="E190" i="1"/>
  <c r="A92" i="2" a="1"/>
  <c r="A92" i="2" l="1"/>
  <c r="D92" i="2" s="1"/>
  <c r="B92" i="2"/>
  <c r="C92" i="2"/>
  <c r="G190" i="1"/>
  <c r="F191" i="1" s="1"/>
  <c r="D190" i="1"/>
  <c r="E191" i="1"/>
  <c r="I53" i="4"/>
  <c r="B53" i="4"/>
  <c r="J53" i="4"/>
  <c r="K53" i="4"/>
  <c r="L53" i="4"/>
  <c r="H53" i="4"/>
  <c r="A93" i="2" a="1"/>
  <c r="A93" i="2" l="1"/>
  <c r="D93" i="2" s="1"/>
  <c r="B93" i="2"/>
  <c r="C93" i="2"/>
  <c r="D53" i="4"/>
  <c r="H54" i="4"/>
  <c r="D191" i="1"/>
  <c r="E192" i="1"/>
  <c r="G191" i="1"/>
  <c r="F192" i="1" s="1"/>
  <c r="A94" i="2" a="1"/>
  <c r="A94" i="2" l="1"/>
  <c r="D94" i="2" s="1"/>
  <c r="B94" i="2"/>
  <c r="C94" i="2"/>
  <c r="E193" i="1"/>
  <c r="G192" i="1"/>
  <c r="F193" i="1" s="1"/>
  <c r="D192" i="1"/>
  <c r="D54" i="4"/>
  <c r="E54" i="4"/>
  <c r="F54" i="4"/>
  <c r="G54" i="4"/>
  <c r="E53" i="4"/>
  <c r="F53" i="4" s="1"/>
  <c r="G53" i="4" s="1"/>
  <c r="A95" i="2" a="1"/>
  <c r="A95" i="2" l="1"/>
  <c r="D95" i="2" s="1"/>
  <c r="B95" i="2"/>
  <c r="C95" i="2"/>
  <c r="C54" i="4"/>
  <c r="D193" i="1"/>
  <c r="G193" i="1"/>
  <c r="F194" i="1" s="1"/>
  <c r="E194" i="1"/>
  <c r="A96" i="2" a="1"/>
  <c r="A96" i="2" l="1"/>
  <c r="D96" i="2" s="1"/>
  <c r="B96" i="2"/>
  <c r="C96" i="2"/>
  <c r="D194" i="1"/>
  <c r="G194" i="1"/>
  <c r="F195" i="1" s="1"/>
  <c r="E195" i="1"/>
  <c r="B54" i="4"/>
  <c r="I54" i="4"/>
  <c r="J54" i="4"/>
  <c r="K54" i="4"/>
  <c r="L54" i="4"/>
  <c r="C55" i="4"/>
  <c r="A97" i="2" a="1"/>
  <c r="A97" i="2" l="1"/>
  <c r="D97" i="2" s="1"/>
  <c r="B97" i="2"/>
  <c r="C97" i="2"/>
  <c r="B55" i="4"/>
  <c r="I55" i="4"/>
  <c r="J55" i="4"/>
  <c r="K55" i="4"/>
  <c r="L55" i="4"/>
  <c r="H55" i="4"/>
  <c r="D195" i="1"/>
  <c r="G195" i="1"/>
  <c r="F196" i="1" s="1"/>
  <c r="E196" i="1"/>
  <c r="A98" i="2" a="1"/>
  <c r="A98" i="2" l="1"/>
  <c r="D98" i="2" s="1"/>
  <c r="B98" i="2"/>
  <c r="C98" i="2"/>
  <c r="E197" i="1"/>
  <c r="G196" i="1"/>
  <c r="F197" i="1" s="1"/>
  <c r="D196" i="1"/>
  <c r="D55" i="4"/>
  <c r="E55" i="4"/>
  <c r="F55" i="4"/>
  <c r="G55" i="4"/>
  <c r="H56" i="4"/>
  <c r="A99" i="2" a="1"/>
  <c r="A99" i="2" l="1"/>
  <c r="D99" i="2" s="1"/>
  <c r="B99" i="2"/>
  <c r="C99" i="2"/>
  <c r="D56" i="4"/>
  <c r="E56" i="4"/>
  <c r="F56" i="4"/>
  <c r="G56" i="4"/>
  <c r="C56" i="4"/>
  <c r="G197" i="1"/>
  <c r="F198" i="1" s="1"/>
  <c r="E198" i="1"/>
  <c r="D197" i="1"/>
  <c r="A100" i="2" a="1"/>
  <c r="A100" i="2" l="1"/>
  <c r="D100" i="2" s="1"/>
  <c r="B100" i="2"/>
  <c r="C100" i="2"/>
  <c r="E199" i="1"/>
  <c r="G198" i="1"/>
  <c r="F199" i="1" s="1"/>
  <c r="D198" i="1"/>
  <c r="I56" i="4"/>
  <c r="J56" i="4"/>
  <c r="K56" i="4"/>
  <c r="L56" i="4"/>
  <c r="B56" i="4"/>
  <c r="C57" i="4"/>
  <c r="A101" i="2" a="1"/>
  <c r="A101" i="2" l="1"/>
  <c r="D101" i="2" s="1"/>
  <c r="B101" i="2"/>
  <c r="C101" i="2"/>
  <c r="I57" i="4"/>
  <c r="B57" i="4"/>
  <c r="J57" i="4"/>
  <c r="K57" i="4"/>
  <c r="L57" i="4"/>
  <c r="H57" i="4"/>
  <c r="D199" i="1"/>
  <c r="G199" i="1"/>
  <c r="F200" i="1" s="1"/>
  <c r="E200" i="1"/>
  <c r="A102" i="2" a="1"/>
  <c r="A102" i="2" l="1"/>
  <c r="D102" i="2" s="1"/>
  <c r="B102" i="2"/>
  <c r="C102" i="2"/>
  <c r="G200" i="1"/>
  <c r="F201" i="1" s="1"/>
  <c r="E201" i="1"/>
  <c r="D200" i="1"/>
  <c r="D57" i="4"/>
  <c r="E57" i="4"/>
  <c r="F57" i="4"/>
  <c r="G57" i="4"/>
  <c r="H58" i="4"/>
  <c r="A103" i="2" a="1"/>
  <c r="A103" i="2" l="1"/>
  <c r="D103" i="2" s="1"/>
  <c r="B103" i="2"/>
  <c r="C103" i="2"/>
  <c r="D58" i="4"/>
  <c r="E58" i="4"/>
  <c r="F58" i="4"/>
  <c r="G58" i="4"/>
  <c r="C58" i="4"/>
  <c r="E202" i="1"/>
  <c r="G201" i="1"/>
  <c r="F202" i="1" s="1"/>
  <c r="D201" i="1"/>
  <c r="E203" i="1" l="1"/>
  <c r="G202" i="1"/>
  <c r="F203" i="1" s="1"/>
  <c r="D202" i="1"/>
  <c r="I58" i="4"/>
  <c r="J58" i="4"/>
  <c r="K58" i="4"/>
  <c r="L58" i="4"/>
  <c r="B58" i="4"/>
  <c r="C59" i="4"/>
  <c r="I59" i="4" l="1"/>
  <c r="B59" i="4"/>
  <c r="J59" i="4"/>
  <c r="K59" i="4"/>
  <c r="L59" i="4"/>
  <c r="H59" i="4"/>
  <c r="E204" i="1"/>
  <c r="G203" i="1"/>
  <c r="F204" i="1" s="1"/>
  <c r="D203" i="1"/>
  <c r="E205" i="1" l="1"/>
  <c r="D204" i="1"/>
  <c r="G204" i="1"/>
  <c r="F205" i="1" s="1"/>
  <c r="D59" i="4"/>
  <c r="E59" i="4"/>
  <c r="F59" i="4"/>
  <c r="G59" i="4"/>
  <c r="H60" i="4"/>
  <c r="D60" i="4" l="1"/>
  <c r="E60" i="4"/>
  <c r="F60" i="4"/>
  <c r="G60" i="4"/>
  <c r="C60" i="4"/>
  <c r="E206" i="1"/>
  <c r="D205" i="1"/>
  <c r="G205" i="1"/>
  <c r="F206" i="1" s="1"/>
  <c r="E207" i="1" l="1"/>
  <c r="G206" i="1"/>
  <c r="F207" i="1" s="1"/>
  <c r="D206" i="1"/>
  <c r="I60" i="4"/>
  <c r="J60" i="4"/>
  <c r="K60" i="4"/>
  <c r="L60" i="4"/>
  <c r="B60" i="4"/>
  <c r="C61" i="4"/>
  <c r="B61" i="4" l="1"/>
  <c r="I61" i="4"/>
  <c r="J61" i="4"/>
  <c r="K61" i="4"/>
  <c r="L61" i="4"/>
  <c r="H61" i="4"/>
  <c r="G207" i="1"/>
  <c r="F208" i="1" s="1"/>
  <c r="D207" i="1"/>
  <c r="E208" i="1"/>
  <c r="D208" i="1" l="1"/>
  <c r="E209" i="1"/>
  <c r="G208" i="1"/>
  <c r="F209" i="1" s="1"/>
  <c r="D61" i="4"/>
  <c r="E61" i="4"/>
  <c r="F61" i="4"/>
  <c r="G61" i="4"/>
  <c r="H62" i="4"/>
  <c r="D62" i="4" l="1"/>
  <c r="E62" i="4"/>
  <c r="F62" i="4"/>
  <c r="G62" i="4"/>
  <c r="C62" i="4"/>
  <c r="D209" i="1"/>
  <c r="G209" i="1"/>
  <c r="F210" i="1" s="1"/>
  <c r="E210" i="1"/>
  <c r="G210" i="1" l="1"/>
  <c r="F211" i="1" s="1"/>
  <c r="E211" i="1"/>
  <c r="D210" i="1"/>
  <c r="I62" i="4"/>
  <c r="J62" i="4"/>
  <c r="K62" i="4"/>
  <c r="L62" i="4"/>
  <c r="B62" i="4"/>
  <c r="C63" i="4"/>
  <c r="B63" i="4" l="1"/>
  <c r="I63" i="4"/>
  <c r="J63" i="4"/>
  <c r="K63" i="4"/>
  <c r="L63" i="4"/>
  <c r="H63" i="4"/>
  <c r="D211" i="1"/>
  <c r="G211" i="1"/>
  <c r="F212" i="1" s="1"/>
  <c r="E212" i="1"/>
  <c r="E213" i="1" l="1"/>
  <c r="D212" i="1"/>
  <c r="G212" i="1"/>
  <c r="F213" i="1" s="1"/>
  <c r="D63" i="4"/>
  <c r="E63" i="4"/>
  <c r="F63" i="4"/>
  <c r="G63" i="4"/>
  <c r="H64" i="4"/>
  <c r="D64" i="4" l="1"/>
  <c r="E64" i="4"/>
  <c r="F64" i="4"/>
  <c r="G64" i="4"/>
  <c r="C64" i="4"/>
  <c r="D213" i="1"/>
  <c r="G213" i="1"/>
  <c r="F214" i="1" s="1"/>
  <c r="E214" i="1"/>
  <c r="E215" i="1" l="1"/>
  <c r="G214" i="1"/>
  <c r="F215" i="1" s="1"/>
  <c r="D214" i="1"/>
  <c r="I64" i="4"/>
  <c r="J64" i="4"/>
  <c r="K64" i="4"/>
  <c r="L64" i="4"/>
  <c r="B64" i="4"/>
  <c r="C65" i="4"/>
  <c r="I65" i="4" l="1"/>
  <c r="J65" i="4"/>
  <c r="K65" i="4"/>
  <c r="L65" i="4"/>
  <c r="B65" i="4"/>
  <c r="H65" i="4"/>
  <c r="E216" i="1"/>
  <c r="G215" i="1"/>
  <c r="F216" i="1" s="1"/>
  <c r="D215" i="1"/>
  <c r="G216" i="1" l="1"/>
  <c r="F217" i="1" s="1"/>
  <c r="D216" i="1"/>
  <c r="E217" i="1"/>
  <c r="D65" i="4"/>
  <c r="H66" i="4"/>
  <c r="D66" i="4" l="1"/>
  <c r="E66" i="4"/>
  <c r="F66" i="4"/>
  <c r="G66" i="4"/>
  <c r="E65" i="4"/>
  <c r="F65" i="4" s="1"/>
  <c r="G65" i="4" s="1"/>
  <c r="G217" i="1"/>
  <c r="F218" i="1" s="1"/>
  <c r="D217" i="1"/>
  <c r="E218" i="1"/>
  <c r="E219" i="1" l="1"/>
  <c r="G218" i="1"/>
  <c r="F219" i="1" s="1"/>
  <c r="D218" i="1"/>
  <c r="C66" i="4"/>
  <c r="I66" i="4" l="1"/>
  <c r="B66" i="4"/>
  <c r="J66" i="4"/>
  <c r="K66" i="4" s="1"/>
  <c r="L66" i="4" s="1"/>
  <c r="C67" i="4"/>
  <c r="G219" i="1"/>
  <c r="F220" i="1" s="1"/>
  <c r="D219" i="1"/>
  <c r="E220" i="1"/>
  <c r="D220" i="1" l="1"/>
  <c r="G220" i="1"/>
  <c r="F221" i="1" s="1"/>
  <c r="E221" i="1"/>
  <c r="I67" i="4"/>
  <c r="J67" i="4"/>
  <c r="K67" i="4"/>
  <c r="L67" i="4"/>
  <c r="B67" i="4"/>
  <c r="H67" i="4"/>
  <c r="D67" i="4" l="1"/>
  <c r="E67" i="4"/>
  <c r="F67" i="4"/>
  <c r="G67" i="4"/>
  <c r="H68" i="4"/>
  <c r="G221" i="1"/>
  <c r="F222" i="1" s="1"/>
  <c r="E222" i="1"/>
  <c r="D221" i="1"/>
  <c r="D222" i="1" l="1"/>
  <c r="G222" i="1"/>
  <c r="F223" i="1" s="1"/>
  <c r="E223" i="1"/>
  <c r="D68" i="4"/>
  <c r="E68" i="4"/>
  <c r="F68" i="4"/>
  <c r="G68" i="4"/>
  <c r="C68" i="4"/>
  <c r="B68" i="4" l="1"/>
  <c r="I68" i="4"/>
  <c r="J68" i="4"/>
  <c r="K68" i="4"/>
  <c r="L68" i="4"/>
  <c r="C69" i="4"/>
  <c r="G223" i="1"/>
  <c r="F224" i="1" s="1"/>
  <c r="D223" i="1"/>
  <c r="E224" i="1"/>
  <c r="D224" i="1" l="1"/>
  <c r="G224" i="1"/>
  <c r="F225" i="1" s="1"/>
  <c r="E225" i="1"/>
  <c r="I69" i="4"/>
  <c r="B69" i="4"/>
  <c r="J69" i="4"/>
  <c r="K69" i="4"/>
  <c r="L69" i="4"/>
  <c r="H69" i="4"/>
  <c r="D69" i="4" l="1"/>
  <c r="H70" i="4"/>
  <c r="E226" i="1"/>
  <c r="G225" i="1"/>
  <c r="F226" i="1" s="1"/>
  <c r="D225" i="1"/>
  <c r="D226" i="1" l="1"/>
  <c r="G226" i="1"/>
  <c r="F227" i="1" s="1"/>
  <c r="E227" i="1"/>
  <c r="D70" i="4"/>
  <c r="E70" i="4"/>
  <c r="F70" i="4"/>
  <c r="G70" i="4"/>
  <c r="E69" i="4"/>
  <c r="F69" i="4" s="1"/>
  <c r="G69" i="4" s="1"/>
  <c r="C70" i="4" l="1"/>
  <c r="E228" i="1"/>
  <c r="G227" i="1"/>
  <c r="F228" i="1" s="1"/>
  <c r="D227" i="1"/>
  <c r="E229" i="1" l="1"/>
  <c r="G228" i="1"/>
  <c r="F229" i="1" s="1"/>
  <c r="D228" i="1"/>
  <c r="I70" i="4"/>
  <c r="J70" i="4"/>
  <c r="K70" i="4"/>
  <c r="L70" i="4"/>
  <c r="B70" i="4"/>
  <c r="C71" i="4"/>
  <c r="I71" i="4" l="1"/>
  <c r="J71" i="4"/>
  <c r="K71" i="4"/>
  <c r="L71" i="4"/>
  <c r="B71" i="4"/>
  <c r="H71" i="4"/>
  <c r="D229" i="1"/>
  <c r="G229" i="1"/>
  <c r="F230" i="1" s="1"/>
  <c r="E230" i="1"/>
  <c r="G230" i="1" l="1"/>
  <c r="F231" i="1" s="1"/>
  <c r="D230" i="1"/>
  <c r="E231" i="1"/>
  <c r="D71" i="4"/>
  <c r="E71" i="4"/>
  <c r="F71" i="4"/>
  <c r="G71" i="4"/>
  <c r="H72" i="4"/>
  <c r="D72" i="4" l="1"/>
  <c r="E72" i="4"/>
  <c r="F72" i="4"/>
  <c r="G72" i="4"/>
  <c r="C72" i="4"/>
  <c r="E232" i="1"/>
  <c r="G231" i="1"/>
  <c r="F232" i="1" s="1"/>
  <c r="D231" i="1"/>
  <c r="E233" i="1" l="1"/>
  <c r="G232" i="1"/>
  <c r="F233" i="1" s="1"/>
  <c r="D232" i="1"/>
  <c r="I72" i="4"/>
  <c r="J72" i="4"/>
  <c r="K72" i="4"/>
  <c r="L72" i="4"/>
  <c r="B72" i="4"/>
  <c r="C73" i="4"/>
  <c r="I73" i="4" l="1"/>
  <c r="B73" i="4"/>
  <c r="J73" i="4"/>
  <c r="K73" i="4"/>
  <c r="L73" i="4"/>
  <c r="H73" i="4"/>
  <c r="G233" i="1"/>
  <c r="F234" i="1" s="1"/>
  <c r="D233" i="1"/>
  <c r="E234" i="1"/>
  <c r="E235" i="1" l="1"/>
  <c r="G234" i="1"/>
  <c r="F235" i="1" s="1"/>
  <c r="D234" i="1"/>
  <c r="D73" i="4"/>
  <c r="E73" i="4"/>
  <c r="F73" i="4"/>
  <c r="G73" i="4"/>
  <c r="H74" i="4"/>
  <c r="D74" i="4" l="1"/>
  <c r="E74" i="4"/>
  <c r="F74" i="4"/>
  <c r="G74" i="4"/>
  <c r="C74" i="4"/>
  <c r="G235" i="1"/>
  <c r="F236" i="1" s="1"/>
  <c r="D235" i="1"/>
  <c r="E236" i="1"/>
  <c r="D236" i="1" l="1"/>
  <c r="G236" i="1"/>
  <c r="F237" i="1" s="1"/>
  <c r="E237" i="1"/>
  <c r="B74" i="4"/>
  <c r="I74" i="4"/>
  <c r="J74" i="4"/>
  <c r="K74" i="4"/>
  <c r="L74" i="4"/>
  <c r="C75" i="4"/>
  <c r="I75" i="4" l="1"/>
  <c r="J75" i="4"/>
  <c r="K75" i="4"/>
  <c r="L75" i="4"/>
  <c r="B75" i="4"/>
  <c r="H75" i="4"/>
  <c r="G237" i="1"/>
  <c r="F238" i="1" s="1"/>
  <c r="D237" i="1"/>
  <c r="E238" i="1"/>
  <c r="E239" i="1" l="1"/>
  <c r="G238" i="1"/>
  <c r="F239" i="1" s="1"/>
  <c r="D238" i="1"/>
  <c r="D75" i="4"/>
  <c r="E75" i="4"/>
  <c r="F75" i="4"/>
  <c r="G75" i="4"/>
  <c r="H76" i="4"/>
  <c r="D76" i="4" l="1"/>
  <c r="E76" i="4"/>
  <c r="F76" i="4"/>
  <c r="G76" i="4"/>
  <c r="C76" i="4"/>
  <c r="G239" i="1"/>
  <c r="F240" i="1" s="1"/>
  <c r="E240" i="1"/>
  <c r="D239" i="1"/>
  <c r="G240" i="1" l="1"/>
  <c r="F241" i="1" s="1"/>
  <c r="D240" i="1"/>
  <c r="E241" i="1"/>
  <c r="B76" i="4"/>
  <c r="I76" i="4"/>
  <c r="J76" i="4"/>
  <c r="K76" i="4"/>
  <c r="L76" i="4"/>
  <c r="C77" i="4"/>
  <c r="I77" i="4" l="1"/>
  <c r="B77" i="4"/>
  <c r="J77" i="4"/>
  <c r="K77" i="4"/>
  <c r="L77" i="4"/>
  <c r="H77" i="4"/>
  <c r="E242" i="1"/>
  <c r="D241" i="1"/>
  <c r="G241" i="1"/>
  <c r="F242" i="1" s="1"/>
  <c r="E243" i="1" l="1"/>
  <c r="G242" i="1"/>
  <c r="F243" i="1" s="1"/>
  <c r="D242" i="1"/>
  <c r="D77" i="4"/>
  <c r="E77" i="4"/>
  <c r="F77" i="4"/>
  <c r="G77" i="4"/>
  <c r="H78" i="4"/>
  <c r="D78" i="4" l="1"/>
  <c r="E78" i="4"/>
  <c r="F78" i="4"/>
  <c r="G78" i="4"/>
  <c r="C78" i="4"/>
  <c r="D243" i="1"/>
  <c r="G243" i="1"/>
  <c r="F244" i="1" s="1"/>
  <c r="E244" i="1"/>
  <c r="E245" i="1" l="1"/>
  <c r="G244" i="1"/>
  <c r="F245" i="1" s="1"/>
  <c r="D244" i="1"/>
  <c r="I78" i="4"/>
  <c r="J78" i="4"/>
  <c r="K78" i="4"/>
  <c r="L78" i="4"/>
  <c r="B78" i="4"/>
  <c r="C79" i="4"/>
  <c r="I79" i="4" l="1"/>
  <c r="J79" i="4"/>
  <c r="K79" i="4"/>
  <c r="L79" i="4"/>
  <c r="B79" i="4"/>
  <c r="H79" i="4"/>
  <c r="D245" i="1"/>
  <c r="E246" i="1"/>
  <c r="G245" i="1"/>
  <c r="F246" i="1" s="1"/>
  <c r="G246" i="1" l="1"/>
  <c r="F247" i="1" s="1"/>
  <c r="E247" i="1"/>
  <c r="D246" i="1"/>
  <c r="D79" i="4"/>
  <c r="E79" i="4"/>
  <c r="F79" i="4"/>
  <c r="G79" i="4"/>
  <c r="H80" i="4"/>
  <c r="D80" i="4" l="1"/>
  <c r="E80" i="4"/>
  <c r="F80" i="4"/>
  <c r="G80" i="4"/>
  <c r="C80" i="4"/>
  <c r="D247" i="1"/>
  <c r="G247" i="1"/>
  <c r="F248" i="1" s="1"/>
  <c r="E248" i="1"/>
  <c r="G248" i="1" l="1"/>
  <c r="F249" i="1" s="1"/>
  <c r="E249" i="1"/>
  <c r="D248" i="1"/>
  <c r="B80" i="4"/>
  <c r="I80" i="4"/>
  <c r="J80" i="4"/>
  <c r="K80" i="4"/>
  <c r="L80" i="4"/>
  <c r="C81" i="4"/>
  <c r="I81" i="4" l="1"/>
  <c r="J81" i="4"/>
  <c r="B81" i="4"/>
  <c r="K81" i="4"/>
  <c r="L81" i="4"/>
  <c r="H81" i="4"/>
  <c r="E250" i="1"/>
  <c r="G249" i="1"/>
  <c r="F250" i="1" s="1"/>
  <c r="D249" i="1"/>
  <c r="G250" i="1" l="1"/>
  <c r="F251" i="1" s="1"/>
  <c r="E251" i="1"/>
  <c r="D250" i="1"/>
  <c r="D81" i="4"/>
  <c r="E81" i="4"/>
  <c r="F81" i="4"/>
  <c r="G81" i="4"/>
  <c r="H82" i="4"/>
  <c r="D82" i="4" l="1"/>
  <c r="E82" i="4"/>
  <c r="F82" i="4"/>
  <c r="G82" i="4"/>
  <c r="C82" i="4"/>
  <c r="D251" i="1"/>
  <c r="E252" i="1"/>
  <c r="G251" i="1"/>
  <c r="F252" i="1" s="1"/>
  <c r="G252" i="1" l="1"/>
  <c r="F253" i="1" s="1"/>
  <c r="E253" i="1"/>
  <c r="D252" i="1"/>
  <c r="I82" i="4"/>
  <c r="B82" i="4"/>
  <c r="J82" i="4"/>
  <c r="K82" i="4"/>
  <c r="L82" i="4"/>
  <c r="C83" i="4"/>
  <c r="I83" i="4" l="1"/>
  <c r="J83" i="4"/>
  <c r="K83" i="4"/>
  <c r="L83" i="4"/>
  <c r="B83" i="4"/>
  <c r="H83" i="4"/>
  <c r="G253" i="1"/>
  <c r="F254" i="1" s="1"/>
  <c r="E254" i="1"/>
  <c r="D253" i="1"/>
  <c r="E255" i="1" l="1"/>
  <c r="G254" i="1"/>
  <c r="F255" i="1" s="1"/>
  <c r="D254" i="1"/>
  <c r="D83" i="4"/>
  <c r="E83" i="4"/>
  <c r="F83" i="4"/>
  <c r="G83" i="4"/>
  <c r="H84" i="4"/>
  <c r="D84" i="4" l="1"/>
  <c r="E84" i="4"/>
  <c r="F84" i="4"/>
  <c r="G84" i="4"/>
  <c r="C84" i="4"/>
  <c r="D255" i="1"/>
  <c r="G255" i="1"/>
  <c r="F256" i="1" s="1"/>
  <c r="E256" i="1"/>
  <c r="G256" i="1" l="1"/>
  <c r="F257" i="1" s="1"/>
  <c r="E257" i="1"/>
  <c r="D256" i="1"/>
  <c r="I84" i="4"/>
  <c r="B84" i="4"/>
  <c r="J84" i="4"/>
  <c r="K84" i="4"/>
  <c r="L84" i="4"/>
  <c r="C85" i="4"/>
  <c r="I85" i="4" l="1"/>
  <c r="J85" i="4"/>
  <c r="K85" i="4"/>
  <c r="L85" i="4"/>
  <c r="B85" i="4"/>
  <c r="H85" i="4"/>
  <c r="D257" i="1"/>
  <c r="E258" i="1"/>
  <c r="G257" i="1"/>
  <c r="F258" i="1" s="1"/>
  <c r="D258" i="1" l="1"/>
  <c r="G258" i="1"/>
  <c r="F259" i="1" s="1"/>
  <c r="E259" i="1"/>
  <c r="D85" i="4"/>
  <c r="E85" i="4"/>
  <c r="F85" i="4"/>
  <c r="G85" i="4"/>
  <c r="H86" i="4"/>
  <c r="D86" i="4" l="1"/>
  <c r="E86" i="4"/>
  <c r="F86" i="4"/>
  <c r="G86" i="4"/>
  <c r="C86" i="4"/>
  <c r="G259" i="1"/>
  <c r="F260" i="1" s="1"/>
  <c r="E260" i="1"/>
  <c r="D259" i="1"/>
  <c r="E261" i="1" l="1"/>
  <c r="G260" i="1"/>
  <c r="F261" i="1" s="1"/>
  <c r="D260" i="1"/>
  <c r="B86" i="4"/>
  <c r="I86" i="4"/>
  <c r="J86" i="4"/>
  <c r="K86" i="4"/>
  <c r="L86" i="4"/>
  <c r="C87" i="4"/>
  <c r="B87" i="4" l="1"/>
  <c r="I87" i="4"/>
  <c r="J87" i="4"/>
  <c r="K87" i="4"/>
  <c r="L87" i="4"/>
  <c r="H87" i="4"/>
  <c r="G261" i="1"/>
  <c r="F262" i="1" s="1"/>
  <c r="E262" i="1"/>
  <c r="D261" i="1"/>
  <c r="D262" i="1" l="1"/>
  <c r="E263" i="1"/>
  <c r="G262" i="1"/>
  <c r="F263" i="1" s="1"/>
  <c r="D87" i="4"/>
  <c r="E87" i="4"/>
  <c r="F87" i="4"/>
  <c r="G87" i="4"/>
  <c r="H88" i="4"/>
  <c r="D88" i="4" l="1"/>
  <c r="E88" i="4"/>
  <c r="F88" i="4"/>
  <c r="G88" i="4"/>
  <c r="C88" i="4"/>
  <c r="G263" i="1"/>
  <c r="F264" i="1" s="1"/>
  <c r="E264" i="1"/>
  <c r="D263" i="1"/>
  <c r="D264" i="1" l="1"/>
  <c r="E265" i="1"/>
  <c r="G264" i="1"/>
  <c r="F265" i="1" s="1"/>
  <c r="I88" i="4"/>
  <c r="B88" i="4"/>
  <c r="J88" i="4"/>
  <c r="K88" i="4"/>
  <c r="L88" i="4"/>
  <c r="C89" i="4"/>
  <c r="I89" i="4" l="1"/>
  <c r="J89" i="4"/>
  <c r="B89" i="4"/>
  <c r="K89" i="4"/>
  <c r="L89" i="4"/>
  <c r="H89" i="4"/>
  <c r="G265" i="1"/>
  <c r="F266" i="1" s="1"/>
  <c r="E266" i="1"/>
  <c r="D265" i="1"/>
  <c r="G266" i="1" l="1"/>
  <c r="F267" i="1" s="1"/>
  <c r="D266" i="1"/>
  <c r="E267" i="1"/>
  <c r="D89" i="4"/>
  <c r="E89" i="4"/>
  <c r="F89" i="4"/>
  <c r="G89" i="4"/>
  <c r="H90" i="4"/>
  <c r="D90" i="4" l="1"/>
  <c r="E90" i="4"/>
  <c r="F90" i="4"/>
  <c r="G90" i="4"/>
  <c r="C90" i="4"/>
  <c r="E268" i="1"/>
  <c r="G267" i="1"/>
  <c r="F268" i="1" s="1"/>
  <c r="D267" i="1"/>
  <c r="G268" i="1" l="1"/>
  <c r="F269" i="1" s="1"/>
  <c r="E269" i="1"/>
  <c r="D268" i="1"/>
  <c r="B90" i="4"/>
  <c r="I90" i="4"/>
  <c r="J90" i="4"/>
  <c r="K90" i="4"/>
  <c r="L90" i="4"/>
  <c r="C91" i="4"/>
  <c r="I91" i="4" l="1"/>
  <c r="J91" i="4"/>
  <c r="K91" i="4"/>
  <c r="L91" i="4"/>
  <c r="B91" i="4"/>
  <c r="H91" i="4"/>
  <c r="D269" i="1"/>
  <c r="G269" i="1"/>
  <c r="F270" i="1" s="1"/>
  <c r="E270" i="1"/>
  <c r="G270" i="1" l="1"/>
  <c r="F271" i="1" s="1"/>
  <c r="E271" i="1"/>
  <c r="D270" i="1"/>
  <c r="D91" i="4"/>
  <c r="E91" i="4"/>
  <c r="F91" i="4"/>
  <c r="G91" i="4"/>
  <c r="H92" i="4"/>
  <c r="D92" i="4" l="1"/>
  <c r="E92" i="4"/>
  <c r="F92" i="4"/>
  <c r="G92" i="4"/>
  <c r="C92" i="4"/>
  <c r="D271" i="1"/>
  <c r="G271" i="1"/>
  <c r="F272" i="1" s="1"/>
  <c r="E272" i="1"/>
  <c r="E273" i="1" l="1"/>
  <c r="D272" i="1"/>
  <c r="G272" i="1"/>
  <c r="F273" i="1" s="1"/>
  <c r="I92" i="4"/>
  <c r="B92" i="4"/>
  <c r="J92" i="4"/>
  <c r="K92" i="4"/>
  <c r="L92" i="4"/>
  <c r="C93" i="4"/>
  <c r="I93" i="4" l="1"/>
  <c r="J93" i="4"/>
  <c r="B93" i="4"/>
  <c r="K93" i="4"/>
  <c r="L93" i="4"/>
  <c r="H93" i="4"/>
  <c r="E274" i="1"/>
  <c r="G273" i="1"/>
  <c r="F274" i="1" s="1"/>
  <c r="D273" i="1"/>
  <c r="E275" i="1" l="1"/>
  <c r="G274" i="1"/>
  <c r="F275" i="1" s="1"/>
  <c r="D274" i="1"/>
  <c r="D93" i="4"/>
  <c r="E93" i="4"/>
  <c r="F93" i="4"/>
  <c r="G93" i="4"/>
  <c r="H94" i="4"/>
  <c r="D94" i="4" l="1"/>
  <c r="E94" i="4"/>
  <c r="F94" i="4"/>
  <c r="G94" i="4"/>
  <c r="C94" i="4"/>
  <c r="D275" i="1"/>
  <c r="G275" i="1"/>
  <c r="F276" i="1" s="1"/>
  <c r="E276" i="1"/>
  <c r="D276" i="1" l="1"/>
  <c r="E277" i="1"/>
  <c r="G276" i="1"/>
  <c r="F277" i="1" s="1"/>
  <c r="I94" i="4"/>
  <c r="J94" i="4"/>
  <c r="K94" i="4"/>
  <c r="L94" i="4"/>
  <c r="B94" i="4"/>
  <c r="C95" i="4"/>
  <c r="B95" i="4" l="1"/>
  <c r="I95" i="4"/>
  <c r="J95" i="4"/>
  <c r="K95" i="4"/>
  <c r="L95" i="4"/>
  <c r="H95" i="4"/>
  <c r="E278" i="1"/>
  <c r="G277" i="1"/>
  <c r="F278" i="1" s="1"/>
  <c r="D277" i="1"/>
  <c r="E279" i="1" l="1"/>
  <c r="G278" i="1"/>
  <c r="F279" i="1" s="1"/>
  <c r="D278" i="1"/>
  <c r="D95" i="4"/>
  <c r="E95" i="4"/>
  <c r="F95" i="4"/>
  <c r="G95" i="4"/>
  <c r="H96" i="4"/>
  <c r="D96" i="4" l="1"/>
  <c r="E96" i="4"/>
  <c r="F96" i="4"/>
  <c r="G96" i="4"/>
  <c r="C96" i="4"/>
  <c r="D279" i="1"/>
  <c r="G279" i="1"/>
  <c r="F280" i="1" s="1"/>
  <c r="E280" i="1"/>
  <c r="E281" i="1" l="1"/>
  <c r="G280" i="1"/>
  <c r="F281" i="1" s="1"/>
  <c r="D280" i="1"/>
  <c r="I96" i="4"/>
  <c r="B96" i="4"/>
  <c r="J96" i="4"/>
  <c r="K96" i="4"/>
  <c r="L96" i="4"/>
  <c r="C97" i="4"/>
  <c r="B97" i="4" l="1"/>
  <c r="I97" i="4"/>
  <c r="J97" i="4"/>
  <c r="K97" i="4"/>
  <c r="L97" i="4"/>
  <c r="H97" i="4"/>
  <c r="D281" i="1"/>
  <c r="G281" i="1"/>
  <c r="F282" i="1" s="1"/>
  <c r="E282" i="1"/>
  <c r="D282" i="1" l="1"/>
  <c r="E283" i="1"/>
  <c r="G282" i="1"/>
  <c r="F283" i="1" s="1"/>
  <c r="D97" i="4"/>
  <c r="E97" i="4"/>
  <c r="F97" i="4"/>
  <c r="G97" i="4"/>
  <c r="H98" i="4"/>
  <c r="D98" i="4" l="1"/>
  <c r="E98" i="4"/>
  <c r="F98" i="4"/>
  <c r="G98" i="4"/>
  <c r="C98" i="4"/>
  <c r="G283" i="1"/>
  <c r="F284" i="1" s="1"/>
  <c r="E284" i="1"/>
  <c r="D283" i="1"/>
  <c r="G284" i="1" l="1"/>
  <c r="F285" i="1" s="1"/>
  <c r="D284" i="1"/>
  <c r="E285" i="1"/>
  <c r="I98" i="4"/>
  <c r="J98" i="4"/>
  <c r="K98" i="4"/>
  <c r="L98" i="4"/>
  <c r="B98" i="4"/>
  <c r="C99" i="4"/>
  <c r="B99" i="4" l="1"/>
  <c r="I99" i="4"/>
  <c r="J99" i="4"/>
  <c r="K99" i="4"/>
  <c r="L99" i="4"/>
  <c r="H99" i="4"/>
  <c r="D285" i="1"/>
  <c r="G285" i="1"/>
  <c r="F286" i="1" s="1"/>
  <c r="E286" i="1"/>
  <c r="G286" i="1" l="1"/>
  <c r="F287" i="1" s="1"/>
  <c r="D286" i="1"/>
  <c r="E287" i="1"/>
  <c r="D99" i="4"/>
  <c r="E99" i="4"/>
  <c r="F99" i="4"/>
  <c r="G99" i="4"/>
  <c r="H100" i="4"/>
  <c r="D100" i="4" l="1"/>
  <c r="E100" i="4"/>
  <c r="F100" i="4"/>
  <c r="G100" i="4"/>
  <c r="C100" i="4"/>
  <c r="G287" i="1"/>
  <c r="F288" i="1" s="1"/>
  <c r="E288" i="1"/>
  <c r="D287" i="1"/>
  <c r="G288" i="1" l="1"/>
  <c r="F289" i="1" s="1"/>
  <c r="E289" i="1"/>
  <c r="D288" i="1"/>
  <c r="I100" i="4"/>
  <c r="J100" i="4"/>
  <c r="K100" i="4"/>
  <c r="L100" i="4"/>
  <c r="B100" i="4"/>
  <c r="C101" i="4"/>
  <c r="I101" i="4" l="1"/>
  <c r="J101" i="4"/>
  <c r="K101" i="4"/>
  <c r="L101" i="4"/>
  <c r="B101" i="4"/>
  <c r="H101" i="4"/>
  <c r="G289" i="1"/>
  <c r="F290" i="1" s="1"/>
  <c r="E290" i="1"/>
  <c r="D289" i="1"/>
  <c r="G290" i="1" l="1"/>
  <c r="F291" i="1" s="1"/>
  <c r="D290" i="1"/>
  <c r="E291" i="1"/>
  <c r="D101" i="4"/>
  <c r="E101" i="4"/>
  <c r="F101" i="4"/>
  <c r="G101" i="4"/>
  <c r="H102" i="4"/>
  <c r="D102" i="4" l="1"/>
  <c r="E102" i="4"/>
  <c r="F102" i="4"/>
  <c r="G102" i="4"/>
  <c r="C102" i="4"/>
  <c r="D291" i="1"/>
  <c r="G291" i="1"/>
  <c r="F292" i="1" s="1"/>
  <c r="E292" i="1"/>
  <c r="E293" i="1" l="1"/>
  <c r="D292" i="1"/>
  <c r="G292" i="1"/>
  <c r="F293" i="1" s="1"/>
  <c r="I102" i="4"/>
  <c r="B102" i="4"/>
  <c r="J102" i="4"/>
  <c r="K102" i="4"/>
  <c r="L102" i="4"/>
  <c r="C103" i="4"/>
  <c r="B103" i="4" l="1"/>
  <c r="I103" i="4"/>
  <c r="J103" i="4"/>
  <c r="K103" i="4"/>
  <c r="L103" i="4"/>
  <c r="H103" i="4"/>
  <c r="G293" i="1"/>
  <c r="F294" i="1" s="1"/>
  <c r="E294" i="1"/>
  <c r="D293" i="1"/>
  <c r="E295" i="1" l="1"/>
  <c r="G294" i="1"/>
  <c r="F295" i="1" s="1"/>
  <c r="D294" i="1"/>
  <c r="D103" i="4"/>
  <c r="E103" i="4"/>
  <c r="F103" i="4"/>
  <c r="G103" i="4"/>
  <c r="H104" i="4"/>
  <c r="D104" i="4" l="1"/>
  <c r="E104" i="4"/>
  <c r="F104" i="4"/>
  <c r="G104" i="4"/>
  <c r="C104" i="4"/>
  <c r="E296" i="1"/>
  <c r="G295" i="1"/>
  <c r="F296" i="1" s="1"/>
  <c r="D295" i="1"/>
  <c r="E297" i="1" l="1"/>
  <c r="D296" i="1"/>
  <c r="G296" i="1"/>
  <c r="F297" i="1" s="1"/>
  <c r="I104" i="4"/>
  <c r="B104" i="4"/>
  <c r="J104" i="4"/>
  <c r="K104" i="4"/>
  <c r="L104" i="4"/>
  <c r="C105" i="4"/>
  <c r="I105" i="4" l="1"/>
  <c r="J105" i="4"/>
  <c r="K105" i="4"/>
  <c r="L105" i="4"/>
  <c r="B105" i="4"/>
  <c r="H105" i="4"/>
  <c r="E298" i="1"/>
  <c r="G297" i="1"/>
  <c r="F298" i="1" s="1"/>
  <c r="D297" i="1"/>
  <c r="E299" i="1" l="1"/>
  <c r="G298" i="1"/>
  <c r="F299" i="1" s="1"/>
  <c r="D298" i="1"/>
  <c r="D105" i="4"/>
  <c r="E105" i="4"/>
  <c r="F105" i="4" s="1"/>
  <c r="G105" i="4" s="1"/>
  <c r="H106" i="4"/>
  <c r="D106" i="4" l="1"/>
  <c r="E106" i="4"/>
  <c r="F106" i="4"/>
  <c r="G106" i="4"/>
  <c r="C106" i="4"/>
  <c r="E300" i="1"/>
  <c r="G299" i="1"/>
  <c r="F300" i="1" s="1"/>
  <c r="D299" i="1"/>
  <c r="G300" i="1" l="1"/>
  <c r="F301" i="1" s="1"/>
  <c r="E301" i="1"/>
  <c r="D300" i="1"/>
  <c r="I106" i="4"/>
  <c r="J106" i="4"/>
  <c r="K106" i="4"/>
  <c r="L106" i="4"/>
  <c r="B106" i="4"/>
  <c r="C107" i="4"/>
  <c r="I107" i="4" l="1"/>
  <c r="B107" i="4"/>
  <c r="J107" i="4"/>
  <c r="K107" i="4"/>
  <c r="L107" i="4"/>
  <c r="H107" i="4"/>
  <c r="D301" i="1"/>
  <c r="G301" i="1"/>
  <c r="F302" i="1" s="1"/>
  <c r="E302" i="1"/>
  <c r="D302" i="1" l="1"/>
  <c r="G302" i="1"/>
  <c r="F303" i="1" s="1"/>
  <c r="E303" i="1"/>
  <c r="D107" i="4"/>
  <c r="E107" i="4"/>
  <c r="F107" i="4"/>
  <c r="G107" i="4"/>
  <c r="H108" i="4"/>
  <c r="D108" i="4" l="1"/>
  <c r="E108" i="4"/>
  <c r="F108" i="4"/>
  <c r="G108" i="4"/>
  <c r="C108" i="4"/>
  <c r="G303" i="1"/>
  <c r="F304" i="1" s="1"/>
  <c r="E304" i="1"/>
  <c r="D303" i="1"/>
  <c r="D304" i="1" l="1"/>
  <c r="G304" i="1"/>
  <c r="F305" i="1" s="1"/>
  <c r="E305" i="1"/>
  <c r="I108" i="4"/>
  <c r="B108" i="4"/>
  <c r="J108" i="4"/>
  <c r="K108" i="4"/>
  <c r="L108" i="4"/>
  <c r="C109" i="4"/>
  <c r="I109" i="4" l="1"/>
  <c r="B109" i="4"/>
  <c r="J109" i="4"/>
  <c r="K109" i="4"/>
  <c r="L109" i="4"/>
  <c r="H109" i="4"/>
  <c r="G305" i="1"/>
  <c r="F306" i="1" s="1"/>
  <c r="E306" i="1"/>
  <c r="D305" i="1"/>
  <c r="E307" i="1" l="1"/>
  <c r="G306" i="1"/>
  <c r="F307" i="1" s="1"/>
  <c r="D306" i="1"/>
  <c r="D109" i="4"/>
  <c r="E109" i="4"/>
  <c r="F109" i="4"/>
  <c r="G109" i="4"/>
  <c r="H110" i="4"/>
  <c r="D110" i="4" l="1"/>
  <c r="E110" i="4"/>
  <c r="F110" i="4"/>
  <c r="G110" i="4"/>
  <c r="C110" i="4"/>
  <c r="G307" i="1"/>
  <c r="F308" i="1" s="1"/>
  <c r="D307" i="1"/>
  <c r="E308" i="1"/>
  <c r="D308" i="1" l="1"/>
  <c r="G308" i="1"/>
  <c r="F309" i="1" s="1"/>
  <c r="E309" i="1"/>
  <c r="I110" i="4"/>
  <c r="J110" i="4"/>
  <c r="K110" i="4"/>
  <c r="L110" i="4"/>
  <c r="B110" i="4"/>
  <c r="C111" i="4"/>
  <c r="I111" i="4" l="1"/>
  <c r="B111" i="4"/>
  <c r="J111" i="4"/>
  <c r="K111" i="4"/>
  <c r="L111" i="4"/>
  <c r="H111" i="4"/>
  <c r="E310" i="1"/>
  <c r="G309" i="1"/>
  <c r="F310" i="1" s="1"/>
  <c r="D309" i="1"/>
  <c r="D310" i="1" l="1"/>
  <c r="G310" i="1"/>
  <c r="F311" i="1" s="1"/>
  <c r="E311" i="1"/>
  <c r="D111" i="4"/>
  <c r="E111" i="4"/>
  <c r="F111" i="4"/>
  <c r="G111" i="4"/>
  <c r="H112" i="4"/>
  <c r="D112" i="4" l="1"/>
  <c r="E112" i="4"/>
  <c r="F112" i="4"/>
  <c r="G112" i="4"/>
  <c r="C112" i="4"/>
  <c r="E312" i="1"/>
  <c r="G311" i="1"/>
  <c r="F312" i="1" s="1"/>
  <c r="D311" i="1"/>
  <c r="E313" i="1" l="1"/>
  <c r="G312" i="1"/>
  <c r="F313" i="1" s="1"/>
  <c r="D312" i="1"/>
  <c r="B112" i="4"/>
  <c r="I112" i="4"/>
  <c r="J112" i="4"/>
  <c r="K112" i="4"/>
  <c r="L112" i="4"/>
  <c r="C113" i="4"/>
  <c r="B113" i="4" l="1"/>
  <c r="I113" i="4"/>
  <c r="J113" i="4"/>
  <c r="K113" i="4"/>
  <c r="L113" i="4"/>
  <c r="H113" i="4"/>
  <c r="D313" i="1"/>
  <c r="G313" i="1"/>
  <c r="F314" i="1" s="1"/>
  <c r="E314" i="1"/>
  <c r="E315" i="1" l="1"/>
  <c r="G314" i="1"/>
  <c r="F315" i="1" s="1"/>
  <c r="D314" i="1"/>
  <c r="D113" i="4"/>
  <c r="E113" i="4"/>
  <c r="F113" i="4"/>
  <c r="G113" i="4"/>
  <c r="H114" i="4"/>
  <c r="D114" i="4" l="1"/>
  <c r="E114" i="4"/>
  <c r="F114" i="4"/>
  <c r="G114" i="4"/>
  <c r="C114" i="4"/>
  <c r="E316" i="1"/>
  <c r="D315" i="1"/>
  <c r="G315" i="1"/>
  <c r="F316" i="1" s="1"/>
  <c r="G316" i="1" l="1"/>
  <c r="F317" i="1" s="1"/>
  <c r="E317" i="1"/>
  <c r="D316" i="1"/>
  <c r="B114" i="4"/>
  <c r="I114" i="4"/>
  <c r="C115" i="4"/>
  <c r="B115" i="4" l="1"/>
  <c r="I115" i="4"/>
  <c r="J115" i="4"/>
  <c r="K115" i="4"/>
  <c r="L115" i="4"/>
  <c r="J114" i="4"/>
  <c r="K114" i="4" s="1"/>
  <c r="L114" i="4" s="1"/>
  <c r="G317" i="1"/>
  <c r="F318" i="1" s="1"/>
  <c r="D317" i="1"/>
  <c r="E318" i="1"/>
  <c r="E319" i="1" l="1"/>
  <c r="G318" i="1"/>
  <c r="F319" i="1" s="1"/>
  <c r="D318" i="1"/>
  <c r="H115" i="4"/>
  <c r="D115" i="4" l="1"/>
  <c r="E115" i="4"/>
  <c r="F115" i="4"/>
  <c r="G115" i="4"/>
  <c r="H116" i="4"/>
  <c r="G319" i="1"/>
  <c r="F320" i="1" s="1"/>
  <c r="E320" i="1"/>
  <c r="D319" i="1"/>
  <c r="E321" i="1" l="1"/>
  <c r="G320" i="1"/>
  <c r="F321" i="1" s="1"/>
  <c r="D320" i="1"/>
  <c r="D116" i="4"/>
  <c r="E116" i="4"/>
  <c r="F116" i="4" s="1"/>
  <c r="G116" i="4" s="1"/>
  <c r="C116" i="4"/>
  <c r="I116" i="4" l="1"/>
  <c r="B116" i="4"/>
  <c r="J116" i="4"/>
  <c r="K116" i="4"/>
  <c r="L116" i="4"/>
  <c r="C117" i="4"/>
  <c r="E322" i="1"/>
  <c r="G321" i="1"/>
  <c r="F322" i="1" s="1"/>
  <c r="D321" i="1"/>
  <c r="D322" i="1" l="1"/>
  <c r="G322" i="1"/>
  <c r="F323" i="1" s="1"/>
  <c r="E323" i="1"/>
  <c r="B117" i="4"/>
  <c r="I117" i="4"/>
  <c r="J117" i="4"/>
  <c r="K117" i="4"/>
  <c r="L117" i="4"/>
  <c r="H117" i="4"/>
  <c r="D117" i="4" l="1"/>
  <c r="E117" i="4"/>
  <c r="F117" i="4"/>
  <c r="G117" i="4"/>
  <c r="H118" i="4"/>
  <c r="G323" i="1"/>
  <c r="F324" i="1" s="1"/>
  <c r="D323" i="1"/>
  <c r="E324" i="1"/>
  <c r="D324" i="1" l="1"/>
  <c r="E325" i="1"/>
  <c r="G324" i="1"/>
  <c r="F325" i="1" s="1"/>
  <c r="D118" i="4"/>
  <c r="E118" i="4"/>
  <c r="F118" i="4"/>
  <c r="G118" i="4"/>
  <c r="C118" i="4"/>
  <c r="I118" i="4" l="1"/>
  <c r="J118" i="4"/>
  <c r="K118" i="4"/>
  <c r="L118" i="4"/>
  <c r="B118" i="4"/>
  <c r="C119" i="4"/>
  <c r="D325" i="1"/>
  <c r="G325" i="1"/>
  <c r="F326" i="1" s="1"/>
  <c r="E326" i="1"/>
  <c r="D326" i="1" l="1"/>
  <c r="G326" i="1"/>
  <c r="F327" i="1" s="1"/>
  <c r="E327" i="1"/>
  <c r="B119" i="4"/>
  <c r="I119" i="4"/>
  <c r="J119" i="4"/>
  <c r="K119" i="4"/>
  <c r="L119" i="4"/>
  <c r="H119" i="4"/>
  <c r="D119" i="4" l="1"/>
  <c r="E119" i="4"/>
  <c r="F119" i="4"/>
  <c r="G119" i="4"/>
  <c r="H120" i="4"/>
  <c r="G327" i="1"/>
  <c r="F328" i="1" s="1"/>
  <c r="E328" i="1"/>
  <c r="D327" i="1"/>
  <c r="D328" i="1" l="1"/>
  <c r="G328" i="1"/>
  <c r="F329" i="1" s="1"/>
  <c r="E329" i="1"/>
  <c r="D120" i="4"/>
  <c r="E120" i="4"/>
  <c r="F120" i="4"/>
  <c r="G120" i="4"/>
  <c r="C120" i="4"/>
  <c r="I120" i="4" l="1"/>
  <c r="B120" i="4"/>
  <c r="J120" i="4"/>
  <c r="K120" i="4"/>
  <c r="L120" i="4"/>
  <c r="C121" i="4"/>
  <c r="D329" i="1"/>
  <c r="G329" i="1"/>
  <c r="F330" i="1" s="1"/>
  <c r="E330" i="1"/>
  <c r="D330" i="1" l="1"/>
  <c r="E331" i="1"/>
  <c r="G330" i="1"/>
  <c r="F331" i="1" s="1"/>
  <c r="B121" i="4"/>
  <c r="I121" i="4"/>
  <c r="J121" i="4"/>
  <c r="K121" i="4"/>
  <c r="L121" i="4"/>
  <c r="H121" i="4"/>
  <c r="D121" i="4" l="1"/>
  <c r="E121" i="4"/>
  <c r="F121" i="4"/>
  <c r="G121" i="4"/>
  <c r="H122" i="4"/>
  <c r="D331" i="1"/>
  <c r="G331" i="1"/>
  <c r="F332" i="1" s="1"/>
  <c r="E332" i="1"/>
  <c r="G332" i="1" l="1"/>
  <c r="F333" i="1" s="1"/>
  <c r="D332" i="1"/>
  <c r="E333" i="1"/>
  <c r="D122" i="4"/>
  <c r="E122" i="4"/>
  <c r="F122" i="4" s="1"/>
  <c r="G122" i="4" s="1"/>
  <c r="C122" i="4"/>
  <c r="B122" i="4" l="1"/>
  <c r="I122" i="4"/>
  <c r="J122" i="4"/>
  <c r="K122" i="4"/>
  <c r="L122" i="4"/>
  <c r="C123" i="4"/>
  <c r="D333" i="1"/>
  <c r="G333" i="1"/>
  <c r="F334" i="1" s="1"/>
  <c r="E334" i="1"/>
  <c r="E335" i="1" l="1"/>
  <c r="G334" i="1"/>
  <c r="F335" i="1" s="1"/>
  <c r="D334" i="1"/>
  <c r="I123" i="4"/>
  <c r="B123" i="4"/>
  <c r="J123" i="4"/>
  <c r="K123" i="4"/>
  <c r="L123" i="4"/>
  <c r="H123" i="4"/>
  <c r="D123" i="4" l="1"/>
  <c r="E123" i="4"/>
  <c r="F123" i="4"/>
  <c r="G123" i="4"/>
  <c r="H124" i="4"/>
  <c r="D335" i="1"/>
  <c r="G335" i="1"/>
  <c r="F336" i="1" s="1"/>
  <c r="E336" i="1"/>
  <c r="E337" i="1" l="1"/>
  <c r="G336" i="1"/>
  <c r="F337" i="1" s="1"/>
  <c r="D336" i="1"/>
  <c r="D124" i="4"/>
  <c r="E124" i="4"/>
  <c r="F124" i="4" s="1"/>
  <c r="G124" i="4" s="1"/>
  <c r="C124" i="4"/>
  <c r="I124" i="4" l="1"/>
  <c r="B124" i="4"/>
  <c r="J124" i="4"/>
  <c r="K124" i="4"/>
  <c r="L124" i="4"/>
  <c r="C125" i="4"/>
  <c r="D337" i="1"/>
  <c r="E338" i="1"/>
  <c r="G337" i="1"/>
  <c r="F338" i="1" s="1"/>
  <c r="D338" i="1" l="1"/>
  <c r="G338" i="1"/>
  <c r="F339" i="1" s="1"/>
  <c r="E339" i="1"/>
  <c r="I125" i="4"/>
  <c r="B125" i="4"/>
  <c r="J125" i="4"/>
  <c r="K125" i="4"/>
  <c r="L125" i="4"/>
  <c r="H125" i="4"/>
  <c r="D125" i="4" l="1"/>
  <c r="E125" i="4"/>
  <c r="F125" i="4"/>
  <c r="G125" i="4"/>
  <c r="H126" i="4"/>
  <c r="D339" i="1"/>
  <c r="G339" i="1"/>
  <c r="F340" i="1" s="1"/>
  <c r="E340" i="1"/>
  <c r="E341" i="1" l="1"/>
  <c r="G340" i="1"/>
  <c r="F341" i="1" s="1"/>
  <c r="D340" i="1"/>
  <c r="D126" i="4"/>
  <c r="E126" i="4"/>
  <c r="F126" i="4" s="1"/>
  <c r="G126" i="4" s="1"/>
  <c r="C126" i="4"/>
  <c r="I126" i="4" l="1"/>
  <c r="B126" i="4"/>
  <c r="J126" i="4"/>
  <c r="K126" i="4"/>
  <c r="L126" i="4"/>
  <c r="C127" i="4"/>
  <c r="D341" i="1"/>
  <c r="G341" i="1"/>
  <c r="F342" i="1" s="1"/>
  <c r="E342" i="1"/>
  <c r="E343" i="1" l="1"/>
  <c r="G342" i="1"/>
  <c r="F343" i="1" s="1"/>
  <c r="D342" i="1"/>
  <c r="B127" i="4"/>
  <c r="I127" i="4"/>
  <c r="J127" i="4"/>
  <c r="K127" i="4"/>
  <c r="L127" i="4"/>
  <c r="H127" i="4"/>
  <c r="D127" i="4" l="1"/>
  <c r="E127" i="4"/>
  <c r="F127" i="4" s="1"/>
  <c r="G127" i="4" s="1"/>
  <c r="H128" i="4"/>
  <c r="G343" i="1"/>
  <c r="F344" i="1" s="1"/>
  <c r="D343" i="1"/>
  <c r="E344" i="1"/>
  <c r="G344" i="1" l="1"/>
  <c r="F345" i="1" s="1"/>
  <c r="D344" i="1"/>
  <c r="E345" i="1"/>
  <c r="D128" i="4"/>
  <c r="E128" i="4"/>
  <c r="F128" i="4"/>
  <c r="G128" i="4"/>
  <c r="C128" i="4"/>
  <c r="B128" i="4" l="1"/>
  <c r="I128" i="4"/>
  <c r="J128" i="4"/>
  <c r="K128" i="4"/>
  <c r="L128" i="4"/>
  <c r="C129" i="4"/>
  <c r="E346" i="1"/>
  <c r="D345" i="1"/>
  <c r="G345" i="1"/>
  <c r="F346" i="1" s="1"/>
  <c r="E347" i="1" l="1"/>
  <c r="D346" i="1"/>
  <c r="G346" i="1"/>
  <c r="F347" i="1" s="1"/>
  <c r="I129" i="4"/>
  <c r="B129" i="4"/>
  <c r="J129" i="4"/>
  <c r="K129" i="4"/>
  <c r="L129" i="4"/>
  <c r="H129" i="4"/>
  <c r="D129" i="4" l="1"/>
  <c r="E129" i="4"/>
  <c r="F129" i="4"/>
  <c r="G129" i="4"/>
  <c r="H130" i="4"/>
  <c r="E348" i="1"/>
  <c r="G347" i="1"/>
  <c r="F348" i="1" s="1"/>
  <c r="D347" i="1"/>
  <c r="D348" i="1" l="1"/>
  <c r="G348" i="1"/>
  <c r="F349" i="1" s="1"/>
  <c r="E349" i="1"/>
  <c r="D130" i="4"/>
  <c r="E130" i="4"/>
  <c r="F130" i="4"/>
  <c r="G130" i="4"/>
  <c r="C130" i="4"/>
  <c r="I130" i="4" l="1"/>
  <c r="B130" i="4"/>
  <c r="J130" i="4"/>
  <c r="K130" i="4"/>
  <c r="L130" i="4"/>
  <c r="C131" i="4"/>
  <c r="G349" i="1"/>
  <c r="F350" i="1" s="1"/>
  <c r="E350" i="1"/>
  <c r="D349" i="1"/>
  <c r="G350" i="1" l="1"/>
  <c r="F351" i="1" s="1"/>
  <c r="E351" i="1"/>
  <c r="D350" i="1"/>
  <c r="B131" i="4"/>
  <c r="I131" i="4"/>
  <c r="J131" i="4"/>
  <c r="K131" i="4"/>
  <c r="L131" i="4"/>
  <c r="H131" i="4"/>
  <c r="D131" i="4" l="1"/>
  <c r="E131" i="4"/>
  <c r="F131" i="4"/>
  <c r="G131" i="4"/>
  <c r="H132" i="4"/>
  <c r="D351" i="1"/>
  <c r="G351" i="1"/>
  <c r="F352" i="1" s="1"/>
  <c r="E352" i="1"/>
  <c r="G352" i="1" l="1"/>
  <c r="F353" i="1" s="1"/>
  <c r="D352" i="1"/>
  <c r="E353" i="1"/>
  <c r="D132" i="4"/>
  <c r="E132" i="4"/>
  <c r="F132" i="4" s="1"/>
  <c r="G132" i="4" s="1"/>
  <c r="C132" i="4"/>
  <c r="I132" i="4" l="1"/>
  <c r="J132" i="4"/>
  <c r="K132" i="4"/>
  <c r="L132" i="4"/>
  <c r="B132" i="4"/>
  <c r="C133" i="4"/>
  <c r="E354" i="1"/>
  <c r="G353" i="1"/>
  <c r="F354" i="1" s="1"/>
  <c r="D353" i="1"/>
  <c r="G354" i="1" l="1"/>
  <c r="F355" i="1" s="1"/>
  <c r="E355" i="1"/>
  <c r="D354" i="1"/>
  <c r="I133" i="4"/>
  <c r="J133" i="4"/>
  <c r="K133" i="4"/>
  <c r="L133" i="4"/>
  <c r="B133" i="4"/>
  <c r="H133" i="4"/>
  <c r="D133" i="4" l="1"/>
  <c r="E133" i="4"/>
  <c r="F133" i="4"/>
  <c r="G133" i="4"/>
  <c r="H134" i="4"/>
  <c r="D355" i="1"/>
  <c r="G355" i="1"/>
  <c r="F356" i="1" s="1"/>
  <c r="E356" i="1"/>
  <c r="E357" i="1" l="1"/>
  <c r="G356" i="1"/>
  <c r="F357" i="1" s="1"/>
  <c r="D356" i="1"/>
  <c r="D134" i="4"/>
  <c r="E134" i="4"/>
  <c r="F134" i="4"/>
  <c r="G134" i="4"/>
  <c r="C134" i="4"/>
  <c r="I134" i="4" l="1"/>
  <c r="B134" i="4"/>
  <c r="J134" i="4"/>
  <c r="K134" i="4"/>
  <c r="L134" i="4"/>
  <c r="C135" i="4"/>
  <c r="G357" i="1"/>
  <c r="F358" i="1" s="1"/>
  <c r="D357" i="1"/>
  <c r="E358" i="1"/>
  <c r="G358" i="1" l="1"/>
  <c r="F359" i="1" s="1"/>
  <c r="D358" i="1"/>
  <c r="E359" i="1"/>
  <c r="I135" i="4"/>
  <c r="B135" i="4"/>
  <c r="J135" i="4"/>
  <c r="K135" i="4" s="1"/>
  <c r="L135" i="4" s="1"/>
  <c r="H135" i="4"/>
  <c r="D135" i="4" l="1"/>
  <c r="E135" i="4"/>
  <c r="F135" i="4"/>
  <c r="G135" i="4"/>
  <c r="H136" i="4"/>
  <c r="G359" i="1"/>
  <c r="D359" i="1"/>
  <c r="D136" i="4" l="1"/>
  <c r="E136" i="4"/>
  <c r="F136" i="4"/>
  <c r="G136" i="4"/>
  <c r="C136" i="4"/>
  <c r="I136" i="4" l="1"/>
  <c r="B136" i="4"/>
  <c r="J136" i="4"/>
  <c r="K136" i="4"/>
  <c r="L136" i="4"/>
  <c r="C137" i="4"/>
  <c r="B137" i="4" l="1"/>
  <c r="I137" i="4"/>
  <c r="J137" i="4"/>
  <c r="K137" i="4"/>
  <c r="L137" i="4"/>
  <c r="H137" i="4"/>
  <c r="D137" i="4" l="1"/>
  <c r="E137" i="4"/>
  <c r="F137" i="4"/>
  <c r="G137" i="4"/>
  <c r="H138" i="4"/>
  <c r="D138" i="4" l="1"/>
  <c r="E138" i="4"/>
  <c r="F138" i="4" s="1"/>
  <c r="G138" i="4" s="1"/>
  <c r="C138" i="4"/>
  <c r="I138" i="4" l="1"/>
  <c r="B138" i="4"/>
  <c r="J138" i="4"/>
  <c r="K138" i="4"/>
  <c r="L138" i="4"/>
  <c r="C139" i="4"/>
  <c r="B139" i="4" l="1"/>
  <c r="I139" i="4"/>
  <c r="J139" i="4"/>
  <c r="K139" i="4"/>
  <c r="L139" i="4"/>
  <c r="H139" i="4"/>
  <c r="D139" i="4" l="1"/>
  <c r="E139" i="4"/>
  <c r="F139" i="4"/>
  <c r="G139" i="4"/>
  <c r="H140" i="4"/>
  <c r="D140" i="4" l="1"/>
  <c r="E140" i="4"/>
  <c r="F140" i="4"/>
  <c r="G140" i="4"/>
  <c r="C140" i="4"/>
  <c r="I140" i="4" l="1"/>
  <c r="J140" i="4"/>
  <c r="K140" i="4"/>
  <c r="L140" i="4"/>
  <c r="B140" i="4"/>
  <c r="C141" i="4"/>
  <c r="B141" i="4" l="1"/>
  <c r="I141" i="4"/>
  <c r="J141" i="4"/>
  <c r="K141" i="4"/>
  <c r="L141" i="4"/>
  <c r="H141" i="4"/>
  <c r="D141" i="4" l="1"/>
  <c r="E141" i="4"/>
  <c r="F141" i="4"/>
  <c r="G141" i="4"/>
  <c r="H142" i="4"/>
  <c r="D142" i="4" l="1"/>
  <c r="E142" i="4"/>
  <c r="F142" i="4"/>
  <c r="G142" i="4"/>
  <c r="C142" i="4"/>
  <c r="I142" i="4" l="1"/>
  <c r="J142" i="4"/>
  <c r="K142" i="4"/>
  <c r="L142" i="4"/>
  <c r="B142" i="4"/>
  <c r="C143" i="4"/>
  <c r="I143" i="4" l="1"/>
  <c r="J143" i="4"/>
  <c r="K143" i="4"/>
  <c r="L143" i="4"/>
  <c r="B143" i="4"/>
  <c r="H143" i="4"/>
  <c r="D143" i="4" l="1"/>
  <c r="E143" i="4"/>
  <c r="F143" i="4"/>
  <c r="G143" i="4"/>
  <c r="H144" i="4"/>
  <c r="D144" i="4" l="1"/>
  <c r="E144" i="4"/>
  <c r="F144" i="4"/>
  <c r="G144" i="4"/>
  <c r="C144" i="4"/>
  <c r="B144" i="4" l="1"/>
  <c r="I144" i="4"/>
  <c r="J144" i="4"/>
  <c r="K144" i="4"/>
  <c r="L144" i="4"/>
  <c r="C145" i="4"/>
  <c r="I145" i="4" l="1"/>
  <c r="B145" i="4"/>
  <c r="J145" i="4"/>
  <c r="K145" i="4"/>
  <c r="L145" i="4"/>
  <c r="H145" i="4"/>
  <c r="D145" i="4" l="1"/>
  <c r="E145" i="4"/>
  <c r="F145" i="4"/>
  <c r="G145" i="4"/>
  <c r="H146" i="4"/>
  <c r="D146" i="4" l="1"/>
  <c r="E146" i="4"/>
  <c r="F146" i="4" s="1"/>
  <c r="G146" i="4" s="1"/>
  <c r="C146" i="4"/>
  <c r="B146" i="4" l="1"/>
  <c r="I146" i="4"/>
  <c r="J146" i="4"/>
  <c r="K146" i="4"/>
  <c r="L146" i="4"/>
  <c r="C147" i="4"/>
  <c r="B147" i="4" l="1"/>
  <c r="I147" i="4"/>
  <c r="J147" i="4"/>
  <c r="K147" i="4"/>
  <c r="L147" i="4"/>
  <c r="H147" i="4"/>
  <c r="D147" i="4" l="1"/>
  <c r="E147" i="4"/>
  <c r="F147" i="4"/>
  <c r="G147" i="4"/>
  <c r="H148" i="4"/>
  <c r="D148" i="4" l="1"/>
  <c r="E148" i="4"/>
  <c r="F148" i="4" s="1"/>
  <c r="G148" i="4" s="1"/>
  <c r="C148" i="4"/>
  <c r="I148" i="4" l="1"/>
  <c r="B148" i="4"/>
  <c r="J148" i="4"/>
  <c r="K148" i="4"/>
  <c r="L148" i="4"/>
  <c r="C149" i="4"/>
  <c r="I149" i="4" l="1"/>
  <c r="J149" i="4"/>
  <c r="K149" i="4"/>
  <c r="L149" i="4"/>
  <c r="B149" i="4"/>
  <c r="H149" i="4"/>
  <c r="D149" i="4" l="1"/>
  <c r="E149" i="4"/>
  <c r="F149" i="4"/>
  <c r="G149" i="4"/>
  <c r="H150" i="4"/>
  <c r="D150" i="4" l="1"/>
  <c r="E150" i="4"/>
  <c r="F150" i="4"/>
  <c r="G150" i="4"/>
  <c r="C150" i="4"/>
  <c r="I150" i="4" l="1"/>
  <c r="J150" i="4"/>
  <c r="K150" i="4"/>
  <c r="L150" i="4"/>
  <c r="B150" i="4"/>
  <c r="C151" i="4"/>
  <c r="I151" i="4" l="1"/>
  <c r="B151" i="4"/>
  <c r="J151" i="4"/>
  <c r="K151" i="4"/>
  <c r="L151" i="4"/>
  <c r="H151" i="4"/>
  <c r="D151" i="4" l="1"/>
  <c r="E151" i="4"/>
  <c r="F151" i="4"/>
  <c r="G151" i="4"/>
  <c r="H152" i="4"/>
  <c r="D152" i="4" l="1"/>
  <c r="E152" i="4"/>
  <c r="F152" i="4"/>
  <c r="G152" i="4"/>
  <c r="C152" i="4"/>
  <c r="B152" i="4" l="1"/>
  <c r="I152" i="4"/>
  <c r="J152" i="4"/>
  <c r="K152" i="4"/>
  <c r="L152" i="4"/>
  <c r="C153" i="4"/>
  <c r="B153" i="4" l="1"/>
  <c r="I153" i="4"/>
  <c r="J153" i="4"/>
  <c r="K153" i="4"/>
  <c r="L153" i="4"/>
  <c r="H153" i="4"/>
  <c r="D153" i="4" l="1"/>
  <c r="E153" i="4"/>
  <c r="F153" i="4"/>
  <c r="G153" i="4"/>
  <c r="H154" i="4"/>
  <c r="D154" i="4" l="1"/>
  <c r="E154" i="4"/>
  <c r="F154" i="4"/>
  <c r="G154" i="4"/>
  <c r="C154" i="4"/>
  <c r="B154" i="4" l="1"/>
  <c r="I154" i="4"/>
  <c r="J154" i="4"/>
  <c r="K154" i="4"/>
  <c r="L154" i="4"/>
  <c r="C155" i="4"/>
  <c r="I155" i="4" l="1"/>
  <c r="B155" i="4"/>
  <c r="J155" i="4"/>
  <c r="K155" i="4"/>
  <c r="L155" i="4"/>
  <c r="H155" i="4"/>
  <c r="D155" i="4" l="1"/>
  <c r="E155" i="4"/>
  <c r="F155" i="4"/>
  <c r="G155" i="4"/>
  <c r="H156" i="4"/>
  <c r="D156" i="4" l="1"/>
  <c r="E156" i="4"/>
  <c r="F156" i="4"/>
  <c r="G156" i="4"/>
  <c r="C156" i="4"/>
  <c r="B156" i="4" l="1"/>
  <c r="I156" i="4"/>
  <c r="C157" i="4"/>
  <c r="B157" i="4" l="1"/>
  <c r="I157" i="4"/>
  <c r="J157" i="4"/>
  <c r="K157" i="4"/>
  <c r="L157" i="4"/>
  <c r="J156" i="4"/>
  <c r="K156" i="4" s="1"/>
  <c r="L156" i="4" s="1"/>
  <c r="H157" i="4" l="1"/>
  <c r="D157" i="4" l="1"/>
  <c r="E157" i="4"/>
  <c r="F157" i="4"/>
  <c r="G157" i="4"/>
  <c r="H158" i="4"/>
  <c r="D158" i="4" l="1"/>
  <c r="E158" i="4"/>
  <c r="F158" i="4" s="1"/>
  <c r="G158" i="4" s="1"/>
  <c r="C158" i="4"/>
  <c r="I158" i="4" l="1"/>
  <c r="B158" i="4"/>
  <c r="J158" i="4"/>
  <c r="K158" i="4"/>
  <c r="L158" i="4"/>
  <c r="C159" i="4"/>
  <c r="B159" i="4" l="1"/>
  <c r="I159" i="4"/>
  <c r="J159" i="4"/>
  <c r="K159" i="4"/>
  <c r="L159" i="4"/>
  <c r="H159" i="4"/>
  <c r="D159" i="4" l="1"/>
  <c r="E159" i="4"/>
  <c r="F159" i="4"/>
  <c r="G159" i="4"/>
  <c r="H160" i="4"/>
  <c r="D160" i="4" l="1"/>
  <c r="E160" i="4"/>
  <c r="F160" i="4"/>
  <c r="G160" i="4"/>
  <c r="C160" i="4"/>
  <c r="B160" i="4" l="1"/>
  <c r="I160" i="4"/>
  <c r="J160" i="4"/>
  <c r="K160" i="4"/>
  <c r="L160" i="4"/>
  <c r="C161" i="4"/>
  <c r="B161" i="4" l="1"/>
  <c r="I161" i="4"/>
  <c r="J161" i="4"/>
  <c r="K161" i="4"/>
  <c r="L161" i="4"/>
  <c r="H161" i="4"/>
  <c r="D161" i="4" l="1"/>
  <c r="E161" i="4"/>
  <c r="F161" i="4"/>
  <c r="G161" i="4"/>
  <c r="H162" i="4"/>
  <c r="D162" i="4" l="1"/>
  <c r="E162" i="4"/>
  <c r="F162" i="4"/>
  <c r="G162" i="4"/>
  <c r="C162" i="4"/>
  <c r="I162" i="4" l="1"/>
  <c r="J162" i="4"/>
  <c r="K162" i="4"/>
  <c r="L162" i="4"/>
  <c r="B162" i="4"/>
  <c r="C163" i="4"/>
  <c r="I163" i="4" l="1"/>
  <c r="B163" i="4"/>
  <c r="J163" i="4"/>
  <c r="K163" i="4"/>
  <c r="L163" i="4"/>
  <c r="H163" i="4"/>
  <c r="D163" i="4" l="1"/>
  <c r="E163" i="4"/>
  <c r="F163" i="4"/>
  <c r="G163" i="4"/>
  <c r="H164" i="4"/>
  <c r="D164" i="4" l="1"/>
  <c r="E164" i="4"/>
  <c r="F164" i="4"/>
  <c r="G164" i="4"/>
  <c r="C164" i="4"/>
  <c r="I164" i="4" l="1"/>
  <c r="J164" i="4"/>
  <c r="B164" i="4"/>
  <c r="K164" i="4"/>
  <c r="L164" i="4"/>
  <c r="C165" i="4"/>
  <c r="B165" i="4" l="1"/>
  <c r="I165" i="4"/>
  <c r="J165" i="4"/>
  <c r="K165" i="4"/>
  <c r="L165" i="4"/>
  <c r="H165" i="4"/>
  <c r="D165" i="4" l="1"/>
  <c r="E165" i="4"/>
  <c r="F165" i="4"/>
  <c r="G165" i="4"/>
  <c r="H166" i="4"/>
  <c r="D166" i="4" l="1"/>
  <c r="E166" i="4"/>
  <c r="F166" i="4" s="1"/>
  <c r="G166" i="4" s="1"/>
  <c r="C166" i="4"/>
  <c r="I166" i="4" l="1"/>
  <c r="B166" i="4"/>
  <c r="J166" i="4"/>
  <c r="K166" i="4"/>
  <c r="L166" i="4"/>
  <c r="C167" i="4"/>
  <c r="B167" i="4" l="1"/>
  <c r="I167" i="4"/>
  <c r="J167" i="4"/>
  <c r="K167" i="4"/>
  <c r="L167" i="4"/>
  <c r="H167" i="4"/>
  <c r="D167" i="4" l="1"/>
  <c r="E167" i="4"/>
  <c r="F167" i="4"/>
  <c r="G167" i="4"/>
  <c r="H168" i="4"/>
  <c r="D168" i="4" l="1"/>
  <c r="E168" i="4"/>
  <c r="F168" i="4"/>
  <c r="G168" i="4"/>
  <c r="C168" i="4"/>
  <c r="I168" i="4" l="1"/>
  <c r="J168" i="4"/>
  <c r="K168" i="4"/>
  <c r="L168" i="4"/>
  <c r="B168" i="4"/>
  <c r="C169" i="4"/>
  <c r="I169" i="4" l="1"/>
  <c r="B169" i="4"/>
  <c r="J169" i="4"/>
  <c r="K169" i="4"/>
  <c r="L169" i="4"/>
  <c r="H169" i="4"/>
  <c r="D169" i="4" l="1"/>
  <c r="E169" i="4"/>
  <c r="F169" i="4"/>
  <c r="G169" i="4"/>
  <c r="H170" i="4"/>
  <c r="D170" i="4" l="1"/>
  <c r="E170" i="4"/>
  <c r="F170" i="4" s="1"/>
  <c r="G170" i="4" s="1"/>
  <c r="C170" i="4"/>
  <c r="I170" i="4" l="1"/>
  <c r="J170" i="4"/>
  <c r="K170" i="4"/>
  <c r="L170" i="4"/>
  <c r="B170" i="4"/>
  <c r="C171" i="4"/>
  <c r="B171" i="4" l="1"/>
  <c r="I171" i="4"/>
  <c r="J171" i="4"/>
  <c r="K171" i="4" s="1"/>
  <c r="L171" i="4" s="1"/>
  <c r="H171" i="4"/>
  <c r="D171" i="4" l="1"/>
  <c r="E171" i="4"/>
  <c r="F171" i="4"/>
  <c r="G171" i="4"/>
  <c r="H172" i="4"/>
  <c r="D172" i="4" l="1"/>
  <c r="E172" i="4"/>
  <c r="F172" i="4" s="1"/>
  <c r="G172" i="4" s="1"/>
  <c r="C172" i="4"/>
  <c r="I172" i="4" l="1"/>
  <c r="B172" i="4"/>
  <c r="J172" i="4"/>
  <c r="K172" i="4"/>
  <c r="L172" i="4"/>
  <c r="C173" i="4"/>
  <c r="I173" i="4" l="1"/>
  <c r="B173" i="4"/>
  <c r="J173" i="4"/>
  <c r="K173" i="4"/>
  <c r="L173" i="4"/>
  <c r="H173" i="4"/>
  <c r="D173" i="4" l="1"/>
  <c r="E173" i="4"/>
  <c r="F173" i="4"/>
  <c r="G173" i="4"/>
  <c r="H174" i="4"/>
  <c r="D174" i="4" l="1"/>
  <c r="E174" i="4"/>
  <c r="F174" i="4"/>
  <c r="G174" i="4"/>
  <c r="C174" i="4"/>
  <c r="I174" i="4" l="1"/>
  <c r="J174" i="4"/>
  <c r="K174" i="4"/>
  <c r="L174" i="4"/>
  <c r="B174" i="4"/>
  <c r="C175" i="4"/>
  <c r="I175" i="4" l="1"/>
  <c r="B175" i="4"/>
  <c r="J175" i="4"/>
  <c r="K175" i="4"/>
  <c r="L175" i="4"/>
  <c r="H175" i="4"/>
  <c r="D175" i="4" l="1"/>
  <c r="E175" i="4"/>
  <c r="F175" i="4"/>
  <c r="G175" i="4"/>
  <c r="H176" i="4"/>
  <c r="D176" i="4" l="1"/>
  <c r="E176" i="4"/>
  <c r="F176" i="4" s="1"/>
  <c r="G176" i="4" s="1"/>
  <c r="C176" i="4"/>
  <c r="I176" i="4" l="1"/>
  <c r="J176" i="4"/>
  <c r="K176" i="4"/>
  <c r="L176" i="4"/>
  <c r="B176" i="4"/>
  <c r="C177" i="4"/>
  <c r="B177" i="4" l="1"/>
  <c r="I177" i="4"/>
  <c r="J177" i="4"/>
  <c r="K177" i="4"/>
  <c r="L177" i="4"/>
  <c r="H177" i="4"/>
  <c r="D177" i="4" l="1"/>
  <c r="E177" i="4"/>
  <c r="F177" i="4"/>
  <c r="G177" i="4"/>
  <c r="H178" i="4"/>
  <c r="D178" i="4" l="1"/>
  <c r="E178" i="4"/>
  <c r="F178" i="4" s="1"/>
  <c r="G178" i="4" s="1"/>
  <c r="C178" i="4"/>
  <c r="B178" i="4" l="1"/>
  <c r="I178" i="4"/>
  <c r="C179" i="4"/>
  <c r="B179" i="4" l="1"/>
  <c r="I179" i="4"/>
  <c r="J179" i="4"/>
  <c r="K179" i="4"/>
  <c r="L179" i="4"/>
  <c r="J178" i="4"/>
  <c r="K178" i="4" s="1"/>
  <c r="L178" i="4" s="1"/>
  <c r="H179" i="4" l="1"/>
  <c r="D179" i="4" l="1"/>
  <c r="E179" i="4"/>
  <c r="F179" i="4"/>
  <c r="G179" i="4"/>
  <c r="H180" i="4"/>
  <c r="D180" i="4" l="1"/>
  <c r="E180" i="4"/>
  <c r="F180" i="4" s="1"/>
  <c r="G180" i="4" s="1"/>
  <c r="C180" i="4"/>
  <c r="I180" i="4" l="1"/>
  <c r="B180" i="4"/>
  <c r="J180" i="4"/>
  <c r="K180" i="4"/>
  <c r="L180" i="4"/>
  <c r="C181" i="4"/>
  <c r="B181" i="4" l="1"/>
  <c r="I181" i="4"/>
  <c r="J181" i="4"/>
  <c r="K181" i="4"/>
  <c r="L181" i="4"/>
  <c r="H181" i="4"/>
  <c r="D181" i="4" l="1"/>
  <c r="E181" i="4"/>
  <c r="F181" i="4" s="1"/>
  <c r="G181" i="4" s="1"/>
  <c r="H182" i="4"/>
  <c r="D182" i="4" l="1"/>
  <c r="E182" i="4"/>
  <c r="F182" i="4"/>
  <c r="G182" i="4"/>
  <c r="C182" i="4"/>
  <c r="I182" i="4" l="1"/>
  <c r="B182" i="4"/>
  <c r="J182" i="4"/>
  <c r="K182" i="4"/>
  <c r="L182" i="4"/>
  <c r="C183" i="4"/>
  <c r="B183" i="4" l="1"/>
  <c r="I183" i="4"/>
  <c r="J183" i="4"/>
  <c r="K183" i="4"/>
  <c r="L183" i="4"/>
  <c r="H183" i="4"/>
  <c r="D183" i="4" l="1"/>
  <c r="E183" i="4"/>
  <c r="F183" i="4"/>
  <c r="G183" i="4"/>
  <c r="H184" i="4"/>
  <c r="D184" i="4" l="1"/>
  <c r="E184" i="4"/>
  <c r="F184" i="4" s="1"/>
  <c r="G184" i="4" s="1"/>
  <c r="C184" i="4"/>
  <c r="B184" i="4" l="1"/>
  <c r="I184" i="4"/>
  <c r="C185" i="4"/>
  <c r="B185" i="4" l="1"/>
  <c r="I185" i="4"/>
  <c r="J185" i="4"/>
  <c r="K185" i="4"/>
  <c r="L185" i="4"/>
  <c r="J184" i="4"/>
  <c r="K184" i="4" s="1"/>
  <c r="L184" i="4" s="1"/>
  <c r="H185" i="4" l="1"/>
  <c r="D185" i="4" l="1"/>
  <c r="E185" i="4"/>
  <c r="F185" i="4"/>
  <c r="G185" i="4"/>
  <c r="H186" i="4"/>
  <c r="D186" i="4" l="1"/>
  <c r="E186" i="4"/>
  <c r="F186" i="4"/>
  <c r="G186" i="4"/>
  <c r="C186" i="4"/>
  <c r="B186" i="4" l="1"/>
  <c r="I186" i="4"/>
  <c r="C187" i="4"/>
  <c r="I187" i="4" l="1"/>
  <c r="J187" i="4"/>
  <c r="K187" i="4"/>
  <c r="L187" i="4"/>
  <c r="B187" i="4"/>
  <c r="J186" i="4"/>
  <c r="K186" i="4" s="1"/>
  <c r="L186" i="4" s="1"/>
  <c r="H187" i="4" l="1"/>
  <c r="D187" i="4" l="1"/>
  <c r="E187" i="4"/>
  <c r="F187" i="4"/>
  <c r="G187" i="4"/>
  <c r="H188" i="4"/>
  <c r="D188" i="4" l="1"/>
  <c r="E188" i="4"/>
  <c r="F188" i="4"/>
  <c r="G188" i="4"/>
  <c r="C188" i="4"/>
  <c r="I188" i="4" l="1"/>
  <c r="B188" i="4"/>
  <c r="J188" i="4"/>
  <c r="K188" i="4"/>
  <c r="L188" i="4"/>
  <c r="C189" i="4"/>
  <c r="B189" i="4" l="1"/>
  <c r="I189" i="4"/>
  <c r="J189" i="4"/>
  <c r="K189" i="4"/>
  <c r="L189" i="4"/>
  <c r="H189" i="4"/>
  <c r="D189" i="4" l="1"/>
  <c r="E189" i="4"/>
  <c r="F189" i="4"/>
  <c r="G189" i="4"/>
  <c r="H190" i="4"/>
  <c r="D190" i="4" l="1"/>
  <c r="E190" i="4"/>
  <c r="F190" i="4"/>
  <c r="G190" i="4"/>
  <c r="C190" i="4"/>
  <c r="I190" i="4" l="1"/>
  <c r="B190" i="4"/>
  <c r="J190" i="4"/>
  <c r="K190" i="4"/>
  <c r="L190" i="4"/>
  <c r="C191" i="4"/>
  <c r="I191" i="4" l="1"/>
  <c r="B191" i="4"/>
  <c r="J191" i="4"/>
  <c r="K191" i="4"/>
  <c r="L191" i="4"/>
  <c r="H191" i="4"/>
  <c r="D191" i="4" l="1"/>
  <c r="E191" i="4"/>
  <c r="F191" i="4"/>
  <c r="G191" i="4"/>
  <c r="H192" i="4"/>
  <c r="D192" i="4" l="1"/>
  <c r="E192" i="4"/>
  <c r="F192" i="4"/>
  <c r="G192" i="4"/>
  <c r="C192" i="4"/>
  <c r="I192" i="4" l="1"/>
  <c r="J192" i="4"/>
  <c r="K192" i="4"/>
  <c r="L192" i="4"/>
  <c r="B192" i="4"/>
  <c r="C193" i="4"/>
  <c r="I193" i="4" l="1"/>
  <c r="J193" i="4"/>
  <c r="K193" i="4"/>
  <c r="L193" i="4"/>
  <c r="B193" i="4"/>
  <c r="H193" i="4"/>
  <c r="D193" i="4" l="1"/>
  <c r="E193" i="4"/>
  <c r="F193" i="4" s="1"/>
  <c r="G193" i="4" s="1"/>
  <c r="H194" i="4"/>
  <c r="D194" i="4" l="1"/>
  <c r="E194" i="4"/>
  <c r="F194" i="4"/>
  <c r="G194" i="4"/>
  <c r="C194" i="4"/>
  <c r="I194" i="4" l="1"/>
  <c r="B194" i="4"/>
  <c r="J194" i="4"/>
  <c r="K194" i="4"/>
  <c r="L194" i="4"/>
  <c r="C195" i="4"/>
  <c r="I195" i="4" l="1"/>
  <c r="B195" i="4"/>
  <c r="J195" i="4"/>
  <c r="K195" i="4"/>
  <c r="L195" i="4"/>
  <c r="H195" i="4"/>
  <c r="D195" i="4" l="1"/>
  <c r="E195" i="4"/>
  <c r="F195" i="4"/>
  <c r="G195" i="4"/>
  <c r="H196" i="4"/>
  <c r="D196" i="4" l="1"/>
  <c r="E196" i="4"/>
  <c r="F196" i="4" s="1"/>
  <c r="G196" i="4" s="1"/>
  <c r="C196" i="4"/>
  <c r="I196" i="4" l="1"/>
  <c r="J196" i="4"/>
  <c r="K196" i="4"/>
  <c r="L196" i="4"/>
  <c r="B196" i="4"/>
  <c r="C197" i="4"/>
  <c r="B197" i="4" l="1"/>
  <c r="I197" i="4"/>
  <c r="J197" i="4"/>
  <c r="K197" i="4"/>
  <c r="L197" i="4"/>
  <c r="H197" i="4"/>
  <c r="D197" i="4" l="1"/>
  <c r="E197" i="4"/>
  <c r="F197" i="4"/>
  <c r="G197" i="4"/>
  <c r="H198" i="4"/>
  <c r="D198" i="4" l="1"/>
  <c r="E198" i="4"/>
  <c r="F198" i="4"/>
  <c r="G198" i="4"/>
  <c r="C198" i="4"/>
  <c r="I198" i="4" l="1"/>
  <c r="J198" i="4"/>
  <c r="K198" i="4"/>
  <c r="L198" i="4"/>
  <c r="B198" i="4"/>
  <c r="C199" i="4"/>
  <c r="B199" i="4" l="1"/>
  <c r="I199" i="4"/>
  <c r="J199" i="4"/>
  <c r="K199" i="4"/>
  <c r="L199" i="4"/>
  <c r="H199" i="4"/>
  <c r="D199" i="4" l="1"/>
  <c r="E199" i="4"/>
  <c r="F199" i="4"/>
  <c r="G199" i="4"/>
  <c r="H200" i="4"/>
  <c r="D200" i="4" l="1"/>
  <c r="E200" i="4"/>
  <c r="F200" i="4"/>
  <c r="G200" i="4"/>
  <c r="C200" i="4"/>
  <c r="I200" i="4" l="1"/>
  <c r="J200" i="4"/>
  <c r="K200" i="4"/>
  <c r="L200" i="4"/>
  <c r="B200" i="4"/>
  <c r="C201" i="4"/>
  <c r="I201" i="4" l="1"/>
  <c r="J201" i="4"/>
  <c r="K201" i="4"/>
  <c r="L201" i="4"/>
  <c r="B201" i="4"/>
  <c r="H201" i="4"/>
  <c r="D201" i="4" l="1"/>
  <c r="E201" i="4"/>
  <c r="F201" i="4"/>
  <c r="G201" i="4"/>
  <c r="H202" i="4"/>
  <c r="D202" i="4" l="1"/>
  <c r="E202" i="4"/>
  <c r="F202" i="4"/>
  <c r="G202" i="4"/>
  <c r="C202" i="4"/>
  <c r="I202" i="4" l="1"/>
  <c r="J202" i="4"/>
  <c r="K202" i="4"/>
  <c r="L202" i="4"/>
  <c r="B202" i="4"/>
  <c r="C203" i="4"/>
  <c r="B203" i="4" l="1"/>
  <c r="I203" i="4"/>
  <c r="J203" i="4"/>
  <c r="K203" i="4"/>
  <c r="L203" i="4"/>
  <c r="H203" i="4"/>
  <c r="D203" i="4" l="1"/>
  <c r="E203" i="4"/>
  <c r="F203" i="4"/>
  <c r="G203" i="4"/>
  <c r="H204" i="4"/>
  <c r="D204" i="4" l="1"/>
  <c r="E204" i="4"/>
  <c r="F204" i="4"/>
  <c r="G204" i="4"/>
  <c r="C204" i="4"/>
  <c r="I204" i="4" l="1"/>
  <c r="B204" i="4"/>
  <c r="J204" i="4"/>
  <c r="K204" i="4"/>
  <c r="L204" i="4"/>
  <c r="C205" i="4"/>
  <c r="I205" i="4" l="1"/>
  <c r="B205" i="4"/>
  <c r="J205" i="4"/>
  <c r="K205" i="4"/>
  <c r="L205" i="4"/>
  <c r="H205" i="4"/>
  <c r="D205" i="4" l="1"/>
  <c r="E205" i="4"/>
  <c r="F205" i="4"/>
  <c r="G205" i="4"/>
  <c r="H206" i="4"/>
  <c r="D206" i="4" l="1"/>
  <c r="E206" i="4"/>
  <c r="F206" i="4"/>
  <c r="G206" i="4"/>
  <c r="C206" i="4"/>
  <c r="B206" i="4" l="1"/>
  <c r="I206" i="4"/>
  <c r="C207" i="4"/>
  <c r="B207" i="4" l="1"/>
  <c r="I207" i="4"/>
  <c r="J207" i="4"/>
  <c r="K207" i="4"/>
  <c r="L207" i="4"/>
  <c r="J206" i="4"/>
  <c r="K206" i="4" s="1"/>
  <c r="L206" i="4" s="1"/>
  <c r="H207" i="4" l="1"/>
  <c r="D207" i="4" l="1"/>
  <c r="E207" i="4"/>
  <c r="F207" i="4" s="1"/>
  <c r="G207" i="4" s="1"/>
  <c r="H208" i="4"/>
  <c r="D208" i="4" l="1"/>
  <c r="E208" i="4"/>
  <c r="F208" i="4"/>
  <c r="G208" i="4"/>
  <c r="C208" i="4"/>
  <c r="I208" i="4" l="1"/>
  <c r="B208" i="4"/>
  <c r="J208" i="4"/>
  <c r="K208" i="4"/>
  <c r="L208" i="4"/>
  <c r="C209" i="4"/>
  <c r="B209" i="4" l="1"/>
  <c r="I209" i="4"/>
  <c r="J209" i="4"/>
  <c r="K209" i="4"/>
  <c r="L209" i="4"/>
  <c r="H209" i="4"/>
  <c r="D209" i="4" l="1"/>
  <c r="E209" i="4"/>
  <c r="F209" i="4"/>
  <c r="G209" i="4"/>
  <c r="H210" i="4"/>
  <c r="D210" i="4" l="1"/>
  <c r="E210" i="4"/>
  <c r="F210" i="4"/>
  <c r="G210" i="4"/>
  <c r="C210" i="4"/>
  <c r="I210" i="4" l="1"/>
  <c r="J210" i="4"/>
  <c r="K210" i="4"/>
  <c r="L210" i="4"/>
  <c r="B210" i="4"/>
  <c r="C211" i="4"/>
  <c r="I211" i="4" l="1"/>
  <c r="B211" i="4"/>
  <c r="J211" i="4"/>
  <c r="K211" i="4"/>
  <c r="L211" i="4"/>
  <c r="H211" i="4"/>
  <c r="D211" i="4" l="1"/>
  <c r="E211" i="4"/>
  <c r="F211" i="4"/>
  <c r="G211" i="4"/>
  <c r="H212" i="4"/>
  <c r="D212" i="4" l="1"/>
  <c r="E212" i="4"/>
  <c r="F212" i="4"/>
  <c r="G212" i="4"/>
  <c r="C212" i="4"/>
  <c r="B212" i="4" l="1"/>
  <c r="I212" i="4"/>
  <c r="J212" i="4"/>
  <c r="K212" i="4"/>
  <c r="L212" i="4"/>
  <c r="C213" i="4"/>
  <c r="I213" i="4" l="1"/>
  <c r="J213" i="4"/>
  <c r="K213" i="4"/>
  <c r="L213" i="4"/>
  <c r="B213" i="4"/>
  <c r="H213" i="4"/>
  <c r="D213" i="4" l="1"/>
  <c r="E213" i="4"/>
  <c r="F213" i="4"/>
  <c r="G213" i="4"/>
  <c r="H214" i="4"/>
  <c r="D214" i="4" l="1"/>
  <c r="E214" i="4"/>
  <c r="F214" i="4"/>
  <c r="G214" i="4"/>
  <c r="C214" i="4"/>
  <c r="I214" i="4" l="1"/>
  <c r="J214" i="4"/>
  <c r="K214" i="4"/>
  <c r="L214" i="4"/>
  <c r="B214" i="4"/>
  <c r="C215" i="4"/>
  <c r="B215" i="4" l="1"/>
  <c r="I215" i="4"/>
  <c r="J215" i="4"/>
  <c r="K215" i="4"/>
  <c r="L215" i="4"/>
  <c r="H215" i="4"/>
  <c r="D215" i="4" l="1"/>
  <c r="E215" i="4"/>
  <c r="F215" i="4"/>
  <c r="G215" i="4"/>
  <c r="H216" i="4"/>
  <c r="D216" i="4" l="1"/>
  <c r="E216" i="4"/>
  <c r="F216" i="4"/>
  <c r="G216" i="4"/>
  <c r="C216" i="4"/>
  <c r="I216" i="4" l="1"/>
  <c r="J216" i="4"/>
  <c r="K216" i="4" s="1"/>
  <c r="L216" i="4" s="1"/>
  <c r="B216" i="4"/>
  <c r="C217" i="4"/>
  <c r="I217" i="4" l="1"/>
  <c r="B217" i="4"/>
  <c r="J217" i="4"/>
  <c r="K217" i="4"/>
  <c r="L217" i="4"/>
  <c r="H217" i="4"/>
  <c r="D217" i="4" l="1"/>
  <c r="E217" i="4"/>
  <c r="F217" i="4"/>
  <c r="G217" i="4"/>
  <c r="H218" i="4"/>
  <c r="D218" i="4" l="1"/>
  <c r="E218" i="4"/>
  <c r="F218" i="4"/>
  <c r="G218" i="4"/>
  <c r="C218" i="4"/>
  <c r="B218" i="4" l="1"/>
  <c r="I218" i="4"/>
  <c r="C219" i="4"/>
  <c r="I219" i="4" l="1"/>
  <c r="B219" i="4"/>
  <c r="J219" i="4"/>
  <c r="K219" i="4"/>
  <c r="L219" i="4"/>
  <c r="J218" i="4"/>
  <c r="K218" i="4" s="1"/>
  <c r="L218" i="4" s="1"/>
  <c r="H219" i="4" l="1"/>
  <c r="D219" i="4" l="1"/>
  <c r="E219" i="4"/>
  <c r="F219" i="4"/>
  <c r="G219" i="4"/>
  <c r="H220" i="4"/>
  <c r="D220" i="4" l="1"/>
  <c r="E220" i="4"/>
  <c r="F220" i="4"/>
  <c r="G220" i="4"/>
  <c r="C220" i="4"/>
  <c r="B220" i="4" l="1"/>
  <c r="I220" i="4"/>
  <c r="C221" i="4"/>
  <c r="I221" i="4" l="1"/>
  <c r="B221" i="4"/>
  <c r="J221" i="4"/>
  <c r="K221" i="4"/>
  <c r="L221" i="4"/>
  <c r="J220" i="4"/>
  <c r="K220" i="4" s="1"/>
  <c r="L220" i="4" s="1"/>
  <c r="H221" i="4" l="1"/>
  <c r="D221" i="4" l="1"/>
  <c r="E221" i="4"/>
  <c r="F221" i="4"/>
  <c r="G221" i="4"/>
  <c r="H222" i="4"/>
  <c r="D222" i="4" l="1"/>
  <c r="E222" i="4"/>
  <c r="F222" i="4"/>
  <c r="G222" i="4"/>
  <c r="C222" i="4"/>
  <c r="I222" i="4" l="1"/>
  <c r="J222" i="4"/>
  <c r="K222" i="4"/>
  <c r="L222" i="4"/>
  <c r="B222" i="4"/>
  <c r="C223" i="4"/>
  <c r="I223" i="4" l="1"/>
  <c r="J223" i="4"/>
  <c r="K223" i="4"/>
  <c r="L223" i="4"/>
  <c r="B223" i="4"/>
  <c r="H223" i="4"/>
  <c r="D223" i="4" l="1"/>
  <c r="E223" i="4"/>
  <c r="F223" i="4" s="1"/>
  <c r="G223" i="4" s="1"/>
  <c r="H224" i="4"/>
  <c r="D224" i="4" l="1"/>
  <c r="E224" i="4"/>
  <c r="F224" i="4"/>
  <c r="G224" i="4"/>
  <c r="C224" i="4"/>
  <c r="B224" i="4" l="1"/>
  <c r="I224" i="4"/>
  <c r="C225" i="4"/>
  <c r="B225" i="4" l="1"/>
  <c r="I225" i="4"/>
  <c r="J225" i="4"/>
  <c r="K225" i="4"/>
  <c r="L225" i="4"/>
  <c r="J224" i="4"/>
  <c r="K224" i="4" s="1"/>
  <c r="L224" i="4" s="1"/>
  <c r="H225" i="4" l="1"/>
  <c r="D225" i="4" l="1"/>
  <c r="E225" i="4"/>
  <c r="F225" i="4"/>
  <c r="G225" i="4"/>
  <c r="H226" i="4"/>
  <c r="D226" i="4" l="1"/>
  <c r="E226" i="4"/>
  <c r="F226" i="4" s="1"/>
  <c r="G226" i="4" s="1"/>
  <c r="C226" i="4"/>
  <c r="B226" i="4" l="1"/>
  <c r="I226" i="4"/>
  <c r="J226" i="4"/>
  <c r="K226" i="4"/>
  <c r="L226" i="4"/>
  <c r="C227" i="4"/>
  <c r="I227" i="4" l="1"/>
  <c r="B227" i="4"/>
  <c r="J227" i="4"/>
  <c r="K227" i="4"/>
  <c r="L227" i="4"/>
  <c r="H227" i="4"/>
  <c r="D227" i="4" l="1"/>
  <c r="E227" i="4"/>
  <c r="F227" i="4"/>
  <c r="G227" i="4"/>
  <c r="H228" i="4"/>
  <c r="D228" i="4" l="1"/>
  <c r="E228" i="4"/>
  <c r="F228" i="4"/>
  <c r="G228" i="4"/>
  <c r="C228" i="4"/>
  <c r="I228" i="4" l="1"/>
  <c r="J228" i="4"/>
  <c r="K228" i="4"/>
  <c r="L228" i="4"/>
  <c r="B228" i="4"/>
  <c r="C229" i="4"/>
  <c r="B229" i="4" l="1"/>
  <c r="I229" i="4"/>
  <c r="J229" i="4"/>
  <c r="K229" i="4"/>
  <c r="L229" i="4"/>
  <c r="H229" i="4"/>
  <c r="D229" i="4" l="1"/>
  <c r="E229" i="4"/>
  <c r="F229" i="4"/>
  <c r="G229" i="4"/>
  <c r="H230" i="4"/>
  <c r="D230" i="4" l="1"/>
  <c r="E230" i="4"/>
  <c r="F230" i="4" s="1"/>
  <c r="G230" i="4" s="1"/>
  <c r="C230" i="4"/>
  <c r="I230" i="4" l="1"/>
  <c r="B230" i="4"/>
  <c r="J230" i="4"/>
  <c r="K230" i="4"/>
  <c r="L230" i="4"/>
  <c r="C231" i="4"/>
  <c r="B231" i="4" l="1"/>
  <c r="I231" i="4"/>
  <c r="J231" i="4"/>
  <c r="K231" i="4"/>
  <c r="L231" i="4"/>
  <c r="H231" i="4"/>
  <c r="D231" i="4" l="1"/>
  <c r="E231" i="4"/>
  <c r="F231" i="4"/>
  <c r="G231" i="4"/>
  <c r="H232" i="4"/>
  <c r="D232" i="4" l="1"/>
  <c r="E232" i="4"/>
  <c r="F232" i="4"/>
  <c r="G232" i="4"/>
  <c r="C232" i="4"/>
  <c r="B232" i="4" l="1"/>
  <c r="I232" i="4"/>
  <c r="C233" i="4"/>
  <c r="I233" i="4" l="1"/>
  <c r="B233" i="4"/>
  <c r="J233" i="4"/>
  <c r="K233" i="4"/>
  <c r="L233" i="4"/>
  <c r="J232" i="4"/>
  <c r="K232" i="4" s="1"/>
  <c r="L232" i="4" s="1"/>
  <c r="H233" i="4" l="1"/>
  <c r="D233" i="4" l="1"/>
  <c r="E233" i="4"/>
  <c r="F233" i="4"/>
  <c r="G233" i="4"/>
  <c r="H234" i="4"/>
  <c r="D234" i="4" l="1"/>
  <c r="E234" i="4"/>
  <c r="F234" i="4" s="1"/>
  <c r="G234" i="4" s="1"/>
  <c r="C234" i="4"/>
  <c r="I234" i="4" l="1"/>
  <c r="B234" i="4"/>
  <c r="J234" i="4"/>
  <c r="K234" i="4"/>
  <c r="L234" i="4"/>
  <c r="C235" i="4"/>
  <c r="I235" i="4" l="1"/>
  <c r="B235" i="4"/>
  <c r="J235" i="4"/>
  <c r="K235" i="4"/>
  <c r="L235" i="4"/>
  <c r="H235" i="4"/>
  <c r="D235" i="4" l="1"/>
  <c r="E235" i="4"/>
  <c r="F235" i="4"/>
  <c r="G235" i="4"/>
  <c r="H236" i="4"/>
  <c r="D236" i="4" l="1"/>
  <c r="E236" i="4"/>
  <c r="F236" i="4"/>
  <c r="G236" i="4"/>
  <c r="C236" i="4"/>
  <c r="I236" i="4" l="1"/>
  <c r="B236" i="4"/>
  <c r="J236" i="4"/>
  <c r="K236" i="4"/>
  <c r="L236" i="4"/>
  <c r="C237" i="4"/>
  <c r="I237" i="4" l="1"/>
  <c r="J237" i="4"/>
  <c r="K237" i="4"/>
  <c r="L237" i="4"/>
  <c r="B237" i="4"/>
  <c r="H237" i="4"/>
  <c r="D237" i="4" l="1"/>
  <c r="E237" i="4"/>
  <c r="F237" i="4"/>
  <c r="G237" i="4"/>
  <c r="H238" i="4"/>
  <c r="D238" i="4" l="1"/>
  <c r="E238" i="4"/>
  <c r="F238" i="4"/>
  <c r="G238" i="4"/>
  <c r="C238" i="4"/>
  <c r="I238" i="4" l="1"/>
  <c r="B238" i="4"/>
  <c r="J238" i="4"/>
  <c r="K238" i="4"/>
  <c r="L238" i="4"/>
  <c r="C239" i="4"/>
  <c r="I239" i="4" l="1"/>
  <c r="B239" i="4"/>
  <c r="J239" i="4"/>
  <c r="K239" i="4"/>
  <c r="L239" i="4"/>
  <c r="H239" i="4"/>
  <c r="D239" i="4" l="1"/>
  <c r="E239" i="4"/>
  <c r="F239" i="4"/>
  <c r="G239" i="4"/>
  <c r="H240" i="4"/>
  <c r="D240" i="4" l="1"/>
  <c r="E240" i="4"/>
  <c r="F240" i="4"/>
  <c r="G240" i="4"/>
  <c r="C240" i="4"/>
  <c r="B240" i="4" l="1"/>
  <c r="I240" i="4"/>
  <c r="J240" i="4"/>
  <c r="K240" i="4"/>
  <c r="L240" i="4"/>
  <c r="C241" i="4"/>
  <c r="I241" i="4" l="1"/>
  <c r="J241" i="4"/>
  <c r="K241" i="4"/>
  <c r="L241" i="4"/>
  <c r="B241" i="4"/>
  <c r="H241" i="4"/>
  <c r="D241" i="4" l="1"/>
  <c r="E241" i="4"/>
  <c r="F241" i="4"/>
  <c r="G241" i="4"/>
  <c r="H242" i="4"/>
  <c r="D242" i="4" l="1"/>
  <c r="E242" i="4"/>
  <c r="F242" i="4"/>
  <c r="G242" i="4"/>
  <c r="C242" i="4"/>
  <c r="I242" i="4" l="1"/>
  <c r="J242" i="4"/>
  <c r="K242" i="4"/>
  <c r="L242" i="4"/>
  <c r="B242" i="4"/>
  <c r="C243" i="4"/>
  <c r="I243" i="4" l="1"/>
  <c r="B243" i="4"/>
  <c r="J243" i="4"/>
  <c r="K243" i="4"/>
  <c r="L243" i="4"/>
  <c r="H243" i="4"/>
  <c r="D243" i="4" l="1"/>
  <c r="E243" i="4"/>
  <c r="F243" i="4"/>
  <c r="G243" i="4"/>
  <c r="H244" i="4"/>
  <c r="D244" i="4" l="1"/>
  <c r="E244" i="4"/>
  <c r="F244" i="4"/>
  <c r="G244" i="4"/>
  <c r="C244" i="4"/>
  <c r="I244" i="4" l="1"/>
  <c r="J244" i="4"/>
  <c r="K244" i="4"/>
  <c r="L244" i="4"/>
  <c r="B244" i="4"/>
  <c r="C245" i="4"/>
  <c r="B245" i="4" l="1"/>
  <c r="I245" i="4"/>
  <c r="J245" i="4" s="1"/>
  <c r="K245" i="4" s="1"/>
  <c r="L245" i="4" s="1"/>
  <c r="H245" i="4"/>
  <c r="D245" i="4" l="1"/>
  <c r="E245" i="4"/>
  <c r="F245" i="4"/>
  <c r="G245" i="4"/>
  <c r="H246" i="4"/>
  <c r="D246" i="4" l="1"/>
  <c r="E246" i="4"/>
  <c r="F246" i="4"/>
  <c r="G246" i="4"/>
  <c r="C246" i="4"/>
  <c r="B246" i="4" l="1"/>
  <c r="I246" i="4"/>
  <c r="J246" i="4"/>
  <c r="K246" i="4"/>
  <c r="L246" i="4"/>
  <c r="C247" i="4"/>
  <c r="I247" i="4" l="1"/>
  <c r="B247" i="4"/>
  <c r="J247" i="4"/>
  <c r="K247" i="4"/>
  <c r="L247" i="4"/>
  <c r="H247" i="4"/>
  <c r="D247" i="4" l="1"/>
  <c r="E247" i="4"/>
  <c r="F247" i="4"/>
  <c r="G247" i="4"/>
  <c r="H248" i="4"/>
  <c r="D248" i="4" l="1"/>
  <c r="E248" i="4"/>
  <c r="F248" i="4"/>
  <c r="G248" i="4"/>
  <c r="C248" i="4"/>
  <c r="I248" i="4" l="1"/>
  <c r="J248" i="4"/>
  <c r="K248" i="4"/>
  <c r="L248" i="4"/>
  <c r="B248" i="4"/>
  <c r="C249" i="4"/>
  <c r="B249" i="4" l="1"/>
  <c r="I249" i="4"/>
  <c r="J249" i="4"/>
  <c r="K249" i="4"/>
  <c r="L249" i="4"/>
  <c r="H249" i="4"/>
  <c r="D249" i="4" l="1"/>
  <c r="E249" i="4"/>
  <c r="F249" i="4"/>
  <c r="G249" i="4"/>
  <c r="H250" i="4"/>
  <c r="D250" i="4" l="1"/>
  <c r="E250" i="4"/>
  <c r="F250" i="4"/>
  <c r="G250" i="4"/>
  <c r="C250" i="4"/>
  <c r="I250" i="4" l="1"/>
  <c r="B250" i="4"/>
  <c r="J250" i="4"/>
  <c r="K250" i="4"/>
  <c r="L250" i="4"/>
  <c r="C251" i="4"/>
  <c r="I251" i="4" l="1"/>
  <c r="J251" i="4"/>
  <c r="K251" i="4"/>
  <c r="L251" i="4"/>
  <c r="B251" i="4"/>
  <c r="H251" i="4"/>
  <c r="D251" i="4" l="1"/>
  <c r="E251" i="4"/>
  <c r="F251" i="4"/>
  <c r="G251" i="4"/>
  <c r="H252" i="4"/>
  <c r="D252" i="4" l="1"/>
  <c r="E252" i="4"/>
  <c r="F252" i="4"/>
  <c r="G252" i="4"/>
  <c r="C252" i="4"/>
  <c r="I252" i="4" l="1"/>
  <c r="J252" i="4"/>
  <c r="K252" i="4"/>
  <c r="L252" i="4"/>
  <c r="B252" i="4"/>
  <c r="C253" i="4"/>
  <c r="B253" i="4" l="1"/>
  <c r="I253" i="4"/>
  <c r="J253" i="4" s="1"/>
  <c r="K253" i="4" s="1"/>
  <c r="L253" i="4" s="1"/>
  <c r="H253" i="4"/>
  <c r="D253" i="4" l="1"/>
  <c r="E253" i="4"/>
  <c r="F253" i="4"/>
  <c r="G253" i="4"/>
  <c r="H254" i="4"/>
  <c r="D254" i="4" l="1"/>
  <c r="E254" i="4"/>
  <c r="F254" i="4"/>
  <c r="G254" i="4"/>
  <c r="C254" i="4"/>
  <c r="I254" i="4" l="1"/>
  <c r="J254" i="4"/>
  <c r="K254" i="4"/>
  <c r="L254" i="4"/>
  <c r="B254" i="4"/>
  <c r="C255" i="4"/>
  <c r="B255" i="4" l="1"/>
  <c r="I255" i="4"/>
  <c r="J255" i="4" s="1"/>
  <c r="K255" i="4" s="1"/>
  <c r="L255" i="4" s="1"/>
  <c r="H255" i="4"/>
  <c r="D255" i="4" l="1"/>
  <c r="E255" i="4"/>
  <c r="F255" i="4"/>
  <c r="G255" i="4"/>
  <c r="H256" i="4"/>
  <c r="D256" i="4" l="1"/>
  <c r="E256" i="4"/>
  <c r="F256" i="4"/>
  <c r="G256" i="4"/>
  <c r="C256" i="4"/>
  <c r="I256" i="4" l="1"/>
  <c r="J256" i="4"/>
  <c r="K256" i="4"/>
  <c r="L256" i="4"/>
  <c r="B256" i="4"/>
  <c r="C257" i="4"/>
  <c r="I257" i="4" l="1"/>
  <c r="J257" i="4"/>
  <c r="K257" i="4"/>
  <c r="L257" i="4"/>
  <c r="B257" i="4"/>
  <c r="H257" i="4"/>
  <c r="D257" i="4" l="1"/>
  <c r="E257" i="4"/>
  <c r="F257" i="4"/>
  <c r="G257" i="4"/>
  <c r="H258" i="4"/>
  <c r="D258" i="4" l="1"/>
  <c r="E258" i="4"/>
  <c r="F258" i="4"/>
  <c r="G258" i="4"/>
  <c r="C258" i="4"/>
  <c r="I258" i="4" l="1"/>
  <c r="J258" i="4"/>
  <c r="K258" i="4"/>
  <c r="L258" i="4"/>
  <c r="B258" i="4"/>
  <c r="C259" i="4"/>
  <c r="B259" i="4" l="1"/>
  <c r="I259" i="4"/>
  <c r="J259" i="4"/>
  <c r="K259" i="4"/>
  <c r="L259" i="4"/>
  <c r="H259" i="4"/>
  <c r="D259" i="4" l="1"/>
  <c r="E259" i="4"/>
  <c r="F259" i="4"/>
  <c r="G259" i="4"/>
  <c r="H260" i="4"/>
  <c r="D260" i="4" l="1"/>
  <c r="E260" i="4"/>
  <c r="F260" i="4"/>
  <c r="G260" i="4"/>
  <c r="C260" i="4"/>
  <c r="B260" i="4" l="1"/>
  <c r="I260" i="4"/>
  <c r="J260" i="4"/>
  <c r="K260" i="4"/>
  <c r="L260" i="4"/>
  <c r="C261" i="4"/>
  <c r="I261" i="4" l="1"/>
  <c r="B261" i="4"/>
  <c r="J261" i="4"/>
  <c r="K261" i="4"/>
  <c r="L261" i="4"/>
  <c r="H261" i="4"/>
  <c r="D261" i="4" l="1"/>
  <c r="H262" i="4"/>
  <c r="D262" i="4" l="1"/>
  <c r="E262" i="4"/>
  <c r="F262" i="4"/>
  <c r="G262" i="4"/>
  <c r="E261" i="4"/>
  <c r="F261" i="4" s="1"/>
  <c r="G261" i="4" s="1"/>
  <c r="C262" i="4" l="1"/>
  <c r="B262" i="4" l="1"/>
  <c r="I262" i="4"/>
  <c r="J262" i="4"/>
  <c r="K262" i="4"/>
  <c r="L262" i="4"/>
  <c r="C263" i="4"/>
  <c r="I263" i="4" l="1"/>
  <c r="B263" i="4"/>
  <c r="J263" i="4"/>
  <c r="K263" i="4"/>
  <c r="L263" i="4"/>
  <c r="H263" i="4"/>
  <c r="D263" i="4" l="1"/>
  <c r="E263" i="4"/>
  <c r="F263" i="4"/>
  <c r="G263" i="4"/>
  <c r="H264" i="4"/>
  <c r="D264" i="4" l="1"/>
  <c r="E264" i="4"/>
  <c r="F264" i="4"/>
  <c r="G264" i="4"/>
  <c r="C264" i="4"/>
  <c r="I264" i="4" l="1"/>
  <c r="B264" i="4"/>
  <c r="J264" i="4"/>
  <c r="K264" i="4"/>
  <c r="L264" i="4"/>
  <c r="C265" i="4"/>
  <c r="B265" i="4" l="1"/>
  <c r="I265" i="4"/>
  <c r="J265" i="4"/>
  <c r="K265" i="4"/>
  <c r="L265" i="4"/>
  <c r="H265" i="4"/>
  <c r="D265" i="4" l="1"/>
  <c r="E265" i="4"/>
  <c r="F265" i="4"/>
  <c r="G265" i="4"/>
  <c r="H266" i="4"/>
  <c r="D266" i="4" l="1"/>
  <c r="E266" i="4"/>
  <c r="F266" i="4"/>
  <c r="G266" i="4"/>
  <c r="C266" i="4"/>
  <c r="I266" i="4" l="1"/>
  <c r="B266" i="4"/>
  <c r="J266" i="4"/>
  <c r="K266" i="4"/>
  <c r="L266" i="4"/>
  <c r="C267" i="4"/>
  <c r="I267" i="4" l="1"/>
  <c r="B267" i="4"/>
  <c r="J267" i="4"/>
  <c r="K267" i="4"/>
  <c r="L267" i="4"/>
  <c r="H267" i="4"/>
  <c r="D267" i="4" l="1"/>
  <c r="E267" i="4"/>
  <c r="F267" i="4"/>
  <c r="G267" i="4"/>
  <c r="H268" i="4"/>
  <c r="D268" i="4" l="1"/>
  <c r="E268" i="4"/>
  <c r="F268" i="4"/>
  <c r="G268" i="4"/>
  <c r="C268" i="4"/>
  <c r="B268" i="4" l="1"/>
  <c r="I268" i="4"/>
  <c r="J268" i="4"/>
  <c r="K268" i="4"/>
  <c r="L268" i="4"/>
  <c r="C269" i="4"/>
  <c r="B269" i="4" l="1"/>
  <c r="I269" i="4"/>
  <c r="J269" i="4"/>
  <c r="K269" i="4"/>
  <c r="L269" i="4"/>
  <c r="H269" i="4"/>
  <c r="D269" i="4" l="1"/>
  <c r="E269" i="4"/>
  <c r="F269" i="4"/>
  <c r="G269" i="4"/>
  <c r="H270" i="4"/>
  <c r="D270" i="4" l="1"/>
  <c r="E270" i="4"/>
  <c r="F270" i="4"/>
  <c r="G270" i="4"/>
  <c r="C270" i="4"/>
  <c r="I270" i="4" l="1"/>
  <c r="J270" i="4"/>
  <c r="K270" i="4"/>
  <c r="L270" i="4"/>
  <c r="B270" i="4"/>
  <c r="C271" i="4"/>
  <c r="I271" i="4" l="1"/>
  <c r="B271" i="4"/>
  <c r="J271" i="4"/>
  <c r="K271" i="4"/>
  <c r="L271" i="4"/>
  <c r="H271" i="4"/>
  <c r="D271" i="4" l="1"/>
  <c r="E271" i="4"/>
  <c r="F271" i="4"/>
  <c r="G271" i="4"/>
  <c r="H272" i="4"/>
  <c r="D272" i="4" l="1"/>
  <c r="E272" i="4"/>
  <c r="F272" i="4"/>
  <c r="G272" i="4"/>
  <c r="C272" i="4"/>
  <c r="I272" i="4" l="1"/>
  <c r="B272" i="4"/>
  <c r="J272" i="4"/>
  <c r="K272" i="4"/>
  <c r="L272" i="4"/>
  <c r="C273" i="4"/>
  <c r="I273" i="4" l="1"/>
  <c r="B273" i="4"/>
  <c r="J273" i="4"/>
  <c r="K273" i="4"/>
  <c r="L273" i="4"/>
  <c r="H273" i="4"/>
  <c r="D273" i="4" l="1"/>
  <c r="E273" i="4"/>
  <c r="F273" i="4"/>
  <c r="G273" i="4"/>
  <c r="H274" i="4"/>
  <c r="D274" i="4" l="1"/>
  <c r="E274" i="4"/>
  <c r="F274" i="4"/>
  <c r="G274" i="4"/>
  <c r="C274" i="4"/>
  <c r="B274" i="4" l="1"/>
  <c r="I274" i="4"/>
  <c r="J274" i="4"/>
  <c r="K274" i="4"/>
  <c r="L274" i="4"/>
  <c r="C275" i="4"/>
  <c r="B275" i="4" l="1"/>
  <c r="I275" i="4"/>
  <c r="J275" i="4"/>
  <c r="K275" i="4"/>
  <c r="L275" i="4"/>
  <c r="H275" i="4"/>
  <c r="D275" i="4" l="1"/>
  <c r="E275" i="4"/>
  <c r="F275" i="4"/>
  <c r="G275" i="4"/>
  <c r="H276" i="4"/>
  <c r="D276" i="4" l="1"/>
  <c r="E276" i="4"/>
  <c r="F276" i="4"/>
  <c r="G276" i="4"/>
  <c r="C276" i="4"/>
  <c r="I276" i="4" l="1"/>
  <c r="J276" i="4"/>
  <c r="K276" i="4"/>
  <c r="L276" i="4"/>
  <c r="B276" i="4"/>
  <c r="C277" i="4"/>
  <c r="B277" i="4" l="1"/>
  <c r="I277" i="4"/>
  <c r="J277" i="4"/>
  <c r="K277" i="4"/>
  <c r="L277" i="4"/>
  <c r="H277" i="4"/>
  <c r="D277" i="4" l="1"/>
  <c r="E277" i="4"/>
  <c r="F277" i="4"/>
  <c r="G277" i="4"/>
  <c r="H278" i="4"/>
  <c r="D278" i="4" l="1"/>
  <c r="E278" i="4"/>
  <c r="F278" i="4"/>
  <c r="G278" i="4"/>
  <c r="C278" i="4"/>
  <c r="B278" i="4" l="1"/>
  <c r="I278" i="4"/>
  <c r="J278" i="4"/>
  <c r="K278" i="4"/>
  <c r="L278" i="4"/>
  <c r="C279" i="4"/>
  <c r="B279" i="4" l="1"/>
  <c r="I279" i="4"/>
  <c r="J279" i="4"/>
  <c r="K279" i="4"/>
  <c r="L279" i="4"/>
  <c r="H279" i="4"/>
  <c r="D279" i="4" l="1"/>
  <c r="E279" i="4"/>
  <c r="F279" i="4"/>
  <c r="G279" i="4"/>
  <c r="H280" i="4"/>
  <c r="D280" i="4" l="1"/>
  <c r="E280" i="4"/>
  <c r="F280" i="4"/>
  <c r="G280" i="4"/>
  <c r="C280" i="4"/>
  <c r="B280" i="4" l="1"/>
  <c r="I280" i="4"/>
  <c r="J280" i="4"/>
  <c r="K280" i="4"/>
  <c r="L280" i="4"/>
  <c r="C281" i="4"/>
  <c r="I281" i="4" l="1"/>
  <c r="B281" i="4"/>
  <c r="J281" i="4"/>
  <c r="K281" i="4"/>
  <c r="L281" i="4"/>
  <c r="H281" i="4"/>
  <c r="D281" i="4" l="1"/>
  <c r="E281" i="4"/>
  <c r="F281" i="4"/>
  <c r="G281" i="4"/>
  <c r="H282" i="4"/>
  <c r="D282" i="4" l="1"/>
  <c r="E282" i="4"/>
  <c r="F282" i="4"/>
  <c r="G282" i="4"/>
  <c r="C282" i="4"/>
  <c r="I282" i="4" l="1"/>
  <c r="J282" i="4"/>
  <c r="K282" i="4"/>
  <c r="L282" i="4"/>
  <c r="B282" i="4"/>
  <c r="C283" i="4"/>
  <c r="B283" i="4" l="1"/>
  <c r="I283" i="4"/>
  <c r="J283" i="4"/>
  <c r="K283" i="4"/>
  <c r="L283" i="4"/>
  <c r="H283" i="4"/>
  <c r="D283" i="4" l="1"/>
  <c r="E283" i="4"/>
  <c r="F283" i="4"/>
  <c r="G283" i="4"/>
  <c r="H284" i="4"/>
  <c r="D284" i="4" l="1"/>
  <c r="E284" i="4"/>
  <c r="F284" i="4"/>
  <c r="G284" i="4"/>
  <c r="C284" i="4"/>
  <c r="I284" i="4" l="1"/>
  <c r="J284" i="4"/>
  <c r="K284" i="4"/>
  <c r="L284" i="4"/>
  <c r="B284" i="4"/>
  <c r="C285" i="4"/>
  <c r="B285" i="4" l="1"/>
  <c r="I285" i="4"/>
  <c r="J285" i="4"/>
  <c r="K285" i="4"/>
  <c r="L285" i="4"/>
  <c r="H285" i="4"/>
  <c r="D285" i="4" l="1"/>
  <c r="E285" i="4"/>
  <c r="F285" i="4"/>
  <c r="G285" i="4"/>
  <c r="H286" i="4"/>
  <c r="D286" i="4" l="1"/>
  <c r="E286" i="4"/>
  <c r="F286" i="4"/>
  <c r="G286" i="4"/>
  <c r="C286" i="4"/>
  <c r="I286" i="4" l="1"/>
  <c r="J286" i="4"/>
  <c r="K286" i="4"/>
  <c r="L286" i="4"/>
  <c r="B286" i="4"/>
  <c r="C287" i="4"/>
  <c r="B287" i="4" l="1"/>
  <c r="I287" i="4"/>
  <c r="J287" i="4"/>
  <c r="K287" i="4"/>
  <c r="L287" i="4"/>
  <c r="H287" i="4"/>
  <c r="D287" i="4" l="1"/>
  <c r="E287" i="4"/>
  <c r="F287" i="4"/>
  <c r="G287" i="4"/>
  <c r="H288" i="4"/>
  <c r="D288" i="4" l="1"/>
  <c r="E288" i="4"/>
  <c r="F288" i="4"/>
  <c r="G288" i="4"/>
  <c r="C288" i="4"/>
  <c r="I288" i="4" l="1"/>
  <c r="J288" i="4"/>
  <c r="K288" i="4"/>
  <c r="L288" i="4"/>
  <c r="B288" i="4"/>
  <c r="C289" i="4"/>
  <c r="I289" i="4" l="1"/>
  <c r="B289" i="4"/>
  <c r="J289" i="4"/>
  <c r="K289" i="4"/>
  <c r="L289" i="4"/>
  <c r="H289" i="4"/>
  <c r="D289" i="4" l="1"/>
  <c r="E289" i="4"/>
  <c r="F289" i="4"/>
  <c r="G289" i="4"/>
  <c r="H290" i="4"/>
  <c r="D290" i="4" l="1"/>
  <c r="E290" i="4"/>
  <c r="F290" i="4"/>
  <c r="G290" i="4"/>
  <c r="C290" i="4"/>
  <c r="B290" i="4" l="1"/>
  <c r="I290" i="4"/>
  <c r="J290" i="4"/>
  <c r="K290" i="4"/>
  <c r="L290" i="4"/>
  <c r="C291" i="4"/>
  <c r="B291" i="4" l="1"/>
  <c r="I291" i="4"/>
  <c r="J291" i="4"/>
  <c r="K291" i="4"/>
  <c r="L291" i="4"/>
  <c r="H291" i="4"/>
  <c r="D291" i="4" l="1"/>
  <c r="E291" i="4"/>
  <c r="F291" i="4"/>
  <c r="G291" i="4"/>
  <c r="H292" i="4"/>
  <c r="D292" i="4" l="1"/>
  <c r="E292" i="4"/>
  <c r="F292" i="4"/>
  <c r="G292" i="4"/>
  <c r="C292" i="4"/>
  <c r="I292" i="4" l="1"/>
  <c r="J292" i="4"/>
  <c r="K292" i="4"/>
  <c r="L292" i="4"/>
  <c r="B292" i="4"/>
  <c r="C293" i="4"/>
  <c r="B293" i="4" l="1"/>
  <c r="I293" i="4"/>
  <c r="J293" i="4"/>
  <c r="K293" i="4"/>
  <c r="L293" i="4"/>
  <c r="H293" i="4"/>
  <c r="D293" i="4" l="1"/>
  <c r="E293" i="4"/>
  <c r="F293" i="4"/>
  <c r="G293" i="4"/>
  <c r="H294" i="4"/>
  <c r="D294" i="4" l="1"/>
  <c r="E294" i="4"/>
  <c r="F294" i="4"/>
  <c r="G294" i="4"/>
  <c r="C294" i="4"/>
  <c r="I294" i="4" l="1"/>
  <c r="J294" i="4"/>
  <c r="K294" i="4"/>
  <c r="L294" i="4"/>
  <c r="B294" i="4"/>
  <c r="C295" i="4"/>
  <c r="I295" i="4" l="1"/>
  <c r="B295" i="4"/>
  <c r="J295" i="4"/>
  <c r="K295" i="4"/>
  <c r="L295" i="4"/>
  <c r="H295" i="4"/>
  <c r="D295" i="4" l="1"/>
  <c r="E295" i="4"/>
  <c r="F295" i="4"/>
  <c r="G295" i="4"/>
  <c r="H296" i="4"/>
  <c r="D296" i="4" l="1"/>
  <c r="E296" i="4"/>
  <c r="F296" i="4"/>
  <c r="G296" i="4"/>
  <c r="C296" i="4"/>
  <c r="B296" i="4" l="1"/>
  <c r="I296" i="4"/>
  <c r="J296" i="4"/>
  <c r="K296" i="4"/>
  <c r="L296" i="4"/>
  <c r="C297" i="4"/>
  <c r="I297" i="4" l="1"/>
  <c r="B297" i="4"/>
  <c r="J297" i="4"/>
  <c r="K297" i="4"/>
  <c r="L297" i="4"/>
  <c r="H297" i="4"/>
  <c r="D297" i="4" l="1"/>
  <c r="E297" i="4"/>
  <c r="F297" i="4"/>
  <c r="G297" i="4"/>
  <c r="H298" i="4"/>
  <c r="D298" i="4" l="1"/>
  <c r="E298" i="4"/>
  <c r="F298" i="4"/>
  <c r="G298" i="4"/>
  <c r="C298" i="4"/>
  <c r="I298" i="4" l="1"/>
  <c r="J298" i="4"/>
  <c r="K298" i="4"/>
  <c r="L298" i="4"/>
  <c r="B298" i="4"/>
  <c r="C299" i="4"/>
  <c r="B299" i="4" l="1"/>
  <c r="I299" i="4"/>
  <c r="J299" i="4"/>
  <c r="K299" i="4"/>
  <c r="L299" i="4"/>
  <c r="H299" i="4"/>
  <c r="D299" i="4" l="1"/>
  <c r="E299" i="4"/>
  <c r="F299" i="4"/>
  <c r="G299" i="4"/>
  <c r="H300" i="4"/>
  <c r="D300" i="4" l="1"/>
  <c r="E300" i="4"/>
  <c r="F300" i="4"/>
  <c r="G300" i="4"/>
  <c r="C300" i="4"/>
  <c r="B300" i="4" l="1"/>
  <c r="I300" i="4"/>
  <c r="J300" i="4"/>
  <c r="K300" i="4"/>
  <c r="L300" i="4"/>
  <c r="C301" i="4"/>
  <c r="I301" i="4" l="1"/>
  <c r="B301" i="4"/>
  <c r="J301" i="4"/>
  <c r="K301" i="4"/>
  <c r="L301" i="4"/>
  <c r="H301" i="4"/>
  <c r="D301" i="4" l="1"/>
  <c r="E301" i="4"/>
  <c r="F301" i="4"/>
  <c r="G301" i="4"/>
  <c r="H302" i="4"/>
  <c r="D302" i="4" l="1"/>
  <c r="E302" i="4"/>
  <c r="F302" i="4"/>
  <c r="G302" i="4"/>
  <c r="C302" i="4"/>
  <c r="I302" i="4" l="1"/>
  <c r="J302" i="4"/>
  <c r="K302" i="4"/>
  <c r="L302" i="4"/>
  <c r="B302" i="4"/>
  <c r="C303" i="4"/>
  <c r="I303" i="4" l="1"/>
  <c r="B303" i="4"/>
  <c r="J303" i="4"/>
  <c r="K303" i="4"/>
  <c r="L303" i="4"/>
  <c r="H303" i="4"/>
  <c r="D303" i="4" l="1"/>
  <c r="E303" i="4"/>
  <c r="F303" i="4"/>
  <c r="G303" i="4"/>
  <c r="H304" i="4"/>
  <c r="D304" i="4" l="1"/>
  <c r="E304" i="4"/>
  <c r="F304" i="4"/>
  <c r="G304" i="4"/>
  <c r="C304" i="4"/>
  <c r="I304" i="4" l="1"/>
  <c r="J304" i="4"/>
  <c r="K304" i="4"/>
  <c r="L304" i="4"/>
  <c r="B304" i="4"/>
  <c r="C305" i="4"/>
  <c r="I305" i="4" l="1"/>
  <c r="B305" i="4"/>
  <c r="J305" i="4"/>
  <c r="K305" i="4"/>
  <c r="L305" i="4"/>
  <c r="H305" i="4"/>
  <c r="D305" i="4" l="1"/>
  <c r="E305" i="4"/>
  <c r="F305" i="4"/>
  <c r="G305" i="4"/>
  <c r="H306" i="4"/>
  <c r="D306" i="4" l="1"/>
  <c r="E306" i="4"/>
  <c r="F306" i="4"/>
  <c r="G306" i="4"/>
  <c r="C306" i="4"/>
  <c r="I306" i="4" l="1"/>
  <c r="J306" i="4"/>
  <c r="K306" i="4"/>
  <c r="L306" i="4"/>
  <c r="B306" i="4"/>
  <c r="C307" i="4"/>
  <c r="I307" i="4" l="1"/>
  <c r="B307" i="4"/>
  <c r="J307" i="4"/>
  <c r="K307" i="4"/>
  <c r="L307" i="4"/>
  <c r="H307" i="4"/>
  <c r="D307" i="4" l="1"/>
  <c r="E307" i="4"/>
  <c r="F307" i="4"/>
  <c r="G307" i="4"/>
  <c r="H308" i="4"/>
  <c r="D308" i="4" l="1"/>
  <c r="E308" i="4"/>
  <c r="F308" i="4"/>
  <c r="G308" i="4"/>
  <c r="C308" i="4"/>
  <c r="B308" i="4" l="1"/>
  <c r="I308" i="4"/>
  <c r="J308" i="4"/>
  <c r="K308" i="4"/>
  <c r="L308" i="4"/>
  <c r="C309" i="4"/>
  <c r="B309" i="4" l="1"/>
  <c r="I309" i="4"/>
  <c r="J309" i="4"/>
  <c r="K309" i="4"/>
  <c r="L309" i="4"/>
  <c r="H309" i="4"/>
  <c r="D309" i="4" l="1"/>
  <c r="E309" i="4"/>
  <c r="F309" i="4"/>
  <c r="G309" i="4"/>
  <c r="H310" i="4"/>
  <c r="D310" i="4" l="1"/>
  <c r="E310" i="4"/>
  <c r="F310" i="4"/>
  <c r="G310" i="4"/>
  <c r="C310" i="4"/>
  <c r="I310" i="4" l="1"/>
  <c r="J310" i="4"/>
  <c r="K310" i="4"/>
  <c r="L310" i="4"/>
  <c r="B310" i="4"/>
  <c r="C311" i="4"/>
  <c r="B311" i="4" l="1"/>
  <c r="I311" i="4"/>
  <c r="J311" i="4"/>
  <c r="K311" i="4"/>
  <c r="L311" i="4"/>
  <c r="H311" i="4"/>
  <c r="D311" i="4" l="1"/>
  <c r="E311" i="4"/>
  <c r="F311" i="4"/>
  <c r="G311" i="4"/>
  <c r="H312" i="4"/>
  <c r="D312" i="4" l="1"/>
  <c r="E312" i="4"/>
  <c r="F312" i="4"/>
  <c r="G312" i="4"/>
  <c r="C312" i="4"/>
  <c r="I312" i="4" l="1"/>
  <c r="J312" i="4"/>
  <c r="K312" i="4"/>
  <c r="L312" i="4"/>
  <c r="B312" i="4"/>
  <c r="C313" i="4"/>
  <c r="I313" i="4" l="1"/>
  <c r="B313" i="4"/>
  <c r="J313" i="4"/>
  <c r="K313" i="4"/>
  <c r="L313" i="4"/>
  <c r="H313" i="4"/>
  <c r="D313" i="4" l="1"/>
  <c r="E313" i="4"/>
  <c r="F313" i="4"/>
  <c r="G313" i="4"/>
  <c r="H314" i="4"/>
  <c r="D314" i="4" l="1"/>
  <c r="E314" i="4"/>
  <c r="F314" i="4"/>
  <c r="G314" i="4"/>
  <c r="C314" i="4"/>
  <c r="I314" i="4" l="1"/>
  <c r="J314" i="4"/>
  <c r="K314" i="4"/>
  <c r="L314" i="4"/>
  <c r="B314" i="4"/>
  <c r="C315" i="4"/>
  <c r="I315" i="4" l="1"/>
  <c r="J315" i="4"/>
  <c r="K315" i="4"/>
  <c r="L315" i="4"/>
  <c r="B315" i="4"/>
  <c r="H315" i="4"/>
  <c r="D315" i="4" l="1"/>
  <c r="E315" i="4"/>
  <c r="F315" i="4"/>
  <c r="G315" i="4"/>
  <c r="H316" i="4"/>
  <c r="D316" i="4" l="1"/>
  <c r="E316" i="4"/>
  <c r="F316" i="4"/>
  <c r="G316" i="4"/>
  <c r="C316" i="4"/>
  <c r="B316" i="4" l="1"/>
  <c r="I316" i="4"/>
  <c r="J316" i="4"/>
  <c r="K316" i="4"/>
  <c r="L316" i="4"/>
  <c r="C317" i="4"/>
  <c r="B317" i="4" l="1"/>
  <c r="I317" i="4"/>
  <c r="J317" i="4"/>
  <c r="K317" i="4"/>
  <c r="L317" i="4"/>
  <c r="H317" i="4"/>
  <c r="D317" i="4" l="1"/>
  <c r="E317" i="4"/>
  <c r="F317" i="4"/>
  <c r="G317" i="4"/>
  <c r="H318" i="4"/>
  <c r="D318" i="4" l="1"/>
  <c r="E318" i="4"/>
  <c r="F318" i="4"/>
  <c r="G318" i="4"/>
  <c r="C318" i="4"/>
  <c r="I318" i="4" l="1"/>
  <c r="J318" i="4"/>
  <c r="K318" i="4"/>
  <c r="L318" i="4"/>
  <c r="B318" i="4"/>
  <c r="C319" i="4"/>
  <c r="B319" i="4" l="1"/>
  <c r="I319" i="4"/>
  <c r="J319" i="4"/>
  <c r="K319" i="4"/>
  <c r="L319" i="4"/>
  <c r="H319" i="4"/>
  <c r="D319" i="4" l="1"/>
  <c r="E319" i="4"/>
  <c r="F319" i="4"/>
  <c r="G319" i="4"/>
  <c r="H320" i="4"/>
  <c r="D320" i="4" l="1"/>
  <c r="E320" i="4"/>
  <c r="F320" i="4"/>
  <c r="G320" i="4"/>
  <c r="C320" i="4"/>
  <c r="B320" i="4" l="1"/>
  <c r="I320" i="4"/>
  <c r="J320" i="4"/>
  <c r="K320" i="4"/>
  <c r="L320" i="4"/>
  <c r="C321" i="4"/>
  <c r="I321" i="4" l="1"/>
  <c r="B321" i="4"/>
  <c r="J321" i="4"/>
  <c r="K321" i="4"/>
  <c r="L321" i="4"/>
  <c r="H321" i="4"/>
  <c r="D321" i="4" l="1"/>
  <c r="E321" i="4"/>
  <c r="F321" i="4"/>
  <c r="G321" i="4"/>
  <c r="H322" i="4"/>
  <c r="D322" i="4" l="1"/>
  <c r="E322" i="4"/>
  <c r="F322" i="4"/>
  <c r="G322" i="4"/>
  <c r="C322" i="4"/>
  <c r="B322" i="4" l="1"/>
  <c r="I322" i="4"/>
  <c r="J322" i="4"/>
  <c r="K322" i="4"/>
  <c r="L322" i="4"/>
  <c r="C323" i="4"/>
  <c r="I323" i="4" l="1"/>
  <c r="B323" i="4"/>
  <c r="J323" i="4"/>
  <c r="K323" i="4"/>
  <c r="L323" i="4"/>
  <c r="H323" i="4"/>
  <c r="D323" i="4" l="1"/>
  <c r="E323" i="4"/>
  <c r="F323" i="4"/>
  <c r="G323" i="4"/>
  <c r="H324" i="4"/>
  <c r="D324" i="4" l="1"/>
  <c r="E324" i="4"/>
  <c r="F324" i="4"/>
  <c r="G324" i="4"/>
  <c r="C324" i="4"/>
  <c r="I324" i="4" l="1"/>
  <c r="J324" i="4"/>
  <c r="K324" i="4"/>
  <c r="L324" i="4"/>
  <c r="B324" i="4"/>
  <c r="C325" i="4"/>
  <c r="B325" i="4" l="1"/>
  <c r="I325" i="4"/>
  <c r="J325" i="4"/>
  <c r="K325" i="4"/>
  <c r="L325" i="4"/>
  <c r="H325" i="4"/>
  <c r="D325" i="4" l="1"/>
  <c r="E325" i="4"/>
  <c r="F325" i="4"/>
  <c r="G325" i="4"/>
  <c r="H326" i="4"/>
  <c r="D326" i="4" l="1"/>
  <c r="E326" i="4"/>
  <c r="F326" i="4"/>
  <c r="G326" i="4"/>
  <c r="C326" i="4"/>
  <c r="I326" i="4" l="1"/>
  <c r="J326" i="4"/>
  <c r="K326" i="4"/>
  <c r="L326" i="4"/>
  <c r="B326" i="4"/>
  <c r="C327" i="4"/>
  <c r="I327" i="4" l="1"/>
  <c r="B327" i="4"/>
  <c r="J327" i="4"/>
  <c r="K327" i="4"/>
  <c r="L327" i="4"/>
  <c r="H327" i="4"/>
  <c r="D327" i="4" l="1"/>
  <c r="E327" i="4"/>
  <c r="F327" i="4"/>
  <c r="G327" i="4"/>
  <c r="H328" i="4"/>
  <c r="D328" i="4" l="1"/>
  <c r="E328" i="4"/>
  <c r="F328" i="4"/>
  <c r="G328" i="4"/>
  <c r="C328" i="4"/>
  <c r="I328" i="4" l="1"/>
  <c r="J328" i="4"/>
  <c r="K328" i="4"/>
  <c r="L328" i="4"/>
  <c r="B328" i="4"/>
  <c r="C329" i="4"/>
  <c r="B329" i="4" l="1"/>
  <c r="I329" i="4"/>
  <c r="J329" i="4"/>
  <c r="K329" i="4"/>
  <c r="L329" i="4"/>
  <c r="H329" i="4"/>
  <c r="D329" i="4" l="1"/>
  <c r="E329" i="4"/>
  <c r="F329" i="4"/>
  <c r="G329" i="4"/>
  <c r="H330" i="4"/>
  <c r="D330" i="4" l="1"/>
  <c r="E330" i="4"/>
  <c r="F330" i="4"/>
  <c r="G330" i="4"/>
  <c r="C330" i="4"/>
  <c r="B330" i="4" l="1"/>
  <c r="I330" i="4"/>
  <c r="J330" i="4"/>
  <c r="K330" i="4"/>
  <c r="L330" i="4"/>
  <c r="C331" i="4"/>
  <c r="B331" i="4" l="1"/>
  <c r="I331" i="4"/>
  <c r="J331" i="4"/>
  <c r="K331" i="4"/>
  <c r="L331" i="4"/>
  <c r="H331" i="4"/>
  <c r="D331" i="4" l="1"/>
  <c r="E331" i="4"/>
  <c r="F331" i="4"/>
  <c r="G331" i="4"/>
  <c r="H332" i="4"/>
  <c r="D332" i="4" l="1"/>
  <c r="E332" i="4"/>
  <c r="F332" i="4"/>
  <c r="G332" i="4"/>
  <c r="C332" i="4"/>
  <c r="I332" i="4" l="1"/>
  <c r="J332" i="4"/>
  <c r="K332" i="4"/>
  <c r="L332" i="4"/>
  <c r="B332" i="4"/>
  <c r="C333" i="4"/>
  <c r="B333" i="4" l="1"/>
  <c r="I333" i="4"/>
  <c r="J333" i="4"/>
  <c r="K333" i="4"/>
  <c r="L333" i="4"/>
  <c r="H333" i="4"/>
  <c r="D333" i="4" l="1"/>
  <c r="E333" i="4"/>
  <c r="F333" i="4"/>
  <c r="G333" i="4"/>
  <c r="H334" i="4"/>
  <c r="D334" i="4" l="1"/>
  <c r="E334" i="4"/>
  <c r="F334" i="4"/>
  <c r="G334" i="4"/>
  <c r="C334" i="4"/>
  <c r="I334" i="4" l="1"/>
  <c r="J334" i="4"/>
  <c r="K334" i="4"/>
  <c r="L334" i="4"/>
  <c r="B334" i="4"/>
  <c r="C335" i="4"/>
  <c r="B335" i="4" l="1"/>
  <c r="I335" i="4"/>
  <c r="J335" i="4"/>
  <c r="K335" i="4"/>
  <c r="L335" i="4"/>
  <c r="H335" i="4"/>
  <c r="D335" i="4" l="1"/>
  <c r="E335" i="4"/>
  <c r="F335" i="4"/>
  <c r="G335" i="4"/>
  <c r="H336" i="4"/>
  <c r="D336" i="4" l="1"/>
  <c r="E336" i="4"/>
  <c r="F336" i="4"/>
  <c r="G336" i="4"/>
  <c r="C336" i="4"/>
  <c r="B336" i="4" l="1"/>
  <c r="I336" i="4"/>
  <c r="J336" i="4"/>
  <c r="K336" i="4"/>
  <c r="L336" i="4"/>
  <c r="C337" i="4"/>
  <c r="B337" i="4" l="1"/>
  <c r="I337" i="4"/>
  <c r="J337" i="4"/>
  <c r="K337" i="4"/>
  <c r="L337" i="4"/>
  <c r="H337" i="4"/>
  <c r="D337" i="4" l="1"/>
  <c r="E337" i="4"/>
  <c r="F337" i="4"/>
  <c r="G337" i="4"/>
  <c r="H338" i="4"/>
  <c r="D338" i="4" l="1"/>
  <c r="E338" i="4"/>
  <c r="F338" i="4"/>
  <c r="G338" i="4"/>
  <c r="C338" i="4"/>
  <c r="I338" i="4" l="1"/>
  <c r="J338" i="4"/>
  <c r="K338" i="4"/>
  <c r="L338" i="4"/>
  <c r="B338" i="4"/>
  <c r="C339" i="4"/>
  <c r="B339" i="4" l="1"/>
  <c r="I339" i="4"/>
  <c r="J339" i="4"/>
  <c r="K339" i="4"/>
  <c r="L339" i="4"/>
  <c r="H339" i="4"/>
  <c r="D339" i="4" l="1"/>
  <c r="E339" i="4"/>
  <c r="F339" i="4"/>
  <c r="G339" i="4"/>
  <c r="H340" i="4"/>
  <c r="D340" i="4" l="1"/>
  <c r="E340" i="4"/>
  <c r="F340" i="4"/>
  <c r="G340" i="4"/>
  <c r="C340" i="4"/>
  <c r="I340" i="4" l="1"/>
  <c r="J340" i="4"/>
  <c r="K340" i="4"/>
  <c r="L340" i="4"/>
  <c r="B340" i="4"/>
  <c r="C341" i="4"/>
  <c r="I341" i="4" l="1"/>
  <c r="J341" i="4"/>
  <c r="K341" i="4"/>
  <c r="L341" i="4"/>
  <c r="B341" i="4"/>
  <c r="H341" i="4"/>
  <c r="D341" i="4" l="1"/>
  <c r="E341" i="4"/>
  <c r="F341" i="4"/>
  <c r="G341" i="4"/>
  <c r="H342" i="4"/>
  <c r="D342" i="4" l="1"/>
  <c r="E342" i="4"/>
  <c r="F342" i="4"/>
  <c r="G342" i="4"/>
  <c r="C342" i="4"/>
  <c r="B342" i="4" l="1"/>
  <c r="I342" i="4"/>
  <c r="J342" i="4"/>
  <c r="K342" i="4"/>
  <c r="L342" i="4"/>
  <c r="C343" i="4"/>
  <c r="B343" i="4" l="1"/>
  <c r="I343" i="4"/>
  <c r="J343" i="4" s="1"/>
  <c r="K343" i="4" s="1"/>
  <c r="L343" i="4" s="1"/>
  <c r="H343" i="4"/>
  <c r="D343" i="4" l="1"/>
  <c r="E343" i="4"/>
  <c r="F343" i="4"/>
  <c r="G343" i="4"/>
  <c r="H344" i="4"/>
  <c r="D344" i="4" l="1"/>
  <c r="E344" i="4"/>
  <c r="F344" i="4"/>
  <c r="G344" i="4"/>
  <c r="C344" i="4"/>
  <c r="I344" i="4" l="1"/>
  <c r="J344" i="4"/>
  <c r="K344" i="4"/>
  <c r="L344" i="4"/>
  <c r="B344" i="4"/>
  <c r="C345" i="4"/>
  <c r="I345" i="4" l="1"/>
  <c r="B345" i="4"/>
  <c r="J345" i="4"/>
  <c r="K345" i="4"/>
  <c r="L345" i="4"/>
  <c r="H345" i="4"/>
  <c r="D345" i="4" l="1"/>
  <c r="E345" i="4"/>
  <c r="F345" i="4"/>
  <c r="G345" i="4"/>
  <c r="H346" i="4"/>
  <c r="D346" i="4" l="1"/>
  <c r="E346" i="4"/>
  <c r="F346" i="4"/>
  <c r="G346" i="4"/>
  <c r="C346" i="4"/>
  <c r="I346" i="4" l="1"/>
  <c r="J346" i="4"/>
  <c r="K346" i="4"/>
  <c r="L346" i="4"/>
  <c r="B346" i="4"/>
  <c r="C347" i="4"/>
  <c r="I347" i="4" l="1"/>
  <c r="J347" i="4"/>
  <c r="K347" i="4"/>
  <c r="L347" i="4"/>
  <c r="B347" i="4"/>
  <c r="H347" i="4"/>
  <c r="D347" i="4" l="1"/>
  <c r="E347" i="4"/>
  <c r="F347" i="4"/>
  <c r="G347" i="4"/>
  <c r="H348" i="4"/>
  <c r="D348" i="4" l="1"/>
  <c r="E348" i="4"/>
  <c r="F348" i="4"/>
  <c r="G348" i="4"/>
  <c r="C348" i="4"/>
  <c r="B348" i="4" l="1"/>
  <c r="I348" i="4"/>
  <c r="J348" i="4"/>
  <c r="K348" i="4"/>
  <c r="L348" i="4"/>
  <c r="C349" i="4"/>
  <c r="B349" i="4" l="1"/>
  <c r="I349" i="4"/>
  <c r="J349" i="4"/>
  <c r="K349" i="4" s="1"/>
  <c r="L349" i="4" s="1"/>
  <c r="H349" i="4"/>
  <c r="D349" i="4" l="1"/>
  <c r="E349" i="4"/>
  <c r="F349" i="4"/>
  <c r="G349" i="4"/>
  <c r="H350" i="4"/>
  <c r="D350" i="4" l="1"/>
  <c r="E350" i="4"/>
  <c r="F350" i="4"/>
  <c r="G350" i="4"/>
  <c r="C350" i="4"/>
  <c r="I350" i="4" l="1"/>
  <c r="J350" i="4"/>
  <c r="B350" i="4"/>
  <c r="K350" i="4"/>
  <c r="L350" i="4"/>
  <c r="C351" i="4"/>
  <c r="I351" i="4" l="1"/>
  <c r="B351" i="4"/>
  <c r="J351" i="4"/>
  <c r="K351" i="4"/>
  <c r="L351" i="4"/>
  <c r="H351" i="4"/>
  <c r="D351" i="4" l="1"/>
  <c r="E351" i="4"/>
  <c r="F351" i="4"/>
  <c r="G351" i="4"/>
  <c r="H352" i="4"/>
  <c r="D352" i="4" l="1"/>
  <c r="E352" i="4"/>
  <c r="F352" i="4"/>
  <c r="G352" i="4"/>
  <c r="C352" i="4"/>
  <c r="I352" i="4" l="1"/>
  <c r="B352" i="4"/>
  <c r="J352" i="4"/>
  <c r="K352" i="4"/>
  <c r="L352" i="4"/>
  <c r="C353" i="4"/>
  <c r="I353" i="4" l="1"/>
  <c r="B353" i="4"/>
  <c r="J353" i="4"/>
  <c r="K353" i="4" s="1"/>
  <c r="L353" i="4" s="1"/>
  <c r="H353" i="4"/>
  <c r="D353" i="4" l="1"/>
  <c r="E353" i="4"/>
  <c r="F353" i="4"/>
  <c r="G353" i="4"/>
  <c r="H354" i="4"/>
  <c r="D354" i="4" l="1"/>
  <c r="E354" i="4"/>
  <c r="F354" i="4"/>
  <c r="G354" i="4"/>
  <c r="C354" i="4"/>
  <c r="I354" i="4" l="1"/>
  <c r="B354" i="4"/>
  <c r="J354" i="4"/>
  <c r="K354" i="4"/>
  <c r="L354" i="4"/>
  <c r="C355" i="4"/>
  <c r="I355" i="4" l="1"/>
  <c r="B355" i="4"/>
  <c r="J355" i="4"/>
  <c r="K355" i="4"/>
  <c r="L355" i="4"/>
  <c r="H355" i="4"/>
  <c r="D355" i="4" l="1"/>
  <c r="E355" i="4"/>
  <c r="F355" i="4"/>
  <c r="G355" i="4"/>
  <c r="H356" i="4"/>
  <c r="D356" i="4" l="1"/>
  <c r="E356" i="4"/>
  <c r="F356" i="4"/>
  <c r="G356" i="4"/>
  <c r="C356" i="4"/>
  <c r="I356" i="4" l="1"/>
  <c r="B356" i="4"/>
  <c r="J356" i="4"/>
  <c r="K356" i="4"/>
  <c r="L356" i="4"/>
  <c r="C357" i="4"/>
  <c r="B357" i="4" l="1"/>
  <c r="I357" i="4"/>
  <c r="J357" i="4"/>
  <c r="K357" i="4" s="1"/>
  <c r="L357" i="4" s="1"/>
  <c r="H357" i="4"/>
  <c r="D357" i="4" l="1"/>
  <c r="E357" i="4"/>
  <c r="F357" i="4"/>
  <c r="G357" i="4"/>
  <c r="H358" i="4"/>
  <c r="D358" i="4" l="1"/>
  <c r="E358" i="4"/>
  <c r="F358" i="4"/>
  <c r="G358" i="4"/>
  <c r="C358" i="4"/>
  <c r="B358" i="4" l="1"/>
  <c r="I358" i="4"/>
  <c r="J358" i="4"/>
  <c r="K358" i="4"/>
  <c r="L358" i="4"/>
  <c r="C359" i="4"/>
  <c r="I359" i="4" l="1"/>
  <c r="J359" i="4"/>
  <c r="K359" i="4"/>
  <c r="L359" i="4"/>
  <c r="B359" i="4"/>
  <c r="H359" i="4"/>
  <c r="D359" i="4" l="1"/>
  <c r="E359" i="4"/>
  <c r="F359" i="4"/>
  <c r="G359" i="4"/>
  <c r="H360" i="4"/>
  <c r="D360" i="4" l="1"/>
  <c r="E360" i="4"/>
  <c r="F360" i="4"/>
  <c r="G360" i="4"/>
  <c r="C360" i="4"/>
  <c r="I360" i="4" l="1"/>
  <c r="J360" i="4"/>
  <c r="K360" i="4"/>
  <c r="L360" i="4"/>
  <c r="B360" i="4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B22" i="3"/>
  <c r="C22" i="3"/>
  <c r="D22" i="3"/>
  <c r="E22" i="3"/>
  <c r="B23" i="3"/>
  <c r="C23" i="3"/>
  <c r="D23" i="3"/>
  <c r="E23" i="3"/>
  <c r="B24" i="3"/>
  <c r="C24" i="3"/>
  <c r="D24" i="3"/>
  <c r="E24" i="3"/>
  <c r="B25" i="3"/>
  <c r="C25" i="3"/>
  <c r="D25" i="3"/>
  <c r="E25" i="3"/>
  <c r="B26" i="3"/>
  <c r="C26" i="3"/>
  <c r="D26" i="3"/>
  <c r="E26" i="3"/>
  <c r="B27" i="3"/>
  <c r="C27" i="3"/>
  <c r="D27" i="3"/>
  <c r="E27" i="3"/>
  <c r="B28" i="3"/>
  <c r="C28" i="3"/>
  <c r="D28" i="3"/>
  <c r="E28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/>
  <c r="C32" i="3"/>
  <c r="D32" i="3"/>
  <c r="E32" i="3"/>
  <c r="B33" i="3"/>
  <c r="C33" i="3"/>
  <c r="D33" i="3"/>
  <c r="E33" i="3"/>
  <c r="B34" i="3"/>
  <c r="C34" i="3"/>
  <c r="D34" i="3"/>
  <c r="E34" i="3"/>
  <c r="B35" i="3"/>
  <c r="C35" i="3"/>
  <c r="D35" i="3"/>
  <c r="E35" i="3"/>
  <c r="B36" i="3"/>
  <c r="C36" i="3"/>
  <c r="D36" i="3"/>
  <c r="E36" i="3"/>
  <c r="B37" i="3"/>
  <c r="C37" i="3"/>
  <c r="D37" i="3"/>
  <c r="E37" i="3"/>
  <c r="B38" i="3"/>
  <c r="C38" i="3"/>
  <c r="D38" i="3"/>
  <c r="E38" i="3"/>
  <c r="B39" i="3"/>
  <c r="C39" i="3"/>
  <c r="D39" i="3"/>
  <c r="E39" i="3"/>
  <c r="B40" i="3"/>
  <c r="C40" i="3"/>
  <c r="D40" i="3"/>
  <c r="E40" i="3"/>
  <c r="B41" i="3"/>
  <c r="C41" i="3"/>
  <c r="D41" i="3"/>
  <c r="E41" i="3"/>
  <c r="B42" i="3"/>
  <c r="C42" i="3"/>
  <c r="D42" i="3"/>
  <c r="E42" i="3"/>
  <c r="B43" i="3"/>
  <c r="C43" i="3"/>
  <c r="D43" i="3"/>
  <c r="E43" i="3"/>
  <c r="B44" i="3"/>
  <c r="C44" i="3"/>
  <c r="D44" i="3"/>
  <c r="E44" i="3"/>
  <c r="B45" i="3"/>
  <c r="C45" i="3"/>
  <c r="D45" i="3"/>
  <c r="E45" i="3"/>
  <c r="B46" i="3"/>
  <c r="C46" i="3"/>
  <c r="D46" i="3"/>
  <c r="E46" i="3"/>
  <c r="B47" i="3"/>
  <c r="C47" i="3"/>
  <c r="D47" i="3"/>
  <c r="E47" i="3"/>
  <c r="B48" i="3"/>
  <c r="C48" i="3"/>
  <c r="D48" i="3"/>
  <c r="E48" i="3"/>
  <c r="B49" i="3"/>
  <c r="C49" i="3"/>
  <c r="D49" i="3"/>
  <c r="E49" i="3"/>
  <c r="B50" i="3"/>
  <c r="C50" i="3"/>
  <c r="D50" i="3"/>
  <c r="E50" i="3"/>
  <c r="B51" i="3"/>
  <c r="C51" i="3"/>
  <c r="D51" i="3"/>
  <c r="E51" i="3"/>
  <c r="B52" i="3"/>
  <c r="C52" i="3"/>
  <c r="D52" i="3"/>
  <c r="E52" i="3"/>
  <c r="B53" i="3"/>
  <c r="C53" i="3"/>
  <c r="D53" i="3"/>
  <c r="E53" i="3"/>
  <c r="B54" i="3"/>
  <c r="C54" i="3"/>
  <c r="D54" i="3"/>
  <c r="E54" i="3"/>
  <c r="B55" i="3"/>
  <c r="C55" i="3"/>
  <c r="D55" i="3"/>
  <c r="E55" i="3"/>
  <c r="B56" i="3"/>
  <c r="C56" i="3"/>
  <c r="D56" i="3"/>
  <c r="E56" i="3"/>
  <c r="B57" i="3"/>
  <c r="C57" i="3"/>
  <c r="D57" i="3"/>
  <c r="E57" i="3"/>
  <c r="B58" i="3"/>
  <c r="C58" i="3"/>
  <c r="D58" i="3"/>
  <c r="E58" i="3"/>
  <c r="B59" i="3"/>
  <c r="C59" i="3"/>
  <c r="D59" i="3"/>
  <c r="E59" i="3"/>
  <c r="B60" i="3"/>
  <c r="C60" i="3"/>
  <c r="D60" i="3"/>
  <c r="E60" i="3"/>
  <c r="B61" i="3"/>
  <c r="C61" i="3"/>
  <c r="D61" i="3"/>
  <c r="E61" i="3"/>
  <c r="B62" i="3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9" i="3"/>
  <c r="C69" i="3"/>
  <c r="D69" i="3"/>
  <c r="E69" i="3"/>
  <c r="B70" i="3"/>
  <c r="C70" i="3"/>
  <c r="D70" i="3"/>
  <c r="E70" i="3"/>
  <c r="B71" i="3"/>
  <c r="C71" i="3"/>
  <c r="D71" i="3"/>
  <c r="E71" i="3"/>
  <c r="B72" i="3"/>
  <c r="C72" i="3"/>
  <c r="D72" i="3"/>
  <c r="E72" i="3"/>
  <c r="B73" i="3"/>
  <c r="C73" i="3"/>
  <c r="D73" i="3"/>
  <c r="E73" i="3"/>
  <c r="B74" i="3"/>
  <c r="C74" i="3"/>
  <c r="D74" i="3"/>
  <c r="E74" i="3"/>
  <c r="B75" i="3"/>
  <c r="C75" i="3"/>
  <c r="D75" i="3"/>
  <c r="E75" i="3"/>
  <c r="B76" i="3"/>
  <c r="C76" i="3"/>
  <c r="D76" i="3"/>
  <c r="E76" i="3"/>
  <c r="B77" i="3"/>
  <c r="C77" i="3"/>
  <c r="D77" i="3"/>
  <c r="E77" i="3"/>
  <c r="B78" i="3"/>
  <c r="C78" i="3"/>
  <c r="D78" i="3"/>
  <c r="E78" i="3"/>
  <c r="B79" i="3"/>
  <c r="C79" i="3"/>
  <c r="D79" i="3"/>
  <c r="E79" i="3"/>
  <c r="B80" i="3"/>
  <c r="C80" i="3"/>
  <c r="D80" i="3"/>
  <c r="E80" i="3"/>
  <c r="B81" i="3"/>
  <c r="C81" i="3"/>
  <c r="D81" i="3"/>
  <c r="E81" i="3"/>
  <c r="B82" i="3"/>
  <c r="C82" i="3"/>
  <c r="D82" i="3"/>
  <c r="E82" i="3"/>
  <c r="B83" i="3"/>
  <c r="C83" i="3"/>
  <c r="D83" i="3"/>
  <c r="E83" i="3"/>
  <c r="B84" i="3"/>
  <c r="C84" i="3"/>
  <c r="D84" i="3"/>
  <c r="E84" i="3"/>
  <c r="B85" i="3"/>
  <c r="C85" i="3"/>
  <c r="D85" i="3"/>
  <c r="E85" i="3"/>
  <c r="B86" i="3"/>
  <c r="C86" i="3"/>
  <c r="D86" i="3"/>
  <c r="E86" i="3"/>
  <c r="B87" i="3"/>
  <c r="C87" i="3"/>
  <c r="D87" i="3"/>
  <c r="E87" i="3"/>
  <c r="B88" i="3"/>
  <c r="C88" i="3"/>
  <c r="D88" i="3"/>
  <c r="E88" i="3"/>
  <c r="B89" i="3"/>
  <c r="C89" i="3"/>
  <c r="D89" i="3"/>
  <c r="E89" i="3"/>
  <c r="B90" i="3"/>
  <c r="C90" i="3"/>
  <c r="D90" i="3"/>
  <c r="E90" i="3"/>
  <c r="B91" i="3"/>
  <c r="C91" i="3"/>
  <c r="D91" i="3"/>
  <c r="E91" i="3"/>
  <c r="B92" i="3"/>
  <c r="C92" i="3"/>
  <c r="D92" i="3"/>
  <c r="E92" i="3"/>
  <c r="B93" i="3"/>
  <c r="C93" i="3"/>
  <c r="D93" i="3"/>
  <c r="E93" i="3"/>
  <c r="B94" i="3"/>
  <c r="C94" i="3"/>
  <c r="D94" i="3"/>
  <c r="E94" i="3"/>
  <c r="B95" i="3"/>
  <c r="C95" i="3"/>
  <c r="D95" i="3"/>
  <c r="E95" i="3"/>
  <c r="B96" i="3"/>
  <c r="C96" i="3"/>
  <c r="D96" i="3"/>
  <c r="E96" i="3"/>
  <c r="B97" i="3"/>
  <c r="C97" i="3"/>
  <c r="D97" i="3"/>
  <c r="E97" i="3"/>
  <c r="B98" i="3"/>
  <c r="C98" i="3"/>
  <c r="D98" i="3"/>
  <c r="E98" i="3"/>
  <c r="B99" i="3"/>
  <c r="C99" i="3"/>
  <c r="D99" i="3"/>
  <c r="E99" i="3"/>
  <c r="B100" i="3"/>
  <c r="C100" i="3"/>
  <c r="D100" i="3"/>
  <c r="E100" i="3"/>
  <c r="B101" i="3"/>
  <c r="C101" i="3"/>
  <c r="D101" i="3"/>
  <c r="E101" i="3"/>
  <c r="B102" i="3"/>
  <c r="C102" i="3"/>
  <c r="D102" i="3"/>
  <c r="E102" i="3"/>
  <c r="B103" i="3"/>
  <c r="C103" i="3"/>
  <c r="D103" i="3"/>
  <c r="E103" i="3"/>
  <c r="B104" i="3"/>
  <c r="C104" i="3"/>
  <c r="D104" i="3"/>
  <c r="E104" i="3"/>
  <c r="B105" i="3"/>
  <c r="C105" i="3"/>
  <c r="D105" i="3"/>
  <c r="E105" i="3"/>
  <c r="B106" i="3"/>
  <c r="C106" i="3"/>
  <c r="D106" i="3"/>
  <c r="E106" i="3"/>
  <c r="B107" i="3"/>
  <c r="C107" i="3"/>
  <c r="D107" i="3"/>
  <c r="E107" i="3"/>
  <c r="B108" i="3"/>
  <c r="C108" i="3"/>
  <c r="D108" i="3"/>
  <c r="E108" i="3"/>
  <c r="B109" i="3"/>
  <c r="C109" i="3"/>
  <c r="D109" i="3"/>
  <c r="E109" i="3"/>
  <c r="B110" i="3"/>
  <c r="C110" i="3"/>
  <c r="D110" i="3"/>
  <c r="E110" i="3"/>
  <c r="B111" i="3"/>
  <c r="C111" i="3"/>
  <c r="D111" i="3"/>
  <c r="E111" i="3"/>
</calcChain>
</file>

<file path=xl/sharedStrings.xml><?xml version="1.0" encoding="utf-8"?>
<sst xmlns="http://schemas.openxmlformats.org/spreadsheetml/2006/main" count="76" uniqueCount="54">
  <si>
    <t>Z</t>
  </si>
  <si>
    <t>O(rk4.gr.)</t>
  </si>
  <si>
    <t>O'' (rad/s2)</t>
  </si>
  <si>
    <t>O'(rad/s)</t>
  </si>
  <si>
    <t>O(num.rad)</t>
  </si>
  <si>
    <t>O(num.gr.)</t>
  </si>
  <si>
    <t>O(an.rad)</t>
  </si>
  <si>
    <t>O(an.gr.)</t>
  </si>
  <si>
    <t>t</t>
  </si>
  <si>
    <t>RK4</t>
  </si>
  <si>
    <t>Euler</t>
  </si>
  <si>
    <t>Analítico</t>
  </si>
  <si>
    <t>Z'(t) = f(t,O) = -g/l*sin(O)</t>
  </si>
  <si>
    <t>O'(t) = g(t,O) = Z(t)</t>
  </si>
  <si>
    <t>O''(t) = -g/l*sin(O)</t>
  </si>
  <si>
    <t>rad/s</t>
  </si>
  <si>
    <t>m</t>
  </si>
  <si>
    <t>l=</t>
  </si>
  <si>
    <t>graus</t>
  </si>
  <si>
    <t>m/s2</t>
  </si>
  <si>
    <t>g=</t>
  </si>
  <si>
    <t>h=</t>
  </si>
  <si>
    <t>m/s</t>
  </si>
  <si>
    <t>z(0)=</t>
  </si>
  <si>
    <t>theta(0)=</t>
  </si>
  <si>
    <t>z</t>
  </si>
  <si>
    <t>theta</t>
  </si>
  <si>
    <t>z' = -g/l*sin(theta)</t>
  </si>
  <si>
    <t>l</t>
  </si>
  <si>
    <t>g</t>
  </si>
  <si>
    <t>h</t>
  </si>
  <si>
    <t>theta' = z</t>
  </si>
  <si>
    <t>z'</t>
  </si>
  <si>
    <t>theta'</t>
  </si>
  <si>
    <t>Inicia ?</t>
  </si>
  <si>
    <t>O(analít.)</t>
  </si>
  <si>
    <t>k4</t>
  </si>
  <si>
    <t>k3</t>
  </si>
  <si>
    <t>k2</t>
  </si>
  <si>
    <t>k1</t>
  </si>
  <si>
    <t>l4</t>
  </si>
  <si>
    <t>l3</t>
  </si>
  <si>
    <t>l2</t>
  </si>
  <si>
    <t>l1</t>
  </si>
  <si>
    <t>s</t>
  </si>
  <si>
    <t>Método Numérico</t>
  </si>
  <si>
    <t>Pêndulo Não-Linear - Comparação Euler x Solução Analítica</t>
  </si>
  <si>
    <t>O(rk4.rad)</t>
  </si>
  <si>
    <t>z(0) m/s</t>
  </si>
  <si>
    <t>th.(0) graus</t>
  </si>
  <si>
    <t>theta(Analítico)</t>
  </si>
  <si>
    <t>Resolução por Dif.Finitas</t>
  </si>
  <si>
    <t>Pêndulo Não-Linear - Comparação RK4 x Solução Analítica</t>
  </si>
  <si>
    <t>Resolução por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</si>
</sst>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6" formatCode="0.0000"/>
    <numFmt numFmtId="167" formatCode="0.0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3" fillId="0" borderId="0" applyFont="0" applyFill="0" applyBorder="0" applyAlignment="0" applyProtection="0"/>
  </cellStyleXfs>
  <cellXfs count="52">
    <xf numFmtId="0" fontId="0" fillId="0" borderId="0" xfId="0"/>
    <xf numFmtId="2" fontId="0" fillId="0" borderId="0" xfId="0" applyNumberFormat="1"/>
    <xf numFmtId="2" fontId="0" fillId="0" borderId="0" xfId="0" applyNumberFormat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2" fontId="0" fillId="0" borderId="6" xfId="0" applyNumberFormat="1" applyBorder="1"/>
    <xf numFmtId="166" fontId="0" fillId="0" borderId="0" xfId="0" applyNumberFormat="1"/>
    <xf numFmtId="2" fontId="0" fillId="2" borderId="0" xfId="0" applyNumberFormat="1" applyFill="1"/>
    <xf numFmtId="0" fontId="4" fillId="0" borderId="0" xfId="0" applyFont="1" applyBorder="1"/>
    <xf numFmtId="0" fontId="0" fillId="2" borderId="0" xfId="0" applyFill="1"/>
    <xf numFmtId="0" fontId="0" fillId="2" borderId="0" xfId="0" applyFill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right"/>
    </xf>
    <xf numFmtId="2" fontId="0" fillId="2" borderId="7" xfId="0" applyNumberFormat="1" applyFill="1" applyBorder="1"/>
    <xf numFmtId="2" fontId="0" fillId="2" borderId="8" xfId="0" applyNumberFormat="1" applyFill="1" applyBorder="1"/>
    <xf numFmtId="2" fontId="0" fillId="0" borderId="9" xfId="0" applyNumberFormat="1" applyBorder="1"/>
    <xf numFmtId="2" fontId="0" fillId="0" borderId="8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167" fontId="0" fillId="2" borderId="0" xfId="0" applyNumberFormat="1" applyFill="1" applyAlignment="1">
      <alignment horizontal="left"/>
    </xf>
    <xf numFmtId="0" fontId="4" fillId="0" borderId="0" xfId="0" applyFont="1" applyAlignment="1">
      <alignment horizontal="center"/>
    </xf>
    <xf numFmtId="2" fontId="0" fillId="0" borderId="12" xfId="0" applyNumberFormat="1" applyBorder="1"/>
    <xf numFmtId="2" fontId="0" fillId="0" borderId="13" xfId="0" applyNumberFormat="1" applyFill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2" xfId="0" applyNumberFormat="1" applyFill="1" applyBorder="1"/>
    <xf numFmtId="2" fontId="0" fillId="0" borderId="15" xfId="0" applyNumberFormat="1" applyFill="1" applyBorder="1"/>
    <xf numFmtId="2" fontId="0" fillId="0" borderId="7" xfId="0" applyNumberFormat="1" applyBorder="1"/>
    <xf numFmtId="2" fontId="0" fillId="2" borderId="7" xfId="0" applyNumberFormat="1" applyFill="1" applyBorder="1" applyAlignment="1">
      <alignment horizontal="right"/>
    </xf>
    <xf numFmtId="2" fontId="0" fillId="0" borderId="16" xfId="0" applyNumberFormat="1" applyBorder="1"/>
    <xf numFmtId="0" fontId="0" fillId="2" borderId="7" xfId="0" applyFill="1" applyBorder="1"/>
    <xf numFmtId="2" fontId="0" fillId="0" borderId="17" xfId="0" applyNumberFormat="1" applyFill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4" fillId="0" borderId="21" xfId="0" applyFont="1" applyBorder="1"/>
    <xf numFmtId="0" fontId="4" fillId="0" borderId="22" xfId="0" applyFont="1" applyBorder="1"/>
    <xf numFmtId="0" fontId="4" fillId="0" borderId="23" xfId="0" applyFont="1" applyBorder="1"/>
    <xf numFmtId="2" fontId="0" fillId="0" borderId="24" xfId="0" applyNumberFormat="1" applyBorder="1"/>
    <xf numFmtId="2" fontId="0" fillId="0" borderId="25" xfId="0" applyNumberFormat="1" applyBorder="1"/>
    <xf numFmtId="2" fontId="4" fillId="0" borderId="21" xfId="0" applyNumberFormat="1" applyFont="1" applyBorder="1"/>
    <xf numFmtId="2" fontId="4" fillId="0" borderId="22" xfId="0" applyNumberFormat="1" applyFont="1" applyBorder="1"/>
    <xf numFmtId="2" fontId="4" fillId="0" borderId="12" xfId="0" applyNumberFormat="1" applyFont="1" applyBorder="1"/>
  </cellXfs>
  <cellStyles count="3">
    <cellStyle name="Normal" xfId="0" builtinId="0"/>
    <cellStyle name="Normal 2" xfId="1"/>
    <cellStyle name="Separador de milhares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chartsheet" Target="chartsheets/sheet3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41666666666671"/>
          <c:y val="4.2682926829268372E-2"/>
          <c:w val="0.5520833333333337"/>
          <c:h val="0.91158536585365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'edo - pêndulo - an.eul'!$B$8</c:f>
              <c:strCache>
                <c:ptCount val="1"/>
                <c:pt idx="0">
                  <c:v>O(an.gr.)</c:v>
                </c:pt>
              </c:strCache>
            </c:strRef>
          </c:tx>
          <c:marker>
            <c:symbol val="none"/>
          </c:marker>
          <c:xVal>
            <c:numRef>
              <c:f>'edo - pêndulo - an.eul'!$A$9:$A$359</c:f>
              <c:numCache>
                <c:formatCode>0.00</c:formatCode>
                <c:ptCount val="3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</c:numCache>
            </c:numRef>
          </c:xVal>
          <c:yVal>
            <c:numRef>
              <c:f>'edo - pêndulo - an.eul'!$B$9:$B$359</c:f>
              <c:numCache>
                <c:formatCode>0.00</c:formatCode>
                <c:ptCount val="351"/>
                <c:pt idx="0">
                  <c:v>10</c:v>
                </c:pt>
                <c:pt idx="1">
                  <c:v>9.9975501000400318</c:v>
                </c:pt>
                <c:pt idx="2">
                  <c:v>9.9902016005620933</c:v>
                </c:pt>
                <c:pt idx="3">
                  <c:v>9.9779581021838979</c:v>
                </c:pt>
                <c:pt idx="4">
                  <c:v>9.9608256039746834</c:v>
                </c:pt>
                <c:pt idx="5">
                  <c:v>9.9388125005157839</c:v>
                </c:pt>
                <c:pt idx="6">
                  <c:v>9.9119295777874576</c:v>
                </c:pt>
                <c:pt idx="7">
                  <c:v>9.8801900078839662</c:v>
                </c:pt>
                <c:pt idx="8">
                  <c:v>9.8436093425595192</c:v>
                </c:pt>
                <c:pt idx="9">
                  <c:v>9.8022055056082191</c:v>
                </c:pt>
                <c:pt idx="10">
                  <c:v>9.7559987840817612</c:v>
                </c:pt>
                <c:pt idx="11">
                  <c:v>9.7050118183491918</c:v>
                </c:pt>
                <c:pt idx="12">
                  <c:v>9.64926959100357</c:v>
                </c:pt>
                <c:pt idx="13">
                  <c:v>9.5887994146210058</c:v>
                </c:pt>
                <c:pt idx="14">
                  <c:v>9.523630918378041</c:v>
                </c:pt>
                <c:pt idx="15">
                  <c:v>9.453796033533937</c:v>
                </c:pt>
                <c:pt idx="16">
                  <c:v>9.3793289777850148</c:v>
                </c:pt>
                <c:pt idx="17">
                  <c:v>9.3002662384986543</c:v>
                </c:pt>
                <c:pt idx="18">
                  <c:v>9.2166465548352168</c:v>
                </c:pt>
                <c:pt idx="19">
                  <c:v>9.1285108987666348</c:v>
                </c:pt>
                <c:pt idx="20">
                  <c:v>9.0359024550009632</c:v>
                </c:pt>
                <c:pt idx="21">
                  <c:v>8.9388665998227363</c:v>
                </c:pt>
                <c:pt idx="22">
                  <c:v>8.8374508788594976</c:v>
                </c:pt>
                <c:pt idx="23">
                  <c:v>8.7317049837853915</c:v>
                </c:pt>
                <c:pt idx="24">
                  <c:v>8.6216807279732421</c:v>
                </c:pt>
                <c:pt idx="25">
                  <c:v>8.5074320211070287</c:v>
                </c:pt>
                <c:pt idx="26">
                  <c:v>8.3890148427672298</c:v>
                </c:pt>
                <c:pt idx="27">
                  <c:v>8.2664872150019395</c:v>
                </c:pt>
                <c:pt idx="28">
                  <c:v>8.1399091738972249</c:v>
                </c:pt>
                <c:pt idx="29">
                  <c:v>8.0093427401606601</c:v>
                </c:pt>
                <c:pt idx="30">
                  <c:v>7.8748518887323975</c:v>
                </c:pt>
                <c:pt idx="31">
                  <c:v>7.7365025174387432</c:v>
                </c:pt>
                <c:pt idx="32">
                  <c:v>7.5943624147035376</c:v>
                </c:pt>
                <c:pt idx="33">
                  <c:v>7.44850122633318</c:v>
                </c:pt>
                <c:pt idx="34">
                  <c:v>7.2989904213915802</c:v>
                </c:pt>
                <c:pt idx="35">
                  <c:v>7.1459032571817449</c:v>
                </c:pt>
                <c:pt idx="36">
                  <c:v>6.9893147433511729</c:v>
                </c:pt>
                <c:pt idx="37">
                  <c:v>6.8293016051386122</c:v>
                </c:pt>
                <c:pt idx="38">
                  <c:v>6.6659422457802453</c:v>
                </c:pt>
                <c:pt idx="39">
                  <c:v>6.4993167080936614</c:v>
                </c:pt>
                <c:pt idx="40">
                  <c:v>6.3295066352584826</c:v>
                </c:pt>
                <c:pt idx="41">
                  <c:v>6.1565952308128367</c:v>
                </c:pt>
                <c:pt idx="42">
                  <c:v>5.9806672178852915</c:v>
                </c:pt>
                <c:pt idx="43">
                  <c:v>5.8018087976822112</c:v>
                </c:pt>
                <c:pt idx="44">
                  <c:v>5.6201076072508949</c:v>
                </c:pt>
                <c:pt idx="45">
                  <c:v>5.4356526765391751</c:v>
                </c:pt>
                <c:pt idx="46">
                  <c:v>5.2485343847725252</c:v>
                </c:pt>
                <c:pt idx="47">
                  <c:v>5.0588444161700465</c:v>
                </c:pt>
                <c:pt idx="48">
                  <c:v>4.866675715021036</c:v>
                </c:pt>
                <c:pt idx="49">
                  <c:v>4.6721224401441468</c:v>
                </c:pt>
                <c:pt idx="50">
                  <c:v>4.4752799187514434</c:v>
                </c:pt>
                <c:pt idx="51">
                  <c:v>4.2762445997399796</c:v>
                </c:pt>
                <c:pt idx="52">
                  <c:v>4.0751140064337754</c:v>
                </c:pt>
                <c:pt idx="53">
                  <c:v>3.8719866887993244</c:v>
                </c:pt>
                <c:pt idx="54">
                  <c:v>3.6669621751580967</c:v>
                </c:pt>
                <c:pt idx="55">
                  <c:v>3.4601409234196461</c:v>
                </c:pt>
                <c:pt idx="56">
                  <c:v>3.2516242718592401</c:v>
                </c:pt>
                <c:pt idx="57">
                  <c:v>3.0415143894641457</c:v>
                </c:pt>
                <c:pt idx="58">
                  <c:v>2.8299142258728502</c:v>
                </c:pt>
                <c:pt idx="59">
                  <c:v>2.6169274609318203</c:v>
                </c:pt>
                <c:pt idx="60">
                  <c:v>2.4026584538944373</c:v>
                </c:pt>
                <c:pt idx="61">
                  <c:v>2.1872121922870504</c:v>
                </c:pt>
                <c:pt idx="62">
                  <c:v>1.9706942404672008</c:v>
                </c:pt>
                <c:pt idx="63">
                  <c:v>1.7532106878991824</c:v>
                </c:pt>
                <c:pt idx="64">
                  <c:v>1.5348680971723474</c:v>
                </c:pt>
                <c:pt idx="65">
                  <c:v>1.3157734517875466</c:v>
                </c:pt>
                <c:pt idx="66">
                  <c:v>1.0960341037373733</c:v>
                </c:pt>
                <c:pt idx="67">
                  <c:v>0.8757577209058286</c:v>
                </c:pt>
                <c:pt idx="68">
                  <c:v>0.65505223431320414</c:v>
                </c:pt>
                <c:pt idx="69">
                  <c:v>0.43402578523205765</c:v>
                </c:pt>
                <c:pt idx="70">
                  <c:v>0.21278667220013606</c:v>
                </c:pt>
                <c:pt idx="71">
                  <c:v>-8.5567020437265114E-3</c:v>
                </c:pt>
                <c:pt idx="72">
                  <c:v>-0.22989588367478794</c:v>
                </c:pt>
                <c:pt idx="73">
                  <c:v>-0.45112242092260924</c:v>
                </c:pt>
                <c:pt idx="74">
                  <c:v>-0.67212791721023679</c:v>
                </c:pt>
                <c:pt idx="75">
                  <c:v>-0.89280408426637303</c:v>
                </c:pt>
                <c:pt idx="76">
                  <c:v>-1.1130427951844488</c:v>
                </c:pt>
                <c:pt idx="77">
                  <c:v>-1.3327361374026496</c:v>
                </c:pt>
                <c:pt idx="78">
                  <c:v>-1.5517764655789188</c:v>
                </c:pt>
                <c:pt idx="79">
                  <c:v>-1.7700564543350055</c:v>
                </c:pt>
                <c:pt idx="80">
                  <c:v>-1.9874691508437712</c:v>
                </c:pt>
                <c:pt idx="81">
                  <c:v>-2.2039080272339171</c:v>
                </c:pt>
                <c:pt idx="82">
                  <c:v>-2.4192670327865273</c:v>
                </c:pt>
                <c:pt idx="83">
                  <c:v>-2.6334406458977822</c:v>
                </c:pt>
                <c:pt idx="84">
                  <c:v>-2.8463239257824426</c:v>
                </c:pt>
                <c:pt idx="85">
                  <c:v>-3.0578125638927398</c:v>
                </c:pt>
                <c:pt idx="86">
                  <c:v>-3.2678029350274618</c:v>
                </c:pt>
                <c:pt idx="87">
                  <c:v>-3.4761921481062434</c:v>
                </c:pt>
                <c:pt idx="88">
                  <c:v>-3.6828780965841288</c:v>
                </c:pt>
                <c:pt idx="89">
                  <c:v>-3.8877595084817349</c:v>
                </c:pt>
                <c:pt idx="90">
                  <c:v>-4.0907359960065053</c:v>
                </c:pt>
                <c:pt idx="91">
                  <c:v>-4.291708104740704</c:v>
                </c:pt>
                <c:pt idx="92">
                  <c:v>-4.4905773623721021</c:v>
                </c:pt>
                <c:pt idx="93">
                  <c:v>-4.6872463269434386</c:v>
                </c:pt>
                <c:pt idx="94">
                  <c:v>-4.8816186345970323</c:v>
                </c:pt>
                <c:pt idx="95">
                  <c:v>-5.0735990467911272</c:v>
                </c:pt>
                <c:pt idx="96">
                  <c:v>-5.2630934969648981</c:v>
                </c:pt>
                <c:pt idx="97">
                  <c:v>-5.4500091366291636</c:v>
                </c:pt>
                <c:pt idx="98">
                  <c:v>-5.6342543808603045</c:v>
                </c:pt>
                <c:pt idx="99">
                  <c:v>-5.8157389531750168</c:v>
                </c:pt>
                <c:pt idx="100">
                  <c:v>-5.9943739297640173</c:v>
                </c:pt>
                <c:pt idx="101">
                  <c:v>-6.1700717830629106</c:v>
                </c:pt>
                <c:pt idx="102">
                  <c:v>-6.3427464246389356</c:v>
                </c:pt>
                <c:pt idx="103">
                  <c:v>-6.5123132473725986</c:v>
                </c:pt>
                <c:pt idx="104">
                  <c:v>-6.6786891669134549</c:v>
                </c:pt>
                <c:pt idx="105">
                  <c:v>-6.8417926623897856</c:v>
                </c:pt>
                <c:pt idx="106">
                  <c:v>-7.0015438163521715</c:v>
                </c:pt>
                <c:pt idx="107">
                  <c:v>-7.1578643539314815</c:v>
                </c:pt>
                <c:pt idx="108">
                  <c:v>-7.3106776811919625</c:v>
                </c:pt>
                <c:pt idx="109">
                  <c:v>-7.4599089226607447</c:v>
                </c:pt>
                <c:pt idx="110">
                  <c:v>-7.6054849580153308</c:v>
                </c:pt>
                <c:pt idx="111">
                  <c:v>-7.7473344579110837</c:v>
                </c:pt>
                <c:pt idx="112">
                  <c:v>-7.8853879189311762</c:v>
                </c:pt>
                <c:pt idx="113">
                  <c:v>-8.0195776976418838</c:v>
                </c:pt>
                <c:pt idx="114">
                  <c:v>-8.1498380437365103</c:v>
                </c:pt>
                <c:pt idx="115">
                  <c:v>-8.2761051322517236</c:v>
                </c:pt>
                <c:pt idx="116">
                  <c:v>-8.398317094840495</c:v>
                </c:pt>
                <c:pt idx="117">
                  <c:v>-8.5164140500863788</c:v>
                </c:pt>
                <c:pt idx="118">
                  <c:v>-8.630338132844189</c:v>
                </c:pt>
                <c:pt idx="119">
                  <c:v>-8.7400335225927659</c:v>
                </c:pt>
                <c:pt idx="120">
                  <c:v>-8.8454464707859213</c:v>
                </c:pt>
                <c:pt idx="121">
                  <c:v>-8.9465253271881426</c:v>
                </c:pt>
                <c:pt idx="122">
                  <c:v>-9.0432205651821782</c:v>
                </c:pt>
                <c:pt idx="123">
                  <c:v>-9.1354848060360876</c:v>
                </c:pt>
                <c:pt idx="124">
                  <c:v>-9.2232728421178809</c:v>
                </c:pt>
                <c:pt idx="125">
                  <c:v>-9.3065416590463439</c:v>
                </c:pt>
                <c:pt idx="126">
                  <c:v>-9.3852504567672153</c:v>
                </c:pt>
                <c:pt idx="127">
                  <c:v>-9.4593606695444254</c:v>
                </c:pt>
                <c:pt idx="128">
                  <c:v>-9.5288359848565101</c:v>
                </c:pt>
                <c:pt idx="129">
                  <c:v>-9.593642361189028</c:v>
                </c:pt>
                <c:pt idx="130">
                  <c:v>-9.6537480447142165</c:v>
                </c:pt>
                <c:pt idx="131">
                  <c:v>-9.7091235848497544</c:v>
                </c:pt>
                <c:pt idx="132">
                  <c:v>-9.7597418486889236</c:v>
                </c:pt>
                <c:pt idx="133">
                  <c:v>-9.8055780342952126</c:v>
                </c:pt>
                <c:pt idx="134">
                  <c:v>-9.8466096828547673</c:v>
                </c:pt>
                <c:pt idx="135">
                  <c:v>-9.8828166896807534</c:v>
                </c:pt>
                <c:pt idx="136">
                  <c:v>-9.9141813140642565</c:v>
                </c:pt>
                <c:pt idx="137">
                  <c:v>-9.940688187966872</c:v>
                </c:pt>
                <c:pt idx="138">
                  <c:v>-9.9623243235507388</c:v>
                </c:pt>
                <c:pt idx="139">
                  <c:v>-9.9790791195423161</c:v>
                </c:pt>
                <c:pt idx="140">
                  <c:v>-9.990944366426799</c:v>
                </c:pt>
                <c:pt idx="141">
                  <c:v>-9.9979142504706111</c:v>
                </c:pt>
                <c:pt idx="142">
                  <c:v>-9.9999853565700274</c:v>
                </c:pt>
                <c:pt idx="143">
                  <c:v>-9.9971566699244967</c:v>
                </c:pt>
                <c:pt idx="144">
                  <c:v>-9.9894295765338761</c:v>
                </c:pt>
                <c:pt idx="145">
                  <c:v>-9.9768078625193279</c:v>
                </c:pt>
                <c:pt idx="146">
                  <c:v>-9.9592977122681852</c:v>
                </c:pt>
                <c:pt idx="147">
                  <c:v>-9.9369077054037227</c:v>
                </c:pt>
                <c:pt idx="148">
                  <c:v>-9.9096488125813256</c:v>
                </c:pt>
                <c:pt idx="149">
                  <c:v>-9.8775343901130821</c:v>
                </c:pt>
                <c:pt idx="150">
                  <c:v>-9.8405801734234561</c:v>
                </c:pt>
                <c:pt idx="151">
                  <c:v>-9.7988042693392448</c:v>
                </c:pt>
                <c:pt idx="152">
                  <c:v>-9.7522271472175959</c:v>
                </c:pt>
                <c:pt idx="153">
                  <c:v>-9.7008716289164365</c:v>
                </c:pt>
                <c:pt idx="154">
                  <c:v>-9.6447628776122123</c:v>
                </c:pt>
                <c:pt idx="155">
                  <c:v>-9.5839283854704327</c:v>
                </c:pt>
                <c:pt idx="156">
                  <c:v>-9.5183979601750774</c:v>
                </c:pt>
                <c:pt idx="157">
                  <c:v>-9.4482037103234049</c:v>
                </c:pt>
                <c:pt idx="158">
                  <c:v>-9.3733800296933971</c:v>
                </c:pt>
                <c:pt idx="159">
                  <c:v>-9.293963580391484</c:v>
                </c:pt>
                <c:pt idx="160">
                  <c:v>-9.2099932748888662</c:v>
                </c:pt>
                <c:pt idx="161">
                  <c:v>-9.1215102569551583</c:v>
                </c:pt>
                <c:pt idx="162">
                  <c:v>-9.0285578814987772</c:v>
                </c:pt>
                <c:pt idx="163">
                  <c:v>-8.9311816933239072</c:v>
                </c:pt>
                <c:pt idx="164">
                  <c:v>-8.8294294048144533</c:v>
                </c:pt>
                <c:pt idx="165">
                  <c:v>-8.7233508725559172</c:v>
                </c:pt>
                <c:pt idx="166">
                  <c:v>-8.6129980729066915</c:v>
                </c:pt>
                <c:pt idx="167">
                  <c:v>-8.4984250765306655</c:v>
                </c:pt>
                <c:pt idx="168">
                  <c:v>-8.3796880219036822</c:v>
                </c:pt>
                <c:pt idx="169">
                  <c:v>-8.2568450878068163</c:v>
                </c:pt>
                <c:pt idx="170">
                  <c:v>-8.1299564648199407</c:v>
                </c:pt>
                <c:pt idx="171">
                  <c:v>-7.9990843258295223</c:v>
                </c:pt>
                <c:pt idx="172">
                  <c:v>-7.8642927955651762</c:v>
                </c:pt>
                <c:pt idx="173">
                  <c:v>-7.7256479191798286</c:v>
                </c:pt>
                <c:pt idx="174">
                  <c:v>-7.5832176298888969</c:v>
                </c:pt>
                <c:pt idx="175">
                  <c:v>-7.4370717156843886</c:v>
                </c:pt>
                <c:pt idx="176">
                  <c:v>-7.2872817851401699</c:v>
                </c:pt>
                <c:pt idx="177">
                  <c:v>-7.1339212323252177</c:v>
                </c:pt>
                <c:pt idx="178">
                  <c:v>-6.9770652008419685</c:v>
                </c:pt>
                <c:pt idx="179">
                  <c:v>-6.8167905470074697</c:v>
                </c:pt>
                <c:pt idx="180">
                  <c:v>-6.6531758021953298</c:v>
                </c:pt>
                <c:pt idx="181">
                  <c:v>-6.4863011343568973</c:v>
                </c:pt>
                <c:pt idx="182">
                  <c:v>-6.3162483087405903</c:v>
                </c:pt>
                <c:pt idx="183">
                  <c:v>-6.1431006478285317</c:v>
                </c:pt>
                <c:pt idx="184">
                  <c:v>-5.9669429905102351</c:v>
                </c:pt>
                <c:pt idx="185">
                  <c:v>-5.7878616505132312</c:v>
                </c:pt>
                <c:pt idx="186">
                  <c:v>-5.6059443741110409</c:v>
                </c:pt>
                <c:pt idx="187">
                  <c:v>-5.4212802971293153</c:v>
                </c:pt>
                <c:pt idx="188">
                  <c:v>-5.2339599012710005</c:v>
                </c:pt>
                <c:pt idx="189">
                  <c:v>-5.0440749697821659</c:v>
                </c:pt>
                <c:pt idx="190">
                  <c:v>-4.8517185424800324</c:v>
                </c:pt>
                <c:pt idx="191">
                  <c:v>-4.6569848701652914</c:v>
                </c:pt>
                <c:pt idx="192">
                  <c:v>-4.4599693684411532</c:v>
                </c:pt>
                <c:pt idx="193">
                  <c:v>-4.2607685709615835</c:v>
                </c:pt>
                <c:pt idx="194">
                  <c:v>-4.059480082131719</c:v>
                </c:pt>
                <c:pt idx="195">
                  <c:v>-3.8562025292837143</c:v>
                </c:pt>
                <c:pt idx="196">
                  <c:v>-3.6510355143512943</c:v>
                </c:pt>
                <c:pt idx="197">
                  <c:v>-3.4440795650667764</c:v>
                </c:pt>
                <c:pt idx="198">
                  <c:v>-3.235436085704543</c:v>
                </c:pt>
                <c:pt idx="199">
                  <c:v>-3.0252073073949481</c:v>
                </c:pt>
                <c:pt idx="200">
                  <c:v>-2.8134962380330975</c:v>
                </c:pt>
                <c:pt idx="201">
                  <c:v>-2.6004066118070615</c:v>
                </c:pt>
                <c:pt idx="202">
                  <c:v>-2.3860428383701846</c:v>
                </c:pt>
                <c:pt idx="203">
                  <c:v>-2.1705099516824751</c:v>
                </c:pt>
                <c:pt idx="204">
                  <c:v>-1.9539135585460188</c:v>
                </c:pt>
                <c:pt idx="205">
                  <c:v>-1.7363597868597902</c:v>
                </c:pt>
                <c:pt idx="206">
                  <c:v>-1.5179552336190985</c:v>
                </c:pt>
                <c:pt idx="207">
                  <c:v>-1.2988069126851913</c:v>
                </c:pt>
                <c:pt idx="208">
                  <c:v>-1.079022202350606</c:v>
                </c:pt>
                <c:pt idx="209">
                  <c:v>-0.85870879272595213</c:v>
                </c:pt>
                <c:pt idx="210">
                  <c:v>-0.63797463297391366</c:v>
                </c:pt>
                <c:pt idx="211">
                  <c:v>-0.41692787841631845</c:v>
                </c:pt>
                <c:pt idx="212">
                  <c:v>-0.19567683754019513</c:v>
                </c:pt>
                <c:pt idx="213">
                  <c:v>2.5670081071228368E-2</c:v>
                </c:pt>
                <c:pt idx="214">
                  <c:v>0.24700442185652524</c:v>
                </c:pt>
                <c:pt idx="215">
                  <c:v>0.46821773541717848</c:v>
                </c:pt>
                <c:pt idx="216">
                  <c:v>0.68920163165558079</c:v>
                </c:pt>
                <c:pt idx="217">
                  <c:v>0.90984783288402282</c:v>
                </c:pt>
                <c:pt idx="218">
                  <c:v>1.1300482268785927</c:v>
                </c:pt>
                <c:pt idx="219">
                  <c:v>1.3496949198520047</c:v>
                </c:pt>
                <c:pt idx="220">
                  <c:v>1.5686802893193943</c:v>
                </c:pt>
                <c:pt idx="221">
                  <c:v>1.7868970368311823</c:v>
                </c:pt>
                <c:pt idx="222">
                  <c:v>2.004238240547171</c:v>
                </c:pt>
                <c:pt idx="223">
                  <c:v>2.2205974076261032</c:v>
                </c:pt>
                <c:pt idx="224">
                  <c:v>2.4358685264050348</c:v>
                </c:pt>
                <c:pt idx="225">
                  <c:v>2.6499461183428927</c:v>
                </c:pt>
                <c:pt idx="226">
                  <c:v>2.8627252897029023</c:v>
                </c:pt>
                <c:pt idx="227">
                  <c:v>3.0741017829483837</c:v>
                </c:pt>
                <c:pt idx="228">
                  <c:v>3.2839720278268691</c:v>
                </c:pt>
                <c:pt idx="229">
                  <c:v>3.4922331921174528</c:v>
                </c:pt>
                <c:pt idx="230">
                  <c:v>3.6987832320165235</c:v>
                </c:pt>
                <c:pt idx="231">
                  <c:v>3.9035209421371855</c:v>
                </c:pt>
                <c:pt idx="232">
                  <c:v>4.1063460050978735</c:v>
                </c:pt>
                <c:pt idx="233">
                  <c:v>4.3071590406758604</c:v>
                </c:pt>
                <c:pt idx="234">
                  <c:v>4.505861654501591</c:v>
                </c:pt>
                <c:pt idx="235">
                  <c:v>4.7023564862699168</c:v>
                </c:pt>
                <c:pt idx="236">
                  <c:v>4.8965472574447499</c:v>
                </c:pt>
                <c:pt idx="237">
                  <c:v>5.0883388184335852</c:v>
                </c:pt>
                <c:pt idx="238">
                  <c:v>5.2776371952089045</c:v>
                </c:pt>
                <c:pt idx="239">
                  <c:v>5.4643496353535701</c:v>
                </c:pt>
                <c:pt idx="240">
                  <c:v>5.6483846535076552</c:v>
                </c:pt>
                <c:pt idx="241">
                  <c:v>5.8296520761944421</c:v>
                </c:pt>
                <c:pt idx="242">
                  <c:v>6.0080630860036068</c:v>
                </c:pt>
                <c:pt idx="243">
                  <c:v>6.1835302651099981</c:v>
                </c:pt>
                <c:pt idx="244">
                  <c:v>6.3559676381065984</c:v>
                </c:pt>
                <c:pt idx="245">
                  <c:v>6.5252907141307759</c:v>
                </c:pt>
                <c:pt idx="246">
                  <c:v>6.6914165282630815</c:v>
                </c:pt>
                <c:pt idx="247">
                  <c:v>6.854263682178444</c:v>
                </c:pt>
                <c:pt idx="248">
                  <c:v>7.0137523840296909</c:v>
                </c:pt>
                <c:pt idx="249">
                  <c:v>7.169804487543967</c:v>
                </c:pt>
                <c:pt idx="250">
                  <c:v>7.3223435303128435</c:v>
                </c:pt>
                <c:pt idx="251">
                  <c:v>7.4712947712573641</c:v>
                </c:pt>
                <c:pt idx="252">
                  <c:v>7.616585227249681</c:v>
                </c:pt>
                <c:pt idx="253">
                  <c:v>7.7581437088733356</c:v>
                </c:pt>
                <c:pt idx="254">
                  <c:v>7.8959008553046299</c:v>
                </c:pt>
                <c:pt idx="255">
                  <c:v>8.0297891682980627</c:v>
                </c:pt>
                <c:pt idx="256">
                  <c:v>8.1597430452591091</c:v>
                </c:pt>
                <c:pt idx="257">
                  <c:v>8.2856988113881656</c:v>
                </c:pt>
                <c:pt idx="258">
                  <c:v>8.4075947508799551</c:v>
                </c:pt>
                <c:pt idx="259">
                  <c:v>8.5253711371630274</c:v>
                </c:pt>
                <c:pt idx="260">
                  <c:v>8.6389702621645696</c:v>
                </c:pt>
                <c:pt idx="261">
                  <c:v>8.7483364645862256</c:v>
                </c:pt>
                <c:pt idx="262">
                  <c:v>8.8534161571770085</c:v>
                </c:pt>
                <c:pt idx="263">
                  <c:v>8.954157852989983</c:v>
                </c:pt>
                <c:pt idx="264">
                  <c:v>9.050512190609842</c:v>
                </c:pt>
                <c:pt idx="265">
                  <c:v>9.1424319583390066</c:v>
                </c:pt>
                <c:pt idx="266">
                  <c:v>9.2298721173304301</c:v>
                </c:pt>
                <c:pt idx="267">
                  <c:v>9.3127898236556987</c:v>
                </c:pt>
                <c:pt idx="268">
                  <c:v>9.3911444492977356</c:v>
                </c:pt>
                <c:pt idx="269">
                  <c:v>9.4648976020576967</c:v>
                </c:pt>
                <c:pt idx="270">
                  <c:v>9.5340131443663836</c:v>
                </c:pt>
                <c:pt idx="271">
                  <c:v>9.5984572109909276</c:v>
                </c:pt>
                <c:pt idx="272">
                  <c:v>9.6581982256280803</c:v>
                </c:pt>
                <c:pt idx="273">
                  <c:v>9.7132069163759702</c:v>
                </c:pt>
                <c:pt idx="274">
                  <c:v>9.7634563300767425</c:v>
                </c:pt>
                <c:pt idx="275">
                  <c:v>9.8089218455230771</c:v>
                </c:pt>
                <c:pt idx="276">
                  <c:v>9.8495811855220747</c:v>
                </c:pt>
                <c:pt idx="277">
                  <c:v>9.8854144278106553</c:v>
                </c:pt>
                <c:pt idx="278">
                  <c:v>9.9164040148170436</c:v>
                </c:pt>
                <c:pt idx="279">
                  <c:v>9.9425347622636462</c:v>
                </c:pt>
                <c:pt idx="280">
                  <c:v>9.9637938666070429</c:v>
                </c:pt>
                <c:pt idx="281">
                  <c:v>9.9801709113114541</c:v>
                </c:pt>
                <c:pt idx="282">
                  <c:v>9.991657871952647</c:v>
                </c:pt>
                <c:pt idx="283">
                  <c:v>9.9982491201497403</c:v>
                </c:pt>
                <c:pt idx="284">
                  <c:v>9.9999414263229944</c:v>
                </c:pt>
                <c:pt idx="285">
                  <c:v>9.9967339612762434</c:v>
                </c:pt>
                <c:pt idx="286">
                  <c:v>9.9886282966031867</c:v>
                </c:pt>
                <c:pt idx="287">
                  <c:v>9.9756284039173337</c:v>
                </c:pt>
                <c:pt idx="288">
                  <c:v>9.9577406529059989</c:v>
                </c:pt>
                <c:pt idx="289">
                  <c:v>9.934973808209282</c:v>
                </c:pt>
                <c:pt idx="290">
                  <c:v>9.9073390251255642</c:v>
                </c:pt>
                <c:pt idx="291">
                  <c:v>9.874849844145638</c:v>
                </c:pt>
                <c:pt idx="292">
                  <c:v>9.8375221843181375</c:v>
                </c:pt>
                <c:pt idx="293">
                  <c:v>9.7953743354495355</c:v>
                </c:pt>
                <c:pt idx="294">
                  <c:v>9.7484269491424733</c:v>
                </c:pt>
                <c:pt idx="295">
                  <c:v>9.6967030286769234</c:v>
                </c:pt>
                <c:pt idx="296">
                  <c:v>9.6402279177390184</c:v>
                </c:pt>
                <c:pt idx="297">
                  <c:v>9.5790292880031664</c:v>
                </c:pt>
                <c:pt idx="298">
                  <c:v>9.5131371255734685</c:v>
                </c:pt>
                <c:pt idx="299">
                  <c:v>9.4425837162911535</c:v>
                </c:pt>
                <c:pt idx="300">
                  <c:v>9.3674036299151311</c:v>
                </c:pt>
                <c:pt idx="301">
                  <c:v>9.287633703183527</c:v>
                </c:pt>
                <c:pt idx="302">
                  <c:v>9.2033130217643979</c:v>
                </c:pt>
                <c:pt idx="303">
                  <c:v>9.1144829011045498</c:v>
                </c:pt>
                <c:pt idx="304">
                  <c:v>9.0211868661857935</c:v>
                </c:pt>
                <c:pt idx="305">
                  <c:v>8.923470630198576</c:v>
                </c:pt>
                <c:pt idx="306">
                  <c:v>8.8213820721434164</c:v>
                </c:pt>
                <c:pt idx="307">
                  <c:v>8.7149712133711805</c:v>
                </c:pt>
                <c:pt idx="308">
                  <c:v>8.6042901930735916</c:v>
                </c:pt>
                <c:pt idx="309">
                  <c:v>8.4893932427360834</c:v>
                </c:pt>
                <c:pt idx="310">
                  <c:v>8.3703366595654796</c:v>
                </c:pt>
                <c:pt idx="311">
                  <c:v>8.2471787789054378</c:v>
                </c:pt>
                <c:pt idx="312">
                  <c:v>8.1199799456533395</c:v>
                </c:pt>
                <c:pt idx="313">
                  <c:v>7.9888024846924832</c:v>
                </c:pt>
                <c:pt idx="314">
                  <c:v>7.8537106703541406</c:v>
                </c:pt>
                <c:pt idx="315">
                  <c:v>7.7147706949244181</c:v>
                </c:pt>
                <c:pt idx="316">
                  <c:v>7.5720506362113653</c:v>
                </c:pt>
                <c:pt idx="317">
                  <c:v>7.4256204241882084</c:v>
                </c:pt>
                <c:pt idx="318">
                  <c:v>7.2755518067290614</c:v>
                </c:pt>
                <c:pt idx="319">
                  <c:v>7.1219183144539038</c:v>
                </c:pt>
                <c:pt idx="320">
                  <c:v>6.9647952247000475</c:v>
                </c:pt>
                <c:pt idx="321">
                  <c:v>6.8042595246377635</c:v>
                </c:pt>
                <c:pt idx="322">
                  <c:v>6.6403898735480755</c:v>
                </c:pt>
                <c:pt idx="323">
                  <c:v>6.473266564281313</c:v>
                </c:pt>
                <c:pt idx="324">
                  <c:v>6.3029714839152122</c:v>
                </c:pt>
                <c:pt idx="325">
                  <c:v>6.1295880736318873</c:v>
                </c:pt>
                <c:pt idx="326">
                  <c:v>5.9532012878333216</c:v>
                </c:pt>
                <c:pt idx="327">
                  <c:v>5.7738975525154084</c:v>
                </c:pt>
                <c:pt idx="328">
                  <c:v>5.5917647229209404</c:v>
                </c:pt>
                <c:pt idx="329">
                  <c:v>5.4068920404923091</c:v>
                </c:pt>
                <c:pt idx="330">
                  <c:v>5.2193700891449604</c:v>
                </c:pt>
                <c:pt idx="331">
                  <c:v>5.0292907508831286</c:v>
                </c:pt>
                <c:pt idx="332">
                  <c:v>4.8367471607794457</c:v>
                </c:pt>
                <c:pt idx="333">
                  <c:v>4.6418336613406499</c:v>
                </c:pt>
                <c:pt idx="334">
                  <c:v>4.4446457562816359</c:v>
                </c:pt>
                <c:pt idx="335">
                  <c:v>4.2452800637305455</c:v>
                </c:pt>
                <c:pt idx="336">
                  <c:v>4.0438342688878182</c:v>
                </c:pt>
                <c:pt idx="337">
                  <c:v>3.8404070761623985</c:v>
                </c:pt>
                <c:pt idx="338">
                  <c:v>3.6350981608085489</c:v>
                </c:pt>
                <c:pt idx="339">
                  <c:v>3.4280081200869716</c:v>
                </c:pt>
                <c:pt idx="340">
                  <c:v>3.2192384239741605</c:v>
                </c:pt>
                <c:pt idx="341">
                  <c:v>3.0088913654441369</c:v>
                </c:pt>
                <c:pt idx="342">
                  <c:v>2.7970700103469719</c:v>
                </c:pt>
                <c:pt idx="343">
                  <c:v>2.5838781469085323</c:v>
                </c:pt>
                <c:pt idx="344">
                  <c:v>2.3694202348763591</c:v>
                </c:pt>
                <c:pt idx="345">
                  <c:v>2.1538013543364709</c:v>
                </c:pt>
                <c:pt idx="346">
                  <c:v>1.9371271542262303</c:v>
                </c:pt>
                <c:pt idx="347">
                  <c:v>1.7195038005684711</c:v>
                </c:pt>
                <c:pt idx="348">
                  <c:v>1.5010379244522771</c:v>
                </c:pt>
                <c:pt idx="349">
                  <c:v>1.281836569785878</c:v>
                </c:pt>
                <c:pt idx="350">
                  <c:v>1.0620071408472782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8D-48CE-810B-C2C9AC59B72E}"/>
            </c:ext>
          </c:extLst>
        </c:ser>
        <c:ser>
          <c:idx val="2"/>
          <c:order val="1"/>
          <c:tx>
            <c:strRef>
              <c:f>'edo - pêndulo - an.eul'!$D$8</c:f>
              <c:strCache>
                <c:ptCount val="1"/>
                <c:pt idx="0">
                  <c:v>O(num.gr.)</c:v>
                </c:pt>
              </c:strCache>
            </c:strRef>
          </c:tx>
          <c:marker>
            <c:symbol val="none"/>
          </c:marker>
          <c:xVal>
            <c:numRef>
              <c:f>'edo - pêndulo - an.eul'!$A$9:$A$359</c:f>
              <c:numCache>
                <c:formatCode>0.00</c:formatCode>
                <c:ptCount val="3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</c:numCache>
            </c:numRef>
          </c:xVal>
          <c:yVal>
            <c:numRef>
              <c:f>'edo - pêndulo - an.eul'!$D$9:$D$359</c:f>
              <c:numCache>
                <c:formatCode>0.00</c:formatCode>
                <c:ptCount val="351"/>
                <c:pt idx="0">
                  <c:v>10</c:v>
                </c:pt>
                <c:pt idx="1">
                  <c:v>10</c:v>
                </c:pt>
                <c:pt idx="2">
                  <c:v>9.9951248392267775</c:v>
                </c:pt>
                <c:pt idx="3">
                  <c:v>9.9853745176803343</c:v>
                </c:pt>
                <c:pt idx="4">
                  <c:v>9.9707513879154153</c:v>
                </c:pt>
                <c:pt idx="5">
                  <c:v>9.9512601551473345</c:v>
                </c:pt>
                <c:pt idx="6">
                  <c:v>9.9269078763280127</c:v>
                </c:pt>
                <c:pt idx="7">
                  <c:v>9.8977039581913377</c:v>
                </c:pt>
                <c:pt idx="8">
                  <c:v>9.8636601542669453</c:v>
                </c:pt>
                <c:pt idx="9">
                  <c:v>9.8247905608614747</c:v>
                </c:pt>
                <c:pt idx="10">
                  <c:v>9.7811116120064252</c:v>
                </c:pt>
                <c:pt idx="11">
                  <c:v>9.7326420733716805</c:v>
                </c:pt>
                <c:pt idx="12">
                  <c:v>9.6794030351438582</c:v>
                </c:pt>
                <c:pt idx="13">
                  <c:v>9.6214179038686165</c:v>
                </c:pt>
                <c:pt idx="14">
                  <c:v>9.5587123932561582</c:v>
                </c:pt>
                <c:pt idx="15">
                  <c:v>9.4913145139492379</c:v>
                </c:pt>
                <c:pt idx="16">
                  <c:v>9.4192545622530126</c:v>
                </c:pt>
                <c:pt idx="17">
                  <c:v>9.3425651078262995</c:v>
                </c:pt>
                <c:pt idx="18">
                  <c:v>9.2612809803338152</c:v>
                </c:pt>
                <c:pt idx="19">
                  <c:v>9.1754392550592474</c:v>
                </c:pt>
                <c:pt idx="20">
                  <c:v>9.0850792374791247</c:v>
                </c:pt>
                <c:pt idx="21">
                  <c:v>8.9902424467976783</c:v>
                </c:pt>
                <c:pt idx="22">
                  <c:v>8.8909725984431844</c:v>
                </c:pt>
                <c:pt idx="23">
                  <c:v>8.7873155855264837</c:v>
                </c:pt>
                <c:pt idx="24">
                  <c:v>8.6793194592627074</c:v>
                </c:pt>
                <c:pt idx="25">
                  <c:v>8.5670344083576087</c:v>
                </c:pt>
                <c:pt idx="26">
                  <c:v>8.4505127373602171</c:v>
                </c:pt>
                <c:pt idx="27">
                  <c:v>8.3298088439839688</c:v>
                </c:pt>
                <c:pt idx="28">
                  <c:v>8.2049791953988969</c:v>
                </c:pt>
                <c:pt idx="29">
                  <c:v>8.0760823034979232</c:v>
                </c:pt>
                <c:pt idx="30">
                  <c:v>7.9431786991408284</c:v>
                </c:pt>
                <c:pt idx="31">
                  <c:v>7.8063309053799674</c:v>
                </c:pt>
                <c:pt idx="32">
                  <c:v>7.6656034096724248</c:v>
                </c:pt>
                <c:pt idx="33">
                  <c:v>7.5210626350838421</c:v>
                </c:pt>
                <c:pt idx="34">
                  <c:v>7.3727769104898577</c:v>
                </c:pt>
                <c:pt idx="35">
                  <c:v>7.220816439781709</c:v>
                </c:pt>
                <c:pt idx="36">
                  <c:v>7.0652532700832458</c:v>
                </c:pt>
                <c:pt idx="37">
                  <c:v>6.9061612589874093</c:v>
                </c:pt>
                <c:pt idx="38">
                  <c:v>6.7436160408208439</c:v>
                </c:pt>
                <c:pt idx="39">
                  <c:v>6.577694991946248</c:v>
                </c:pt>
                <c:pt idx="40">
                  <c:v>6.4084771951127397</c:v>
                </c:pt>
                <c:pt idx="41">
                  <c:v>6.236043402865441</c:v>
                </c:pt>
                <c:pt idx="42">
                  <c:v>6.060476000026279</c:v>
                </c:pt>
                <c:pt idx="43">
                  <c:v>5.8818589652588891</c:v>
                </c:pt>
                <c:pt idx="44">
                  <c:v>5.7002778317314</c:v>
                </c:pt>
                <c:pt idx="45">
                  <c:v>5.5158196468917717</c:v>
                </c:pt>
                <c:pt idx="46">
                  <c:v>5.3285729313712737</c:v>
                </c:pt>
                <c:pt idx="47">
                  <c:v>5.1386276370326209</c:v>
                </c:pt>
                <c:pt idx="48">
                  <c:v>4.9460751041802187</c:v>
                </c:pt>
                <c:pt idx="49">
                  <c:v>4.7510080179508885</c:v>
                </c:pt>
                <c:pt idx="50">
                  <c:v>4.5535203639044095</c:v>
                </c:pt>
                <c:pt idx="51">
                  <c:v>4.3537073828341395</c:v>
                </c:pt>
                <c:pt idx="52">
                  <c:v>4.1516655248189052</c:v>
                </c:pt>
                <c:pt idx="53">
                  <c:v>3.9474924025382911</c:v>
                </c:pt>
                <c:pt idx="54">
                  <c:v>3.7412867438743822</c:v>
                </c:pt>
                <c:pt idx="55">
                  <c:v>3.5331483438239064</c:v>
                </c:pt>
                <c:pt idx="56">
                  <c:v>3.3231780157456305</c:v>
                </c:pt>
                <c:pt idx="57">
                  <c:v>3.1114775419687315</c:v>
                </c:pt>
                <c:pt idx="58">
                  <c:v>2.8981496237887128</c:v>
                </c:pt>
                <c:pt idx="59">
                  <c:v>2.683297830878288</c:v>
                </c:pt>
                <c:pt idx="60">
                  <c:v>2.4670265501414268</c:v>
                </c:pt>
                <c:pt idx="61">
                  <c:v>2.2494409340395611</c:v>
                </c:pt>
                <c:pt idx="62">
                  <c:v>2.0306468484196722</c:v>
                </c:pt>
                <c:pt idx="63">
                  <c:v>1.810750819874704</c:v>
                </c:pt>
                <c:pt idx="64">
                  <c:v>1.5898599826674025</c:v>
                </c:pt>
                <c:pt idx="65">
                  <c:v>1.368082025249334</c:v>
                </c:pt>
                <c:pt idx="66">
                  <c:v>1.1455251364074075</c:v>
                </c:pt>
                <c:pt idx="67">
                  <c:v>0.92229795107078638</c:v>
                </c:pt>
                <c:pt idx="68">
                  <c:v>0.69850949581156918</c:v>
                </c:pt>
                <c:pt idx="69">
                  <c:v>0.47426913407308496</c:v>
                </c:pt>
                <c:pt idx="70">
                  <c:v>0.24968651116004098</c:v>
                </c:pt>
                <c:pt idx="71">
                  <c:v>2.4871499025128526E-2</c:v>
                </c:pt>
                <c:pt idx="72">
                  <c:v>-0.20006585911300867</c:v>
                </c:pt>
                <c:pt idx="73">
                  <c:v>-0.42501540428528545</c:v>
                </c:pt>
                <c:pt idx="74">
                  <c:v>-0.64986691738581004</c:v>
                </c:pt>
                <c:pt idx="75">
                  <c:v>-0.87451017484814275</c:v>
                </c:pt>
                <c:pt idx="76">
                  <c:v>-1.0988350043485875</c:v>
                </c:pt>
                <c:pt idx="77">
                  <c:v>-1.3227313405008962</c:v>
                </c:pt>
                <c:pt idx="78">
                  <c:v>-1.5460892805067812</c:v>
                </c:pt>
                <c:pt idx="79">
                  <c:v>-1.7687991397267078</c:v>
                </c:pt>
                <c:pt idx="80">
                  <c:v>-1.990751507135579</c:v>
                </c:pt>
                <c:pt idx="81">
                  <c:v>-2.2118373006280949</c:v>
                </c:pt>
                <c:pt idx="82">
                  <c:v>-2.4319478221388229</c:v>
                </c:pt>
                <c:pt idx="83">
                  <c:v>-2.6509748125422941</c:v>
                </c:pt>
                <c:pt idx="84">
                  <c:v>-2.868810506298801</c:v>
                </c:pt>
                <c:pt idx="85">
                  <c:v>-3.0853476858119451</c:v>
                </c:pt>
                <c:pt idx="86">
                  <c:v>-3.3004797354644428</c:v>
                </c:pt>
                <c:pt idx="87">
                  <c:v>-3.5141006952991876</c:v>
                </c:pt>
                <c:pt idx="88">
                  <c:v>-3.7261053143130871</c:v>
                </c:pt>
                <c:pt idx="89">
                  <c:v>-3.9363891033317921</c:v>
                </c:pt>
                <c:pt idx="90">
                  <c:v>-4.1448483874340489</c:v>
                </c:pt>
                <c:pt idx="91">
                  <c:v>-4.3513803578950618</c:v>
                </c:pt>
                <c:pt idx="92">
                  <c:v>-4.5558831236189592</c:v>
                </c:pt>
                <c:pt idx="93">
                  <c:v>-4.7582557620311858</c:v>
                </c:pt>
                <c:pt idx="94">
                  <c:v>-4.9583983694024019</c:v>
                </c:pt>
                <c:pt idx="95">
                  <c:v>-5.1562121105762717</c:v>
                </c:pt>
                <c:pt idx="96">
                  <c:v>-5.3515992680743487</c:v>
                </c:pt>
                <c:pt idx="97">
                  <c:v>-5.5444632905520912</c:v>
                </c:pt>
                <c:pt idx="98">
                  <c:v>-5.7347088405809128</c:v>
                </c:pt>
                <c:pt idx="99">
                  <c:v>-5.9222418417320792</c:v>
                </c:pt>
                <c:pt idx="100">
                  <c:v>-6.1069695249391147</c:v>
                </c:pt>
                <c:pt idx="101">
                  <c:v>-6.2888004741163357</c:v>
                </c:pt>
                <c:pt idx="102">
                  <c:v>-6.4676446710120112</c:v>
                </c:pt>
                <c:pt idx="103">
                  <c:v>-6.6434135392756026</c:v>
                </c:pt>
                <c:pt idx="104">
                  <c:v>-6.8160199877194501</c:v>
                </c:pt>
                <c:pt idx="105">
                  <c:v>-6.985378452756188</c:v>
                </c:pt>
                <c:pt idx="106">
                  <c:v>-7.1514049399941282</c:v>
                </c:pt>
                <c:pt idx="107">
                  <c:v>-7.3140170649737399</c:v>
                </c:pt>
                <c:pt idx="108">
                  <c:v>-7.4731340930292758</c:v>
                </c:pt>
                <c:pt idx="109">
                  <c:v>-7.6286769782605122</c:v>
                </c:pt>
                <c:pt idx="110">
                  <c:v>-7.7805684016004149</c:v>
                </c:pt>
                <c:pt idx="111">
                  <c:v>-7.9287328079654618</c:v>
                </c:pt>
                <c:pt idx="112">
                  <c:v>-8.0730964424761886</c:v>
                </c:pt>
                <c:pt idx="113">
                  <c:v>-8.2135873857363322</c:v>
                </c:pt>
                <c:pt idx="114">
                  <c:v>-8.3501355881597874</c:v>
                </c:pt>
                <c:pt idx="115">
                  <c:v>-8.482672903335386</c:v>
                </c:pt>
                <c:pt idx="116">
                  <c:v>-8.6111331204202024</c:v>
                </c:pt>
                <c:pt idx="117">
                  <c:v>-8.7354519955529266</c:v>
                </c:pt>
                <c:pt idx="118">
                  <c:v>-8.8555672822794396</c:v>
                </c:pt>
                <c:pt idx="119">
                  <c:v>-8.971418760983477</c:v>
                </c:pt>
                <c:pt idx="120">
                  <c:v>-9.082948267315853</c:v>
                </c:pt>
                <c:pt idx="121">
                  <c:v>-9.1900997196163683</c:v>
                </c:pt>
                <c:pt idx="122">
                  <c:v>-9.2928191453230635</c:v>
                </c:pt>
                <c:pt idx="123">
                  <c:v>-9.3910547063640255</c:v>
                </c:pt>
                <c:pt idx="124">
                  <c:v>-9.4847567235275019</c:v>
                </c:pt>
                <c:pt idx="125">
                  <c:v>-9.5738776998064399</c:v>
                </c:pt>
                <c:pt idx="126">
                  <c:v>-9.6583723427141575</c:v>
                </c:pt>
                <c:pt idx="127">
                  <c:v>-9.7381975855680931</c:v>
                </c:pt>
                <c:pt idx="128">
                  <c:v>-9.813312607739066</c:v>
                </c:pt>
                <c:pt idx="129">
                  <c:v>-9.8836788538637244</c:v>
                </c:pt>
                <c:pt idx="130">
                  <c:v>-9.949260052018241</c:v>
                </c:pt>
                <c:pt idx="131">
                  <c:v>-10.01002223085146</c:v>
                </c:pt>
                <c:pt idx="132">
                  <c:v>-10.065933735676067</c:v>
                </c:pt>
                <c:pt idx="133">
                  <c:v>-10.116965243516443</c:v>
                </c:pt>
                <c:pt idx="134">
                  <c:v>-10.16308977711209</c:v>
                </c:pt>
                <c:pt idx="135">
                  <c:v>-10.204282717875623</c:v>
                </c:pt>
                <c:pt idx="136">
                  <c:v>-10.240521817804499</c:v>
                </c:pt>
                <c:pt idx="137">
                  <c:v>-10.271787210345648</c:v>
                </c:pt>
                <c:pt idx="138">
                  <c:v>-10.298061420212324</c:v>
                </c:pt>
                <c:pt idx="139">
                  <c:v>-10.31932937215247</c:v>
                </c:pt>
                <c:pt idx="140">
                  <c:v>-10.335578398667975</c:v>
                </c:pt>
                <c:pt idx="141">
                  <c:v>-10.34679824668415</c:v>
                </c:pt>
                <c:pt idx="142">
                  <c:v>-10.352981083168775</c:v>
                </c:pt>
                <c:pt idx="143">
                  <c:v>-10.354121499700019</c:v>
                </c:pt>
                <c:pt idx="144">
                  <c:v>-10.350216515982542</c:v>
                </c:pt>
                <c:pt idx="145">
                  <c:v>-10.341265582310973</c:v>
                </c:pt>
                <c:pt idx="146">
                  <c:v>-10.327270580979995</c:v>
                </c:pt>
                <c:pt idx="147">
                  <c:v>-10.308235826640123</c:v>
                </c:pt>
                <c:pt idx="148">
                  <c:v>-10.284168065598266</c:v>
                </c:pt>
                <c:pt idx="149">
                  <c:v>-10.255076474062106</c:v>
                </c:pt>
                <c:pt idx="150">
                  <c:v>-10.220972655327206</c:v>
                </c:pt>
                <c:pt idx="151">
                  <c:v>-10.181870635905796</c:v>
                </c:pt>
                <c:pt idx="152">
                  <c:v>-10.137786860596124</c:v>
                </c:pt>
                <c:pt idx="153">
                  <c:v>-10.088740186491167</c:v>
                </c:pt>
                <c:pt idx="154">
                  <c:v>-10.034751875925547</c:v>
                </c:pt>
                <c:pt idx="155">
                  <c:v>-9.9758455883595172</c:v>
                </c:pt>
                <c:pt idx="156">
                  <c:v>-9.9120473711987884</c:v>
                </c:pt>
                <c:pt idx="157">
                  <c:v>-9.8433856495491181</c:v>
                </c:pt>
                <c:pt idx="158">
                  <c:v>-9.7698912149045789</c:v>
                </c:pt>
                <c:pt idx="159">
                  <c:v>-9.6915972127685102</c:v>
                </c:pt>
                <c:pt idx="160">
                  <c:v>-9.6085391292062781</c:v>
                </c:pt>
                <c:pt idx="161">
                  <c:v>-9.5207547763290918</c:v>
                </c:pt>
                <c:pt idx="162">
                  <c:v>-9.428284276708272</c:v>
                </c:pt>
                <c:pt idx="163">
                  <c:v>-9.3311700467195902</c:v>
                </c:pt>
                <c:pt idx="164">
                  <c:v>-9.2294567788175073</c:v>
                </c:pt>
                <c:pt idx="165">
                  <c:v>-9.1231914227393638</c:v>
                </c:pt>
                <c:pt idx="166">
                  <c:v>-9.0124231656399374</c:v>
                </c:pt>
                <c:pt idx="167">
                  <c:v>-8.8972034111570437</c:v>
                </c:pt>
                <c:pt idx="168">
                  <c:v>-8.7775857574092431</c:v>
                </c:pt>
                <c:pt idx="169">
                  <c:v>-8.6536259739271291</c:v>
                </c:pt>
                <c:pt idx="170">
                  <c:v>-8.525381977520091</c:v>
                </c:pt>
                <c:pt idx="171">
                  <c:v>-8.3929138070809373</c:v>
                </c:pt>
                <c:pt idx="172">
                  <c:v>-8.2562835973312332</c:v>
                </c:pt>
                <c:pt idx="173">
                  <c:v>-8.1155555515108357</c:v>
                </c:pt>
                <c:pt idx="174">
                  <c:v>-7.9707959130156043</c:v>
                </c:pt>
                <c:pt idx="175">
                  <c:v>-7.8220729359879684</c:v>
                </c:pt>
                <c:pt idx="176">
                  <c:v>-7.669456854865623</c:v>
                </c:pt>
                <c:pt idx="177">
                  <c:v>-7.5130198528943977</c:v>
                </c:pt>
                <c:pt idx="178">
                  <c:v>-7.3528360296119706</c:v>
                </c:pt>
                <c:pt idx="179">
                  <c:v>-7.1889813673099896</c:v>
                </c:pt>
                <c:pt idx="180">
                  <c:v>-7.0215336964828348</c:v>
                </c:pt>
                <c:pt idx="181">
                  <c:v>-6.8505726602721575</c:v>
                </c:pt>
                <c:pt idx="182">
                  <c:v>-6.6761796779171787</c:v>
                </c:pt>
                <c:pt idx="183">
                  <c:v>-6.4984379072215637</c:v>
                </c:pt>
                <c:pt idx="184">
                  <c:v>-6.3174322060486681</c:v>
                </c:pt>
                <c:pt idx="185">
                  <c:v>-6.1332490928578034</c:v>
                </c:pt>
                <c:pt idx="186">
                  <c:v>-5.9459767062951796</c:v>
                </c:pt>
                <c:pt idx="187">
                  <c:v>-5.7557047638541157</c:v>
                </c:pt>
                <c:pt idx="188">
                  <c:v>-5.5625245196201085</c:v>
                </c:pt>
                <c:pt idx="189">
                  <c:v>-5.3665287211173274</c:v>
                </c:pt>
                <c:pt idx="190">
                  <c:v>-5.1678115652741292</c:v>
                </c:pt>
                <c:pt idx="191">
                  <c:v>-4.9664686535261762</c:v>
                </c:pt>
                <c:pt idx="192">
                  <c:v>-4.7625969460767745</c:v>
                </c:pt>
                <c:pt idx="193">
                  <c:v>-4.5562947153350715</c:v>
                </c:pt>
                <c:pt idx="194">
                  <c:v>-4.3476614985537267</c:v>
                </c:pt>
                <c:pt idx="195">
                  <c:v>-4.1367980496887276</c:v>
                </c:pt>
                <c:pt idx="196">
                  <c:v>-3.9238062905050008</c:v>
                </c:pt>
                <c:pt idx="197">
                  <c:v>-3.7087892609524484</c:v>
                </c:pt>
                <c:pt idx="198">
                  <c:v>-3.4918510688380286</c:v>
                </c:pt>
                <c:pt idx="199">
                  <c:v>-3.2730968388204471</c:v>
                </c:pt>
                <c:pt idx="200">
                  <c:v>-3.0526326607549659</c:v>
                </c:pt>
                <c:pt idx="201">
                  <c:v>-2.8305655374167373</c:v>
                </c:pt>
                <c:pt idx="202">
                  <c:v>-2.607003331631955</c:v>
                </c:pt>
                <c:pt idx="203">
                  <c:v>-2.3820547128469727</c:v>
                </c:pt>
                <c:pt idx="204">
                  <c:v>-2.1558291031663446</c:v>
                </c:pt>
                <c:pt idx="205">
                  <c:v>-1.9284366228915326</c:v>
                </c:pt>
                <c:pt idx="206">
                  <c:v>-1.6999880355927668</c:v>
                </c:pt>
                <c:pt idx="207">
                  <c:v>-1.4705946927472342</c:v>
                </c:pt>
                <c:pt idx="208">
                  <c:v>-1.2403684779774407</c:v>
                </c:pt>
                <c:pt idx="209">
                  <c:v>-1.009421750924187</c:v>
                </c:pt>
                <c:pt idx="210">
                  <c:v>-0.7778672907891635</c:v>
                </c:pt>
                <c:pt idx="211">
                  <c:v>-0.54581823958268261</c:v>
                </c:pt>
                <c:pt idx="212">
                  <c:v>-0.3133880451125069</c:v>
                </c:pt>
                <c:pt idx="213">
                  <c:v>-8.0690403750151865E-2</c:v>
                </c:pt>
                <c:pt idx="214">
                  <c:v>0.15216079698863028</c:v>
                </c:pt>
                <c:pt idx="215">
                  <c:v>0.38505153601218028</c:v>
                </c:pt>
                <c:pt idx="216">
                  <c:v>0.61786771633284698</c:v>
                </c:pt>
                <c:pt idx="217">
                  <c:v>0.85049522282108603</c:v>
                </c:pt>
                <c:pt idx="218">
                  <c:v>1.0828199799962337</c:v>
                </c:pt>
                <c:pt idx="219">
                  <c:v>1.3147280098163912</c:v>
                </c:pt>
                <c:pt idx="220">
                  <c:v>1.5461054894298749</c:v>
                </c:pt>
                <c:pt idx="221">
                  <c:v>1.7768388088507476</c:v>
                </c:pt>
                <c:pt idx="222">
                  <c:v>2.0068146285210844</c:v>
                </c:pt>
                <c:pt idx="223">
                  <c:v>2.2359199367228135</c:v>
                </c:pt>
                <c:pt idx="224">
                  <c:v>2.4640421068022262</c:v>
                </c:pt>
                <c:pt idx="225">
                  <c:v>2.6910689541705466</c:v>
                </c:pt>
                <c:pt idx="226">
                  <c:v>2.9168887930443272</c:v>
                </c:pt>
                <c:pt idx="227">
                  <c:v>3.1413904928898537</c:v>
                </c:pt>
                <c:pt idx="228">
                  <c:v>3.3644635345362035</c:v>
                </c:pt>
                <c:pt idx="229">
                  <c:v>3.5859980659221478</c:v>
                </c:pt>
                <c:pt idx="230">
                  <c:v>3.8058849574426401</c:v>
                </c:pt>
                <c:pt idx="231">
                  <c:v>4.0240158568612818</c:v>
                </c:pt>
                <c:pt idx="232">
                  <c:v>4.2402832437558002</c:v>
                </c:pt>
                <c:pt idx="233">
                  <c:v>4.4545804834642988</c:v>
                </c:pt>
                <c:pt idx="234">
                  <c:v>4.6668018805008078</c:v>
                </c:pt>
                <c:pt idx="235">
                  <c:v>4.8768427314094129</c:v>
                </c:pt>
                <c:pt idx="236">
                  <c:v>5.0845993770271178</c:v>
                </c:pt>
                <c:pt idx="237">
                  <c:v>5.2899692541264072</c:v>
                </c:pt>
                <c:pt idx="238">
                  <c:v>5.4928509464094075</c:v>
                </c:pt>
                <c:pt idx="239">
                  <c:v>5.6931442348264154</c:v>
                </c:pt>
                <c:pt idx="240">
                  <c:v>5.8907501471925414</c:v>
                </c:pt>
                <c:pt idx="241">
                  <c:v>6.0855710070771325</c:v>
                </c:pt>
                <c:pt idx="242">
                  <c:v>6.2775104819416443</c:v>
                </c:pt>
                <c:pt idx="243">
                  <c:v>6.4664736305026045</c:v>
                </c:pt>
                <c:pt idx="244">
                  <c:v>6.6523669492972983</c:v>
                </c:pt>
                <c:pt idx="245">
                  <c:v>6.8350984184308139</c:v>
                </c:pt>
                <c:pt idx="246">
                  <c:v>7.0145775464841194</c:v>
                </c:pt>
                <c:pt idx="247">
                  <c:v>7.1907154145637824</c:v>
                </c:pt>
                <c:pt idx="248">
                  <c:v>7.3634247194750264</c:v>
                </c:pt>
                <c:pt idx="249">
                  <c:v>7.5326198160007447</c:v>
                </c:pt>
                <c:pt idx="250">
                  <c:v>7.698216758270128</c:v>
                </c:pt>
                <c:pt idx="251">
                  <c:v>7.8601333402015081</c:v>
                </c:pt>
                <c:pt idx="252">
                  <c:v>8.018289135004995</c:v>
                </c:pt>
                <c:pt idx="253">
                  <c:v>8.1726055337314154</c:v>
                </c:pt>
                <c:pt idx="254">
                  <c:v>8.3230057828549988</c:v>
                </c:pt>
                <c:pt idx="255">
                  <c:v>8.4694150208781291</c:v>
                </c:pt>
                <c:pt idx="256">
                  <c:v>8.6117603139473928</c:v>
                </c:pt>
                <c:pt idx="257">
                  <c:v>8.7499706904709385</c:v>
                </c:pt>
                <c:pt idx="258">
                  <c:v>8.8839771747280771</c:v>
                </c:pt>
                <c:pt idx="259">
                  <c:v>9.0137128194627163</c:v>
                </c:pt>
                <c:pt idx="260">
                  <c:v>9.1391127374530843</c:v>
                </c:pt>
                <c:pt idx="261">
                  <c:v>9.2601141320508447</c:v>
                </c:pt>
                <c:pt idx="262">
                  <c:v>9.3766563266834311</c:v>
                </c:pt>
                <c:pt idx="263">
                  <c:v>9.4886807933140513</c:v>
                </c:pt>
                <c:pt idx="264">
                  <c:v>9.5961311798544049</c:v>
                </c:pt>
                <c:pt idx="265">
                  <c:v>9.6989533365257969</c:v>
                </c:pt>
                <c:pt idx="266">
                  <c:v>9.7970953411647699</c:v>
                </c:pt>
                <c:pt idx="267">
                  <c:v>9.8905075234699336</c:v>
                </c:pt>
                <c:pt idx="268">
                  <c:v>9.979142488187108</c:v>
                </c:pt>
                <c:pt idx="269">
                  <c:v>10.062955137230283</c:v>
                </c:pt>
                <c:pt idx="270">
                  <c:v>10.141902690736316</c:v>
                </c:pt>
                <c:pt idx="271">
                  <c:v>10.2159447070516</c:v>
                </c:pt>
                <c:pt idx="272">
                  <c:v>10.285043101649201</c:v>
                </c:pt>
                <c:pt idx="273">
                  <c:v>10.349162164975322</c:v>
                </c:pt>
                <c:pt idx="274">
                  <c:v>10.408268579224023</c:v>
                </c:pt>
                <c:pt idx="275">
                  <c:v>10.462331434039502</c:v>
                </c:pt>
                <c:pt idx="276">
                  <c:v>10.511322241145201</c:v>
                </c:pt>
                <c:pt idx="277">
                  <c:v>10.555214947899287</c:v>
                </c:pt>
                <c:pt idx="278">
                  <c:v>10.593985949776069</c:v>
                </c:pt>
                <c:pt idx="279">
                  <c:v>10.627614101772949</c:v>
                </c:pt>
                <c:pt idx="280">
                  <c:v>10.656080728742667</c:v>
                </c:pt>
                <c:pt idx="281">
                  <c:v>10.679369634650426</c:v>
                </c:pt>
                <c:pt idx="282">
                  <c:v>10.697467110755648</c:v>
                </c:pt>
                <c:pt idx="283">
                  <c:v>10.71036194271799</c:v>
                </c:pt>
                <c:pt idx="284">
                  <c:v>10.718045416627167</c:v>
                </c:pt>
                <c:pt idx="285">
                  <c:v>10.720511323956178</c:v>
                </c:pt>
                <c:pt idx="286">
                  <c:v>10.71775596543733</c:v>
                </c:pt>
                <c:pt idx="287">
                  <c:v>10.70977815386045</c:v>
                </c:pt>
                <c:pt idx="288">
                  <c:v>10.696579215792514</c:v>
                </c:pt>
                <c:pt idx="289">
                  <c:v>10.678162992217894</c:v>
                </c:pt>
                <c:pt idx="290">
                  <c:v>10.654535838098212</c:v>
                </c:pt>
                <c:pt idx="291">
                  <c:v>10.625706620850814</c:v>
                </c:pt>
                <c:pt idx="292">
                  <c:v>10.591686717744651</c:v>
                </c:pt>
                <c:pt idx="293">
                  <c:v>10.552490012212337</c:v>
                </c:pt>
                <c:pt idx="294">
                  <c:v>10.508132889077016</c:v>
                </c:pt>
                <c:pt idx="295">
                  <c:v>10.458634228692645</c:v>
                </c:pt>
                <c:pt idx="296">
                  <c:v>10.404015399996167</c:v>
                </c:pt>
                <c:pt idx="297">
                  <c:v>10.344300252470054</c:v>
                </c:pt>
                <c:pt idx="298">
                  <c:v>10.279515107013635</c:v>
                </c:pt>
                <c:pt idx="299">
                  <c:v>10.209688745721644</c:v>
                </c:pt>
                <c:pt idx="300">
                  <c:v>10.1348524005684</c:v>
                </c:pt>
                <c:pt idx="301">
                  <c:v>10.055039740996097</c:v>
                </c:pt>
                <c:pt idx="302">
                  <c:v>9.9702868604057713</c:v>
                </c:pt>
                <c:pt idx="303">
                  <c:v>9.8806322615495148</c:v>
                </c:pt>
                <c:pt idx="304">
                  <c:v>9.7861168408227677</c:v>
                </c:pt>
                <c:pt idx="305">
                  <c:v>9.6867838714555727</c:v>
                </c:pt>
                <c:pt idx="306">
                  <c:v>9.5826789856019321</c:v>
                </c:pt>
                <c:pt idx="307">
                  <c:v>9.4738501553266072</c:v>
                </c:pt>
                <c:pt idx="308">
                  <c:v>9.3603476724890182</c:v>
                </c:pt>
                <c:pt idx="309">
                  <c:v>9.2422241275241515</c:v>
                </c:pt>
                <c:pt idx="310">
                  <c:v>9.1195343871207815</c:v>
                </c:pt>
                <c:pt idx="311">
                  <c:v>8.9923355707976924</c:v>
                </c:pt>
                <c:pt idx="312">
                  <c:v>8.860687026378999</c:v>
                </c:pt>
                <c:pt idx="313">
                  <c:v>8.7246503043701704</c:v>
                </c:pt>
                <c:pt idx="314">
                  <c:v>8.5842891312368685</c:v>
                </c:pt>
                <c:pt idx="315">
                  <c:v>8.4396693815892494</c:v>
                </c:pt>
                <c:pt idx="316">
                  <c:v>8.2908590492750118</c:v>
                </c:pt>
                <c:pt idx="317">
                  <c:v>8.1379282173850829</c:v>
                </c:pt>
                <c:pt idx="318">
                  <c:v>7.9809490271765817</c:v>
                </c:pt>
                <c:pt idx="319">
                  <c:v>7.8199956459182953</c:v>
                </c:pt>
                <c:pt idx="320">
                  <c:v>7.6551442336648474</c:v>
                </c:pt>
                <c:pt idx="321">
                  <c:v>7.4864729089663555</c:v>
                </c:pt>
                <c:pt idx="322">
                  <c:v>7.3140617135213288</c:v>
                </c:pt>
                <c:pt idx="323">
                  <c:v>7.1379925757814098</c:v>
                </c:pt>
                <c:pt idx="324">
                  <c:v>6.9583492735174142</c:v>
                </c:pt>
                <c:pt idx="325">
                  <c:v>6.775217395357136</c:v>
                </c:pt>
                <c:pt idx="326">
                  <c:v>6.5886843013062828</c:v>
                </c:pt>
                <c:pt idx="327">
                  <c:v>6.3988390822649359</c:v>
                </c:pt>
                <c:pt idx="328">
                  <c:v>6.2057725185529424</c:v>
                </c:pt>
                <c:pt idx="329">
                  <c:v>6.0095770374586603</c:v>
                </c:pt>
                <c:pt idx="330">
                  <c:v>5.8103466698265578</c:v>
                </c:pt>
                <c:pt idx="331">
                  <c:v>5.6081770057002123</c:v>
                </c:pt>
                <c:pt idx="332">
                  <c:v>5.4031651490383883</c:v>
                </c:pt>
                <c:pt idx="333">
                  <c:v>5.1954096715228832</c:v>
                </c:pt>
                <c:pt idx="334">
                  <c:v>4.985010565478011</c:v>
                </c:pt>
                <c:pt idx="335">
                  <c:v>4.772069195922656</c:v>
                </c:pt>
                <c:pt idx="336">
                  <c:v>4.5566882517769134</c:v>
                </c:pt>
                <c:pt idx="337">
                  <c:v>4.3389716962464773</c:v>
                </c:pt>
                <c:pt idx="338">
                  <c:v>4.1190247164089815</c:v>
                </c:pt>
                <c:pt idx="339">
                  <c:v>3.8969536720275948</c:v>
                </c:pt>
                <c:pt idx="340">
                  <c:v>3.6728660436182445</c:v>
                </c:pt>
                <c:pt idx="341">
                  <c:v>3.4468703797978577</c:v>
                </c:pt>
                <c:pt idx="342">
                  <c:v>3.2190762439420659</c:v>
                </c:pt>
                <c:pt idx="343">
                  <c:v>2.989594160181785</c:v>
                </c:pt>
                <c:pt idx="344">
                  <c:v>2.7585355587690787</c:v>
                </c:pt>
                <c:pt idx="345">
                  <c:v>2.5260127208436192</c:v>
                </c:pt>
                <c:pt idx="346">
                  <c:v>2.2921387226319885</c:v>
                </c:pt>
                <c:pt idx="347">
                  <c:v>2.0570273791129017</c:v>
                </c:pt>
                <c:pt idx="348">
                  <c:v>1.820793187182266</c:v>
                </c:pt>
                <c:pt idx="349">
                  <c:v>1.5835512683527611</c:v>
                </c:pt>
                <c:pt idx="350">
                  <c:v>1.3454173110233472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8D-48CE-810B-C2C9AC59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81352"/>
        <c:axId val="1"/>
      </c:scatterChart>
      <c:valAx>
        <c:axId val="42488135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4881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08333333333341"/>
          <c:y val="4.8611111111111112E-2"/>
          <c:w val="0.81666666666666654"/>
          <c:h val="0.78472222222222221"/>
        </c:manualLayout>
      </c:layout>
      <c:scatterChart>
        <c:scatterStyle val="smoothMarker"/>
        <c:varyColors val="0"/>
        <c:ser>
          <c:idx val="0"/>
          <c:order val="0"/>
          <c:tx>
            <c:v>Theta(Analítico)</c:v>
          </c:tx>
          <c:marker>
            <c:symbol val="none"/>
          </c:marker>
          <c:xVal>
            <c:numRef>
              <c:f>'edo - pêndulo - an.eul'!$A$9:$A$359</c:f>
              <c:numCache>
                <c:formatCode>0.00</c:formatCode>
                <c:ptCount val="3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</c:numCache>
            </c:numRef>
          </c:xVal>
          <c:yVal>
            <c:numRef>
              <c:f>'edo - pêndulo - an.eul'!$B$9:$B$359</c:f>
              <c:numCache>
                <c:formatCode>0.00</c:formatCode>
                <c:ptCount val="351"/>
                <c:pt idx="0">
                  <c:v>10</c:v>
                </c:pt>
                <c:pt idx="1">
                  <c:v>9.9975501000400318</c:v>
                </c:pt>
                <c:pt idx="2">
                  <c:v>9.9902016005620933</c:v>
                </c:pt>
                <c:pt idx="3">
                  <c:v>9.9779581021838979</c:v>
                </c:pt>
                <c:pt idx="4">
                  <c:v>9.9608256039746834</c:v>
                </c:pt>
                <c:pt idx="5">
                  <c:v>9.9388125005157839</c:v>
                </c:pt>
                <c:pt idx="6">
                  <c:v>9.9119295777874576</c:v>
                </c:pt>
                <c:pt idx="7">
                  <c:v>9.8801900078839662</c:v>
                </c:pt>
                <c:pt idx="8">
                  <c:v>9.8436093425595192</c:v>
                </c:pt>
                <c:pt idx="9">
                  <c:v>9.8022055056082191</c:v>
                </c:pt>
                <c:pt idx="10">
                  <c:v>9.7559987840817612</c:v>
                </c:pt>
                <c:pt idx="11">
                  <c:v>9.7050118183491918</c:v>
                </c:pt>
                <c:pt idx="12">
                  <c:v>9.64926959100357</c:v>
                </c:pt>
                <c:pt idx="13">
                  <c:v>9.5887994146210058</c:v>
                </c:pt>
                <c:pt idx="14">
                  <c:v>9.523630918378041</c:v>
                </c:pt>
                <c:pt idx="15">
                  <c:v>9.453796033533937</c:v>
                </c:pt>
                <c:pt idx="16">
                  <c:v>9.3793289777850148</c:v>
                </c:pt>
                <c:pt idx="17">
                  <c:v>9.3002662384986543</c:v>
                </c:pt>
                <c:pt idx="18">
                  <c:v>9.2166465548352168</c:v>
                </c:pt>
                <c:pt idx="19">
                  <c:v>9.1285108987666348</c:v>
                </c:pt>
                <c:pt idx="20">
                  <c:v>9.0359024550009632</c:v>
                </c:pt>
                <c:pt idx="21">
                  <c:v>8.9388665998227363</c:v>
                </c:pt>
                <c:pt idx="22">
                  <c:v>8.8374508788594976</c:v>
                </c:pt>
                <c:pt idx="23">
                  <c:v>8.7317049837853915</c:v>
                </c:pt>
                <c:pt idx="24">
                  <c:v>8.6216807279732421</c:v>
                </c:pt>
                <c:pt idx="25">
                  <c:v>8.5074320211070287</c:v>
                </c:pt>
                <c:pt idx="26">
                  <c:v>8.3890148427672298</c:v>
                </c:pt>
                <c:pt idx="27">
                  <c:v>8.2664872150019395</c:v>
                </c:pt>
                <c:pt idx="28">
                  <c:v>8.1399091738972249</c:v>
                </c:pt>
                <c:pt idx="29">
                  <c:v>8.0093427401606601</c:v>
                </c:pt>
                <c:pt idx="30">
                  <c:v>7.8748518887323975</c:v>
                </c:pt>
                <c:pt idx="31">
                  <c:v>7.7365025174387432</c:v>
                </c:pt>
                <c:pt idx="32">
                  <c:v>7.5943624147035376</c:v>
                </c:pt>
                <c:pt idx="33">
                  <c:v>7.44850122633318</c:v>
                </c:pt>
                <c:pt idx="34">
                  <c:v>7.2989904213915802</c:v>
                </c:pt>
                <c:pt idx="35">
                  <c:v>7.1459032571817449</c:v>
                </c:pt>
                <c:pt idx="36">
                  <c:v>6.9893147433511729</c:v>
                </c:pt>
                <c:pt idx="37">
                  <c:v>6.8293016051386122</c:v>
                </c:pt>
                <c:pt idx="38">
                  <c:v>6.6659422457802453</c:v>
                </c:pt>
                <c:pt idx="39">
                  <c:v>6.4993167080936614</c:v>
                </c:pt>
                <c:pt idx="40">
                  <c:v>6.3295066352584826</c:v>
                </c:pt>
                <c:pt idx="41">
                  <c:v>6.1565952308128367</c:v>
                </c:pt>
                <c:pt idx="42">
                  <c:v>5.9806672178852915</c:v>
                </c:pt>
                <c:pt idx="43">
                  <c:v>5.8018087976822112</c:v>
                </c:pt>
                <c:pt idx="44">
                  <c:v>5.6201076072508949</c:v>
                </c:pt>
                <c:pt idx="45">
                  <c:v>5.4356526765391751</c:v>
                </c:pt>
                <c:pt idx="46">
                  <c:v>5.2485343847725252</c:v>
                </c:pt>
                <c:pt idx="47">
                  <c:v>5.0588444161700465</c:v>
                </c:pt>
                <c:pt idx="48">
                  <c:v>4.866675715021036</c:v>
                </c:pt>
                <c:pt idx="49">
                  <c:v>4.6721224401441468</c:v>
                </c:pt>
                <c:pt idx="50">
                  <c:v>4.4752799187514434</c:v>
                </c:pt>
                <c:pt idx="51">
                  <c:v>4.2762445997399796</c:v>
                </c:pt>
                <c:pt idx="52">
                  <c:v>4.0751140064337754</c:v>
                </c:pt>
                <c:pt idx="53">
                  <c:v>3.8719866887993244</c:v>
                </c:pt>
                <c:pt idx="54">
                  <c:v>3.6669621751580967</c:v>
                </c:pt>
                <c:pt idx="55">
                  <c:v>3.4601409234196461</c:v>
                </c:pt>
                <c:pt idx="56">
                  <c:v>3.2516242718592401</c:v>
                </c:pt>
                <c:pt idx="57">
                  <c:v>3.0415143894641457</c:v>
                </c:pt>
                <c:pt idx="58">
                  <c:v>2.8299142258728502</c:v>
                </c:pt>
                <c:pt idx="59">
                  <c:v>2.6169274609318203</c:v>
                </c:pt>
                <c:pt idx="60">
                  <c:v>2.4026584538944373</c:v>
                </c:pt>
                <c:pt idx="61">
                  <c:v>2.1872121922870504</c:v>
                </c:pt>
                <c:pt idx="62">
                  <c:v>1.9706942404672008</c:v>
                </c:pt>
                <c:pt idx="63">
                  <c:v>1.7532106878991824</c:v>
                </c:pt>
                <c:pt idx="64">
                  <c:v>1.5348680971723474</c:v>
                </c:pt>
                <c:pt idx="65">
                  <c:v>1.3157734517875466</c:v>
                </c:pt>
                <c:pt idx="66">
                  <c:v>1.0960341037373733</c:v>
                </c:pt>
                <c:pt idx="67">
                  <c:v>0.8757577209058286</c:v>
                </c:pt>
                <c:pt idx="68">
                  <c:v>0.65505223431320414</c:v>
                </c:pt>
                <c:pt idx="69">
                  <c:v>0.43402578523205765</c:v>
                </c:pt>
                <c:pt idx="70">
                  <c:v>0.21278667220013606</c:v>
                </c:pt>
                <c:pt idx="71">
                  <c:v>-8.5567020437265114E-3</c:v>
                </c:pt>
                <c:pt idx="72">
                  <c:v>-0.22989588367478794</c:v>
                </c:pt>
                <c:pt idx="73">
                  <c:v>-0.45112242092260924</c:v>
                </c:pt>
                <c:pt idx="74">
                  <c:v>-0.67212791721023679</c:v>
                </c:pt>
                <c:pt idx="75">
                  <c:v>-0.89280408426637303</c:v>
                </c:pt>
                <c:pt idx="76">
                  <c:v>-1.1130427951844488</c:v>
                </c:pt>
                <c:pt idx="77">
                  <c:v>-1.3327361374026496</c:v>
                </c:pt>
                <c:pt idx="78">
                  <c:v>-1.5517764655789188</c:v>
                </c:pt>
                <c:pt idx="79">
                  <c:v>-1.7700564543350055</c:v>
                </c:pt>
                <c:pt idx="80">
                  <c:v>-1.9874691508437712</c:v>
                </c:pt>
                <c:pt idx="81">
                  <c:v>-2.2039080272339171</c:v>
                </c:pt>
                <c:pt idx="82">
                  <c:v>-2.4192670327865273</c:v>
                </c:pt>
                <c:pt idx="83">
                  <c:v>-2.6334406458977822</c:v>
                </c:pt>
                <c:pt idx="84">
                  <c:v>-2.8463239257824426</c:v>
                </c:pt>
                <c:pt idx="85">
                  <c:v>-3.0578125638927398</c:v>
                </c:pt>
                <c:pt idx="86">
                  <c:v>-3.2678029350274618</c:v>
                </c:pt>
                <c:pt idx="87">
                  <c:v>-3.4761921481062434</c:v>
                </c:pt>
                <c:pt idx="88">
                  <c:v>-3.6828780965841288</c:v>
                </c:pt>
                <c:pt idx="89">
                  <c:v>-3.8877595084817349</c:v>
                </c:pt>
                <c:pt idx="90">
                  <c:v>-4.0907359960065053</c:v>
                </c:pt>
                <c:pt idx="91">
                  <c:v>-4.291708104740704</c:v>
                </c:pt>
                <c:pt idx="92">
                  <c:v>-4.4905773623721021</c:v>
                </c:pt>
                <c:pt idx="93">
                  <c:v>-4.6872463269434386</c:v>
                </c:pt>
                <c:pt idx="94">
                  <c:v>-4.8816186345970323</c:v>
                </c:pt>
                <c:pt idx="95">
                  <c:v>-5.0735990467911272</c:v>
                </c:pt>
                <c:pt idx="96">
                  <c:v>-5.2630934969648981</c:v>
                </c:pt>
                <c:pt idx="97">
                  <c:v>-5.4500091366291636</c:v>
                </c:pt>
                <c:pt idx="98">
                  <c:v>-5.6342543808603045</c:v>
                </c:pt>
                <c:pt idx="99">
                  <c:v>-5.8157389531750168</c:v>
                </c:pt>
                <c:pt idx="100">
                  <c:v>-5.9943739297640173</c:v>
                </c:pt>
                <c:pt idx="101">
                  <c:v>-6.1700717830629106</c:v>
                </c:pt>
                <c:pt idx="102">
                  <c:v>-6.3427464246389356</c:v>
                </c:pt>
                <c:pt idx="103">
                  <c:v>-6.5123132473725986</c:v>
                </c:pt>
                <c:pt idx="104">
                  <c:v>-6.6786891669134549</c:v>
                </c:pt>
                <c:pt idx="105">
                  <c:v>-6.8417926623897856</c:v>
                </c:pt>
                <c:pt idx="106">
                  <c:v>-7.0015438163521715</c:v>
                </c:pt>
                <c:pt idx="107">
                  <c:v>-7.1578643539314815</c:v>
                </c:pt>
                <c:pt idx="108">
                  <c:v>-7.3106776811919625</c:v>
                </c:pt>
                <c:pt idx="109">
                  <c:v>-7.4599089226607447</c:v>
                </c:pt>
                <c:pt idx="110">
                  <c:v>-7.6054849580153308</c:v>
                </c:pt>
                <c:pt idx="111">
                  <c:v>-7.7473344579110837</c:v>
                </c:pt>
                <c:pt idx="112">
                  <c:v>-7.8853879189311762</c:v>
                </c:pt>
                <c:pt idx="113">
                  <c:v>-8.0195776976418838</c:v>
                </c:pt>
                <c:pt idx="114">
                  <c:v>-8.1498380437365103</c:v>
                </c:pt>
                <c:pt idx="115">
                  <c:v>-8.2761051322517236</c:v>
                </c:pt>
                <c:pt idx="116">
                  <c:v>-8.398317094840495</c:v>
                </c:pt>
                <c:pt idx="117">
                  <c:v>-8.5164140500863788</c:v>
                </c:pt>
                <c:pt idx="118">
                  <c:v>-8.630338132844189</c:v>
                </c:pt>
                <c:pt idx="119">
                  <c:v>-8.7400335225927659</c:v>
                </c:pt>
                <c:pt idx="120">
                  <c:v>-8.8454464707859213</c:v>
                </c:pt>
                <c:pt idx="121">
                  <c:v>-8.9465253271881426</c:v>
                </c:pt>
                <c:pt idx="122">
                  <c:v>-9.0432205651821782</c:v>
                </c:pt>
                <c:pt idx="123">
                  <c:v>-9.1354848060360876</c:v>
                </c:pt>
                <c:pt idx="124">
                  <c:v>-9.2232728421178809</c:v>
                </c:pt>
                <c:pt idx="125">
                  <c:v>-9.3065416590463439</c:v>
                </c:pt>
                <c:pt idx="126">
                  <c:v>-9.3852504567672153</c:v>
                </c:pt>
                <c:pt idx="127">
                  <c:v>-9.4593606695444254</c:v>
                </c:pt>
                <c:pt idx="128">
                  <c:v>-9.5288359848565101</c:v>
                </c:pt>
                <c:pt idx="129">
                  <c:v>-9.593642361189028</c:v>
                </c:pt>
                <c:pt idx="130">
                  <c:v>-9.6537480447142165</c:v>
                </c:pt>
                <c:pt idx="131">
                  <c:v>-9.7091235848497544</c:v>
                </c:pt>
                <c:pt idx="132">
                  <c:v>-9.7597418486889236</c:v>
                </c:pt>
                <c:pt idx="133">
                  <c:v>-9.8055780342952126</c:v>
                </c:pt>
                <c:pt idx="134">
                  <c:v>-9.8466096828547673</c:v>
                </c:pt>
                <c:pt idx="135">
                  <c:v>-9.8828166896807534</c:v>
                </c:pt>
                <c:pt idx="136">
                  <c:v>-9.9141813140642565</c:v>
                </c:pt>
                <c:pt idx="137">
                  <c:v>-9.940688187966872</c:v>
                </c:pt>
                <c:pt idx="138">
                  <c:v>-9.9623243235507388</c:v>
                </c:pt>
                <c:pt idx="139">
                  <c:v>-9.9790791195423161</c:v>
                </c:pt>
                <c:pt idx="140">
                  <c:v>-9.990944366426799</c:v>
                </c:pt>
                <c:pt idx="141">
                  <c:v>-9.9979142504706111</c:v>
                </c:pt>
                <c:pt idx="142">
                  <c:v>-9.9999853565700274</c:v>
                </c:pt>
                <c:pt idx="143">
                  <c:v>-9.9971566699244967</c:v>
                </c:pt>
                <c:pt idx="144">
                  <c:v>-9.9894295765338761</c:v>
                </c:pt>
                <c:pt idx="145">
                  <c:v>-9.9768078625193279</c:v>
                </c:pt>
                <c:pt idx="146">
                  <c:v>-9.9592977122681852</c:v>
                </c:pt>
                <c:pt idx="147">
                  <c:v>-9.9369077054037227</c:v>
                </c:pt>
                <c:pt idx="148">
                  <c:v>-9.9096488125813256</c:v>
                </c:pt>
                <c:pt idx="149">
                  <c:v>-9.8775343901130821</c:v>
                </c:pt>
                <c:pt idx="150">
                  <c:v>-9.8405801734234561</c:v>
                </c:pt>
                <c:pt idx="151">
                  <c:v>-9.7988042693392448</c:v>
                </c:pt>
                <c:pt idx="152">
                  <c:v>-9.7522271472175959</c:v>
                </c:pt>
                <c:pt idx="153">
                  <c:v>-9.7008716289164365</c:v>
                </c:pt>
                <c:pt idx="154">
                  <c:v>-9.6447628776122123</c:v>
                </c:pt>
                <c:pt idx="155">
                  <c:v>-9.5839283854704327</c:v>
                </c:pt>
                <c:pt idx="156">
                  <c:v>-9.5183979601750774</c:v>
                </c:pt>
                <c:pt idx="157">
                  <c:v>-9.4482037103234049</c:v>
                </c:pt>
                <c:pt idx="158">
                  <c:v>-9.3733800296933971</c:v>
                </c:pt>
                <c:pt idx="159">
                  <c:v>-9.293963580391484</c:v>
                </c:pt>
                <c:pt idx="160">
                  <c:v>-9.2099932748888662</c:v>
                </c:pt>
                <c:pt idx="161">
                  <c:v>-9.1215102569551583</c:v>
                </c:pt>
                <c:pt idx="162">
                  <c:v>-9.0285578814987772</c:v>
                </c:pt>
                <c:pt idx="163">
                  <c:v>-8.9311816933239072</c:v>
                </c:pt>
                <c:pt idx="164">
                  <c:v>-8.8294294048144533</c:v>
                </c:pt>
                <c:pt idx="165">
                  <c:v>-8.7233508725559172</c:v>
                </c:pt>
                <c:pt idx="166">
                  <c:v>-8.6129980729066915</c:v>
                </c:pt>
                <c:pt idx="167">
                  <c:v>-8.4984250765306655</c:v>
                </c:pt>
                <c:pt idx="168">
                  <c:v>-8.3796880219036822</c:v>
                </c:pt>
                <c:pt idx="169">
                  <c:v>-8.2568450878068163</c:v>
                </c:pt>
                <c:pt idx="170">
                  <c:v>-8.1299564648199407</c:v>
                </c:pt>
                <c:pt idx="171">
                  <c:v>-7.9990843258295223</c:v>
                </c:pt>
                <c:pt idx="172">
                  <c:v>-7.8642927955651762</c:v>
                </c:pt>
                <c:pt idx="173">
                  <c:v>-7.7256479191798286</c:v>
                </c:pt>
                <c:pt idx="174">
                  <c:v>-7.5832176298888969</c:v>
                </c:pt>
                <c:pt idx="175">
                  <c:v>-7.4370717156843886</c:v>
                </c:pt>
                <c:pt idx="176">
                  <c:v>-7.2872817851401699</c:v>
                </c:pt>
                <c:pt idx="177">
                  <c:v>-7.1339212323252177</c:v>
                </c:pt>
                <c:pt idx="178">
                  <c:v>-6.9770652008419685</c:v>
                </c:pt>
                <c:pt idx="179">
                  <c:v>-6.8167905470074697</c:v>
                </c:pt>
                <c:pt idx="180">
                  <c:v>-6.6531758021953298</c:v>
                </c:pt>
                <c:pt idx="181">
                  <c:v>-6.4863011343568973</c:v>
                </c:pt>
                <c:pt idx="182">
                  <c:v>-6.3162483087405903</c:v>
                </c:pt>
                <c:pt idx="183">
                  <c:v>-6.1431006478285317</c:v>
                </c:pt>
                <c:pt idx="184">
                  <c:v>-5.9669429905102351</c:v>
                </c:pt>
                <c:pt idx="185">
                  <c:v>-5.7878616505132312</c:v>
                </c:pt>
                <c:pt idx="186">
                  <c:v>-5.6059443741110409</c:v>
                </c:pt>
                <c:pt idx="187">
                  <c:v>-5.4212802971293153</c:v>
                </c:pt>
                <c:pt idx="188">
                  <c:v>-5.2339599012710005</c:v>
                </c:pt>
                <c:pt idx="189">
                  <c:v>-5.0440749697821659</c:v>
                </c:pt>
                <c:pt idx="190">
                  <c:v>-4.8517185424800324</c:v>
                </c:pt>
                <c:pt idx="191">
                  <c:v>-4.6569848701652914</c:v>
                </c:pt>
                <c:pt idx="192">
                  <c:v>-4.4599693684411532</c:v>
                </c:pt>
                <c:pt idx="193">
                  <c:v>-4.2607685709615835</c:v>
                </c:pt>
                <c:pt idx="194">
                  <c:v>-4.059480082131719</c:v>
                </c:pt>
                <c:pt idx="195">
                  <c:v>-3.8562025292837143</c:v>
                </c:pt>
                <c:pt idx="196">
                  <c:v>-3.6510355143512943</c:v>
                </c:pt>
                <c:pt idx="197">
                  <c:v>-3.4440795650667764</c:v>
                </c:pt>
                <c:pt idx="198">
                  <c:v>-3.235436085704543</c:v>
                </c:pt>
                <c:pt idx="199">
                  <c:v>-3.0252073073949481</c:v>
                </c:pt>
                <c:pt idx="200">
                  <c:v>-2.8134962380330975</c:v>
                </c:pt>
                <c:pt idx="201">
                  <c:v>-2.6004066118070615</c:v>
                </c:pt>
                <c:pt idx="202">
                  <c:v>-2.3860428383701846</c:v>
                </c:pt>
                <c:pt idx="203">
                  <c:v>-2.1705099516824751</c:v>
                </c:pt>
                <c:pt idx="204">
                  <c:v>-1.9539135585460188</c:v>
                </c:pt>
                <c:pt idx="205">
                  <c:v>-1.7363597868597902</c:v>
                </c:pt>
                <c:pt idx="206">
                  <c:v>-1.5179552336190985</c:v>
                </c:pt>
                <c:pt idx="207">
                  <c:v>-1.2988069126851913</c:v>
                </c:pt>
                <c:pt idx="208">
                  <c:v>-1.079022202350606</c:v>
                </c:pt>
                <c:pt idx="209">
                  <c:v>-0.85870879272595213</c:v>
                </c:pt>
                <c:pt idx="210">
                  <c:v>-0.63797463297391366</c:v>
                </c:pt>
                <c:pt idx="211">
                  <c:v>-0.41692787841631845</c:v>
                </c:pt>
                <c:pt idx="212">
                  <c:v>-0.19567683754019513</c:v>
                </c:pt>
                <c:pt idx="213">
                  <c:v>2.5670081071228368E-2</c:v>
                </c:pt>
                <c:pt idx="214">
                  <c:v>0.24700442185652524</c:v>
                </c:pt>
                <c:pt idx="215">
                  <c:v>0.46821773541717848</c:v>
                </c:pt>
                <c:pt idx="216">
                  <c:v>0.68920163165558079</c:v>
                </c:pt>
                <c:pt idx="217">
                  <c:v>0.90984783288402282</c:v>
                </c:pt>
                <c:pt idx="218">
                  <c:v>1.1300482268785927</c:v>
                </c:pt>
                <c:pt idx="219">
                  <c:v>1.3496949198520047</c:v>
                </c:pt>
                <c:pt idx="220">
                  <c:v>1.5686802893193943</c:v>
                </c:pt>
                <c:pt idx="221">
                  <c:v>1.7868970368311823</c:v>
                </c:pt>
                <c:pt idx="222">
                  <c:v>2.004238240547171</c:v>
                </c:pt>
                <c:pt idx="223">
                  <c:v>2.2205974076261032</c:v>
                </c:pt>
                <c:pt idx="224">
                  <c:v>2.4358685264050348</c:v>
                </c:pt>
                <c:pt idx="225">
                  <c:v>2.6499461183428927</c:v>
                </c:pt>
                <c:pt idx="226">
                  <c:v>2.8627252897029023</c:v>
                </c:pt>
                <c:pt idx="227">
                  <c:v>3.0741017829483837</c:v>
                </c:pt>
                <c:pt idx="228">
                  <c:v>3.2839720278268691</c:v>
                </c:pt>
                <c:pt idx="229">
                  <c:v>3.4922331921174528</c:v>
                </c:pt>
                <c:pt idx="230">
                  <c:v>3.6987832320165235</c:v>
                </c:pt>
                <c:pt idx="231">
                  <c:v>3.9035209421371855</c:v>
                </c:pt>
                <c:pt idx="232">
                  <c:v>4.1063460050978735</c:v>
                </c:pt>
                <c:pt idx="233">
                  <c:v>4.3071590406758604</c:v>
                </c:pt>
                <c:pt idx="234">
                  <c:v>4.505861654501591</c:v>
                </c:pt>
                <c:pt idx="235">
                  <c:v>4.7023564862699168</c:v>
                </c:pt>
                <c:pt idx="236">
                  <c:v>4.8965472574447499</c:v>
                </c:pt>
                <c:pt idx="237">
                  <c:v>5.0883388184335852</c:v>
                </c:pt>
                <c:pt idx="238">
                  <c:v>5.2776371952089045</c:v>
                </c:pt>
                <c:pt idx="239">
                  <c:v>5.4643496353535701</c:v>
                </c:pt>
                <c:pt idx="240">
                  <c:v>5.6483846535076552</c:v>
                </c:pt>
                <c:pt idx="241">
                  <c:v>5.8296520761944421</c:v>
                </c:pt>
                <c:pt idx="242">
                  <c:v>6.0080630860036068</c:v>
                </c:pt>
                <c:pt idx="243">
                  <c:v>6.1835302651099981</c:v>
                </c:pt>
                <c:pt idx="244">
                  <c:v>6.3559676381065984</c:v>
                </c:pt>
                <c:pt idx="245">
                  <c:v>6.5252907141307759</c:v>
                </c:pt>
                <c:pt idx="246">
                  <c:v>6.6914165282630815</c:v>
                </c:pt>
                <c:pt idx="247">
                  <c:v>6.854263682178444</c:v>
                </c:pt>
                <c:pt idx="248">
                  <c:v>7.0137523840296909</c:v>
                </c:pt>
                <c:pt idx="249">
                  <c:v>7.169804487543967</c:v>
                </c:pt>
                <c:pt idx="250">
                  <c:v>7.3223435303128435</c:v>
                </c:pt>
                <c:pt idx="251">
                  <c:v>7.4712947712573641</c:v>
                </c:pt>
                <c:pt idx="252">
                  <c:v>7.616585227249681</c:v>
                </c:pt>
                <c:pt idx="253">
                  <c:v>7.7581437088733356</c:v>
                </c:pt>
                <c:pt idx="254">
                  <c:v>7.8959008553046299</c:v>
                </c:pt>
                <c:pt idx="255">
                  <c:v>8.0297891682980627</c:v>
                </c:pt>
                <c:pt idx="256">
                  <c:v>8.1597430452591091</c:v>
                </c:pt>
                <c:pt idx="257">
                  <c:v>8.2856988113881656</c:v>
                </c:pt>
                <c:pt idx="258">
                  <c:v>8.4075947508799551</c:v>
                </c:pt>
                <c:pt idx="259">
                  <c:v>8.5253711371630274</c:v>
                </c:pt>
                <c:pt idx="260">
                  <c:v>8.6389702621645696</c:v>
                </c:pt>
                <c:pt idx="261">
                  <c:v>8.7483364645862256</c:v>
                </c:pt>
                <c:pt idx="262">
                  <c:v>8.8534161571770085</c:v>
                </c:pt>
                <c:pt idx="263">
                  <c:v>8.954157852989983</c:v>
                </c:pt>
                <c:pt idx="264">
                  <c:v>9.050512190609842</c:v>
                </c:pt>
                <c:pt idx="265">
                  <c:v>9.1424319583390066</c:v>
                </c:pt>
                <c:pt idx="266">
                  <c:v>9.2298721173304301</c:v>
                </c:pt>
                <c:pt idx="267">
                  <c:v>9.3127898236556987</c:v>
                </c:pt>
                <c:pt idx="268">
                  <c:v>9.3911444492977356</c:v>
                </c:pt>
                <c:pt idx="269">
                  <c:v>9.4648976020576967</c:v>
                </c:pt>
                <c:pt idx="270">
                  <c:v>9.5340131443663836</c:v>
                </c:pt>
                <c:pt idx="271">
                  <c:v>9.5984572109909276</c:v>
                </c:pt>
                <c:pt idx="272">
                  <c:v>9.6581982256280803</c:v>
                </c:pt>
                <c:pt idx="273">
                  <c:v>9.7132069163759702</c:v>
                </c:pt>
                <c:pt idx="274">
                  <c:v>9.7634563300767425</c:v>
                </c:pt>
                <c:pt idx="275">
                  <c:v>9.8089218455230771</c:v>
                </c:pt>
                <c:pt idx="276">
                  <c:v>9.8495811855220747</c:v>
                </c:pt>
                <c:pt idx="277">
                  <c:v>9.8854144278106553</c:v>
                </c:pt>
                <c:pt idx="278">
                  <c:v>9.9164040148170436</c:v>
                </c:pt>
                <c:pt idx="279">
                  <c:v>9.9425347622636462</c:v>
                </c:pt>
                <c:pt idx="280">
                  <c:v>9.9637938666070429</c:v>
                </c:pt>
                <c:pt idx="281">
                  <c:v>9.9801709113114541</c:v>
                </c:pt>
                <c:pt idx="282">
                  <c:v>9.991657871952647</c:v>
                </c:pt>
                <c:pt idx="283">
                  <c:v>9.9982491201497403</c:v>
                </c:pt>
                <c:pt idx="284">
                  <c:v>9.9999414263229944</c:v>
                </c:pt>
                <c:pt idx="285">
                  <c:v>9.9967339612762434</c:v>
                </c:pt>
                <c:pt idx="286">
                  <c:v>9.9886282966031867</c:v>
                </c:pt>
                <c:pt idx="287">
                  <c:v>9.9756284039173337</c:v>
                </c:pt>
                <c:pt idx="288">
                  <c:v>9.9577406529059989</c:v>
                </c:pt>
                <c:pt idx="289">
                  <c:v>9.934973808209282</c:v>
                </c:pt>
                <c:pt idx="290">
                  <c:v>9.9073390251255642</c:v>
                </c:pt>
                <c:pt idx="291">
                  <c:v>9.874849844145638</c:v>
                </c:pt>
                <c:pt idx="292">
                  <c:v>9.8375221843181375</c:v>
                </c:pt>
                <c:pt idx="293">
                  <c:v>9.7953743354495355</c:v>
                </c:pt>
                <c:pt idx="294">
                  <c:v>9.7484269491424733</c:v>
                </c:pt>
                <c:pt idx="295">
                  <c:v>9.6967030286769234</c:v>
                </c:pt>
                <c:pt idx="296">
                  <c:v>9.6402279177390184</c:v>
                </c:pt>
                <c:pt idx="297">
                  <c:v>9.5790292880031664</c:v>
                </c:pt>
                <c:pt idx="298">
                  <c:v>9.5131371255734685</c:v>
                </c:pt>
                <c:pt idx="299">
                  <c:v>9.4425837162911535</c:v>
                </c:pt>
                <c:pt idx="300">
                  <c:v>9.3674036299151311</c:v>
                </c:pt>
                <c:pt idx="301">
                  <c:v>9.287633703183527</c:v>
                </c:pt>
                <c:pt idx="302">
                  <c:v>9.2033130217643979</c:v>
                </c:pt>
                <c:pt idx="303">
                  <c:v>9.1144829011045498</c:v>
                </c:pt>
                <c:pt idx="304">
                  <c:v>9.0211868661857935</c:v>
                </c:pt>
                <c:pt idx="305">
                  <c:v>8.923470630198576</c:v>
                </c:pt>
                <c:pt idx="306">
                  <c:v>8.8213820721434164</c:v>
                </c:pt>
                <c:pt idx="307">
                  <c:v>8.7149712133711805</c:v>
                </c:pt>
                <c:pt idx="308">
                  <c:v>8.6042901930735916</c:v>
                </c:pt>
                <c:pt idx="309">
                  <c:v>8.4893932427360834</c:v>
                </c:pt>
                <c:pt idx="310">
                  <c:v>8.3703366595654796</c:v>
                </c:pt>
                <c:pt idx="311">
                  <c:v>8.2471787789054378</c:v>
                </c:pt>
                <c:pt idx="312">
                  <c:v>8.1199799456533395</c:v>
                </c:pt>
                <c:pt idx="313">
                  <c:v>7.9888024846924832</c:v>
                </c:pt>
                <c:pt idx="314">
                  <c:v>7.8537106703541406</c:v>
                </c:pt>
                <c:pt idx="315">
                  <c:v>7.7147706949244181</c:v>
                </c:pt>
                <c:pt idx="316">
                  <c:v>7.5720506362113653</c:v>
                </c:pt>
                <c:pt idx="317">
                  <c:v>7.4256204241882084</c:v>
                </c:pt>
                <c:pt idx="318">
                  <c:v>7.2755518067290614</c:v>
                </c:pt>
                <c:pt idx="319">
                  <c:v>7.1219183144539038</c:v>
                </c:pt>
                <c:pt idx="320">
                  <c:v>6.9647952247000475</c:v>
                </c:pt>
                <c:pt idx="321">
                  <c:v>6.8042595246377635</c:v>
                </c:pt>
                <c:pt idx="322">
                  <c:v>6.6403898735480755</c:v>
                </c:pt>
                <c:pt idx="323">
                  <c:v>6.473266564281313</c:v>
                </c:pt>
                <c:pt idx="324">
                  <c:v>6.3029714839152122</c:v>
                </c:pt>
                <c:pt idx="325">
                  <c:v>6.1295880736318873</c:v>
                </c:pt>
                <c:pt idx="326">
                  <c:v>5.9532012878333216</c:v>
                </c:pt>
                <c:pt idx="327">
                  <c:v>5.7738975525154084</c:v>
                </c:pt>
                <c:pt idx="328">
                  <c:v>5.5917647229209404</c:v>
                </c:pt>
                <c:pt idx="329">
                  <c:v>5.4068920404923091</c:v>
                </c:pt>
                <c:pt idx="330">
                  <c:v>5.2193700891449604</c:v>
                </c:pt>
                <c:pt idx="331">
                  <c:v>5.0292907508831286</c:v>
                </c:pt>
                <c:pt idx="332">
                  <c:v>4.8367471607794457</c:v>
                </c:pt>
                <c:pt idx="333">
                  <c:v>4.6418336613406499</c:v>
                </c:pt>
                <c:pt idx="334">
                  <c:v>4.4446457562816359</c:v>
                </c:pt>
                <c:pt idx="335">
                  <c:v>4.2452800637305455</c:v>
                </c:pt>
                <c:pt idx="336">
                  <c:v>4.0438342688878182</c:v>
                </c:pt>
                <c:pt idx="337">
                  <c:v>3.8404070761623985</c:v>
                </c:pt>
                <c:pt idx="338">
                  <c:v>3.6350981608085489</c:v>
                </c:pt>
                <c:pt idx="339">
                  <c:v>3.4280081200869716</c:v>
                </c:pt>
                <c:pt idx="340">
                  <c:v>3.2192384239741605</c:v>
                </c:pt>
                <c:pt idx="341">
                  <c:v>3.0088913654441369</c:v>
                </c:pt>
                <c:pt idx="342">
                  <c:v>2.7970700103469719</c:v>
                </c:pt>
                <c:pt idx="343">
                  <c:v>2.5838781469085323</c:v>
                </c:pt>
                <c:pt idx="344">
                  <c:v>2.3694202348763591</c:v>
                </c:pt>
                <c:pt idx="345">
                  <c:v>2.1538013543364709</c:v>
                </c:pt>
                <c:pt idx="346">
                  <c:v>1.9371271542262303</c:v>
                </c:pt>
                <c:pt idx="347">
                  <c:v>1.7195038005684711</c:v>
                </c:pt>
                <c:pt idx="348">
                  <c:v>1.5010379244522771</c:v>
                </c:pt>
                <c:pt idx="349">
                  <c:v>1.281836569785878</c:v>
                </c:pt>
                <c:pt idx="350">
                  <c:v>1.0620071408472782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2F-4B95-950A-63D526214621}"/>
            </c:ext>
          </c:extLst>
        </c:ser>
        <c:ser>
          <c:idx val="2"/>
          <c:order val="1"/>
          <c:tx>
            <c:v>Theta(Numérico-Euler)</c:v>
          </c:tx>
          <c:marker>
            <c:symbol val="none"/>
          </c:marker>
          <c:xVal>
            <c:numRef>
              <c:f>'edo - pêndulo - an.eul'!$A$9:$A$359</c:f>
              <c:numCache>
                <c:formatCode>0.00</c:formatCode>
                <c:ptCount val="3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</c:numCache>
            </c:numRef>
          </c:xVal>
          <c:yVal>
            <c:numRef>
              <c:f>'edo - pêndulo - an.eul'!$D$9:$D$359</c:f>
              <c:numCache>
                <c:formatCode>0.00</c:formatCode>
                <c:ptCount val="351"/>
                <c:pt idx="0">
                  <c:v>10</c:v>
                </c:pt>
                <c:pt idx="1">
                  <c:v>10</c:v>
                </c:pt>
                <c:pt idx="2">
                  <c:v>9.9951248392267775</c:v>
                </c:pt>
                <c:pt idx="3">
                  <c:v>9.9853745176803343</c:v>
                </c:pt>
                <c:pt idx="4">
                  <c:v>9.9707513879154153</c:v>
                </c:pt>
                <c:pt idx="5">
                  <c:v>9.9512601551473345</c:v>
                </c:pt>
                <c:pt idx="6">
                  <c:v>9.9269078763280127</c:v>
                </c:pt>
                <c:pt idx="7">
                  <c:v>9.8977039581913377</c:v>
                </c:pt>
                <c:pt idx="8">
                  <c:v>9.8636601542669453</c:v>
                </c:pt>
                <c:pt idx="9">
                  <c:v>9.8247905608614747</c:v>
                </c:pt>
                <c:pt idx="10">
                  <c:v>9.7811116120064252</c:v>
                </c:pt>
                <c:pt idx="11">
                  <c:v>9.7326420733716805</c:v>
                </c:pt>
                <c:pt idx="12">
                  <c:v>9.6794030351438582</c:v>
                </c:pt>
                <c:pt idx="13">
                  <c:v>9.6214179038686165</c:v>
                </c:pt>
                <c:pt idx="14">
                  <c:v>9.5587123932561582</c:v>
                </c:pt>
                <c:pt idx="15">
                  <c:v>9.4913145139492379</c:v>
                </c:pt>
                <c:pt idx="16">
                  <c:v>9.4192545622530126</c:v>
                </c:pt>
                <c:pt idx="17">
                  <c:v>9.3425651078262995</c:v>
                </c:pt>
                <c:pt idx="18">
                  <c:v>9.2612809803338152</c:v>
                </c:pt>
                <c:pt idx="19">
                  <c:v>9.1754392550592474</c:v>
                </c:pt>
                <c:pt idx="20">
                  <c:v>9.0850792374791247</c:v>
                </c:pt>
                <c:pt idx="21">
                  <c:v>8.9902424467976783</c:v>
                </c:pt>
                <c:pt idx="22">
                  <c:v>8.8909725984431844</c:v>
                </c:pt>
                <c:pt idx="23">
                  <c:v>8.7873155855264837</c:v>
                </c:pt>
                <c:pt idx="24">
                  <c:v>8.6793194592627074</c:v>
                </c:pt>
                <c:pt idx="25">
                  <c:v>8.5670344083576087</c:v>
                </c:pt>
                <c:pt idx="26">
                  <c:v>8.4505127373602171</c:v>
                </c:pt>
                <c:pt idx="27">
                  <c:v>8.3298088439839688</c:v>
                </c:pt>
                <c:pt idx="28">
                  <c:v>8.2049791953988969</c:v>
                </c:pt>
                <c:pt idx="29">
                  <c:v>8.0760823034979232</c:v>
                </c:pt>
                <c:pt idx="30">
                  <c:v>7.9431786991408284</c:v>
                </c:pt>
                <c:pt idx="31">
                  <c:v>7.8063309053799674</c:v>
                </c:pt>
                <c:pt idx="32">
                  <c:v>7.6656034096724248</c:v>
                </c:pt>
                <c:pt idx="33">
                  <c:v>7.5210626350838421</c:v>
                </c:pt>
                <c:pt idx="34">
                  <c:v>7.3727769104898577</c:v>
                </c:pt>
                <c:pt idx="35">
                  <c:v>7.220816439781709</c:v>
                </c:pt>
                <c:pt idx="36">
                  <c:v>7.0652532700832458</c:v>
                </c:pt>
                <c:pt idx="37">
                  <c:v>6.9061612589874093</c:v>
                </c:pt>
                <c:pt idx="38">
                  <c:v>6.7436160408208439</c:v>
                </c:pt>
                <c:pt idx="39">
                  <c:v>6.577694991946248</c:v>
                </c:pt>
                <c:pt idx="40">
                  <c:v>6.4084771951127397</c:v>
                </c:pt>
                <c:pt idx="41">
                  <c:v>6.236043402865441</c:v>
                </c:pt>
                <c:pt idx="42">
                  <c:v>6.060476000026279</c:v>
                </c:pt>
                <c:pt idx="43">
                  <c:v>5.8818589652588891</c:v>
                </c:pt>
                <c:pt idx="44">
                  <c:v>5.7002778317314</c:v>
                </c:pt>
                <c:pt idx="45">
                  <c:v>5.5158196468917717</c:v>
                </c:pt>
                <c:pt idx="46">
                  <c:v>5.3285729313712737</c:v>
                </c:pt>
                <c:pt idx="47">
                  <c:v>5.1386276370326209</c:v>
                </c:pt>
                <c:pt idx="48">
                  <c:v>4.9460751041802187</c:v>
                </c:pt>
                <c:pt idx="49">
                  <c:v>4.7510080179508885</c:v>
                </c:pt>
                <c:pt idx="50">
                  <c:v>4.5535203639044095</c:v>
                </c:pt>
                <c:pt idx="51">
                  <c:v>4.3537073828341395</c:v>
                </c:pt>
                <c:pt idx="52">
                  <c:v>4.1516655248189052</c:v>
                </c:pt>
                <c:pt idx="53">
                  <c:v>3.9474924025382911</c:v>
                </c:pt>
                <c:pt idx="54">
                  <c:v>3.7412867438743822</c:v>
                </c:pt>
                <c:pt idx="55">
                  <c:v>3.5331483438239064</c:v>
                </c:pt>
                <c:pt idx="56">
                  <c:v>3.3231780157456305</c:v>
                </c:pt>
                <c:pt idx="57">
                  <c:v>3.1114775419687315</c:v>
                </c:pt>
                <c:pt idx="58">
                  <c:v>2.8981496237887128</c:v>
                </c:pt>
                <c:pt idx="59">
                  <c:v>2.683297830878288</c:v>
                </c:pt>
                <c:pt idx="60">
                  <c:v>2.4670265501414268</c:v>
                </c:pt>
                <c:pt idx="61">
                  <c:v>2.2494409340395611</c:v>
                </c:pt>
                <c:pt idx="62">
                  <c:v>2.0306468484196722</c:v>
                </c:pt>
                <c:pt idx="63">
                  <c:v>1.810750819874704</c:v>
                </c:pt>
                <c:pt idx="64">
                  <c:v>1.5898599826674025</c:v>
                </c:pt>
                <c:pt idx="65">
                  <c:v>1.368082025249334</c:v>
                </c:pt>
                <c:pt idx="66">
                  <c:v>1.1455251364074075</c:v>
                </c:pt>
                <c:pt idx="67">
                  <c:v>0.92229795107078638</c:v>
                </c:pt>
                <c:pt idx="68">
                  <c:v>0.69850949581156918</c:v>
                </c:pt>
                <c:pt idx="69">
                  <c:v>0.47426913407308496</c:v>
                </c:pt>
                <c:pt idx="70">
                  <c:v>0.24968651116004098</c:v>
                </c:pt>
                <c:pt idx="71">
                  <c:v>2.4871499025128526E-2</c:v>
                </c:pt>
                <c:pt idx="72">
                  <c:v>-0.20006585911300867</c:v>
                </c:pt>
                <c:pt idx="73">
                  <c:v>-0.42501540428528545</c:v>
                </c:pt>
                <c:pt idx="74">
                  <c:v>-0.64986691738581004</c:v>
                </c:pt>
                <c:pt idx="75">
                  <c:v>-0.87451017484814275</c:v>
                </c:pt>
                <c:pt idx="76">
                  <c:v>-1.0988350043485875</c:v>
                </c:pt>
                <c:pt idx="77">
                  <c:v>-1.3227313405008962</c:v>
                </c:pt>
                <c:pt idx="78">
                  <c:v>-1.5460892805067812</c:v>
                </c:pt>
                <c:pt idx="79">
                  <c:v>-1.7687991397267078</c:v>
                </c:pt>
                <c:pt idx="80">
                  <c:v>-1.990751507135579</c:v>
                </c:pt>
                <c:pt idx="81">
                  <c:v>-2.2118373006280949</c:v>
                </c:pt>
                <c:pt idx="82">
                  <c:v>-2.4319478221388229</c:v>
                </c:pt>
                <c:pt idx="83">
                  <c:v>-2.6509748125422941</c:v>
                </c:pt>
                <c:pt idx="84">
                  <c:v>-2.868810506298801</c:v>
                </c:pt>
                <c:pt idx="85">
                  <c:v>-3.0853476858119451</c:v>
                </c:pt>
                <c:pt idx="86">
                  <c:v>-3.3004797354644428</c:v>
                </c:pt>
                <c:pt idx="87">
                  <c:v>-3.5141006952991876</c:v>
                </c:pt>
                <c:pt idx="88">
                  <c:v>-3.7261053143130871</c:v>
                </c:pt>
                <c:pt idx="89">
                  <c:v>-3.9363891033317921</c:v>
                </c:pt>
                <c:pt idx="90">
                  <c:v>-4.1448483874340489</c:v>
                </c:pt>
                <c:pt idx="91">
                  <c:v>-4.3513803578950618</c:v>
                </c:pt>
                <c:pt idx="92">
                  <c:v>-4.5558831236189592</c:v>
                </c:pt>
                <c:pt idx="93">
                  <c:v>-4.7582557620311858</c:v>
                </c:pt>
                <c:pt idx="94">
                  <c:v>-4.9583983694024019</c:v>
                </c:pt>
                <c:pt idx="95">
                  <c:v>-5.1562121105762717</c:v>
                </c:pt>
                <c:pt idx="96">
                  <c:v>-5.3515992680743487</c:v>
                </c:pt>
                <c:pt idx="97">
                  <c:v>-5.5444632905520912</c:v>
                </c:pt>
                <c:pt idx="98">
                  <c:v>-5.7347088405809128</c:v>
                </c:pt>
                <c:pt idx="99">
                  <c:v>-5.9222418417320792</c:v>
                </c:pt>
                <c:pt idx="100">
                  <c:v>-6.1069695249391147</c:v>
                </c:pt>
                <c:pt idx="101">
                  <c:v>-6.2888004741163357</c:v>
                </c:pt>
                <c:pt idx="102">
                  <c:v>-6.4676446710120112</c:v>
                </c:pt>
                <c:pt idx="103">
                  <c:v>-6.6434135392756026</c:v>
                </c:pt>
                <c:pt idx="104">
                  <c:v>-6.8160199877194501</c:v>
                </c:pt>
                <c:pt idx="105">
                  <c:v>-6.985378452756188</c:v>
                </c:pt>
                <c:pt idx="106">
                  <c:v>-7.1514049399941282</c:v>
                </c:pt>
                <c:pt idx="107">
                  <c:v>-7.3140170649737399</c:v>
                </c:pt>
                <c:pt idx="108">
                  <c:v>-7.4731340930292758</c:v>
                </c:pt>
                <c:pt idx="109">
                  <c:v>-7.6286769782605122</c:v>
                </c:pt>
                <c:pt idx="110">
                  <c:v>-7.7805684016004149</c:v>
                </c:pt>
                <c:pt idx="111">
                  <c:v>-7.9287328079654618</c:v>
                </c:pt>
                <c:pt idx="112">
                  <c:v>-8.0730964424761886</c:v>
                </c:pt>
                <c:pt idx="113">
                  <c:v>-8.2135873857363322</c:v>
                </c:pt>
                <c:pt idx="114">
                  <c:v>-8.3501355881597874</c:v>
                </c:pt>
                <c:pt idx="115">
                  <c:v>-8.482672903335386</c:v>
                </c:pt>
                <c:pt idx="116">
                  <c:v>-8.6111331204202024</c:v>
                </c:pt>
                <c:pt idx="117">
                  <c:v>-8.7354519955529266</c:v>
                </c:pt>
                <c:pt idx="118">
                  <c:v>-8.8555672822794396</c:v>
                </c:pt>
                <c:pt idx="119">
                  <c:v>-8.971418760983477</c:v>
                </c:pt>
                <c:pt idx="120">
                  <c:v>-9.082948267315853</c:v>
                </c:pt>
                <c:pt idx="121">
                  <c:v>-9.1900997196163683</c:v>
                </c:pt>
                <c:pt idx="122">
                  <c:v>-9.2928191453230635</c:v>
                </c:pt>
                <c:pt idx="123">
                  <c:v>-9.3910547063640255</c:v>
                </c:pt>
                <c:pt idx="124">
                  <c:v>-9.4847567235275019</c:v>
                </c:pt>
                <c:pt idx="125">
                  <c:v>-9.5738776998064399</c:v>
                </c:pt>
                <c:pt idx="126">
                  <c:v>-9.6583723427141575</c:v>
                </c:pt>
                <c:pt idx="127">
                  <c:v>-9.7381975855680931</c:v>
                </c:pt>
                <c:pt idx="128">
                  <c:v>-9.813312607739066</c:v>
                </c:pt>
                <c:pt idx="129">
                  <c:v>-9.8836788538637244</c:v>
                </c:pt>
                <c:pt idx="130">
                  <c:v>-9.949260052018241</c:v>
                </c:pt>
                <c:pt idx="131">
                  <c:v>-10.01002223085146</c:v>
                </c:pt>
                <c:pt idx="132">
                  <c:v>-10.065933735676067</c:v>
                </c:pt>
                <c:pt idx="133">
                  <c:v>-10.116965243516443</c:v>
                </c:pt>
                <c:pt idx="134">
                  <c:v>-10.16308977711209</c:v>
                </c:pt>
                <c:pt idx="135">
                  <c:v>-10.204282717875623</c:v>
                </c:pt>
                <c:pt idx="136">
                  <c:v>-10.240521817804499</c:v>
                </c:pt>
                <c:pt idx="137">
                  <c:v>-10.271787210345648</c:v>
                </c:pt>
                <c:pt idx="138">
                  <c:v>-10.298061420212324</c:v>
                </c:pt>
                <c:pt idx="139">
                  <c:v>-10.31932937215247</c:v>
                </c:pt>
                <c:pt idx="140">
                  <c:v>-10.335578398667975</c:v>
                </c:pt>
                <c:pt idx="141">
                  <c:v>-10.34679824668415</c:v>
                </c:pt>
                <c:pt idx="142">
                  <c:v>-10.352981083168775</c:v>
                </c:pt>
                <c:pt idx="143">
                  <c:v>-10.354121499700019</c:v>
                </c:pt>
                <c:pt idx="144">
                  <c:v>-10.350216515982542</c:v>
                </c:pt>
                <c:pt idx="145">
                  <c:v>-10.341265582310973</c:v>
                </c:pt>
                <c:pt idx="146">
                  <c:v>-10.327270580979995</c:v>
                </c:pt>
                <c:pt idx="147">
                  <c:v>-10.308235826640123</c:v>
                </c:pt>
                <c:pt idx="148">
                  <c:v>-10.284168065598266</c:v>
                </c:pt>
                <c:pt idx="149">
                  <c:v>-10.255076474062106</c:v>
                </c:pt>
                <c:pt idx="150">
                  <c:v>-10.220972655327206</c:v>
                </c:pt>
                <c:pt idx="151">
                  <c:v>-10.181870635905796</c:v>
                </c:pt>
                <c:pt idx="152">
                  <c:v>-10.137786860596124</c:v>
                </c:pt>
                <c:pt idx="153">
                  <c:v>-10.088740186491167</c:v>
                </c:pt>
                <c:pt idx="154">
                  <c:v>-10.034751875925547</c:v>
                </c:pt>
                <c:pt idx="155">
                  <c:v>-9.9758455883595172</c:v>
                </c:pt>
                <c:pt idx="156">
                  <c:v>-9.9120473711987884</c:v>
                </c:pt>
                <c:pt idx="157">
                  <c:v>-9.8433856495491181</c:v>
                </c:pt>
                <c:pt idx="158">
                  <c:v>-9.7698912149045789</c:v>
                </c:pt>
                <c:pt idx="159">
                  <c:v>-9.6915972127685102</c:v>
                </c:pt>
                <c:pt idx="160">
                  <c:v>-9.6085391292062781</c:v>
                </c:pt>
                <c:pt idx="161">
                  <c:v>-9.5207547763290918</c:v>
                </c:pt>
                <c:pt idx="162">
                  <c:v>-9.428284276708272</c:v>
                </c:pt>
                <c:pt idx="163">
                  <c:v>-9.3311700467195902</c:v>
                </c:pt>
                <c:pt idx="164">
                  <c:v>-9.2294567788175073</c:v>
                </c:pt>
                <c:pt idx="165">
                  <c:v>-9.1231914227393638</c:v>
                </c:pt>
                <c:pt idx="166">
                  <c:v>-9.0124231656399374</c:v>
                </c:pt>
                <c:pt idx="167">
                  <c:v>-8.8972034111570437</c:v>
                </c:pt>
                <c:pt idx="168">
                  <c:v>-8.7775857574092431</c:v>
                </c:pt>
                <c:pt idx="169">
                  <c:v>-8.6536259739271291</c:v>
                </c:pt>
                <c:pt idx="170">
                  <c:v>-8.525381977520091</c:v>
                </c:pt>
                <c:pt idx="171">
                  <c:v>-8.3929138070809373</c:v>
                </c:pt>
                <c:pt idx="172">
                  <c:v>-8.2562835973312332</c:v>
                </c:pt>
                <c:pt idx="173">
                  <c:v>-8.1155555515108357</c:v>
                </c:pt>
                <c:pt idx="174">
                  <c:v>-7.9707959130156043</c:v>
                </c:pt>
                <c:pt idx="175">
                  <c:v>-7.8220729359879684</c:v>
                </c:pt>
                <c:pt idx="176">
                  <c:v>-7.669456854865623</c:v>
                </c:pt>
                <c:pt idx="177">
                  <c:v>-7.5130198528943977</c:v>
                </c:pt>
                <c:pt idx="178">
                  <c:v>-7.3528360296119706</c:v>
                </c:pt>
                <c:pt idx="179">
                  <c:v>-7.1889813673099896</c:v>
                </c:pt>
                <c:pt idx="180">
                  <c:v>-7.0215336964828348</c:v>
                </c:pt>
                <c:pt idx="181">
                  <c:v>-6.8505726602721575</c:v>
                </c:pt>
                <c:pt idx="182">
                  <c:v>-6.6761796779171787</c:v>
                </c:pt>
                <c:pt idx="183">
                  <c:v>-6.4984379072215637</c:v>
                </c:pt>
                <c:pt idx="184">
                  <c:v>-6.3174322060486681</c:v>
                </c:pt>
                <c:pt idx="185">
                  <c:v>-6.1332490928578034</c:v>
                </c:pt>
                <c:pt idx="186">
                  <c:v>-5.9459767062951796</c:v>
                </c:pt>
                <c:pt idx="187">
                  <c:v>-5.7557047638541157</c:v>
                </c:pt>
                <c:pt idx="188">
                  <c:v>-5.5625245196201085</c:v>
                </c:pt>
                <c:pt idx="189">
                  <c:v>-5.3665287211173274</c:v>
                </c:pt>
                <c:pt idx="190">
                  <c:v>-5.1678115652741292</c:v>
                </c:pt>
                <c:pt idx="191">
                  <c:v>-4.9664686535261762</c:v>
                </c:pt>
                <c:pt idx="192">
                  <c:v>-4.7625969460767745</c:v>
                </c:pt>
                <c:pt idx="193">
                  <c:v>-4.5562947153350715</c:v>
                </c:pt>
                <c:pt idx="194">
                  <c:v>-4.3476614985537267</c:v>
                </c:pt>
                <c:pt idx="195">
                  <c:v>-4.1367980496887276</c:v>
                </c:pt>
                <c:pt idx="196">
                  <c:v>-3.9238062905050008</c:v>
                </c:pt>
                <c:pt idx="197">
                  <c:v>-3.7087892609524484</c:v>
                </c:pt>
                <c:pt idx="198">
                  <c:v>-3.4918510688380286</c:v>
                </c:pt>
                <c:pt idx="199">
                  <c:v>-3.2730968388204471</c:v>
                </c:pt>
                <c:pt idx="200">
                  <c:v>-3.0526326607549659</c:v>
                </c:pt>
                <c:pt idx="201">
                  <c:v>-2.8305655374167373</c:v>
                </c:pt>
                <c:pt idx="202">
                  <c:v>-2.607003331631955</c:v>
                </c:pt>
                <c:pt idx="203">
                  <c:v>-2.3820547128469727</c:v>
                </c:pt>
                <c:pt idx="204">
                  <c:v>-2.1558291031663446</c:v>
                </c:pt>
                <c:pt idx="205">
                  <c:v>-1.9284366228915326</c:v>
                </c:pt>
                <c:pt idx="206">
                  <c:v>-1.6999880355927668</c:v>
                </c:pt>
                <c:pt idx="207">
                  <c:v>-1.4705946927472342</c:v>
                </c:pt>
                <c:pt idx="208">
                  <c:v>-1.2403684779774407</c:v>
                </c:pt>
                <c:pt idx="209">
                  <c:v>-1.009421750924187</c:v>
                </c:pt>
                <c:pt idx="210">
                  <c:v>-0.7778672907891635</c:v>
                </c:pt>
                <c:pt idx="211">
                  <c:v>-0.54581823958268261</c:v>
                </c:pt>
                <c:pt idx="212">
                  <c:v>-0.3133880451125069</c:v>
                </c:pt>
                <c:pt idx="213">
                  <c:v>-8.0690403750151865E-2</c:v>
                </c:pt>
                <c:pt idx="214">
                  <c:v>0.15216079698863028</c:v>
                </c:pt>
                <c:pt idx="215">
                  <c:v>0.38505153601218028</c:v>
                </c:pt>
                <c:pt idx="216">
                  <c:v>0.61786771633284698</c:v>
                </c:pt>
                <c:pt idx="217">
                  <c:v>0.85049522282108603</c:v>
                </c:pt>
                <c:pt idx="218">
                  <c:v>1.0828199799962337</c:v>
                </c:pt>
                <c:pt idx="219">
                  <c:v>1.3147280098163912</c:v>
                </c:pt>
                <c:pt idx="220">
                  <c:v>1.5461054894298749</c:v>
                </c:pt>
                <c:pt idx="221">
                  <c:v>1.7768388088507476</c:v>
                </c:pt>
                <c:pt idx="222">
                  <c:v>2.0068146285210844</c:v>
                </c:pt>
                <c:pt idx="223">
                  <c:v>2.2359199367228135</c:v>
                </c:pt>
                <c:pt idx="224">
                  <c:v>2.4640421068022262</c:v>
                </c:pt>
                <c:pt idx="225">
                  <c:v>2.6910689541705466</c:v>
                </c:pt>
                <c:pt idx="226">
                  <c:v>2.9168887930443272</c:v>
                </c:pt>
                <c:pt idx="227">
                  <c:v>3.1413904928898537</c:v>
                </c:pt>
                <c:pt idx="228">
                  <c:v>3.3644635345362035</c:v>
                </c:pt>
                <c:pt idx="229">
                  <c:v>3.5859980659221478</c:v>
                </c:pt>
                <c:pt idx="230">
                  <c:v>3.8058849574426401</c:v>
                </c:pt>
                <c:pt idx="231">
                  <c:v>4.0240158568612818</c:v>
                </c:pt>
                <c:pt idx="232">
                  <c:v>4.2402832437558002</c:v>
                </c:pt>
                <c:pt idx="233">
                  <c:v>4.4545804834642988</c:v>
                </c:pt>
                <c:pt idx="234">
                  <c:v>4.6668018805008078</c:v>
                </c:pt>
                <c:pt idx="235">
                  <c:v>4.8768427314094129</c:v>
                </c:pt>
                <c:pt idx="236">
                  <c:v>5.0845993770271178</c:v>
                </c:pt>
                <c:pt idx="237">
                  <c:v>5.2899692541264072</c:v>
                </c:pt>
                <c:pt idx="238">
                  <c:v>5.4928509464094075</c:v>
                </c:pt>
                <c:pt idx="239">
                  <c:v>5.6931442348264154</c:v>
                </c:pt>
                <c:pt idx="240">
                  <c:v>5.8907501471925414</c:v>
                </c:pt>
                <c:pt idx="241">
                  <c:v>6.0855710070771325</c:v>
                </c:pt>
                <c:pt idx="242">
                  <c:v>6.2775104819416443</c:v>
                </c:pt>
                <c:pt idx="243">
                  <c:v>6.4664736305026045</c:v>
                </c:pt>
                <c:pt idx="244">
                  <c:v>6.6523669492972983</c:v>
                </c:pt>
                <c:pt idx="245">
                  <c:v>6.8350984184308139</c:v>
                </c:pt>
                <c:pt idx="246">
                  <c:v>7.0145775464841194</c:v>
                </c:pt>
                <c:pt idx="247">
                  <c:v>7.1907154145637824</c:v>
                </c:pt>
                <c:pt idx="248">
                  <c:v>7.3634247194750264</c:v>
                </c:pt>
                <c:pt idx="249">
                  <c:v>7.5326198160007447</c:v>
                </c:pt>
                <c:pt idx="250">
                  <c:v>7.698216758270128</c:v>
                </c:pt>
                <c:pt idx="251">
                  <c:v>7.8601333402015081</c:v>
                </c:pt>
                <c:pt idx="252">
                  <c:v>8.018289135004995</c:v>
                </c:pt>
                <c:pt idx="253">
                  <c:v>8.1726055337314154</c:v>
                </c:pt>
                <c:pt idx="254">
                  <c:v>8.3230057828549988</c:v>
                </c:pt>
                <c:pt idx="255">
                  <c:v>8.4694150208781291</c:v>
                </c:pt>
                <c:pt idx="256">
                  <c:v>8.6117603139473928</c:v>
                </c:pt>
                <c:pt idx="257">
                  <c:v>8.7499706904709385</c:v>
                </c:pt>
                <c:pt idx="258">
                  <c:v>8.8839771747280771</c:v>
                </c:pt>
                <c:pt idx="259">
                  <c:v>9.0137128194627163</c:v>
                </c:pt>
                <c:pt idx="260">
                  <c:v>9.1391127374530843</c:v>
                </c:pt>
                <c:pt idx="261">
                  <c:v>9.2601141320508447</c:v>
                </c:pt>
                <c:pt idx="262">
                  <c:v>9.3766563266834311</c:v>
                </c:pt>
                <c:pt idx="263">
                  <c:v>9.4886807933140513</c:v>
                </c:pt>
                <c:pt idx="264">
                  <c:v>9.5961311798544049</c:v>
                </c:pt>
                <c:pt idx="265">
                  <c:v>9.6989533365257969</c:v>
                </c:pt>
                <c:pt idx="266">
                  <c:v>9.7970953411647699</c:v>
                </c:pt>
                <c:pt idx="267">
                  <c:v>9.8905075234699336</c:v>
                </c:pt>
                <c:pt idx="268">
                  <c:v>9.979142488187108</c:v>
                </c:pt>
                <c:pt idx="269">
                  <c:v>10.062955137230283</c:v>
                </c:pt>
                <c:pt idx="270">
                  <c:v>10.141902690736316</c:v>
                </c:pt>
                <c:pt idx="271">
                  <c:v>10.2159447070516</c:v>
                </c:pt>
                <c:pt idx="272">
                  <c:v>10.285043101649201</c:v>
                </c:pt>
                <c:pt idx="273">
                  <c:v>10.349162164975322</c:v>
                </c:pt>
                <c:pt idx="274">
                  <c:v>10.408268579224023</c:v>
                </c:pt>
                <c:pt idx="275">
                  <c:v>10.462331434039502</c:v>
                </c:pt>
                <c:pt idx="276">
                  <c:v>10.511322241145201</c:v>
                </c:pt>
                <c:pt idx="277">
                  <c:v>10.555214947899287</c:v>
                </c:pt>
                <c:pt idx="278">
                  <c:v>10.593985949776069</c:v>
                </c:pt>
                <c:pt idx="279">
                  <c:v>10.627614101772949</c:v>
                </c:pt>
                <c:pt idx="280">
                  <c:v>10.656080728742667</c:v>
                </c:pt>
                <c:pt idx="281">
                  <c:v>10.679369634650426</c:v>
                </c:pt>
                <c:pt idx="282">
                  <c:v>10.697467110755648</c:v>
                </c:pt>
                <c:pt idx="283">
                  <c:v>10.71036194271799</c:v>
                </c:pt>
                <c:pt idx="284">
                  <c:v>10.718045416627167</c:v>
                </c:pt>
                <c:pt idx="285">
                  <c:v>10.720511323956178</c:v>
                </c:pt>
                <c:pt idx="286">
                  <c:v>10.71775596543733</c:v>
                </c:pt>
                <c:pt idx="287">
                  <c:v>10.70977815386045</c:v>
                </c:pt>
                <c:pt idx="288">
                  <c:v>10.696579215792514</c:v>
                </c:pt>
                <c:pt idx="289">
                  <c:v>10.678162992217894</c:v>
                </c:pt>
                <c:pt idx="290">
                  <c:v>10.654535838098212</c:v>
                </c:pt>
                <c:pt idx="291">
                  <c:v>10.625706620850814</c:v>
                </c:pt>
                <c:pt idx="292">
                  <c:v>10.591686717744651</c:v>
                </c:pt>
                <c:pt idx="293">
                  <c:v>10.552490012212337</c:v>
                </c:pt>
                <c:pt idx="294">
                  <c:v>10.508132889077016</c:v>
                </c:pt>
                <c:pt idx="295">
                  <c:v>10.458634228692645</c:v>
                </c:pt>
                <c:pt idx="296">
                  <c:v>10.404015399996167</c:v>
                </c:pt>
                <c:pt idx="297">
                  <c:v>10.344300252470054</c:v>
                </c:pt>
                <c:pt idx="298">
                  <c:v>10.279515107013635</c:v>
                </c:pt>
                <c:pt idx="299">
                  <c:v>10.209688745721644</c:v>
                </c:pt>
                <c:pt idx="300">
                  <c:v>10.1348524005684</c:v>
                </c:pt>
                <c:pt idx="301">
                  <c:v>10.055039740996097</c:v>
                </c:pt>
                <c:pt idx="302">
                  <c:v>9.9702868604057713</c:v>
                </c:pt>
                <c:pt idx="303">
                  <c:v>9.8806322615495148</c:v>
                </c:pt>
                <c:pt idx="304">
                  <c:v>9.7861168408227677</c:v>
                </c:pt>
                <c:pt idx="305">
                  <c:v>9.6867838714555727</c:v>
                </c:pt>
                <c:pt idx="306">
                  <c:v>9.5826789856019321</c:v>
                </c:pt>
                <c:pt idx="307">
                  <c:v>9.4738501553266072</c:v>
                </c:pt>
                <c:pt idx="308">
                  <c:v>9.3603476724890182</c:v>
                </c:pt>
                <c:pt idx="309">
                  <c:v>9.2422241275241515</c:v>
                </c:pt>
                <c:pt idx="310">
                  <c:v>9.1195343871207815</c:v>
                </c:pt>
                <c:pt idx="311">
                  <c:v>8.9923355707976924</c:v>
                </c:pt>
                <c:pt idx="312">
                  <c:v>8.860687026378999</c:v>
                </c:pt>
                <c:pt idx="313">
                  <c:v>8.7246503043701704</c:v>
                </c:pt>
                <c:pt idx="314">
                  <c:v>8.5842891312368685</c:v>
                </c:pt>
                <c:pt idx="315">
                  <c:v>8.4396693815892494</c:v>
                </c:pt>
                <c:pt idx="316">
                  <c:v>8.2908590492750118</c:v>
                </c:pt>
                <c:pt idx="317">
                  <c:v>8.1379282173850829</c:v>
                </c:pt>
                <c:pt idx="318">
                  <c:v>7.9809490271765817</c:v>
                </c:pt>
                <c:pt idx="319">
                  <c:v>7.8199956459182953</c:v>
                </c:pt>
                <c:pt idx="320">
                  <c:v>7.6551442336648474</c:v>
                </c:pt>
                <c:pt idx="321">
                  <c:v>7.4864729089663555</c:v>
                </c:pt>
                <c:pt idx="322">
                  <c:v>7.3140617135213288</c:v>
                </c:pt>
                <c:pt idx="323">
                  <c:v>7.1379925757814098</c:v>
                </c:pt>
                <c:pt idx="324">
                  <c:v>6.9583492735174142</c:v>
                </c:pt>
                <c:pt idx="325">
                  <c:v>6.775217395357136</c:v>
                </c:pt>
                <c:pt idx="326">
                  <c:v>6.5886843013062828</c:v>
                </c:pt>
                <c:pt idx="327">
                  <c:v>6.3988390822649359</c:v>
                </c:pt>
                <c:pt idx="328">
                  <c:v>6.2057725185529424</c:v>
                </c:pt>
                <c:pt idx="329">
                  <c:v>6.0095770374586603</c:v>
                </c:pt>
                <c:pt idx="330">
                  <c:v>5.8103466698265578</c:v>
                </c:pt>
                <c:pt idx="331">
                  <c:v>5.6081770057002123</c:v>
                </c:pt>
                <c:pt idx="332">
                  <c:v>5.4031651490383883</c:v>
                </c:pt>
                <c:pt idx="333">
                  <c:v>5.1954096715228832</c:v>
                </c:pt>
                <c:pt idx="334">
                  <c:v>4.985010565478011</c:v>
                </c:pt>
                <c:pt idx="335">
                  <c:v>4.772069195922656</c:v>
                </c:pt>
                <c:pt idx="336">
                  <c:v>4.5566882517769134</c:v>
                </c:pt>
                <c:pt idx="337">
                  <c:v>4.3389716962464773</c:v>
                </c:pt>
                <c:pt idx="338">
                  <c:v>4.1190247164089815</c:v>
                </c:pt>
                <c:pt idx="339">
                  <c:v>3.8969536720275948</c:v>
                </c:pt>
                <c:pt idx="340">
                  <c:v>3.6728660436182445</c:v>
                </c:pt>
                <c:pt idx="341">
                  <c:v>3.4468703797978577</c:v>
                </c:pt>
                <c:pt idx="342">
                  <c:v>3.2190762439420659</c:v>
                </c:pt>
                <c:pt idx="343">
                  <c:v>2.989594160181785</c:v>
                </c:pt>
                <c:pt idx="344">
                  <c:v>2.7585355587690787</c:v>
                </c:pt>
                <c:pt idx="345">
                  <c:v>2.5260127208436192</c:v>
                </c:pt>
                <c:pt idx="346">
                  <c:v>2.2921387226319885</c:v>
                </c:pt>
                <c:pt idx="347">
                  <c:v>2.0570273791129017</c:v>
                </c:pt>
                <c:pt idx="348">
                  <c:v>1.820793187182266</c:v>
                </c:pt>
                <c:pt idx="349">
                  <c:v>1.5835512683527611</c:v>
                </c:pt>
                <c:pt idx="350">
                  <c:v>1.3454173110233472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2F-4B95-950A-63D526214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83976"/>
        <c:axId val="1"/>
      </c:scatterChart>
      <c:valAx>
        <c:axId val="424883976"/>
        <c:scaling>
          <c:orientation val="minMax"/>
          <c:max val="3.5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488397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2407631538639275"/>
          <c:y val="0.890678450567288"/>
          <c:w val="0.40713568074020418"/>
          <c:h val="4.5899294384704303E-2"/>
        </c:manualLayout>
      </c:layout>
      <c:overlay val="0"/>
      <c:txPr>
        <a:bodyPr/>
        <a:lstStyle/>
        <a:p>
          <a:pPr>
            <a:defRPr sz="1300" b="1" i="0" baseline="0"/>
          </a:pPr>
          <a:endParaRPr lang="pt-BR"/>
        </a:p>
      </c:tx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08333333333341"/>
          <c:y val="4.8611111111111112E-2"/>
          <c:w val="0.81666666666666654"/>
          <c:h val="0.78472222222222221"/>
        </c:manualLayout>
      </c:layout>
      <c:scatterChart>
        <c:scatterStyle val="smoothMarker"/>
        <c:varyColors val="0"/>
        <c:ser>
          <c:idx val="0"/>
          <c:order val="0"/>
          <c:tx>
            <c:v>Theta(Analítico)</c:v>
          </c:tx>
          <c:marker>
            <c:symbol val="none"/>
          </c:marker>
          <c:xVal>
            <c:numRef>
              <c:f>'edo - pêndulo - an.eul.rk4 - v2'!$A$10:$A$360</c:f>
              <c:numCache>
                <c:formatCode>0.00</c:formatCode>
                <c:ptCount val="3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</c:numCache>
            </c:numRef>
          </c:xVal>
          <c:yVal>
            <c:numRef>
              <c:f>'edo - pêndulo - an.eul.rk4 - v2'!$M$10:$M$360</c:f>
              <c:numCache>
                <c:formatCode>0.00</c:formatCode>
                <c:ptCount val="351"/>
                <c:pt idx="0">
                  <c:v>10</c:v>
                </c:pt>
                <c:pt idx="1">
                  <c:v>9.9975501000400318</c:v>
                </c:pt>
                <c:pt idx="2">
                  <c:v>9.9902016005620933</c:v>
                </c:pt>
                <c:pt idx="3">
                  <c:v>9.9779581021838979</c:v>
                </c:pt>
                <c:pt idx="4">
                  <c:v>9.9608256039746834</c:v>
                </c:pt>
                <c:pt idx="5">
                  <c:v>9.9388125005157839</c:v>
                </c:pt>
                <c:pt idx="6">
                  <c:v>9.9119295777874576</c:v>
                </c:pt>
                <c:pt idx="7">
                  <c:v>9.8801900078839662</c:v>
                </c:pt>
                <c:pt idx="8">
                  <c:v>9.8436093425595192</c:v>
                </c:pt>
                <c:pt idx="9">
                  <c:v>9.8022055056082191</c:v>
                </c:pt>
                <c:pt idx="10">
                  <c:v>9.7559987840817612</c:v>
                </c:pt>
                <c:pt idx="11">
                  <c:v>9.7050118183491918</c:v>
                </c:pt>
                <c:pt idx="12">
                  <c:v>9.64926959100357</c:v>
                </c:pt>
                <c:pt idx="13">
                  <c:v>9.5887994146210058</c:v>
                </c:pt>
                <c:pt idx="14">
                  <c:v>9.523630918378041</c:v>
                </c:pt>
                <c:pt idx="15">
                  <c:v>9.453796033533937</c:v>
                </c:pt>
                <c:pt idx="16">
                  <c:v>9.3793289777850148</c:v>
                </c:pt>
                <c:pt idx="17">
                  <c:v>9.3002662384986543</c:v>
                </c:pt>
                <c:pt idx="18">
                  <c:v>9.2166465548352168</c:v>
                </c:pt>
                <c:pt idx="19">
                  <c:v>9.1285108987666348</c:v>
                </c:pt>
                <c:pt idx="20">
                  <c:v>9.0359024550009632</c:v>
                </c:pt>
                <c:pt idx="21">
                  <c:v>8.9388665998227363</c:v>
                </c:pt>
                <c:pt idx="22">
                  <c:v>8.8374508788594976</c:v>
                </c:pt>
                <c:pt idx="23">
                  <c:v>8.7317049837853915</c:v>
                </c:pt>
                <c:pt idx="24">
                  <c:v>8.6216807279732421</c:v>
                </c:pt>
                <c:pt idx="25">
                  <c:v>8.5074320211070287</c:v>
                </c:pt>
                <c:pt idx="26">
                  <c:v>8.3890148427672298</c:v>
                </c:pt>
                <c:pt idx="27">
                  <c:v>8.2664872150019395</c:v>
                </c:pt>
                <c:pt idx="28">
                  <c:v>8.1399091738972249</c:v>
                </c:pt>
                <c:pt idx="29">
                  <c:v>8.0093427401606601</c:v>
                </c:pt>
                <c:pt idx="30">
                  <c:v>7.8748518887323975</c:v>
                </c:pt>
                <c:pt idx="31">
                  <c:v>7.7365025174387432</c:v>
                </c:pt>
                <c:pt idx="32">
                  <c:v>7.5943624147035376</c:v>
                </c:pt>
                <c:pt idx="33">
                  <c:v>7.44850122633318</c:v>
                </c:pt>
                <c:pt idx="34">
                  <c:v>7.2989904213915802</c:v>
                </c:pt>
                <c:pt idx="35">
                  <c:v>7.1459032571817449</c:v>
                </c:pt>
                <c:pt idx="36">
                  <c:v>6.9893147433511729</c:v>
                </c:pt>
                <c:pt idx="37">
                  <c:v>6.8293016051386122</c:v>
                </c:pt>
                <c:pt idx="38">
                  <c:v>6.6659422457802453</c:v>
                </c:pt>
                <c:pt idx="39">
                  <c:v>6.4993167080936614</c:v>
                </c:pt>
                <c:pt idx="40">
                  <c:v>6.3295066352584826</c:v>
                </c:pt>
                <c:pt idx="41">
                  <c:v>6.1565952308128367</c:v>
                </c:pt>
                <c:pt idx="42">
                  <c:v>5.9806672178852915</c:v>
                </c:pt>
                <c:pt idx="43">
                  <c:v>5.8018087976822112</c:v>
                </c:pt>
                <c:pt idx="44">
                  <c:v>5.6201076072508949</c:v>
                </c:pt>
                <c:pt idx="45">
                  <c:v>5.4356526765391751</c:v>
                </c:pt>
                <c:pt idx="46">
                  <c:v>5.2485343847725252</c:v>
                </c:pt>
                <c:pt idx="47">
                  <c:v>5.0588444161700465</c:v>
                </c:pt>
                <c:pt idx="48">
                  <c:v>4.866675715021036</c:v>
                </c:pt>
                <c:pt idx="49">
                  <c:v>4.6721224401441468</c:v>
                </c:pt>
                <c:pt idx="50">
                  <c:v>4.4752799187514434</c:v>
                </c:pt>
                <c:pt idx="51">
                  <c:v>4.2762445997399796</c:v>
                </c:pt>
                <c:pt idx="52">
                  <c:v>4.0751140064337754</c:v>
                </c:pt>
                <c:pt idx="53">
                  <c:v>3.8719866887993244</c:v>
                </c:pt>
                <c:pt idx="54">
                  <c:v>3.6669621751580967</c:v>
                </c:pt>
                <c:pt idx="55">
                  <c:v>3.4601409234196461</c:v>
                </c:pt>
                <c:pt idx="56">
                  <c:v>3.2516242718592401</c:v>
                </c:pt>
                <c:pt idx="57">
                  <c:v>3.0415143894641457</c:v>
                </c:pt>
                <c:pt idx="58">
                  <c:v>2.8299142258728502</c:v>
                </c:pt>
                <c:pt idx="59">
                  <c:v>2.6169274609318203</c:v>
                </c:pt>
                <c:pt idx="60">
                  <c:v>2.4026584538944373</c:v>
                </c:pt>
                <c:pt idx="61">
                  <c:v>2.1872121922870504</c:v>
                </c:pt>
                <c:pt idx="62">
                  <c:v>1.9706942404672008</c:v>
                </c:pt>
                <c:pt idx="63">
                  <c:v>1.7532106878991824</c:v>
                </c:pt>
                <c:pt idx="64">
                  <c:v>1.5348680971723474</c:v>
                </c:pt>
                <c:pt idx="65">
                  <c:v>1.3157734517875466</c:v>
                </c:pt>
                <c:pt idx="66">
                  <c:v>1.0960341037373733</c:v>
                </c:pt>
                <c:pt idx="67">
                  <c:v>0.8757577209058286</c:v>
                </c:pt>
                <c:pt idx="68">
                  <c:v>0.65505223431320414</c:v>
                </c:pt>
                <c:pt idx="69">
                  <c:v>0.43402578523205765</c:v>
                </c:pt>
                <c:pt idx="70">
                  <c:v>0.21278667220013606</c:v>
                </c:pt>
                <c:pt idx="71">
                  <c:v>-8.5567020437265114E-3</c:v>
                </c:pt>
                <c:pt idx="72">
                  <c:v>-0.22989588367478794</c:v>
                </c:pt>
                <c:pt idx="73">
                  <c:v>-0.45112242092260924</c:v>
                </c:pt>
                <c:pt idx="74">
                  <c:v>-0.67212791721023679</c:v>
                </c:pt>
                <c:pt idx="75">
                  <c:v>-0.89280408426637303</c:v>
                </c:pt>
                <c:pt idx="76">
                  <c:v>-1.1130427951844488</c:v>
                </c:pt>
                <c:pt idx="77">
                  <c:v>-1.3327361374026496</c:v>
                </c:pt>
                <c:pt idx="78">
                  <c:v>-1.5517764655789188</c:v>
                </c:pt>
                <c:pt idx="79">
                  <c:v>-1.7700564543350055</c:v>
                </c:pt>
                <c:pt idx="80">
                  <c:v>-1.9874691508437712</c:v>
                </c:pt>
                <c:pt idx="81">
                  <c:v>-2.2039080272339171</c:v>
                </c:pt>
                <c:pt idx="82">
                  <c:v>-2.4192670327865273</c:v>
                </c:pt>
                <c:pt idx="83">
                  <c:v>-2.6334406458977822</c:v>
                </c:pt>
                <c:pt idx="84">
                  <c:v>-2.8463239257824426</c:v>
                </c:pt>
                <c:pt idx="85">
                  <c:v>-3.0578125638927398</c:v>
                </c:pt>
                <c:pt idx="86">
                  <c:v>-3.2678029350274618</c:v>
                </c:pt>
                <c:pt idx="87">
                  <c:v>-3.4761921481062434</c:v>
                </c:pt>
                <c:pt idx="88">
                  <c:v>-3.6828780965841288</c:v>
                </c:pt>
                <c:pt idx="89">
                  <c:v>-3.8877595084817349</c:v>
                </c:pt>
                <c:pt idx="90">
                  <c:v>-4.0907359960065053</c:v>
                </c:pt>
                <c:pt idx="91">
                  <c:v>-4.291708104740704</c:v>
                </c:pt>
                <c:pt idx="92">
                  <c:v>-4.4905773623721021</c:v>
                </c:pt>
                <c:pt idx="93">
                  <c:v>-4.6872463269434386</c:v>
                </c:pt>
                <c:pt idx="94">
                  <c:v>-4.8816186345970323</c:v>
                </c:pt>
                <c:pt idx="95">
                  <c:v>-5.0735990467911272</c:v>
                </c:pt>
                <c:pt idx="96">
                  <c:v>-5.2630934969648981</c:v>
                </c:pt>
                <c:pt idx="97">
                  <c:v>-5.4500091366291636</c:v>
                </c:pt>
                <c:pt idx="98">
                  <c:v>-5.6342543808603045</c:v>
                </c:pt>
                <c:pt idx="99">
                  <c:v>-5.8157389531750168</c:v>
                </c:pt>
                <c:pt idx="100">
                  <c:v>-5.9943739297640173</c:v>
                </c:pt>
                <c:pt idx="101">
                  <c:v>-6.1700717830629106</c:v>
                </c:pt>
                <c:pt idx="102">
                  <c:v>-6.3427464246389356</c:v>
                </c:pt>
                <c:pt idx="103">
                  <c:v>-6.5123132473725986</c:v>
                </c:pt>
                <c:pt idx="104">
                  <c:v>-6.6786891669134549</c:v>
                </c:pt>
                <c:pt idx="105">
                  <c:v>-6.8417926623897856</c:v>
                </c:pt>
                <c:pt idx="106">
                  <c:v>-7.0015438163521715</c:v>
                </c:pt>
                <c:pt idx="107">
                  <c:v>-7.1578643539314815</c:v>
                </c:pt>
                <c:pt idx="108">
                  <c:v>-7.3106776811919625</c:v>
                </c:pt>
                <c:pt idx="109">
                  <c:v>-7.4599089226607447</c:v>
                </c:pt>
                <c:pt idx="110">
                  <c:v>-7.6054849580153308</c:v>
                </c:pt>
                <c:pt idx="111">
                  <c:v>-7.7473344579110837</c:v>
                </c:pt>
                <c:pt idx="112">
                  <c:v>-7.8853879189311762</c:v>
                </c:pt>
                <c:pt idx="113">
                  <c:v>-8.0195776976418838</c:v>
                </c:pt>
                <c:pt idx="114">
                  <c:v>-8.1498380437365103</c:v>
                </c:pt>
                <c:pt idx="115">
                  <c:v>-8.2761051322517236</c:v>
                </c:pt>
                <c:pt idx="116">
                  <c:v>-8.398317094840495</c:v>
                </c:pt>
                <c:pt idx="117">
                  <c:v>-8.5164140500863788</c:v>
                </c:pt>
                <c:pt idx="118">
                  <c:v>-8.630338132844189</c:v>
                </c:pt>
                <c:pt idx="119">
                  <c:v>-8.7400335225927659</c:v>
                </c:pt>
                <c:pt idx="120">
                  <c:v>-8.8454464707859213</c:v>
                </c:pt>
                <c:pt idx="121">
                  <c:v>-8.9465253271881426</c:v>
                </c:pt>
                <c:pt idx="122">
                  <c:v>-9.0432205651821782</c:v>
                </c:pt>
                <c:pt idx="123">
                  <c:v>-9.1354848060360876</c:v>
                </c:pt>
                <c:pt idx="124">
                  <c:v>-9.2232728421178809</c:v>
                </c:pt>
                <c:pt idx="125">
                  <c:v>-9.3065416590463439</c:v>
                </c:pt>
                <c:pt idx="126">
                  <c:v>-9.3852504567672153</c:v>
                </c:pt>
                <c:pt idx="127">
                  <c:v>-9.4593606695444254</c:v>
                </c:pt>
                <c:pt idx="128">
                  <c:v>-9.5288359848565101</c:v>
                </c:pt>
                <c:pt idx="129">
                  <c:v>-9.593642361189028</c:v>
                </c:pt>
                <c:pt idx="130">
                  <c:v>-9.6537480447142165</c:v>
                </c:pt>
                <c:pt idx="131">
                  <c:v>-9.7091235848497544</c:v>
                </c:pt>
                <c:pt idx="132">
                  <c:v>-9.7597418486889236</c:v>
                </c:pt>
                <c:pt idx="133">
                  <c:v>-9.8055780342952126</c:v>
                </c:pt>
                <c:pt idx="134">
                  <c:v>-9.8466096828547673</c:v>
                </c:pt>
                <c:pt idx="135">
                  <c:v>-9.8828166896807534</c:v>
                </c:pt>
                <c:pt idx="136">
                  <c:v>-9.9141813140642565</c:v>
                </c:pt>
                <c:pt idx="137">
                  <c:v>-9.940688187966872</c:v>
                </c:pt>
                <c:pt idx="138">
                  <c:v>-9.9623243235507388</c:v>
                </c:pt>
                <c:pt idx="139">
                  <c:v>-9.9790791195423161</c:v>
                </c:pt>
                <c:pt idx="140">
                  <c:v>-9.990944366426799</c:v>
                </c:pt>
                <c:pt idx="141">
                  <c:v>-9.9979142504706111</c:v>
                </c:pt>
                <c:pt idx="142">
                  <c:v>-9.9999853565700274</c:v>
                </c:pt>
                <c:pt idx="143">
                  <c:v>-9.9971566699244967</c:v>
                </c:pt>
                <c:pt idx="144">
                  <c:v>-9.9894295765338761</c:v>
                </c:pt>
                <c:pt idx="145">
                  <c:v>-9.9768078625193279</c:v>
                </c:pt>
                <c:pt idx="146">
                  <c:v>-9.9592977122681852</c:v>
                </c:pt>
                <c:pt idx="147">
                  <c:v>-9.9369077054037227</c:v>
                </c:pt>
                <c:pt idx="148">
                  <c:v>-9.9096488125813256</c:v>
                </c:pt>
                <c:pt idx="149">
                  <c:v>-9.8775343901130821</c:v>
                </c:pt>
                <c:pt idx="150">
                  <c:v>-9.8405801734234561</c:v>
                </c:pt>
                <c:pt idx="151">
                  <c:v>-9.7988042693392448</c:v>
                </c:pt>
                <c:pt idx="152">
                  <c:v>-9.7522271472175959</c:v>
                </c:pt>
                <c:pt idx="153">
                  <c:v>-9.7008716289164365</c:v>
                </c:pt>
                <c:pt idx="154">
                  <c:v>-9.6447628776122123</c:v>
                </c:pt>
                <c:pt idx="155">
                  <c:v>-9.5839283854704327</c:v>
                </c:pt>
                <c:pt idx="156">
                  <c:v>-9.5183979601750774</c:v>
                </c:pt>
                <c:pt idx="157">
                  <c:v>-9.4482037103234049</c:v>
                </c:pt>
                <c:pt idx="158">
                  <c:v>-9.3733800296933971</c:v>
                </c:pt>
                <c:pt idx="159">
                  <c:v>-9.293963580391484</c:v>
                </c:pt>
                <c:pt idx="160">
                  <c:v>-9.2099932748888662</c:v>
                </c:pt>
                <c:pt idx="161">
                  <c:v>-9.1215102569551583</c:v>
                </c:pt>
                <c:pt idx="162">
                  <c:v>-9.0285578814987772</c:v>
                </c:pt>
                <c:pt idx="163">
                  <c:v>-8.9311816933239072</c:v>
                </c:pt>
                <c:pt idx="164">
                  <c:v>-8.8294294048144533</c:v>
                </c:pt>
                <c:pt idx="165">
                  <c:v>-8.7233508725559172</c:v>
                </c:pt>
                <c:pt idx="166">
                  <c:v>-8.6129980729066915</c:v>
                </c:pt>
                <c:pt idx="167">
                  <c:v>-8.4984250765306655</c:v>
                </c:pt>
                <c:pt idx="168">
                  <c:v>-8.3796880219036822</c:v>
                </c:pt>
                <c:pt idx="169">
                  <c:v>-8.2568450878068163</c:v>
                </c:pt>
                <c:pt idx="170">
                  <c:v>-8.1299564648199407</c:v>
                </c:pt>
                <c:pt idx="171">
                  <c:v>-7.9990843258295223</c:v>
                </c:pt>
                <c:pt idx="172">
                  <c:v>-7.8642927955651762</c:v>
                </c:pt>
                <c:pt idx="173">
                  <c:v>-7.7256479191798286</c:v>
                </c:pt>
                <c:pt idx="174">
                  <c:v>-7.5832176298888969</c:v>
                </c:pt>
                <c:pt idx="175">
                  <c:v>-7.4370717156843886</c:v>
                </c:pt>
                <c:pt idx="176">
                  <c:v>-7.2872817851401699</c:v>
                </c:pt>
                <c:pt idx="177">
                  <c:v>-7.1339212323252177</c:v>
                </c:pt>
                <c:pt idx="178">
                  <c:v>-6.9770652008419685</c:v>
                </c:pt>
                <c:pt idx="179">
                  <c:v>-6.8167905470074697</c:v>
                </c:pt>
                <c:pt idx="180">
                  <c:v>-6.6531758021953298</c:v>
                </c:pt>
                <c:pt idx="181">
                  <c:v>-6.4863011343568973</c:v>
                </c:pt>
                <c:pt idx="182">
                  <c:v>-6.3162483087405903</c:v>
                </c:pt>
                <c:pt idx="183">
                  <c:v>-6.1431006478285317</c:v>
                </c:pt>
                <c:pt idx="184">
                  <c:v>-5.9669429905102351</c:v>
                </c:pt>
                <c:pt idx="185">
                  <c:v>-5.7878616505132312</c:v>
                </c:pt>
                <c:pt idx="186">
                  <c:v>-5.6059443741110409</c:v>
                </c:pt>
                <c:pt idx="187">
                  <c:v>-5.4212802971293153</c:v>
                </c:pt>
                <c:pt idx="188">
                  <c:v>-5.2339599012710005</c:v>
                </c:pt>
                <c:pt idx="189">
                  <c:v>-5.0440749697821659</c:v>
                </c:pt>
                <c:pt idx="190">
                  <c:v>-4.8517185424800324</c:v>
                </c:pt>
                <c:pt idx="191">
                  <c:v>-4.6569848701652914</c:v>
                </c:pt>
                <c:pt idx="192">
                  <c:v>-4.4599693684411532</c:v>
                </c:pt>
                <c:pt idx="193">
                  <c:v>-4.2607685709615835</c:v>
                </c:pt>
                <c:pt idx="194">
                  <c:v>-4.059480082131719</c:v>
                </c:pt>
                <c:pt idx="195">
                  <c:v>-3.8562025292837143</c:v>
                </c:pt>
                <c:pt idx="196">
                  <c:v>-3.6510355143512943</c:v>
                </c:pt>
                <c:pt idx="197">
                  <c:v>-3.4440795650667764</c:v>
                </c:pt>
                <c:pt idx="198">
                  <c:v>-3.235436085704543</c:v>
                </c:pt>
                <c:pt idx="199">
                  <c:v>-3.0252073073949481</c:v>
                </c:pt>
                <c:pt idx="200">
                  <c:v>-2.8134962380330975</c:v>
                </c:pt>
                <c:pt idx="201">
                  <c:v>-2.6004066118070615</c:v>
                </c:pt>
                <c:pt idx="202">
                  <c:v>-2.3860428383701846</c:v>
                </c:pt>
                <c:pt idx="203">
                  <c:v>-2.1705099516824751</c:v>
                </c:pt>
                <c:pt idx="204">
                  <c:v>-1.9539135585460188</c:v>
                </c:pt>
                <c:pt idx="205">
                  <c:v>-1.7363597868597902</c:v>
                </c:pt>
                <c:pt idx="206">
                  <c:v>-1.5179552336190985</c:v>
                </c:pt>
                <c:pt idx="207">
                  <c:v>-1.2988069126851913</c:v>
                </c:pt>
                <c:pt idx="208">
                  <c:v>-1.079022202350606</c:v>
                </c:pt>
                <c:pt idx="209">
                  <c:v>-0.85870879272595213</c:v>
                </c:pt>
                <c:pt idx="210">
                  <c:v>-0.63797463297391366</c:v>
                </c:pt>
                <c:pt idx="211">
                  <c:v>-0.41692787841631845</c:v>
                </c:pt>
                <c:pt idx="212">
                  <c:v>-0.19567683754019513</c:v>
                </c:pt>
                <c:pt idx="213">
                  <c:v>2.5670081071228368E-2</c:v>
                </c:pt>
                <c:pt idx="214">
                  <c:v>0.24700442185652524</c:v>
                </c:pt>
                <c:pt idx="215">
                  <c:v>0.46821773541717848</c:v>
                </c:pt>
                <c:pt idx="216">
                  <c:v>0.68920163165558079</c:v>
                </c:pt>
                <c:pt idx="217">
                  <c:v>0.90984783288402282</c:v>
                </c:pt>
                <c:pt idx="218">
                  <c:v>1.1300482268785927</c:v>
                </c:pt>
                <c:pt idx="219">
                  <c:v>1.3496949198520047</c:v>
                </c:pt>
                <c:pt idx="220">
                  <c:v>1.5686802893193943</c:v>
                </c:pt>
                <c:pt idx="221">
                  <c:v>1.7868970368311823</c:v>
                </c:pt>
                <c:pt idx="222">
                  <c:v>2.004238240547171</c:v>
                </c:pt>
                <c:pt idx="223">
                  <c:v>2.2205974076261032</c:v>
                </c:pt>
                <c:pt idx="224">
                  <c:v>2.4358685264050348</c:v>
                </c:pt>
                <c:pt idx="225">
                  <c:v>2.6499461183428927</c:v>
                </c:pt>
                <c:pt idx="226">
                  <c:v>2.8627252897029023</c:v>
                </c:pt>
                <c:pt idx="227">
                  <c:v>3.0741017829483837</c:v>
                </c:pt>
                <c:pt idx="228">
                  <c:v>3.2839720278268691</c:v>
                </c:pt>
                <c:pt idx="229">
                  <c:v>3.4922331921174528</c:v>
                </c:pt>
                <c:pt idx="230">
                  <c:v>3.6987832320165235</c:v>
                </c:pt>
                <c:pt idx="231">
                  <c:v>3.9035209421371855</c:v>
                </c:pt>
                <c:pt idx="232">
                  <c:v>4.1063460050978735</c:v>
                </c:pt>
                <c:pt idx="233">
                  <c:v>4.3071590406758604</c:v>
                </c:pt>
                <c:pt idx="234">
                  <c:v>4.505861654501591</c:v>
                </c:pt>
                <c:pt idx="235">
                  <c:v>4.7023564862699168</c:v>
                </c:pt>
                <c:pt idx="236">
                  <c:v>4.8965472574447499</c:v>
                </c:pt>
                <c:pt idx="237">
                  <c:v>5.0883388184335852</c:v>
                </c:pt>
                <c:pt idx="238">
                  <c:v>5.2776371952089045</c:v>
                </c:pt>
                <c:pt idx="239">
                  <c:v>5.4643496353535701</c:v>
                </c:pt>
                <c:pt idx="240">
                  <c:v>5.6483846535076552</c:v>
                </c:pt>
                <c:pt idx="241">
                  <c:v>5.8296520761944421</c:v>
                </c:pt>
                <c:pt idx="242">
                  <c:v>6.0080630860036068</c:v>
                </c:pt>
                <c:pt idx="243">
                  <c:v>6.1835302651099981</c:v>
                </c:pt>
                <c:pt idx="244">
                  <c:v>6.3559676381065984</c:v>
                </c:pt>
                <c:pt idx="245">
                  <c:v>6.5252907141307759</c:v>
                </c:pt>
                <c:pt idx="246">
                  <c:v>6.6914165282630815</c:v>
                </c:pt>
                <c:pt idx="247">
                  <c:v>6.854263682178444</c:v>
                </c:pt>
                <c:pt idx="248">
                  <c:v>7.0137523840296909</c:v>
                </c:pt>
                <c:pt idx="249">
                  <c:v>7.169804487543967</c:v>
                </c:pt>
                <c:pt idx="250">
                  <c:v>7.3223435303128435</c:v>
                </c:pt>
                <c:pt idx="251">
                  <c:v>7.4712947712573641</c:v>
                </c:pt>
                <c:pt idx="252">
                  <c:v>7.616585227249681</c:v>
                </c:pt>
                <c:pt idx="253">
                  <c:v>7.7581437088733356</c:v>
                </c:pt>
                <c:pt idx="254">
                  <c:v>7.8959008553046299</c:v>
                </c:pt>
                <c:pt idx="255">
                  <c:v>8.0297891682980627</c:v>
                </c:pt>
                <c:pt idx="256">
                  <c:v>8.1597430452591091</c:v>
                </c:pt>
                <c:pt idx="257">
                  <c:v>8.2856988113881656</c:v>
                </c:pt>
                <c:pt idx="258">
                  <c:v>8.4075947508799551</c:v>
                </c:pt>
                <c:pt idx="259">
                  <c:v>8.5253711371630274</c:v>
                </c:pt>
                <c:pt idx="260">
                  <c:v>8.6389702621645696</c:v>
                </c:pt>
                <c:pt idx="261">
                  <c:v>8.7483364645862256</c:v>
                </c:pt>
                <c:pt idx="262">
                  <c:v>8.8534161571770085</c:v>
                </c:pt>
                <c:pt idx="263">
                  <c:v>8.954157852989983</c:v>
                </c:pt>
                <c:pt idx="264">
                  <c:v>9.050512190609842</c:v>
                </c:pt>
                <c:pt idx="265">
                  <c:v>9.1424319583390066</c:v>
                </c:pt>
                <c:pt idx="266">
                  <c:v>9.2298721173304301</c:v>
                </c:pt>
                <c:pt idx="267">
                  <c:v>9.3127898236556987</c:v>
                </c:pt>
                <c:pt idx="268">
                  <c:v>9.3911444492977356</c:v>
                </c:pt>
                <c:pt idx="269">
                  <c:v>9.4648976020576967</c:v>
                </c:pt>
                <c:pt idx="270">
                  <c:v>9.5340131443663836</c:v>
                </c:pt>
                <c:pt idx="271">
                  <c:v>9.5984572109909276</c:v>
                </c:pt>
                <c:pt idx="272">
                  <c:v>9.6581982256280803</c:v>
                </c:pt>
                <c:pt idx="273">
                  <c:v>9.7132069163759702</c:v>
                </c:pt>
                <c:pt idx="274">
                  <c:v>9.7634563300767425</c:v>
                </c:pt>
                <c:pt idx="275">
                  <c:v>9.8089218455230771</c:v>
                </c:pt>
                <c:pt idx="276">
                  <c:v>9.8495811855220747</c:v>
                </c:pt>
                <c:pt idx="277">
                  <c:v>9.8854144278106553</c:v>
                </c:pt>
                <c:pt idx="278">
                  <c:v>9.9164040148170436</c:v>
                </c:pt>
                <c:pt idx="279">
                  <c:v>9.9425347622636462</c:v>
                </c:pt>
                <c:pt idx="280">
                  <c:v>9.9637938666070429</c:v>
                </c:pt>
                <c:pt idx="281">
                  <c:v>9.9801709113114541</c:v>
                </c:pt>
                <c:pt idx="282">
                  <c:v>9.991657871952647</c:v>
                </c:pt>
                <c:pt idx="283">
                  <c:v>9.9982491201497403</c:v>
                </c:pt>
                <c:pt idx="284">
                  <c:v>9.9999414263229944</c:v>
                </c:pt>
                <c:pt idx="285">
                  <c:v>9.9967339612762434</c:v>
                </c:pt>
                <c:pt idx="286">
                  <c:v>9.9886282966031867</c:v>
                </c:pt>
                <c:pt idx="287">
                  <c:v>9.9756284039173337</c:v>
                </c:pt>
                <c:pt idx="288">
                  <c:v>9.9577406529059989</c:v>
                </c:pt>
                <c:pt idx="289">
                  <c:v>9.934973808209282</c:v>
                </c:pt>
                <c:pt idx="290">
                  <c:v>9.9073390251255642</c:v>
                </c:pt>
                <c:pt idx="291">
                  <c:v>9.874849844145638</c:v>
                </c:pt>
                <c:pt idx="292">
                  <c:v>9.8375221843181375</c:v>
                </c:pt>
                <c:pt idx="293">
                  <c:v>9.7953743354495355</c:v>
                </c:pt>
                <c:pt idx="294">
                  <c:v>9.7484269491424733</c:v>
                </c:pt>
                <c:pt idx="295">
                  <c:v>9.6967030286769234</c:v>
                </c:pt>
                <c:pt idx="296">
                  <c:v>9.6402279177390184</c:v>
                </c:pt>
                <c:pt idx="297">
                  <c:v>9.5790292880031664</c:v>
                </c:pt>
                <c:pt idx="298">
                  <c:v>9.5131371255734685</c:v>
                </c:pt>
                <c:pt idx="299">
                  <c:v>9.4425837162911535</c:v>
                </c:pt>
                <c:pt idx="300">
                  <c:v>9.3674036299151311</c:v>
                </c:pt>
                <c:pt idx="301">
                  <c:v>9.287633703183527</c:v>
                </c:pt>
                <c:pt idx="302">
                  <c:v>9.2033130217643979</c:v>
                </c:pt>
                <c:pt idx="303">
                  <c:v>9.1144829011045498</c:v>
                </c:pt>
                <c:pt idx="304">
                  <c:v>9.0211868661857935</c:v>
                </c:pt>
                <c:pt idx="305">
                  <c:v>8.923470630198576</c:v>
                </c:pt>
                <c:pt idx="306">
                  <c:v>8.8213820721434164</c:v>
                </c:pt>
                <c:pt idx="307">
                  <c:v>8.7149712133711805</c:v>
                </c:pt>
                <c:pt idx="308">
                  <c:v>8.6042901930735916</c:v>
                </c:pt>
                <c:pt idx="309">
                  <c:v>8.4893932427360834</c:v>
                </c:pt>
                <c:pt idx="310">
                  <c:v>8.3703366595654796</c:v>
                </c:pt>
                <c:pt idx="311">
                  <c:v>8.2471787789054378</c:v>
                </c:pt>
                <c:pt idx="312">
                  <c:v>8.1199799456533395</c:v>
                </c:pt>
                <c:pt idx="313">
                  <c:v>7.9888024846924832</c:v>
                </c:pt>
                <c:pt idx="314">
                  <c:v>7.8537106703541406</c:v>
                </c:pt>
                <c:pt idx="315">
                  <c:v>7.7147706949244181</c:v>
                </c:pt>
                <c:pt idx="316">
                  <c:v>7.5720506362113653</c:v>
                </c:pt>
                <c:pt idx="317">
                  <c:v>7.4256204241882084</c:v>
                </c:pt>
                <c:pt idx="318">
                  <c:v>7.2755518067290614</c:v>
                </c:pt>
                <c:pt idx="319">
                  <c:v>7.1219183144539038</c:v>
                </c:pt>
                <c:pt idx="320">
                  <c:v>6.9647952247000475</c:v>
                </c:pt>
                <c:pt idx="321">
                  <c:v>6.8042595246377635</c:v>
                </c:pt>
                <c:pt idx="322">
                  <c:v>6.6403898735480755</c:v>
                </c:pt>
                <c:pt idx="323">
                  <c:v>6.473266564281313</c:v>
                </c:pt>
                <c:pt idx="324">
                  <c:v>6.3029714839152122</c:v>
                </c:pt>
                <c:pt idx="325">
                  <c:v>6.1295880736318873</c:v>
                </c:pt>
                <c:pt idx="326">
                  <c:v>5.9532012878333216</c:v>
                </c:pt>
                <c:pt idx="327">
                  <c:v>5.7738975525154084</c:v>
                </c:pt>
                <c:pt idx="328">
                  <c:v>5.5917647229209404</c:v>
                </c:pt>
                <c:pt idx="329">
                  <c:v>5.4068920404923091</c:v>
                </c:pt>
                <c:pt idx="330">
                  <c:v>5.2193700891449604</c:v>
                </c:pt>
                <c:pt idx="331">
                  <c:v>5.0292907508831286</c:v>
                </c:pt>
                <c:pt idx="332">
                  <c:v>4.8367471607794457</c:v>
                </c:pt>
                <c:pt idx="333">
                  <c:v>4.6418336613406499</c:v>
                </c:pt>
                <c:pt idx="334">
                  <c:v>4.4446457562816359</c:v>
                </c:pt>
                <c:pt idx="335">
                  <c:v>4.2452800637305455</c:v>
                </c:pt>
                <c:pt idx="336">
                  <c:v>4.0438342688878182</c:v>
                </c:pt>
                <c:pt idx="337">
                  <c:v>3.8404070761623985</c:v>
                </c:pt>
                <c:pt idx="338">
                  <c:v>3.6350981608085489</c:v>
                </c:pt>
                <c:pt idx="339">
                  <c:v>3.4280081200869716</c:v>
                </c:pt>
                <c:pt idx="340">
                  <c:v>3.2192384239741605</c:v>
                </c:pt>
                <c:pt idx="341">
                  <c:v>3.0088913654441369</c:v>
                </c:pt>
                <c:pt idx="342">
                  <c:v>2.7970700103469719</c:v>
                </c:pt>
                <c:pt idx="343">
                  <c:v>2.5838781469085323</c:v>
                </c:pt>
                <c:pt idx="344">
                  <c:v>2.3694202348763591</c:v>
                </c:pt>
                <c:pt idx="345">
                  <c:v>2.1538013543364709</c:v>
                </c:pt>
                <c:pt idx="346">
                  <c:v>1.9371271542262303</c:v>
                </c:pt>
                <c:pt idx="347">
                  <c:v>1.7195038005684711</c:v>
                </c:pt>
                <c:pt idx="348">
                  <c:v>1.5010379244522771</c:v>
                </c:pt>
                <c:pt idx="349">
                  <c:v>1.281836569785878</c:v>
                </c:pt>
                <c:pt idx="350">
                  <c:v>1.0620071408472782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C8-437E-A172-4327DAC01246}"/>
            </c:ext>
          </c:extLst>
        </c:ser>
        <c:ser>
          <c:idx val="6"/>
          <c:order val="1"/>
          <c:tx>
            <c:v>Theta(Numérico-RK4)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'edo - pêndulo - an.eul.rk4 - v2'!$A$10:$A$360</c:f>
              <c:numCache>
                <c:formatCode>0.00</c:formatCode>
                <c:ptCount val="3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</c:numCache>
            </c:numRef>
          </c:xVal>
          <c:yVal>
            <c:numRef>
              <c:f>'edo - pêndulo - an.eul.rk4 - v2'!$B$10:$B$360</c:f>
              <c:numCache>
                <c:formatCode>0.00</c:formatCode>
                <c:ptCount val="351"/>
                <c:pt idx="0">
                  <c:v>10</c:v>
                </c:pt>
                <c:pt idx="1">
                  <c:v>10</c:v>
                </c:pt>
                <c:pt idx="2">
                  <c:v>9.9952167760051136</c:v>
                </c:pt>
                <c:pt idx="3">
                  <c:v>9.9856503280153426</c:v>
                </c:pt>
                <c:pt idx="4">
                  <c:v>9.9713029223231224</c:v>
                </c:pt>
                <c:pt idx="5">
                  <c:v>9.9521790916063164</c:v>
                </c:pt>
                <c:pt idx="6">
                  <c:v>9.9282856340401207</c:v>
                </c:pt>
                <c:pt idx="7">
                  <c:v>9.8996316114271146</c:v>
                </c:pt>
                <c:pt idx="8">
                  <c:v>9.8662283463446876</c:v>
                </c:pt>
                <c:pt idx="9">
                  <c:v>9.8280894183091512</c:v>
                </c:pt>
                <c:pt idx="10">
                  <c:v>9.7852306589558236</c:v>
                </c:pt>
                <c:pt idx="11">
                  <c:v>9.7376701462344695</c:v>
                </c:pt>
                <c:pt idx="12">
                  <c:v>9.6854281976195153</c:v>
                </c:pt>
                <c:pt idx="13">
                  <c:v>9.6285273623345251</c:v>
                </c:pt>
                <c:pt idx="14">
                  <c:v>9.5669924125905208</c:v>
                </c:pt>
                <c:pt idx="15">
                  <c:v>9.5008503338377928</c:v>
                </c:pt>
                <c:pt idx="16">
                  <c:v>9.4301303140310182</c:v>
                </c:pt>
                <c:pt idx="17">
                  <c:v>9.3548637319075798</c:v>
                </c:pt>
                <c:pt idx="18">
                  <c:v>9.2750841442791536</c:v>
                </c:pt>
                <c:pt idx="19">
                  <c:v>9.1908272723368238</c:v>
                </c:pt>
                <c:pt idx="20">
                  <c:v>9.1021309869701472</c:v>
                </c:pt>
                <c:pt idx="21">
                  <c:v>9.0090352931008351</c:v>
                </c:pt>
                <c:pt idx="22">
                  <c:v>8.9115823130319196</c:v>
                </c:pt>
                <c:pt idx="23">
                  <c:v>8.8098162688136341</c:v>
                </c:pt>
                <c:pt idx="24">
                  <c:v>8.7037834636273903</c:v>
                </c:pt>
                <c:pt idx="25">
                  <c:v>8.5935322621897026</c:v>
                </c:pt>
                <c:pt idx="26">
                  <c:v>8.4791130701781547</c:v>
                </c:pt>
                <c:pt idx="27">
                  <c:v>8.3605783126819269</c:v>
                </c:pt>
                <c:pt idx="28">
                  <c:v>8.2379824116797948</c:v>
                </c:pt>
                <c:pt idx="29">
                  <c:v>8.1113817625489517</c:v>
                </c:pt>
                <c:pt idx="30">
                  <c:v>7.9808347096084606</c:v>
                </c:pt>
                <c:pt idx="31">
                  <c:v>7.8464015207016251</c:v>
                </c:pt>
                <c:pt idx="32">
                  <c:v>7.7081443608221143</c:v>
                </c:pt>
                <c:pt idx="33">
                  <c:v>7.5661272647891753</c:v>
                </c:pt>
                <c:pt idx="34">
                  <c:v>7.4204161089778999</c:v>
                </c:pt>
                <c:pt idx="35">
                  <c:v>7.2710785821110511</c:v>
                </c:pt>
                <c:pt idx="36">
                  <c:v>7.1181841551196241</c:v>
                </c:pt>
                <c:pt idx="37">
                  <c:v>6.9618040500799347</c:v>
                </c:pt>
                <c:pt idx="38">
                  <c:v>6.8020112082357418</c:v>
                </c:pt>
                <c:pt idx="39">
                  <c:v>6.6388802571145398</c:v>
                </c:pt>
                <c:pt idx="40">
                  <c:v>6.4724874767479639</c:v>
                </c:pt>
                <c:pt idx="41">
                  <c:v>6.3029107650068941</c:v>
                </c:pt>
                <c:pt idx="42">
                  <c:v>6.1302296020626672</c:v>
                </c:pt>
                <c:pt idx="43">
                  <c:v>5.9545250139865455</c:v>
                </c:pt>
                <c:pt idx="44">
                  <c:v>5.7758795355003905</c:v>
                </c:pt>
                <c:pt idx="45">
                  <c:v>5.5943771718922592</c:v>
                </c:pt>
                <c:pt idx="46">
                  <c:v>5.4101033601115134</c:v>
                </c:pt>
                <c:pt idx="47">
                  <c:v>5.2231449290587602</c:v>
                </c:pt>
                <c:pt idx="48">
                  <c:v>5.0335900590868548</c:v>
                </c:pt>
                <c:pt idx="49">
                  <c:v>4.8415282407299642</c:v>
                </c:pt>
                <c:pt idx="50">
                  <c:v>4.6470502326785548</c:v>
                </c:pt>
                <c:pt idx="51">
                  <c:v>4.4502480190189777</c:v>
                </c:pt>
                <c:pt idx="52">
                  <c:v>4.2512147657571608</c:v>
                </c:pt>
                <c:pt idx="53">
                  <c:v>4.0500447766467493</c:v>
                </c:pt>
                <c:pt idx="54">
                  <c:v>3.8468334483428324</c:v>
                </c:pt>
                <c:pt idx="55">
                  <c:v>3.6416772249032108</c:v>
                </c:pt>
                <c:pt idx="56">
                  <c:v>3.4346735516599503</c:v>
                </c:pt>
                <c:pt idx="57">
                  <c:v>3.2259208284847456</c:v>
                </c:pt>
                <c:pt idx="58">
                  <c:v>3.0155183624723723</c:v>
                </c:pt>
                <c:pt idx="59">
                  <c:v>2.8035663200672527</c:v>
                </c:pt>
                <c:pt idx="60">
                  <c:v>2.5901656786588769</c:v>
                </c:pt>
                <c:pt idx="61">
                  <c:v>2.3754181776725134</c:v>
                </c:pt>
                <c:pt idx="62">
                  <c:v>2.1594262691823092</c:v>
                </c:pt>
                <c:pt idx="63">
                  <c:v>1.9422930680745232</c:v>
                </c:pt>
                <c:pt idx="64">
                  <c:v>1.7241223017892369</c:v>
                </c:pt>
                <c:pt idx="65">
                  <c:v>1.5050182596694652</c:v>
                </c:pt>
                <c:pt idx="66">
                  <c:v>1.2850857419471271</c:v>
                </c:pt>
                <c:pt idx="67">
                  <c:v>1.0644300083958402</c:v>
                </c:pt>
                <c:pt idx="68">
                  <c:v>0.8431567266809632</c:v>
                </c:pt>
                <c:pt idx="69">
                  <c:v>0.62137192043773903</c:v>
                </c:pt>
                <c:pt idx="70">
                  <c:v>0.39918191710876932</c:v>
                </c:pt>
                <c:pt idx="71">
                  <c:v>0.1766932955723941</c:v>
                </c:pt>
                <c:pt idx="72">
                  <c:v>-4.598716640615836E-2</c:v>
                </c:pt>
                <c:pt idx="73">
                  <c:v>-0.26875254486873112</c:v>
                </c:pt>
                <c:pt idx="74">
                  <c:v>-0.49149582247098667</c:v>
                </c:pt>
                <c:pt idx="75">
                  <c:v>-0.71410994136946271</c:v>
                </c:pt>
                <c:pt idx="76">
                  <c:v>-0.93648785615634356</c:v>
                </c:pt>
                <c:pt idx="77">
                  <c:v>-1.1585225868092934</c:v>
                </c:pt>
                <c:pt idx="78">
                  <c:v>-1.3801072716236795</c:v>
                </c:pt>
                <c:pt idx="79">
                  <c:v>-1.6011352200945486</c:v>
                </c:pt>
                <c:pt idx="80">
                  <c:v>-1.8214999657157938</c:v>
                </c:pt>
                <c:pt idx="81">
                  <c:v>-2.0410953186640866</c:v>
                </c:pt>
                <c:pt idx="82">
                  <c:v>-2.2598154183353074</c:v>
                </c:pt>
                <c:pt idx="83">
                  <c:v>-2.4775547857014439</c:v>
                </c:pt>
                <c:pt idx="84">
                  <c:v>-2.6942083754561801</c:v>
                </c:pt>
                <c:pt idx="85">
                  <c:v>-2.9096716279177168</c:v>
                </c:pt>
                <c:pt idx="86">
                  <c:v>-3.1238405206577093</c:v>
                </c:pt>
                <c:pt idx="87">
                  <c:v>-3.3366116198256179</c:v>
                </c:pt>
                <c:pt idx="88">
                  <c:v>-3.5478821311381887</c:v>
                </c:pt>
                <c:pt idx="89">
                  <c:v>-3.7575499505042593</c:v>
                </c:pt>
                <c:pt idx="90">
                  <c:v>-3.9655137142556178</c:v>
                </c:pt>
                <c:pt idx="91">
                  <c:v>-4.1716728489551587</c:v>
                </c:pt>
                <c:pt idx="92">
                  <c:v>-4.3759276207541937</c:v>
                </c:pt>
                <c:pt idx="93">
                  <c:v>-4.5781791842713773</c:v>
                </c:pt>
                <c:pt idx="94">
                  <c:v>-4.7783296309663479</c:v>
                </c:pt>
                <c:pt idx="95">
                  <c:v>-4.9762820369818614</c:v>
                </c:pt>
                <c:pt idx="96">
                  <c:v>-5.1719405104289145</c:v>
                </c:pt>
                <c:pt idx="97">
                  <c:v>-5.3652102380900253</c:v>
                </c:pt>
                <c:pt idx="98">
                  <c:v>-5.5559975315166437</c:v>
                </c:pt>
                <c:pt idx="99">
                  <c:v>-5.7442098724973709</c:v>
                </c:pt>
                <c:pt idx="100">
                  <c:v>-5.9297559578744785</c:v>
                </c:pt>
                <c:pt idx="101">
                  <c:v>-6.1125457436869919</c:v>
                </c:pt>
                <c:pt idx="102">
                  <c:v>-6.2924904886194089</c:v>
                </c:pt>
                <c:pt idx="103">
                  <c:v>-6.4695027967359344</c:v>
                </c:pt>
                <c:pt idx="104">
                  <c:v>-6.6434966594809106</c:v>
                </c:pt>
                <c:pt idx="105">
                  <c:v>-6.8143874969269742</c:v>
                </c:pt>
                <c:pt idx="106">
                  <c:v>-6.9820921982532571</c:v>
                </c:pt>
                <c:pt idx="107">
                  <c:v>-7.1465291614367805</c:v>
                </c:pt>
                <c:pt idx="108">
                  <c:v>-7.3076183321410149</c:v>
                </c:pt>
                <c:pt idx="109">
                  <c:v>-7.4652812417863563</c:v>
                </c:pt>
                <c:pt idx="110">
                  <c:v>-7.6194410447881049</c:v>
                </c:pt>
                <c:pt idx="111">
                  <c:v>-7.7700225549482971</c:v>
                </c:pt>
                <c:pt idx="112">
                  <c:v>-7.9169522809885189</c:v>
                </c:pt>
                <c:pt idx="113">
                  <c:v>-8.0601584612115946</c:v>
                </c:pt>
                <c:pt idx="114">
                  <c:v>-8.1995710972808009</c:v>
                </c:pt>
                <c:pt idx="115">
                  <c:v>-8.3351219871059499</c:v>
                </c:pt>
                <c:pt idx="116">
                  <c:v>-8.4667447568264347</c:v>
                </c:pt>
                <c:pt idx="117">
                  <c:v>-8.594374891881964</c:v>
                </c:pt>
                <c:pt idx="118">
                  <c:v>-8.7179497671624144</c:v>
                </c:pt>
                <c:pt idx="119">
                  <c:v>-8.8374086762288684</c:v>
                </c:pt>
                <c:pt idx="120">
                  <c:v>-8.9526928595984732</c:v>
                </c:pt>
                <c:pt idx="121">
                  <c:v>-9.0637455320863705</c:v>
                </c:pt>
                <c:pt idx="122">
                  <c:v>-9.1705119091985363</c:v>
                </c:pt>
                <c:pt idx="123">
                  <c:v>-9.2729392325698079</c:v>
                </c:pt>
                <c:pt idx="124">
                  <c:v>-9.3709767944419973</c:v>
                </c:pt>
                <c:pt idx="125">
                  <c:v>-9.4645759611773421</c:v>
                </c:pt>
                <c:pt idx="126">
                  <c:v>-9.5536901958030782</c:v>
                </c:pt>
                <c:pt idx="127">
                  <c:v>-9.6382750795832663</c:v>
                </c:pt>
                <c:pt idx="128">
                  <c:v>-9.7182883326144491</c:v>
                </c:pt>
                <c:pt idx="129">
                  <c:v>-9.7936898334420022</c:v>
                </c:pt>
                <c:pt idx="130">
                  <c:v>-9.8644416376944122</c:v>
                </c:pt>
                <c:pt idx="131">
                  <c:v>-9.9305079957330094</c:v>
                </c:pt>
                <c:pt idx="132">
                  <c:v>-9.991855369314921</c:v>
                </c:pt>
                <c:pt idx="133">
                  <c:v>-10.048452447267257</c:v>
                </c:pt>
                <c:pt idx="134">
                  <c:v>-10.100270160170824</c:v>
                </c:pt>
                <c:pt idx="135">
                  <c:v>-10.147281694051694</c:v>
                </c:pt>
                <c:pt idx="136">
                  <c:v>-10.189462503079303</c:v>
                </c:pt>
                <c:pt idx="137">
                  <c:v>-10.226790321269769</c:v>
                </c:pt>
                <c:pt idx="138">
                  <c:v>-10.259245173193261</c:v>
                </c:pt>
                <c:pt idx="139">
                  <c:v>-10.286809383684377</c:v>
                </c:pt>
                <c:pt idx="140">
                  <c:v>-10.309467586554574</c:v>
                </c:pt>
                <c:pt idx="141">
                  <c:v>-10.327206732305669</c:v>
                </c:pt>
                <c:pt idx="142">
                  <c:v>-10.340016094843602</c:v>
                </c:pt>
                <c:pt idx="143">
                  <c:v>-10.347887277191578</c:v>
                </c:pt>
                <c:pt idx="144">
                  <c:v>-10.350814216201774</c:v>
                </c:pt>
                <c:pt idx="145">
                  <c:v>-10.348793186264801</c:v>
                </c:pt>
                <c:pt idx="146">
                  <c:v>-10.341822802016106</c:v>
                </c:pt>
                <c:pt idx="147">
                  <c:v>-10.329904020038475</c:v>
                </c:pt>
                <c:pt idx="148">
                  <c:v>-10.313040139559842</c:v>
                </c:pt>
                <c:pt idx="149">
                  <c:v>-10.291236802145525</c:v>
                </c:pt>
                <c:pt idx="150">
                  <c:v>-10.264501990384053</c:v>
                </c:pt>
                <c:pt idx="151">
                  <c:v>-10.232846025565728</c:v>
                </c:pt>
                <c:pt idx="152">
                  <c:v>-10.196281564353001</c:v>
                </c:pt>
                <c:pt idx="153">
                  <c:v>-10.154823594441869</c:v>
                </c:pt>
                <c:pt idx="154">
                  <c:v>-10.10848942921336</c:v>
                </c:pt>
                <c:pt idx="155">
                  <c:v>-10.057298701374283</c:v>
                </c:pt>
                <c:pt idx="156">
                  <c:v>-10.001273355586429</c:v>
                </c:pt>
                <c:pt idx="157">
                  <c:v>-9.9404376400834487</c:v>
                </c:pt>
                <c:pt idx="158">
                  <c:v>-9.8748180972746926</c:v>
                </c:pt>
                <c:pt idx="159">
                  <c:v>-9.8044435533353589</c:v>
                </c:pt>
                <c:pt idx="160">
                  <c:v>-9.7293451067824375</c:v>
                </c:pt>
                <c:pt idx="161">
                  <c:v>-9.6495561160360115</c:v>
                </c:pt>
                <c:pt idx="162">
                  <c:v>-9.5651121859656243</c:v>
                </c:pt>
                <c:pt idx="163">
                  <c:v>-9.4760511534216114</c:v>
                </c:pt>
                <c:pt idx="164">
                  <c:v>-9.3824130717514578</c:v>
                </c:pt>
                <c:pt idx="165">
                  <c:v>-9.2842401943014572</c:v>
                </c:pt>
                <c:pt idx="166">
                  <c:v>-9.1815769569042249</c:v>
                </c:pt>
                <c:pt idx="167">
                  <c:v>-9.0744699593528413</c:v>
                </c:pt>
                <c:pt idx="168">
                  <c:v>-8.9629679458627383</c:v>
                </c:pt>
                <c:pt idx="169">
                  <c:v>-8.8471217845227663</c:v>
                </c:pt>
                <c:pt idx="170">
                  <c:v>-8.7269844457372479</c:v>
                </c:pt>
                <c:pt idx="171">
                  <c:v>-8.6026109796611596</c:v>
                </c:pt>
                <c:pt idx="172">
                  <c:v>-8.4740584926311477</c:v>
                </c:pt>
                <c:pt idx="173">
                  <c:v>-8.3413861225953525</c:v>
                </c:pt>
                <c:pt idx="174">
                  <c:v>-8.2046550135456826</c:v>
                </c:pt>
                <c:pt idx="175">
                  <c:v>-8.0639282889565695</c:v>
                </c:pt>
                <c:pt idx="176">
                  <c:v>-7.9192710242348765</c:v>
                </c:pt>
                <c:pt idx="177">
                  <c:v>-7.7707502181861612</c:v>
                </c:pt>
                <c:pt idx="178">
                  <c:v>-7.6184347635031084</c:v>
                </c:pt>
                <c:pt idx="179">
                  <c:v>-7.4623954162826509</c:v>
                </c:pt>
                <c:pt idx="180">
                  <c:v>-7.3027047645788725</c:v>
                </c:pt>
                <c:pt idx="181">
                  <c:v>-7.1394371959995855</c:v>
                </c:pt>
                <c:pt idx="182">
                  <c:v>-6.9726688643550965</c:v>
                </c:pt>
                <c:pt idx="183">
                  <c:v>-6.8024776553685422</c:v>
                </c:pt>
                <c:pt idx="184">
                  <c:v>-6.6289431514578236</c:v>
                </c:pt>
                <c:pt idx="185">
                  <c:v>-6.4521465956000723</c:v>
                </c:pt>
                <c:pt idx="186">
                  <c:v>-6.2721708542903203</c:v>
                </c:pt>
                <c:pt idx="187">
                  <c:v>-6.0891003796069176</c:v>
                </c:pt>
                <c:pt idx="188">
                  <c:v>-5.9030211703970812</c:v>
                </c:pt>
                <c:pt idx="189">
                  <c:v>-5.7140207325968113</c:v>
                </c:pt>
                <c:pt idx="190">
                  <c:v>-5.5221880387003033</c:v>
                </c:pt>
                <c:pt idx="191">
                  <c:v>-5.3276134863948474</c:v>
                </c:pt>
                <c:pt idx="192">
                  <c:v>-5.1303888563781221</c:v>
                </c:pt>
                <c:pt idx="193">
                  <c:v>-4.9306072693756535</c:v>
                </c:pt>
                <c:pt idx="194">
                  <c:v>-4.7283631423771437</c:v>
                </c:pt>
                <c:pt idx="195">
                  <c:v>-4.5237521441112358</c:v>
                </c:pt>
                <c:pt idx="196">
                  <c:v>-4.3168711497791969</c:v>
                </c:pt>
                <c:pt idx="197">
                  <c:v>-4.1078181950688819</c:v>
                </c:pt>
                <c:pt idx="198">
                  <c:v>-3.89669242947121</c:v>
                </c:pt>
                <c:pt idx="199">
                  <c:v>-3.6835940689222806</c:v>
                </c:pt>
                <c:pt idx="200">
                  <c:v>-3.4686243477950613</c:v>
                </c:pt>
                <c:pt idx="201">
                  <c:v>-3.2518854702654698</c:v>
                </c:pt>
                <c:pt idx="202">
                  <c:v>-3.0334805610784463</c:v>
                </c:pt>
                <c:pt idx="203">
                  <c:v>-2.8135136157404297</c:v>
                </c:pt>
                <c:pt idx="204">
                  <c:v>-2.5920894501654121</c:v>
                </c:pt>
                <c:pt idx="205">
                  <c:v>-2.3693136498024958</c:v>
                </c:pt>
                <c:pt idx="206">
                  <c:v>-2.1452925182735698</c:v>
                </c:pt>
                <c:pt idx="207">
                  <c:v>-1.9201330255504352</c:v>
                </c:pt>
                <c:pt idx="208">
                  <c:v>-1.6939427557013216</c:v>
                </c:pt>
                <c:pt idx="209">
                  <c:v>-1.466829854237371</c:v>
                </c:pt>
                <c:pt idx="210">
                  <c:v>-1.2389029750902183</c:v>
                </c:pt>
                <c:pt idx="211">
                  <c:v>-1.010271227252338</c:v>
                </c:pt>
                <c:pt idx="212">
                  <c:v>-0.78104412111231047</c:v>
                </c:pt>
                <c:pt idx="213">
                  <c:v>-0.55133151451760343</c:v>
                </c:pt>
                <c:pt idx="214">
                  <c:v>-0.32124355859785891</c:v>
                </c:pt>
                <c:pt idx="215">
                  <c:v>-9.0890643382032801E-2</c:v>
                </c:pt>
                <c:pt idx="216">
                  <c:v>0.13961665675697135</c:v>
                </c:pt>
                <c:pt idx="217">
                  <c:v>0.37016763779627715</c:v>
                </c:pt>
                <c:pt idx="218">
                  <c:v>0.60065152086152085</c:v>
                </c:pt>
                <c:pt idx="219">
                  <c:v>0.83095750709559857</c:v>
                </c:pt>
                <c:pt idx="220">
                  <c:v>1.0609748325633279</c:v>
                </c:pt>
                <c:pt idx="221">
                  <c:v>1.2905928231576285</c:v>
                </c:pt>
                <c:pt idx="222">
                  <c:v>1.5197009494728311</c:v>
                </c:pt>
                <c:pt idx="223">
                  <c:v>1.7481888816107856</c:v>
                </c:pt>
                <c:pt idx="224">
                  <c:v>1.9759465438855377</c:v>
                </c:pt>
                <c:pt idx="225">
                  <c:v>2.2028641693925159</c:v>
                </c:pt>
                <c:pt idx="226">
                  <c:v>2.4288323544083745</c:v>
                </c:pt>
                <c:pt idx="227">
                  <c:v>2.6537421125879006</c:v>
                </c:pt>
                <c:pt idx="228">
                  <c:v>2.8774849289247015</c:v>
                </c:pt>
                <c:pt idx="229">
                  <c:v>3.0999528134427612</c:v>
                </c:pt>
                <c:pt idx="230">
                  <c:v>3.3210383545863293</c:v>
                </c:pt>
                <c:pt idx="231">
                  <c:v>3.540634772276098</c:v>
                </c:pt>
                <c:pt idx="232">
                  <c:v>3.7586359706000763</c:v>
                </c:pt>
                <c:pt idx="233">
                  <c:v>3.9749365901081366</c:v>
                </c:pt>
                <c:pt idx="234">
                  <c:v>4.1894320596797741</c:v>
                </c:pt>
                <c:pt idx="235">
                  <c:v>4.4020186479352255</c:v>
                </c:pt>
                <c:pt idx="236">
                  <c:v>4.6125935141607579</c:v>
                </c:pt>
                <c:pt idx="237">
                  <c:v>4.8210547587196286</c:v>
                </c:pt>
                <c:pt idx="238">
                  <c:v>5.0273014729208922</c:v>
                </c:pt>
                <c:pt idx="239">
                  <c:v>5.2312337883190434</c:v>
                </c:pt>
                <c:pt idx="240">
                  <c:v>5.4327529254181739</c:v>
                </c:pt>
                <c:pt idx="241">
                  <c:v>5.6317612417551937</c:v>
                </c:pt>
                <c:pt idx="242">
                  <c:v>5.828162279337433</c:v>
                </c:pt>
                <c:pt idx="243">
                  <c:v>6.0218608114107699</c:v>
                </c:pt>
                <c:pt idx="244">
                  <c:v>6.212762888535341</c:v>
                </c:pt>
                <c:pt idx="245">
                  <c:v>6.4007758839466637</c:v>
                </c:pt>
                <c:pt idx="246">
                  <c:v>6.5858085381809524</c:v>
                </c:pt>
                <c:pt idx="247">
                  <c:v>6.7677710029442357</c:v>
                </c:pt>
                <c:pt idx="248">
                  <c:v>6.9465748842058055</c:v>
                </c:pt>
                <c:pt idx="249">
                  <c:v>7.1221332844973775</c:v>
                </c:pt>
                <c:pt idx="250">
                  <c:v>7.2943608444002566</c:v>
                </c:pt>
                <c:pt idx="251">
                  <c:v>7.4631737832036791</c:v>
                </c:pt>
                <c:pt idx="252">
                  <c:v>7.6284899387183591</c:v>
                </c:pt>
                <c:pt idx="253">
                  <c:v>7.7902288062301492</c:v>
                </c:pt>
                <c:pt idx="254">
                  <c:v>7.948311576579596</c:v>
                </c:pt>
                <c:pt idx="255">
                  <c:v>8.1026611733539706</c:v>
                </c:pt>
                <c:pt idx="256">
                  <c:v>8.2532022891792316</c:v>
                </c:pt>
                <c:pt idx="257">
                  <c:v>8.3998614211001446</c:v>
                </c:pt>
                <c:pt idx="258">
                  <c:v>8.5425669050375834</c:v>
                </c:pt>
                <c:pt idx="259">
                  <c:v>8.6812489493128506</c:v>
                </c:pt>
                <c:pt idx="260">
                  <c:v>8.815839667229497</c:v>
                </c:pt>
                <c:pt idx="261">
                  <c:v>8.9462731087039593</c:v>
                </c:pt>
                <c:pt idx="262">
                  <c:v>9.072485290936914</c:v>
                </c:pt>
                <c:pt idx="263">
                  <c:v>9.1944142281180099</c:v>
                </c:pt>
                <c:pt idx="264">
                  <c:v>9.3119999601571788</c:v>
                </c:pt>
                <c:pt idx="265">
                  <c:v>9.4251845804364311</c:v>
                </c:pt>
                <c:pt idx="266">
                  <c:v>9.5339122625765054</c:v>
                </c:pt>
                <c:pt idx="267">
                  <c:v>9.6381292862133829</c:v>
                </c:pt>
                <c:pt idx="268">
                  <c:v>9.7377840617801059</c:v>
                </c:pt>
                <c:pt idx="269">
                  <c:v>9.8328271542898769</c:v>
                </c:pt>
                <c:pt idx="270">
                  <c:v>9.9232113061167979</c:v>
                </c:pt>
                <c:pt idx="271">
                  <c:v>10.008891458771096</c:v>
                </c:pt>
                <c:pt idx="272">
                  <c:v>10.089824773665949</c:v>
                </c:pt>
                <c:pt idx="273">
                  <c:v>10.16597065187349</c:v>
                </c:pt>
                <c:pt idx="274">
                  <c:v>10.23729075286777</c:v>
                </c:pt>
                <c:pt idx="275">
                  <c:v>10.303749012252823</c:v>
                </c:pt>
                <c:pt idx="276">
                  <c:v>10.365311658474164</c:v>
                </c:pt>
                <c:pt idx="277">
                  <c:v>10.421947228512295</c:v>
                </c:pt>
                <c:pt idx="278">
                  <c:v>10.473626582556987</c:v>
                </c:pt>
                <c:pt idx="279">
                  <c:v>10.520322917661266</c:v>
                </c:pt>
                <c:pt idx="280">
                  <c:v>10.562011780374101</c:v>
                </c:pt>
                <c:pt idx="281">
                  <c:v>10.598671078351037</c:v>
                </c:pt>
                <c:pt idx="282">
                  <c:v>10.630281090941935</c:v>
                </c:pt>
                <c:pt idx="283">
                  <c:v>10.656824478755166</c:v>
                </c:pt>
                <c:pt idx="284">
                  <c:v>10.678286292197603</c:v>
                </c:pt>
                <c:pt idx="285">
                  <c:v>10.69465397898975</c:v>
                </c:pt>
                <c:pt idx="286">
                  <c:v>10.705917390655394</c:v>
                </c:pt>
                <c:pt idx="287">
                  <c:v>10.712068787985141</c:v>
                </c:pt>
                <c:pt idx="288">
                  <c:v>10.713102845473177</c:v>
                </c:pt>
                <c:pt idx="289">
                  <c:v>10.709016654726531</c:v>
                </c:pt>
                <c:pt idx="290">
                  <c:v>10.699809726846146</c:v>
                </c:pt>
                <c:pt idx="291">
                  <c:v>10.685483993778931</c:v>
                </c:pt>
                <c:pt idx="292">
                  <c:v>10.666043808639982</c:v>
                </c:pt>
                <c:pt idx="293">
                  <c:v>10.641495945004062</c:v>
                </c:pt>
                <c:pt idx="294">
                  <c:v>10.611849595165442</c:v>
                </c:pt>
                <c:pt idx="295">
                  <c:v>10.57711636736502</c:v>
                </c:pt>
                <c:pt idx="296">
                  <c:v>10.537310281983801</c:v>
                </c:pt>
                <c:pt idx="297">
                  <c:v>10.492447766701547</c:v>
                </c:pt>
                <c:pt idx="298">
                  <c:v>10.442547650619581</c:v>
                </c:pt>
                <c:pt idx="299">
                  <c:v>10.38763115734659</c:v>
                </c:pt>
                <c:pt idx="300">
                  <c:v>10.327721897046311</c:v>
                </c:pt>
                <c:pt idx="301">
                  <c:v>10.262845857446004</c:v>
                </c:pt>
                <c:pt idx="302">
                  <c:v>10.19303139380467</c:v>
                </c:pt>
                <c:pt idx="303">
                  <c:v>10.118309217839938</c:v>
                </c:pt>
                <c:pt idx="304">
                  <c:v>10.03871238561276</c:v>
                </c:pt>
                <c:pt idx="305">
                  <c:v>9.954276284369012</c:v>
                </c:pt>
                <c:pt idx="306">
                  <c:v>9.8650386183373389</c:v>
                </c:pt>
                <c:pt idx="307">
                  <c:v>9.7710393934826527</c:v>
                </c:pt>
                <c:pt idx="308">
                  <c:v>9.6723209012149436</c:v>
                </c:pt>
                <c:pt idx="309">
                  <c:v>9.5689277010531892</c:v>
                </c:pt>
                <c:pt idx="310">
                  <c:v>9.460906602244501</c:v>
                </c:pt>
                <c:pt idx="311">
                  <c:v>9.3483066443388285</c:v>
                </c:pt>
                <c:pt idx="312">
                  <c:v>9.2311790767198936</c:v>
                </c:pt>
                <c:pt idx="313">
                  <c:v>9.1095773370933628</c:v>
                </c:pt>
                <c:pt idx="314">
                  <c:v>8.9835570289336513</c:v>
                </c:pt>
                <c:pt idx="315">
                  <c:v>8.8531758978911572</c:v>
                </c:pt>
                <c:pt idx="316">
                  <c:v>8.7184938071621456</c:v>
                </c:pt>
                <c:pt idx="317">
                  <c:v>8.5795727118240634</c:v>
                </c:pt>
                <c:pt idx="318">
                  <c:v>8.4364766321394917</c:v>
                </c:pt>
                <c:pt idx="319">
                  <c:v>8.2892716258325567</c:v>
                </c:pt>
                <c:pt idx="320">
                  <c:v>8.138025759342197</c:v>
                </c:pt>
                <c:pt idx="321">
                  <c:v>7.9828090780572944</c:v>
                </c:pt>
                <c:pt idx="322">
                  <c:v>7.8236935755393562</c:v>
                </c:pt>
                <c:pt idx="323">
                  <c:v>7.6607531617391054</c:v>
                </c:pt>
                <c:pt idx="324">
                  <c:v>7.4940636302140646</c:v>
                </c:pt>
                <c:pt idx="325">
                  <c:v>7.3237026243549801</c:v>
                </c:pt>
                <c:pt idx="326">
                  <c:v>7.1497496026297123</c:v>
                </c:pt>
                <c:pt idx="327">
                  <c:v>6.9722858028539996</c:v>
                </c:pt>
                <c:pt idx="328">
                  <c:v>6.7913942054993877</c:v>
                </c:pt>
                <c:pt idx="329">
                  <c:v>6.6071594960494275</c:v>
                </c:pt>
                <c:pt idx="330">
                  <c:v>6.4196680264161641</c:v>
                </c:pt>
                <c:pt idx="331">
                  <c:v>6.2290077754297926</c:v>
                </c:pt>
                <c:pt idx="332">
                  <c:v>6.0352683084153442</c:v>
                </c:pt>
                <c:pt idx="333">
                  <c:v>5.8385407358711126</c:v>
                </c:pt>
                <c:pt idx="334">
                  <c:v>5.6389176712645677</c:v>
                </c:pt>
                <c:pt idx="335">
                  <c:v>5.4364931879623679</c:v>
                </c:pt>
                <c:pt idx="336">
                  <c:v>5.2313627753121326</c:v>
                </c:pt>
                <c:pt idx="337">
                  <c:v>5.0236232938945369</c:v>
                </c:pt>
                <c:pt idx="338">
                  <c:v>4.8133729299653059</c:v>
                </c:pt>
                <c:pt idx="339">
                  <c:v>4.6007111491076147</c:v>
                </c:pt>
                <c:pt idx="340">
                  <c:v>4.3857386491164139</c:v>
                </c:pt>
                <c:pt idx="341">
                  <c:v>4.1685573121371018</c:v>
                </c:pt>
                <c:pt idx="342">
                  <c:v>3.9492701560819681</c:v>
                </c:pt>
                <c:pt idx="343">
                  <c:v>3.7279812853487213</c:v>
                </c:pt>
                <c:pt idx="344">
                  <c:v>3.5047958408663638</c:v>
                </c:pt>
                <c:pt idx="345">
                  <c:v>3.2798199494945659</c:v>
                </c:pt>
                <c:pt idx="346">
                  <c:v>3.0531606728035543</c:v>
                </c:pt>
                <c:pt idx="347">
                  <c:v>2.8249259552624264</c:v>
                </c:pt>
                <c:pt idx="348">
                  <c:v>2.5952245718645632</c:v>
                </c:pt>
                <c:pt idx="349">
                  <c:v>2.364166075219678</c:v>
                </c:pt>
                <c:pt idx="350">
                  <c:v>2.1318607421427371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C8-437E-A172-4327DAC0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86928"/>
        <c:axId val="1"/>
      </c:scatterChart>
      <c:valAx>
        <c:axId val="424886928"/>
        <c:scaling>
          <c:orientation val="minMax"/>
          <c:max val="3.5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488692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293327206502748"/>
          <c:y val="0.890678450567288"/>
          <c:w val="0.39662297405702623"/>
          <c:h val="4.5899294384704303E-2"/>
        </c:manualLayout>
      </c:layout>
      <c:overlay val="0"/>
      <c:txPr>
        <a:bodyPr/>
        <a:lstStyle/>
        <a:p>
          <a:pPr>
            <a:defRPr sz="1300" b="1" i="0" baseline="0"/>
          </a:pPr>
          <a:endParaRPr lang="pt-BR"/>
        </a:p>
      </c:txPr>
    </c:legend>
    <c:plotVisOnly val="0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025773666587923E-2"/>
          <c:y val="2.3471576739897502E-2"/>
          <c:w val="0.91984389069238881"/>
          <c:h val="0.83678263514151241"/>
        </c:manualLayout>
      </c:layout>
      <c:scatterChart>
        <c:scatterStyle val="smoothMarker"/>
        <c:varyColors val="0"/>
        <c:ser>
          <c:idx val="1"/>
          <c:order val="0"/>
          <c:tx>
            <c:v>Theta(Analítico)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'edo - pêndulo - rk4'!$A$8:$A$103</c:f>
              <c:numCache>
                <c:formatCode>0.00</c:formatCode>
                <c:ptCount val="96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</c:numCache>
            </c:numRef>
          </c:xVal>
          <c:yVal>
            <c:numRef>
              <c:f>'edo - pêndulo - rk4'!$D$8:$D$103</c:f>
              <c:numCache>
                <c:formatCode>0.00</c:formatCode>
                <c:ptCount val="96"/>
                <c:pt idx="0">
                  <c:v>8.7266462599716474E-2</c:v>
                </c:pt>
                <c:pt idx="1">
                  <c:v>8.6732500936185522E-2</c:v>
                </c:pt>
                <c:pt idx="2">
                  <c:v>8.5137150301395043E-2</c:v>
                </c:pt>
                <c:pt idx="3">
                  <c:v>8.2499933798573719E-2</c:v>
                </c:pt>
                <c:pt idx="4">
                  <c:v>7.8853124364402782E-2</c:v>
                </c:pt>
                <c:pt idx="5">
                  <c:v>7.4241349828956693E-2</c:v>
                </c:pt>
                <c:pt idx="6">
                  <c:v>6.8721046782637241E-2</c:v>
                </c:pt>
                <c:pt idx="7">
                  <c:v>6.2359769933404315E-2</c:v>
                </c:pt>
                <c:pt idx="8">
                  <c:v>5.5235365406044193E-2</c:v>
                </c:pt>
                <c:pt idx="9">
                  <c:v>4.7435018100225511E-2</c:v>
                </c:pt>
                <c:pt idx="10">
                  <c:v>3.9054184765298559E-2</c:v>
                </c:pt>
                <c:pt idx="11">
                  <c:v>3.0195425848334952E-2</c:v>
                </c:pt>
                <c:pt idx="12">
                  <c:v>2.0967150410667212E-2</c:v>
                </c:pt>
                <c:pt idx="13">
                  <c:v>1.1482289472011834E-2</c:v>
                </c:pt>
                <c:pt idx="14">
                  <c:v>1.8569140171271884E-3</c:v>
                </c:pt>
                <c:pt idx="15">
                  <c:v>-7.7911854228504985E-3</c:v>
                </c:pt>
                <c:pt idx="16">
                  <c:v>-1.7343940232019767E-2</c:v>
                </c:pt>
                <c:pt idx="17">
                  <c:v>-2.6684448574388817E-2</c:v>
                </c:pt>
                <c:pt idx="18">
                  <c:v>-3.5698405980081491E-2</c:v>
                </c:pt>
                <c:pt idx="19">
                  <c:v>-4.4275504146275436E-2</c:v>
                </c:pt>
                <c:pt idx="20">
                  <c:v>-5.2310780835046651E-2</c:v>
                </c:pt>
                <c:pt idx="21">
                  <c:v>-5.9705904348745217E-2</c:v>
                </c:pt>
                <c:pt idx="22">
                  <c:v>-6.6370376864135064E-2</c:v>
                </c:pt>
                <c:pt idx="23">
                  <c:v>-7.222264189949662E-2</c:v>
                </c:pt>
                <c:pt idx="24">
                  <c:v>-7.7191082362063318E-2</c:v>
                </c:pt>
                <c:pt idx="25">
                  <c:v>-8.1214896962187061E-2</c:v>
                </c:pt>
                <c:pt idx="26">
                  <c:v>-8.4244844269113911E-2</c:v>
                </c:pt>
                <c:pt idx="27">
                  <c:v>-8.6243845302987898E-2</c:v>
                </c:pt>
                <c:pt idx="28">
                  <c:v>-8.7187437288863218E-2</c:v>
                </c:pt>
                <c:pt idx="29">
                  <c:v>-8.7064073019910038E-2</c:v>
                </c:pt>
                <c:pt idx="30">
                  <c:v>-8.5875262166356964E-2</c:v>
                </c:pt>
                <c:pt idx="31">
                  <c:v>-8.3635552800901708E-2</c:v>
                </c:pt>
                <c:pt idx="32">
                  <c:v>-8.0372353366672977E-2</c:v>
                </c:pt>
                <c:pt idx="33">
                  <c:v>-7.612559726641055E-2</c:v>
                </c:pt>
                <c:pt idx="34">
                  <c:v>-7.0947254177453276E-2</c:v>
                </c:pt>
                <c:pt idx="35">
                  <c:v>-6.4900694072818135E-2</c:v>
                </c:pt>
                <c:pt idx="36">
                  <c:v>-5.8059911731161803E-2</c:v>
                </c:pt>
                <c:pt idx="37">
                  <c:v>-5.0508621225684669E-2</c:v>
                </c:pt>
                <c:pt idx="38">
                  <c:v>-4.2339231473168537E-2</c:v>
                </c:pt>
                <c:pt idx="39">
                  <c:v>-3.3651715379867012E-2</c:v>
                </c:pt>
                <c:pt idx="40">
                  <c:v>-2.4552386423075903E-2</c:v>
                </c:pt>
                <c:pt idx="41">
                  <c:v>-1.5152597639965079E-2</c:v>
                </c:pt>
                <c:pt idx="42">
                  <c:v>-5.5673789447982774E-3</c:v>
                </c:pt>
                <c:pt idx="43">
                  <c:v>4.0859705496311014E-3</c:v>
                </c:pt>
                <c:pt idx="44">
                  <c:v>1.3689317979880945E-2</c:v>
                </c:pt>
                <c:pt idx="45">
                  <c:v>2.3125142382764141E-2</c:v>
                </c:pt>
                <c:pt idx="46">
                  <c:v>3.2277972858123706E-2</c:v>
                </c:pt>
                <c:pt idx="47">
                  <c:v>4.1035801643961749E-2</c:v>
                </c:pt>
                <c:pt idx="48">
                  <c:v>4.9291454811414927E-2</c:v>
                </c:pt>
                <c:pt idx="49">
                  <c:v>5.6943903805698109E-2</c:v>
                </c:pt>
                <c:pt idx="50">
                  <c:v>6.3899501783033275E-2</c:v>
                </c:pt>
                <c:pt idx="51">
                  <c:v>7.0073129613890242E-2</c:v>
                </c:pt>
                <c:pt idx="52">
                  <c:v>7.5389237528325714E-2</c:v>
                </c:pt>
                <c:pt idx="53">
                  <c:v>7.9782769656285252E-2</c:v>
                </c:pt>
                <c:pt idx="54">
                  <c:v>8.3199960148806137E-2</c:v>
                </c:pt>
                <c:pt idx="55">
                  <c:v>8.559899113758862E-2</c:v>
                </c:pt>
                <c:pt idx="56">
                  <c:v>8.6950504481155017E-2</c:v>
                </c:pt>
                <c:pt idx="57">
                  <c:v>8.7237961035102812E-2</c:v>
                </c:pt>
                <c:pt idx="58">
                  <c:v>8.6457843049882743E-2</c:v>
                </c:pt>
                <c:pt idx="59">
                  <c:v>8.4619697219258438E-2</c:v>
                </c:pt>
                <c:pt idx="60">
                  <c:v>8.1746017852642572E-2</c:v>
                </c:pt>
                <c:pt idx="61">
                  <c:v>7.7871971600987633E-2</c:v>
                </c:pt>
                <c:pt idx="62">
                  <c:v>7.3044967104898675E-2</c:v>
                </c:pt>
                <c:pt idx="63">
                  <c:v>6.7324074831398573E-2</c:v>
                </c:pt>
                <c:pt idx="64">
                  <c:v>6.0779304199094171E-2</c:v>
                </c:pt>
                <c:pt idx="65">
                  <c:v>5.3490746837923216E-2</c:v>
                </c:pt>
                <c:pt idx="66">
                  <c:v>4.5547596467841046E-2</c:v>
                </c:pt>
                <c:pt idx="67">
                  <c:v>3.7047057390682217E-2</c:v>
                </c:pt>
                <c:pt idx="68">
                  <c:v>2.8093154952526653E-2</c:v>
                </c:pt>
                <c:pt idx="69">
                  <c:v>1.8795462533537467E-2</c:v>
                </c:pt>
                <c:pt idx="70">
                  <c:v>9.2677606437329973E-3</c:v>
                </c:pt>
                <c:pt idx="71">
                  <c:v>-3.7335546599304598E-4</c:v>
                </c:pt>
                <c:pt idx="72">
                  <c:v>-1.000990263824259E-2</c:v>
                </c:pt>
                <c:pt idx="73">
                  <c:v>-1.952395362798923E-2</c:v>
                </c:pt>
                <c:pt idx="74">
                  <c:v>-2.8799080237227305E-2</c:v>
                </c:pt>
                <c:pt idx="75">
                  <c:v>-3.7721778105033285E-2</c:v>
                </c:pt>
                <c:pt idx="76">
                  <c:v>-4.6182855717170034E-2</c:v>
                </c:pt>
                <c:pt idx="77">
                  <c:v>-5.4078770637231995E-2</c:v>
                </c:pt>
                <c:pt idx="78">
                  <c:v>-6.1312896607199546E-2</c:v>
                </c:pt>
                <c:pt idx="79">
                  <c:v>-6.7796706011261226E-2</c:v>
                </c:pt>
                <c:pt idx="80">
                  <c:v>-7.3450853232503804E-2</c:v>
                </c:pt>
                <c:pt idx="81">
                  <c:v>-7.8206145644890659E-2</c:v>
                </c:pt>
                <c:pt idx="82">
                  <c:v>-8.2004390358015586E-2</c:v>
                </c:pt>
                <c:pt idx="83">
                  <c:v>-8.479910635259362E-2</c:v>
                </c:pt>
                <c:pt idx="84">
                  <c:v>-8.655609329192944E-2</c:v>
                </c:pt>
                <c:pt idx="85">
                  <c:v>-8.7253850048534101E-2</c:v>
                </c:pt>
                <c:pt idx="86">
                  <c:v>-8.6883837824170668E-2</c:v>
                </c:pt>
                <c:pt idx="87">
                  <c:v>-8.5450584643396596E-2</c:v>
                </c:pt>
                <c:pt idx="88">
                  <c:v>-8.29716299418638E-2</c:v>
                </c:pt>
                <c:pt idx="89">
                  <c:v>-7.9477309927476536E-2</c:v>
                </c:pt>
                <c:pt idx="90">
                  <c:v>-7.5010386341050367E-2</c:v>
                </c:pt>
                <c:pt idx="91">
                  <c:v>-6.962552315951348E-2</c:v>
                </c:pt>
                <c:pt idx="92">
                  <c:v>-6.3388617645494416E-2</c:v>
                </c:pt>
                <c:pt idx="93">
                  <c:v>-5.637599392957747E-2</c:v>
                </c:pt>
                <c:pt idx="94">
                  <c:v>-4.8673468993763014E-2</c:v>
                </c:pt>
                <c:pt idx="95">
                  <c:v>-4.0375302486158386E-2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28-4DEA-910B-A7D923B031BD}"/>
            </c:ext>
          </c:extLst>
        </c:ser>
        <c:ser>
          <c:idx val="0"/>
          <c:order val="1"/>
          <c:tx>
            <c:v>Theta(RK4)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'edo - pêndulo - rk4'!$A$8:$A$103</c:f>
              <c:numCache>
                <c:formatCode>0.00</c:formatCode>
                <c:ptCount val="96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</c:numCache>
            </c:numRef>
          </c:xVal>
          <c:yVal>
            <c:numRef>
              <c:f>'edo - pêndulo - rk4'!$B$8:$B$103</c:f>
              <c:numCache>
                <c:formatCode>0.00</c:formatCode>
                <c:ptCount val="96"/>
                <c:pt idx="0">
                  <c:v>8.7266462599716474E-2</c:v>
                </c:pt>
                <c:pt idx="1">
                  <c:v>8.6732633675387069E-2</c:v>
                </c:pt>
                <c:pt idx="2">
                  <c:v>8.513874302380546E-2</c:v>
                </c:pt>
                <c:pt idx="3">
                  <c:v>8.2504237541694725E-2</c:v>
                </c:pt>
                <c:pt idx="4">
                  <c:v>7.8861257531763193E-2</c:v>
                </c:pt>
                <c:pt idx="5">
                  <c:v>7.425425252663384E-2</c:v>
                </c:pt>
                <c:pt idx="6">
                  <c:v>6.8739448797004471E-2</c:v>
                </c:pt>
                <c:pt idx="7">
                  <c:v>6.2384173846965971E-2</c:v>
                </c:pt>
                <c:pt idx="8">
                  <c:v>5.5266044842149697E-2</c:v>
                </c:pt>
                <c:pt idx="9">
                  <c:v>4.7472029617281322E-2</c:v>
                </c:pt>
                <c:pt idx="10">
                  <c:v>3.9097390644229138E-2</c:v>
                </c:pt>
                <c:pt idx="11">
                  <c:v>3.0244524069593628E-2</c:v>
                </c:pt>
                <c:pt idx="12">
                  <c:v>2.1021707598993473E-2</c:v>
                </c:pt>
                <c:pt idx="13">
                  <c:v>1.1541772551104421E-2</c:v>
                </c:pt>
                <c:pt idx="14">
                  <c:v>1.9207167620992633E-3</c:v>
                </c:pt>
                <c:pt idx="15">
                  <c:v>-7.7237238734398188E-3</c:v>
                </c:pt>
                <c:pt idx="16">
                  <c:v>-1.7273526641411831E-2</c:v>
                </c:pt>
                <c:pt idx="17">
                  <c:v>-2.6611836995246021E-2</c:v>
                </c:pt>
                <c:pt idx="18">
                  <c:v>-3.5624408185478823E-2</c:v>
                </c:pt>
                <c:pt idx="19">
                  <c:v>-4.4201006730206917E-2</c:v>
                </c:pt>
                <c:pt idx="20">
                  <c:v>-5.2236765590169307E-2</c:v>
                </c:pt>
                <c:pt idx="21">
                  <c:v>-5.9633467903581316E-2</c:v>
                </c:pt>
                <c:pt idx="22">
                  <c:v>-6.6300745402301617E-2</c:v>
                </c:pt>
                <c:pt idx="23">
                  <c:v>-7.2157177111125209E-2</c:v>
                </c:pt>
                <c:pt idx="24">
                  <c:v>-7.7131275560012522E-2</c:v>
                </c:pt>
                <c:pt idx="25">
                  <c:v>-8.1162349450404625E-2</c:v>
                </c:pt>
                <c:pt idx="26">
                  <c:v>-8.4201233454061872E-2</c:v>
                </c:pt>
                <c:pt idx="27">
                  <c:v>-8.6210877540450565E-2</c:v>
                </c:pt>
                <c:pt idx="28">
                  <c:v>-8.7166789895790173E-2</c:v>
                </c:pt>
                <c:pt idx="29">
                  <c:v>-8.7057329098854538E-2</c:v>
                </c:pt>
                <c:pt idx="30">
                  <c:v>-8.5883842756544357E-2</c:v>
                </c:pt>
                <c:pt idx="31">
                  <c:v>-8.3660651290528729E-2</c:v>
                </c:pt>
                <c:pt idx="32">
                  <c:v>-8.04148770288899E-2</c:v>
                </c:pt>
                <c:pt idx="33">
                  <c:v>-7.6186120222460116E-2</c:v>
                </c:pt>
                <c:pt idx="34">
                  <c:v>-7.1025985102600359E-2</c:v>
                </c:pt>
                <c:pt idx="35">
                  <c:v>-6.4997460647870708E-2</c:v>
                </c:pt>
                <c:pt idx="36">
                  <c:v>-5.8174162343219676E-2</c:v>
                </c:pt>
                <c:pt idx="37">
                  <c:v>-5.0639442894827601E-2</c:v>
                </c:pt>
                <c:pt idx="38">
                  <c:v>-4.2485381588503249E-2</c:v>
                </c:pt>
                <c:pt idx="39">
                  <c:v>-3.3811663715421374E-2</c:v>
                </c:pt>
                <c:pt idx="40">
                  <c:v>-2.4724363187546186E-2</c:v>
                </c:pt>
                <c:pt idx="41">
                  <c:v>-1.5334643067005787E-2</c:v>
                </c:pt>
                <c:pt idx="42">
                  <c:v>-5.7573901736907435E-3</c:v>
                </c:pt>
                <c:pt idx="43">
                  <c:v>3.8901988520104094E-3</c:v>
                </c:pt>
                <c:pt idx="44">
                  <c:v>1.3490061728706967E-2</c:v>
                </c:pt>
                <c:pt idx="45">
                  <c:v>2.292472606224729E-2</c:v>
                </c:pt>
                <c:pt idx="46">
                  <c:v>3.2078757104876086E-2</c:v>
                </c:pt>
                <c:pt idx="47">
                  <c:v>4.0840178781859471E-2</c:v>
                </c:pt>
                <c:pt idx="48">
                  <c:v>4.9101849546800747E-2</c:v>
                </c:pt>
                <c:pt idx="49">
                  <c:v>5.6762775493590059E-2</c:v>
                </c:pt>
                <c:pt idx="50">
                  <c:v>6.372934431645548E-2</c:v>
                </c:pt>
                <c:pt idx="51">
                  <c:v>6.9916465112100645E-2</c:v>
                </c:pt>
                <c:pt idx="52">
                  <c:v>7.5248600594613385E-2</c:v>
                </c:pt>
                <c:pt idx="53">
                  <c:v>7.9660679978959426E-2</c:v>
                </c:pt>
                <c:pt idx="54">
                  <c:v>8.3098882521636525E-2</c:v>
                </c:pt>
                <c:pt idx="55">
                  <c:v>8.5521283436697418E-2</c:v>
                </c:pt>
                <c:pt idx="56">
                  <c:v>8.6898355594895837E-2</c:v>
                </c:pt>
                <c:pt idx="57">
                  <c:v>8.721332204208071E-2</c:v>
                </c:pt>
                <c:pt idx="58">
                  <c:v>8.6462355935155874E-2</c:v>
                </c:pt>
                <c:pt idx="59">
                  <c:v>8.4654625999397062E-2</c:v>
                </c:pt>
                <c:pt idx="60">
                  <c:v>8.1812187080371038E-2</c:v>
                </c:pt>
                <c:pt idx="61">
                  <c:v>7.7969716824601409E-2</c:v>
                </c:pt>
                <c:pt idx="62">
                  <c:v>7.3174101004513548E-2</c:v>
                </c:pt>
                <c:pt idx="63">
                  <c:v>6.7483871530312323E-2</c:v>
                </c:pt>
                <c:pt idx="64">
                  <c:v>6.0968502780790947E-2</c:v>
                </c:pt>
                <c:pt idx="65">
                  <c:v>5.3707573540372013E-2</c:v>
                </c:pt>
                <c:pt idx="66">
                  <c:v>4.5789803539323826E-2</c:v>
                </c:pt>
                <c:pt idx="67">
                  <c:v>3.7311975330238355E-2</c:v>
                </c:pt>
                <c:pt idx="68">
                  <c:v>2.8377753953435857E-2</c:v>
                </c:pt>
                <c:pt idx="69">
                  <c:v>1.9096418491495584E-2</c:v>
                </c:pt>
                <c:pt idx="70">
                  <c:v>9.5815211250740544E-3</c:v>
                </c:pt>
                <c:pt idx="71">
                  <c:v>-5.0509387517754661E-5</c:v>
                </c:pt>
                <c:pt idx="72">
                  <c:v>-9.6818018384412438E-3</c:v>
                </c:pt>
                <c:pt idx="73">
                  <c:v>-1.9194495608971844E-2</c:v>
                </c:pt>
                <c:pt idx="74">
                  <c:v>-2.8472193548812211E-2</c:v>
                </c:pt>
                <c:pt idx="75">
                  <c:v>-3.7401395629772426E-2</c:v>
                </c:pt>
                <c:pt idx="76">
                  <c:v>-4.5872894687040255E-2</c:v>
                </c:pt>
                <c:pt idx="77">
                  <c:v>-5.3783116296199925E-2</c:v>
                </c:pt>
                <c:pt idx="78">
                  <c:v>-6.1035385885590467E-2</c:v>
                </c:pt>
                <c:pt idx="79">
                  <c:v>-6.7541107498123143E-2</c:v>
                </c:pt>
                <c:pt idx="80">
                  <c:v>-7.3220840131591497E-2</c:v>
                </c:pt>
                <c:pt idx="81">
                  <c:v>-7.8005259235730623E-2</c:v>
                </c:pt>
                <c:pt idx="82">
                  <c:v>-8.1835992664405596E-2</c:v>
                </c:pt>
                <c:pt idx="83">
                  <c:v>-8.4666322117066942E-2</c:v>
                </c:pt>
                <c:pt idx="84">
                  <c:v>-8.6461742812220521E-2</c:v>
                </c:pt>
                <c:pt idx="85">
                  <c:v>-8.7200375789594081E-2</c:v>
                </c:pt>
                <c:pt idx="86">
                  <c:v>-8.6873228825632351E-2</c:v>
                </c:pt>
                <c:pt idx="87">
                  <c:v>-8.5484303472916204E-2</c:v>
                </c:pt>
                <c:pt idx="88">
                  <c:v>-8.3050547214763737E-2</c:v>
                </c:pt>
                <c:pt idx="89">
                  <c:v>-7.960165118697797E-2</c:v>
                </c:pt>
                <c:pt idx="90">
                  <c:v>-7.5179695388496143E-2</c:v>
                </c:pt>
                <c:pt idx="91">
                  <c:v>-6.9838644808931732E-2</c:v>
                </c:pt>
                <c:pt idx="92">
                  <c:v>-6.3643701464181496E-2</c:v>
                </c:pt>
                <c:pt idx="93">
                  <c:v>-5.6670518960591304E-2</c:v>
                </c:pt>
                <c:pt idx="94">
                  <c:v>-4.9004287898327156E-2</c:v>
                </c:pt>
                <c:pt idx="95">
                  <c:v>-4.073870215418697E-2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28-4DEA-910B-A7D923B031BD}"/>
            </c:ext>
          </c:extLst>
        </c:ser>
        <c:ser>
          <c:idx val="2"/>
          <c:order val="2"/>
          <c:tx>
            <c:v>Theta(Dif.Finitas)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'edo - pêndulo - dif.fin.'!$A$11:$A$106</c:f>
              <c:numCache>
                <c:formatCode>0.00</c:formatCode>
                <c:ptCount val="96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</c:numCache>
            </c:numRef>
          </c:xVal>
          <c:yVal>
            <c:numRef>
              <c:f>'edo - pêndulo - dif.fin.'!$B$11:$B$106</c:f>
              <c:numCache>
                <c:formatCode>0.00</c:formatCode>
                <c:ptCount val="96"/>
                <c:pt idx="0">
                  <c:v>8.7266462599716474E-2</c:v>
                </c:pt>
                <c:pt idx="1">
                  <c:v>8.6734257389388197E-2</c:v>
                </c:pt>
                <c:pt idx="2">
                  <c:v>8.5144117303894595E-2</c:v>
                </c:pt>
                <c:pt idx="3">
                  <c:v>8.2515391918906902E-2</c:v>
                </c:pt>
                <c:pt idx="4">
                  <c:v>7.888007438653552E-2</c:v>
                </c:pt>
                <c:pt idx="5">
                  <c:v>7.4282419788637449E-2</c:v>
                </c:pt>
                <c:pt idx="6">
                  <c:v>6.8778416007825485E-2</c:v>
                </c:pt>
                <c:pt idx="7">
                  <c:v>6.2435112394649092E-2</c:v>
                </c:pt>
                <c:pt idx="8">
                  <c:v>5.5329813140509644E-2</c:v>
                </c:pt>
                <c:pt idx="9">
                  <c:v>4.7549143951857095E-2</c:v>
                </c:pt>
                <c:pt idx="10">
                  <c:v>3.9188002337987221E-2</c:v>
                </c:pt>
                <c:pt idx="11">
                  <c:v>3.0348403533079972E-2</c:v>
                </c:pt>
                <c:pt idx="12">
                  <c:v>2.1138235720995664E-2</c:v>
                </c:pt>
                <c:pt idx="13">
                  <c:v>1.1669939757975065E-2</c:v>
                </c:pt>
                <c:pt idx="14">
                  <c:v>2.0591299293131922E-3</c:v>
                </c:pt>
                <c:pt idx="15">
                  <c:v>-7.5768266310214834E-3</c:v>
                </c:pt>
                <c:pt idx="16">
                  <c:v>-1.7120253438304731E-2</c:v>
                </c:pt>
                <c:pt idx="17">
                  <c:v>-2.6454612205931663E-2</c:v>
                </c:pt>
                <c:pt idx="18">
                  <c:v>-3.5465935498990298E-2</c:v>
                </c:pt>
                <c:pt idx="19">
                  <c:v>-4.4044225838283844E-2</c:v>
                </c:pt>
                <c:pt idx="20">
                  <c:v>-5.2084803248537183E-2</c:v>
                </c:pt>
                <c:pt idx="21">
                  <c:v>-5.9489584214308437E-2</c:v>
                </c:pt>
                <c:pt idx="22">
                  <c:v>-6.6168276249435679E-2</c:v>
                </c:pt>
                <c:pt idx="23">
                  <c:v>-7.2039473741080481E-2</c:v>
                </c:pt>
                <c:pt idx="24">
                  <c:v>-7.7031642333313458E-2</c:v>
                </c:pt>
                <c:pt idx="25">
                  <c:v>-8.1083980804678088E-2</c:v>
                </c:pt>
                <c:pt idx="26">
                  <c:v>-8.4147151112948432E-2</c:v>
                </c:pt>
                <c:pt idx="27">
                  <c:v>-8.6183868983290127E-2</c:v>
                </c:pt>
                <c:pt idx="28">
                  <c:v>-8.7169349072497543E-2</c:v>
                </c:pt>
                <c:pt idx="29">
                  <c:v>-8.7091600336861627E-2</c:v>
                </c:pt>
                <c:pt idx="30">
                  <c:v>-8.5951568764711911E-2</c:v>
                </c:pt>
                <c:pt idx="31">
                  <c:v>-8.3763126120027814E-2</c:v>
                </c:pt>
                <c:pt idx="32">
                  <c:v>-8.0552904803430816E-2</c:v>
                </c:pt>
                <c:pt idx="33">
                  <c:v>-7.6359980398843105E-2</c:v>
                </c:pt>
                <c:pt idx="34">
                  <c:v>-7.1235404965241125E-2</c:v>
                </c:pt>
                <c:pt idx="35">
                  <c:v>-6.5241595674836145E-2</c:v>
                </c:pt>
                <c:pt idx="36">
                  <c:v>-5.8451585003222811E-2</c:v>
                </c:pt>
                <c:pt idx="37">
                  <c:v>-5.0948140341609834E-2</c:v>
                </c:pt>
                <c:pt idx="38">
                  <c:v>-4.2822762608827253E-2</c:v>
                </c:pt>
                <c:pt idx="39">
                  <c:v>-3.4174575158427672E-2</c:v>
                </c:pt>
                <c:pt idx="40">
                  <c:v>-2.5109115956916915E-2</c:v>
                </c:pt>
                <c:pt idx="41">
                  <c:v>-1.5737047595351432E-2</c:v>
                </c:pt>
                <c:pt idx="42">
                  <c:v>-6.1728011246429647E-3</c:v>
                </c:pt>
                <c:pt idx="43">
                  <c:v>3.4668290890430241E-3</c:v>
                </c:pt>
                <c:pt idx="44">
                  <c:v>1.3064121366851079E-2</c:v>
                </c:pt>
                <c:pt idx="45">
                  <c:v>2.2501874858090146E-2</c:v>
                </c:pt>
                <c:pt idx="46">
                  <c:v>3.1664850861459329E-2</c:v>
                </c:pt>
                <c:pt idx="47">
                  <c:v>4.0441188502797973E-2</c:v>
                </c:pt>
                <c:pt idx="48">
                  <c:v>4.8723776444663872E-2</c:v>
                </c:pt>
                <c:pt idx="49">
                  <c:v>5.6411563140668218E-2</c:v>
                </c:pt>
                <c:pt idx="50">
                  <c:v>6.341078928025233E-2</c:v>
                </c:pt>
                <c:pt idx="51">
                  <c:v>6.9636127441632917E-2</c:v>
                </c:pt>
                <c:pt idx="52">
                  <c:v>7.5011715518969985E-2</c:v>
                </c:pt>
                <c:pt idx="53">
                  <c:v>7.9472072150146664E-2</c:v>
                </c:pt>
                <c:pt idx="54">
                  <c:v>8.2962884084080729E-2</c:v>
                </c:pt>
                <c:pt idx="55">
                  <c:v>8.5441657140867683E-2</c:v>
                </c:pt>
                <c:pt idx="56">
                  <c:v>8.6878224097151305E-2</c:v>
                </c:pt>
                <c:pt idx="57">
                  <c:v>8.7255104451126164E-2</c:v>
                </c:pt>
                <c:pt idx="58">
                  <c:v>8.6567712580350328E-2</c:v>
                </c:pt>
                <c:pt idx="59">
                  <c:v>8.4824412309127295E-2</c:v>
                </c:pt>
                <c:pt idx="60">
                  <c:v>8.2046417369793526E-2</c:v>
                </c:pt>
                <c:pt idx="61">
                  <c:v>7.8267538699884051E-2</c:v>
                </c:pt>
                <c:pt idx="62">
                  <c:v>7.35337809927607E-2</c:v>
                </c:pt>
                <c:pt idx="63">
                  <c:v>6.7902792437427112E-2</c:v>
                </c:pt>
                <c:pt idx="64">
                  <c:v>6.1443173160249651E-2</c:v>
                </c:pt>
                <c:pt idx="65">
                  <c:v>5.4233649521303419E-2</c:v>
                </c:pt>
                <c:pt idx="66">
                  <c:v>4.6362123110420823E-2</c:v>
                </c:pt>
                <c:pt idx="67">
                  <c:v>3.7924605006342746E-2</c:v>
                </c:pt>
                <c:pt idx="68">
                  <c:v>2.9024047565369901E-2</c:v>
                </c:pt>
                <c:pt idx="69">
                  <c:v>1.9769087640023102E-2</c:v>
                </c:pt>
                <c:pt idx="70">
                  <c:v>1.0272716631768484E-2</c:v>
                </c:pt>
                <c:pt idx="71">
                  <c:v>6.508940903303239E-4</c:v>
                </c:pt>
                <c:pt idx="72">
                  <c:v>-8.9788773760062241E-3</c:v>
                </c:pt>
                <c:pt idx="73">
                  <c:v>-1.8498997372116806E-2</c:v>
                </c:pt>
                <c:pt idx="74">
                  <c:v>-2.779321426833934E-2</c:v>
                </c:pt>
                <c:pt idx="75">
                  <c:v>-3.6748054106716513E-2</c:v>
                </c:pt>
                <c:pt idx="76">
                  <c:v>-4.5254213279973518E-2</c:v>
                </c:pt>
                <c:pt idx="77">
                  <c:v>-5.3207897099533427E-2</c:v>
                </c:pt>
                <c:pt idx="78">
                  <c:v>-6.0512087381827145E-2</c:v>
                </c:pt>
                <c:pt idx="79">
                  <c:v>-6.7077723459446223E-2</c:v>
                </c:pt>
                <c:pt idx="80">
                  <c:v>-7.282478250466641E-2</c:v>
                </c:pt>
                <c:pt idx="81">
                  <c:v>-7.7683246673081088E-2</c:v>
                </c:pt>
                <c:pt idx="82">
                  <c:v>-8.1593946272138812E-2</c:v>
                </c:pt>
                <c:pt idx="83">
                  <c:v>-8.4509269878348975E-2</c:v>
                </c:pt>
                <c:pt idx="84">
                  <c:v>-8.639373402466885E-2</c:v>
                </c:pt>
                <c:pt idx="85">
                  <c:v>-8.7224406727618553E-2</c:v>
                </c:pt>
                <c:pt idx="86">
                  <c:v>-8.6991180709233409E-2</c:v>
                </c:pt>
                <c:pt idx="87">
                  <c:v>-8.5696893694325926E-2</c:v>
                </c:pt>
                <c:pt idx="88">
                  <c:v>-8.3357294643582755E-2</c:v>
                </c:pt>
                <c:pt idx="89">
                  <c:v>-8.0000856241475515E-2</c:v>
                </c:pt>
                <c:pt idx="90">
                  <c:v>-7.5668435422583918E-2</c:v>
                </c:pt>
                <c:pt idx="91">
                  <c:v>-7.0412785217330978E-2</c:v>
                </c:pt>
                <c:pt idx="92">
                  <c:v>-6.4297922748701858E-2</c:v>
                </c:pt>
                <c:pt idx="93">
                  <c:v>-5.739835982501483E-2</c:v>
                </c:pt>
                <c:pt idx="94">
                  <c:v>-4.9798204246126784E-2</c:v>
                </c:pt>
                <c:pt idx="95">
                  <c:v>-4.1590141651916733E-2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28-4DEA-910B-A7D923B03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591688"/>
        <c:axId val="1"/>
      </c:scatterChart>
      <c:valAx>
        <c:axId val="4255916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42559168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0010098886007203"/>
          <c:y val="0.90970511039061286"/>
          <c:w val="0.58358455934847897"/>
          <c:h val="4.5899294384704303E-2"/>
        </c:manualLayout>
      </c:layout>
      <c:overlay val="0"/>
      <c:txPr>
        <a:bodyPr/>
        <a:lstStyle/>
        <a:p>
          <a:pPr>
            <a:defRPr sz="1300" b="1" i="0" baseline="0"/>
          </a:pPr>
          <a:endParaRPr lang="pt-BR"/>
        </a:p>
      </c:txPr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3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6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514350</xdr:colOff>
      <xdr:row>4</xdr:row>
      <xdr:rowOff>180975</xdr:rowOff>
    </xdr:from>
    <xdr:to>
      <xdr:col>35</xdr:col>
      <xdr:colOff>209550</xdr:colOff>
      <xdr:row>21</xdr:row>
      <xdr:rowOff>66675</xdr:rowOff>
    </xdr:to>
    <xdr:graphicFrame macro="">
      <xdr:nvGraphicFramePr>
        <xdr:cNvPr id="1052" name="Gráfico 2">
          <a:extLst>
            <a:ext uri="{FF2B5EF4-FFF2-40B4-BE49-F238E27FC236}">
              <a16:creationId xmlns:a16="http://schemas.microsoft.com/office/drawing/2014/main" id="{5519FD3A-A352-4F6D-B9CA-B69C440523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7EC16E-7C63-4330-9964-CC31BD1F9A4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C1EAECA-B736-4C2E-BA69-70E4425AA82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8FA506-B2C3-40A5-9A3B-AA9E793A06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359"/>
  <sheetViews>
    <sheetView zoomScale="190" zoomScaleNormal="190" workbookViewId="0">
      <selection activeCell="A360" sqref="A360:IV1009"/>
    </sheetView>
  </sheetViews>
  <sheetFormatPr defaultRowHeight="15" x14ac:dyDescent="0.25"/>
  <cols>
    <col min="7" max="7" width="10.42578125" customWidth="1"/>
  </cols>
  <sheetData>
    <row r="1" spans="1:8" x14ac:dyDescent="0.25">
      <c r="A1" s="20" t="s">
        <v>46</v>
      </c>
    </row>
    <row r="2" spans="1:8" x14ac:dyDescent="0.25">
      <c r="A2" s="21" t="s">
        <v>21</v>
      </c>
      <c r="B2" s="19">
        <v>0.01</v>
      </c>
      <c r="E2" s="20" t="s">
        <v>14</v>
      </c>
      <c r="G2" s="12"/>
      <c r="H2" s="11"/>
    </row>
    <row r="3" spans="1:8" x14ac:dyDescent="0.25">
      <c r="A3" s="21" t="s">
        <v>20</v>
      </c>
      <c r="B3" s="19">
        <v>9.8000000000000007</v>
      </c>
      <c r="C3" t="s">
        <v>19</v>
      </c>
      <c r="E3" s="20" t="s">
        <v>13</v>
      </c>
      <c r="G3" s="12"/>
      <c r="H3" s="11"/>
    </row>
    <row r="4" spans="1:8" x14ac:dyDescent="0.25">
      <c r="A4" s="21" t="s">
        <v>17</v>
      </c>
      <c r="B4" s="19">
        <v>2</v>
      </c>
      <c r="C4" t="s">
        <v>16</v>
      </c>
      <c r="E4" s="20" t="s">
        <v>12</v>
      </c>
    </row>
    <row r="5" spans="1:8" x14ac:dyDescent="0.25">
      <c r="C5" s="17" t="s">
        <v>45</v>
      </c>
    </row>
    <row r="6" spans="1:8" x14ac:dyDescent="0.25">
      <c r="B6" s="10"/>
      <c r="C6" s="8"/>
      <c r="E6" s="9"/>
      <c r="F6" s="9"/>
      <c r="G6" s="8"/>
    </row>
    <row r="7" spans="1:8" x14ac:dyDescent="0.25">
      <c r="B7" s="10" t="s">
        <v>11</v>
      </c>
      <c r="C7" s="8"/>
      <c r="D7" s="10" t="s">
        <v>10</v>
      </c>
      <c r="E7" s="9"/>
      <c r="F7" s="9"/>
      <c r="G7" s="8"/>
    </row>
    <row r="8" spans="1:8" ht="15.75" thickBot="1" x14ac:dyDescent="0.3">
      <c r="A8" s="1" t="s">
        <v>8</v>
      </c>
      <c r="B8" s="4" t="s">
        <v>7</v>
      </c>
      <c r="C8" s="7" t="s">
        <v>6</v>
      </c>
      <c r="D8" s="4" t="s">
        <v>5</v>
      </c>
      <c r="E8" s="3" t="s">
        <v>4</v>
      </c>
      <c r="F8" s="2" t="s">
        <v>3</v>
      </c>
      <c r="G8" s="5" t="s">
        <v>2</v>
      </c>
    </row>
    <row r="9" spans="1:8" x14ac:dyDescent="0.25">
      <c r="A9" s="22">
        <v>0</v>
      </c>
      <c r="B9" s="23">
        <v>10</v>
      </c>
      <c r="C9" s="24">
        <f>B9*PI()/180*COS(SQRT($B$3/$B$4)*A9)</f>
        <v>0.17453292519943295</v>
      </c>
      <c r="D9" s="25">
        <f>B9</f>
        <v>10</v>
      </c>
      <c r="E9" s="26">
        <f>D9*PI()/180</f>
        <v>0.17453292519943295</v>
      </c>
      <c r="F9" s="22">
        <f>H3</f>
        <v>0</v>
      </c>
      <c r="G9" s="27">
        <f t="shared" ref="G9:G72" si="0">-$B$3/$B$4*SIN(E9)</f>
        <v>-0.85087607056795866</v>
      </c>
    </row>
    <row r="10" spans="1:8" x14ac:dyDescent="0.25">
      <c r="A10" s="1">
        <f t="shared" ref="A10:A73" si="1">A9+$B$2</f>
        <v>0.01</v>
      </c>
      <c r="B10" s="4">
        <f t="shared" ref="B10:B73" si="2">C10*180/PI()</f>
        <v>9.9975501000400318</v>
      </c>
      <c r="C10" s="7">
        <f t="shared" ref="C10:C73" si="3">$B$9*PI()/180*COS(SQRT($B$3/$B$4)*A10)</f>
        <v>0.17449016637878703</v>
      </c>
      <c r="D10" s="4">
        <f t="shared" ref="D10:D73" si="4">E10*180/PI()</f>
        <v>10</v>
      </c>
      <c r="E10" s="3">
        <f t="shared" ref="E10:E73" si="5">E9+$B$2*F9</f>
        <v>0.17453292519943295</v>
      </c>
      <c r="F10" s="2">
        <f t="shared" ref="F10:F73" si="6">F9+$B$2*G9</f>
        <v>-8.5087607056795866E-3</v>
      </c>
      <c r="G10" s="5">
        <f t="shared" si="0"/>
        <v>-0.85087607056795866</v>
      </c>
    </row>
    <row r="11" spans="1:8" x14ac:dyDescent="0.25">
      <c r="A11" s="1">
        <f t="shared" si="1"/>
        <v>0.02</v>
      </c>
      <c r="B11" s="4">
        <f t="shared" si="2"/>
        <v>9.9902016005620933</v>
      </c>
      <c r="C11" s="7">
        <f t="shared" si="3"/>
        <v>0.17436191086781591</v>
      </c>
      <c r="D11" s="4">
        <f t="shared" si="4"/>
        <v>9.9951248392267775</v>
      </c>
      <c r="E11" s="3">
        <f t="shared" si="5"/>
        <v>0.17444783759237614</v>
      </c>
      <c r="F11" s="2">
        <f t="shared" si="6"/>
        <v>-1.7017521411359173E-2</v>
      </c>
      <c r="G11" s="5">
        <f t="shared" si="0"/>
        <v>-0.85046547230626235</v>
      </c>
    </row>
    <row r="12" spans="1:8" x14ac:dyDescent="0.25">
      <c r="A12" s="1">
        <f t="shared" si="1"/>
        <v>0.03</v>
      </c>
      <c r="B12" s="4">
        <f t="shared" si="2"/>
        <v>9.9779581021838979</v>
      </c>
      <c r="C12" s="7">
        <f t="shared" si="3"/>
        <v>0.17414822150915382</v>
      </c>
      <c r="D12" s="4">
        <f t="shared" si="4"/>
        <v>9.9853745176803343</v>
      </c>
      <c r="E12" s="3">
        <f t="shared" si="5"/>
        <v>0.17427766237826256</v>
      </c>
      <c r="F12" s="2">
        <f t="shared" si="6"/>
        <v>-2.5522176134421797E-2</v>
      </c>
      <c r="G12" s="5">
        <f t="shared" si="0"/>
        <v>-0.84964425731398563</v>
      </c>
    </row>
    <row r="13" spans="1:8" x14ac:dyDescent="0.25">
      <c r="A13" s="1">
        <f t="shared" si="1"/>
        <v>0.04</v>
      </c>
      <c r="B13" s="4">
        <f t="shared" si="2"/>
        <v>9.9608256039746834</v>
      </c>
      <c r="C13" s="7">
        <f t="shared" si="3"/>
        <v>0.17384920300631099</v>
      </c>
      <c r="D13" s="4">
        <f t="shared" si="4"/>
        <v>9.9707513879154153</v>
      </c>
      <c r="E13" s="3">
        <f t="shared" si="5"/>
        <v>0.17402244061691835</v>
      </c>
      <c r="F13" s="2">
        <f t="shared" si="6"/>
        <v>-3.4018618707561656E-2</v>
      </c>
      <c r="G13" s="5">
        <f t="shared" si="0"/>
        <v>-0.84841258685233301</v>
      </c>
    </row>
    <row r="14" spans="1:8" x14ac:dyDescent="0.25">
      <c r="A14" s="1">
        <f t="shared" si="1"/>
        <v>0.05</v>
      </c>
      <c r="B14" s="4">
        <f t="shared" si="2"/>
        <v>9.9388125005157839</v>
      </c>
      <c r="C14" s="7">
        <f t="shared" si="3"/>
        <v>0.17346500187237104</v>
      </c>
      <c r="D14" s="4">
        <f t="shared" si="4"/>
        <v>9.9512601551473345</v>
      </c>
      <c r="E14" s="3">
        <f t="shared" si="5"/>
        <v>0.17368225442984273</v>
      </c>
      <c r="F14" s="2">
        <f t="shared" si="6"/>
        <v>-4.2502744576084987E-2</v>
      </c>
      <c r="G14" s="5">
        <f t="shared" si="0"/>
        <v>-0.84677080206990984</v>
      </c>
    </row>
    <row r="15" spans="1:8" x14ac:dyDescent="0.25">
      <c r="A15" s="1">
        <f t="shared" si="1"/>
        <v>6.0000000000000005E-2</v>
      </c>
      <c r="B15" s="4">
        <f t="shared" si="2"/>
        <v>9.9119295777874576</v>
      </c>
      <c r="C15" s="7">
        <f t="shared" si="3"/>
        <v>0.17299580635820255</v>
      </c>
      <c r="D15" s="4">
        <f t="shared" si="4"/>
        <v>9.9269078763280127</v>
      </c>
      <c r="E15" s="3">
        <f t="shared" si="5"/>
        <v>0.17325722698408189</v>
      </c>
      <c r="F15" s="2">
        <f t="shared" si="6"/>
        <v>-5.0970452596784087E-2</v>
      </c>
      <c r="G15" s="5">
        <f t="shared" si="0"/>
        <v>-0.84471942416176504</v>
      </c>
    </row>
    <row r="16" spans="1:8" x14ac:dyDescent="0.25">
      <c r="A16" s="1">
        <f t="shared" si="1"/>
        <v>7.0000000000000007E-2</v>
      </c>
      <c r="B16" s="4">
        <f t="shared" si="2"/>
        <v>9.8801900078839662</v>
      </c>
      <c r="C16" s="7">
        <f t="shared" si="3"/>
        <v>0.17244184636021972</v>
      </c>
      <c r="D16" s="4">
        <f t="shared" si="4"/>
        <v>9.8977039581913377</v>
      </c>
      <c r="E16" s="3">
        <f t="shared" si="5"/>
        <v>0.17274752245811403</v>
      </c>
      <c r="F16" s="2">
        <f t="shared" si="6"/>
        <v>-5.9417646838401741E-2</v>
      </c>
      <c r="G16" s="5">
        <f t="shared" si="0"/>
        <v>-0.8422591545291982</v>
      </c>
    </row>
    <row r="17" spans="1:7" x14ac:dyDescent="0.25">
      <c r="A17" s="1">
        <f t="shared" si="1"/>
        <v>0.08</v>
      </c>
      <c r="B17" s="4">
        <f t="shared" si="2"/>
        <v>9.8436093425595192</v>
      </c>
      <c r="C17" s="7">
        <f t="shared" si="3"/>
        <v>0.171803393307738</v>
      </c>
      <c r="D17" s="4">
        <f t="shared" si="4"/>
        <v>9.8636601542669453</v>
      </c>
      <c r="E17" s="3">
        <f t="shared" si="5"/>
        <v>0.17215334598973001</v>
      </c>
      <c r="F17" s="2">
        <f t="shared" si="6"/>
        <v>-6.7840238383693727E-2</v>
      </c>
      <c r="G17" s="5">
        <f t="shared" si="0"/>
        <v>-0.83939087493899112</v>
      </c>
    </row>
    <row r="18" spans="1:7" x14ac:dyDescent="0.25">
      <c r="A18" s="1">
        <f t="shared" si="1"/>
        <v>0.09</v>
      </c>
      <c r="B18" s="4">
        <f t="shared" si="2"/>
        <v>9.8022055056082191</v>
      </c>
      <c r="C18" s="7">
        <f t="shared" si="3"/>
        <v>0.17108076002997891</v>
      </c>
      <c r="D18" s="4">
        <f t="shared" si="4"/>
        <v>9.8247905608614747</v>
      </c>
      <c r="E18" s="3">
        <f t="shared" si="5"/>
        <v>0.17147494360589308</v>
      </c>
      <c r="F18" s="2">
        <f t="shared" si="6"/>
        <v>-7.6234147133083643E-2</v>
      </c>
      <c r="G18" s="5">
        <f t="shared" si="0"/>
        <v>-0.83611564768034208</v>
      </c>
    </row>
    <row r="19" spans="1:7" x14ac:dyDescent="0.25">
      <c r="A19" s="1">
        <f t="shared" si="1"/>
        <v>9.9999999999999992E-2</v>
      </c>
      <c r="B19" s="4">
        <f t="shared" si="2"/>
        <v>9.7559987840817612</v>
      </c>
      <c r="C19" s="7">
        <f t="shared" si="3"/>
        <v>0.17027430060279009</v>
      </c>
      <c r="D19" s="4">
        <f t="shared" si="4"/>
        <v>9.7811116120064252</v>
      </c>
      <c r="E19" s="3">
        <f t="shared" si="5"/>
        <v>0.17071260213456224</v>
      </c>
      <c r="F19" s="2">
        <f t="shared" si="6"/>
        <v>-8.4595303609887068E-2</v>
      </c>
      <c r="G19" s="5">
        <f t="shared" si="0"/>
        <v>-0.83243471571742034</v>
      </c>
    </row>
    <row r="20" spans="1:7" x14ac:dyDescent="0.25">
      <c r="A20" s="1">
        <f t="shared" si="1"/>
        <v>0.10999999999999999</v>
      </c>
      <c r="B20" s="4">
        <f t="shared" si="2"/>
        <v>9.7050118183491918</v>
      </c>
      <c r="C20" s="7">
        <f t="shared" si="3"/>
        <v>0.16938441017515524</v>
      </c>
      <c r="D20" s="4">
        <f t="shared" si="4"/>
        <v>9.7326420733716805</v>
      </c>
      <c r="E20" s="3">
        <f t="shared" si="5"/>
        <v>0.16986664909846336</v>
      </c>
      <c r="F20" s="2">
        <f t="shared" si="6"/>
        <v>-9.2919650767061268E-2</v>
      </c>
      <c r="G20" s="5">
        <f t="shared" si="0"/>
        <v>-0.8283495028350959</v>
      </c>
    </row>
    <row r="21" spans="1:7" x14ac:dyDescent="0.25">
      <c r="A21" s="1">
        <f t="shared" si="1"/>
        <v>0.11999999999999998</v>
      </c>
      <c r="B21" s="4">
        <f t="shared" si="2"/>
        <v>9.64926959100357</v>
      </c>
      <c r="C21" s="7">
        <f t="shared" si="3"/>
        <v>0.16841152477557891</v>
      </c>
      <c r="D21" s="4">
        <f t="shared" si="4"/>
        <v>9.6794030351438582</v>
      </c>
      <c r="E21" s="3">
        <f t="shared" si="5"/>
        <v>0.16893745259079274</v>
      </c>
      <c r="F21" s="2">
        <f t="shared" si="6"/>
        <v>-0.10120314579541223</v>
      </c>
      <c r="G21" s="5">
        <f t="shared" si="0"/>
        <v>-0.82386161377505163</v>
      </c>
    </row>
    <row r="22" spans="1:7" x14ac:dyDescent="0.25">
      <c r="A22" s="1">
        <f t="shared" si="1"/>
        <v>0.12999999999999998</v>
      </c>
      <c r="B22" s="4">
        <f t="shared" si="2"/>
        <v>9.5887994146210058</v>
      </c>
      <c r="C22" s="7">
        <f t="shared" si="3"/>
        <v>0.16735612109844145</v>
      </c>
      <c r="D22" s="4">
        <f t="shared" si="4"/>
        <v>9.6214179038686165</v>
      </c>
      <c r="E22" s="3">
        <f t="shared" si="5"/>
        <v>0.16792542113283862</v>
      </c>
      <c r="F22" s="2">
        <f t="shared" si="6"/>
        <v>-0.10944176193316274</v>
      </c>
      <c r="G22" s="5">
        <f t="shared" si="0"/>
        <v>-0.81897283435914492</v>
      </c>
    </row>
    <row r="23" spans="1:7" x14ac:dyDescent="0.25">
      <c r="A23" s="1">
        <f t="shared" si="1"/>
        <v>0.13999999999999999</v>
      </c>
      <c r="B23" s="4">
        <f t="shared" si="2"/>
        <v>9.523630918378041</v>
      </c>
      <c r="C23" s="7">
        <f t="shared" si="3"/>
        <v>0.16621871627042814</v>
      </c>
      <c r="D23" s="4">
        <f t="shared" si="4"/>
        <v>9.5587123932561582</v>
      </c>
      <c r="E23" s="3">
        <f t="shared" si="5"/>
        <v>0.16683100351350699</v>
      </c>
      <c r="F23" s="2">
        <f t="shared" si="6"/>
        <v>-0.11763149027675419</v>
      </c>
      <c r="G23" s="5">
        <f t="shared" si="0"/>
        <v>-0.81368513159656719</v>
      </c>
    </row>
    <row r="24" spans="1:7" x14ac:dyDescent="0.25">
      <c r="A24" s="1">
        <f t="shared" si="1"/>
        <v>0.15</v>
      </c>
      <c r="B24" s="4">
        <f t="shared" si="2"/>
        <v>9.453796033533937</v>
      </c>
      <c r="C24" s="7">
        <f t="shared" si="3"/>
        <v>0.16499986759714744</v>
      </c>
      <c r="D24" s="4">
        <f t="shared" si="4"/>
        <v>9.4913145139492379</v>
      </c>
      <c r="E24" s="3">
        <f t="shared" si="5"/>
        <v>0.16565468861073945</v>
      </c>
      <c r="F24" s="2">
        <f t="shared" si="6"/>
        <v>-0.12576834159271988</v>
      </c>
      <c r="G24" s="5">
        <f t="shared" si="0"/>
        <v>-0.80800065377103347</v>
      </c>
    </row>
    <row r="25" spans="1:7" x14ac:dyDescent="0.25">
      <c r="A25" s="1">
        <f t="shared" si="1"/>
        <v>0.16</v>
      </c>
      <c r="B25" s="4">
        <f t="shared" si="2"/>
        <v>9.3793289777850148</v>
      </c>
      <c r="C25" s="7">
        <f t="shared" si="3"/>
        <v>0.16370017229006259</v>
      </c>
      <c r="D25" s="4">
        <f t="shared" si="4"/>
        <v>9.4192545622530126</v>
      </c>
      <c r="E25" s="3">
        <f t="shared" si="5"/>
        <v>0.16439700519481226</v>
      </c>
      <c r="F25" s="2">
        <f t="shared" si="6"/>
        <v>-0.13384834813043023</v>
      </c>
      <c r="G25" s="5">
        <f t="shared" si="0"/>
        <v>-0.80192173050394511</v>
      </c>
    </row>
    <row r="26" spans="1:7" x14ac:dyDescent="0.25">
      <c r="A26" s="1">
        <f t="shared" si="1"/>
        <v>0.17</v>
      </c>
      <c r="B26" s="4">
        <f t="shared" si="2"/>
        <v>9.3002662384986543</v>
      </c>
      <c r="C26" s="7">
        <f t="shared" si="3"/>
        <v>0.16232026717386974</v>
      </c>
      <c r="D26" s="4">
        <f t="shared" si="4"/>
        <v>9.3425651078262995</v>
      </c>
      <c r="E26" s="3">
        <f t="shared" si="5"/>
        <v>0.16305852171350796</v>
      </c>
      <c r="F26" s="2">
        <f t="shared" si="6"/>
        <v>-0.14186756543546969</v>
      </c>
      <c r="G26" s="5">
        <f t="shared" si="0"/>
        <v>-0.79545087278919124</v>
      </c>
    </row>
    <row r="27" spans="1:7" x14ac:dyDescent="0.25">
      <c r="A27" s="1">
        <f t="shared" si="1"/>
        <v>0.18000000000000002</v>
      </c>
      <c r="B27" s="4">
        <f t="shared" si="2"/>
        <v>9.2166465548352168</v>
      </c>
      <c r="C27" s="7">
        <f t="shared" si="3"/>
        <v>0.16086082837446664</v>
      </c>
      <c r="D27" s="4">
        <f t="shared" si="4"/>
        <v>9.2612809803338152</v>
      </c>
      <c r="E27" s="3">
        <f t="shared" si="5"/>
        <v>0.16163984605915327</v>
      </c>
      <c r="F27" s="2">
        <f t="shared" si="6"/>
        <v>-0.1498220741633616</v>
      </c>
      <c r="G27" s="5">
        <f t="shared" si="0"/>
        <v>-0.78859077299499902</v>
      </c>
    </row>
    <row r="28" spans="1:7" x14ac:dyDescent="0.25">
      <c r="A28" s="1">
        <f t="shared" si="1"/>
        <v>0.19000000000000003</v>
      </c>
      <c r="B28" s="4">
        <f t="shared" si="2"/>
        <v>9.1285108987666348</v>
      </c>
      <c r="C28" s="7">
        <f t="shared" si="3"/>
        <v>0.15932257098766456</v>
      </c>
      <c r="D28" s="4">
        <f t="shared" si="4"/>
        <v>9.1754392550592474</v>
      </c>
      <c r="E28" s="3">
        <f t="shared" si="5"/>
        <v>0.16014162531751966</v>
      </c>
      <c r="F28" s="2">
        <f t="shared" si="6"/>
        <v>-0.15770798189331159</v>
      </c>
      <c r="G28" s="5">
        <f t="shared" si="0"/>
        <v>-0.78134430482800243</v>
      </c>
    </row>
    <row r="29" spans="1:7" x14ac:dyDescent="0.25">
      <c r="A29" s="1">
        <f t="shared" si="1"/>
        <v>0.20000000000000004</v>
      </c>
      <c r="B29" s="4">
        <f t="shared" si="2"/>
        <v>9.0359024550009632</v>
      </c>
      <c r="C29" s="7">
        <f t="shared" si="3"/>
        <v>0.15770624872880556</v>
      </c>
      <c r="D29" s="4">
        <f t="shared" si="4"/>
        <v>9.0850792374791247</v>
      </c>
      <c r="E29" s="3">
        <f t="shared" si="5"/>
        <v>0.15856454549858653</v>
      </c>
      <c r="F29" s="2">
        <f t="shared" si="6"/>
        <v>-0.16552142494159161</v>
      </c>
      <c r="G29" s="5">
        <f t="shared" si="0"/>
        <v>-0.77371452325449197</v>
      </c>
    </row>
    <row r="30" spans="1:7" x14ac:dyDescent="0.25">
      <c r="A30" s="1">
        <f t="shared" si="1"/>
        <v>0.21000000000000005</v>
      </c>
      <c r="B30" s="4">
        <f t="shared" si="2"/>
        <v>8.9388665998227363</v>
      </c>
      <c r="C30" s="7">
        <f t="shared" si="3"/>
        <v>0.15601265356345712</v>
      </c>
      <c r="D30" s="4">
        <f t="shared" si="4"/>
        <v>8.9902424467976783</v>
      </c>
      <c r="E30" s="3">
        <f t="shared" si="5"/>
        <v>0.15690933124917061</v>
      </c>
      <c r="F30" s="2">
        <f t="shared" si="6"/>
        <v>-0.17325857017413654</v>
      </c>
      <c r="G30" s="5">
        <f t="shared" si="0"/>
        <v>-0.76570466437360618</v>
      </c>
    </row>
    <row r="31" spans="1:7" x14ac:dyDescent="0.25">
      <c r="A31" s="1">
        <f t="shared" si="1"/>
        <v>0.22000000000000006</v>
      </c>
      <c r="B31" s="4">
        <f t="shared" si="2"/>
        <v>8.8374508788594976</v>
      </c>
      <c r="C31" s="7">
        <f t="shared" si="3"/>
        <v>0.15424261531936476</v>
      </c>
      <c r="D31" s="4">
        <f t="shared" si="4"/>
        <v>8.8909725984431844</v>
      </c>
      <c r="E31" s="3">
        <f t="shared" si="5"/>
        <v>0.15517674554742925</v>
      </c>
      <c r="F31" s="2">
        <f t="shared" si="6"/>
        <v>-0.1809156168178726</v>
      </c>
      <c r="G31" s="5">
        <f t="shared" si="0"/>
        <v>-0.75731814523706453</v>
      </c>
    </row>
    <row r="32" spans="1:7" x14ac:dyDescent="0.25">
      <c r="A32" s="1">
        <f t="shared" si="1"/>
        <v>0.23000000000000007</v>
      </c>
      <c r="B32" s="4">
        <f t="shared" si="2"/>
        <v>8.7317049837853915</v>
      </c>
      <c r="C32" s="7">
        <f t="shared" si="3"/>
        <v>0.15239700127985314</v>
      </c>
      <c r="D32" s="4">
        <f t="shared" si="4"/>
        <v>8.7873155855264837</v>
      </c>
      <c r="E32" s="3">
        <f t="shared" si="5"/>
        <v>0.15336758937925052</v>
      </c>
      <c r="F32" s="2">
        <f t="shared" si="6"/>
        <v>-0.18848879827024326</v>
      </c>
      <c r="G32" s="5">
        <f t="shared" si="0"/>
        <v>-0.74855856360989548</v>
      </c>
    </row>
    <row r="33" spans="1:7" x14ac:dyDescent="0.25">
      <c r="A33" s="1">
        <f t="shared" si="1"/>
        <v>0.24000000000000007</v>
      </c>
      <c r="B33" s="4">
        <f t="shared" si="2"/>
        <v>8.6216807279732421</v>
      </c>
      <c r="C33" s="7">
        <f t="shared" si="3"/>
        <v>0.15047671575887464</v>
      </c>
      <c r="D33" s="4">
        <f t="shared" si="4"/>
        <v>8.6793194592627074</v>
      </c>
      <c r="E33" s="3">
        <f t="shared" si="5"/>
        <v>0.1514827013965481</v>
      </c>
      <c r="F33" s="2">
        <f t="shared" si="6"/>
        <v>-0.19597438390634223</v>
      </c>
      <c r="G33" s="5">
        <f t="shared" si="0"/>
        <v>-0.73942969766649391</v>
      </c>
    </row>
    <row r="34" spans="1:7" x14ac:dyDescent="0.25">
      <c r="A34" s="1">
        <f t="shared" si="1"/>
        <v>0.25000000000000006</v>
      </c>
      <c r="B34" s="4">
        <f t="shared" si="2"/>
        <v>8.5074320211070287</v>
      </c>
      <c r="C34" s="7">
        <f t="shared" si="3"/>
        <v>0.14848269965791336</v>
      </c>
      <c r="D34" s="4">
        <f t="shared" si="4"/>
        <v>8.5670344083576087</v>
      </c>
      <c r="E34" s="3">
        <f t="shared" si="5"/>
        <v>0.14952295755748468</v>
      </c>
      <c r="F34" s="2">
        <f t="shared" si="6"/>
        <v>-0.20336868088300716</v>
      </c>
      <c r="G34" s="5">
        <f t="shared" si="0"/>
        <v>-0.72993550561625331</v>
      </c>
    </row>
    <row r="35" spans="1:7" x14ac:dyDescent="0.25">
      <c r="A35" s="1">
        <f t="shared" si="1"/>
        <v>0.26000000000000006</v>
      </c>
      <c r="B35" s="4">
        <f t="shared" si="2"/>
        <v>8.3890148427672298</v>
      </c>
      <c r="C35" s="7">
        <f t="shared" si="3"/>
        <v>0.14641593000496256</v>
      </c>
      <c r="D35" s="4">
        <f t="shared" si="4"/>
        <v>8.4505127373602171</v>
      </c>
      <c r="E35" s="3">
        <f t="shared" si="5"/>
        <v>0.14748927074865462</v>
      </c>
      <c r="F35" s="2">
        <f t="shared" si="6"/>
        <v>-0.21066803593916969</v>
      </c>
      <c r="G35" s="5">
        <f t="shared" si="0"/>
        <v>-0.72008012525295306</v>
      </c>
    </row>
    <row r="36" spans="1:7" x14ac:dyDescent="0.25">
      <c r="A36" s="1">
        <f t="shared" si="1"/>
        <v>0.27000000000000007</v>
      </c>
      <c r="B36" s="4">
        <f t="shared" si="2"/>
        <v>8.2664872150019395</v>
      </c>
      <c r="C36" s="7">
        <f t="shared" si="3"/>
        <v>0.14427741947580022</v>
      </c>
      <c r="D36" s="4">
        <f t="shared" si="4"/>
        <v>8.3298088439839688</v>
      </c>
      <c r="E36" s="3">
        <f t="shared" si="5"/>
        <v>0.14538259038926291</v>
      </c>
      <c r="F36" s="2">
        <f t="shared" si="6"/>
        <v>-0.21786883719169922</v>
      </c>
      <c r="G36" s="5">
        <f t="shared" si="0"/>
        <v>-0.70986787342204472</v>
      </c>
    </row>
    <row r="37" spans="1:7" x14ac:dyDescent="0.25">
      <c r="A37" s="1">
        <f t="shared" si="1"/>
        <v>0.28000000000000008</v>
      </c>
      <c r="B37" s="4">
        <f t="shared" si="2"/>
        <v>8.1399091738972249</v>
      </c>
      <c r="C37" s="7">
        <f t="shared" si="3"/>
        <v>0.14206821589779825</v>
      </c>
      <c r="D37" s="4">
        <f t="shared" si="4"/>
        <v>8.2049791953988969</v>
      </c>
      <c r="E37" s="3">
        <f t="shared" si="5"/>
        <v>0.14320390201734592</v>
      </c>
      <c r="F37" s="2">
        <f t="shared" si="6"/>
        <v>-0.22496751592591968</v>
      </c>
      <c r="G37" s="5">
        <f t="shared" si="0"/>
        <v>-0.69930324539997379</v>
      </c>
    </row>
    <row r="38" spans="1:7" x14ac:dyDescent="0.25">
      <c r="A38" s="1">
        <f t="shared" si="1"/>
        <v>0.29000000000000009</v>
      </c>
      <c r="B38" s="4">
        <f t="shared" si="2"/>
        <v>8.0093427401606601</v>
      </c>
      <c r="C38" s="7">
        <f t="shared" si="3"/>
        <v>0.13978940173650817</v>
      </c>
      <c r="D38" s="4">
        <f t="shared" si="4"/>
        <v>8.0760823034979232</v>
      </c>
      <c r="E38" s="3">
        <f t="shared" si="5"/>
        <v>0.14095422685808673</v>
      </c>
      <c r="F38" s="2">
        <f t="shared" si="6"/>
        <v>-0.23196054837991942</v>
      </c>
      <c r="G38" s="5">
        <f t="shared" si="0"/>
        <v>-0.688390914179693</v>
      </c>
    </row>
    <row r="39" spans="1:7" x14ac:dyDescent="0.25">
      <c r="A39" s="1">
        <f t="shared" si="1"/>
        <v>0.3000000000000001</v>
      </c>
      <c r="B39" s="4">
        <f t="shared" si="2"/>
        <v>7.8748518887323975</v>
      </c>
      <c r="C39" s="7">
        <f t="shared" si="3"/>
        <v>0.13744209356527448</v>
      </c>
      <c r="D39" s="4">
        <f t="shared" si="4"/>
        <v>7.9431786991408284</v>
      </c>
      <c r="E39" s="3">
        <f t="shared" si="5"/>
        <v>0.13863462137428753</v>
      </c>
      <c r="F39" s="2">
        <f t="shared" si="6"/>
        <v>-0.23884445752171635</v>
      </c>
      <c r="G39" s="5">
        <f t="shared" si="0"/>
        <v>-0.67713572965657642</v>
      </c>
    </row>
    <row r="40" spans="1:7" x14ac:dyDescent="0.25">
      <c r="A40" s="1">
        <f t="shared" si="1"/>
        <v>0.31000000000000011</v>
      </c>
      <c r="B40" s="4">
        <f t="shared" si="2"/>
        <v>7.7365025174387432</v>
      </c>
      <c r="C40" s="7">
        <f t="shared" si="3"/>
        <v>0.13502744151813609</v>
      </c>
      <c r="D40" s="4">
        <f t="shared" si="4"/>
        <v>7.8063309053799674</v>
      </c>
      <c r="E40" s="3">
        <f t="shared" si="5"/>
        <v>0.13624617679907036</v>
      </c>
      <c r="F40" s="2">
        <f t="shared" si="6"/>
        <v>-0.24561581481828212</v>
      </c>
      <c r="G40" s="5">
        <f t="shared" si="0"/>
        <v>-0.66554271770901718</v>
      </c>
    </row>
    <row r="41" spans="1:7" x14ac:dyDescent="0.25">
      <c r="A41" s="1">
        <f t="shared" si="1"/>
        <v>0.32000000000000012</v>
      </c>
      <c r="B41" s="4">
        <f t="shared" si="2"/>
        <v>7.5943624147035376</v>
      </c>
      <c r="C41" s="7">
        <f t="shared" si="3"/>
        <v>0.13254662872628376</v>
      </c>
      <c r="D41" s="4">
        <f t="shared" si="4"/>
        <v>7.6656034096724248</v>
      </c>
      <c r="E41" s="3">
        <f t="shared" si="5"/>
        <v>0.13379001865088755</v>
      </c>
      <c r="F41" s="2">
        <f t="shared" si="6"/>
        <v>-0.25227124199537232</v>
      </c>
      <c r="G41" s="5">
        <f t="shared" si="0"/>
        <v>-0.65361707916810707</v>
      </c>
    </row>
    <row r="42" spans="1:7" x14ac:dyDescent="0.25">
      <c r="A42" s="1">
        <f t="shared" si="1"/>
        <v>0.33000000000000013</v>
      </c>
      <c r="B42" s="4">
        <f t="shared" si="2"/>
        <v>7.44850122633318</v>
      </c>
      <c r="C42" s="7">
        <f t="shared" si="3"/>
        <v>0.13000087073834934</v>
      </c>
      <c r="D42" s="4">
        <f t="shared" si="4"/>
        <v>7.5210626350838421</v>
      </c>
      <c r="E42" s="3">
        <f t="shared" si="5"/>
        <v>0.13126730623093383</v>
      </c>
      <c r="F42" s="2">
        <f t="shared" si="6"/>
        <v>-0.25880741278705338</v>
      </c>
      <c r="G42" s="5">
        <f t="shared" si="0"/>
        <v>-0.64136418867092404</v>
      </c>
    </row>
    <row r="43" spans="1:7" x14ac:dyDescent="0.25">
      <c r="A43" s="1">
        <f t="shared" si="1"/>
        <v>0.34000000000000014</v>
      </c>
      <c r="B43" s="4">
        <f t="shared" si="2"/>
        <v>7.2989904213915802</v>
      </c>
      <c r="C43" s="7">
        <f t="shared" si="3"/>
        <v>0.12739141492481143</v>
      </c>
      <c r="D43" s="4">
        <f t="shared" si="4"/>
        <v>7.3727769104898577</v>
      </c>
      <c r="E43" s="3">
        <f t="shared" si="5"/>
        <v>0.12867923210306328</v>
      </c>
      <c r="F43" s="2">
        <f t="shared" si="6"/>
        <v>-0.26522105467376261</v>
      </c>
      <c r="G43" s="5">
        <f t="shared" si="0"/>
        <v>-0.62878959339213114</v>
      </c>
    </row>
    <row r="44" spans="1:7" x14ac:dyDescent="0.25">
      <c r="A44" s="1">
        <f t="shared" si="1"/>
        <v>0.35000000000000014</v>
      </c>
      <c r="B44" s="4">
        <f t="shared" si="2"/>
        <v>7.1459032571817449</v>
      </c>
      <c r="C44" s="7">
        <f t="shared" si="3"/>
        <v>0.12471953986680859</v>
      </c>
      <c r="D44" s="4">
        <f t="shared" si="4"/>
        <v>7.220816439781709</v>
      </c>
      <c r="E44" s="3">
        <f t="shared" si="5"/>
        <v>0.12602702155632567</v>
      </c>
      <c r="F44" s="2">
        <f t="shared" si="6"/>
        <v>-0.27150895060768393</v>
      </c>
      <c r="G44" s="5">
        <f t="shared" si="0"/>
        <v>-0.61589901164877303</v>
      </c>
    </row>
    <row r="45" spans="1:7" x14ac:dyDescent="0.25">
      <c r="A45" s="1">
        <f t="shared" si="1"/>
        <v>0.36000000000000015</v>
      </c>
      <c r="B45" s="4">
        <f t="shared" si="2"/>
        <v>6.9893147433511729</v>
      </c>
      <c r="C45" s="7">
        <f t="shared" si="3"/>
        <v>0.12198655472966041</v>
      </c>
      <c r="D45" s="4">
        <f t="shared" si="4"/>
        <v>7.0652532700832458</v>
      </c>
      <c r="E45" s="3">
        <f t="shared" si="5"/>
        <v>0.12331193205024883</v>
      </c>
      <c r="F45" s="2">
        <f t="shared" si="6"/>
        <v>-0.27766794072417167</v>
      </c>
      <c r="G45" s="5">
        <f t="shared" si="0"/>
        <v>-0.60269833137338902</v>
      </c>
    </row>
    <row r="46" spans="1:7" x14ac:dyDescent="0.25">
      <c r="A46" s="1">
        <f t="shared" si="1"/>
        <v>0.37000000000000016</v>
      </c>
      <c r="B46" s="4">
        <f t="shared" si="2"/>
        <v>6.8293016051386122</v>
      </c>
      <c r="C46" s="7">
        <f t="shared" si="3"/>
        <v>0.11919379862140247</v>
      </c>
      <c r="D46" s="4">
        <f t="shared" si="4"/>
        <v>6.9061612589874093</v>
      </c>
      <c r="E46" s="3">
        <f t="shared" si="5"/>
        <v>0.12053525264300712</v>
      </c>
      <c r="F46" s="2">
        <f t="shared" si="6"/>
        <v>-0.28369492403790558</v>
      </c>
      <c r="G46" s="5">
        <f t="shared" si="0"/>
        <v>-0.58919360845080548</v>
      </c>
    </row>
    <row r="47" spans="1:7" x14ac:dyDescent="0.25">
      <c r="A47" s="1">
        <f t="shared" si="1"/>
        <v>0.38000000000000017</v>
      </c>
      <c r="B47" s="4">
        <f t="shared" si="2"/>
        <v>6.6659422457802453</v>
      </c>
      <c r="C47" s="7">
        <f t="shared" si="3"/>
        <v>0.11634263993665037</v>
      </c>
      <c r="D47" s="4">
        <f t="shared" si="4"/>
        <v>6.7436160408208439</v>
      </c>
      <c r="E47" s="3">
        <f t="shared" si="5"/>
        <v>0.11769830340262806</v>
      </c>
      <c r="F47" s="2">
        <f t="shared" si="6"/>
        <v>-0.28958686012241364</v>
      </c>
      <c r="G47" s="5">
        <f t="shared" si="0"/>
        <v>-0.57539106491424696</v>
      </c>
    </row>
    <row r="48" spans="1:7" x14ac:dyDescent="0.25">
      <c r="A48" s="1">
        <f t="shared" si="1"/>
        <v>0.39000000000000018</v>
      </c>
      <c r="B48" s="4">
        <f t="shared" si="2"/>
        <v>6.4993167080936614</v>
      </c>
      <c r="C48" s="7">
        <f t="shared" si="3"/>
        <v>0.11343447568611358</v>
      </c>
      <c r="D48" s="4">
        <f t="shared" si="4"/>
        <v>6.577694991946248</v>
      </c>
      <c r="E48" s="3">
        <f t="shared" si="5"/>
        <v>0.11480243480140392</v>
      </c>
      <c r="F48" s="2">
        <f t="shared" si="6"/>
        <v>-0.29534077077155613</v>
      </c>
      <c r="G48" s="5">
        <f t="shared" si="0"/>
        <v>-0.56129708699671244</v>
      </c>
    </row>
    <row r="49" spans="1:7" x14ac:dyDescent="0.25">
      <c r="A49" s="1">
        <f t="shared" si="1"/>
        <v>0.40000000000000019</v>
      </c>
      <c r="B49" s="4">
        <f t="shared" si="2"/>
        <v>6.3295066352584826</v>
      </c>
      <c r="C49" s="7">
        <f t="shared" si="3"/>
        <v>0.11047073081208833</v>
      </c>
      <c r="D49" s="4">
        <f t="shared" si="4"/>
        <v>6.4084771951127397</v>
      </c>
      <c r="E49" s="3">
        <f t="shared" si="5"/>
        <v>0.11184902709368837</v>
      </c>
      <c r="F49" s="2">
        <f t="shared" si="6"/>
        <v>-0.30095374164152328</v>
      </c>
      <c r="G49" s="5">
        <f t="shared" si="0"/>
        <v>-0.54691822303388526</v>
      </c>
    </row>
    <row r="50" spans="1:7" x14ac:dyDescent="0.25">
      <c r="A50" s="1">
        <f t="shared" si="1"/>
        <v>0.4100000000000002</v>
      </c>
      <c r="B50" s="4">
        <f t="shared" si="2"/>
        <v>6.1565952308128367</v>
      </c>
      <c r="C50" s="7">
        <f t="shared" si="3"/>
        <v>0.10745285749026424</v>
      </c>
      <c r="D50" s="4">
        <f t="shared" si="4"/>
        <v>6.236043402865441</v>
      </c>
      <c r="E50" s="3">
        <f t="shared" si="5"/>
        <v>0.10883948967727314</v>
      </c>
      <c r="F50" s="2">
        <f t="shared" si="6"/>
        <v>-0.30642292387186215</v>
      </c>
      <c r="G50" s="5">
        <f t="shared" si="0"/>
        <v>-0.53226118121519772</v>
      </c>
    </row>
    <row r="51" spans="1:7" x14ac:dyDescent="0.25">
      <c r="A51" s="1">
        <f t="shared" si="1"/>
        <v>0.42000000000000021</v>
      </c>
      <c r="B51" s="4">
        <f t="shared" si="2"/>
        <v>5.9806672178852915</v>
      </c>
      <c r="C51" s="7">
        <f t="shared" si="3"/>
        <v>0.10438233441818744</v>
      </c>
      <c r="D51" s="4">
        <f t="shared" si="4"/>
        <v>6.060476000026279</v>
      </c>
      <c r="E51" s="3">
        <f t="shared" si="5"/>
        <v>0.10577526043855452</v>
      </c>
      <c r="F51" s="2">
        <f t="shared" si="6"/>
        <v>-0.31174553568401414</v>
      </c>
      <c r="G51" s="5">
        <f t="shared" si="0"/>
        <v>-0.51733282718004581</v>
      </c>
    </row>
    <row r="52" spans="1:7" x14ac:dyDescent="0.25">
      <c r="A52" s="1">
        <f t="shared" si="1"/>
        <v>0.43000000000000022</v>
      </c>
      <c r="B52" s="4">
        <f t="shared" si="2"/>
        <v>5.8018087976822112</v>
      </c>
      <c r="C52" s="7">
        <f t="shared" si="3"/>
        <v>0.10126066609072813</v>
      </c>
      <c r="D52" s="4">
        <f t="shared" si="4"/>
        <v>5.8818589652588891</v>
      </c>
      <c r="E52" s="3">
        <f t="shared" si="5"/>
        <v>0.10265780508171438</v>
      </c>
      <c r="F52" s="2">
        <f t="shared" si="6"/>
        <v>-0.31691886395581459</v>
      </c>
      <c r="G52" s="5">
        <f t="shared" si="0"/>
        <v>-0.50214018145654127</v>
      </c>
    </row>
    <row r="53" spans="1:7" x14ac:dyDescent="0.25">
      <c r="A53" s="1">
        <f t="shared" si="1"/>
        <v>0.44000000000000022</v>
      </c>
      <c r="B53" s="4">
        <f t="shared" si="2"/>
        <v>5.6201076072508949</v>
      </c>
      <c r="C53" s="7">
        <f t="shared" si="3"/>
        <v>9.8089382062908445E-2</v>
      </c>
      <c r="D53" s="4">
        <f t="shared" si="4"/>
        <v>5.7002778317314</v>
      </c>
      <c r="E53" s="3">
        <f t="shared" si="5"/>
        <v>9.948861644215623E-2</v>
      </c>
      <c r="F53" s="2">
        <f t="shared" si="6"/>
        <v>-0.32194026577037999</v>
      </c>
      <c r="G53" s="5">
        <f t="shared" si="0"/>
        <v>-0.4866904167406052</v>
      </c>
    </row>
    <row r="54" spans="1:7" x14ac:dyDescent="0.25">
      <c r="A54" s="1">
        <f t="shared" si="1"/>
        <v>0.45000000000000023</v>
      </c>
      <c r="B54" s="4">
        <f t="shared" si="2"/>
        <v>5.4356526765391751</v>
      </c>
      <c r="C54" s="7">
        <f t="shared" si="3"/>
        <v>9.4870036200450925E-2</v>
      </c>
      <c r="D54" s="4">
        <f t="shared" si="4"/>
        <v>5.5158196468917717</v>
      </c>
      <c r="E54" s="3">
        <f t="shared" si="5"/>
        <v>9.6269213784452426E-2</v>
      </c>
      <c r="F54" s="2">
        <f t="shared" si="6"/>
        <v>-0.32680716993778602</v>
      </c>
      <c r="G54" s="5">
        <f t="shared" si="0"/>
        <v>-0.47099085501363436</v>
      </c>
    </row>
    <row r="55" spans="1:7" x14ac:dyDescent="0.25">
      <c r="A55" s="1">
        <f t="shared" si="1"/>
        <v>0.46000000000000024</v>
      </c>
      <c r="B55" s="4">
        <f t="shared" si="2"/>
        <v>5.2485343847725252</v>
      </c>
      <c r="C55" s="7">
        <f t="shared" si="3"/>
        <v>9.1604205918415491E-2</v>
      </c>
      <c r="D55" s="4">
        <f t="shared" si="4"/>
        <v>5.3285729313712737</v>
      </c>
      <c r="E55" s="3">
        <f t="shared" si="5"/>
        <v>9.3001142085074567E-2</v>
      </c>
      <c r="F55" s="2">
        <f t="shared" si="6"/>
        <v>-0.33151707848792239</v>
      </c>
      <c r="G55" s="5">
        <f t="shared" si="0"/>
        <v>-0.45504896449742566</v>
      </c>
    </row>
    <row r="56" spans="1:7" x14ac:dyDescent="0.25">
      <c r="A56" s="1">
        <f t="shared" si="1"/>
        <v>0.47000000000000025</v>
      </c>
      <c r="B56" s="4">
        <f t="shared" si="2"/>
        <v>5.0588444161700465</v>
      </c>
      <c r="C56" s="7">
        <f t="shared" si="3"/>
        <v>8.8293491408297578E-2</v>
      </c>
      <c r="D56" s="4">
        <f t="shared" si="4"/>
        <v>5.1386276370326209</v>
      </c>
      <c r="E56" s="3">
        <f t="shared" si="5"/>
        <v>8.9685971300195344E-2</v>
      </c>
      <c r="F56" s="2">
        <f t="shared" si="6"/>
        <v>-0.33606756813289662</v>
      </c>
      <c r="G56" s="5">
        <f t="shared" si="0"/>
        <v>-0.43887235644550115</v>
      </c>
    </row>
    <row r="57" spans="1:7" x14ac:dyDescent="0.25">
      <c r="A57" s="1">
        <f t="shared" si="1"/>
        <v>0.48000000000000026</v>
      </c>
      <c r="B57" s="4">
        <f t="shared" si="2"/>
        <v>4.866675715021036</v>
      </c>
      <c r="C57" s="7">
        <f t="shared" si="3"/>
        <v>8.4939514853966336E-2</v>
      </c>
      <c r="D57" s="4">
        <f t="shared" si="4"/>
        <v>4.9460751041802187</v>
      </c>
      <c r="E57" s="3">
        <f t="shared" si="5"/>
        <v>8.6325295618866371E-2</v>
      </c>
      <c r="F57" s="2">
        <f t="shared" si="6"/>
        <v>-0.34045629169735164</v>
      </c>
      <c r="G57" s="5">
        <f t="shared" si="0"/>
        <v>-0.42246878177045477</v>
      </c>
    </row>
    <row r="58" spans="1:7" x14ac:dyDescent="0.25">
      <c r="A58" s="1">
        <f t="shared" si="1"/>
        <v>0.49000000000000027</v>
      </c>
      <c r="B58" s="4">
        <f t="shared" si="2"/>
        <v>4.6721224401441468</v>
      </c>
      <c r="C58" s="7">
        <f t="shared" si="3"/>
        <v>8.1543919636827056E-2</v>
      </c>
      <c r="D58" s="4">
        <f t="shared" si="4"/>
        <v>4.7510080179508885</v>
      </c>
      <c r="E58" s="3">
        <f t="shared" si="5"/>
        <v>8.292073270189286E-2</v>
      </c>
      <c r="F58" s="2">
        <f t="shared" si="6"/>
        <v>-0.34468097951505616</v>
      </c>
      <c r="G58" s="5">
        <f t="shared" si="0"/>
        <v>-0.40584612750742749</v>
      </c>
    </row>
    <row r="59" spans="1:7" x14ac:dyDescent="0.25">
      <c r="A59" s="1">
        <f t="shared" si="1"/>
        <v>0.50000000000000022</v>
      </c>
      <c r="B59" s="4">
        <f t="shared" si="2"/>
        <v>4.4752799187514434</v>
      </c>
      <c r="C59" s="7">
        <f t="shared" si="3"/>
        <v>7.8108369530597008E-2</v>
      </c>
      <c r="D59" s="4">
        <f t="shared" si="4"/>
        <v>4.5535203639044095</v>
      </c>
      <c r="E59" s="3">
        <f t="shared" si="5"/>
        <v>7.9473922906742295E-2</v>
      </c>
      <c r="F59" s="2">
        <f t="shared" si="6"/>
        <v>-0.34873944079013042</v>
      </c>
      <c r="G59" s="5">
        <f t="shared" si="0"/>
        <v>-0.38901241311430984</v>
      </c>
    </row>
    <row r="60" spans="1:7" x14ac:dyDescent="0.25">
      <c r="A60" s="1">
        <f t="shared" si="1"/>
        <v>0.51000000000000023</v>
      </c>
      <c r="B60" s="4">
        <f t="shared" si="2"/>
        <v>4.2762445997399796</v>
      </c>
      <c r="C60" s="7">
        <f t="shared" si="3"/>
        <v>7.4634547886089697E-2</v>
      </c>
      <c r="D60" s="4">
        <f t="shared" si="4"/>
        <v>4.3537073828341395</v>
      </c>
      <c r="E60" s="3">
        <f t="shared" si="5"/>
        <v>7.5986528498840994E-2</v>
      </c>
      <c r="F60" s="2">
        <f t="shared" si="6"/>
        <v>-0.35262956492127351</v>
      </c>
      <c r="G60" s="5">
        <f t="shared" si="0"/>
        <v>-0.37197578660977698</v>
      </c>
    </row>
    <row r="61" spans="1:7" x14ac:dyDescent="0.25">
      <c r="A61" s="1">
        <f t="shared" si="1"/>
        <v>0.52000000000000024</v>
      </c>
      <c r="B61" s="4">
        <f t="shared" si="2"/>
        <v>4.0751140064337754</v>
      </c>
      <c r="C61" s="7">
        <f t="shared" si="3"/>
        <v>7.1124156806406769E-2</v>
      </c>
      <c r="D61" s="4">
        <f t="shared" si="4"/>
        <v>4.1516655248189052</v>
      </c>
      <c r="E61" s="3">
        <f t="shared" si="5"/>
        <v>7.2460232849628256E-2</v>
      </c>
      <c r="F61" s="2">
        <f t="shared" si="6"/>
        <v>-0.3563493227873713</v>
      </c>
      <c r="G61" s="5">
        <f t="shared" si="0"/>
        <v>-0.35474452055076255</v>
      </c>
    </row>
    <row r="62" spans="1:7" x14ac:dyDescent="0.25">
      <c r="A62" s="1">
        <f t="shared" si="1"/>
        <v>0.53000000000000025</v>
      </c>
      <c r="B62" s="4">
        <f t="shared" si="2"/>
        <v>3.8719866887993244</v>
      </c>
      <c r="C62" s="7">
        <f t="shared" si="3"/>
        <v>6.7578916312941259E-2</v>
      </c>
      <c r="D62" s="4">
        <f t="shared" si="4"/>
        <v>3.9474924025382911</v>
      </c>
      <c r="E62" s="3">
        <f t="shared" si="5"/>
        <v>6.8896739621754549E-2</v>
      </c>
      <c r="F62" s="2">
        <f t="shared" si="6"/>
        <v>-0.35989676799287895</v>
      </c>
      <c r="G62" s="5">
        <f t="shared" si="0"/>
        <v>-0.3373270078514875</v>
      </c>
    </row>
    <row r="63" spans="1:7" x14ac:dyDescent="0.25">
      <c r="A63" s="1">
        <f t="shared" si="1"/>
        <v>0.54000000000000026</v>
      </c>
      <c r="B63" s="4">
        <f t="shared" si="2"/>
        <v>3.6669621751580967</v>
      </c>
      <c r="C63" s="7">
        <f t="shared" si="3"/>
        <v>6.4000563502601804E-2</v>
      </c>
      <c r="D63" s="4">
        <f t="shared" si="4"/>
        <v>3.7412867438743822</v>
      </c>
      <c r="E63" s="3">
        <f t="shared" si="5"/>
        <v>6.5297771941825761E-2</v>
      </c>
      <c r="F63" s="2">
        <f t="shared" si="6"/>
        <v>-0.36327003807139385</v>
      </c>
      <c r="G63" s="5">
        <f t="shared" si="0"/>
        <v>-0.31973175744667065</v>
      </c>
    </row>
    <row r="64" spans="1:7" x14ac:dyDescent="0.25">
      <c r="A64" s="1">
        <f t="shared" si="1"/>
        <v>0.55000000000000027</v>
      </c>
      <c r="B64" s="4">
        <f t="shared" si="2"/>
        <v>3.4601409234196461</v>
      </c>
      <c r="C64" s="7">
        <f t="shared" si="3"/>
        <v>6.0390851696669794E-2</v>
      </c>
      <c r="D64" s="4">
        <f t="shared" si="4"/>
        <v>3.5331483438239064</v>
      </c>
      <c r="E64" s="3">
        <f t="shared" si="5"/>
        <v>6.1665071561111826E-2</v>
      </c>
      <c r="F64" s="2">
        <f t="shared" si="6"/>
        <v>-0.36646735564586058</v>
      </c>
      <c r="G64" s="5">
        <f t="shared" si="0"/>
        <v>-0.3019673898020494</v>
      </c>
    </row>
    <row r="65" spans="1:7" x14ac:dyDescent="0.25">
      <c r="A65" s="1">
        <f t="shared" si="1"/>
        <v>0.56000000000000028</v>
      </c>
      <c r="B65" s="4">
        <f t="shared" si="2"/>
        <v>3.2516242718592401</v>
      </c>
      <c r="C65" s="7">
        <f t="shared" si="3"/>
        <v>5.6751549581706938E-2</v>
      </c>
      <c r="D65" s="4">
        <f t="shared" si="4"/>
        <v>3.3231780157456305</v>
      </c>
      <c r="E65" s="3">
        <f t="shared" si="5"/>
        <v>5.8000398004653217E-2</v>
      </c>
      <c r="F65" s="2">
        <f t="shared" si="6"/>
        <v>-0.36948702954388107</v>
      </c>
      <c r="G65" s="5">
        <f t="shared" si="0"/>
        <v>-0.28404263227584448</v>
      </c>
    </row>
    <row r="66" spans="1:7" x14ac:dyDescent="0.25">
      <c r="A66" s="1">
        <f t="shared" si="1"/>
        <v>0.57000000000000028</v>
      </c>
      <c r="B66" s="4">
        <f t="shared" si="2"/>
        <v>3.0415143894641457</v>
      </c>
      <c r="C66" s="7">
        <f t="shared" si="3"/>
        <v>5.3084440342934469E-2</v>
      </c>
      <c r="D66" s="4">
        <f t="shared" si="4"/>
        <v>3.1114775419687315</v>
      </c>
      <c r="E66" s="3">
        <f t="shared" si="5"/>
        <v>5.4305527709214409E-2</v>
      </c>
      <c r="F66" s="2">
        <f t="shared" si="6"/>
        <v>-0.37232745586663951</v>
      </c>
      <c r="G66" s="5">
        <f t="shared" si="0"/>
        <v>-0.26596631433529588</v>
      </c>
    </row>
    <row r="67" spans="1:7" x14ac:dyDescent="0.25">
      <c r="A67" s="1">
        <f t="shared" si="1"/>
        <v>0.58000000000000029</v>
      </c>
      <c r="B67" s="4">
        <f t="shared" si="2"/>
        <v>2.8299142258728502</v>
      </c>
      <c r="C67" s="7">
        <f t="shared" si="3"/>
        <v>4.9391320790507738E-2</v>
      </c>
      <c r="D67" s="4">
        <f t="shared" si="4"/>
        <v>2.8981496237887128</v>
      </c>
      <c r="E67" s="3">
        <f t="shared" si="5"/>
        <v>5.0582253150548012E-2</v>
      </c>
      <c r="F67" s="2">
        <f t="shared" si="6"/>
        <v>-0.37498711900999249</v>
      </c>
      <c r="G67" s="5">
        <f t="shared" si="0"/>
        <v>-0.24774736263288363</v>
      </c>
    </row>
    <row r="68" spans="1:7" x14ac:dyDescent="0.25">
      <c r="A68" s="1">
        <f t="shared" si="1"/>
        <v>0.5900000000000003</v>
      </c>
      <c r="B68" s="4">
        <f t="shared" si="2"/>
        <v>2.6169274609318203</v>
      </c>
      <c r="C68" s="7">
        <f t="shared" si="3"/>
        <v>4.5674000479115538E-2</v>
      </c>
      <c r="D68" s="4">
        <f t="shared" si="4"/>
        <v>2.683297830878288</v>
      </c>
      <c r="E68" s="3">
        <f t="shared" si="5"/>
        <v>4.6832381960448088E-2</v>
      </c>
      <c r="F68" s="2">
        <f t="shared" si="6"/>
        <v>-0.37746459263632132</v>
      </c>
      <c r="G68" s="5">
        <f t="shared" si="0"/>
        <v>-0.22939479594732215</v>
      </c>
    </row>
    <row r="69" spans="1:7" x14ac:dyDescent="0.25">
      <c r="A69" s="1">
        <f t="shared" si="1"/>
        <v>0.60000000000000031</v>
      </c>
      <c r="B69" s="4">
        <f t="shared" si="2"/>
        <v>2.4026584538944373</v>
      </c>
      <c r="C69" s="7">
        <f t="shared" si="3"/>
        <v>4.1934300821334307E-2</v>
      </c>
      <c r="D69" s="4">
        <f t="shared" si="4"/>
        <v>2.4670265501414268</v>
      </c>
      <c r="E69" s="3">
        <f t="shared" si="5"/>
        <v>4.3057736034084873E-2</v>
      </c>
      <c r="F69" s="2">
        <f t="shared" si="6"/>
        <v>-0.37975854059579456</v>
      </c>
      <c r="G69" s="5">
        <f t="shared" si="0"/>
        <v>-0.21091771999487832</v>
      </c>
    </row>
    <row r="70" spans="1:7" x14ac:dyDescent="0.25">
      <c r="A70" s="1">
        <f t="shared" si="1"/>
        <v>0.61000000000000032</v>
      </c>
      <c r="B70" s="4">
        <f t="shared" si="2"/>
        <v>2.1872121922870504</v>
      </c>
      <c r="C70" s="7">
        <f t="shared" si="3"/>
        <v>3.8174054195172356E-2</v>
      </c>
      <c r="D70" s="4">
        <f t="shared" si="4"/>
        <v>2.2494409340395611</v>
      </c>
      <c r="E70" s="3">
        <f t="shared" si="5"/>
        <v>3.9260150628126926E-2</v>
      </c>
      <c r="F70" s="2">
        <f t="shared" si="6"/>
        <v>-0.38186771779574336</v>
      </c>
      <c r="G70" s="5">
        <f t="shared" si="0"/>
        <v>-0.19232532211701039</v>
      </c>
    </row>
    <row r="71" spans="1:7" x14ac:dyDescent="0.25">
      <c r="A71" s="1">
        <f t="shared" si="1"/>
        <v>0.62000000000000033</v>
      </c>
      <c r="B71" s="4">
        <f t="shared" si="2"/>
        <v>1.9706942404672008</v>
      </c>
      <c r="C71" s="7">
        <f t="shared" si="3"/>
        <v>3.4395103046241528E-2</v>
      </c>
      <c r="D71" s="4">
        <f t="shared" si="4"/>
        <v>2.0306468484196722</v>
      </c>
      <c r="E71" s="3">
        <f t="shared" si="5"/>
        <v>3.5441473450169493E-2</v>
      </c>
      <c r="F71" s="2">
        <f t="shared" si="6"/>
        <v>-0.38379097101691345</v>
      </c>
      <c r="G71" s="5">
        <f t="shared" si="0"/>
        <v>-0.17362686585075199</v>
      </c>
    </row>
    <row r="72" spans="1:7" x14ac:dyDescent="0.25">
      <c r="A72" s="1">
        <f t="shared" si="1"/>
        <v>0.63000000000000034</v>
      </c>
      <c r="B72" s="4">
        <f t="shared" si="2"/>
        <v>1.7532106878991824</v>
      </c>
      <c r="C72" s="7">
        <f t="shared" si="3"/>
        <v>3.0599298984995443E-2</v>
      </c>
      <c r="D72" s="4">
        <f t="shared" si="4"/>
        <v>1.810750819874704</v>
      </c>
      <c r="E72" s="3">
        <f t="shared" si="5"/>
        <v>3.1603563740000361E-2</v>
      </c>
      <c r="F72" s="2">
        <f t="shared" si="6"/>
        <v>-0.38552723967542096</v>
      </c>
      <c r="G72" s="5">
        <f t="shared" si="0"/>
        <v>-0.15483168538867659</v>
      </c>
    </row>
    <row r="73" spans="1:7" x14ac:dyDescent="0.25">
      <c r="A73" s="1">
        <f t="shared" si="1"/>
        <v>0.64000000000000035</v>
      </c>
      <c r="B73" s="4">
        <f t="shared" si="2"/>
        <v>1.5348680971723474</v>
      </c>
      <c r="C73" s="7">
        <f t="shared" si="3"/>
        <v>2.678850187947773E-2</v>
      </c>
      <c r="D73" s="4">
        <f t="shared" si="4"/>
        <v>1.5898599826674025</v>
      </c>
      <c r="E73" s="3">
        <f t="shared" si="5"/>
        <v>2.7748291343246152E-2</v>
      </c>
      <c r="F73" s="2">
        <f t="shared" si="6"/>
        <v>-0.38707555652930775</v>
      </c>
      <c r="G73" s="5">
        <f t="shared" ref="G73:G136" si="7">-$B$3/$B$4*SIN(E73)</f>
        <v>-0.13594917993566374</v>
      </c>
    </row>
    <row r="74" spans="1:7" x14ac:dyDescent="0.25">
      <c r="A74" s="1">
        <f t="shared" ref="A74:A137" si="8">A73+$B$2</f>
        <v>0.65000000000000036</v>
      </c>
      <c r="B74" s="4">
        <f t="shared" ref="B74:B137" si="9">C74*180/PI()</f>
        <v>1.3157734517875466</v>
      </c>
      <c r="C74" s="7">
        <f t="shared" ref="C74:C137" si="10">$B$9*PI()/180*COS(SQRT($B$3/$B$4)*A74)</f>
        <v>2.2964578944023553E-2</v>
      </c>
      <c r="D74" s="4">
        <f t="shared" ref="D74:D137" si="11">E74*180/PI()</f>
        <v>1.368082025249334</v>
      </c>
      <c r="E74" s="3">
        <f t="shared" ref="E74:E137" si="12">E73+$B$2*F73</f>
        <v>2.3877535777953075E-2</v>
      </c>
      <c r="F74" s="2">
        <f t="shared" ref="F74:F137" si="13">F73+$B$2*G73</f>
        <v>-0.38843504832866438</v>
      </c>
      <c r="G74" s="5">
        <f t="shared" si="7"/>
        <v>-0.11698880797005298</v>
      </c>
    </row>
    <row r="75" spans="1:7" x14ac:dyDescent="0.25">
      <c r="A75" s="1">
        <f t="shared" si="8"/>
        <v>0.66000000000000036</v>
      </c>
      <c r="B75" s="4">
        <f t="shared" si="9"/>
        <v>1.0960341037373733</v>
      </c>
      <c r="C75" s="7">
        <f t="shared" si="10"/>
        <v>1.9129403824362252E-2</v>
      </c>
      <c r="D75" s="4">
        <f t="shared" si="11"/>
        <v>1.1455251364074075</v>
      </c>
      <c r="E75" s="3">
        <f t="shared" si="12"/>
        <v>1.999318529466643E-2</v>
      </c>
      <c r="F75" s="2">
        <f t="shared" si="13"/>
        <v>-0.38960493640836491</v>
      </c>
      <c r="G75" s="5">
        <f t="shared" si="7"/>
        <v>-9.7960081417111058E-2</v>
      </c>
    </row>
    <row r="76" spans="1:7" x14ac:dyDescent="0.25">
      <c r="A76" s="1">
        <f t="shared" si="8"/>
        <v>0.67000000000000037</v>
      </c>
      <c r="B76" s="4">
        <f t="shared" si="9"/>
        <v>0.8757577209058286</v>
      </c>
      <c r="C76" s="7">
        <f t="shared" si="10"/>
        <v>1.5284855679568287E-2</v>
      </c>
      <c r="D76" s="4">
        <f t="shared" si="11"/>
        <v>0.92229795107078638</v>
      </c>
      <c r="E76" s="3">
        <f t="shared" si="12"/>
        <v>1.6097135930582783E-2</v>
      </c>
      <c r="F76" s="2">
        <f t="shared" si="13"/>
        <v>-0.390584537222536</v>
      </c>
      <c r="G76" s="5">
        <f t="shared" si="7"/>
        <v>-7.8872559743049728E-2</v>
      </c>
    </row>
    <row r="77" spans="1:7" x14ac:dyDescent="0.25">
      <c r="A77" s="1">
        <f t="shared" si="8"/>
        <v>0.68000000000000038</v>
      </c>
      <c r="B77" s="4">
        <f t="shared" si="9"/>
        <v>0.65505223431320414</v>
      </c>
      <c r="C77" s="7">
        <f t="shared" si="10"/>
        <v>1.1432818261310788E-2</v>
      </c>
      <c r="D77" s="4">
        <f t="shared" si="11"/>
        <v>0.69850949581156918</v>
      </c>
      <c r="E77" s="3">
        <f t="shared" si="12"/>
        <v>1.2191290558357423E-2</v>
      </c>
      <c r="F77" s="2">
        <f t="shared" si="13"/>
        <v>-0.39137326281996648</v>
      </c>
      <c r="G77" s="5">
        <f t="shared" si="7"/>
        <v>-5.9735843978115551E-2</v>
      </c>
    </row>
    <row r="78" spans="1:7" x14ac:dyDescent="0.25">
      <c r="A78" s="1">
        <f t="shared" si="8"/>
        <v>0.69000000000000039</v>
      </c>
      <c r="B78" s="4">
        <f t="shared" si="9"/>
        <v>0.43402578523205765</v>
      </c>
      <c r="C78" s="7">
        <f t="shared" si="10"/>
        <v>7.5751789908531869E-3</v>
      </c>
      <c r="D78" s="4">
        <f t="shared" si="11"/>
        <v>0.47426913407308496</v>
      </c>
      <c r="E78" s="3">
        <f t="shared" si="12"/>
        <v>8.2775579301577577E-3</v>
      </c>
      <c r="F78" s="2">
        <f t="shared" si="13"/>
        <v>-0.39197062125974763</v>
      </c>
      <c r="G78" s="5">
        <f t="shared" si="7"/>
        <v>-4.0559570677527843E-2</v>
      </c>
    </row>
    <row r="79" spans="1:7" x14ac:dyDescent="0.25">
      <c r="A79" s="1">
        <f t="shared" si="8"/>
        <v>0.7000000000000004</v>
      </c>
      <c r="B79" s="4">
        <f t="shared" si="9"/>
        <v>0.21278667220013606</v>
      </c>
      <c r="C79" s="7">
        <f t="shared" si="10"/>
        <v>3.7138280342542606E-3</v>
      </c>
      <c r="D79" s="4">
        <f t="shared" si="11"/>
        <v>0.24968651116004098</v>
      </c>
      <c r="E79" s="3">
        <f t="shared" si="12"/>
        <v>4.3578517175602814E-3</v>
      </c>
      <c r="F79" s="2">
        <f t="shared" si="13"/>
        <v>-0.39237621696652292</v>
      </c>
      <c r="G79" s="5">
        <f t="shared" si="7"/>
        <v>-2.1353405829264278E-2</v>
      </c>
    </row>
    <row r="80" spans="1:7" x14ac:dyDescent="0.25">
      <c r="A80" s="1">
        <f t="shared" si="8"/>
        <v>0.71000000000000041</v>
      </c>
      <c r="B80" s="4">
        <f t="shared" si="9"/>
        <v>-8.5567020437265114E-3</v>
      </c>
      <c r="C80" s="7">
        <f t="shared" si="10"/>
        <v>-1.4934262377515542E-4</v>
      </c>
      <c r="D80" s="4">
        <f t="shared" si="11"/>
        <v>2.4871499025128526E-2</v>
      </c>
      <c r="E80" s="3">
        <f t="shared" si="12"/>
        <v>4.3408954789505259E-4</v>
      </c>
      <c r="F80" s="2">
        <f t="shared" si="13"/>
        <v>-0.39258975102481558</v>
      </c>
      <c r="G80" s="5">
        <f t="shared" si="7"/>
        <v>-2.1270387178847811E-3</v>
      </c>
    </row>
    <row r="81" spans="1:7" x14ac:dyDescent="0.25">
      <c r="A81" s="1">
        <f t="shared" si="8"/>
        <v>0.72000000000000042</v>
      </c>
      <c r="B81" s="4">
        <f t="shared" si="9"/>
        <v>-0.22989588367478794</v>
      </c>
      <c r="C81" s="7">
        <f t="shared" si="10"/>
        <v>-4.0124401069069303E-3</v>
      </c>
      <c r="D81" s="4">
        <f t="shared" si="11"/>
        <v>-0.20006585911300867</v>
      </c>
      <c r="E81" s="3">
        <f t="shared" si="12"/>
        <v>-3.491807962353103E-3</v>
      </c>
      <c r="F81" s="2">
        <f t="shared" si="13"/>
        <v>-0.39261102141199444</v>
      </c>
      <c r="G81" s="5">
        <f t="shared" si="7"/>
        <v>1.7109824246256584E-2</v>
      </c>
    </row>
    <row r="82" spans="1:7" x14ac:dyDescent="0.25">
      <c r="A82" s="1">
        <f t="shared" si="8"/>
        <v>0.73000000000000043</v>
      </c>
      <c r="B82" s="4">
        <f t="shared" si="9"/>
        <v>-0.45112242092260924</v>
      </c>
      <c r="C82" s="7">
        <f t="shared" si="10"/>
        <v>-7.8735715746672871E-3</v>
      </c>
      <c r="D82" s="4">
        <f t="shared" si="11"/>
        <v>-0.42501540428528545</v>
      </c>
      <c r="E82" s="3">
        <f t="shared" si="12"/>
        <v>-7.4179181764730479E-3</v>
      </c>
      <c r="F82" s="2">
        <f t="shared" si="13"/>
        <v>-0.39243992316953186</v>
      </c>
      <c r="G82" s="5">
        <f t="shared" si="7"/>
        <v>3.6347465722937795E-2</v>
      </c>
    </row>
    <row r="83" spans="1:7" x14ac:dyDescent="0.25">
      <c r="A83" s="1">
        <f t="shared" si="8"/>
        <v>0.74000000000000044</v>
      </c>
      <c r="B83" s="4">
        <f t="shared" si="9"/>
        <v>-0.67212791721023679</v>
      </c>
      <c r="C83" s="7">
        <f t="shared" si="10"/>
        <v>-1.1730845149890493E-2</v>
      </c>
      <c r="D83" s="4">
        <f t="shared" si="11"/>
        <v>-0.64986691738581004</v>
      </c>
      <c r="E83" s="3">
        <f t="shared" si="12"/>
        <v>-1.1342317408168366E-2</v>
      </c>
      <c r="F83" s="2">
        <f t="shared" si="13"/>
        <v>-0.3920764485123025</v>
      </c>
      <c r="G83" s="5">
        <f t="shared" si="7"/>
        <v>5.5576163653568551E-2</v>
      </c>
    </row>
    <row r="84" spans="1:7" x14ac:dyDescent="0.25">
      <c r="A84" s="1">
        <f t="shared" si="8"/>
        <v>0.75000000000000044</v>
      </c>
      <c r="B84" s="4">
        <f t="shared" si="9"/>
        <v>-0.89280408426637303</v>
      </c>
      <c r="C84" s="7">
        <f t="shared" si="10"/>
        <v>-1.5582370845701113E-2</v>
      </c>
      <c r="D84" s="4">
        <f t="shared" si="11"/>
        <v>-0.87451017484814275</v>
      </c>
      <c r="E84" s="3">
        <f t="shared" si="12"/>
        <v>-1.5263081893291392E-2</v>
      </c>
      <c r="F84" s="2">
        <f t="shared" si="13"/>
        <v>-0.3915206868757668</v>
      </c>
      <c r="G84" s="5">
        <f t="shared" si="7"/>
        <v>7.4786197478643776E-2</v>
      </c>
    </row>
    <row r="85" spans="1:7" x14ac:dyDescent="0.25">
      <c r="A85" s="1">
        <f t="shared" si="8"/>
        <v>0.76000000000000045</v>
      </c>
      <c r="B85" s="4">
        <f t="shared" si="9"/>
        <v>-1.1130427951844488</v>
      </c>
      <c r="C85" s="7">
        <f t="shared" si="10"/>
        <v>-1.9426261491569518E-2</v>
      </c>
      <c r="D85" s="4">
        <f t="shared" si="11"/>
        <v>-1.0988350043485875</v>
      </c>
      <c r="E85" s="3">
        <f t="shared" si="12"/>
        <v>-1.9178288762049061E-2</v>
      </c>
      <c r="F85" s="2">
        <f t="shared" si="13"/>
        <v>-0.39077282490098036</v>
      </c>
      <c r="G85" s="5">
        <f t="shared" si="7"/>
        <v>9.3967854351510588E-2</v>
      </c>
    </row>
    <row r="86" spans="1:7" x14ac:dyDescent="0.25">
      <c r="A86" s="1">
        <f t="shared" si="8"/>
        <v>0.77000000000000046</v>
      </c>
      <c r="B86" s="4">
        <f t="shared" si="9"/>
        <v>-1.3327361374026496</v>
      </c>
      <c r="C86" s="7">
        <f t="shared" si="10"/>
        <v>-2.3260633657987785E-2</v>
      </c>
      <c r="D86" s="4">
        <f t="shared" si="11"/>
        <v>-1.3227313405008962</v>
      </c>
      <c r="E86" s="3">
        <f t="shared" si="12"/>
        <v>-2.3086017011058863E-2</v>
      </c>
      <c r="F86" s="2">
        <f t="shared" si="13"/>
        <v>-0.38983314635746524</v>
      </c>
      <c r="G86" s="5">
        <f t="shared" si="7"/>
        <v>0.11311143533882402</v>
      </c>
    </row>
    <row r="87" spans="1:7" x14ac:dyDescent="0.25">
      <c r="A87" s="1">
        <f t="shared" si="8"/>
        <v>0.78000000000000047</v>
      </c>
      <c r="B87" s="4">
        <f t="shared" si="9"/>
        <v>-1.5517764655789188</v>
      </c>
      <c r="C87" s="7">
        <f t="shared" si="10"/>
        <v>-2.7083608579312586E-2</v>
      </c>
      <c r="D87" s="4">
        <f t="shared" si="11"/>
        <v>-1.5460892805067812</v>
      </c>
      <c r="E87" s="3">
        <f t="shared" si="12"/>
        <v>-2.6984348474633515E-2</v>
      </c>
      <c r="F87" s="2">
        <f t="shared" si="13"/>
        <v>-0.38870203200407699</v>
      </c>
      <c r="G87" s="5">
        <f t="shared" si="7"/>
        <v>0.13220726159811677</v>
      </c>
    </row>
    <row r="88" spans="1:7" x14ac:dyDescent="0.25">
      <c r="A88" s="1">
        <f t="shared" si="8"/>
        <v>0.79000000000000048</v>
      </c>
      <c r="B88" s="4">
        <f t="shared" si="9"/>
        <v>-1.7700564543350055</v>
      </c>
      <c r="C88" s="7">
        <f t="shared" si="10"/>
        <v>-3.0893313074322502E-2</v>
      </c>
      <c r="D88" s="4">
        <f t="shared" si="11"/>
        <v>-1.7687991397267078</v>
      </c>
      <c r="E88" s="3">
        <f t="shared" si="12"/>
        <v>-3.0871368794674284E-2</v>
      </c>
      <c r="F88" s="2">
        <f t="shared" si="13"/>
        <v>-0.38737995938809583</v>
      </c>
      <c r="G88" s="5">
        <f t="shared" si="7"/>
        <v>0.15124568052299356</v>
      </c>
    </row>
    <row r="89" spans="1:7" x14ac:dyDescent="0.25">
      <c r="A89" s="1">
        <f t="shared" si="8"/>
        <v>0.80000000000000049</v>
      </c>
      <c r="B89" s="4">
        <f t="shared" si="9"/>
        <v>-1.9874691508437712</v>
      </c>
      <c r="C89" s="7">
        <f t="shared" si="10"/>
        <v>-3.4687880464039644E-2</v>
      </c>
      <c r="D89" s="4">
        <f t="shared" si="11"/>
        <v>-1.990751507135579</v>
      </c>
      <c r="E89" s="3">
        <f t="shared" si="12"/>
        <v>-3.4745168388555243E-2</v>
      </c>
      <c r="F89" s="2">
        <f t="shared" si="13"/>
        <v>-0.3858675025828659</v>
      </c>
      <c r="G89" s="5">
        <f t="shared" si="7"/>
        <v>0.1702170718465815</v>
      </c>
    </row>
    <row r="90" spans="1:7" x14ac:dyDescent="0.25">
      <c r="A90" s="1">
        <f t="shared" si="8"/>
        <v>0.8100000000000005</v>
      </c>
      <c r="B90" s="4">
        <f t="shared" si="9"/>
        <v>-2.2039080272339171</v>
      </c>
      <c r="C90" s="7">
        <f t="shared" si="10"/>
        <v>-3.846545148636471E-2</v>
      </c>
      <c r="D90" s="4">
        <f t="shared" si="11"/>
        <v>-2.2118373006280949</v>
      </c>
      <c r="E90" s="3">
        <f t="shared" si="12"/>
        <v>-3.8603843414383901E-2</v>
      </c>
      <c r="F90" s="2">
        <f t="shared" si="13"/>
        <v>-0.38416533186440011</v>
      </c>
      <c r="G90" s="5">
        <f t="shared" si="7"/>
        <v>0.18911185369402111</v>
      </c>
    </row>
    <row r="91" spans="1:7" x14ac:dyDescent="0.25">
      <c r="A91" s="1">
        <f t="shared" si="8"/>
        <v>0.82000000000000051</v>
      </c>
      <c r="B91" s="4">
        <f t="shared" si="9"/>
        <v>-2.4192670327865273</v>
      </c>
      <c r="C91" s="7">
        <f t="shared" si="10"/>
        <v>-4.222417520707851E-2</v>
      </c>
      <c r="D91" s="4">
        <f t="shared" si="11"/>
        <v>-2.4319478221388229</v>
      </c>
      <c r="E91" s="3">
        <f t="shared" si="12"/>
        <v>-4.2445496733027901E-2</v>
      </c>
      <c r="F91" s="2">
        <f t="shared" si="13"/>
        <v>-0.38227421332745992</v>
      </c>
      <c r="G91" s="5">
        <f t="shared" si="7"/>
        <v>0.20792048857497153</v>
      </c>
    </row>
    <row r="92" spans="1:7" x14ac:dyDescent="0.25">
      <c r="A92" s="1">
        <f t="shared" si="8"/>
        <v>0.83000000000000052</v>
      </c>
      <c r="B92" s="4">
        <f t="shared" si="9"/>
        <v>-2.6334406458977822</v>
      </c>
      <c r="C92" s="7">
        <f t="shared" si="10"/>
        <v>-4.59622099267624E-2</v>
      </c>
      <c r="D92" s="4">
        <f t="shared" si="11"/>
        <v>-2.6509748125422941</v>
      </c>
      <c r="E92" s="3">
        <f t="shared" si="12"/>
        <v>-4.6268238866302498E-2</v>
      </c>
      <c r="F92" s="2">
        <f t="shared" si="13"/>
        <v>-0.38019500844171022</v>
      </c>
      <c r="G92" s="5">
        <f t="shared" si="7"/>
        <v>0.22663348930732236</v>
      </c>
    </row>
    <row r="93" spans="1:7" x14ac:dyDescent="0.25">
      <c r="A93" s="1">
        <f t="shared" si="8"/>
        <v>0.84000000000000052</v>
      </c>
      <c r="B93" s="4">
        <f t="shared" si="9"/>
        <v>-2.8463239257824426</v>
      </c>
      <c r="C93" s="7">
        <f t="shared" si="10"/>
        <v>-4.9677724083194347E-2</v>
      </c>
      <c r="D93" s="4">
        <f t="shared" si="11"/>
        <v>-2.868810506298801</v>
      </c>
      <c r="E93" s="3">
        <f t="shared" si="12"/>
        <v>-5.0070188950719602E-2</v>
      </c>
      <c r="F93" s="2">
        <f t="shared" si="13"/>
        <v>-0.37792867354863702</v>
      </c>
      <c r="G93" s="5">
        <f t="shared" si="7"/>
        <v>0.24524142486355779</v>
      </c>
    </row>
    <row r="94" spans="1:7" x14ac:dyDescent="0.25">
      <c r="A94" s="1">
        <f t="shared" si="8"/>
        <v>0.85000000000000053</v>
      </c>
      <c r="B94" s="4">
        <f t="shared" si="9"/>
        <v>-3.0578125638927398</v>
      </c>
      <c r="C94" s="7">
        <f t="shared" si="10"/>
        <v>-5.3368897148777787E-2</v>
      </c>
      <c r="D94" s="4">
        <f t="shared" si="11"/>
        <v>-3.0853476858119451</v>
      </c>
      <c r="E94" s="3">
        <f t="shared" si="12"/>
        <v>-5.3849475686205975E-2</v>
      </c>
      <c r="F94" s="2">
        <f t="shared" si="13"/>
        <v>-0.37547625930000145</v>
      </c>
      <c r="G94" s="5">
        <f t="shared" si="7"/>
        <v>0.26373492613149924</v>
      </c>
    </row>
    <row r="95" spans="1:7" x14ac:dyDescent="0.25">
      <c r="A95" s="1">
        <f t="shared" si="8"/>
        <v>0.86000000000000054</v>
      </c>
      <c r="B95" s="4">
        <f t="shared" si="9"/>
        <v>-3.2678029350274618</v>
      </c>
      <c r="C95" s="7">
        <f t="shared" si="10"/>
        <v>-5.7033920522563536E-2</v>
      </c>
      <c r="D95" s="4">
        <f t="shared" si="11"/>
        <v>-3.3004797354644428</v>
      </c>
      <c r="E95" s="3">
        <f t="shared" si="12"/>
        <v>-5.7604238279205987E-2</v>
      </c>
      <c r="F95" s="2">
        <f t="shared" si="13"/>
        <v>-0.37283891003868647</v>
      </c>
      <c r="G95" s="5">
        <f t="shared" si="7"/>
        <v>0.28210469158146512</v>
      </c>
    </row>
    <row r="96" spans="1:7" x14ac:dyDescent="0.25">
      <c r="A96" s="1">
        <f t="shared" si="8"/>
        <v>0.87000000000000055</v>
      </c>
      <c r="B96" s="4">
        <f t="shared" si="9"/>
        <v>-3.4761921481062434</v>
      </c>
      <c r="C96" s="7">
        <f t="shared" si="10"/>
        <v>-6.0670998416428312E-2</v>
      </c>
      <c r="D96" s="4">
        <f t="shared" si="11"/>
        <v>-3.5141006952991876</v>
      </c>
      <c r="E96" s="3">
        <f t="shared" si="12"/>
        <v>-6.1332627379592851E-2</v>
      </c>
      <c r="F96" s="2">
        <f t="shared" si="13"/>
        <v>-0.37001786312287183</v>
      </c>
      <c r="G96" s="5">
        <f t="shared" si="7"/>
        <v>0.30034149283222489</v>
      </c>
    </row>
    <row r="97" spans="1:7" x14ac:dyDescent="0.25">
      <c r="A97" s="1">
        <f t="shared" si="8"/>
        <v>0.88000000000000056</v>
      </c>
      <c r="B97" s="4">
        <f t="shared" si="9"/>
        <v>-3.6828780965841288</v>
      </c>
      <c r="C97" s="7">
        <f t="shared" si="10"/>
        <v>-6.4278348734974775E-2</v>
      </c>
      <c r="D97" s="4">
        <f t="shared" si="11"/>
        <v>-3.7261053143130871</v>
      </c>
      <c r="E97" s="3">
        <f t="shared" si="12"/>
        <v>-6.5032806010821564E-2</v>
      </c>
      <c r="F97" s="2">
        <f t="shared" si="13"/>
        <v>-0.36701444819454959</v>
      </c>
      <c r="G97" s="5">
        <f t="shared" si="7"/>
        <v>0.31843618010848723</v>
      </c>
    </row>
    <row r="98" spans="1:7" x14ac:dyDescent="0.25">
      <c r="A98" s="1">
        <f t="shared" si="8"/>
        <v>0.89000000000000057</v>
      </c>
      <c r="B98" s="4">
        <f t="shared" si="9"/>
        <v>-3.8877595084817349</v>
      </c>
      <c r="C98" s="7">
        <f t="shared" si="10"/>
        <v>-6.7854203948722686E-2</v>
      </c>
      <c r="D98" s="4">
        <f t="shared" si="11"/>
        <v>-3.9363891033317921</v>
      </c>
      <c r="E98" s="3">
        <f t="shared" si="12"/>
        <v>-6.8702950492767062E-2</v>
      </c>
      <c r="F98" s="2">
        <f t="shared" si="13"/>
        <v>-0.3638300863934647</v>
      </c>
      <c r="G98" s="5">
        <f t="shared" si="7"/>
        <v>0.33637968758305453</v>
      </c>
    </row>
    <row r="99" spans="1:7" x14ac:dyDescent="0.25">
      <c r="A99" s="1">
        <f t="shared" si="8"/>
        <v>0.90000000000000058</v>
      </c>
      <c r="B99" s="4">
        <f t="shared" si="9"/>
        <v>-4.0907359960065053</v>
      </c>
      <c r="C99" s="7">
        <f t="shared" si="10"/>
        <v>-7.139681196016312E-2</v>
      </c>
      <c r="D99" s="4">
        <f t="shared" si="11"/>
        <v>-4.1448483874340489</v>
      </c>
      <c r="E99" s="3">
        <f t="shared" si="12"/>
        <v>-7.2341251356701705E-2</v>
      </c>
      <c r="F99" s="2">
        <f t="shared" si="13"/>
        <v>-0.36046628951763415</v>
      </c>
      <c r="G99" s="5">
        <f t="shared" si="7"/>
        <v>0.35416303859718362</v>
      </c>
    </row>
    <row r="100" spans="1:7" x14ac:dyDescent="0.25">
      <c r="A100" s="1">
        <f t="shared" si="8"/>
        <v>0.91000000000000059</v>
      </c>
      <c r="B100" s="4">
        <f t="shared" si="9"/>
        <v>-4.291708104740704</v>
      </c>
      <c r="C100" s="7">
        <f t="shared" si="10"/>
        <v>-7.490443696225095E-2</v>
      </c>
      <c r="D100" s="4">
        <f t="shared" si="11"/>
        <v>-4.3513803578950618</v>
      </c>
      <c r="E100" s="3">
        <f t="shared" si="12"/>
        <v>-7.5945914251878049E-2</v>
      </c>
      <c r="F100" s="2">
        <f t="shared" si="13"/>
        <v>-0.35692465913166233</v>
      </c>
      <c r="G100" s="5">
        <f t="shared" si="7"/>
        <v>0.37177735075312718</v>
      </c>
    </row>
    <row r="101" spans="1:7" x14ac:dyDescent="0.25">
      <c r="A101" s="1">
        <f t="shared" si="8"/>
        <v>0.9200000000000006</v>
      </c>
      <c r="B101" s="4">
        <f t="shared" si="9"/>
        <v>-4.4905773623721021</v>
      </c>
      <c r="C101" s="7">
        <f t="shared" si="10"/>
        <v>-7.8375360288915702E-2</v>
      </c>
      <c r="D101" s="4">
        <f t="shared" si="11"/>
        <v>-4.5558831236189592</v>
      </c>
      <c r="E101" s="3">
        <f t="shared" si="12"/>
        <v>-7.9515160843194668E-2</v>
      </c>
      <c r="F101" s="2">
        <f t="shared" si="13"/>
        <v>-0.35320688562413105</v>
      </c>
      <c r="G101" s="5">
        <f t="shared" si="7"/>
        <v>0.38921384087327843</v>
      </c>
    </row>
    <row r="102" spans="1:7" x14ac:dyDescent="0.25">
      <c r="A102" s="1">
        <f t="shared" si="8"/>
        <v>0.9300000000000006</v>
      </c>
      <c r="B102" s="4">
        <f t="shared" si="9"/>
        <v>-4.6872463269434386</v>
      </c>
      <c r="C102" s="7">
        <f t="shared" si="10"/>
        <v>-8.1807881257173601E-2</v>
      </c>
      <c r="D102" s="4">
        <f t="shared" si="11"/>
        <v>-4.7582557620311858</v>
      </c>
      <c r="E102" s="3">
        <f t="shared" si="12"/>
        <v>-8.3047229699435982E-2</v>
      </c>
      <c r="F102" s="2">
        <f t="shared" si="13"/>
        <v>-0.34931474721539829</v>
      </c>
      <c r="G102" s="5">
        <f t="shared" si="7"/>
        <v>0.40646382982081031</v>
      </c>
    </row>
    <row r="103" spans="1:7" x14ac:dyDescent="0.25">
      <c r="A103" s="1">
        <f t="shared" si="8"/>
        <v>0.94000000000000061</v>
      </c>
      <c r="B103" s="4">
        <f t="shared" si="9"/>
        <v>-4.8816186345970323</v>
      </c>
      <c r="C103" s="7">
        <f t="shared" si="10"/>
        <v>-8.5200318000428182E-2</v>
      </c>
      <c r="D103" s="4">
        <f t="shared" si="11"/>
        <v>-4.9583983694024019</v>
      </c>
      <c r="E103" s="3">
        <f t="shared" si="12"/>
        <v>-8.6540377171589966E-2</v>
      </c>
      <c r="F103" s="2">
        <f t="shared" si="13"/>
        <v>-0.34525010891719021</v>
      </c>
      <c r="G103" s="5">
        <f t="shared" si="7"/>
        <v>0.42351874717717969</v>
      </c>
    </row>
    <row r="104" spans="1:7" x14ac:dyDescent="0.25">
      <c r="A104" s="1">
        <f t="shared" si="8"/>
        <v>0.95000000000000062</v>
      </c>
      <c r="B104" s="4">
        <f t="shared" si="9"/>
        <v>-5.0735990467911272</v>
      </c>
      <c r="C104" s="7">
        <f t="shared" si="10"/>
        <v>-8.8551008292551012E-2</v>
      </c>
      <c r="D104" s="4">
        <f t="shared" si="11"/>
        <v>-5.1562121105762717</v>
      </c>
      <c r="E104" s="3">
        <f t="shared" si="12"/>
        <v>-8.9992878260761869E-2</v>
      </c>
      <c r="F104" s="2">
        <f t="shared" si="13"/>
        <v>-0.3410149214454184</v>
      </c>
      <c r="G104" s="5">
        <f t="shared" si="7"/>
        <v>0.44037013577236173</v>
      </c>
    </row>
    <row r="105" spans="1:7" x14ac:dyDescent="0.25">
      <c r="A105" s="1">
        <f t="shared" si="8"/>
        <v>0.96000000000000063</v>
      </c>
      <c r="B105" s="4">
        <f t="shared" si="9"/>
        <v>-5.2630934969648981</v>
      </c>
      <c r="C105" s="7">
        <f t="shared" si="10"/>
        <v>-9.1858310362339657E-2</v>
      </c>
      <c r="D105" s="4">
        <f t="shared" si="11"/>
        <v>-5.3515992680743487</v>
      </c>
      <c r="E105" s="3">
        <f t="shared" si="12"/>
        <v>-9.3403027475216047E-2</v>
      </c>
      <c r="F105" s="2">
        <f t="shared" si="13"/>
        <v>-0.33661122008769478</v>
      </c>
      <c r="G105" s="5">
        <f t="shared" si="7"/>
        <v>0.45700965606418081</v>
      </c>
    </row>
    <row r="106" spans="1:7" x14ac:dyDescent="0.25">
      <c r="A106" s="1">
        <f t="shared" si="8"/>
        <v>0.97000000000000064</v>
      </c>
      <c r="B106" s="4">
        <f t="shared" si="9"/>
        <v>-5.4500091366291636</v>
      </c>
      <c r="C106" s="7">
        <f t="shared" si="10"/>
        <v>-9.5120603697952402E-2</v>
      </c>
      <c r="D106" s="4">
        <f t="shared" si="11"/>
        <v>-5.5444632905520912</v>
      </c>
      <c r="E106" s="3">
        <f t="shared" si="12"/>
        <v>-9.6769139676092991E-2</v>
      </c>
      <c r="F106" s="2">
        <f t="shared" si="13"/>
        <v>-0.33204112352705295</v>
      </c>
      <c r="G106" s="5">
        <f t="shared" si="7"/>
        <v>0.47342909036361652</v>
      </c>
    </row>
    <row r="107" spans="1:7" x14ac:dyDescent="0.25">
      <c r="A107" s="1">
        <f t="shared" si="8"/>
        <v>0.98000000000000065</v>
      </c>
      <c r="B107" s="4">
        <f t="shared" si="9"/>
        <v>-5.6342543808603045</v>
      </c>
      <c r="C107" s="7">
        <f t="shared" si="10"/>
        <v>-9.8336289840926891E-2</v>
      </c>
      <c r="D107" s="4">
        <f t="shared" si="11"/>
        <v>-5.7347088405809128</v>
      </c>
      <c r="E107" s="3">
        <f t="shared" si="12"/>
        <v>-0.10008955091136353</v>
      </c>
      <c r="F107" s="2">
        <f t="shared" si="13"/>
        <v>-0.32730683262341681</v>
      </c>
      <c r="G107" s="5">
        <f t="shared" si="7"/>
        <v>0.48962034690347739</v>
      </c>
    </row>
    <row r="108" spans="1:7" x14ac:dyDescent="0.25">
      <c r="A108" s="1">
        <f t="shared" si="8"/>
        <v>0.99000000000000066</v>
      </c>
      <c r="B108" s="4">
        <f t="shared" si="9"/>
        <v>-5.8157389531750168</v>
      </c>
      <c r="C108" s="7">
        <f t="shared" si="10"/>
        <v>-0.10150379316939237</v>
      </c>
      <c r="D108" s="4">
        <f t="shared" si="11"/>
        <v>-5.9222418417320792</v>
      </c>
      <c r="E108" s="3">
        <f t="shared" si="12"/>
        <v>-0.10336261923759769</v>
      </c>
      <c r="F108" s="2">
        <f t="shared" si="13"/>
        <v>-0.32241062915438201</v>
      </c>
      <c r="G108" s="5">
        <f t="shared" si="7"/>
        <v>0.50557546374835383</v>
      </c>
    </row>
    <row r="109" spans="1:7" x14ac:dyDescent="0.25">
      <c r="A109" s="1">
        <f t="shared" si="8"/>
        <v>1.0000000000000007</v>
      </c>
      <c r="B109" s="4">
        <f t="shared" si="9"/>
        <v>-5.9943739297640173</v>
      </c>
      <c r="C109" s="7">
        <f t="shared" si="10"/>
        <v>-0.10462156167009341</v>
      </c>
      <c r="D109" s="4">
        <f t="shared" si="11"/>
        <v>-6.1069695249391147</v>
      </c>
      <c r="E109" s="3">
        <f t="shared" si="12"/>
        <v>-0.10658672552914152</v>
      </c>
      <c r="F109" s="2">
        <f t="shared" si="13"/>
        <v>-0.31735487451689848</v>
      </c>
      <c r="G109" s="5">
        <f t="shared" si="7"/>
        <v>0.52128661254428288</v>
      </c>
    </row>
    <row r="110" spans="1:7" x14ac:dyDescent="0.25">
      <c r="A110" s="1">
        <f t="shared" si="8"/>
        <v>1.0100000000000007</v>
      </c>
      <c r="B110" s="4">
        <f t="shared" si="9"/>
        <v>-6.1700717830629106</v>
      </c>
      <c r="C110" s="7">
        <f t="shared" si="10"/>
        <v>-0.10768806769884508</v>
      </c>
      <c r="D110" s="4">
        <f t="shared" si="11"/>
        <v>-6.2888004741163357</v>
      </c>
      <c r="E110" s="3">
        <f t="shared" si="12"/>
        <v>-0.1097602742743105</v>
      </c>
      <c r="F110" s="2">
        <f t="shared" si="13"/>
        <v>-0.31214200839145567</v>
      </c>
      <c r="G110" s="5">
        <f t="shared" si="7"/>
        <v>0.53674610210707185</v>
      </c>
    </row>
    <row r="111" spans="1:7" x14ac:dyDescent="0.25">
      <c r="A111" s="1">
        <f t="shared" si="8"/>
        <v>1.0200000000000007</v>
      </c>
      <c r="B111" s="4">
        <f t="shared" si="9"/>
        <v>-6.3427464246389356</v>
      </c>
      <c r="C111" s="7">
        <f t="shared" si="10"/>
        <v>-0.11070180872904781</v>
      </c>
      <c r="D111" s="4">
        <f t="shared" si="11"/>
        <v>-6.4676446710120112</v>
      </c>
      <c r="E111" s="3">
        <f t="shared" si="12"/>
        <v>-0.11288169435822505</v>
      </c>
      <c r="F111" s="2">
        <f t="shared" si="13"/>
        <v>-0.30677454737038495</v>
      </c>
      <c r="G111" s="5">
        <f t="shared" si="7"/>
        <v>0.55194638184874389</v>
      </c>
    </row>
    <row r="112" spans="1:7" x14ac:dyDescent="0.25">
      <c r="A112" s="1">
        <f t="shared" si="8"/>
        <v>1.0300000000000007</v>
      </c>
      <c r="B112" s="4">
        <f t="shared" si="9"/>
        <v>-6.5123132473725986</v>
      </c>
      <c r="C112" s="7">
        <f t="shared" si="10"/>
        <v>-0.1136613080878958</v>
      </c>
      <c r="D112" s="4">
        <f t="shared" si="11"/>
        <v>-6.6434135392756026</v>
      </c>
      <c r="E112" s="3">
        <f t="shared" si="12"/>
        <v>-0.1159494398319289</v>
      </c>
      <c r="F112" s="2">
        <f t="shared" si="13"/>
        <v>-0.30125508355189751</v>
      </c>
      <c r="G112" s="5">
        <f t="shared" si="7"/>
        <v>0.56688004504207457</v>
      </c>
    </row>
    <row r="113" spans="1:7" x14ac:dyDescent="0.25">
      <c r="A113" s="1">
        <f t="shared" si="8"/>
        <v>1.0400000000000007</v>
      </c>
      <c r="B113" s="4">
        <f t="shared" si="9"/>
        <v>-6.6786891669134549</v>
      </c>
      <c r="C113" s="7">
        <f t="shared" si="10"/>
        <v>-0.11656511567991693</v>
      </c>
      <c r="D113" s="4">
        <f t="shared" si="11"/>
        <v>-6.8160199877194501</v>
      </c>
      <c r="E113" s="3">
        <f t="shared" si="12"/>
        <v>-0.11896199066744788</v>
      </c>
      <c r="F113" s="2">
        <f t="shared" si="13"/>
        <v>-0.29558628310147678</v>
      </c>
      <c r="G113" s="5">
        <f t="shared" si="7"/>
        <v>0.58153983192368974</v>
      </c>
    </row>
    <row r="114" spans="1:7" x14ac:dyDescent="0.25">
      <c r="A114" s="1">
        <f t="shared" si="8"/>
        <v>1.0500000000000007</v>
      </c>
      <c r="B114" s="4">
        <f t="shared" si="9"/>
        <v>-6.8417926623897856</v>
      </c>
      <c r="C114" s="7">
        <f t="shared" si="10"/>
        <v>-0.11941180869749056</v>
      </c>
      <c r="D114" s="4">
        <f t="shared" si="11"/>
        <v>-6.985378452756188</v>
      </c>
      <c r="E114" s="3">
        <f t="shared" si="12"/>
        <v>-0.12191785349846265</v>
      </c>
      <c r="F114" s="2">
        <f t="shared" si="13"/>
        <v>-0.28977088478223989</v>
      </c>
      <c r="G114" s="5">
        <f t="shared" si="7"/>
        <v>0.59591863263668166</v>
      </c>
    </row>
    <row r="115" spans="1:7" x14ac:dyDescent="0.25">
      <c r="A115" s="1">
        <f t="shared" si="8"/>
        <v>1.0600000000000007</v>
      </c>
      <c r="B115" s="4">
        <f t="shared" si="9"/>
        <v>-7.0015438163521715</v>
      </c>
      <c r="C115" s="7">
        <f t="shared" si="10"/>
        <v>-0.12219999231799458</v>
      </c>
      <c r="D115" s="4">
        <f t="shared" si="11"/>
        <v>-7.1514049399941282</v>
      </c>
      <c r="E115" s="3">
        <f t="shared" si="12"/>
        <v>-0.12481556234628505</v>
      </c>
      <c r="F115" s="2">
        <f t="shared" si="13"/>
        <v>-0.28381169845587306</v>
      </c>
      <c r="G115" s="5">
        <f t="shared" si="7"/>
        <v>0.61000949001417615</v>
      </c>
    </row>
    <row r="116" spans="1:7" x14ac:dyDescent="0.25">
      <c r="A116" s="1">
        <f t="shared" si="8"/>
        <v>1.0700000000000007</v>
      </c>
      <c r="B116" s="4">
        <f t="shared" si="9"/>
        <v>-7.1578643539314815</v>
      </c>
      <c r="C116" s="7">
        <f t="shared" si="10"/>
        <v>-0.12492830038724106</v>
      </c>
      <c r="D116" s="4">
        <f t="shared" si="11"/>
        <v>-7.3140170649737399</v>
      </c>
      <c r="E116" s="3">
        <f t="shared" si="12"/>
        <v>-0.12765367933084379</v>
      </c>
      <c r="F116" s="2">
        <f t="shared" si="13"/>
        <v>-0.27771160355573132</v>
      </c>
      <c r="G116" s="5">
        <f t="shared" si="7"/>
        <v>0.62380560220574954</v>
      </c>
    </row>
    <row r="117" spans="1:7" x14ac:dyDescent="0.25">
      <c r="A117" s="1">
        <f t="shared" si="8"/>
        <v>1.0800000000000007</v>
      </c>
      <c r="B117" s="4">
        <f t="shared" si="9"/>
        <v>-7.3106776811919625</v>
      </c>
      <c r="C117" s="7">
        <f t="shared" si="10"/>
        <v>-0.12759539608886408</v>
      </c>
      <c r="D117" s="4">
        <f t="shared" si="11"/>
        <v>-7.4731340930292758</v>
      </c>
      <c r="E117" s="3">
        <f t="shared" si="12"/>
        <v>-0.13043079536640109</v>
      </c>
      <c r="F117" s="2">
        <f t="shared" si="13"/>
        <v>-0.27147354753367381</v>
      </c>
      <c r="G117" s="5">
        <f t="shared" si="7"/>
        <v>0.63730032514903356</v>
      </c>
    </row>
    <row r="118" spans="1:7" x14ac:dyDescent="0.25">
      <c r="A118" s="1">
        <f t="shared" si="8"/>
        <v>1.0900000000000007</v>
      </c>
      <c r="B118" s="4">
        <f t="shared" si="9"/>
        <v>-7.4599089226607447</v>
      </c>
      <c r="C118" s="7">
        <f t="shared" si="10"/>
        <v>-0.13019997259933302</v>
      </c>
      <c r="D118" s="4">
        <f t="shared" si="11"/>
        <v>-7.6286769782605122</v>
      </c>
      <c r="E118" s="3">
        <f t="shared" si="12"/>
        <v>-0.13314553084173783</v>
      </c>
      <c r="F118" s="2">
        <f t="shared" si="13"/>
        <v>-0.26510054428218349</v>
      </c>
      <c r="G118" s="5">
        <f t="shared" si="7"/>
        <v>0.65048717488928054</v>
      </c>
    </row>
    <row r="119" spans="1:7" x14ac:dyDescent="0.25">
      <c r="A119" s="1">
        <f t="shared" si="8"/>
        <v>1.1000000000000008</v>
      </c>
      <c r="B119" s="4">
        <f t="shared" si="9"/>
        <v>-7.6054849580153308</v>
      </c>
      <c r="C119" s="7">
        <f t="shared" si="10"/>
        <v>-0.13274075372827021</v>
      </c>
      <c r="D119" s="4">
        <f t="shared" si="11"/>
        <v>-7.7805684016004149</v>
      </c>
      <c r="E119" s="3">
        <f t="shared" si="12"/>
        <v>-0.13579653628455968</v>
      </c>
      <c r="F119" s="2">
        <f t="shared" si="13"/>
        <v>-0.25859567253329069</v>
      </c>
      <c r="G119" s="5">
        <f t="shared" si="7"/>
        <v>0.66335982975006147</v>
      </c>
    </row>
    <row r="120" spans="1:7" x14ac:dyDescent="0.25">
      <c r="A120" s="1">
        <f t="shared" si="8"/>
        <v>1.1100000000000008</v>
      </c>
      <c r="B120" s="4">
        <f t="shared" si="9"/>
        <v>-7.7473344579110837</v>
      </c>
      <c r="C120" s="7">
        <f t="shared" si="10"/>
        <v>-0.13521649454375845</v>
      </c>
      <c r="D120" s="4">
        <f t="shared" si="11"/>
        <v>-7.9287328079654618</v>
      </c>
      <c r="E120" s="3">
        <f t="shared" si="12"/>
        <v>-0.13838249300989258</v>
      </c>
      <c r="F120" s="2">
        <f t="shared" si="13"/>
        <v>-0.25196207423579009</v>
      </c>
      <c r="G120" s="5">
        <f t="shared" si="7"/>
        <v>0.67591213235866165</v>
      </c>
    </row>
    <row r="121" spans="1:7" x14ac:dyDescent="0.25">
      <c r="A121" s="1">
        <f t="shared" si="8"/>
        <v>1.1200000000000008</v>
      </c>
      <c r="B121" s="4">
        <f t="shared" si="9"/>
        <v>-7.8853879189311762</v>
      </c>
      <c r="C121" s="7">
        <f t="shared" si="10"/>
        <v>-0.13762598198233272</v>
      </c>
      <c r="D121" s="4">
        <f t="shared" si="11"/>
        <v>-8.0730964424761886</v>
      </c>
      <c r="E121" s="3">
        <f t="shared" si="12"/>
        <v>-0.14090211375225048</v>
      </c>
      <c r="F121" s="2">
        <f t="shared" si="13"/>
        <v>-0.24520295291220348</v>
      </c>
      <c r="G121" s="5">
        <f t="shared" si="7"/>
        <v>0.68813809153009997</v>
      </c>
    </row>
    <row r="122" spans="1:7" x14ac:dyDescent="0.25">
      <c r="A122" s="1">
        <f t="shared" si="8"/>
        <v>1.1300000000000008</v>
      </c>
      <c r="B122" s="4">
        <f t="shared" si="9"/>
        <v>-8.0195776976418838</v>
      </c>
      <c r="C122" s="7">
        <f t="shared" si="10"/>
        <v>-0.13996803544335717</v>
      </c>
      <c r="D122" s="4">
        <f t="shared" si="11"/>
        <v>-8.2135873857363322</v>
      </c>
      <c r="E122" s="3">
        <f t="shared" si="12"/>
        <v>-0.14335414328137253</v>
      </c>
      <c r="F122" s="2">
        <f t="shared" si="13"/>
        <v>-0.23832157199690249</v>
      </c>
      <c r="G122" s="5">
        <f t="shared" si="7"/>
        <v>0.70003188401403493</v>
      </c>
    </row>
    <row r="123" spans="1:7" x14ac:dyDescent="0.25">
      <c r="A123" s="1">
        <f t="shared" si="8"/>
        <v>1.1400000000000008</v>
      </c>
      <c r="B123" s="4">
        <f t="shared" si="9"/>
        <v>-8.1498380437365103</v>
      </c>
      <c r="C123" s="7">
        <f t="shared" si="10"/>
        <v>-0.14224150736749575</v>
      </c>
      <c r="D123" s="4">
        <f t="shared" si="11"/>
        <v>-8.3501355881597874</v>
      </c>
      <c r="E123" s="3">
        <f t="shared" si="12"/>
        <v>-0.14573735900134155</v>
      </c>
      <c r="F123" s="2">
        <f t="shared" si="13"/>
        <v>-0.23132125315676214</v>
      </c>
      <c r="G123" s="5">
        <f t="shared" si="7"/>
        <v>0.71158785610913677</v>
      </c>
    </row>
    <row r="124" spans="1:7" x14ac:dyDescent="0.25">
      <c r="A124" s="1">
        <f t="shared" si="8"/>
        <v>1.1500000000000008</v>
      </c>
      <c r="B124" s="4">
        <f t="shared" si="9"/>
        <v>-8.2761051322517236</v>
      </c>
      <c r="C124" s="7">
        <f t="shared" si="10"/>
        <v>-0.14444528379899332</v>
      </c>
      <c r="D124" s="4">
        <f t="shared" si="11"/>
        <v>-8.482672903335386</v>
      </c>
      <c r="E124" s="3">
        <f t="shared" si="12"/>
        <v>-0.14805057153290918</v>
      </c>
      <c r="F124" s="2">
        <f t="shared" si="13"/>
        <v>-0.22420537459567078</v>
      </c>
      <c r="G124" s="5">
        <f t="shared" si="7"/>
        <v>0.72280052514979054</v>
      </c>
    </row>
    <row r="125" spans="1:7" x14ac:dyDescent="0.25">
      <c r="A125" s="1">
        <f t="shared" si="8"/>
        <v>1.1600000000000008</v>
      </c>
      <c r="B125" s="4">
        <f t="shared" si="9"/>
        <v>-8.398317094840495</v>
      </c>
      <c r="C125" s="7">
        <f t="shared" si="10"/>
        <v>-0.14657828493149153</v>
      </c>
      <c r="D125" s="4">
        <f t="shared" si="11"/>
        <v>-8.6111331204202024</v>
      </c>
      <c r="E125" s="3">
        <f t="shared" si="12"/>
        <v>-0.15029262527886589</v>
      </c>
      <c r="F125" s="2">
        <f t="shared" si="13"/>
        <v>-0.21697736934417286</v>
      </c>
      <c r="G125" s="5">
        <f t="shared" si="7"/>
        <v>0.73366458087025344</v>
      </c>
    </row>
    <row r="126" spans="1:7" x14ac:dyDescent="0.25">
      <c r="A126" s="1">
        <f t="shared" si="8"/>
        <v>1.1700000000000008</v>
      </c>
      <c r="B126" s="4">
        <f t="shared" si="9"/>
        <v>-8.5164140500863788</v>
      </c>
      <c r="C126" s="7">
        <f t="shared" si="10"/>
        <v>-0.14863946563711256</v>
      </c>
      <c r="D126" s="4">
        <f t="shared" si="11"/>
        <v>-8.7354519955529266</v>
      </c>
      <c r="E126" s="3">
        <f t="shared" si="12"/>
        <v>-0.15246239897230762</v>
      </c>
      <c r="F126" s="2">
        <f t="shared" si="13"/>
        <v>-0.20964072353547034</v>
      </c>
      <c r="G126" s="5">
        <f t="shared" si="7"/>
        <v>0.74417488665162457</v>
      </c>
    </row>
    <row r="127" spans="1:7" x14ac:dyDescent="0.25">
      <c r="A127" s="1">
        <f t="shared" si="8"/>
        <v>1.1800000000000008</v>
      </c>
      <c r="B127" s="4">
        <f t="shared" si="9"/>
        <v>-8.630338132844189</v>
      </c>
      <c r="C127" s="7">
        <f t="shared" si="10"/>
        <v>-0.15062781597855088</v>
      </c>
      <c r="D127" s="4">
        <f t="shared" si="11"/>
        <v>-8.8555672822794396</v>
      </c>
      <c r="E127" s="3">
        <f t="shared" si="12"/>
        <v>-0.15455880620766232</v>
      </c>
      <c r="F127" s="2">
        <f t="shared" si="13"/>
        <v>-0.20219897466895409</v>
      </c>
      <c r="G127" s="5">
        <f t="shared" si="7"/>
        <v>0.75432648065717955</v>
      </c>
    </row>
    <row r="128" spans="1:7" x14ac:dyDescent="0.25">
      <c r="A128" s="1">
        <f t="shared" si="8"/>
        <v>1.1900000000000008</v>
      </c>
      <c r="B128" s="4">
        <f t="shared" si="9"/>
        <v>-8.7400335225927659</v>
      </c>
      <c r="C128" s="7">
        <f t="shared" si="10"/>
        <v>-0.15254236170392196</v>
      </c>
      <c r="D128" s="4">
        <f t="shared" si="11"/>
        <v>-8.971418760983477</v>
      </c>
      <c r="E128" s="3">
        <f t="shared" si="12"/>
        <v>-0.15658079595435187</v>
      </c>
      <c r="F128" s="2">
        <f t="shared" si="13"/>
        <v>-0.19465570986238229</v>
      </c>
      <c r="G128" s="5">
        <f t="shared" si="7"/>
        <v>0.76411457686180284</v>
      </c>
    </row>
    <row r="129" spans="1:7" x14ac:dyDescent="0.25">
      <c r="A129" s="1">
        <f t="shared" si="8"/>
        <v>1.2000000000000008</v>
      </c>
      <c r="B129" s="4">
        <f t="shared" si="9"/>
        <v>-8.8454464707859213</v>
      </c>
      <c r="C129" s="7">
        <f t="shared" si="10"/>
        <v>-0.15438216472412672</v>
      </c>
      <c r="D129" s="4">
        <f t="shared" si="11"/>
        <v>-9.082948267315853</v>
      </c>
      <c r="E129" s="3">
        <f t="shared" si="12"/>
        <v>-0.15852735305297569</v>
      </c>
      <c r="F129" s="2">
        <f t="shared" si="13"/>
        <v>-0.18701456409376427</v>
      </c>
      <c r="G129" s="5">
        <f t="shared" si="7"/>
        <v>0.77353456598138526</v>
      </c>
    </row>
    <row r="130" spans="1:7" x14ac:dyDescent="0.25">
      <c r="A130" s="1">
        <f t="shared" si="8"/>
        <v>1.2100000000000009</v>
      </c>
      <c r="B130" s="4">
        <f t="shared" si="9"/>
        <v>-8.9465253271881426</v>
      </c>
      <c r="C130" s="7">
        <f t="shared" si="10"/>
        <v>-0.15614632357249603</v>
      </c>
      <c r="D130" s="4">
        <f t="shared" si="11"/>
        <v>-9.1900997196163683</v>
      </c>
      <c r="E130" s="3">
        <f t="shared" si="12"/>
        <v>-0.16039749869391334</v>
      </c>
      <c r="F130" s="2">
        <f t="shared" si="13"/>
        <v>-0.17927921843395042</v>
      </c>
      <c r="G130" s="5">
        <f t="shared" si="7"/>
        <v>0.78258201630817026</v>
      </c>
    </row>
    <row r="131" spans="1:7" x14ac:dyDescent="0.25">
      <c r="A131" s="1">
        <f t="shared" si="8"/>
        <v>1.2200000000000009</v>
      </c>
      <c r="B131" s="4">
        <f t="shared" si="9"/>
        <v>-9.0432205651821782</v>
      </c>
      <c r="C131" s="7">
        <f t="shared" si="10"/>
        <v>-0.15783397384649148</v>
      </c>
      <c r="D131" s="4">
        <f t="shared" si="11"/>
        <v>-9.2928191453230635</v>
      </c>
      <c r="E131" s="3">
        <f t="shared" si="12"/>
        <v>-0.16219029087825285</v>
      </c>
      <c r="F131" s="2">
        <f t="shared" si="13"/>
        <v>-0.17145339827086872</v>
      </c>
      <c r="G131" s="5">
        <f t="shared" si="7"/>
        <v>0.79125267445810887</v>
      </c>
    </row>
    <row r="132" spans="1:7" x14ac:dyDescent="0.25">
      <c r="A132" s="1">
        <f t="shared" si="8"/>
        <v>1.2300000000000009</v>
      </c>
      <c r="B132" s="4">
        <f t="shared" si="9"/>
        <v>-9.1354848060360876</v>
      </c>
      <c r="C132" s="7">
        <f t="shared" si="10"/>
        <v>-0.15944428863124527</v>
      </c>
      <c r="D132" s="4">
        <f t="shared" si="11"/>
        <v>-9.3910547063640255</v>
      </c>
      <c r="E132" s="3">
        <f t="shared" si="12"/>
        <v>-0.16390482486096153</v>
      </c>
      <c r="F132" s="2">
        <f t="shared" si="13"/>
        <v>-0.16354087152628763</v>
      </c>
      <c r="G132" s="5">
        <f t="shared" si="7"/>
        <v>0.79954246603633505</v>
      </c>
    </row>
    <row r="133" spans="1:7" x14ac:dyDescent="0.25">
      <c r="A133" s="1">
        <f t="shared" si="8"/>
        <v>1.2400000000000009</v>
      </c>
      <c r="B133" s="4">
        <f t="shared" si="9"/>
        <v>-9.2232728421178809</v>
      </c>
      <c r="C133" s="7">
        <f t="shared" si="10"/>
        <v>-0.16097647890473216</v>
      </c>
      <c r="D133" s="4">
        <f t="shared" si="11"/>
        <v>-9.4847567235275019</v>
      </c>
      <c r="E133" s="3">
        <f t="shared" si="12"/>
        <v>-0.16554023357622441</v>
      </c>
      <c r="F133" s="2">
        <f t="shared" si="13"/>
        <v>-0.15554544686592428</v>
      </c>
      <c r="G133" s="5">
        <f t="shared" si="7"/>
        <v>0.80744749622689327</v>
      </c>
    </row>
    <row r="134" spans="1:7" x14ac:dyDescent="0.25">
      <c r="A134" s="1">
        <f t="shared" si="8"/>
        <v>1.2500000000000009</v>
      </c>
      <c r="B134" s="4">
        <f t="shared" si="9"/>
        <v>-9.3065416590463439</v>
      </c>
      <c r="C134" s="7">
        <f t="shared" si="10"/>
        <v>-0.16242979392437421</v>
      </c>
      <c r="D134" s="4">
        <f t="shared" si="11"/>
        <v>-9.5738776998064399</v>
      </c>
      <c r="E134" s="3">
        <f t="shared" si="12"/>
        <v>-0.16709568804488364</v>
      </c>
      <c r="F134" s="2">
        <f t="shared" si="13"/>
        <v>-0.14747097190365535</v>
      </c>
      <c r="G134" s="5">
        <f t="shared" si="7"/>
        <v>0.81496405031283359</v>
      </c>
    </row>
    <row r="135" spans="1:7" x14ac:dyDescent="0.25">
      <c r="A135" s="1">
        <f t="shared" si="8"/>
        <v>1.2600000000000009</v>
      </c>
      <c r="B135" s="4">
        <f t="shared" si="9"/>
        <v>-9.3852504567672153</v>
      </c>
      <c r="C135" s="7">
        <f t="shared" si="10"/>
        <v>-0.16380352159488965</v>
      </c>
      <c r="D135" s="4">
        <f t="shared" si="11"/>
        <v>-9.6583723427141575</v>
      </c>
      <c r="E135" s="3">
        <f t="shared" si="12"/>
        <v>-0.16857039776392019</v>
      </c>
      <c r="F135" s="2">
        <f t="shared" si="13"/>
        <v>-0.13932133140052702</v>
      </c>
      <c r="G135" s="5">
        <f t="shared" si="7"/>
        <v>0.82208859413275304</v>
      </c>
    </row>
    <row r="136" spans="1:7" x14ac:dyDescent="0.25">
      <c r="A136" s="1">
        <f t="shared" si="8"/>
        <v>1.2700000000000009</v>
      </c>
      <c r="B136" s="4">
        <f t="shared" si="9"/>
        <v>-9.4593606695444254</v>
      </c>
      <c r="C136" s="7">
        <f t="shared" si="10"/>
        <v>-0.16509698881720553</v>
      </c>
      <c r="D136" s="4">
        <f t="shared" si="11"/>
        <v>-9.7381975855680931</v>
      </c>
      <c r="E136" s="3">
        <f t="shared" si="12"/>
        <v>-0.16996361107792546</v>
      </c>
      <c r="F136" s="2">
        <f t="shared" si="13"/>
        <v>-0.13110044545919949</v>
      </c>
      <c r="G136" s="5">
        <f t="shared" si="7"/>
        <v>0.82881777447978533</v>
      </c>
    </row>
    <row r="137" spans="1:7" x14ac:dyDescent="0.25">
      <c r="A137" s="1">
        <f t="shared" si="8"/>
        <v>1.2800000000000009</v>
      </c>
      <c r="B137" s="4">
        <f t="shared" si="9"/>
        <v>-9.5288359848565101</v>
      </c>
      <c r="C137" s="7">
        <f t="shared" si="10"/>
        <v>-0.16630956181826262</v>
      </c>
      <c r="D137" s="4">
        <f t="shared" si="11"/>
        <v>-9.813312607739066</v>
      </c>
      <c r="E137" s="3">
        <f t="shared" si="12"/>
        <v>-0.17127461553251747</v>
      </c>
      <c r="F137" s="2">
        <f t="shared" si="13"/>
        <v>-0.12281226771440164</v>
      </c>
      <c r="G137" s="5">
        <f t="shared" ref="G137:G200" si="14">-$B$3/$B$4*SIN(E137)</f>
        <v>0.83514841944894547</v>
      </c>
    </row>
    <row r="138" spans="1:7" x14ac:dyDescent="0.25">
      <c r="A138" s="1">
        <f t="shared" ref="A138:A201" si="15">A137+$B$2</f>
        <v>1.2900000000000009</v>
      </c>
      <c r="B138" s="4">
        <f t="shared" ref="B138:B201" si="16">C138*180/PI()</f>
        <v>-9.593642361189028</v>
      </c>
      <c r="C138" s="7">
        <f t="shared" ref="C138:C201" si="17">$B$9*PI()/180*COS(SQRT($B$3/$B$4)*A138)</f>
        <v>-0.16744064646155157</v>
      </c>
      <c r="D138" s="4">
        <f t="shared" ref="D138:D201" si="18">E138*180/PI()</f>
        <v>-9.8836788538637244</v>
      </c>
      <c r="E138" s="3">
        <f t="shared" ref="E138:E201" si="19">E137+$B$2*F137</f>
        <v>-0.17250273820966147</v>
      </c>
      <c r="F138" s="2">
        <f t="shared" ref="F138:F201" si="20">F137+$B$2*G137</f>
        <v>-0.11446078351991218</v>
      </c>
      <c r="G138" s="5">
        <f t="shared" si="14"/>
        <v>0.84107753873859847</v>
      </c>
    </row>
    <row r="139" spans="1:7" x14ac:dyDescent="0.25">
      <c r="A139" s="1">
        <f t="shared" si="15"/>
        <v>1.3000000000000009</v>
      </c>
      <c r="B139" s="4">
        <f t="shared" si="16"/>
        <v>-9.6537480447142165</v>
      </c>
      <c r="C139" s="7">
        <f t="shared" si="17"/>
        <v>-0.16848968853822785</v>
      </c>
      <c r="D139" s="4">
        <f t="shared" si="18"/>
        <v>-9.949260052018241</v>
      </c>
      <c r="E139" s="3">
        <f t="shared" si="19"/>
        <v>-0.1736473460448606</v>
      </c>
      <c r="F139" s="2">
        <f t="shared" si="20"/>
        <v>-0.1060500081325262</v>
      </c>
      <c r="G139" s="5">
        <f t="shared" si="14"/>
        <v>0.84660232391167434</v>
      </c>
    </row>
    <row r="140" spans="1:7" x14ac:dyDescent="0.25">
      <c r="A140" s="1">
        <f t="shared" si="15"/>
        <v>1.3100000000000009</v>
      </c>
      <c r="B140" s="4">
        <f t="shared" si="16"/>
        <v>-9.7091235848497544</v>
      </c>
      <c r="C140" s="7">
        <f t="shared" si="17"/>
        <v>-0.16945617403866325</v>
      </c>
      <c r="D140" s="4">
        <f t="shared" si="18"/>
        <v>-10.01002223085146</v>
      </c>
      <c r="E140" s="3">
        <f t="shared" si="19"/>
        <v>-0.17470784612618587</v>
      </c>
      <c r="F140" s="2">
        <f t="shared" si="20"/>
        <v>-9.7583984893409456E-2</v>
      </c>
      <c r="G140" s="5">
        <f t="shared" si="14"/>
        <v>0.8517201486220547</v>
      </c>
    </row>
    <row r="141" spans="1:7" x14ac:dyDescent="0.25">
      <c r="A141" s="1">
        <f t="shared" si="15"/>
        <v>1.320000000000001</v>
      </c>
      <c r="B141" s="4">
        <f t="shared" si="16"/>
        <v>-9.7597418486889236</v>
      </c>
      <c r="C141" s="7">
        <f t="shared" si="17"/>
        <v>-0.17033962940429992</v>
      </c>
      <c r="D141" s="4">
        <f t="shared" si="18"/>
        <v>-10.065933735676067</v>
      </c>
      <c r="E141" s="3">
        <f t="shared" si="19"/>
        <v>-0.17568368597511996</v>
      </c>
      <c r="F141" s="2">
        <f t="shared" si="20"/>
        <v>-8.9066783407188904E-2</v>
      </c>
      <c r="G141" s="5">
        <f t="shared" si="14"/>
        <v>0.85642856881135943</v>
      </c>
    </row>
    <row r="142" spans="1:7" x14ac:dyDescent="0.25">
      <c r="A142" s="1">
        <f t="shared" si="15"/>
        <v>1.330000000000001</v>
      </c>
      <c r="B142" s="4">
        <f t="shared" si="16"/>
        <v>-9.8055780342952126</v>
      </c>
      <c r="C142" s="7">
        <f t="shared" si="17"/>
        <v>-0.17113962175968492</v>
      </c>
      <c r="D142" s="4">
        <f t="shared" si="18"/>
        <v>-10.116965243516443</v>
      </c>
      <c r="E142" s="3">
        <f t="shared" si="19"/>
        <v>-0.17657435380919184</v>
      </c>
      <c r="F142" s="2">
        <f t="shared" si="20"/>
        <v>-8.0502497719075305E-2</v>
      </c>
      <c r="G142" s="5">
        <f t="shared" si="14"/>
        <v>0.8607253228811147</v>
      </c>
    </row>
    <row r="143" spans="1:7" x14ac:dyDescent="0.25">
      <c r="A143" s="1">
        <f t="shared" si="15"/>
        <v>1.340000000000001</v>
      </c>
      <c r="B143" s="4">
        <f t="shared" si="16"/>
        <v>-9.8466096828547673</v>
      </c>
      <c r="C143" s="7">
        <f t="shared" si="17"/>
        <v>-0.17185575912457032</v>
      </c>
      <c r="D143" s="4">
        <f t="shared" si="18"/>
        <v>-10.16308977711209</v>
      </c>
      <c r="E143" s="3">
        <f t="shared" si="19"/>
        <v>-0.1773793787863826</v>
      </c>
      <c r="F143" s="2">
        <f t="shared" si="20"/>
        <v>-7.189524449026416E-2</v>
      </c>
      <c r="G143" s="5">
        <f t="shared" si="14"/>
        <v>0.86460833184503494</v>
      </c>
    </row>
    <row r="144" spans="1:7" x14ac:dyDescent="0.25">
      <c r="A144" s="1">
        <f t="shared" si="15"/>
        <v>1.350000000000001</v>
      </c>
      <c r="B144" s="4">
        <f t="shared" si="16"/>
        <v>-9.8828166896807534</v>
      </c>
      <c r="C144" s="7">
        <f t="shared" si="17"/>
        <v>-0.17248769060597585</v>
      </c>
      <c r="D144" s="4">
        <f t="shared" si="18"/>
        <v>-10.204282717875623</v>
      </c>
      <c r="E144" s="3">
        <f t="shared" si="19"/>
        <v>-0.17809833123128524</v>
      </c>
      <c r="F144" s="2">
        <f t="shared" si="20"/>
        <v>-6.3249161171813811E-2</v>
      </c>
      <c r="G144" s="5">
        <f t="shared" si="14"/>
        <v>0.86807569946586305</v>
      </c>
    </row>
    <row r="145" spans="1:7" x14ac:dyDescent="0.25">
      <c r="A145" s="1">
        <f t="shared" si="15"/>
        <v>1.360000000000001</v>
      </c>
      <c r="B145" s="4">
        <f t="shared" si="16"/>
        <v>-9.9141813140642565</v>
      </c>
      <c r="C145" s="7">
        <f t="shared" si="17"/>
        <v>-0.17303510657011928</v>
      </c>
      <c r="D145" s="4">
        <f t="shared" si="18"/>
        <v>-10.240521817804499</v>
      </c>
      <c r="E145" s="3">
        <f t="shared" si="19"/>
        <v>-0.17873082284300337</v>
      </c>
      <c r="F145" s="2">
        <f t="shared" si="20"/>
        <v>-5.456840417715518E-2</v>
      </c>
      <c r="G145" s="5">
        <f t="shared" si="14"/>
        <v>0.87112571238091585</v>
      </c>
    </row>
    <row r="146" spans="1:7" x14ac:dyDescent="0.25">
      <c r="A146" s="1">
        <f t="shared" si="15"/>
        <v>1.370000000000001</v>
      </c>
      <c r="B146" s="4">
        <f t="shared" si="16"/>
        <v>-9.940688187966872</v>
      </c>
      <c r="C146" s="7">
        <f t="shared" si="17"/>
        <v>-0.17349773879413088</v>
      </c>
      <c r="D146" s="4">
        <f t="shared" si="18"/>
        <v>-10.271787210345648</v>
      </c>
      <c r="E146" s="3">
        <f t="shared" si="19"/>
        <v>-0.17927650688477492</v>
      </c>
      <c r="F146" s="2">
        <f t="shared" si="20"/>
        <v>-4.5857147053346023E-2</v>
      </c>
      <c r="G146" s="5">
        <f t="shared" si="14"/>
        <v>0.87375684022015765</v>
      </c>
    </row>
    <row r="147" spans="1:7" x14ac:dyDescent="0.25">
      <c r="A147" s="1">
        <f t="shared" si="15"/>
        <v>1.380000000000001</v>
      </c>
      <c r="B147" s="4">
        <f t="shared" si="16"/>
        <v>-9.9623243235507388</v>
      </c>
      <c r="C147" s="7">
        <f t="shared" si="17"/>
        <v>-0.17387536059747727</v>
      </c>
      <c r="D147" s="4">
        <f t="shared" si="18"/>
        <v>-10.298061420212324</v>
      </c>
      <c r="E147" s="3">
        <f t="shared" si="19"/>
        <v>-0.17973507835530839</v>
      </c>
      <c r="F147" s="2">
        <f t="shared" si="20"/>
        <v>-3.7119578651144444E-2</v>
      </c>
      <c r="G147" s="5">
        <f t="shared" si="14"/>
        <v>0.8759677357202853</v>
      </c>
    </row>
    <row r="148" spans="1:7" x14ac:dyDescent="0.25">
      <c r="A148" s="1">
        <f t="shared" si="15"/>
        <v>1.390000000000001</v>
      </c>
      <c r="B148" s="4">
        <f t="shared" si="16"/>
        <v>-9.9790791195423161</v>
      </c>
      <c r="C148" s="7">
        <f t="shared" si="17"/>
        <v>-0.17416778695303023</v>
      </c>
      <c r="D148" s="4">
        <f t="shared" si="18"/>
        <v>-10.31932937215247</v>
      </c>
      <c r="E148" s="3">
        <f t="shared" si="19"/>
        <v>-0.18010627414181984</v>
      </c>
      <c r="F148" s="2">
        <f t="shared" si="20"/>
        <v>-2.8359901293941593E-2</v>
      </c>
      <c r="G148" s="5">
        <f t="shared" si="14"/>
        <v>0.87775723483795332</v>
      </c>
    </row>
    <row r="149" spans="1:7" x14ac:dyDescent="0.25">
      <c r="A149" s="1">
        <f t="shared" si="15"/>
        <v>1.400000000000001</v>
      </c>
      <c r="B149" s="4">
        <f t="shared" si="16"/>
        <v>-9.990944366426799</v>
      </c>
      <c r="C149" s="7">
        <f t="shared" si="17"/>
        <v>-0.17437487457772644</v>
      </c>
      <c r="D149" s="4">
        <f t="shared" si="18"/>
        <v>-10.335578398667975</v>
      </c>
      <c r="E149" s="3">
        <f t="shared" si="19"/>
        <v>-0.18038987315475927</v>
      </c>
      <c r="F149" s="2">
        <f t="shared" si="20"/>
        <v>-1.9582328945562062E-2</v>
      </c>
      <c r="G149" s="5">
        <f t="shared" si="14"/>
        <v>0.87912435686489598</v>
      </c>
    </row>
    <row r="150" spans="1:7" x14ac:dyDescent="0.25">
      <c r="A150" s="1">
        <f t="shared" si="15"/>
        <v>1.410000000000001</v>
      </c>
      <c r="B150" s="4">
        <f t="shared" si="16"/>
        <v>-9.9979142504706111</v>
      </c>
      <c r="C150" s="7">
        <f t="shared" si="17"/>
        <v>-0.17449652200277319</v>
      </c>
      <c r="D150" s="4">
        <f t="shared" si="18"/>
        <v>-10.34679824668415</v>
      </c>
      <c r="E150" s="3">
        <f t="shared" si="19"/>
        <v>-0.18058569644421488</v>
      </c>
      <c r="F150" s="2">
        <f t="shared" si="20"/>
        <v>-1.0791085376913102E-2</v>
      </c>
      <c r="G150" s="5">
        <f t="shared" si="14"/>
        <v>0.88006830454731511</v>
      </c>
    </row>
    <row r="151" spans="1:7" x14ac:dyDescent="0.25">
      <c r="A151" s="1">
        <f t="shared" si="15"/>
        <v>1.420000000000001</v>
      </c>
      <c r="B151" s="4">
        <f t="shared" si="16"/>
        <v>-9.9999853565700274</v>
      </c>
      <c r="C151" s="7">
        <f t="shared" si="17"/>
        <v>-0.17453266962336614</v>
      </c>
      <c r="D151" s="4">
        <f t="shared" si="18"/>
        <v>-10.352981083168775</v>
      </c>
      <c r="E151" s="3">
        <f t="shared" si="19"/>
        <v>-0.180693607297984</v>
      </c>
      <c r="F151" s="2">
        <f t="shared" si="20"/>
        <v>-1.9904023314399506E-3</v>
      </c>
      <c r="G151" s="5">
        <f t="shared" si="14"/>
        <v>0.88058846421151304</v>
      </c>
    </row>
    <row r="152" spans="1:7" x14ac:dyDescent="0.25">
      <c r="A152" s="1">
        <f t="shared" si="15"/>
        <v>1.430000000000001</v>
      </c>
      <c r="B152" s="4">
        <f t="shared" si="16"/>
        <v>-9.9971566699244967</v>
      </c>
      <c r="C152" s="7">
        <f t="shared" si="17"/>
        <v>-0.17448329972789442</v>
      </c>
      <c r="D152" s="4">
        <f t="shared" si="18"/>
        <v>-10.354121499700019</v>
      </c>
      <c r="E152" s="3">
        <f t="shared" si="19"/>
        <v>-0.1807135113212984</v>
      </c>
      <c r="F152" s="2">
        <f t="shared" si="20"/>
        <v>6.8154823106751795E-3</v>
      </c>
      <c r="G152" s="5">
        <f t="shared" si="14"/>
        <v>0.88068440589733876</v>
      </c>
    </row>
    <row r="153" spans="1:7" x14ac:dyDescent="0.25">
      <c r="A153" s="1">
        <f t="shared" si="15"/>
        <v>1.4400000000000011</v>
      </c>
      <c r="B153" s="4">
        <f t="shared" si="16"/>
        <v>-9.9894295765338761</v>
      </c>
      <c r="C153" s="7">
        <f t="shared" si="17"/>
        <v>-0.17434843650661902</v>
      </c>
      <c r="D153" s="4">
        <f t="shared" si="18"/>
        <v>-10.350216515982542</v>
      </c>
      <c r="E153" s="3">
        <f t="shared" si="19"/>
        <v>-0.18064535649819163</v>
      </c>
      <c r="F153" s="2">
        <f t="shared" si="20"/>
        <v>1.5622326369648568E-2</v>
      </c>
      <c r="G153" s="5">
        <f t="shared" si="14"/>
        <v>0.8803558835006029</v>
      </c>
    </row>
    <row r="154" spans="1:7" x14ac:dyDescent="0.25">
      <c r="A154" s="1">
        <f t="shared" si="15"/>
        <v>1.4500000000000011</v>
      </c>
      <c r="B154" s="4">
        <f t="shared" si="16"/>
        <v>-9.9768078625193279</v>
      </c>
      <c r="C154" s="7">
        <f t="shared" si="17"/>
        <v>-0.17412814603982005</v>
      </c>
      <c r="D154" s="4">
        <f t="shared" si="18"/>
        <v>-10.341265582310973</v>
      </c>
      <c r="E154" s="3">
        <f t="shared" si="19"/>
        <v>-0.18048913323449514</v>
      </c>
      <c r="F154" s="2">
        <f t="shared" si="20"/>
        <v>2.4425885204654597E-2</v>
      </c>
      <c r="G154" s="5">
        <f t="shared" si="14"/>
        <v>0.8796028349251982</v>
      </c>
    </row>
    <row r="155" spans="1:7" x14ac:dyDescent="0.25">
      <c r="A155" s="1">
        <f t="shared" si="15"/>
        <v>1.4600000000000011</v>
      </c>
      <c r="B155" s="4">
        <f t="shared" si="16"/>
        <v>-9.9592977122681852</v>
      </c>
      <c r="C155" s="7">
        <f t="shared" si="17"/>
        <v>-0.17382253626541869</v>
      </c>
      <c r="D155" s="4">
        <f t="shared" si="18"/>
        <v>-10.327270580979995</v>
      </c>
      <c r="E155" s="3">
        <f t="shared" si="19"/>
        <v>-0.1802448743824486</v>
      </c>
      <c r="F155" s="2">
        <f t="shared" si="20"/>
        <v>3.3221913553906579E-2</v>
      </c>
      <c r="G155" s="5">
        <f t="shared" si="14"/>
        <v>0.87842538224523692</v>
      </c>
    </row>
    <row r="156" spans="1:7" x14ac:dyDescent="0.25">
      <c r="A156" s="1">
        <f t="shared" si="15"/>
        <v>1.4700000000000011</v>
      </c>
      <c r="B156" s="4">
        <f t="shared" si="16"/>
        <v>-9.9369077054037227</v>
      </c>
      <c r="C156" s="7">
        <f t="shared" si="17"/>
        <v>-0.17343175692608967</v>
      </c>
      <c r="D156" s="4">
        <f t="shared" si="18"/>
        <v>-10.308235826640123</v>
      </c>
      <c r="E156" s="3">
        <f t="shared" si="19"/>
        <v>-0.17991265524690953</v>
      </c>
      <c r="F156" s="2">
        <f t="shared" si="20"/>
        <v>4.2006167376358948E-2</v>
      </c>
      <c r="G156" s="5">
        <f t="shared" si="14"/>
        <v>0.87682383187708846</v>
      </c>
    </row>
    <row r="157" spans="1:7" x14ac:dyDescent="0.25">
      <c r="A157" s="1">
        <f t="shared" si="15"/>
        <v>1.4800000000000011</v>
      </c>
      <c r="B157" s="4">
        <f t="shared" si="16"/>
        <v>-9.9096488125813256</v>
      </c>
      <c r="C157" s="7">
        <f t="shared" si="17"/>
        <v>-0.17295599949589061</v>
      </c>
      <c r="D157" s="4">
        <f t="shared" si="18"/>
        <v>-10.284168065598266</v>
      </c>
      <c r="E157" s="3">
        <f t="shared" si="19"/>
        <v>-0.17949259357314593</v>
      </c>
      <c r="F157" s="2">
        <f t="shared" si="20"/>
        <v>5.077440569512983E-2</v>
      </c>
      <c r="G157" s="5">
        <f t="shared" si="14"/>
        <v>0.87479867476077644</v>
      </c>
    </row>
    <row r="158" spans="1:7" x14ac:dyDescent="0.25">
      <c r="A158" s="1">
        <f t="shared" si="15"/>
        <v>1.4900000000000011</v>
      </c>
      <c r="B158" s="4">
        <f t="shared" si="16"/>
        <v>-9.8775343901130821</v>
      </c>
      <c r="C158" s="7">
        <f t="shared" si="17"/>
        <v>-0.17239549708644331</v>
      </c>
      <c r="D158" s="4">
        <f t="shared" si="18"/>
        <v>-10.255076474062106</v>
      </c>
      <c r="E158" s="3">
        <f t="shared" si="19"/>
        <v>-0.17898484951619462</v>
      </c>
      <c r="F158" s="2">
        <f t="shared" si="20"/>
        <v>5.9522392442737597E-2</v>
      </c>
      <c r="G158" s="5">
        <f t="shared" si="14"/>
        <v>0.8723505865497635</v>
      </c>
    </row>
    <row r="159" spans="1:7" x14ac:dyDescent="0.25">
      <c r="A159" s="1">
        <f t="shared" si="15"/>
        <v>1.5000000000000011</v>
      </c>
      <c r="B159" s="4">
        <f t="shared" si="16"/>
        <v>-9.8405801734234561</v>
      </c>
      <c r="C159" s="7">
        <f t="shared" si="17"/>
        <v>-0.1717505243327139</v>
      </c>
      <c r="D159" s="4">
        <f t="shared" si="18"/>
        <v>-10.220972655327206</v>
      </c>
      <c r="E159" s="3">
        <f t="shared" si="19"/>
        <v>-0.17838962559176724</v>
      </c>
      <c r="F159" s="2">
        <f t="shared" si="20"/>
        <v>6.8245898308235228E-2</v>
      </c>
      <c r="G159" s="5">
        <f t="shared" si="14"/>
        <v>0.86948042780773271</v>
      </c>
    </row>
    <row r="160" spans="1:7" x14ac:dyDescent="0.25">
      <c r="A160" s="1">
        <f t="shared" si="15"/>
        <v>1.5100000000000011</v>
      </c>
      <c r="B160" s="4">
        <f t="shared" si="16"/>
        <v>-9.7988042693392448</v>
      </c>
      <c r="C160" s="7">
        <f t="shared" si="17"/>
        <v>-0.17102139725844706</v>
      </c>
      <c r="D160" s="4">
        <f t="shared" si="18"/>
        <v>-10.181870635905796</v>
      </c>
      <c r="E160" s="3">
        <f t="shared" si="19"/>
        <v>-0.17770716660868488</v>
      </c>
      <c r="F160" s="2">
        <f t="shared" si="20"/>
        <v>7.6940702586312554E-2</v>
      </c>
      <c r="G160" s="5">
        <f t="shared" si="14"/>
        <v>0.86618924421055454</v>
      </c>
    </row>
    <row r="161" spans="1:7" x14ac:dyDescent="0.25">
      <c r="A161" s="1">
        <f t="shared" si="15"/>
        <v>1.5200000000000011</v>
      </c>
      <c r="B161" s="4">
        <f t="shared" si="16"/>
        <v>-9.7522271472175959</v>
      </c>
      <c r="C161" s="7">
        <f t="shared" si="17"/>
        <v>-0.17020847312132081</v>
      </c>
      <c r="D161" s="4">
        <f t="shared" si="18"/>
        <v>-10.137786860596124</v>
      </c>
      <c r="E161" s="3">
        <f t="shared" si="19"/>
        <v>-0.17693775958282176</v>
      </c>
      <c r="F161" s="2">
        <f t="shared" si="20"/>
        <v>8.5602595028418105E-2</v>
      </c>
      <c r="G161" s="5">
        <f t="shared" si="14"/>
        <v>0.8624782667512183</v>
      </c>
    </row>
    <row r="162" spans="1:7" x14ac:dyDescent="0.25">
      <c r="A162" s="1">
        <f t="shared" si="15"/>
        <v>1.5300000000000011</v>
      </c>
      <c r="B162" s="4">
        <f t="shared" si="16"/>
        <v>-9.7008716289164365</v>
      </c>
      <c r="C162" s="7">
        <f t="shared" si="17"/>
        <v>-0.16931215023789739</v>
      </c>
      <c r="D162" s="4">
        <f t="shared" si="18"/>
        <v>-10.088740186491167</v>
      </c>
      <c r="E162" s="3">
        <f t="shared" si="19"/>
        <v>-0.1760817336325376</v>
      </c>
      <c r="F162" s="2">
        <f t="shared" si="20"/>
        <v>9.4227377695930287E-2</v>
      </c>
      <c r="G162" s="5">
        <f t="shared" si="14"/>
        <v>0.85834891194510154</v>
      </c>
    </row>
    <row r="163" spans="1:7" x14ac:dyDescent="0.25">
      <c r="A163" s="1">
        <f t="shared" si="15"/>
        <v>1.5400000000000011</v>
      </c>
      <c r="B163" s="4">
        <f t="shared" si="16"/>
        <v>-9.6447628776122123</v>
      </c>
      <c r="C163" s="7">
        <f t="shared" si="17"/>
        <v>-0.16833286778845599</v>
      </c>
      <c r="D163" s="4">
        <f t="shared" si="18"/>
        <v>-10.034751875925547</v>
      </c>
      <c r="E163" s="3">
        <f t="shared" si="19"/>
        <v>-0.1751394598555783</v>
      </c>
      <c r="F163" s="2">
        <f t="shared" si="20"/>
        <v>0.1028108668153813</v>
      </c>
      <c r="G163" s="5">
        <f t="shared" si="14"/>
        <v>0.85380278203256466</v>
      </c>
    </row>
    <row r="164" spans="1:7" x14ac:dyDescent="0.25">
      <c r="A164" s="1">
        <f t="shared" si="15"/>
        <v>1.5500000000000012</v>
      </c>
      <c r="B164" s="4">
        <f t="shared" si="16"/>
        <v>-9.5839283854704327</v>
      </c>
      <c r="C164" s="7">
        <f t="shared" si="17"/>
        <v>-0.16727110560180333</v>
      </c>
      <c r="D164" s="4">
        <f t="shared" si="18"/>
        <v>-9.9758455883595172</v>
      </c>
      <c r="E164" s="3">
        <f t="shared" si="19"/>
        <v>-0.17411135118742449</v>
      </c>
      <c r="F164" s="2">
        <f t="shared" si="20"/>
        <v>0.11134889463570695</v>
      </c>
      <c r="G164" s="5">
        <f t="shared" si="14"/>
        <v>0.84884166517547077</v>
      </c>
    </row>
    <row r="165" spans="1:7" x14ac:dyDescent="0.25">
      <c r="A165" s="1">
        <f t="shared" si="15"/>
        <v>1.5600000000000012</v>
      </c>
      <c r="B165" s="4">
        <f t="shared" si="16"/>
        <v>-9.5183979601750774</v>
      </c>
      <c r="C165" s="7">
        <f t="shared" si="17"/>
        <v>-0.16612738392016721</v>
      </c>
      <c r="D165" s="4">
        <f t="shared" si="18"/>
        <v>-9.9120473711987884</v>
      </c>
      <c r="E165" s="3">
        <f t="shared" si="19"/>
        <v>-0.17299786224106742</v>
      </c>
      <c r="F165" s="2">
        <f t="shared" si="20"/>
        <v>0.11983731128746165</v>
      </c>
      <c r="G165" s="5">
        <f t="shared" si="14"/>
        <v>0.84346753564387278</v>
      </c>
    </row>
    <row r="166" spans="1:7" x14ac:dyDescent="0.25">
      <c r="A166" s="1">
        <f t="shared" si="15"/>
        <v>1.5700000000000012</v>
      </c>
      <c r="B166" s="4">
        <f t="shared" si="16"/>
        <v>-9.4482037103234049</v>
      </c>
      <c r="C166" s="7">
        <f t="shared" si="17"/>
        <v>-0.16490226314428799</v>
      </c>
      <c r="D166" s="4">
        <f t="shared" si="18"/>
        <v>-9.8433856495491181</v>
      </c>
      <c r="E166" s="3">
        <f t="shared" si="19"/>
        <v>-0.17179948912819279</v>
      </c>
      <c r="F166" s="2">
        <f t="shared" si="20"/>
        <v>0.12827198664390038</v>
      </c>
      <c r="G166" s="5">
        <f t="shared" si="14"/>
        <v>0.83768255398875224</v>
      </c>
    </row>
    <row r="167" spans="1:7" x14ac:dyDescent="0.25">
      <c r="A167" s="1">
        <f t="shared" si="15"/>
        <v>1.5800000000000012</v>
      </c>
      <c r="B167" s="4">
        <f t="shared" si="16"/>
        <v>-9.3733800296933971</v>
      </c>
      <c r="C167" s="7">
        <f t="shared" si="17"/>
        <v>-0.16359634355883362</v>
      </c>
      <c r="D167" s="4">
        <f t="shared" si="18"/>
        <v>-9.7698912149045789</v>
      </c>
      <c r="E167" s="3">
        <f t="shared" si="19"/>
        <v>-0.1705167692617538</v>
      </c>
      <c r="F167" s="2">
        <f t="shared" si="20"/>
        <v>0.13664881218378791</v>
      </c>
      <c r="G167" s="5">
        <f t="shared" si="14"/>
        <v>0.8314890671963705</v>
      </c>
    </row>
    <row r="168" spans="1:7" x14ac:dyDescent="0.25">
      <c r="A168" s="1">
        <f t="shared" si="15"/>
        <v>1.5900000000000012</v>
      </c>
      <c r="B168" s="4">
        <f t="shared" si="16"/>
        <v>-9.293963580391484</v>
      </c>
      <c r="C168" s="7">
        <f t="shared" si="17"/>
        <v>-0.1622102650382721</v>
      </c>
      <c r="D168" s="4">
        <f t="shared" si="18"/>
        <v>-9.6915972127685102</v>
      </c>
      <c r="E168" s="3">
        <f t="shared" si="19"/>
        <v>-0.16915028113991593</v>
      </c>
      <c r="F168" s="2">
        <f t="shared" si="20"/>
        <v>0.14496370285575161</v>
      </c>
      <c r="G168" s="5">
        <f t="shared" si="14"/>
        <v>0.82488960881947149</v>
      </c>
    </row>
    <row r="169" spans="1:7" x14ac:dyDescent="0.25">
      <c r="A169" s="1">
        <f t="shared" si="15"/>
        <v>1.6000000000000012</v>
      </c>
      <c r="B169" s="4">
        <f t="shared" si="16"/>
        <v>-9.2099932748888662</v>
      </c>
      <c r="C169" s="7">
        <f t="shared" si="17"/>
        <v>-0.1607447067333459</v>
      </c>
      <c r="D169" s="4">
        <f t="shared" si="18"/>
        <v>-9.6085391292062781</v>
      </c>
      <c r="E169" s="3">
        <f t="shared" si="19"/>
        <v>-0.1677006441113584</v>
      </c>
      <c r="F169" s="2">
        <f t="shared" si="20"/>
        <v>0.15321259894394632</v>
      </c>
      <c r="G169" s="5">
        <f t="shared" si="14"/>
        <v>0.81788689908028678</v>
      </c>
    </row>
    <row r="170" spans="1:7" x14ac:dyDescent="0.25">
      <c r="A170" s="1">
        <f t="shared" si="15"/>
        <v>1.6100000000000012</v>
      </c>
      <c r="B170" s="4">
        <f t="shared" si="16"/>
        <v>-9.1215102569551583</v>
      </c>
      <c r="C170" s="7">
        <f t="shared" si="17"/>
        <v>-0.1592003867383015</v>
      </c>
      <c r="D170" s="4">
        <f t="shared" si="18"/>
        <v>-9.5207547763290918</v>
      </c>
      <c r="E170" s="3">
        <f t="shared" si="19"/>
        <v>-0.16616851812191893</v>
      </c>
      <c r="F170" s="2">
        <f t="shared" si="20"/>
        <v>0.16139146793474918</v>
      </c>
      <c r="G170" s="5">
        <f t="shared" si="14"/>
        <v>0.81048384494002379</v>
      </c>
    </row>
    <row r="171" spans="1:7" x14ac:dyDescent="0.25">
      <c r="A171" s="1">
        <f t="shared" si="15"/>
        <v>1.6200000000000012</v>
      </c>
      <c r="B171" s="4">
        <f t="shared" si="16"/>
        <v>-9.0285578814987772</v>
      </c>
      <c r="C171" s="7">
        <f t="shared" si="17"/>
        <v>-0.15757806173903768</v>
      </c>
      <c r="D171" s="4">
        <f t="shared" si="18"/>
        <v>-9.428284276708272</v>
      </c>
      <c r="E171" s="3">
        <f t="shared" si="19"/>
        <v>-0.16455460344257145</v>
      </c>
      <c r="F171" s="2">
        <f t="shared" si="20"/>
        <v>0.16949630638414942</v>
      </c>
      <c r="G171" s="5">
        <f t="shared" si="14"/>
        <v>0.80268354012926635</v>
      </c>
    </row>
    <row r="172" spans="1:7" x14ac:dyDescent="0.25">
      <c r="A172" s="1">
        <f t="shared" si="15"/>
        <v>1.6300000000000012</v>
      </c>
      <c r="B172" s="4">
        <f t="shared" si="16"/>
        <v>-8.9311816933239072</v>
      </c>
      <c r="C172" s="7">
        <f t="shared" si="17"/>
        <v>-0.15587852664234464</v>
      </c>
      <c r="D172" s="4">
        <f t="shared" si="18"/>
        <v>-9.3311700467195902</v>
      </c>
      <c r="E172" s="3">
        <f t="shared" si="19"/>
        <v>-0.16285964037872996</v>
      </c>
      <c r="F172" s="2">
        <f t="shared" si="20"/>
        <v>0.1775231417854421</v>
      </c>
      <c r="G172" s="5">
        <f t="shared" si="14"/>
        <v>0.79448926513349882</v>
      </c>
    </row>
    <row r="173" spans="1:7" x14ac:dyDescent="0.25">
      <c r="A173" s="1">
        <f t="shared" si="15"/>
        <v>1.6400000000000012</v>
      </c>
      <c r="B173" s="4">
        <f t="shared" si="16"/>
        <v>-8.8294294048144533</v>
      </c>
      <c r="C173" s="7">
        <f t="shared" si="17"/>
        <v>-0.15410261418641547</v>
      </c>
      <c r="D173" s="4">
        <f t="shared" si="18"/>
        <v>-9.2294567788175073</v>
      </c>
      <c r="E173" s="3">
        <f t="shared" si="19"/>
        <v>-0.16108440896087553</v>
      </c>
      <c r="F173" s="2">
        <f t="shared" si="20"/>
        <v>0.18546803443677709</v>
      </c>
      <c r="G173" s="5">
        <f t="shared" si="14"/>
        <v>0.78590448712776384</v>
      </c>
    </row>
    <row r="174" spans="1:7" x14ac:dyDescent="0.25">
      <c r="A174" s="1">
        <f t="shared" si="15"/>
        <v>1.6500000000000012</v>
      </c>
      <c r="B174" s="4">
        <f t="shared" si="16"/>
        <v>-8.7233508725559172</v>
      </c>
      <c r="C174" s="7">
        <f t="shared" si="17"/>
        <v>-0.15225119453282102</v>
      </c>
      <c r="D174" s="4">
        <f t="shared" si="18"/>
        <v>-9.1231914227393638</v>
      </c>
      <c r="E174" s="3">
        <f t="shared" si="19"/>
        <v>-0.15922972861650775</v>
      </c>
      <c r="F174" s="2">
        <f t="shared" si="20"/>
        <v>0.19332707930805473</v>
      </c>
      <c r="G174" s="5">
        <f t="shared" si="14"/>
        <v>0.77693285985429972</v>
      </c>
    </row>
    <row r="175" spans="1:7" x14ac:dyDescent="0.25">
      <c r="A175" s="1">
        <f t="shared" si="15"/>
        <v>1.6600000000000013</v>
      </c>
      <c r="B175" s="4">
        <f t="shared" si="16"/>
        <v>-8.6129980729066915</v>
      </c>
      <c r="C175" s="7">
        <f t="shared" si="17"/>
        <v>-0.15032517484014837</v>
      </c>
      <c r="D175" s="4">
        <f t="shared" si="18"/>
        <v>-9.0124231656399374</v>
      </c>
      <c r="E175" s="3">
        <f t="shared" si="19"/>
        <v>-0.15729645782342719</v>
      </c>
      <c r="F175" s="2">
        <f t="shared" si="20"/>
        <v>0.20109640790659772</v>
      </c>
      <c r="G175" s="5">
        <f t="shared" si="14"/>
        <v>0.76757822343685644</v>
      </c>
    </row>
    <row r="176" spans="1:7" x14ac:dyDescent="0.25">
      <c r="A176" s="1">
        <f t="shared" si="15"/>
        <v>1.6700000000000013</v>
      </c>
      <c r="B176" s="4">
        <f t="shared" si="16"/>
        <v>-8.4984250765306655</v>
      </c>
      <c r="C176" s="7">
        <f t="shared" si="17"/>
        <v>-0.14832549881951118</v>
      </c>
      <c r="D176" s="4">
        <f t="shared" si="18"/>
        <v>-8.8972034111570437</v>
      </c>
      <c r="E176" s="3">
        <f t="shared" si="19"/>
        <v>-0.15528549374436121</v>
      </c>
      <c r="F176" s="2">
        <f t="shared" si="20"/>
        <v>0.20877219014096629</v>
      </c>
      <c r="G176" s="5">
        <f t="shared" si="14"/>
        <v>0.75784460412527976</v>
      </c>
    </row>
    <row r="177" spans="1:7" x14ac:dyDescent="0.25">
      <c r="A177" s="1">
        <f t="shared" si="15"/>
        <v>1.6800000000000013</v>
      </c>
      <c r="B177" s="4">
        <f t="shared" si="16"/>
        <v>-8.3796880219036822</v>
      </c>
      <c r="C177" s="7">
        <f t="shared" si="17"/>
        <v>-0.14625314627214994</v>
      </c>
      <c r="D177" s="4">
        <f t="shared" si="18"/>
        <v>-8.7775857574092431</v>
      </c>
      <c r="E177" s="3">
        <f t="shared" si="19"/>
        <v>-0.15319777184295155</v>
      </c>
      <c r="F177" s="2">
        <f t="shared" si="20"/>
        <v>0.21635063618221909</v>
      </c>
      <c r="G177" s="5">
        <f t="shared" si="14"/>
        <v>0.74773621396387124</v>
      </c>
    </row>
    <row r="178" spans="1:7" x14ac:dyDescent="0.25">
      <c r="A178" s="1">
        <f t="shared" si="15"/>
        <v>1.6900000000000013</v>
      </c>
      <c r="B178" s="4">
        <f t="shared" si="16"/>
        <v>-8.2568450878068163</v>
      </c>
      <c r="C178" s="7">
        <f t="shared" si="17"/>
        <v>-0.14410913260934924</v>
      </c>
      <c r="D178" s="4">
        <f t="shared" si="18"/>
        <v>-8.6536259739271291</v>
      </c>
      <c r="E178" s="3">
        <f t="shared" si="19"/>
        <v>-0.15103426548112936</v>
      </c>
      <c r="F178" s="2">
        <f t="shared" si="20"/>
        <v>0.22382799832185779</v>
      </c>
      <c r="G178" s="5">
        <f t="shared" si="14"/>
        <v>0.73725745037697787</v>
      </c>
    </row>
    <row r="179" spans="1:7" x14ac:dyDescent="0.25">
      <c r="A179" s="1">
        <f t="shared" si="15"/>
        <v>1.7000000000000013</v>
      </c>
      <c r="B179" s="4">
        <f t="shared" si="16"/>
        <v>-8.1299564648199407</v>
      </c>
      <c r="C179" s="7">
        <f t="shared" si="17"/>
        <v>-0.1418945083549065</v>
      </c>
      <c r="D179" s="4">
        <f t="shared" si="18"/>
        <v>-8.525381977520091</v>
      </c>
      <c r="E179" s="3">
        <f t="shared" si="19"/>
        <v>-0.14879598549791079</v>
      </c>
      <c r="F179" s="2">
        <f t="shared" si="20"/>
        <v>0.23120057282562756</v>
      </c>
      <c r="G179" s="5">
        <f t="shared" si="14"/>
        <v>0.72641289566524658</v>
      </c>
    </row>
    <row r="180" spans="1:7" x14ac:dyDescent="0.25">
      <c r="A180" s="1">
        <f t="shared" si="15"/>
        <v>1.7100000000000013</v>
      </c>
      <c r="B180" s="4">
        <f t="shared" si="16"/>
        <v>-7.9990843258295223</v>
      </c>
      <c r="C180" s="7">
        <f t="shared" si="17"/>
        <v>-0.13961035863039606</v>
      </c>
      <c r="D180" s="4">
        <f t="shared" si="18"/>
        <v>-8.3929138070809373</v>
      </c>
      <c r="E180" s="3">
        <f t="shared" si="19"/>
        <v>-0.14648397976965452</v>
      </c>
      <c r="F180" s="2">
        <f t="shared" si="20"/>
        <v>0.23846470178228002</v>
      </c>
      <c r="G180" s="5">
        <f t="shared" si="14"/>
        <v>0.71520731640598767</v>
      </c>
    </row>
    <row r="181" spans="1:7" x14ac:dyDescent="0.25">
      <c r="A181" s="1">
        <f t="shared" si="15"/>
        <v>1.7200000000000013</v>
      </c>
      <c r="B181" s="4">
        <f t="shared" si="16"/>
        <v>-7.8642927955651762</v>
      </c>
      <c r="C181" s="7">
        <f t="shared" si="17"/>
        <v>-0.13725780262348164</v>
      </c>
      <c r="D181" s="4">
        <f t="shared" si="18"/>
        <v>-8.2562835973312332</v>
      </c>
      <c r="E181" s="3">
        <f t="shared" si="19"/>
        <v>-0.14409933275183173</v>
      </c>
      <c r="F181" s="2">
        <f t="shared" si="20"/>
        <v>0.24561677494633991</v>
      </c>
      <c r="G181" s="5">
        <f t="shared" si="14"/>
        <v>0.70364566275113694</v>
      </c>
    </row>
    <row r="182" spans="1:7" x14ac:dyDescent="0.25">
      <c r="A182" s="1">
        <f t="shared" si="15"/>
        <v>1.7300000000000013</v>
      </c>
      <c r="B182" s="4">
        <f t="shared" si="16"/>
        <v>-7.7256479191798286</v>
      </c>
      <c r="C182" s="7">
        <f t="shared" si="17"/>
        <v>-0.13483799303953678</v>
      </c>
      <c r="D182" s="4">
        <f t="shared" si="18"/>
        <v>-8.1155555515108357</v>
      </c>
      <c r="E182" s="3">
        <f t="shared" si="19"/>
        <v>-0.14164316500236834</v>
      </c>
      <c r="F182" s="2">
        <f t="shared" si="20"/>
        <v>0.25265323157385128</v>
      </c>
      <c r="G182" s="5">
        <f t="shared" si="14"/>
        <v>0.69173306761637898</v>
      </c>
    </row>
    <row r="183" spans="1:7" x14ac:dyDescent="0.25">
      <c r="A183" s="1">
        <f t="shared" si="15"/>
        <v>1.7400000000000013</v>
      </c>
      <c r="B183" s="4">
        <f t="shared" si="16"/>
        <v>-7.5832176298888969</v>
      </c>
      <c r="C183" s="7">
        <f t="shared" si="17"/>
        <v>-0.13235211553684201</v>
      </c>
      <c r="D183" s="4">
        <f t="shared" si="18"/>
        <v>-7.9707959130156043</v>
      </c>
      <c r="E183" s="3">
        <f t="shared" si="19"/>
        <v>-0.13911663268662983</v>
      </c>
      <c r="F183" s="2">
        <f t="shared" si="20"/>
        <v>0.25957056225001507</v>
      </c>
      <c r="G183" s="5">
        <f t="shared" si="14"/>
        <v>0.67947484575510442</v>
      </c>
    </row>
    <row r="184" spans="1:7" x14ac:dyDescent="0.25">
      <c r="A184" s="1">
        <f t="shared" si="15"/>
        <v>1.7500000000000013</v>
      </c>
      <c r="B184" s="4">
        <f t="shared" si="16"/>
        <v>-7.4370717156843886</v>
      </c>
      <c r="C184" s="7">
        <f t="shared" si="17"/>
        <v>-0.12980138814563619</v>
      </c>
      <c r="D184" s="4">
        <f t="shared" si="18"/>
        <v>-7.8220729359879684</v>
      </c>
      <c r="E184" s="3">
        <f t="shared" si="19"/>
        <v>-0.13652092706412969</v>
      </c>
      <c r="F184" s="2">
        <f t="shared" si="20"/>
        <v>0.26636531070756614</v>
      </c>
      <c r="G184" s="5">
        <f t="shared" si="14"/>
        <v>0.66687649271101113</v>
      </c>
    </row>
    <row r="185" spans="1:7" x14ac:dyDescent="0.25">
      <c r="A185" s="1">
        <f t="shared" si="15"/>
        <v>1.7600000000000013</v>
      </c>
      <c r="B185" s="4">
        <f t="shared" si="16"/>
        <v>-7.2872817851401699</v>
      </c>
      <c r="C185" s="7">
        <f t="shared" si="17"/>
        <v>-0.12718706067130595</v>
      </c>
      <c r="D185" s="4">
        <f t="shared" si="18"/>
        <v>-7.669456854865623</v>
      </c>
      <c r="E185" s="3">
        <f t="shared" si="19"/>
        <v>-0.13385727395705402</v>
      </c>
      <c r="F185" s="2">
        <f t="shared" si="20"/>
        <v>0.27303407563467624</v>
      </c>
      <c r="G185" s="5">
        <f t="shared" si="14"/>
        <v>0.65394368364333311</v>
      </c>
    </row>
    <row r="186" spans="1:7" x14ac:dyDescent="0.25">
      <c r="A186" s="1">
        <f t="shared" si="15"/>
        <v>1.7700000000000014</v>
      </c>
      <c r="B186" s="4">
        <f t="shared" si="16"/>
        <v>-7.1339212323252177</v>
      </c>
      <c r="C186" s="7">
        <f t="shared" si="17"/>
        <v>-0.12451041408200637</v>
      </c>
      <c r="D186" s="4">
        <f t="shared" si="18"/>
        <v>-7.5130198528943977</v>
      </c>
      <c r="E186" s="3">
        <f t="shared" si="19"/>
        <v>-0.13112693320070726</v>
      </c>
      <c r="F186" s="2">
        <f t="shared" si="20"/>
        <v>0.27957351247110956</v>
      </c>
      <c r="G186" s="5">
        <f t="shared" si="14"/>
        <v>0.64068227201888395</v>
      </c>
    </row>
    <row r="187" spans="1:7" x14ac:dyDescent="0.25">
      <c r="A187" s="1">
        <f t="shared" si="15"/>
        <v>1.7800000000000014</v>
      </c>
      <c r="B187" s="4">
        <f t="shared" si="16"/>
        <v>-6.9770652008419685</v>
      </c>
      <c r="C187" s="7">
        <f t="shared" si="17"/>
        <v>-0.1217727598810118</v>
      </c>
      <c r="D187" s="4">
        <f t="shared" si="18"/>
        <v>-7.3528360296119706</v>
      </c>
      <c r="E187" s="3">
        <f t="shared" si="19"/>
        <v>-0.12833119807599616</v>
      </c>
      <c r="F187" s="2">
        <f t="shared" si="20"/>
        <v>0.2859803351912984</v>
      </c>
      <c r="G187" s="5">
        <f t="shared" si="14"/>
        <v>0.62709828816533797</v>
      </c>
    </row>
    <row r="188" spans="1:7" x14ac:dyDescent="0.25">
      <c r="A188" s="1">
        <f t="shared" si="15"/>
        <v>1.7900000000000014</v>
      </c>
      <c r="B188" s="4">
        <f t="shared" si="16"/>
        <v>-6.8167905470074697</v>
      </c>
      <c r="C188" s="7">
        <f t="shared" si="17"/>
        <v>-0.11897543946410563</v>
      </c>
      <c r="D188" s="4">
        <f t="shared" si="18"/>
        <v>-7.1889813673099896</v>
      </c>
      <c r="E188" s="3">
        <f t="shared" si="19"/>
        <v>-0.12547139472408317</v>
      </c>
      <c r="F188" s="2">
        <f t="shared" si="20"/>
        <v>0.29225131807295179</v>
      </c>
      <c r="G188" s="5">
        <f t="shared" si="14"/>
        <v>0.61319793768043362</v>
      </c>
    </row>
    <row r="189" spans="1:7" x14ac:dyDescent="0.25">
      <c r="A189" s="1">
        <f t="shared" si="15"/>
        <v>1.8000000000000014</v>
      </c>
      <c r="B189" s="4">
        <f t="shared" si="16"/>
        <v>-6.6531758021953298</v>
      </c>
      <c r="C189" s="7">
        <f t="shared" si="17"/>
        <v>-0.11611982346232348</v>
      </c>
      <c r="D189" s="4">
        <f t="shared" si="18"/>
        <v>-7.0215336964828348</v>
      </c>
      <c r="E189" s="3">
        <f t="shared" si="19"/>
        <v>-0.12254888154335365</v>
      </c>
      <c r="F189" s="2">
        <f t="shared" si="20"/>
        <v>0.29838329744975611</v>
      </c>
      <c r="G189" s="5">
        <f t="shared" si="14"/>
        <v>0.59898759969208448</v>
      </c>
    </row>
    <row r="190" spans="1:7" x14ac:dyDescent="0.25">
      <c r="A190" s="1">
        <f t="shared" si="15"/>
        <v>1.8100000000000014</v>
      </c>
      <c r="B190" s="4">
        <f t="shared" si="16"/>
        <v>-6.4863011343568973</v>
      </c>
      <c r="C190" s="7">
        <f t="shared" si="17"/>
        <v>-0.11320731107037094</v>
      </c>
      <c r="D190" s="4">
        <f t="shared" si="18"/>
        <v>-6.8505726602721575</v>
      </c>
      <c r="E190" s="3">
        <f t="shared" si="19"/>
        <v>-0.11956504856885609</v>
      </c>
      <c r="F190" s="2">
        <f t="shared" si="20"/>
        <v>0.30437317344667697</v>
      </c>
      <c r="G190" s="5">
        <f t="shared" si="14"/>
        <v>0.58447382496470401</v>
      </c>
    </row>
    <row r="191" spans="1:7" x14ac:dyDescent="0.25">
      <c r="A191" s="1">
        <f t="shared" si="15"/>
        <v>1.8200000000000014</v>
      </c>
      <c r="B191" s="4">
        <f t="shared" si="16"/>
        <v>-6.3162483087405903</v>
      </c>
      <c r="C191" s="7">
        <f t="shared" si="17"/>
        <v>-0.11023932936104663</v>
      </c>
      <c r="D191" s="4">
        <f t="shared" si="18"/>
        <v>-6.6761796779171787</v>
      </c>
      <c r="E191" s="3">
        <f t="shared" si="19"/>
        <v>-0.11652131683438932</v>
      </c>
      <c r="F191" s="2">
        <f t="shared" si="20"/>
        <v>0.31021791169632401</v>
      </c>
      <c r="G191" s="5">
        <f t="shared" si="14"/>
        <v>0.56966333384740342</v>
      </c>
    </row>
    <row r="192" spans="1:7" x14ac:dyDescent="0.25">
      <c r="A192" s="1">
        <f t="shared" si="15"/>
        <v>1.8300000000000014</v>
      </c>
      <c r="B192" s="4">
        <f t="shared" si="16"/>
        <v>-6.1431006478285317</v>
      </c>
      <c r="C192" s="7">
        <f t="shared" si="17"/>
        <v>-0.10721733258600454</v>
      </c>
      <c r="D192" s="4">
        <f t="shared" si="18"/>
        <v>-6.4984379072215637</v>
      </c>
      <c r="E192" s="3">
        <f t="shared" si="19"/>
        <v>-0.11341913771742608</v>
      </c>
      <c r="F192" s="2">
        <f t="shared" si="20"/>
        <v>0.31591454503479804</v>
      </c>
      <c r="G192" s="5">
        <f t="shared" si="14"/>
        <v>0.55456301406010022</v>
      </c>
    </row>
    <row r="193" spans="1:7" x14ac:dyDescent="0.25">
      <c r="A193" s="1">
        <f t="shared" si="15"/>
        <v>1.8400000000000014</v>
      </c>
      <c r="B193" s="4">
        <f t="shared" si="16"/>
        <v>-5.9669429905102351</v>
      </c>
      <c r="C193" s="7">
        <f t="shared" si="17"/>
        <v>-0.10414280146320037</v>
      </c>
      <c r="D193" s="4">
        <f t="shared" si="18"/>
        <v>-6.3174322060486681</v>
      </c>
      <c r="E193" s="3">
        <f t="shared" si="19"/>
        <v>-0.1102599922670781</v>
      </c>
      <c r="F193" s="2">
        <f t="shared" si="20"/>
        <v>0.32146017517539904</v>
      </c>
      <c r="G193" s="5">
        <f t="shared" si="14"/>
        <v>0.53917991831398127</v>
      </c>
    </row>
    <row r="194" spans="1:7" x14ac:dyDescent="0.25">
      <c r="A194" s="1">
        <f t="shared" si="15"/>
        <v>1.8500000000000014</v>
      </c>
      <c r="B194" s="4">
        <f t="shared" si="16"/>
        <v>-5.7878616505132312</v>
      </c>
      <c r="C194" s="7">
        <f t="shared" si="17"/>
        <v>-0.10101724245136923</v>
      </c>
      <c r="D194" s="4">
        <f t="shared" si="18"/>
        <v>-6.1332490928578034</v>
      </c>
      <c r="E194" s="3">
        <f t="shared" si="19"/>
        <v>-0.10704539051532411</v>
      </c>
      <c r="F194" s="2">
        <f t="shared" si="20"/>
        <v>0.32685197435853885</v>
      </c>
      <c r="G194" s="5">
        <f t="shared" si="14"/>
        <v>0.52352126176318914</v>
      </c>
    </row>
    <row r="195" spans="1:7" x14ac:dyDescent="0.25">
      <c r="A195" s="1">
        <f t="shared" si="15"/>
        <v>1.8600000000000014</v>
      </c>
      <c r="B195" s="4">
        <f t="shared" si="16"/>
        <v>-5.6059443741110409</v>
      </c>
      <c r="C195" s="7">
        <f t="shared" si="17"/>
        <v>-9.7842187011890416E-2</v>
      </c>
      <c r="D195" s="4">
        <f t="shared" si="18"/>
        <v>-5.9459767062951796</v>
      </c>
      <c r="E195" s="3">
        <f t="shared" si="19"/>
        <v>-0.10377687077173872</v>
      </c>
      <c r="F195" s="2">
        <f t="shared" si="20"/>
        <v>0.33208718697617073</v>
      </c>
      <c r="G195" s="5">
        <f t="shared" si="14"/>
        <v>0.50759441928505422</v>
      </c>
    </row>
    <row r="196" spans="1:7" x14ac:dyDescent="0.25">
      <c r="A196" s="1">
        <f t="shared" si="15"/>
        <v>1.8700000000000014</v>
      </c>
      <c r="B196" s="4">
        <f t="shared" si="16"/>
        <v>-5.4212802971293153</v>
      </c>
      <c r="C196" s="7">
        <f t="shared" si="17"/>
        <v>-9.4619190858403035E-2</v>
      </c>
      <c r="D196" s="4">
        <f t="shared" si="18"/>
        <v>-5.7557047638541157</v>
      </c>
      <c r="E196" s="3">
        <f t="shared" si="19"/>
        <v>-0.10045599890197701</v>
      </c>
      <c r="F196" s="2">
        <f t="shared" si="20"/>
        <v>0.3371631311690213</v>
      </c>
      <c r="G196" s="5">
        <f t="shared" si="14"/>
        <v>0.4914069225866643</v>
      </c>
    </row>
    <row r="197" spans="1:7" x14ac:dyDescent="0.25">
      <c r="A197" s="1">
        <f t="shared" si="15"/>
        <v>1.8800000000000014</v>
      </c>
      <c r="B197" s="4">
        <f t="shared" si="16"/>
        <v>-5.2339599012710005</v>
      </c>
      <c r="C197" s="7">
        <f t="shared" si="17"/>
        <v>-9.1349833194536295E-2</v>
      </c>
      <c r="D197" s="4">
        <f t="shared" si="18"/>
        <v>-5.5625245196201085</v>
      </c>
      <c r="E197" s="3">
        <f t="shared" si="19"/>
        <v>-9.7084367590286796E-2</v>
      </c>
      <c r="F197" s="2">
        <f t="shared" si="20"/>
        <v>0.34207720039488793</v>
      </c>
      <c r="G197" s="5">
        <f t="shared" si="14"/>
        <v>0.47496645713605229</v>
      </c>
    </row>
    <row r="198" spans="1:7" x14ac:dyDescent="0.25">
      <c r="A198" s="1">
        <f t="shared" si="15"/>
        <v>1.8900000000000015</v>
      </c>
      <c r="B198" s="4">
        <f t="shared" si="16"/>
        <v>-5.0440749697821659</v>
      </c>
      <c r="C198" s="7">
        <f t="shared" si="17"/>
        <v>-8.8035715940132278E-2</v>
      </c>
      <c r="D198" s="4">
        <f t="shared" si="18"/>
        <v>-5.3665287211173274</v>
      </c>
      <c r="E198" s="3">
        <f t="shared" si="19"/>
        <v>-9.3663595586337911E-2</v>
      </c>
      <c r="F198" s="2">
        <f t="shared" si="20"/>
        <v>0.34682686496624843</v>
      </c>
      <c r="G198" s="5">
        <f t="shared" si="14"/>
        <v>0.45828085891679293</v>
      </c>
    </row>
    <row r="199" spans="1:7" x14ac:dyDescent="0.25">
      <c r="A199" s="1">
        <f t="shared" si="15"/>
        <v>1.9000000000000015</v>
      </c>
      <c r="B199" s="4">
        <f t="shared" si="16"/>
        <v>-4.8517185424800324</v>
      </c>
      <c r="C199" s="7">
        <f t="shared" si="17"/>
        <v>-8.4678462946336935E-2</v>
      </c>
      <c r="D199" s="4">
        <f t="shared" si="18"/>
        <v>-5.1678115652741292</v>
      </c>
      <c r="E199" s="3">
        <f t="shared" si="19"/>
        <v>-9.0195326936675424E-2</v>
      </c>
      <c r="F199" s="2">
        <f t="shared" si="20"/>
        <v>0.35140967355541636</v>
      </c>
      <c r="G199" s="5">
        <f t="shared" si="14"/>
        <v>0.4413581110053168</v>
      </c>
    </row>
    <row r="200" spans="1:7" x14ac:dyDescent="0.25">
      <c r="A200" s="1">
        <f t="shared" si="15"/>
        <v>1.9100000000000015</v>
      </c>
      <c r="B200" s="4">
        <f t="shared" si="16"/>
        <v>-4.6569848701652914</v>
      </c>
      <c r="C200" s="7">
        <f t="shared" si="17"/>
        <v>-8.1279719199944978E-2</v>
      </c>
      <c r="D200" s="4">
        <f t="shared" si="18"/>
        <v>-4.9664686535261762</v>
      </c>
      <c r="E200" s="3">
        <f t="shared" si="19"/>
        <v>-8.6681230201121257E-2</v>
      </c>
      <c r="F200" s="2">
        <f t="shared" si="20"/>
        <v>0.35582325466546955</v>
      </c>
      <c r="G200" s="5">
        <f t="shared" si="14"/>
        <v>0.42420633997078649</v>
      </c>
    </row>
    <row r="201" spans="1:7" x14ac:dyDescent="0.25">
      <c r="A201" s="1">
        <f t="shared" si="15"/>
        <v>1.9200000000000015</v>
      </c>
      <c r="B201" s="4">
        <f t="shared" si="16"/>
        <v>-4.4599693684411532</v>
      </c>
      <c r="C201" s="7">
        <f t="shared" si="17"/>
        <v>-7.7841150017390198E-2</v>
      </c>
      <c r="D201" s="4">
        <f t="shared" si="18"/>
        <v>-4.7625969460767745</v>
      </c>
      <c r="E201" s="3">
        <f t="shared" si="19"/>
        <v>-8.3122997654466554E-2</v>
      </c>
      <c r="F201" s="2">
        <f t="shared" si="20"/>
        <v>0.36006531806517739</v>
      </c>
      <c r="G201" s="5">
        <f t="shared" ref="G201:G264" si="21">-$B$3/$B$4*SIN(E201)</f>
        <v>0.40683381209792319</v>
      </c>
    </row>
    <row r="202" spans="1:7" x14ac:dyDescent="0.25">
      <c r="A202" s="1">
        <f t="shared" ref="A202:A265" si="22">A201+$B$2</f>
        <v>1.9300000000000015</v>
      </c>
      <c r="B202" s="4">
        <f t="shared" ref="B202:B265" si="23">C202*180/PI()</f>
        <v>-4.2607685709615835</v>
      </c>
      <c r="C202" s="7">
        <f t="shared" ref="C202:C265" si="24">$B$9*PI()/180*COS(SQRT($B$3/$B$4)*A202)</f>
        <v>-7.4364440228773282E-2</v>
      </c>
      <c r="D202" s="4">
        <f t="shared" ref="D202:D265" si="25">E202*180/PI()</f>
        <v>-4.5562947153350715</v>
      </c>
      <c r="E202" s="3">
        <f t="shared" ref="E202:E265" si="26">E201+$B$2*F201</f>
        <v>-7.9522344473814774E-2</v>
      </c>
      <c r="F202" s="2">
        <f t="shared" ref="F202:F265" si="27">F201+$B$2*G201</f>
        <v>0.36413365618615662</v>
      </c>
      <c r="G202" s="5">
        <f t="shared" si="21"/>
        <v>0.38924892943372652</v>
      </c>
    </row>
    <row r="203" spans="1:7" x14ac:dyDescent="0.25">
      <c r="A203" s="1">
        <f t="shared" si="22"/>
        <v>1.9400000000000015</v>
      </c>
      <c r="B203" s="4">
        <f t="shared" si="23"/>
        <v>-4.059480082131719</v>
      </c>
      <c r="C203" s="7">
        <f t="shared" si="24"/>
        <v>-7.0851293352328329E-2</v>
      </c>
      <c r="D203" s="4">
        <f t="shared" si="25"/>
        <v>-4.3476614985537267</v>
      </c>
      <c r="E203" s="3">
        <f t="shared" si="26"/>
        <v>-7.5881007911953208E-2</v>
      </c>
      <c r="F203" s="2">
        <f t="shared" si="27"/>
        <v>0.36802614548049389</v>
      </c>
      <c r="G203" s="5">
        <f t="shared" si="21"/>
        <v>0.37146022565958575</v>
      </c>
    </row>
    <row r="204" spans="1:7" x14ac:dyDescent="0.25">
      <c r="A204" s="1">
        <f t="shared" si="22"/>
        <v>1.9500000000000015</v>
      </c>
      <c r="B204" s="4">
        <f t="shared" si="23"/>
        <v>-3.8562025292837143</v>
      </c>
      <c r="C204" s="7">
        <f t="shared" si="24"/>
        <v>-6.730343075973387E-2</v>
      </c>
      <c r="D204" s="4">
        <f t="shared" si="25"/>
        <v>-4.1367980496887276</v>
      </c>
      <c r="E204" s="3">
        <f t="shared" si="26"/>
        <v>-7.2200746457148274E-2</v>
      </c>
      <c r="F204" s="2">
        <f t="shared" si="27"/>
        <v>0.37174074773708976</v>
      </c>
      <c r="G204" s="5">
        <f t="shared" si="21"/>
        <v>0.35347636179084585</v>
      </c>
    </row>
    <row r="205" spans="1:7" x14ac:dyDescent="0.25">
      <c r="A205" s="1">
        <f t="shared" si="22"/>
        <v>1.9600000000000015</v>
      </c>
      <c r="B205" s="4">
        <f t="shared" si="23"/>
        <v>-3.6510355143512943</v>
      </c>
      <c r="C205" s="7">
        <f t="shared" si="24"/>
        <v>-6.3722590832674772E-2</v>
      </c>
      <c r="D205" s="4">
        <f t="shared" si="25"/>
        <v>-3.9238062905050008</v>
      </c>
      <c r="E205" s="3">
        <f t="shared" si="26"/>
        <v>-6.8483338979777375E-2</v>
      </c>
      <c r="F205" s="2">
        <f t="shared" si="27"/>
        <v>0.3752755113549982</v>
      </c>
      <c r="G205" s="5">
        <f t="shared" si="21"/>
        <v>0.33530612170645197</v>
      </c>
    </row>
    <row r="206" spans="1:7" x14ac:dyDescent="0.25">
      <c r="A206" s="1">
        <f t="shared" si="22"/>
        <v>1.9700000000000015</v>
      </c>
      <c r="B206" s="4">
        <f t="shared" si="23"/>
        <v>-3.4440795650667764</v>
      </c>
      <c r="C206" s="7">
        <f t="shared" si="24"/>
        <v>-6.0110528111069525E-2</v>
      </c>
      <c r="D206" s="4">
        <f t="shared" si="25"/>
        <v>-3.7087892609524484</v>
      </c>
      <c r="E206" s="3">
        <f t="shared" si="26"/>
        <v>-6.473058386622739E-2</v>
      </c>
      <c r="F206" s="2">
        <f t="shared" si="27"/>
        <v>0.37862857257206273</v>
      </c>
      <c r="G206" s="5">
        <f t="shared" si="21"/>
        <v>0.31695840751185905</v>
      </c>
    </row>
    <row r="207" spans="1:7" x14ac:dyDescent="0.25">
      <c r="A207" s="1">
        <f t="shared" si="22"/>
        <v>1.9800000000000015</v>
      </c>
      <c r="B207" s="4">
        <f t="shared" si="23"/>
        <v>-3.235436085704543</v>
      </c>
      <c r="C207" s="7">
        <f t="shared" si="24"/>
        <v>-5.6469012433381711E-2</v>
      </c>
      <c r="D207" s="4">
        <f t="shared" si="25"/>
        <v>-3.4918510688380286</v>
      </c>
      <c r="E207" s="3">
        <f t="shared" si="26"/>
        <v>-6.094429814050676E-2</v>
      </c>
      <c r="F207" s="2">
        <f t="shared" si="27"/>
        <v>0.38179815664718131</v>
      </c>
      <c r="G207" s="5">
        <f t="shared" si="21"/>
        <v>0.29844223473894899</v>
      </c>
    </row>
    <row r="208" spans="1:7" x14ac:dyDescent="0.25">
      <c r="A208" s="1">
        <f t="shared" si="22"/>
        <v>1.9900000000000015</v>
      </c>
      <c r="B208" s="4">
        <f t="shared" si="23"/>
        <v>-3.0252073073949481</v>
      </c>
      <c r="C208" s="7">
        <f t="shared" si="24"/>
        <v>-5.2799828069434042E-2</v>
      </c>
      <c r="D208" s="4">
        <f t="shared" si="25"/>
        <v>-3.2730968388204471</v>
      </c>
      <c r="E208" s="3">
        <f t="shared" si="26"/>
        <v>-5.7126316574034948E-2</v>
      </c>
      <c r="F208" s="2">
        <f t="shared" si="27"/>
        <v>0.3847825789945708</v>
      </c>
      <c r="G208" s="5">
        <f t="shared" si="21"/>
        <v>0.27976672738724873</v>
      </c>
    </row>
    <row r="209" spans="1:7" x14ac:dyDescent="0.25">
      <c r="A209" s="1">
        <f t="shared" si="22"/>
        <v>2.0000000000000013</v>
      </c>
      <c r="B209" s="4">
        <f t="shared" si="23"/>
        <v>-2.8134962380330975</v>
      </c>
      <c r="C209" s="7">
        <f t="shared" si="24"/>
        <v>-4.9104772846151661E-2</v>
      </c>
      <c r="D209" s="4">
        <f t="shared" si="25"/>
        <v>-3.0526326607549659</v>
      </c>
      <c r="E209" s="3">
        <f t="shared" si="26"/>
        <v>-5.3278490784089243E-2</v>
      </c>
      <c r="F209" s="2">
        <f t="shared" si="27"/>
        <v>0.38758024626844328</v>
      </c>
      <c r="G209" s="5">
        <f t="shared" si="21"/>
        <v>0.26094111281128468</v>
      </c>
    </row>
    <row r="210" spans="1:7" x14ac:dyDescent="0.25">
      <c r="A210" s="1">
        <f t="shared" si="22"/>
        <v>2.0100000000000011</v>
      </c>
      <c r="B210" s="4">
        <f t="shared" si="23"/>
        <v>-2.6004066118070615</v>
      </c>
      <c r="C210" s="7">
        <f t="shared" si="24"/>
        <v>-4.5385657266663278E-2</v>
      </c>
      <c r="D210" s="4">
        <f t="shared" si="25"/>
        <v>-2.8305655374167373</v>
      </c>
      <c r="E210" s="3">
        <f t="shared" si="26"/>
        <v>-4.9402688321404813E-2</v>
      </c>
      <c r="F210" s="2">
        <f t="shared" si="27"/>
        <v>0.39018965739655614</v>
      </c>
      <c r="G210" s="5">
        <f t="shared" si="21"/>
        <v>0.24197471645943741</v>
      </c>
    </row>
    <row r="211" spans="1:7" x14ac:dyDescent="0.25">
      <c r="A211" s="1">
        <f t="shared" si="22"/>
        <v>2.0200000000000009</v>
      </c>
      <c r="B211" s="4">
        <f t="shared" si="23"/>
        <v>-2.3860428383701846</v>
      </c>
      <c r="C211" s="7">
        <f t="shared" si="24"/>
        <v>-4.1644303623190611E-2</v>
      </c>
      <c r="D211" s="4">
        <f t="shared" si="25"/>
        <v>-2.607003331631955</v>
      </c>
      <c r="E211" s="3">
        <f t="shared" si="26"/>
        <v>-4.5500791747439248E-2</v>
      </c>
      <c r="F211" s="2">
        <f t="shared" si="27"/>
        <v>0.39260940456115051</v>
      </c>
      <c r="G211" s="5">
        <f t="shared" si="21"/>
        <v>0.2228769564701775</v>
      </c>
    </row>
    <row r="212" spans="1:7" x14ac:dyDescent="0.25">
      <c r="A212" s="1">
        <f t="shared" si="22"/>
        <v>2.0300000000000007</v>
      </c>
      <c r="B212" s="4">
        <f t="shared" si="23"/>
        <v>-2.1705099516824751</v>
      </c>
      <c r="C212" s="7">
        <f t="shared" si="24"/>
        <v>-3.7882545104162224E-2</v>
      </c>
      <c r="D212" s="4">
        <f t="shared" si="25"/>
        <v>-2.3820547128469727</v>
      </c>
      <c r="E212" s="3">
        <f t="shared" si="26"/>
        <v>-4.1574697701827742E-2</v>
      </c>
      <c r="F212" s="2">
        <f t="shared" si="27"/>
        <v>0.39483817412585226</v>
      </c>
      <c r="G212" s="5">
        <f t="shared" si="21"/>
        <v>0.20365733813206199</v>
      </c>
    </row>
    <row r="213" spans="1:7" x14ac:dyDescent="0.25">
      <c r="A213" s="1">
        <f t="shared" si="22"/>
        <v>2.0400000000000005</v>
      </c>
      <c r="B213" s="4">
        <f t="shared" si="23"/>
        <v>-1.9539135585460188</v>
      </c>
      <c r="C213" s="7">
        <f t="shared" si="24"/>
        <v>-3.4102224895987014E-2</v>
      </c>
      <c r="D213" s="4">
        <f t="shared" si="25"/>
        <v>-2.1558291031663446</v>
      </c>
      <c r="E213" s="3">
        <f t="shared" si="26"/>
        <v>-3.7626315960569222E-2</v>
      </c>
      <c r="F213" s="2">
        <f t="shared" si="27"/>
        <v>0.39687474750717289</v>
      </c>
      <c r="G213" s="5">
        <f t="shared" si="21"/>
        <v>0.18432544821435076</v>
      </c>
    </row>
    <row r="214" spans="1:7" x14ac:dyDescent="0.25">
      <c r="A214" s="1">
        <f t="shared" si="22"/>
        <v>2.0500000000000003</v>
      </c>
      <c r="B214" s="4">
        <f t="shared" si="23"/>
        <v>-1.7363597868597902</v>
      </c>
      <c r="C214" s="7">
        <f t="shared" si="24"/>
        <v>-3.0305195279930312E-2</v>
      </c>
      <c r="D214" s="4">
        <f t="shared" si="25"/>
        <v>-1.9284366228915326</v>
      </c>
      <c r="E214" s="3">
        <f t="shared" si="26"/>
        <v>-3.3657568485497495E-2</v>
      </c>
      <c r="F214" s="2">
        <f t="shared" si="27"/>
        <v>0.3987180019893164</v>
      </c>
      <c r="G214" s="5">
        <f t="shared" si="21"/>
        <v>0.16489094917556302</v>
      </c>
    </row>
    <row r="215" spans="1:7" x14ac:dyDescent="0.25">
      <c r="A215" s="1">
        <f t="shared" si="22"/>
        <v>2.06</v>
      </c>
      <c r="B215" s="4">
        <f t="shared" si="23"/>
        <v>-1.5179552336190985</v>
      </c>
      <c r="C215" s="7">
        <f t="shared" si="24"/>
        <v>-2.6493316724532989E-2</v>
      </c>
      <c r="D215" s="4">
        <f t="shared" si="25"/>
        <v>-1.6999880355927668</v>
      </c>
      <c r="E215" s="3">
        <f t="shared" si="26"/>
        <v>-2.9670388465604332E-2</v>
      </c>
      <c r="F215" s="2">
        <f t="shared" si="27"/>
        <v>0.40036691148107201</v>
      </c>
      <c r="G215" s="5">
        <f t="shared" si="21"/>
        <v>0.1453635732577285</v>
      </c>
    </row>
    <row r="216" spans="1:7" x14ac:dyDescent="0.25">
      <c r="A216" s="1">
        <f t="shared" si="22"/>
        <v>2.0699999999999998</v>
      </c>
      <c r="B216" s="4">
        <f t="shared" si="23"/>
        <v>-1.2988069126851913</v>
      </c>
      <c r="C216" s="7">
        <f t="shared" si="24"/>
        <v>-2.2668456974019095E-2</v>
      </c>
      <c r="D216" s="4">
        <f t="shared" si="25"/>
        <v>-1.4705946927472342</v>
      </c>
      <c r="E216" s="3">
        <f t="shared" si="26"/>
        <v>-2.566671935079361E-2</v>
      </c>
      <c r="F216" s="2">
        <f t="shared" si="27"/>
        <v>0.40182054721364929</v>
      </c>
      <c r="G216" s="5">
        <f t="shared" si="21"/>
        <v>0.12575311647449974</v>
      </c>
    </row>
    <row r="217" spans="1:7" x14ac:dyDescent="0.25">
      <c r="A217" s="1">
        <f t="shared" si="22"/>
        <v>2.0799999999999996</v>
      </c>
      <c r="B217" s="4">
        <f t="shared" si="23"/>
        <v>-1.079022202350606</v>
      </c>
      <c r="C217" s="7">
        <f t="shared" si="24"/>
        <v>-1.8832490133138573E-2</v>
      </c>
      <c r="D217" s="4">
        <f t="shared" si="25"/>
        <v>-1.2403684779774407</v>
      </c>
      <c r="E217" s="3">
        <f t="shared" si="26"/>
        <v>-2.1648513878657117E-2</v>
      </c>
      <c r="F217" s="2">
        <f t="shared" si="27"/>
        <v>0.40307807837839427</v>
      </c>
      <c r="G217" s="5">
        <f t="shared" si="21"/>
        <v>0.10606943250167383</v>
      </c>
    </row>
    <row r="218" spans="1:7" x14ac:dyDescent="0.25">
      <c r="A218" s="1">
        <f t="shared" si="22"/>
        <v>2.0899999999999994</v>
      </c>
      <c r="B218" s="4">
        <f t="shared" si="23"/>
        <v>-0.85870879272595213</v>
      </c>
      <c r="C218" s="7">
        <f t="shared" si="24"/>
        <v>-1.4987295748893396E-2</v>
      </c>
      <c r="D218" s="4">
        <f t="shared" si="25"/>
        <v>-1.009421750924187</v>
      </c>
      <c r="E218" s="3">
        <f t="shared" si="26"/>
        <v>-1.7617733094873175E-2</v>
      </c>
      <c r="F218" s="2">
        <f t="shared" si="27"/>
        <v>0.40413877270341103</v>
      </c>
      <c r="G218" s="5">
        <f t="shared" si="21"/>
        <v>8.6322426479027103E-2</v>
      </c>
    </row>
    <row r="219" spans="1:7" x14ac:dyDescent="0.25">
      <c r="A219" s="1">
        <f t="shared" si="22"/>
        <v>2.0999999999999992</v>
      </c>
      <c r="B219" s="4">
        <f t="shared" si="23"/>
        <v>-0.63797463297391366</v>
      </c>
      <c r="C219" s="7">
        <f t="shared" si="24"/>
        <v>-1.1134757889597176E-2</v>
      </c>
      <c r="D219" s="4">
        <f t="shared" si="25"/>
        <v>-0.7778672907891635</v>
      </c>
      <c r="E219" s="3">
        <f t="shared" si="26"/>
        <v>-1.3576345367839065E-2</v>
      </c>
      <c r="F219" s="2">
        <f t="shared" si="27"/>
        <v>0.40500199696820133</v>
      </c>
      <c r="G219" s="5">
        <f t="shared" si="21"/>
        <v>6.6522048732688854E-2</v>
      </c>
    </row>
    <row r="220" spans="1:7" x14ac:dyDescent="0.25">
      <c r="A220" s="1">
        <f t="shared" si="22"/>
        <v>2.109999999999999</v>
      </c>
      <c r="B220" s="4">
        <f t="shared" si="23"/>
        <v>-0.41692787841631845</v>
      </c>
      <c r="C220" s="7">
        <f t="shared" si="24"/>
        <v>-7.2767642217193588E-3</v>
      </c>
      <c r="D220" s="4">
        <f t="shared" si="25"/>
        <v>-0.54581823958268261</v>
      </c>
      <c r="E220" s="3">
        <f t="shared" si="26"/>
        <v>-9.5263253981570511E-3</v>
      </c>
      <c r="F220" s="2">
        <f t="shared" si="27"/>
        <v>0.4056672174555282</v>
      </c>
      <c r="G220" s="5">
        <f t="shared" si="21"/>
        <v>4.6678288427570144E-2</v>
      </c>
    </row>
    <row r="221" spans="1:7" x14ac:dyDescent="0.25">
      <c r="A221" s="1">
        <f t="shared" si="22"/>
        <v>2.1199999999999988</v>
      </c>
      <c r="B221" s="4">
        <f t="shared" si="23"/>
        <v>-0.19567683754019513</v>
      </c>
      <c r="C221" s="7">
        <f t="shared" si="24"/>
        <v>-3.4152050849664468E-3</v>
      </c>
      <c r="D221" s="4">
        <f t="shared" si="25"/>
        <v>-0.3133880451125069</v>
      </c>
      <c r="E221" s="3">
        <f t="shared" si="26"/>
        <v>-5.4696532236017687E-3</v>
      </c>
      <c r="F221" s="2">
        <f t="shared" si="27"/>
        <v>0.4061340003398039</v>
      </c>
      <c r="G221" s="5">
        <f t="shared" si="21"/>
        <v>2.6801167159620703E-2</v>
      </c>
    </row>
    <row r="222" spans="1:7" x14ac:dyDescent="0.25">
      <c r="A222" s="1">
        <f t="shared" si="22"/>
        <v>2.1299999999999986</v>
      </c>
      <c r="B222" s="4">
        <f t="shared" si="23"/>
        <v>2.5670081071228368E-2</v>
      </c>
      <c r="C222" s="7">
        <f t="shared" si="24"/>
        <v>4.48027433946808E-4</v>
      </c>
      <c r="D222" s="4">
        <f t="shared" si="25"/>
        <v>-8.0690403750151865E-2</v>
      </c>
      <c r="E222" s="3">
        <f t="shared" si="26"/>
        <v>-1.4083132202037298E-3</v>
      </c>
      <c r="F222" s="2">
        <f t="shared" si="27"/>
        <v>0.40640201201140008</v>
      </c>
      <c r="G222" s="5">
        <f t="shared" si="21"/>
        <v>6.9007324979075708E-3</v>
      </c>
    </row>
    <row r="223" spans="1:7" x14ac:dyDescent="0.25">
      <c r="A223" s="1">
        <f t="shared" si="22"/>
        <v>2.1399999999999983</v>
      </c>
      <c r="B223" s="4">
        <f t="shared" si="23"/>
        <v>0.24700442185652524</v>
      </c>
      <c r="C223" s="7">
        <f t="shared" si="24"/>
        <v>4.3110404283814097E-3</v>
      </c>
      <c r="D223" s="4">
        <f t="shared" si="25"/>
        <v>0.15216079698863028</v>
      </c>
      <c r="E223" s="3">
        <f t="shared" si="26"/>
        <v>2.6557068999102712E-3</v>
      </c>
      <c r="F223" s="2">
        <f t="shared" si="27"/>
        <v>0.40647101933637914</v>
      </c>
      <c r="G223" s="5">
        <f t="shared" si="21"/>
        <v>-1.3012948513305776E-2</v>
      </c>
    </row>
    <row r="224" spans="1:7" x14ac:dyDescent="0.25">
      <c r="A224" s="1">
        <f t="shared" si="22"/>
        <v>2.1499999999999981</v>
      </c>
      <c r="B224" s="4">
        <f t="shared" si="23"/>
        <v>0.46821773541717848</v>
      </c>
      <c r="C224" s="7">
        <f t="shared" si="24"/>
        <v>8.1719410992614292E-3</v>
      </c>
      <c r="D224" s="4">
        <f t="shared" si="25"/>
        <v>0.38505153601218028</v>
      </c>
      <c r="E224" s="3">
        <f t="shared" si="26"/>
        <v>6.7204170932740623E-3</v>
      </c>
      <c r="F224" s="2">
        <f t="shared" si="27"/>
        <v>0.40634088985124606</v>
      </c>
      <c r="G224" s="5">
        <f t="shared" si="21"/>
        <v>-3.2929795882154195E-2</v>
      </c>
    </row>
    <row r="225" spans="1:7" x14ac:dyDescent="0.25">
      <c r="A225" s="1">
        <f t="shared" si="22"/>
        <v>2.1599999999999979</v>
      </c>
      <c r="B225" s="4">
        <f t="shared" si="23"/>
        <v>0.68920163165558079</v>
      </c>
      <c r="C225" s="7">
        <f t="shared" si="24"/>
        <v>1.2028837682507064E-2</v>
      </c>
      <c r="D225" s="4">
        <f t="shared" si="25"/>
        <v>0.61786771633284698</v>
      </c>
      <c r="E225" s="3">
        <f t="shared" si="26"/>
        <v>1.0783825991786523E-2</v>
      </c>
      <c r="F225" s="2">
        <f t="shared" si="27"/>
        <v>0.40601159189242453</v>
      </c>
      <c r="G225" s="5">
        <f t="shared" si="21"/>
        <v>-5.2839723216004456E-2</v>
      </c>
    </row>
    <row r="226" spans="1:7" x14ac:dyDescent="0.25">
      <c r="A226" s="1">
        <f t="shared" si="22"/>
        <v>2.1699999999999977</v>
      </c>
      <c r="B226" s="4">
        <f t="shared" si="23"/>
        <v>0.90984783288402282</v>
      </c>
      <c r="C226" s="7">
        <f t="shared" si="24"/>
        <v>1.5879840375961331E-2</v>
      </c>
      <c r="D226" s="4">
        <f t="shared" si="25"/>
        <v>0.85049522282108603</v>
      </c>
      <c r="E226" s="3">
        <f t="shared" si="26"/>
        <v>1.4843941910710768E-2</v>
      </c>
      <c r="F226" s="2">
        <f t="shared" si="27"/>
        <v>0.4054831946602645</v>
      </c>
      <c r="G226" s="5">
        <f t="shared" si="21"/>
        <v>-7.2732644277022043E-2</v>
      </c>
    </row>
    <row r="227" spans="1:7" x14ac:dyDescent="0.25">
      <c r="A227" s="1">
        <f t="shared" si="22"/>
        <v>2.1799999999999975</v>
      </c>
      <c r="B227" s="4">
        <f t="shared" si="23"/>
        <v>1.1300482268785927</v>
      </c>
      <c r="C227" s="7">
        <f t="shared" si="24"/>
        <v>1.9723062265355328E-2</v>
      </c>
      <c r="D227" s="4">
        <f t="shared" si="25"/>
        <v>1.0828199799962337</v>
      </c>
      <c r="E227" s="3">
        <f t="shared" si="26"/>
        <v>1.8898773857313415E-2</v>
      </c>
      <c r="F227" s="2">
        <f t="shared" si="27"/>
        <v>0.40475586821749426</v>
      </c>
      <c r="G227" s="5">
        <f t="shared" si="21"/>
        <v>-9.2598479535934419E-2</v>
      </c>
    </row>
    <row r="228" spans="1:7" x14ac:dyDescent="0.25">
      <c r="A228" s="1">
        <f t="shared" si="22"/>
        <v>2.1899999999999973</v>
      </c>
      <c r="B228" s="4">
        <f t="shared" si="23"/>
        <v>1.3496949198520047</v>
      </c>
      <c r="C228" s="7">
        <f t="shared" si="24"/>
        <v>2.3556620248858458E-2</v>
      </c>
      <c r="D228" s="4">
        <f t="shared" si="25"/>
        <v>1.3147280098163912</v>
      </c>
      <c r="E228" s="3">
        <f t="shared" si="26"/>
        <v>2.2946332539488357E-2</v>
      </c>
      <c r="F228" s="2">
        <f t="shared" si="27"/>
        <v>0.40382988342213494</v>
      </c>
      <c r="G228" s="5">
        <f t="shared" si="21"/>
        <v>-0.11242716271346111</v>
      </c>
    </row>
    <row r="229" spans="1:7" x14ac:dyDescent="0.25">
      <c r="A229" s="1">
        <f t="shared" si="22"/>
        <v>2.1999999999999971</v>
      </c>
      <c r="B229" s="4">
        <f t="shared" si="23"/>
        <v>1.5686802893193943</v>
      </c>
      <c r="C229" s="7">
        <f t="shared" si="24"/>
        <v>2.7378635959760665E-2</v>
      </c>
      <c r="D229" s="4">
        <f t="shared" si="25"/>
        <v>1.5461054894298749</v>
      </c>
      <c r="E229" s="3">
        <f t="shared" si="26"/>
        <v>2.6984631373709704E-2</v>
      </c>
      <c r="F229" s="2">
        <f t="shared" si="27"/>
        <v>0.40270561179500031</v>
      </c>
      <c r="G229" s="5">
        <f t="shared" si="21"/>
        <v>-0.13220864729892917</v>
      </c>
    </row>
    <row r="230" spans="1:7" x14ac:dyDescent="0.25">
      <c r="A230" s="1">
        <f t="shared" si="22"/>
        <v>2.2099999999999969</v>
      </c>
      <c r="B230" s="4">
        <f t="shared" si="23"/>
        <v>1.7868970368311823</v>
      </c>
      <c r="C230" s="7">
        <f t="shared" si="24"/>
        <v>3.1187236686834513E-2</v>
      </c>
      <c r="D230" s="4">
        <f t="shared" si="25"/>
        <v>1.7768388088507476</v>
      </c>
      <c r="E230" s="3">
        <f t="shared" si="26"/>
        <v>3.1011687491659709E-2</v>
      </c>
      <c r="F230" s="2">
        <f t="shared" si="27"/>
        <v>0.40138352532201099</v>
      </c>
      <c r="G230" s="5">
        <f t="shared" si="21"/>
        <v>-0.15193291303567752</v>
      </c>
    </row>
    <row r="231" spans="1:7" x14ac:dyDescent="0.25">
      <c r="A231" s="1">
        <f t="shared" si="22"/>
        <v>2.2199999999999966</v>
      </c>
      <c r="B231" s="4">
        <f t="shared" si="23"/>
        <v>2.004238240547171</v>
      </c>
      <c r="C231" s="7">
        <f t="shared" si="24"/>
        <v>3.498055629192625E-2</v>
      </c>
      <c r="D231" s="4">
        <f t="shared" si="25"/>
        <v>2.0068146285210844</v>
      </c>
      <c r="E231" s="3">
        <f t="shared" si="26"/>
        <v>3.5025522744879821E-2</v>
      </c>
      <c r="F231" s="2">
        <f t="shared" si="27"/>
        <v>0.3998641961916542</v>
      </c>
      <c r="G231" s="5">
        <f t="shared" si="21"/>
        <v>-0.17158997236297907</v>
      </c>
    </row>
    <row r="232" spans="1:7" x14ac:dyDescent="0.25">
      <c r="A232" s="1">
        <f t="shared" si="22"/>
        <v>2.2299999999999964</v>
      </c>
      <c r="B232" s="4">
        <f t="shared" si="23"/>
        <v>2.2205974076261032</v>
      </c>
      <c r="C232" s="7">
        <f t="shared" si="24"/>
        <v>3.875673612432614E-2</v>
      </c>
      <c r="D232" s="4">
        <f t="shared" si="25"/>
        <v>2.2359199367228135</v>
      </c>
      <c r="E232" s="3">
        <f t="shared" si="26"/>
        <v>3.9024164706796365E-2</v>
      </c>
      <c r="F232" s="2">
        <f t="shared" si="27"/>
        <v>0.39814829646802441</v>
      </c>
      <c r="G232" s="5">
        <f t="shared" si="21"/>
        <v>-0.19116987680437283</v>
      </c>
    </row>
    <row r="233" spans="1:7" x14ac:dyDescent="0.25">
      <c r="A233" s="1">
        <f t="shared" si="22"/>
        <v>2.2399999999999962</v>
      </c>
      <c r="B233" s="4">
        <f t="shared" si="23"/>
        <v>2.4358685264050348</v>
      </c>
      <c r="C233" s="7">
        <f t="shared" si="24"/>
        <v>4.2513925931470291E-2</v>
      </c>
      <c r="D233" s="4">
        <f t="shared" si="25"/>
        <v>2.4640421068022262</v>
      </c>
      <c r="E233" s="3">
        <f t="shared" si="26"/>
        <v>4.3005647671476611E-2</v>
      </c>
      <c r="F233" s="2">
        <f t="shared" si="27"/>
        <v>0.39623659769998071</v>
      </c>
      <c r="G233" s="5">
        <f t="shared" si="21"/>
        <v>-0.21066272329249758</v>
      </c>
    </row>
    <row r="234" spans="1:7" x14ac:dyDescent="0.25">
      <c r="A234" s="1">
        <f t="shared" si="22"/>
        <v>2.249999999999996</v>
      </c>
      <c r="B234" s="4">
        <f t="shared" si="23"/>
        <v>2.6499461183428927</v>
      </c>
      <c r="C234" s="7">
        <f t="shared" si="24"/>
        <v>4.6250284765526783E-2</v>
      </c>
      <c r="D234" s="4">
        <f t="shared" si="25"/>
        <v>2.6910689541705466</v>
      </c>
      <c r="E234" s="3">
        <f t="shared" si="26"/>
        <v>4.6968013648476421E-2</v>
      </c>
      <c r="F234" s="2">
        <f t="shared" si="27"/>
        <v>0.39412997046705572</v>
      </c>
      <c r="G234" s="5">
        <f t="shared" si="21"/>
        <v>-0.23005866042075587</v>
      </c>
    </row>
    <row r="235" spans="1:7" x14ac:dyDescent="0.25">
      <c r="A235" s="1">
        <f t="shared" si="22"/>
        <v>2.2599999999999958</v>
      </c>
      <c r="B235" s="4">
        <f t="shared" si="23"/>
        <v>2.8627252897029023</v>
      </c>
      <c r="C235" s="7">
        <f t="shared" si="24"/>
        <v>4.9963981885424169E-2</v>
      </c>
      <c r="D235" s="4">
        <f t="shared" si="25"/>
        <v>2.9168887930443272</v>
      </c>
      <c r="E235" s="3">
        <f t="shared" si="26"/>
        <v>5.0909313353146982E-2</v>
      </c>
      <c r="F235" s="2">
        <f t="shared" si="27"/>
        <v>0.39182938386284816</v>
      </c>
      <c r="G235" s="5">
        <f t="shared" si="21"/>
        <v>-0.24934789461240989</v>
      </c>
    </row>
    <row r="236" spans="1:7" x14ac:dyDescent="0.25">
      <c r="A236" s="1">
        <f t="shared" si="22"/>
        <v>2.2699999999999956</v>
      </c>
      <c r="B236" s="4">
        <f t="shared" si="23"/>
        <v>3.0741017829483837</v>
      </c>
      <c r="C236" s="7">
        <f t="shared" si="24"/>
        <v>5.3653197653877369E-2</v>
      </c>
      <c r="D236" s="4">
        <f t="shared" si="25"/>
        <v>3.1413904928898537</v>
      </c>
      <c r="E236" s="3">
        <f t="shared" si="26"/>
        <v>5.4827607191775464E-2</v>
      </c>
      <c r="F236" s="2">
        <f t="shared" si="27"/>
        <v>0.38933590491672404</v>
      </c>
      <c r="G236" s="5">
        <f t="shared" si="21"/>
        <v>-0.26852069619801427</v>
      </c>
    </row>
    <row r="237" spans="1:7" x14ac:dyDescent="0.25">
      <c r="A237" s="1">
        <f t="shared" si="22"/>
        <v>2.2799999999999954</v>
      </c>
      <c r="B237" s="4">
        <f t="shared" si="23"/>
        <v>3.2839720278268691</v>
      </c>
      <c r="C237" s="7">
        <f t="shared" si="24"/>
        <v>5.7316124428973707E-2</v>
      </c>
      <c r="D237" s="4">
        <f t="shared" si="25"/>
        <v>3.3644635345362035</v>
      </c>
      <c r="E237" s="3">
        <f t="shared" si="26"/>
        <v>5.8720966240942703E-2</v>
      </c>
      <c r="F237" s="2">
        <f t="shared" si="27"/>
        <v>0.38665069795474388</v>
      </c>
      <c r="G237" s="5">
        <f t="shared" si="21"/>
        <v>-0.28756740539243303</v>
      </c>
    </row>
    <row r="238" spans="1:7" x14ac:dyDescent="0.25">
      <c r="A238" s="1">
        <f t="shared" si="22"/>
        <v>2.2899999999999952</v>
      </c>
      <c r="B238" s="4">
        <f t="shared" si="23"/>
        <v>3.4922331921174528</v>
      </c>
      <c r="C238" s="7">
        <f t="shared" si="24"/>
        <v>6.0950967449881231E-2</v>
      </c>
      <c r="D238" s="4">
        <f t="shared" si="25"/>
        <v>3.5859980659221478</v>
      </c>
      <c r="E238" s="3">
        <f t="shared" si="26"/>
        <v>6.2587473220490145E-2</v>
      </c>
      <c r="F238" s="2">
        <f t="shared" si="27"/>
        <v>0.38377502390081958</v>
      </c>
      <c r="G238" s="5">
        <f t="shared" si="21"/>
        <v>-0.30647843816305353</v>
      </c>
    </row>
    <row r="239" spans="1:7" x14ac:dyDescent="0.25">
      <c r="A239" s="1">
        <f t="shared" si="22"/>
        <v>2.2999999999999949</v>
      </c>
      <c r="B239" s="4">
        <f t="shared" si="23"/>
        <v>3.6987832320165235</v>
      </c>
      <c r="C239" s="7">
        <f t="shared" si="24"/>
        <v>6.4555945716245677E-2</v>
      </c>
      <c r="D239" s="4">
        <f t="shared" si="25"/>
        <v>3.8058849574426401</v>
      </c>
      <c r="E239" s="3">
        <f t="shared" si="26"/>
        <v>6.6425223459498334E-2</v>
      </c>
      <c r="F239" s="2">
        <f t="shared" si="27"/>
        <v>0.38071023951918903</v>
      </c>
      <c r="G239" s="5">
        <f t="shared" si="21"/>
        <v>-0.32524429198121213</v>
      </c>
    </row>
    <row r="240" spans="1:7" x14ac:dyDescent="0.25">
      <c r="A240" s="1">
        <f t="shared" si="22"/>
        <v>2.3099999999999947</v>
      </c>
      <c r="B240" s="4">
        <f t="shared" si="23"/>
        <v>3.9035209421371855</v>
      </c>
      <c r="C240" s="7">
        <f t="shared" si="24"/>
        <v>6.8129292860844945E-2</v>
      </c>
      <c r="D240" s="4">
        <f t="shared" si="25"/>
        <v>4.0240158568612818</v>
      </c>
      <c r="E240" s="3">
        <f t="shared" si="26"/>
        <v>7.023232585469022E-2</v>
      </c>
      <c r="F240" s="2">
        <f t="shared" si="27"/>
        <v>0.37745779659937689</v>
      </c>
      <c r="G240" s="5">
        <f t="shared" si="21"/>
        <v>-0.34385555144926977</v>
      </c>
    </row>
    <row r="241" spans="1:7" x14ac:dyDescent="0.25">
      <c r="A241" s="1">
        <f t="shared" si="22"/>
        <v>2.3199999999999945</v>
      </c>
      <c r="B241" s="4">
        <f t="shared" si="23"/>
        <v>4.1063460050978735</v>
      </c>
      <c r="C241" s="7">
        <f t="shared" si="24"/>
        <v>7.1669258015073747E-2</v>
      </c>
      <c r="D241" s="4">
        <f t="shared" si="25"/>
        <v>4.2402832437558002</v>
      </c>
      <c r="E241" s="3">
        <f t="shared" si="26"/>
        <v>7.4006903820683992E-2</v>
      </c>
      <c r="F241" s="2">
        <f t="shared" si="27"/>
        <v>0.37401924108488421</v>
      </c>
      <c r="G241" s="5">
        <f t="shared" si="21"/>
        <v>-0.36230289379622915</v>
      </c>
    </row>
    <row r="242" spans="1:7" x14ac:dyDescent="0.25">
      <c r="A242" s="1">
        <f t="shared" si="22"/>
        <v>2.3299999999999943</v>
      </c>
      <c r="B242" s="4">
        <f t="shared" si="23"/>
        <v>4.3071590406758604</v>
      </c>
      <c r="C242" s="7">
        <f t="shared" si="24"/>
        <v>7.5174106666834134E-2</v>
      </c>
      <c r="D242" s="4">
        <f t="shared" si="25"/>
        <v>4.4545804834642988</v>
      </c>
      <c r="E242" s="3">
        <f t="shared" si="26"/>
        <v>7.7747096231532836E-2</v>
      </c>
      <c r="F242" s="2">
        <f t="shared" si="27"/>
        <v>0.37039621214692192</v>
      </c>
      <c r="G242" s="5">
        <f t="shared" si="21"/>
        <v>-0.38057709423525693</v>
      </c>
    </row>
    <row r="243" spans="1:7" x14ac:dyDescent="0.25">
      <c r="A243" s="1">
        <f t="shared" si="22"/>
        <v>2.3399999999999941</v>
      </c>
      <c r="B243" s="4">
        <f t="shared" si="23"/>
        <v>4.505861654501591</v>
      </c>
      <c r="C243" s="7">
        <f t="shared" si="24"/>
        <v>7.8642121510411944E-2</v>
      </c>
      <c r="D243" s="4">
        <f t="shared" si="25"/>
        <v>4.6668018805008078</v>
      </c>
      <c r="E243" s="3">
        <f t="shared" si="26"/>
        <v>8.1451058353002051E-2</v>
      </c>
      <c r="F243" s="2">
        <f t="shared" si="27"/>
        <v>0.36659044120456935</v>
      </c>
      <c r="G243" s="5">
        <f t="shared" si="21"/>
        <v>-0.39866903117697317</v>
      </c>
    </row>
    <row r="244" spans="1:7" x14ac:dyDescent="0.25">
      <c r="A244" s="1">
        <f t="shared" si="22"/>
        <v>2.3499999999999939</v>
      </c>
      <c r="B244" s="4">
        <f t="shared" si="23"/>
        <v>4.7023564862699168</v>
      </c>
      <c r="C244" s="7">
        <f t="shared" si="24"/>
        <v>8.2071603287921568E-2</v>
      </c>
      <c r="D244" s="4">
        <f t="shared" si="25"/>
        <v>4.8768427314094129</v>
      </c>
      <c r="E244" s="3">
        <f t="shared" si="26"/>
        <v>8.5116962765047738E-2</v>
      </c>
      <c r="F244" s="2">
        <f t="shared" si="27"/>
        <v>0.36260375089279961</v>
      </c>
      <c r="G244" s="5">
        <f t="shared" si="21"/>
        <v>-0.4165696912928803</v>
      </c>
    </row>
    <row r="245" spans="1:7" x14ac:dyDescent="0.25">
      <c r="A245" s="1">
        <f t="shared" si="22"/>
        <v>2.3599999999999937</v>
      </c>
      <c r="B245" s="4">
        <f t="shared" si="23"/>
        <v>4.8965472574447499</v>
      </c>
      <c r="C245" s="7">
        <f t="shared" si="24"/>
        <v>8.546087162190931E-2</v>
      </c>
      <c r="D245" s="4">
        <f t="shared" si="25"/>
        <v>5.0845993770271178</v>
      </c>
      <c r="E245" s="3">
        <f t="shared" si="26"/>
        <v>8.8743000273975733E-2</v>
      </c>
      <c r="F245" s="2">
        <f t="shared" si="27"/>
        <v>0.35843805397987083</v>
      </c>
      <c r="G245" s="5">
        <f t="shared" si="21"/>
        <v>-0.43427017442383814</v>
      </c>
    </row>
    <row r="246" spans="1:7" x14ac:dyDescent="0.25">
      <c r="A246" s="1">
        <f t="shared" si="22"/>
        <v>2.3699999999999934</v>
      </c>
      <c r="B246" s="4">
        <f t="shared" si="23"/>
        <v>5.0883388184335852</v>
      </c>
      <c r="C246" s="7">
        <f t="shared" si="24"/>
        <v>8.8808265838703992E-2</v>
      </c>
      <c r="D246" s="4">
        <f t="shared" si="25"/>
        <v>5.2899692541264072</v>
      </c>
      <c r="E246" s="3">
        <f t="shared" si="26"/>
        <v>9.2327380813774437E-2</v>
      </c>
      <c r="F246" s="2">
        <f t="shared" si="27"/>
        <v>0.35409535223563243</v>
      </c>
      <c r="G246" s="5">
        <f t="shared" si="21"/>
        <v>-0.45176169832903151</v>
      </c>
    </row>
    <row r="247" spans="1:7" x14ac:dyDescent="0.25">
      <c r="A247" s="1">
        <f t="shared" si="22"/>
        <v>2.3799999999999932</v>
      </c>
      <c r="B247" s="4">
        <f t="shared" si="23"/>
        <v>5.2776371952089045</v>
      </c>
      <c r="C247" s="7">
        <f t="shared" si="24"/>
        <v>9.2112145782114074E-2</v>
      </c>
      <c r="D247" s="4">
        <f t="shared" si="25"/>
        <v>5.4928509464094075</v>
      </c>
      <c r="E247" s="3">
        <f t="shared" si="26"/>
        <v>9.5868334336130762E-2</v>
      </c>
      <c r="F247" s="2">
        <f t="shared" si="27"/>
        <v>0.34957773525234209</v>
      </c>
      <c r="G247" s="5">
        <f t="shared" si="21"/>
        <v>-0.46903560327143612</v>
      </c>
    </row>
    <row r="248" spans="1:7" x14ac:dyDescent="0.25">
      <c r="A248" s="1">
        <f t="shared" si="22"/>
        <v>2.389999999999993</v>
      </c>
      <c r="B248" s="4">
        <f t="shared" si="23"/>
        <v>5.4643496353535701</v>
      </c>
      <c r="C248" s="7">
        <f t="shared" si="24"/>
        <v>9.5370892617071337E-2</v>
      </c>
      <c r="D248" s="4">
        <f t="shared" si="25"/>
        <v>5.6931442348264154</v>
      </c>
      <c r="E248" s="3">
        <f t="shared" si="26"/>
        <v>9.936411168865418E-2</v>
      </c>
      <c r="F248" s="2">
        <f t="shared" si="27"/>
        <v>0.34488737921962775</v>
      </c>
      <c r="G248" s="5">
        <f t="shared" si="21"/>
        <v>-0.48608335643634965</v>
      </c>
    </row>
    <row r="249" spans="1:7" x14ac:dyDescent="0.25">
      <c r="A249" s="1">
        <f t="shared" si="22"/>
        <v>2.3999999999999928</v>
      </c>
      <c r="B249" s="4">
        <f t="shared" si="23"/>
        <v>5.6483846535076552</v>
      </c>
      <c r="C249" s="7">
        <f t="shared" si="24"/>
        <v>9.8582909622827675E-2</v>
      </c>
      <c r="D249" s="4">
        <f t="shared" si="25"/>
        <v>5.8907501471925414</v>
      </c>
      <c r="E249" s="3">
        <f t="shared" si="26"/>
        <v>0.10281298548085045</v>
      </c>
      <c r="F249" s="2">
        <f t="shared" si="27"/>
        <v>0.34002654565526425</v>
      </c>
      <c r="G249" s="5">
        <f t="shared" si="21"/>
        <v>-0.50289655618012663</v>
      </c>
    </row>
    <row r="250" spans="1:7" x14ac:dyDescent="0.25">
      <c r="A250" s="1">
        <f t="shared" si="22"/>
        <v>2.4099999999999926</v>
      </c>
      <c r="B250" s="4">
        <f t="shared" si="23"/>
        <v>5.8296520761944421</v>
      </c>
      <c r="C250" s="7">
        <f t="shared" si="24"/>
        <v>0.10174662297531635</v>
      </c>
      <c r="D250" s="4">
        <f t="shared" si="25"/>
        <v>6.0855710070771325</v>
      </c>
      <c r="E250" s="3">
        <f t="shared" si="26"/>
        <v>0.10621325093740309</v>
      </c>
      <c r="F250" s="2">
        <f t="shared" si="27"/>
        <v>0.33499758009346298</v>
      </c>
      <c r="G250" s="5">
        <f t="shared" si="21"/>
        <v>-0.51946693610682859</v>
      </c>
    </row>
    <row r="251" spans="1:7" x14ac:dyDescent="0.25">
      <c r="A251" s="1">
        <f t="shared" si="22"/>
        <v>2.4199999999999924</v>
      </c>
      <c r="B251" s="4">
        <f t="shared" si="23"/>
        <v>6.0080630860036068</v>
      </c>
      <c r="C251" s="7">
        <f t="shared" si="24"/>
        <v>0.10486048251829419</v>
      </c>
      <c r="D251" s="4">
        <f t="shared" si="25"/>
        <v>6.2775104819416443</v>
      </c>
      <c r="E251" s="3">
        <f t="shared" si="26"/>
        <v>0.10956322673833772</v>
      </c>
      <c r="F251" s="2">
        <f t="shared" si="27"/>
        <v>0.32980291073239471</v>
      </c>
      <c r="G251" s="5">
        <f t="shared" si="21"/>
        <v>-0.53578636897107779</v>
      </c>
    </row>
    <row r="252" spans="1:7" x14ac:dyDescent="0.25">
      <c r="A252" s="1">
        <f t="shared" si="22"/>
        <v>2.4299999999999922</v>
      </c>
      <c r="B252" s="4">
        <f t="shared" si="23"/>
        <v>6.1835302651099981</v>
      </c>
      <c r="C252" s="7">
        <f t="shared" si="24"/>
        <v>0.1079229625228873</v>
      </c>
      <c r="D252" s="4">
        <f t="shared" si="25"/>
        <v>6.4664736305026045</v>
      </c>
      <c r="E252" s="3">
        <f t="shared" si="26"/>
        <v>0.11286125584566167</v>
      </c>
      <c r="F252" s="2">
        <f t="shared" si="27"/>
        <v>0.32444504704268395</v>
      </c>
      <c r="G252" s="5">
        <f t="shared" si="21"/>
        <v>-0.55184687040597336</v>
      </c>
    </row>
    <row r="253" spans="1:7" x14ac:dyDescent="0.25">
      <c r="A253" s="1">
        <f t="shared" si="22"/>
        <v>2.439999999999992</v>
      </c>
      <c r="B253" s="4">
        <f t="shared" si="23"/>
        <v>6.3559676381065984</v>
      </c>
      <c r="C253" s="7">
        <f t="shared" si="24"/>
        <v>0.11093256243516755</v>
      </c>
      <c r="D253" s="4">
        <f t="shared" si="25"/>
        <v>6.6523669492972983</v>
      </c>
      <c r="E253" s="3">
        <f t="shared" si="26"/>
        <v>0.11610570631608852</v>
      </c>
      <c r="F253" s="2">
        <f t="shared" si="27"/>
        <v>0.3189265783386242</v>
      </c>
      <c r="G253" s="5">
        <f t="shared" si="21"/>
        <v>-0.56764060247550097</v>
      </c>
    </row>
    <row r="254" spans="1:7" x14ac:dyDescent="0.25">
      <c r="A254" s="1">
        <f t="shared" si="22"/>
        <v>2.4499999999999917</v>
      </c>
      <c r="B254" s="4">
        <f t="shared" si="23"/>
        <v>6.5252907141307759</v>
      </c>
      <c r="C254" s="7">
        <f t="shared" si="24"/>
        <v>0.11388780761139411</v>
      </c>
      <c r="D254" s="4">
        <f t="shared" si="25"/>
        <v>6.8350984184308139</v>
      </c>
      <c r="E254" s="3">
        <f t="shared" si="26"/>
        <v>0.11929497209947476</v>
      </c>
      <c r="F254" s="2">
        <f t="shared" si="27"/>
        <v>0.3132501723138692</v>
      </c>
      <c r="G254" s="5">
        <f t="shared" si="21"/>
        <v>-0.58315987705142802</v>
      </c>
    </row>
    <row r="255" spans="1:7" x14ac:dyDescent="0.25">
      <c r="A255" s="1">
        <f t="shared" si="22"/>
        <v>2.4599999999999915</v>
      </c>
      <c r="B255" s="4">
        <f t="shared" si="23"/>
        <v>6.6914165282630815</v>
      </c>
      <c r="C255" s="7">
        <f t="shared" si="24"/>
        <v>0.11678725004055897</v>
      </c>
      <c r="D255" s="4">
        <f t="shared" si="25"/>
        <v>7.0145775464841194</v>
      </c>
      <c r="E255" s="3">
        <f t="shared" si="26"/>
        <v>0.12242747382261346</v>
      </c>
      <c r="F255" s="2">
        <f t="shared" si="27"/>
        <v>0.30741857354335494</v>
      </c>
      <c r="G255" s="5">
        <f t="shared" si="21"/>
        <v>-0.59839715901523183</v>
      </c>
    </row>
    <row r="256" spans="1:7" x14ac:dyDescent="0.25">
      <c r="A256" s="1">
        <f t="shared" si="22"/>
        <v>2.4699999999999913</v>
      </c>
      <c r="B256" s="4">
        <f t="shared" si="23"/>
        <v>6.854263682178444</v>
      </c>
      <c r="C256" s="7">
        <f t="shared" si="24"/>
        <v>0.11962946905388402</v>
      </c>
      <c r="D256" s="4">
        <f t="shared" si="25"/>
        <v>7.1907154145637824</v>
      </c>
      <c r="E256" s="3">
        <f t="shared" si="26"/>
        <v>0.12550165955804701</v>
      </c>
      <c r="F256" s="2">
        <f t="shared" si="27"/>
        <v>0.30143460195320265</v>
      </c>
      <c r="G256" s="5">
        <f t="shared" si="21"/>
        <v>-0.61334506928614996</v>
      </c>
    </row>
    <row r="257" spans="1:7" x14ac:dyDescent="0.25">
      <c r="A257" s="1">
        <f t="shared" si="22"/>
        <v>2.4799999999999911</v>
      </c>
      <c r="B257" s="4">
        <f t="shared" si="23"/>
        <v>7.0137523840296909</v>
      </c>
      <c r="C257" s="7">
        <f t="shared" si="24"/>
        <v>0.12241307202091986</v>
      </c>
      <c r="D257" s="4">
        <f t="shared" si="25"/>
        <v>7.3634247194750264</v>
      </c>
      <c r="E257" s="3">
        <f t="shared" si="26"/>
        <v>0.12851600557757903</v>
      </c>
      <c r="F257" s="2">
        <f t="shared" si="27"/>
        <v>0.29530115126034118</v>
      </c>
      <c r="G257" s="5">
        <f t="shared" si="21"/>
        <v>-0.62799638767697064</v>
      </c>
    </row>
    <row r="258" spans="1:7" x14ac:dyDescent="0.25">
      <c r="A258" s="1">
        <f t="shared" si="22"/>
        <v>2.4899999999999909</v>
      </c>
      <c r="B258" s="4">
        <f t="shared" si="23"/>
        <v>7.169804487543967</v>
      </c>
      <c r="C258" s="7">
        <f t="shared" si="24"/>
        <v>0.125136695031907</v>
      </c>
      <c r="D258" s="4">
        <f t="shared" si="25"/>
        <v>7.5326198160007447</v>
      </c>
      <c r="E258" s="3">
        <f t="shared" si="26"/>
        <v>0.13146901709018244</v>
      </c>
      <c r="F258" s="2">
        <f t="shared" si="27"/>
        <v>0.28902118738357147</v>
      </c>
      <c r="G258" s="5">
        <f t="shared" si="21"/>
        <v>-0.64234405557969732</v>
      </c>
    </row>
    <row r="259" spans="1:7" x14ac:dyDescent="0.25">
      <c r="A259" s="1">
        <f t="shared" si="22"/>
        <v>2.4999999999999907</v>
      </c>
      <c r="B259" s="4">
        <f t="shared" si="23"/>
        <v>7.3223435303128435</v>
      </c>
      <c r="C259" s="7">
        <f t="shared" si="24"/>
        <v>0.12779900356606433</v>
      </c>
      <c r="D259" s="4">
        <f t="shared" si="25"/>
        <v>7.698216758270128</v>
      </c>
      <c r="E259" s="3">
        <f t="shared" si="26"/>
        <v>0.13435922896401814</v>
      </c>
      <c r="F259" s="2">
        <f t="shared" si="27"/>
        <v>0.2825977468277745</v>
      </c>
      <c r="G259" s="5">
        <f t="shared" si="21"/>
        <v>-0.65638117848371169</v>
      </c>
    </row>
    <row r="260" spans="1:7" x14ac:dyDescent="0.25">
      <c r="A260" s="1">
        <f t="shared" si="22"/>
        <v>2.5099999999999905</v>
      </c>
      <c r="B260" s="4">
        <f t="shared" si="23"/>
        <v>7.4712947712573641</v>
      </c>
      <c r="C260" s="7">
        <f t="shared" si="24"/>
        <v>0.13039869314547761</v>
      </c>
      <c r="D260" s="4">
        <f t="shared" si="25"/>
        <v>7.8601333402015081</v>
      </c>
      <c r="E260" s="3">
        <f t="shared" si="26"/>
        <v>0.1371852064322959</v>
      </c>
      <c r="F260" s="2">
        <f t="shared" si="27"/>
        <v>0.27603393504293738</v>
      </c>
      <c r="G260" s="5">
        <f t="shared" si="21"/>
        <v>-0.67010102832954244</v>
      </c>
    </row>
    <row r="261" spans="1:7" x14ac:dyDescent="0.25">
      <c r="A261" s="1">
        <f t="shared" si="22"/>
        <v>2.5199999999999902</v>
      </c>
      <c r="B261" s="4">
        <f t="shared" si="23"/>
        <v>7.616585227249681</v>
      </c>
      <c r="C261" s="7">
        <f t="shared" si="24"/>
        <v>0.13293448997426746</v>
      </c>
      <c r="D261" s="4">
        <f t="shared" si="25"/>
        <v>8.018289135004995</v>
      </c>
      <c r="E261" s="3">
        <f t="shared" si="26"/>
        <v>0.13994554578272528</v>
      </c>
      <c r="F261" s="2">
        <f t="shared" si="27"/>
        <v>0.26933292475964193</v>
      </c>
      <c r="G261" s="5">
        <f t="shared" si="21"/>
        <v>-0.68349704570179115</v>
      </c>
    </row>
    <row r="262" spans="1:7" x14ac:dyDescent="0.25">
      <c r="A262" s="1">
        <f t="shared" si="22"/>
        <v>2.52999999999999</v>
      </c>
      <c r="B262" s="4">
        <f t="shared" si="23"/>
        <v>7.7581437088733356</v>
      </c>
      <c r="C262" s="7">
        <f t="shared" si="24"/>
        <v>0.13540515156272412</v>
      </c>
      <c r="D262" s="4">
        <f t="shared" si="25"/>
        <v>8.1726055337314154</v>
      </c>
      <c r="E262" s="3">
        <f t="shared" si="26"/>
        <v>0.14263887503032169</v>
      </c>
      <c r="F262" s="2">
        <f t="shared" si="27"/>
        <v>0.26249795430262401</v>
      </c>
      <c r="G262" s="5">
        <f t="shared" si="21"/>
        <v>-0.696562841865209</v>
      </c>
    </row>
    <row r="263" spans="1:7" x14ac:dyDescent="0.25">
      <c r="A263" s="1">
        <f t="shared" si="22"/>
        <v>2.5399999999999898</v>
      </c>
      <c r="B263" s="4">
        <f t="shared" si="23"/>
        <v>7.8959008553046299</v>
      </c>
      <c r="C263" s="7">
        <f t="shared" si="24"/>
        <v>0.13780946733610216</v>
      </c>
      <c r="D263" s="4">
        <f t="shared" si="25"/>
        <v>8.3230057828549988</v>
      </c>
      <c r="E263" s="3">
        <f t="shared" si="26"/>
        <v>0.14526385457334792</v>
      </c>
      <c r="F263" s="2">
        <f t="shared" si="27"/>
        <v>0.2555323258839719</v>
      </c>
      <c r="G263" s="5">
        <f t="shared" si="21"/>
        <v>-0.70929220064831078</v>
      </c>
    </row>
    <row r="264" spans="1:7" x14ac:dyDescent="0.25">
      <c r="A264" s="1">
        <f t="shared" si="22"/>
        <v>2.5499999999999896</v>
      </c>
      <c r="B264" s="4">
        <f t="shared" si="23"/>
        <v>8.0297891682980627</v>
      </c>
      <c r="C264" s="7">
        <f t="shared" si="24"/>
        <v>0.14014625922777826</v>
      </c>
      <c r="D264" s="4">
        <f t="shared" si="25"/>
        <v>8.4694150208781291</v>
      </c>
      <c r="E264" s="3">
        <f t="shared" si="26"/>
        <v>0.14781917783218765</v>
      </c>
      <c r="F264" s="2">
        <f t="shared" si="27"/>
        <v>0.24843940387748878</v>
      </c>
      <c r="G264" s="5">
        <f t="shared" si="21"/>
        <v>-0.72167908017930016</v>
      </c>
    </row>
    <row r="265" spans="1:7" x14ac:dyDescent="0.25">
      <c r="A265" s="1">
        <f t="shared" si="22"/>
        <v>2.5599999999999894</v>
      </c>
      <c r="B265" s="4">
        <f t="shared" si="23"/>
        <v>8.1597430452591091</v>
      </c>
      <c r="C265" s="7">
        <f t="shared" si="24"/>
        <v>0.14241438225648012</v>
      </c>
      <c r="D265" s="4">
        <f t="shared" si="25"/>
        <v>8.6117603139473928</v>
      </c>
      <c r="E265" s="3">
        <f t="shared" si="26"/>
        <v>0.15030357187096255</v>
      </c>
      <c r="F265" s="2">
        <f t="shared" si="27"/>
        <v>0.24122261307569579</v>
      </c>
      <c r="G265" s="5">
        <f t="shared" ref="G265:G328" si="28">-$B$3/$B$4*SIN(E265)</f>
        <v>-0.73371761447942452</v>
      </c>
    </row>
    <row r="266" spans="1:7" x14ac:dyDescent="0.25">
      <c r="A266" s="1">
        <f t="shared" ref="A266:A329" si="29">A265+$B$2</f>
        <v>2.5699999999999892</v>
      </c>
      <c r="B266" s="4">
        <f t="shared" ref="B266:B329" si="30">C266*180/PI()</f>
        <v>8.2856988113881656</v>
      </c>
      <c r="C266" s="7">
        <f t="shared" ref="C266:C329" si="31">$B$9*PI()/180*COS(SQRT($B$3/$B$4)*A266)</f>
        <v>0.14461272508730411</v>
      </c>
      <c r="D266" s="4">
        <f t="shared" ref="D266:D329" si="32">E266*180/PI()</f>
        <v>8.7499706904709385</v>
      </c>
      <c r="E266" s="3">
        <f t="shared" ref="E266:E329" si="33">E265+$B$2*F265</f>
        <v>0.1527157980017195</v>
      </c>
      <c r="F266" s="2">
        <f t="shared" ref="F266:F329" si="34">F265+$B$2*G265</f>
        <v>0.23388543693090155</v>
      </c>
      <c r="G266" s="5">
        <f t="shared" si="28"/>
        <v>-0.74540211491920438</v>
      </c>
    </row>
    <row r="267" spans="1:7" x14ac:dyDescent="0.25">
      <c r="A267" s="1">
        <f t="shared" si="29"/>
        <v>2.579999999999989</v>
      </c>
      <c r="B267" s="4">
        <f t="shared" si="30"/>
        <v>8.4075947508799551</v>
      </c>
      <c r="C267" s="7">
        <f t="shared" si="31"/>
        <v>0.14674021057624764</v>
      </c>
      <c r="D267" s="4">
        <f t="shared" si="32"/>
        <v>8.8839771747280771</v>
      </c>
      <c r="E267" s="3">
        <f t="shared" si="33"/>
        <v>0.15505465237102853</v>
      </c>
      <c r="F267" s="2">
        <f t="shared" si="34"/>
        <v>0.2264314157817095</v>
      </c>
      <c r="G267" s="5">
        <f t="shared" si="28"/>
        <v>-0.7567270715432648</v>
      </c>
    </row>
    <row r="268" spans="1:7" x14ac:dyDescent="0.25">
      <c r="A268" s="1">
        <f t="shared" si="29"/>
        <v>2.5899999999999888</v>
      </c>
      <c r="B268" s="4">
        <f t="shared" si="30"/>
        <v>8.5253711371630274</v>
      </c>
      <c r="C268" s="7">
        <f t="shared" si="31"/>
        <v>0.14879579629798792</v>
      </c>
      <c r="D268" s="4">
        <f t="shared" si="32"/>
        <v>9.0137128194627163</v>
      </c>
      <c r="E268" s="3">
        <f t="shared" si="33"/>
        <v>0.15731896652884561</v>
      </c>
      <c r="F268" s="2">
        <f t="shared" si="34"/>
        <v>0.21886414506627686</v>
      </c>
      <c r="G268" s="5">
        <f t="shared" si="28"/>
        <v>-0.76768715426976253</v>
      </c>
    </row>
    <row r="269" spans="1:7" x14ac:dyDescent="0.25">
      <c r="A269" s="1">
        <f t="shared" si="29"/>
        <v>2.5999999999999885</v>
      </c>
      <c r="B269" s="4">
        <f t="shared" si="30"/>
        <v>8.6389702621645696</v>
      </c>
      <c r="C269" s="7">
        <f t="shared" si="31"/>
        <v>0.15077847505664946</v>
      </c>
      <c r="D269" s="4">
        <f t="shared" si="32"/>
        <v>9.1391127374530843</v>
      </c>
      <c r="E269" s="3">
        <f t="shared" si="33"/>
        <v>0.15950760797950839</v>
      </c>
      <c r="F269" s="2">
        <f t="shared" si="34"/>
        <v>0.21118727352357922</v>
      </c>
      <c r="G269" s="5">
        <f t="shared" si="28"/>
        <v>-0.77827721397062688</v>
      </c>
    </row>
    <row r="270" spans="1:7" x14ac:dyDescent="0.25">
      <c r="A270" s="1">
        <f t="shared" si="29"/>
        <v>2.6099999999999883</v>
      </c>
      <c r="B270" s="4">
        <f t="shared" si="30"/>
        <v>8.7483364645862256</v>
      </c>
      <c r="C270" s="7">
        <f t="shared" si="31"/>
        <v>0.15268727537930996</v>
      </c>
      <c r="D270" s="4">
        <f t="shared" si="32"/>
        <v>9.2601141320508447</v>
      </c>
      <c r="E270" s="3">
        <f t="shared" si="33"/>
        <v>0.16161948071474419</v>
      </c>
      <c r="F270" s="2">
        <f t="shared" si="34"/>
        <v>0.20340450138387295</v>
      </c>
      <c r="G270" s="5">
        <f t="shared" si="28"/>
        <v>-0.788492283439022</v>
      </c>
    </row>
    <row r="271" spans="1:7" x14ac:dyDescent="0.25">
      <c r="A271" s="1">
        <f t="shared" si="29"/>
        <v>2.6199999999999881</v>
      </c>
      <c r="B271" s="4">
        <f t="shared" si="30"/>
        <v>8.8534161571770085</v>
      </c>
      <c r="C271" s="7">
        <f t="shared" si="31"/>
        <v>0.15452126199200258</v>
      </c>
      <c r="D271" s="4">
        <f t="shared" si="32"/>
        <v>9.3766563266834311</v>
      </c>
      <c r="E271" s="3">
        <f t="shared" si="33"/>
        <v>0.16365352572858291</v>
      </c>
      <c r="F271" s="2">
        <f t="shared" si="34"/>
        <v>0.19551957854948274</v>
      </c>
      <c r="G271" s="5">
        <f t="shared" si="28"/>
        <v>-0.79832757825060574</v>
      </c>
    </row>
    <row r="272" spans="1:7" x14ac:dyDescent="0.25">
      <c r="A272" s="1">
        <f t="shared" si="29"/>
        <v>2.6299999999999879</v>
      </c>
      <c r="B272" s="4">
        <f t="shared" si="30"/>
        <v>8.954157852989983</v>
      </c>
      <c r="C272" s="7">
        <f t="shared" si="31"/>
        <v>0.15627953627798158</v>
      </c>
      <c r="D272" s="4">
        <f t="shared" si="32"/>
        <v>9.4886807933140513</v>
      </c>
      <c r="E272" s="3">
        <f t="shared" si="33"/>
        <v>0.16560872151407774</v>
      </c>
      <c r="F272" s="2">
        <f t="shared" si="34"/>
        <v>0.18753630276697669</v>
      </c>
      <c r="G272" s="5">
        <f t="shared" si="28"/>
        <v>-0.80777849752528186</v>
      </c>
    </row>
    <row r="273" spans="1:7" x14ac:dyDescent="0.25">
      <c r="A273" s="1">
        <f t="shared" si="29"/>
        <v>2.6399999999999877</v>
      </c>
      <c r="B273" s="4">
        <f t="shared" si="30"/>
        <v>9.050512190609842</v>
      </c>
      <c r="C273" s="7">
        <f t="shared" si="31"/>
        <v>0.15796123671802637</v>
      </c>
      <c r="D273" s="4">
        <f t="shared" si="32"/>
        <v>9.5961311798544049</v>
      </c>
      <c r="E273" s="3">
        <f t="shared" si="33"/>
        <v>0.16748408454174751</v>
      </c>
      <c r="F273" s="2">
        <f t="shared" si="34"/>
        <v>0.17945851779172386</v>
      </c>
      <c r="G273" s="5">
        <f t="shared" si="28"/>
        <v>-0.81684062459623452</v>
      </c>
    </row>
    <row r="274" spans="1:7" x14ac:dyDescent="0.25">
      <c r="A274" s="1">
        <f t="shared" si="29"/>
        <v>2.6499999999999875</v>
      </c>
      <c r="B274" s="4">
        <f t="shared" si="30"/>
        <v>9.1424319583390066</v>
      </c>
      <c r="C274" s="7">
        <f t="shared" si="31"/>
        <v>0.15956553931256873</v>
      </c>
      <c r="D274" s="4">
        <f t="shared" si="32"/>
        <v>9.6989533365257969</v>
      </c>
      <c r="E274" s="3">
        <f t="shared" si="33"/>
        <v>0.16927866971966476</v>
      </c>
      <c r="F274" s="2">
        <f t="shared" si="34"/>
        <v>0.17129011154576151</v>
      </c>
      <c r="G274" s="5">
        <f t="shared" si="28"/>
        <v>-0.82550972759309615</v>
      </c>
    </row>
    <row r="275" spans="1:7" x14ac:dyDescent="0.25">
      <c r="A275" s="1">
        <f t="shared" si="29"/>
        <v>2.6599999999999873</v>
      </c>
      <c r="B275" s="4">
        <f t="shared" si="30"/>
        <v>9.2298721173304301</v>
      </c>
      <c r="C275" s="7">
        <f t="shared" si="31"/>
        <v>0.16109165798543637</v>
      </c>
      <c r="D275" s="4">
        <f t="shared" si="32"/>
        <v>9.7970953411647699</v>
      </c>
      <c r="E275" s="3">
        <f t="shared" si="33"/>
        <v>0.17099157083512237</v>
      </c>
      <c r="F275" s="2">
        <f t="shared" si="34"/>
        <v>0.16303501426983055</v>
      </c>
      <c r="G275" s="5">
        <f t="shared" si="28"/>
        <v>-0.83378175994612092</v>
      </c>
    </row>
    <row r="276" spans="1:7" x14ac:dyDescent="0.25">
      <c r="A276" s="1">
        <f t="shared" si="29"/>
        <v>2.6699999999999871</v>
      </c>
      <c r="B276" s="4">
        <f t="shared" si="30"/>
        <v>9.3127898236556987</v>
      </c>
      <c r="C276" s="7">
        <f t="shared" si="31"/>
        <v>0.16253884496901405</v>
      </c>
      <c r="D276" s="4">
        <f t="shared" si="32"/>
        <v>9.8905075234699336</v>
      </c>
      <c r="E276" s="3">
        <f t="shared" si="33"/>
        <v>0.17262192097782067</v>
      </c>
      <c r="F276" s="2">
        <f t="shared" si="34"/>
        <v>0.15469719667036935</v>
      </c>
      <c r="G276" s="5">
        <f t="shared" si="28"/>
        <v>-0.84165286081822643</v>
      </c>
    </row>
    <row r="277" spans="1:7" x14ac:dyDescent="0.25">
      <c r="A277" s="1">
        <f t="shared" si="29"/>
        <v>2.6799999999999868</v>
      </c>
      <c r="B277" s="4">
        <f t="shared" si="30"/>
        <v>9.3911444492977356</v>
      </c>
      <c r="C277" s="7">
        <f t="shared" si="31"/>
        <v>0.16390639117063516</v>
      </c>
      <c r="D277" s="4">
        <f t="shared" si="32"/>
        <v>9.979142488187108</v>
      </c>
      <c r="E277" s="3">
        <f t="shared" si="33"/>
        <v>0.17416889294452437</v>
      </c>
      <c r="F277" s="2">
        <f t="shared" si="34"/>
        <v>0.14628066806218709</v>
      </c>
      <c r="G277" s="5">
        <f t="shared" si="28"/>
        <v>-0.84911935547172523</v>
      </c>
    </row>
    <row r="278" spans="1:7" x14ac:dyDescent="0.25">
      <c r="A278" s="1">
        <f t="shared" si="29"/>
        <v>2.6899999999999866</v>
      </c>
      <c r="B278" s="4">
        <f t="shared" si="30"/>
        <v>9.4648976020576967</v>
      </c>
      <c r="C278" s="7">
        <f t="shared" si="31"/>
        <v>0.16519362652002284</v>
      </c>
      <c r="D278" s="4">
        <f t="shared" si="32"/>
        <v>10.062955137230283</v>
      </c>
      <c r="E278" s="3">
        <f t="shared" si="33"/>
        <v>0.17563169962514624</v>
      </c>
      <c r="F278" s="2">
        <f t="shared" si="34"/>
        <v>0.13778947450746984</v>
      </c>
      <c r="G278" s="5">
        <f t="shared" si="28"/>
        <v>-0.85617775557649078</v>
      </c>
    </row>
    <row r="279" spans="1:7" x14ac:dyDescent="0.25">
      <c r="A279" s="1">
        <f t="shared" si="29"/>
        <v>2.6999999999999864</v>
      </c>
      <c r="B279" s="4">
        <f t="shared" si="30"/>
        <v>9.5340131443663836</v>
      </c>
      <c r="C279" s="7">
        <f t="shared" si="31"/>
        <v>0.16639992029761086</v>
      </c>
      <c r="D279" s="4">
        <f t="shared" si="32"/>
        <v>10.141902690736316</v>
      </c>
      <c r="E279" s="3">
        <f t="shared" si="33"/>
        <v>0.17700959437022093</v>
      </c>
      <c r="F279" s="2">
        <f t="shared" si="34"/>
        <v>0.12922769695170494</v>
      </c>
      <c r="G279" s="5">
        <f t="shared" si="28"/>
        <v>-0.86282475946619219</v>
      </c>
    </row>
    <row r="280" spans="1:7" x14ac:dyDescent="0.25">
      <c r="A280" s="1">
        <f t="shared" si="29"/>
        <v>2.7099999999999862</v>
      </c>
      <c r="B280" s="4">
        <f t="shared" si="30"/>
        <v>9.5984572109909276</v>
      </c>
      <c r="C280" s="7">
        <f t="shared" si="31"/>
        <v>0.16752468144358373</v>
      </c>
      <c r="D280" s="4">
        <f t="shared" si="32"/>
        <v>10.2159447070516</v>
      </c>
      <c r="E280" s="3">
        <f t="shared" si="33"/>
        <v>0.17830187133973799</v>
      </c>
      <c r="F280" s="2">
        <f t="shared" si="34"/>
        <v>0.12059944935704302</v>
      </c>
      <c r="G280" s="5">
        <f t="shared" si="28"/>
        <v>-0.86905725234909537</v>
      </c>
    </row>
    <row r="281" spans="1:7" x14ac:dyDescent="0.25">
      <c r="A281" s="1">
        <f t="shared" si="29"/>
        <v>2.719999999999986</v>
      </c>
      <c r="B281" s="4">
        <f t="shared" si="30"/>
        <v>9.6581982256280803</v>
      </c>
      <c r="C281" s="7">
        <f t="shared" si="31"/>
        <v>0.16856735884748419</v>
      </c>
      <c r="D281" s="4">
        <f t="shared" si="32"/>
        <v>10.285043101649201</v>
      </c>
      <c r="E281" s="3">
        <f t="shared" si="33"/>
        <v>0.17950786583330841</v>
      </c>
      <c r="F281" s="2">
        <f t="shared" si="34"/>
        <v>0.11190887683355207</v>
      </c>
      <c r="G281" s="5">
        <f t="shared" si="28"/>
        <v>-0.87487230647975334</v>
      </c>
    </row>
    <row r="282" spans="1:7" x14ac:dyDescent="0.25">
      <c r="A282" s="1">
        <f t="shared" si="29"/>
        <v>2.7299999999999858</v>
      </c>
      <c r="B282" s="4">
        <f t="shared" si="30"/>
        <v>9.7132069163759702</v>
      </c>
      <c r="C282" s="7">
        <f t="shared" si="31"/>
        <v>0.16952744161824621</v>
      </c>
      <c r="D282" s="4">
        <f t="shared" si="32"/>
        <v>10.349162164975322</v>
      </c>
      <c r="E282" s="3">
        <f t="shared" si="33"/>
        <v>0.18062695460164394</v>
      </c>
      <c r="F282" s="2">
        <f t="shared" si="34"/>
        <v>0.10316015376875454</v>
      </c>
      <c r="G282" s="5">
        <f t="shared" si="28"/>
        <v>-0.88026718129771064</v>
      </c>
    </row>
    <row r="283" spans="1:7" x14ac:dyDescent="0.25">
      <c r="A283" s="1">
        <f t="shared" si="29"/>
        <v>2.7399999999999856</v>
      </c>
      <c r="B283" s="4">
        <f t="shared" si="30"/>
        <v>9.7634563300767425</v>
      </c>
      <c r="C283" s="7">
        <f t="shared" si="31"/>
        <v>0.17040445933452142</v>
      </c>
      <c r="D283" s="4">
        <f t="shared" si="32"/>
        <v>10.408268579224023</v>
      </c>
      <c r="E283" s="3">
        <f t="shared" si="33"/>
        <v>0.18165855613933149</v>
      </c>
      <c r="F283" s="2">
        <f t="shared" si="34"/>
        <v>9.4357481955777422E-2</v>
      </c>
      <c r="G283" s="5">
        <f t="shared" si="28"/>
        <v>-0.88523932353911428</v>
      </c>
    </row>
    <row r="284" spans="1:7" x14ac:dyDescent="0.25">
      <c r="A284" s="1">
        <f t="shared" si="29"/>
        <v>2.7499999999999853</v>
      </c>
      <c r="B284" s="4">
        <f t="shared" si="30"/>
        <v>9.8089218455230771</v>
      </c>
      <c r="C284" s="7">
        <f t="shared" si="31"/>
        <v>0.1711979822751763</v>
      </c>
      <c r="D284" s="4">
        <f t="shared" si="32"/>
        <v>10.462331434039502</v>
      </c>
      <c r="E284" s="3">
        <f t="shared" si="33"/>
        <v>0.18260213095888927</v>
      </c>
      <c r="F284" s="2">
        <f t="shared" si="34"/>
        <v>8.5505088720386285E-2</v>
      </c>
      <c r="G284" s="5">
        <f t="shared" si="28"/>
        <v>-0.88978636732687011</v>
      </c>
    </row>
    <row r="285" spans="1:7" x14ac:dyDescent="0.25">
      <c r="A285" s="1">
        <f t="shared" si="29"/>
        <v>2.7599999999999851</v>
      </c>
      <c r="B285" s="4">
        <f t="shared" si="30"/>
        <v>9.8495811855220747</v>
      </c>
      <c r="C285" s="7">
        <f t="shared" si="31"/>
        <v>0.17190762162984666</v>
      </c>
      <c r="D285" s="4">
        <f t="shared" si="32"/>
        <v>10.511322241145201</v>
      </c>
      <c r="E285" s="3">
        <f t="shared" si="33"/>
        <v>0.18345718184609314</v>
      </c>
      <c r="F285" s="2">
        <f t="shared" si="34"/>
        <v>7.6607225047117589E-2</v>
      </c>
      <c r="G285" s="5">
        <f t="shared" si="28"/>
        <v>-0.89390613424469412</v>
      </c>
    </row>
    <row r="286" spans="1:7" x14ac:dyDescent="0.25">
      <c r="A286" s="1">
        <f t="shared" si="29"/>
        <v>2.7699999999999849</v>
      </c>
      <c r="B286" s="4">
        <f t="shared" si="30"/>
        <v>9.8854144278106553</v>
      </c>
      <c r="C286" s="7">
        <f t="shared" si="31"/>
        <v>0.17253302968944725</v>
      </c>
      <c r="D286" s="4">
        <f t="shared" si="32"/>
        <v>10.555214947899287</v>
      </c>
      <c r="E286" s="3">
        <f t="shared" si="33"/>
        <v>0.18422325409656432</v>
      </c>
      <c r="F286" s="2">
        <f t="shared" si="34"/>
        <v>6.7668163704670645E-2</v>
      </c>
      <c r="G286" s="5">
        <f t="shared" si="28"/>
        <v>-0.89759663340010554</v>
      </c>
    </row>
    <row r="287" spans="1:7" x14ac:dyDescent="0.25">
      <c r="A287" s="1">
        <f t="shared" si="29"/>
        <v>2.7799999999999847</v>
      </c>
      <c r="B287" s="4">
        <f t="shared" si="30"/>
        <v>9.9164040148170436</v>
      </c>
      <c r="C287" s="7">
        <f t="shared" si="31"/>
        <v>0.17307390001654196</v>
      </c>
      <c r="D287" s="4">
        <f t="shared" si="32"/>
        <v>10.593985949776069</v>
      </c>
      <c r="E287" s="3">
        <f t="shared" si="33"/>
        <v>0.18489993573361102</v>
      </c>
      <c r="F287" s="2">
        <f t="shared" si="34"/>
        <v>5.8692197370669587E-2</v>
      </c>
      <c r="G287" s="5">
        <f t="shared" si="28"/>
        <v>-0.90085606148107211</v>
      </c>
    </row>
    <row r="288" spans="1:7" x14ac:dyDescent="0.25">
      <c r="A288" s="1">
        <f t="shared" si="29"/>
        <v>2.7899999999999845</v>
      </c>
      <c r="B288" s="4">
        <f t="shared" si="30"/>
        <v>9.9425347622636462</v>
      </c>
      <c r="C288" s="7">
        <f t="shared" si="31"/>
        <v>0.1735299675954923</v>
      </c>
      <c r="D288" s="4">
        <f t="shared" si="32"/>
        <v>10.627614101772949</v>
      </c>
      <c r="E288" s="3">
        <f t="shared" si="33"/>
        <v>0.18548685770731771</v>
      </c>
      <c r="F288" s="2">
        <f t="shared" si="34"/>
        <v>4.9683636755858865E-2</v>
      </c>
      <c r="G288" s="5">
        <f t="shared" si="28"/>
        <v>-0.90368280281066593</v>
      </c>
    </row>
    <row r="289" spans="1:7" x14ac:dyDescent="0.25">
      <c r="A289" s="1">
        <f t="shared" si="29"/>
        <v>2.7999999999999843</v>
      </c>
      <c r="B289" s="4">
        <f t="shared" si="30"/>
        <v>9.9637938666070429</v>
      </c>
      <c r="C289" s="7">
        <f t="shared" si="31"/>
        <v>0.17390100896230959</v>
      </c>
      <c r="D289" s="4">
        <f t="shared" si="32"/>
        <v>10.656080728742667</v>
      </c>
      <c r="E289" s="3">
        <f t="shared" si="33"/>
        <v>0.1859836940748763</v>
      </c>
      <c r="F289" s="2">
        <f t="shared" si="34"/>
        <v>4.0646808727752205E-2</v>
      </c>
      <c r="G289" s="5">
        <f t="shared" si="28"/>
        <v>-0.90607542940371244</v>
      </c>
    </row>
    <row r="290" spans="1:7" x14ac:dyDescent="0.25">
      <c r="A290" s="1">
        <f t="shared" si="29"/>
        <v>2.8099999999999841</v>
      </c>
      <c r="B290" s="4">
        <f t="shared" si="30"/>
        <v>9.9801709113114541</v>
      </c>
      <c r="C290" s="7">
        <f t="shared" si="31"/>
        <v>0.17418684231414786</v>
      </c>
      <c r="D290" s="4">
        <f t="shared" si="32"/>
        <v>10.679369634650426</v>
      </c>
      <c r="E290" s="3">
        <f t="shared" si="33"/>
        <v>0.18639016216215382</v>
      </c>
      <c r="F290" s="2">
        <f t="shared" si="34"/>
        <v>3.158605443371508E-2</v>
      </c>
      <c r="G290" s="5">
        <f t="shared" si="28"/>
        <v>-0.90803270102902445</v>
      </c>
    </row>
    <row r="291" spans="1:7" x14ac:dyDescent="0.25">
      <c r="A291" s="1">
        <f t="shared" si="29"/>
        <v>2.8199999999999839</v>
      </c>
      <c r="B291" s="4">
        <f t="shared" si="30"/>
        <v>9.991657871952647</v>
      </c>
      <c r="C291" s="7">
        <f t="shared" si="31"/>
        <v>0.17438732759838368</v>
      </c>
      <c r="D291" s="4">
        <f t="shared" si="32"/>
        <v>10.697467110755648</v>
      </c>
      <c r="E291" s="3">
        <f t="shared" si="33"/>
        <v>0.18670602270649098</v>
      </c>
      <c r="F291" s="2">
        <f t="shared" si="34"/>
        <v>2.2505727423424833E-2</v>
      </c>
      <c r="G291" s="5">
        <f t="shared" si="28"/>
        <v>-0.90955356528039966</v>
      </c>
    </row>
    <row r="292" spans="1:7" x14ac:dyDescent="0.25">
      <c r="A292" s="1">
        <f t="shared" si="29"/>
        <v>2.8299999999999836</v>
      </c>
      <c r="B292" s="4">
        <f t="shared" si="30"/>
        <v>9.9982491201497403</v>
      </c>
      <c r="C292" s="7">
        <f t="shared" si="31"/>
        <v>0.1745023665812391</v>
      </c>
      <c r="D292" s="4">
        <f t="shared" si="32"/>
        <v>10.71036194271799</v>
      </c>
      <c r="E292" s="3">
        <f t="shared" si="33"/>
        <v>0.18693107998072522</v>
      </c>
      <c r="F292" s="2">
        <f t="shared" si="34"/>
        <v>1.3410191770620836E-2</v>
      </c>
      <c r="G292" s="5">
        <f t="shared" si="28"/>
        <v>-0.91063715765913911</v>
      </c>
    </row>
    <row r="293" spans="1:7" x14ac:dyDescent="0.25">
      <c r="A293" s="1">
        <f t="shared" si="29"/>
        <v>2.8399999999999834</v>
      </c>
      <c r="B293" s="4">
        <f t="shared" si="30"/>
        <v>9.9999414263229944</v>
      </c>
      <c r="C293" s="7">
        <f t="shared" si="31"/>
        <v>0.17453190289591422</v>
      </c>
      <c r="D293" s="4">
        <f t="shared" si="32"/>
        <v>10.718045416627167</v>
      </c>
      <c r="E293" s="3">
        <f t="shared" si="33"/>
        <v>0.18706518189843144</v>
      </c>
      <c r="F293" s="2">
        <f t="shared" si="34"/>
        <v>4.3038201940294452E-3</v>
      </c>
      <c r="G293" s="5">
        <f t="shared" si="28"/>
        <v>-0.91128280167040232</v>
      </c>
    </row>
    <row r="294" spans="1:7" x14ac:dyDescent="0.25">
      <c r="A294" s="1">
        <f t="shared" si="29"/>
        <v>2.8499999999999832</v>
      </c>
      <c r="B294" s="4">
        <f t="shared" si="30"/>
        <v>9.9967339612762434</v>
      </c>
      <c r="C294" s="7">
        <f t="shared" si="31"/>
        <v>0.17447592207020576</v>
      </c>
      <c r="D294" s="4">
        <f t="shared" si="32"/>
        <v>10.720511323956178</v>
      </c>
      <c r="E294" s="3">
        <f t="shared" si="33"/>
        <v>0.18710822010037173</v>
      </c>
      <c r="F294" s="2">
        <f t="shared" si="34"/>
        <v>-4.8090078226745783E-3</v>
      </c>
      <c r="G294" s="5">
        <f t="shared" si="28"/>
        <v>-0.91149000893526766</v>
      </c>
    </row>
    <row r="295" spans="1:7" x14ac:dyDescent="0.25">
      <c r="A295" s="1">
        <f t="shared" si="29"/>
        <v>2.859999999999983</v>
      </c>
      <c r="B295" s="4">
        <f t="shared" si="30"/>
        <v>9.9886282966031867</v>
      </c>
      <c r="C295" s="7">
        <f t="shared" si="31"/>
        <v>0.17433445153359833</v>
      </c>
      <c r="D295" s="4">
        <f t="shared" si="32"/>
        <v>10.71775596543733</v>
      </c>
      <c r="E295" s="3">
        <f t="shared" si="33"/>
        <v>0.18706013002214497</v>
      </c>
      <c r="F295" s="2">
        <f t="shared" si="34"/>
        <v>-1.3923907912027255E-2</v>
      </c>
      <c r="G295" s="5">
        <f t="shared" si="28"/>
        <v>-0.91125847931990822</v>
      </c>
    </row>
    <row r="296" spans="1:7" x14ac:dyDescent="0.25">
      <c r="A296" s="1">
        <f t="shared" si="29"/>
        <v>2.8699999999999828</v>
      </c>
      <c r="B296" s="4">
        <f t="shared" si="30"/>
        <v>9.9756284039173337</v>
      </c>
      <c r="C296" s="7">
        <f t="shared" si="31"/>
        <v>0.17410756060382426</v>
      </c>
      <c r="D296" s="4">
        <f t="shared" si="32"/>
        <v>10.70977815386045</v>
      </c>
      <c r="E296" s="3">
        <f t="shared" si="33"/>
        <v>0.18692089094302469</v>
      </c>
      <c r="F296" s="2">
        <f t="shared" si="34"/>
        <v>-2.3036492705226338E-2</v>
      </c>
      <c r="G296" s="5">
        <f t="shared" si="28"/>
        <v>-0.91058810108282584</v>
      </c>
    </row>
    <row r="297" spans="1:7" x14ac:dyDescent="0.25">
      <c r="A297" s="1">
        <f t="shared" si="29"/>
        <v>2.8799999999999826</v>
      </c>
      <c r="B297" s="4">
        <f t="shared" si="30"/>
        <v>9.9577406529059989</v>
      </c>
      <c r="C297" s="7">
        <f t="shared" si="31"/>
        <v>0.17379536045289953</v>
      </c>
      <c r="D297" s="4">
        <f t="shared" si="32"/>
        <v>10.696579215792514</v>
      </c>
      <c r="E297" s="3">
        <f t="shared" si="33"/>
        <v>0.18669052601597244</v>
      </c>
      <c r="F297" s="2">
        <f t="shared" si="34"/>
        <v>-3.2142373716054592E-2</v>
      </c>
      <c r="G297" s="5">
        <f t="shared" si="28"/>
        <v>-0.90947895104061471</v>
      </c>
    </row>
    <row r="298" spans="1:7" x14ac:dyDescent="0.25">
      <c r="A298" s="1">
        <f t="shared" si="29"/>
        <v>2.8899999999999824</v>
      </c>
      <c r="B298" s="4">
        <f t="shared" si="30"/>
        <v>9.934973808209282</v>
      </c>
      <c r="C298" s="7">
        <f t="shared" si="31"/>
        <v>0.1733980040526516</v>
      </c>
      <c r="D298" s="4">
        <f t="shared" si="32"/>
        <v>10.678162992217894</v>
      </c>
      <c r="E298" s="3">
        <f t="shared" si="33"/>
        <v>0.1863691022788119</v>
      </c>
      <c r="F298" s="2">
        <f t="shared" si="34"/>
        <v>-4.1237163226460739E-2</v>
      </c>
      <c r="G298" s="5">
        <f t="shared" si="28"/>
        <v>-0.90793129475225365</v>
      </c>
    </row>
    <row r="299" spans="1:7" x14ac:dyDescent="0.25">
      <c r="A299" s="1">
        <f t="shared" si="29"/>
        <v>2.8999999999999821</v>
      </c>
      <c r="B299" s="4">
        <f t="shared" si="30"/>
        <v>9.9073390251255642</v>
      </c>
      <c r="C299" s="7">
        <f t="shared" si="31"/>
        <v>0.17291568609976629</v>
      </c>
      <c r="D299" s="4">
        <f t="shared" si="32"/>
        <v>10.654535838098212</v>
      </c>
      <c r="E299" s="3">
        <f t="shared" si="33"/>
        <v>0.1859567306465473</v>
      </c>
      <c r="F299" s="2">
        <f t="shared" si="34"/>
        <v>-5.0316476173983278E-2</v>
      </c>
      <c r="G299" s="5">
        <f t="shared" si="28"/>
        <v>-0.90594558672144954</v>
      </c>
    </row>
    <row r="300" spans="1:7" x14ac:dyDescent="0.25">
      <c r="A300" s="1">
        <f t="shared" si="29"/>
        <v>2.9099999999999819</v>
      </c>
      <c r="B300" s="4">
        <f t="shared" si="30"/>
        <v>9.874849844145638</v>
      </c>
      <c r="C300" s="7">
        <f t="shared" si="31"/>
        <v>0.17234864292039026</v>
      </c>
      <c r="D300" s="4">
        <f t="shared" si="32"/>
        <v>10.625706620850814</v>
      </c>
      <c r="E300" s="3">
        <f t="shared" si="33"/>
        <v>0.18545356588480746</v>
      </c>
      <c r="F300" s="2">
        <f t="shared" si="34"/>
        <v>-5.9375932041197774E-2</v>
      </c>
      <c r="G300" s="5">
        <f t="shared" si="28"/>
        <v>-0.90352247061607671</v>
      </c>
    </row>
    <row r="301" spans="1:7" x14ac:dyDescent="0.25">
      <c r="A301" s="1">
        <f t="shared" si="29"/>
        <v>2.9199999999999817</v>
      </c>
      <c r="B301" s="4">
        <f t="shared" si="30"/>
        <v>9.8375221843181375</v>
      </c>
      <c r="C301" s="7">
        <f t="shared" si="31"/>
        <v>0.171697152354336</v>
      </c>
      <c r="D301" s="4">
        <f t="shared" si="32"/>
        <v>10.591686717744651</v>
      </c>
      <c r="E301" s="3">
        <f t="shared" si="33"/>
        <v>0.18485980656439549</v>
      </c>
      <c r="F301" s="2">
        <f t="shared" si="34"/>
        <v>-6.8411156747358537E-2</v>
      </c>
      <c r="G301" s="5">
        <f t="shared" si="28"/>
        <v>-0.90066277950329066</v>
      </c>
    </row>
    <row r="302" spans="1:7" x14ac:dyDescent="0.25">
      <c r="A302" s="1">
        <f t="shared" si="29"/>
        <v>2.9299999999999815</v>
      </c>
      <c r="B302" s="4">
        <f t="shared" si="30"/>
        <v>9.7953743354495355</v>
      </c>
      <c r="C302" s="7">
        <f t="shared" si="31"/>
        <v>0.17096153361894589</v>
      </c>
      <c r="D302" s="4">
        <f t="shared" si="32"/>
        <v>10.552490012212337</v>
      </c>
      <c r="E302" s="3">
        <f t="shared" si="33"/>
        <v>0.18417569499692191</v>
      </c>
      <c r="F302" s="2">
        <f t="shared" si="34"/>
        <v>-7.7417784542391441E-2</v>
      </c>
      <c r="G302" s="5">
        <f t="shared" si="28"/>
        <v>-0.89736753609842246</v>
      </c>
    </row>
    <row r="303" spans="1:7" x14ac:dyDescent="0.25">
      <c r="A303" s="1">
        <f t="shared" si="29"/>
        <v>2.9399999999999813</v>
      </c>
      <c r="B303" s="4">
        <f t="shared" si="30"/>
        <v>9.7484269491424733</v>
      </c>
      <c r="C303" s="7">
        <f t="shared" si="31"/>
        <v>0.17014214715268197</v>
      </c>
      <c r="D303" s="4">
        <f t="shared" si="32"/>
        <v>10.508132889077016</v>
      </c>
      <c r="E303" s="3">
        <f t="shared" si="33"/>
        <v>0.18340151715149799</v>
      </c>
      <c r="F303" s="2">
        <f t="shared" si="34"/>
        <v>-8.639145990337567E-2</v>
      </c>
      <c r="G303" s="5">
        <f t="shared" si="28"/>
        <v>-0.89363795302530413</v>
      </c>
    </row>
    <row r="304" spans="1:7" x14ac:dyDescent="0.25">
      <c r="A304" s="1">
        <f t="shared" si="29"/>
        <v>2.9499999999999811</v>
      </c>
      <c r="B304" s="4">
        <f t="shared" si="30"/>
        <v>9.6967030286769234</v>
      </c>
      <c r="C304" s="7">
        <f t="shared" si="31"/>
        <v>0.16923939443851843</v>
      </c>
      <c r="D304" s="4">
        <f t="shared" si="32"/>
        <v>10.458634228692645</v>
      </c>
      <c r="E304" s="3">
        <f t="shared" si="33"/>
        <v>0.18253760255246423</v>
      </c>
      <c r="F304" s="2">
        <f t="shared" si="34"/>
        <v>-9.5327839433628714E-2</v>
      </c>
      <c r="G304" s="5">
        <f t="shared" si="28"/>
        <v>-0.88947543308522015</v>
      </c>
    </row>
    <row r="305" spans="1:7" x14ac:dyDescent="0.25">
      <c r="A305" s="1">
        <f t="shared" si="29"/>
        <v>2.9599999999999809</v>
      </c>
      <c r="B305" s="4">
        <f t="shared" si="30"/>
        <v>9.6402279177390184</v>
      </c>
      <c r="C305" s="7">
        <f t="shared" si="31"/>
        <v>0.16825371780722295</v>
      </c>
      <c r="D305" s="4">
        <f t="shared" si="32"/>
        <v>10.404015399996167</v>
      </c>
      <c r="E305" s="3">
        <f t="shared" si="33"/>
        <v>0.18158432415812795</v>
      </c>
      <c r="F305" s="2">
        <f t="shared" si="34"/>
        <v>-0.10422259376448091</v>
      </c>
      <c r="G305" s="5">
        <f t="shared" si="28"/>
        <v>-0.88488156953124775</v>
      </c>
    </row>
    <row r="306" spans="1:7" x14ac:dyDescent="0.25">
      <c r="A306" s="1">
        <f t="shared" si="29"/>
        <v>2.9699999999999807</v>
      </c>
      <c r="B306" s="4">
        <f t="shared" si="30"/>
        <v>9.5790292880031664</v>
      </c>
      <c r="C306" s="7">
        <f t="shared" si="31"/>
        <v>0.1671856002206234</v>
      </c>
      <c r="D306" s="4">
        <f t="shared" si="32"/>
        <v>10.344300252470054</v>
      </c>
      <c r="E306" s="3">
        <f t="shared" si="33"/>
        <v>0.18054209822048314</v>
      </c>
      <c r="F306" s="2">
        <f t="shared" si="34"/>
        <v>-0.11307140945979338</v>
      </c>
      <c r="G306" s="5">
        <f t="shared" si="28"/>
        <v>-0.87985814634431225</v>
      </c>
    </row>
    <row r="307" spans="1:7" x14ac:dyDescent="0.25">
      <c r="A307" s="1">
        <f t="shared" si="29"/>
        <v>2.9799999999999804</v>
      </c>
      <c r="B307" s="4">
        <f t="shared" si="30"/>
        <v>9.5131371255734685</v>
      </c>
      <c r="C307" s="7">
        <f t="shared" si="31"/>
        <v>0.16603556503496628</v>
      </c>
      <c r="D307" s="4">
        <f t="shared" si="32"/>
        <v>10.279515107013635</v>
      </c>
      <c r="E307" s="3">
        <f t="shared" si="33"/>
        <v>0.1794113841258852</v>
      </c>
      <c r="F307" s="2">
        <f t="shared" si="34"/>
        <v>-0.1218699909232365</v>
      </c>
      <c r="G307" s="5">
        <f t="shared" si="28"/>
        <v>-0.87440713850688023</v>
      </c>
    </row>
    <row r="308" spans="1:7" x14ac:dyDescent="0.25">
      <c r="A308" s="1">
        <f t="shared" si="29"/>
        <v>2.9899999999999802</v>
      </c>
      <c r="B308" s="4">
        <f t="shared" si="30"/>
        <v>9.4425837162911535</v>
      </c>
      <c r="C308" s="7">
        <f t="shared" si="31"/>
        <v>0.16480417574448275</v>
      </c>
      <c r="D308" s="4">
        <f t="shared" si="32"/>
        <v>10.209688745721644</v>
      </c>
      <c r="E308" s="3">
        <f t="shared" si="33"/>
        <v>0.17819268421665282</v>
      </c>
      <c r="F308" s="2">
        <f t="shared" si="34"/>
        <v>-0.1306140623083053</v>
      </c>
      <c r="G308" s="5">
        <f t="shared" si="28"/>
        <v>-0.86853071226981515</v>
      </c>
    </row>
    <row r="309" spans="1:7" x14ac:dyDescent="0.25">
      <c r="A309" s="1">
        <f t="shared" si="29"/>
        <v>2.99999999999998</v>
      </c>
      <c r="B309" s="4">
        <f t="shared" si="30"/>
        <v>9.3674036299151311</v>
      </c>
      <c r="C309" s="7">
        <f t="shared" si="31"/>
        <v>0.16349203570528745</v>
      </c>
      <c r="D309" s="4">
        <f t="shared" si="32"/>
        <v>10.1348524005684</v>
      </c>
      <c r="E309" s="3">
        <f t="shared" si="33"/>
        <v>0.17688654359356978</v>
      </c>
      <c r="F309" s="2">
        <f t="shared" si="34"/>
        <v>-0.13929936943100346</v>
      </c>
      <c r="G309" s="5">
        <f t="shared" si="28"/>
        <v>-0.86223122540754127</v>
      </c>
    </row>
    <row r="310" spans="1:7" x14ac:dyDescent="0.25">
      <c r="A310" s="1">
        <f t="shared" si="29"/>
        <v>3.0099999999999798</v>
      </c>
      <c r="B310" s="4">
        <f t="shared" si="30"/>
        <v>9.287633703183527</v>
      </c>
      <c r="C310" s="7">
        <f t="shared" si="31"/>
        <v>0.1620997878397463</v>
      </c>
      <c r="D310" s="4">
        <f t="shared" si="32"/>
        <v>10.055039740996097</v>
      </c>
      <c r="E310" s="3">
        <f t="shared" si="33"/>
        <v>0.17549354989925975</v>
      </c>
      <c r="F310" s="2">
        <f t="shared" si="34"/>
        <v>-0.14792168168507888</v>
      </c>
      <c r="G310" s="5">
        <f t="shared" si="28"/>
        <v>-0.85551122745631147</v>
      </c>
    </row>
    <row r="311" spans="1:7" x14ac:dyDescent="0.25">
      <c r="A311" s="1">
        <f t="shared" si="29"/>
        <v>3.0199999999999796</v>
      </c>
      <c r="B311" s="4">
        <f t="shared" si="30"/>
        <v>9.2033130217643979</v>
      </c>
      <c r="C311" s="7">
        <f t="shared" si="31"/>
        <v>0.16062811432145729</v>
      </c>
      <c r="D311" s="4">
        <f t="shared" si="32"/>
        <v>9.9702868604057713</v>
      </c>
      <c r="E311" s="3">
        <f t="shared" si="33"/>
        <v>0.17401433308240896</v>
      </c>
      <c r="F311" s="2">
        <f t="shared" si="34"/>
        <v>-0.15647679395964201</v>
      </c>
      <c r="G311" s="5">
        <f t="shared" si="28"/>
        <v>-0.84837345993003666</v>
      </c>
    </row>
    <row r="312" spans="1:7" x14ac:dyDescent="0.25">
      <c r="A312" s="1">
        <f t="shared" si="29"/>
        <v>3.0299999999999794</v>
      </c>
      <c r="B312" s="4">
        <f t="shared" si="30"/>
        <v>9.1144829011045498</v>
      </c>
      <c r="C312" s="7">
        <f t="shared" si="31"/>
        <v>0.15907773624099911</v>
      </c>
      <c r="D312" s="4">
        <f t="shared" si="32"/>
        <v>9.8806322615495148</v>
      </c>
      <c r="E312" s="3">
        <f t="shared" si="33"/>
        <v>0.17244956514281254</v>
      </c>
      <c r="F312" s="2">
        <f t="shared" si="34"/>
        <v>-0.16496052855894239</v>
      </c>
      <c r="G312" s="5">
        <f t="shared" si="28"/>
        <v>-0.84082085650782512</v>
      </c>
    </row>
    <row r="313" spans="1:7" x14ac:dyDescent="0.25">
      <c r="A313" s="1">
        <f t="shared" si="29"/>
        <v>3.0399999999999792</v>
      </c>
      <c r="B313" s="4">
        <f t="shared" si="30"/>
        <v>9.0211868661857935</v>
      </c>
      <c r="C313" s="7">
        <f t="shared" si="31"/>
        <v>0.15744941325261122</v>
      </c>
      <c r="D313" s="4">
        <f t="shared" si="32"/>
        <v>9.7861168408227677</v>
      </c>
      <c r="E313" s="3">
        <f t="shared" si="33"/>
        <v>0.17079995985722313</v>
      </c>
      <c r="F313" s="2">
        <f t="shared" si="34"/>
        <v>-0.17336873712402065</v>
      </c>
      <c r="G313" s="5">
        <f t="shared" si="28"/>
        <v>-0.8328565431870989</v>
      </c>
    </row>
    <row r="314" spans="1:7" x14ac:dyDescent="0.25">
      <c r="A314" s="1">
        <f t="shared" si="29"/>
        <v>3.049999999999979</v>
      </c>
      <c r="B314" s="4">
        <f t="shared" si="30"/>
        <v>8.923470630198576</v>
      </c>
      <c r="C314" s="7">
        <f t="shared" si="31"/>
        <v>0.15574394320197849</v>
      </c>
      <c r="D314" s="4">
        <f t="shared" si="32"/>
        <v>9.6867838714555727</v>
      </c>
      <c r="E314" s="3">
        <f t="shared" si="33"/>
        <v>0.16906627248598291</v>
      </c>
      <c r="F314" s="2">
        <f t="shared" si="34"/>
        <v>-0.18169730255589164</v>
      </c>
      <c r="G314" s="5">
        <f t="shared" si="28"/>
        <v>-0.82448383839589134</v>
      </c>
    </row>
    <row r="315" spans="1:7" x14ac:dyDescent="0.25">
      <c r="A315" s="1">
        <f t="shared" si="29"/>
        <v>3.0599999999999787</v>
      </c>
      <c r="B315" s="4">
        <f t="shared" si="30"/>
        <v>8.8213820721434164</v>
      </c>
      <c r="C315" s="7">
        <f t="shared" si="31"/>
        <v>0.15396216173530258</v>
      </c>
      <c r="D315" s="4">
        <f t="shared" si="32"/>
        <v>9.5826789856019321</v>
      </c>
      <c r="E315" s="3">
        <f t="shared" si="33"/>
        <v>0.16724929946042399</v>
      </c>
      <c r="F315" s="2">
        <f t="shared" si="34"/>
        <v>-0.18994214093985057</v>
      </c>
      <c r="G315" s="5">
        <f t="shared" si="28"/>
        <v>-0.81570625305770827</v>
      </c>
    </row>
    <row r="316" spans="1:7" x14ac:dyDescent="0.25">
      <c r="A316" s="1">
        <f t="shared" si="29"/>
        <v>3.0699999999999785</v>
      </c>
      <c r="B316" s="4">
        <f t="shared" si="30"/>
        <v>8.7149712133711805</v>
      </c>
      <c r="C316" s="7">
        <f t="shared" si="31"/>
        <v>0.15210494188985235</v>
      </c>
      <c r="D316" s="4">
        <f t="shared" si="32"/>
        <v>9.4738501553266072</v>
      </c>
      <c r="E316" s="3">
        <f t="shared" si="33"/>
        <v>0.1653498780510255</v>
      </c>
      <c r="F316" s="2">
        <f t="shared" si="34"/>
        <v>-0.19809920347042764</v>
      </c>
      <c r="G316" s="5">
        <f t="shared" si="28"/>
        <v>-0.80652749060212503</v>
      </c>
    </row>
    <row r="317" spans="1:7" x14ac:dyDescent="0.25">
      <c r="A317" s="1">
        <f t="shared" si="29"/>
        <v>3.0799999999999783</v>
      </c>
      <c r="B317" s="4">
        <f t="shared" si="30"/>
        <v>8.6042901930735916</v>
      </c>
      <c r="C317" s="7">
        <f t="shared" si="31"/>
        <v>0.15017319366619275</v>
      </c>
      <c r="D317" s="4">
        <f t="shared" si="32"/>
        <v>9.3603476724890182</v>
      </c>
      <c r="E317" s="3">
        <f t="shared" si="33"/>
        <v>0.16336888601632121</v>
      </c>
      <c r="F317" s="2">
        <f t="shared" si="34"/>
        <v>-0.20616447837644888</v>
      </c>
      <c r="G317" s="5">
        <f t="shared" si="28"/>
        <v>-0.79695144691413433</v>
      </c>
    </row>
    <row r="318" spans="1:7" x14ac:dyDescent="0.25">
      <c r="A318" s="1">
        <f t="shared" si="29"/>
        <v>3.0899999999999781</v>
      </c>
      <c r="B318" s="4">
        <f t="shared" si="30"/>
        <v>8.4893932427360834</v>
      </c>
      <c r="C318" s="7">
        <f t="shared" si="31"/>
        <v>0.14816786358230286</v>
      </c>
      <c r="D318" s="4">
        <f t="shared" si="32"/>
        <v>9.2422241275241515</v>
      </c>
      <c r="E318" s="3">
        <f t="shared" si="33"/>
        <v>0.16130724123255671</v>
      </c>
      <c r="F318" s="2">
        <f t="shared" si="34"/>
        <v>-0.21413399284559023</v>
      </c>
      <c r="G318" s="5">
        <f t="shared" si="28"/>
        <v>-0.78698221021511372</v>
      </c>
    </row>
    <row r="319" spans="1:7" x14ac:dyDescent="0.25">
      <c r="A319" s="1">
        <f t="shared" si="29"/>
        <v>3.0999999999999779</v>
      </c>
      <c r="B319" s="4">
        <f t="shared" si="30"/>
        <v>8.3703366595654796</v>
      </c>
      <c r="C319" s="7">
        <f t="shared" si="31"/>
        <v>0.14608993420980135</v>
      </c>
      <c r="D319" s="4">
        <f t="shared" si="32"/>
        <v>9.1195343871207815</v>
      </c>
      <c r="E319" s="3">
        <f t="shared" si="33"/>
        <v>0.1591659013041008</v>
      </c>
      <c r="F319" s="2">
        <f t="shared" si="34"/>
        <v>-0.22200381494774138</v>
      </c>
      <c r="G319" s="5">
        <f t="shared" si="28"/>
        <v>-0.77662406086818137</v>
      </c>
    </row>
    <row r="320" spans="1:7" x14ac:dyDescent="0.25">
      <c r="A320" s="1">
        <f t="shared" si="29"/>
        <v>3.1099999999999777</v>
      </c>
      <c r="B320" s="4">
        <f t="shared" si="30"/>
        <v>8.2471787789054378</v>
      </c>
      <c r="C320" s="7">
        <f t="shared" si="31"/>
        <v>0.14394042369250537</v>
      </c>
      <c r="D320" s="4">
        <f t="shared" si="32"/>
        <v>8.9923355707976924</v>
      </c>
      <c r="E320" s="3">
        <f t="shared" si="33"/>
        <v>0.15694586315462339</v>
      </c>
      <c r="F320" s="2">
        <f t="shared" si="34"/>
        <v>-0.22977005555642319</v>
      </c>
      <c r="G320" s="5">
        <f t="shared" si="28"/>
        <v>-0.76588147110063565</v>
      </c>
    </row>
    <row r="321" spans="1:7" x14ac:dyDescent="0.25">
      <c r="A321" s="1">
        <f t="shared" si="29"/>
        <v>3.1199999999999775</v>
      </c>
      <c r="B321" s="4">
        <f t="shared" si="30"/>
        <v>8.1199799456533395</v>
      </c>
      <c r="C321" s="7">
        <f t="shared" si="31"/>
        <v>0.141720385247561</v>
      </c>
      <c r="D321" s="4">
        <f t="shared" si="32"/>
        <v>8.860687026378999</v>
      </c>
      <c r="E321" s="3">
        <f t="shared" si="33"/>
        <v>0.15464816259905917</v>
      </c>
      <c r="F321" s="2">
        <f t="shared" si="34"/>
        <v>-0.23742887026742954</v>
      </c>
      <c r="G321" s="5">
        <f t="shared" si="28"/>
        <v>-0.7547591046361406</v>
      </c>
    </row>
    <row r="322" spans="1:7" x14ac:dyDescent="0.25">
      <c r="A322" s="1">
        <f t="shared" si="29"/>
        <v>3.1299999999999772</v>
      </c>
      <c r="B322" s="4">
        <f t="shared" si="30"/>
        <v>7.9888024846924832</v>
      </c>
      <c r="C322" s="7">
        <f t="shared" si="31"/>
        <v>0.13943090664938773</v>
      </c>
      <c r="D322" s="4">
        <f t="shared" si="32"/>
        <v>8.7246503043701704</v>
      </c>
      <c r="E322" s="3">
        <f t="shared" si="33"/>
        <v>0.15227387389638489</v>
      </c>
      <c r="F322" s="2">
        <f t="shared" si="34"/>
        <v>-0.24497646131379094</v>
      </c>
      <c r="G322" s="5">
        <f t="shared" si="28"/>
        <v>-0.7432618162293152</v>
      </c>
    </row>
    <row r="323" spans="1:7" x14ac:dyDescent="0.25">
      <c r="A323" s="1">
        <f t="shared" si="29"/>
        <v>3.139999999999977</v>
      </c>
      <c r="B323" s="4">
        <f t="shared" si="30"/>
        <v>7.8537106703541406</v>
      </c>
      <c r="C323" s="7">
        <f t="shared" si="31"/>
        <v>0.13707310969669076</v>
      </c>
      <c r="D323" s="4">
        <f t="shared" si="32"/>
        <v>8.5842891312368685</v>
      </c>
      <c r="E323" s="3">
        <f t="shared" si="33"/>
        <v>0.14982410928324696</v>
      </c>
      <c r="F323" s="2">
        <f t="shared" si="34"/>
        <v>-0.2524090794760841</v>
      </c>
      <c r="G323" s="5">
        <f t="shared" si="28"/>
        <v>-0.73139465109541679</v>
      </c>
    </row>
    <row r="324" spans="1:7" x14ac:dyDescent="0.25">
      <c r="A324" s="1">
        <f t="shared" si="29"/>
        <v>3.1499999999999768</v>
      </c>
      <c r="B324" s="4">
        <f t="shared" si="30"/>
        <v>7.7147706949244181</v>
      </c>
      <c r="C324" s="7">
        <f t="shared" si="31"/>
        <v>0.13464814966280209</v>
      </c>
      <c r="D324" s="4">
        <f t="shared" si="32"/>
        <v>8.4396693815892494</v>
      </c>
      <c r="E324" s="3">
        <f t="shared" si="33"/>
        <v>0.14730001848848612</v>
      </c>
      <c r="F324" s="2">
        <f t="shared" si="34"/>
        <v>-0.25972302598703828</v>
      </c>
      <c r="G324" s="5">
        <f t="shared" si="28"/>
        <v>-0.71916284422788435</v>
      </c>
    </row>
    <row r="325" spans="1:7" x14ac:dyDescent="0.25">
      <c r="A325" s="1">
        <f t="shared" si="29"/>
        <v>3.1599999999999766</v>
      </c>
      <c r="B325" s="4">
        <f t="shared" si="30"/>
        <v>7.5720506362113653</v>
      </c>
      <c r="C325" s="7">
        <f t="shared" si="31"/>
        <v>0.13215721472961969</v>
      </c>
      <c r="D325" s="4">
        <f t="shared" si="32"/>
        <v>8.2908590492750118</v>
      </c>
      <c r="E325" s="3">
        <f t="shared" si="33"/>
        <v>0.14470278822861574</v>
      </c>
      <c r="F325" s="2">
        <f t="shared" si="34"/>
        <v>-0.26691465442931711</v>
      </c>
      <c r="G325" s="5">
        <f t="shared" si="28"/>
        <v>-0.70657181959660365</v>
      </c>
    </row>
    <row r="326" spans="1:7" x14ac:dyDescent="0.25">
      <c r="A326" s="1">
        <f t="shared" si="29"/>
        <v>3.1699999999999764</v>
      </c>
      <c r="B326" s="4">
        <f t="shared" si="30"/>
        <v>7.4256204241882084</v>
      </c>
      <c r="C326" s="7">
        <f t="shared" si="31"/>
        <v>0.12960152540542222</v>
      </c>
      <c r="D326" s="4">
        <f t="shared" si="32"/>
        <v>8.1379282173850829</v>
      </c>
      <c r="E326" s="3">
        <f t="shared" si="33"/>
        <v>0.14203364168432256</v>
      </c>
      <c r="F326" s="2">
        <f t="shared" si="34"/>
        <v>-0.27398037262528313</v>
      </c>
      <c r="G326" s="5">
        <f t="shared" si="28"/>
        <v>-0.69362718921990596</v>
      </c>
    </row>
    <row r="327" spans="1:7" x14ac:dyDescent="0.25">
      <c r="A327" s="1">
        <f t="shared" si="29"/>
        <v>3.1799999999999762</v>
      </c>
      <c r="B327" s="4">
        <f t="shared" si="30"/>
        <v>7.2755518067290614</v>
      </c>
      <c r="C327" s="7">
        <f t="shared" si="31"/>
        <v>0.12698233392684424</v>
      </c>
      <c r="D327" s="4">
        <f t="shared" si="32"/>
        <v>7.9809490271765817</v>
      </c>
      <c r="E327" s="3">
        <f t="shared" si="33"/>
        <v>0.13929383795806974</v>
      </c>
      <c r="F327" s="2">
        <f t="shared" si="34"/>
        <v>-0.28091664451748222</v>
      </c>
      <c r="G327" s="5">
        <f t="shared" si="28"/>
        <v>-0.68033475210348138</v>
      </c>
    </row>
    <row r="328" spans="1:7" x14ac:dyDescent="0.25">
      <c r="A328" s="1">
        <f t="shared" si="29"/>
        <v>3.189999999999976</v>
      </c>
      <c r="B328" s="4">
        <f t="shared" si="30"/>
        <v>7.1219183144539038</v>
      </c>
      <c r="C328" s="7">
        <f t="shared" si="31"/>
        <v>0.12430092364530548</v>
      </c>
      <c r="D328" s="4">
        <f t="shared" si="32"/>
        <v>7.8199956459182953</v>
      </c>
      <c r="E328" s="3">
        <f t="shared" si="33"/>
        <v>0.13648467151289492</v>
      </c>
      <c r="F328" s="2">
        <f t="shared" si="34"/>
        <v>-0.28771999203851706</v>
      </c>
      <c r="G328" s="5">
        <f t="shared" si="28"/>
        <v>-0.66670049303960444</v>
      </c>
    </row>
    <row r="329" spans="1:7" x14ac:dyDescent="0.25">
      <c r="A329" s="1">
        <f t="shared" si="29"/>
        <v>3.1999999999999758</v>
      </c>
      <c r="B329" s="4">
        <f t="shared" si="30"/>
        <v>6.9647952247000475</v>
      </c>
      <c r="C329" s="7">
        <f t="shared" si="31"/>
        <v>0.12155860839819413</v>
      </c>
      <c r="D329" s="4">
        <f t="shared" si="32"/>
        <v>7.6551442336648474</v>
      </c>
      <c r="E329" s="3">
        <f t="shared" si="33"/>
        <v>0.13360747159250974</v>
      </c>
      <c r="F329" s="2">
        <f t="shared" si="34"/>
        <v>-0.29438699696891313</v>
      </c>
      <c r="G329" s="5">
        <f t="shared" ref="G329:G359" si="35">-$B$3/$B$4*SIN(E329)</f>
        <v>-0.65273058126031369</v>
      </c>
    </row>
    <row r="330" spans="1:7" x14ac:dyDescent="0.25">
      <c r="A330" s="1">
        <f t="shared" ref="A330:A359" si="36">A329+$B$2</f>
        <v>3.2099999999999755</v>
      </c>
      <c r="B330" s="4">
        <f t="shared" ref="B330:B359" si="37">C330*180/PI()</f>
        <v>6.8042595246377635</v>
      </c>
      <c r="C330" s="7">
        <f t="shared" ref="C330:C359" si="38">$B$9*PI()/180*COS(SQRT($B$3/$B$4)*A330)</f>
        <v>0.11875673186511319</v>
      </c>
      <c r="D330" s="4">
        <f t="shared" ref="D330:D359" si="39">E330*180/PI()</f>
        <v>7.4864729089663555</v>
      </c>
      <c r="E330" s="3">
        <f t="shared" ref="E330:E359" si="40">E329+$B$2*F329</f>
        <v>0.13066360162282062</v>
      </c>
      <c r="F330" s="2">
        <f t="shared" ref="F330:F359" si="41">F329+$B$2*G329</f>
        <v>-0.30091430278151626</v>
      </c>
      <c r="G330" s="5">
        <f t="shared" si="35"/>
        <v>-0.63843136893846975</v>
      </c>
    </row>
    <row r="331" spans="1:7" x14ac:dyDescent="0.25">
      <c r="A331" s="1">
        <f t="shared" si="36"/>
        <v>3.2199999999999753</v>
      </c>
      <c r="B331" s="4">
        <f t="shared" si="37"/>
        <v>6.6403898735480755</v>
      </c>
      <c r="C331" s="7">
        <f t="shared" si="38"/>
        <v>0.11589666690950381</v>
      </c>
      <c r="D331" s="4">
        <f t="shared" si="39"/>
        <v>7.3140617135213288</v>
      </c>
      <c r="E331" s="3">
        <f t="shared" si="40"/>
        <v>0.12765445859500546</v>
      </c>
      <c r="F331" s="2">
        <f t="shared" si="41"/>
        <v>-0.30729861647090095</v>
      </c>
      <c r="G331" s="5">
        <f t="shared" si="35"/>
        <v>-0.62380938953092691</v>
      </c>
    </row>
    <row r="332" spans="1:7" x14ac:dyDescent="0.25">
      <c r="A332" s="1">
        <f t="shared" si="36"/>
        <v>3.2299999999999751</v>
      </c>
      <c r="B332" s="4">
        <f t="shared" si="37"/>
        <v>6.473266564281313</v>
      </c>
      <c r="C332" s="7">
        <f t="shared" si="38"/>
        <v>0.11297981490597006</v>
      </c>
      <c r="D332" s="4">
        <f t="shared" si="39"/>
        <v>7.1379925757814098</v>
      </c>
      <c r="E332" s="3">
        <f t="shared" si="40"/>
        <v>0.12458147243029645</v>
      </c>
      <c r="F332" s="2">
        <f t="shared" si="41"/>
        <v>-0.31353671036621023</v>
      </c>
      <c r="G332" s="5">
        <f t="shared" si="35"/>
        <v>-0.60887135595840691</v>
      </c>
    </row>
    <row r="333" spans="1:7" x14ac:dyDescent="0.25">
      <c r="A333" s="1">
        <f t="shared" si="36"/>
        <v>3.2399999999999749</v>
      </c>
      <c r="B333" s="4">
        <f t="shared" si="37"/>
        <v>6.3029714839152122</v>
      </c>
      <c r="C333" s="7">
        <f t="shared" si="38"/>
        <v>0.11000760505363326</v>
      </c>
      <c r="D333" s="4">
        <f t="shared" si="39"/>
        <v>6.9583492735174142</v>
      </c>
      <c r="E333" s="3">
        <f t="shared" si="40"/>
        <v>0.12144610532663434</v>
      </c>
      <c r="F333" s="2">
        <f t="shared" si="41"/>
        <v>-0.31962542392579429</v>
      </c>
      <c r="G333" s="5">
        <f t="shared" si="35"/>
        <v>-0.5936241586170331</v>
      </c>
    </row>
    <row r="334" spans="1:7" x14ac:dyDescent="0.25">
      <c r="A334" s="1">
        <f t="shared" si="36"/>
        <v>3.2499999999999747</v>
      </c>
      <c r="B334" s="4">
        <f t="shared" si="37"/>
        <v>6.1295880736318873</v>
      </c>
      <c r="C334" s="7">
        <f t="shared" si="38"/>
        <v>0.10698149367585304</v>
      </c>
      <c r="D334" s="4">
        <f t="shared" si="39"/>
        <v>6.775217395357136</v>
      </c>
      <c r="E334" s="3">
        <f t="shared" si="40"/>
        <v>0.1182498510873764</v>
      </c>
      <c r="F334" s="2">
        <f t="shared" si="41"/>
        <v>-0.32556166551196464</v>
      </c>
      <c r="G334" s="5">
        <f t="shared" si="35"/>
        <v>-0.5780748632168986</v>
      </c>
    </row>
    <row r="335" spans="1:7" x14ac:dyDescent="0.25">
      <c r="A335" s="1">
        <f t="shared" si="36"/>
        <v>3.2599999999999745</v>
      </c>
      <c r="B335" s="4">
        <f t="shared" si="37"/>
        <v>5.9532012878333216</v>
      </c>
      <c r="C335" s="7">
        <f t="shared" si="38"/>
        <v>0.10390296350665809</v>
      </c>
      <c r="D335" s="4">
        <f t="shared" si="39"/>
        <v>6.5886843013062828</v>
      </c>
      <c r="E335" s="3">
        <f t="shared" si="40"/>
        <v>0.11499423443225676</v>
      </c>
      <c r="F335" s="2">
        <f t="shared" si="41"/>
        <v>-0.33134241414413362</v>
      </c>
      <c r="G335" s="5">
        <f t="shared" si="35"/>
        <v>-0.56223070844347633</v>
      </c>
    </row>
    <row r="336" spans="1:7" x14ac:dyDescent="0.25">
      <c r="A336" s="1">
        <f t="shared" si="36"/>
        <v>3.2699999999999743</v>
      </c>
      <c r="B336" s="4">
        <f t="shared" si="37"/>
        <v>5.7738975525154084</v>
      </c>
      <c r="C336" s="7">
        <f t="shared" si="38"/>
        <v>0.10077352296423607</v>
      </c>
      <c r="D336" s="4">
        <f t="shared" si="39"/>
        <v>6.3988390822649359</v>
      </c>
      <c r="E336" s="3">
        <f t="shared" si="40"/>
        <v>0.11168081029081542</v>
      </c>
      <c r="F336" s="2">
        <f t="shared" si="41"/>
        <v>-0.33696472122856841</v>
      </c>
      <c r="G336" s="5">
        <f t="shared" si="35"/>
        <v>-0.5460991034381415</v>
      </c>
    </row>
    <row r="337" spans="1:7" x14ac:dyDescent="0.25">
      <c r="A337" s="1">
        <f t="shared" si="36"/>
        <v>3.279999999999974</v>
      </c>
      <c r="B337" s="4">
        <f t="shared" si="37"/>
        <v>5.5917647229209404</v>
      </c>
      <c r="C337" s="7">
        <f t="shared" si="38"/>
        <v>9.7594705411838845E-2</v>
      </c>
      <c r="D337" s="4">
        <f t="shared" si="39"/>
        <v>6.2057725185529424</v>
      </c>
      <c r="E337" s="3">
        <f t="shared" si="40"/>
        <v>0.10831116307852974</v>
      </c>
      <c r="F337" s="2">
        <f t="shared" si="41"/>
        <v>-0.34242571226294982</v>
      </c>
      <c r="G337" s="5">
        <f t="shared" si="35"/>
        <v>-0.52968762509456868</v>
      </c>
    </row>
    <row r="338" spans="1:7" x14ac:dyDescent="0.25">
      <c r="A338" s="1">
        <f t="shared" si="36"/>
        <v>3.2899999999999738</v>
      </c>
      <c r="B338" s="4">
        <f t="shared" si="37"/>
        <v>5.4068920404923091</v>
      </c>
      <c r="C338" s="7">
        <f t="shared" si="38"/>
        <v>9.4368068406465361E-2</v>
      </c>
      <c r="D338" s="4">
        <f t="shared" si="39"/>
        <v>6.0095770374586603</v>
      </c>
      <c r="E338" s="3">
        <f t="shared" si="40"/>
        <v>0.10488690595590024</v>
      </c>
      <c r="F338" s="2">
        <f t="shared" si="41"/>
        <v>-0.34772258851389548</v>
      </c>
      <c r="G338" s="5">
        <f t="shared" si="35"/>
        <v>-0.51300401516827954</v>
      </c>
    </row>
    <row r="339" spans="1:7" x14ac:dyDescent="0.25">
      <c r="A339" s="1">
        <f t="shared" si="36"/>
        <v>3.2999999999999736</v>
      </c>
      <c r="B339" s="4">
        <f t="shared" si="37"/>
        <v>5.2193700891449604</v>
      </c>
      <c r="C339" s="7">
        <f t="shared" si="38"/>
        <v>9.1095192935689503E-2</v>
      </c>
      <c r="D339" s="4">
        <f t="shared" si="39"/>
        <v>5.8103466698265578</v>
      </c>
      <c r="E339" s="3">
        <f t="shared" si="40"/>
        <v>0.10140968007076129</v>
      </c>
      <c r="F339" s="2">
        <f t="shared" si="41"/>
        <v>-0.35285262866557826</v>
      </c>
      <c r="G339" s="5">
        <f t="shared" si="35"/>
        <v>-0.49605617719714906</v>
      </c>
    </row>
    <row r="340" spans="1:7" x14ac:dyDescent="0.25">
      <c r="A340" s="1">
        <f t="shared" si="36"/>
        <v>3.3099999999999734</v>
      </c>
      <c r="B340" s="4">
        <f t="shared" si="37"/>
        <v>5.0292907508831286</v>
      </c>
      <c r="C340" s="7">
        <f t="shared" si="38"/>
        <v>8.7777682643008503E-2</v>
      </c>
      <c r="D340" s="4">
        <f t="shared" si="39"/>
        <v>5.6081770057002123</v>
      </c>
      <c r="E340" s="3">
        <f t="shared" si="40"/>
        <v>9.7881153784105501E-2</v>
      </c>
      <c r="F340" s="2">
        <f t="shared" si="41"/>
        <v>-0.35781319043754978</v>
      </c>
      <c r="G340" s="5">
        <f t="shared" si="35"/>
        <v>-0.47885217323123475</v>
      </c>
    </row>
    <row r="341" spans="1:7" x14ac:dyDescent="0.25">
      <c r="A341" s="1">
        <f t="shared" si="36"/>
        <v>3.3199999999999732</v>
      </c>
      <c r="B341" s="4">
        <f t="shared" si="37"/>
        <v>4.8367471607794457</v>
      </c>
      <c r="C341" s="7">
        <f t="shared" si="38"/>
        <v>8.4417163042088864E-2</v>
      </c>
      <c r="D341" s="4">
        <f t="shared" si="39"/>
        <v>5.4031651490383883</v>
      </c>
      <c r="E341" s="3">
        <f t="shared" si="40"/>
        <v>9.4303021879729998E-2</v>
      </c>
      <c r="F341" s="2">
        <f t="shared" si="41"/>
        <v>-0.36260171216986214</v>
      </c>
      <c r="G341" s="5">
        <f t="shared" si="35"/>
        <v>-0.46140022037086453</v>
      </c>
    </row>
    <row r="342" spans="1:7" x14ac:dyDescent="0.25">
      <c r="A342" s="1">
        <f t="shared" si="36"/>
        <v>3.329999999999973</v>
      </c>
      <c r="B342" s="4">
        <f t="shared" si="37"/>
        <v>4.6418336613406499</v>
      </c>
      <c r="C342" s="7">
        <f t="shared" si="38"/>
        <v>8.1015280720297761E-2</v>
      </c>
      <c r="D342" s="4">
        <f t="shared" si="39"/>
        <v>5.1954096715228832</v>
      </c>
      <c r="E342" s="3">
        <f t="shared" si="40"/>
        <v>9.0677004758031379E-2</v>
      </c>
      <c r="F342" s="2">
        <f t="shared" si="41"/>
        <v>-0.36721571437357081</v>
      </c>
      <c r="G342" s="5">
        <f t="shared" si="35"/>
        <v>-0.44370868711250561</v>
      </c>
    </row>
    <row r="343" spans="1:7" x14ac:dyDescent="0.25">
      <c r="A343" s="1">
        <f t="shared" si="36"/>
        <v>3.3399999999999728</v>
      </c>
      <c r="B343" s="4">
        <f t="shared" si="37"/>
        <v>4.4446457562816359</v>
      </c>
      <c r="C343" s="7">
        <f t="shared" si="38"/>
        <v>7.7573702531907984E-2</v>
      </c>
      <c r="D343" s="4">
        <f t="shared" si="39"/>
        <v>4.985010565478011</v>
      </c>
      <c r="E343" s="3">
        <f t="shared" si="40"/>
        <v>8.7004847614295666E-2</v>
      </c>
      <c r="F343" s="2">
        <f t="shared" si="41"/>
        <v>-0.37165280124469585</v>
      </c>
      <c r="G343" s="5">
        <f t="shared" si="35"/>
        <v>-0.4257860895025331</v>
      </c>
    </row>
    <row r="344" spans="1:7" x14ac:dyDescent="0.25">
      <c r="A344" s="1">
        <f t="shared" si="36"/>
        <v>3.3499999999999726</v>
      </c>
      <c r="B344" s="4">
        <f t="shared" si="37"/>
        <v>4.2452800637305455</v>
      </c>
      <c r="C344" s="7">
        <f t="shared" si="38"/>
        <v>7.4094114781372719E-2</v>
      </c>
      <c r="D344" s="4">
        <f t="shared" si="39"/>
        <v>4.772069195922656</v>
      </c>
      <c r="E344" s="3">
        <f t="shared" si="40"/>
        <v>8.3288319601848709E-2</v>
      </c>
      <c r="F344" s="2">
        <f t="shared" si="41"/>
        <v>-0.37591066213972119</v>
      </c>
      <c r="G344" s="5">
        <f t="shared" si="35"/>
        <v>-0.40764108709963193</v>
      </c>
    </row>
    <row r="345" spans="1:7" x14ac:dyDescent="0.25">
      <c r="A345" s="1">
        <f t="shared" si="36"/>
        <v>3.3599999999999723</v>
      </c>
      <c r="B345" s="4">
        <f t="shared" si="37"/>
        <v>4.0438342688878182</v>
      </c>
      <c r="C345" s="7">
        <f t="shared" si="38"/>
        <v>7.0578222397070123E-2</v>
      </c>
      <c r="D345" s="4">
        <f t="shared" si="39"/>
        <v>4.5566882517769134</v>
      </c>
      <c r="E345" s="3">
        <f t="shared" si="40"/>
        <v>7.95292129804515E-2</v>
      </c>
      <c r="F345" s="2">
        <f t="shared" si="41"/>
        <v>-0.37998707301071749</v>
      </c>
      <c r="G345" s="5">
        <f t="shared" si="35"/>
        <v>-0.38928247874717453</v>
      </c>
    </row>
    <row r="346" spans="1:7" x14ac:dyDescent="0.25">
      <c r="A346" s="1">
        <f t="shared" si="36"/>
        <v>3.3699999999999721</v>
      </c>
      <c r="B346" s="4">
        <f t="shared" si="37"/>
        <v>3.8404070761623985</v>
      </c>
      <c r="C346" s="7">
        <f t="shared" si="38"/>
        <v>6.702774809592249E-2</v>
      </c>
      <c r="D346" s="4">
        <f t="shared" si="39"/>
        <v>4.3389716962464773</v>
      </c>
      <c r="E346" s="3">
        <f t="shared" si="40"/>
        <v>7.572934225034432E-2</v>
      </c>
      <c r="F346" s="2">
        <f t="shared" si="41"/>
        <v>-0.38387989779818926</v>
      </c>
      <c r="G346" s="5">
        <f t="shared" si="35"/>
        <v>-0.37071919815754456</v>
      </c>
    </row>
    <row r="347" spans="1:7" x14ac:dyDescent="0.25">
      <c r="A347" s="1">
        <f t="shared" si="36"/>
        <v>3.3799999999999719</v>
      </c>
      <c r="B347" s="4">
        <f t="shared" si="37"/>
        <v>3.6350981608085489</v>
      </c>
      <c r="C347" s="7">
        <f t="shared" si="38"/>
        <v>6.3444431539299476E-2</v>
      </c>
      <c r="D347" s="4">
        <f t="shared" si="39"/>
        <v>4.1190247164089815</v>
      </c>
      <c r="E347" s="3">
        <f t="shared" si="40"/>
        <v>7.1890543272362425E-2</v>
      </c>
      <c r="F347" s="2">
        <f t="shared" si="41"/>
        <v>-0.38758708977976469</v>
      </c>
      <c r="G347" s="5">
        <f t="shared" si="35"/>
        <v>-0.35196030931099515</v>
      </c>
    </row>
    <row r="348" spans="1:7" x14ac:dyDescent="0.25">
      <c r="A348" s="1">
        <f t="shared" si="36"/>
        <v>3.3899999999999717</v>
      </c>
      <c r="B348" s="4">
        <f t="shared" si="37"/>
        <v>3.4280081200869716</v>
      </c>
      <c r="C348" s="7">
        <f t="shared" si="38"/>
        <v>5.9830028480618816E-2</v>
      </c>
      <c r="D348" s="4">
        <f t="shared" si="39"/>
        <v>3.8969536720275948</v>
      </c>
      <c r="E348" s="3">
        <f t="shared" si="40"/>
        <v>6.801467237456478E-2</v>
      </c>
      <c r="F348" s="2">
        <f t="shared" si="41"/>
        <v>-0.39110669287287464</v>
      </c>
      <c r="G348" s="5">
        <f t="shared" si="35"/>
        <v>-0.3330150016722554</v>
      </c>
    </row>
    <row r="349" spans="1:7" x14ac:dyDescent="0.25">
      <c r="A349" s="1">
        <f t="shared" si="36"/>
        <v>3.3999999999999715</v>
      </c>
      <c r="B349" s="4">
        <f t="shared" si="37"/>
        <v>3.2192384239741605</v>
      </c>
      <c r="C349" s="7">
        <f t="shared" si="38"/>
        <v>5.6186309905062258E-2</v>
      </c>
      <c r="D349" s="4">
        <f t="shared" si="39"/>
        <v>3.6728660436182445</v>
      </c>
      <c r="E349" s="3">
        <f t="shared" si="40"/>
        <v>6.4103605445836029E-2</v>
      </c>
      <c r="F349" s="2">
        <f t="shared" si="41"/>
        <v>-0.39443684288959718</v>
      </c>
      <c r="G349" s="5">
        <f t="shared" si="35"/>
        <v>-0.31389258522871566</v>
      </c>
    </row>
    <row r="350" spans="1:7" x14ac:dyDescent="0.25">
      <c r="A350" s="1">
        <f t="shared" si="36"/>
        <v>3.4099999999999713</v>
      </c>
      <c r="B350" s="4">
        <f t="shared" si="37"/>
        <v>3.0088913654441369</v>
      </c>
      <c r="C350" s="7">
        <f t="shared" si="38"/>
        <v>5.2515061161828122E-2</v>
      </c>
      <c r="D350" s="4">
        <f t="shared" si="39"/>
        <v>3.4468703797978577</v>
      </c>
      <c r="E350" s="3">
        <f t="shared" si="40"/>
        <v>6.0159237016940058E-2</v>
      </c>
      <c r="F350" s="2">
        <f t="shared" si="41"/>
        <v>-0.39757576874188433</v>
      </c>
      <c r="G350" s="5">
        <f t="shared" si="35"/>
        <v>-0.29460248535463568</v>
      </c>
    </row>
    <row r="351" spans="1:7" x14ac:dyDescent="0.25">
      <c r="A351" s="1">
        <f t="shared" si="36"/>
        <v>3.4199999999999711</v>
      </c>
      <c r="B351" s="4">
        <f t="shared" si="37"/>
        <v>2.7970700103469719</v>
      </c>
      <c r="C351" s="7">
        <f t="shared" si="38"/>
        <v>4.8818081089346523E-2</v>
      </c>
      <c r="D351" s="4">
        <f t="shared" si="39"/>
        <v>3.2190762439420659</v>
      </c>
      <c r="E351" s="3">
        <f t="shared" si="40"/>
        <v>5.6183479329521217E-2</v>
      </c>
      <c r="F351" s="2">
        <f t="shared" si="41"/>
        <v>-0.40052179359543066</v>
      </c>
      <c r="G351" s="5">
        <f t="shared" si="35"/>
        <v>-0.27515423750642182</v>
      </c>
    </row>
    <row r="352" spans="1:7" x14ac:dyDescent="0.25">
      <c r="A352" s="1">
        <f t="shared" si="36"/>
        <v>3.4299999999999708</v>
      </c>
      <c r="B352" s="4">
        <f t="shared" si="37"/>
        <v>2.5838781469085323</v>
      </c>
      <c r="C352" s="7">
        <f t="shared" si="38"/>
        <v>4.5097181133883633E-2</v>
      </c>
      <c r="D352" s="4">
        <f t="shared" si="39"/>
        <v>2.989594160181785</v>
      </c>
      <c r="E352" s="3">
        <f t="shared" si="40"/>
        <v>5.2178261393566912E-2</v>
      </c>
      <c r="F352" s="2">
        <f t="shared" si="41"/>
        <v>-0.40327333597049486</v>
      </c>
      <c r="G352" s="5">
        <f t="shared" si="35"/>
        <v>-0.25555748175461085</v>
      </c>
    </row>
    <row r="353" spans="1:7" x14ac:dyDescent="0.25">
      <c r="A353" s="1">
        <f t="shared" si="36"/>
        <v>3.4399999999999706</v>
      </c>
      <c r="B353" s="4">
        <f t="shared" si="37"/>
        <v>2.3694202348763591</v>
      </c>
      <c r="C353" s="7">
        <f t="shared" si="38"/>
        <v>4.135418446196984E-2</v>
      </c>
      <c r="D353" s="4">
        <f t="shared" si="39"/>
        <v>2.7585355587690787</v>
      </c>
      <c r="E353" s="3">
        <f t="shared" si="40"/>
        <v>4.8145528033861962E-2</v>
      </c>
      <c r="F353" s="2">
        <f t="shared" si="41"/>
        <v>-0.40582891078804095</v>
      </c>
      <c r="G353" s="5">
        <f t="shared" si="35"/>
        <v>-0.23582195715877541</v>
      </c>
    </row>
    <row r="354" spans="1:7" x14ac:dyDescent="0.25">
      <c r="A354" s="1">
        <f t="shared" si="36"/>
        <v>3.4499999999999704</v>
      </c>
      <c r="B354" s="4">
        <f t="shared" si="37"/>
        <v>2.1538013543364709</v>
      </c>
      <c r="C354" s="7">
        <f t="shared" si="38"/>
        <v>3.7590925067084467E-2</v>
      </c>
      <c r="D354" s="4">
        <f t="shared" si="39"/>
        <v>2.5260127208436192</v>
      </c>
      <c r="E354" s="3">
        <f t="shared" si="40"/>
        <v>4.4087238925981549E-2</v>
      </c>
      <c r="F354" s="2">
        <f t="shared" si="41"/>
        <v>-0.40818713035962872</v>
      </c>
      <c r="G354" s="5">
        <f t="shared" si="35"/>
        <v>-0.21595749599212247</v>
      </c>
    </row>
    <row r="355" spans="1:7" x14ac:dyDescent="0.25">
      <c r="A355" s="1">
        <f t="shared" si="36"/>
        <v>3.4599999999999702</v>
      </c>
      <c r="B355" s="4">
        <f t="shared" si="37"/>
        <v>1.9371271542262303</v>
      </c>
      <c r="C355" s="7">
        <f t="shared" si="38"/>
        <v>3.3809246871035703E-2</v>
      </c>
      <c r="D355" s="4">
        <f t="shared" si="39"/>
        <v>2.2921387226319885</v>
      </c>
      <c r="E355" s="3">
        <f t="shared" si="40"/>
        <v>4.0005367622385261E-2</v>
      </c>
      <c r="F355" s="2">
        <f t="shared" si="41"/>
        <v>-0.41034670531954998</v>
      </c>
      <c r="G355" s="5">
        <f t="shared" si="35"/>
        <v>-0.19597401782309787</v>
      </c>
    </row>
    <row r="356" spans="1:7" x14ac:dyDescent="0.25">
      <c r="A356" s="1">
        <f t="shared" si="36"/>
        <v>3.46999999999997</v>
      </c>
      <c r="B356" s="4">
        <f t="shared" si="37"/>
        <v>1.7195038005684711</v>
      </c>
      <c r="C356" s="7">
        <f t="shared" si="38"/>
        <v>3.0011002820475766E-2</v>
      </c>
      <c r="D356" s="4">
        <f t="shared" si="39"/>
        <v>2.0570273791129017</v>
      </c>
      <c r="E356" s="3">
        <f t="shared" si="40"/>
        <v>3.5901900569189765E-2</v>
      </c>
      <c r="F356" s="2">
        <f t="shared" si="41"/>
        <v>-0.41230644549778095</v>
      </c>
      <c r="G356" s="5">
        <f t="shared" si="35"/>
        <v>-0.1758815234618242</v>
      </c>
    </row>
    <row r="357" spans="1:7" x14ac:dyDescent="0.25">
      <c r="A357" s="1">
        <f t="shared" si="36"/>
        <v>3.4799999999999698</v>
      </c>
      <c r="B357" s="4">
        <f t="shared" si="37"/>
        <v>1.5010379244522771</v>
      </c>
      <c r="C357" s="7">
        <f t="shared" si="38"/>
        <v>2.6198053978994135E-2</v>
      </c>
      <c r="D357" s="4">
        <f t="shared" si="39"/>
        <v>1.820793187182266</v>
      </c>
      <c r="E357" s="3">
        <f t="shared" si="40"/>
        <v>3.1778836114211957E-2</v>
      </c>
      <c r="F357" s="2">
        <f t="shared" si="41"/>
        <v>-0.41406526073239919</v>
      </c>
      <c r="G357" s="5">
        <f t="shared" si="35"/>
        <v>-0.15569008877969071</v>
      </c>
    </row>
    <row r="358" spans="1:7" x14ac:dyDescent="0.25">
      <c r="A358" s="1">
        <f t="shared" si="36"/>
        <v>3.4899999999999696</v>
      </c>
      <c r="B358" s="4">
        <f t="shared" si="37"/>
        <v>1.281836569785878</v>
      </c>
      <c r="C358" s="7">
        <f t="shared" si="38"/>
        <v>2.2372268615233636E-2</v>
      </c>
      <c r="D358" s="4">
        <f t="shared" si="39"/>
        <v>1.5835512683527611</v>
      </c>
      <c r="E358" s="3">
        <f t="shared" si="40"/>
        <v>2.7638183506887966E-2</v>
      </c>
      <c r="F358" s="2">
        <f t="shared" si="41"/>
        <v>-0.41562216162019611</v>
      </c>
      <c r="G358" s="5">
        <f t="shared" si="35"/>
        <v>-0.1354098584108778</v>
      </c>
    </row>
    <row r="359" spans="1:7" x14ac:dyDescent="0.25">
      <c r="A359" s="1">
        <f t="shared" si="36"/>
        <v>3.4999999999999694</v>
      </c>
      <c r="B359" s="4">
        <f t="shared" si="37"/>
        <v>1.0620071408472782</v>
      </c>
      <c r="C359" s="7">
        <f t="shared" si="38"/>
        <v>1.8535521287476167E-2</v>
      </c>
      <c r="D359" s="4">
        <f t="shared" si="39"/>
        <v>1.3454173110233472</v>
      </c>
      <c r="E359" s="3">
        <f t="shared" si="40"/>
        <v>2.3481961890686007E-2</v>
      </c>
      <c r="F359" s="2">
        <f t="shared" si="41"/>
        <v>-0.41697626020430489</v>
      </c>
      <c r="G359" s="5">
        <f t="shared" si="35"/>
        <v>-0.11505103934503207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Q360"/>
  <sheetViews>
    <sheetView zoomScale="180" zoomScaleNormal="180" workbookViewId="0">
      <selection activeCell="B11" sqref="B11"/>
    </sheetView>
  </sheetViews>
  <sheetFormatPr defaultColWidth="7.28515625" defaultRowHeight="15" x14ac:dyDescent="0.25"/>
  <cols>
    <col min="1" max="2" width="7.28515625" customWidth="1"/>
    <col min="3" max="3" width="7.28515625" style="1" customWidth="1"/>
    <col min="4" max="12" width="7.28515625" customWidth="1"/>
    <col min="13" max="13" width="7.28515625" style="1" customWidth="1"/>
  </cols>
  <sheetData>
    <row r="1" spans="1:17" x14ac:dyDescent="0.25">
      <c r="A1" s="20" t="s">
        <v>52</v>
      </c>
    </row>
    <row r="2" spans="1:17" x14ac:dyDescent="0.25">
      <c r="A2" s="21" t="s">
        <v>21</v>
      </c>
      <c r="B2" s="19">
        <v>0.01</v>
      </c>
      <c r="D2" s="20" t="s">
        <v>14</v>
      </c>
    </row>
    <row r="3" spans="1:17" x14ac:dyDescent="0.25">
      <c r="A3" s="21" t="s">
        <v>20</v>
      </c>
      <c r="B3" s="19">
        <v>9.8000000000000007</v>
      </c>
      <c r="C3" s="1" t="s">
        <v>19</v>
      </c>
      <c r="D3" s="20" t="s">
        <v>13</v>
      </c>
    </row>
    <row r="4" spans="1:17" x14ac:dyDescent="0.25">
      <c r="A4" s="21" t="s">
        <v>17</v>
      </c>
      <c r="B4" s="28">
        <v>2</v>
      </c>
      <c r="C4" s="1" t="s">
        <v>16</v>
      </c>
      <c r="D4" s="20" t="s">
        <v>12</v>
      </c>
      <c r="K4" s="15"/>
    </row>
    <row r="7" spans="1:17" x14ac:dyDescent="0.25">
      <c r="D7" s="29" t="s">
        <v>45</v>
      </c>
    </row>
    <row r="8" spans="1:17" x14ac:dyDescent="0.25">
      <c r="B8" t="s">
        <v>18</v>
      </c>
      <c r="D8" t="s">
        <v>9</v>
      </c>
      <c r="H8" t="s">
        <v>15</v>
      </c>
    </row>
    <row r="9" spans="1:17" ht="15.75" thickBot="1" x14ac:dyDescent="0.3">
      <c r="A9" s="30" t="s">
        <v>8</v>
      </c>
      <c r="B9" s="31" t="s">
        <v>1</v>
      </c>
      <c r="C9" s="41" t="s">
        <v>47</v>
      </c>
      <c r="D9" s="32" t="s">
        <v>43</v>
      </c>
      <c r="E9" s="30" t="s">
        <v>42</v>
      </c>
      <c r="F9" s="30" t="s">
        <v>41</v>
      </c>
      <c r="G9" s="33" t="s">
        <v>40</v>
      </c>
      <c r="H9" s="34" t="s">
        <v>0</v>
      </c>
      <c r="I9" s="34" t="s">
        <v>39</v>
      </c>
      <c r="J9" s="34" t="s">
        <v>38</v>
      </c>
      <c r="K9" s="34" t="s">
        <v>37</v>
      </c>
      <c r="L9" s="35" t="s">
        <v>36</v>
      </c>
      <c r="M9" s="40" t="s">
        <v>35</v>
      </c>
    </row>
    <row r="10" spans="1:17" x14ac:dyDescent="0.25">
      <c r="A10" s="27">
        <v>0</v>
      </c>
      <c r="B10" s="37">
        <v>10</v>
      </c>
      <c r="C10" s="42">
        <f>B10*PI()/180</f>
        <v>0.17453292519943295</v>
      </c>
      <c r="D10" s="26">
        <f t="shared" ref="D10:D73" si="0">H10</f>
        <v>0</v>
      </c>
      <c r="E10" s="36">
        <f t="shared" ref="E10:E73" si="1">H10+$B$2/2*D10</f>
        <v>0</v>
      </c>
      <c r="F10" s="36">
        <f t="shared" ref="F10:F73" si="2">H10+$B$2/2*E10</f>
        <v>0</v>
      </c>
      <c r="G10" s="38">
        <f t="shared" ref="G10:G73" si="3">H10+$B$2*F10</f>
        <v>0</v>
      </c>
      <c r="H10" s="39">
        <v>0</v>
      </c>
      <c r="I10" s="36">
        <f t="shared" ref="I10:I73" si="4">-$B$3/$B$4*SIN(C10)</f>
        <v>-0.85087607056795866</v>
      </c>
      <c r="J10" s="36">
        <f t="shared" ref="J10:J73" si="5">-$B$3/$B$4*SIN(C10+1/2*$B$2*I10)</f>
        <v>-0.83033867308397658</v>
      </c>
      <c r="K10" s="36">
        <f t="shared" ref="K10:K73" si="6">-$B$3/$B$4*SIN(C10+1/2*$B$2*J10)</f>
        <v>-0.83083455795416938</v>
      </c>
      <c r="L10" s="38">
        <f t="shared" ref="L10:L73" si="7">-$B$3/$B$4*SIN(C10+$B$2*K10)</f>
        <v>-0.81075476120141432</v>
      </c>
      <c r="M10" s="24">
        <f t="shared" ref="M10:M73" si="8">$B$10*PI()/180*COS(SQRT($B$3/$B$4)*A10)*180/PI()</f>
        <v>10</v>
      </c>
    </row>
    <row r="11" spans="1:17" x14ac:dyDescent="0.25">
      <c r="A11" s="1">
        <f t="shared" ref="A11:A74" si="9">A10+$B$2</f>
        <v>0.01</v>
      </c>
      <c r="B11" s="4">
        <f t="shared" ref="B11:B74" si="10">C11*180/PI()</f>
        <v>10</v>
      </c>
      <c r="C11" s="43">
        <f t="shared" ref="C11:C74" si="11">C10+$B$2*(D10+2*E10+2*F10+G10)/6</f>
        <v>0.17453292519943295</v>
      </c>
      <c r="D11" s="3">
        <f t="shared" si="0"/>
        <v>-8.3066288230761089E-3</v>
      </c>
      <c r="E11" s="2">
        <f t="shared" si="1"/>
        <v>-8.3481619671914899E-3</v>
      </c>
      <c r="F11" s="2">
        <f t="shared" si="2"/>
        <v>-8.3483696329120661E-3</v>
      </c>
      <c r="G11" s="14">
        <f t="shared" si="3"/>
        <v>-8.3901125194052288E-3</v>
      </c>
      <c r="H11" s="1">
        <f t="shared" ref="H11:H74" si="12">H10+$B$2*(I10+2*J10+2*K10+L10)/6</f>
        <v>-8.3066288230761089E-3</v>
      </c>
      <c r="I11" s="1">
        <f t="shared" si="4"/>
        <v>-0.85087607056795866</v>
      </c>
      <c r="J11" s="1">
        <f t="shared" si="5"/>
        <v>-0.83033867308397658</v>
      </c>
      <c r="K11" s="1">
        <f t="shared" si="6"/>
        <v>-0.83083455795416938</v>
      </c>
      <c r="L11" s="14">
        <f t="shared" si="7"/>
        <v>-0.81075476120141432</v>
      </c>
      <c r="M11" s="7">
        <f t="shared" si="8"/>
        <v>9.9975501000400318</v>
      </c>
      <c r="P11" s="12"/>
    </row>
    <row r="12" spans="1:17" x14ac:dyDescent="0.25">
      <c r="A12" s="1">
        <f t="shared" si="9"/>
        <v>0.02</v>
      </c>
      <c r="B12" s="4">
        <f t="shared" si="10"/>
        <v>9.9952167760051136</v>
      </c>
      <c r="C12" s="43">
        <f t="shared" si="11"/>
        <v>0.17444944219186179</v>
      </c>
      <c r="D12" s="3">
        <f t="shared" si="0"/>
        <v>-1.6613257646152218E-2</v>
      </c>
      <c r="E12" s="2">
        <f t="shared" si="1"/>
        <v>-1.669632393438298E-2</v>
      </c>
      <c r="F12" s="2">
        <f t="shared" si="2"/>
        <v>-1.6696739265824132E-2</v>
      </c>
      <c r="G12" s="14">
        <f t="shared" si="3"/>
        <v>-1.6780225038810458E-2</v>
      </c>
      <c r="H12" s="1">
        <f t="shared" si="12"/>
        <v>-1.6613257646152218E-2</v>
      </c>
      <c r="I12" s="1">
        <f t="shared" si="4"/>
        <v>-0.8504732155091792</v>
      </c>
      <c r="J12" s="1">
        <f t="shared" si="5"/>
        <v>-0.82994524688282068</v>
      </c>
      <c r="K12" s="1">
        <f t="shared" si="6"/>
        <v>-0.83044091103460449</v>
      </c>
      <c r="L12" s="14">
        <f t="shared" si="7"/>
        <v>-0.81037035311374173</v>
      </c>
      <c r="M12" s="7">
        <f t="shared" si="8"/>
        <v>9.9902016005620933</v>
      </c>
      <c r="P12" s="12"/>
      <c r="Q12" s="11"/>
    </row>
    <row r="13" spans="1:17" x14ac:dyDescent="0.25">
      <c r="A13" s="1">
        <f t="shared" si="9"/>
        <v>0.03</v>
      </c>
      <c r="B13" s="4">
        <f t="shared" si="10"/>
        <v>9.9856503280153426</v>
      </c>
      <c r="C13" s="43">
        <f t="shared" si="11"/>
        <v>0.17428247617671949</v>
      </c>
      <c r="D13" s="3">
        <f t="shared" si="0"/>
        <v>-2.4915950786915171E-2</v>
      </c>
      <c r="E13" s="2">
        <f t="shared" si="1"/>
        <v>-2.5040530540849745E-2</v>
      </c>
      <c r="F13" s="2">
        <f t="shared" si="2"/>
        <v>-2.5041153439619421E-2</v>
      </c>
      <c r="G13" s="14">
        <f t="shared" si="3"/>
        <v>-2.5166362321311364E-2</v>
      </c>
      <c r="H13" s="1">
        <f t="shared" si="12"/>
        <v>-2.4915950786915171E-2</v>
      </c>
      <c r="I13" s="1">
        <f t="shared" si="4"/>
        <v>-0.84966748761253208</v>
      </c>
      <c r="J13" s="1">
        <f t="shared" si="5"/>
        <v>-0.82915837838700202</v>
      </c>
      <c r="K13" s="1">
        <f t="shared" si="6"/>
        <v>-0.82965360103225227</v>
      </c>
      <c r="L13" s="14">
        <f t="shared" si="7"/>
        <v>-0.80960152233871774</v>
      </c>
      <c r="M13" s="7">
        <f t="shared" si="8"/>
        <v>9.9779581021838979</v>
      </c>
    </row>
    <row r="14" spans="1:17" x14ac:dyDescent="0.25">
      <c r="A14" s="1">
        <f t="shared" si="9"/>
        <v>0.04</v>
      </c>
      <c r="B14" s="4">
        <f t="shared" si="10"/>
        <v>9.9713029223231224</v>
      </c>
      <c r="C14" s="43">
        <f t="shared" si="11"/>
        <v>0.17403206670827087</v>
      </c>
      <c r="D14" s="3">
        <f t="shared" si="0"/>
        <v>-3.3210772401564767E-2</v>
      </c>
      <c r="E14" s="2">
        <f t="shared" si="1"/>
        <v>-3.3376826263572593E-2</v>
      </c>
      <c r="F14" s="2">
        <f t="shared" si="2"/>
        <v>-3.3377656532882632E-2</v>
      </c>
      <c r="G14" s="14">
        <f t="shared" si="3"/>
        <v>-3.3544548966893593E-2</v>
      </c>
      <c r="H14" s="1">
        <f t="shared" si="12"/>
        <v>-3.3210772401564767E-2</v>
      </c>
      <c r="I14" s="1">
        <f t="shared" si="4"/>
        <v>-0.84845904225018876</v>
      </c>
      <c r="J14" s="1">
        <f t="shared" si="5"/>
        <v>-0.82797822186712466</v>
      </c>
      <c r="K14" s="1">
        <f t="shared" si="6"/>
        <v>-0.82847278218307441</v>
      </c>
      <c r="L14" s="14">
        <f t="shared" si="7"/>
        <v>-0.80844842185706589</v>
      </c>
      <c r="M14" s="7">
        <f t="shared" si="8"/>
        <v>9.9608256039746834</v>
      </c>
    </row>
    <row r="15" spans="1:17" x14ac:dyDescent="0.25">
      <c r="A15" s="1">
        <f t="shared" si="9"/>
        <v>0.05</v>
      </c>
      <c r="B15" s="4">
        <f t="shared" si="10"/>
        <v>9.9521790916063164</v>
      </c>
      <c r="C15" s="43">
        <f t="shared" si="11"/>
        <v>0.17369829289666858</v>
      </c>
      <c r="D15" s="3">
        <f t="shared" si="0"/>
        <v>-4.1493788188577525E-2</v>
      </c>
      <c r="E15" s="2">
        <f t="shared" si="1"/>
        <v>-4.1701257129520414E-2</v>
      </c>
      <c r="F15" s="2">
        <f t="shared" si="2"/>
        <v>-4.1702294474225125E-2</v>
      </c>
      <c r="G15" s="14">
        <f t="shared" si="3"/>
        <v>-4.1910811133319778E-2</v>
      </c>
      <c r="H15" s="1">
        <f t="shared" si="12"/>
        <v>-4.1493788188577525E-2</v>
      </c>
      <c r="I15" s="1">
        <f t="shared" si="4"/>
        <v>-0.84684820809361794</v>
      </c>
      <c r="J15" s="1">
        <f t="shared" si="5"/>
        <v>-0.82640510209270135</v>
      </c>
      <c r="K15" s="1">
        <f t="shared" si="6"/>
        <v>-0.82689877925754407</v>
      </c>
      <c r="L15" s="14">
        <f t="shared" si="7"/>
        <v>-0.80691137235292154</v>
      </c>
      <c r="M15" s="7">
        <f t="shared" si="8"/>
        <v>9.9388125005157839</v>
      </c>
    </row>
    <row r="16" spans="1:17" x14ac:dyDescent="0.25">
      <c r="A16" s="1">
        <f t="shared" si="9"/>
        <v>6.0000000000000005E-2</v>
      </c>
      <c r="B16" s="4">
        <f t="shared" si="10"/>
        <v>9.9282856340401207</v>
      </c>
      <c r="C16" s="43">
        <f t="shared" si="11"/>
        <v>0.17328127339245292</v>
      </c>
      <c r="D16" s="3">
        <f t="shared" si="0"/>
        <v>-4.9761067093822574E-2</v>
      </c>
      <c r="E16" s="2">
        <f t="shared" si="1"/>
        <v>-5.0009872429291689E-2</v>
      </c>
      <c r="F16" s="2">
        <f t="shared" si="2"/>
        <v>-5.0011116455969035E-2</v>
      </c>
      <c r="G16" s="14">
        <f t="shared" si="3"/>
        <v>-5.0261178258382264E-2</v>
      </c>
      <c r="H16" s="1">
        <f t="shared" si="12"/>
        <v>-4.9761067093822574E-2</v>
      </c>
      <c r="I16" s="1">
        <f t="shared" si="4"/>
        <v>-0.84483548726258617</v>
      </c>
      <c r="J16" s="1">
        <f t="shared" si="5"/>
        <v>-0.82443951446203856</v>
      </c>
      <c r="K16" s="1">
        <f t="shared" si="6"/>
        <v>-0.82493208769132986</v>
      </c>
      <c r="L16" s="14">
        <f t="shared" si="7"/>
        <v>-0.80499086232683237</v>
      </c>
      <c r="M16" s="7">
        <f t="shared" si="8"/>
        <v>9.9119295777874576</v>
      </c>
    </row>
    <row r="17" spans="1:13" x14ac:dyDescent="0.25">
      <c r="A17" s="1">
        <f t="shared" si="9"/>
        <v>7.0000000000000007E-2</v>
      </c>
      <c r="B17" s="4">
        <f t="shared" si="10"/>
        <v>9.8996316114271146</v>
      </c>
      <c r="C17" s="43">
        <f t="shared" si="11"/>
        <v>0.17278116635391505</v>
      </c>
      <c r="D17" s="3">
        <f t="shared" si="0"/>
        <v>-5.8008683016982837E-2</v>
      </c>
      <c r="E17" s="2">
        <f t="shared" si="1"/>
        <v>-5.8298726432067752E-2</v>
      </c>
      <c r="F17" s="2">
        <f t="shared" si="2"/>
        <v>-5.8300176649143179E-2</v>
      </c>
      <c r="G17" s="14">
        <f t="shared" si="3"/>
        <v>-5.859168478347427E-2</v>
      </c>
      <c r="H17" s="1">
        <f t="shared" si="12"/>
        <v>-5.8008683016982837E-2</v>
      </c>
      <c r="I17" s="1">
        <f t="shared" si="4"/>
        <v>-0.84242155547423081</v>
      </c>
      <c r="J17" s="1">
        <f t="shared" si="5"/>
        <v>-0.82208212512639012</v>
      </c>
      <c r="K17" s="1">
        <f t="shared" si="6"/>
        <v>-0.82257337371051664</v>
      </c>
      <c r="L17" s="14">
        <f t="shared" si="7"/>
        <v>-0.80268754819800214</v>
      </c>
      <c r="M17" s="7">
        <f t="shared" si="8"/>
        <v>9.8801900078839662</v>
      </c>
    </row>
    <row r="18" spans="1:13" x14ac:dyDescent="0.25">
      <c r="A18" s="1">
        <f t="shared" si="9"/>
        <v>0.08</v>
      </c>
      <c r="B18" s="4">
        <f t="shared" si="10"/>
        <v>9.8662283463446876</v>
      </c>
      <c r="C18" s="43">
        <f t="shared" si="11"/>
        <v>0.17219816939731025</v>
      </c>
      <c r="D18" s="3">
        <f t="shared" si="0"/>
        <v>-6.6232716519226242E-2</v>
      </c>
      <c r="E18" s="2">
        <f t="shared" si="1"/>
        <v>-6.6563880101822376E-2</v>
      </c>
      <c r="F18" s="2">
        <f t="shared" si="2"/>
        <v>-6.6565535919735352E-2</v>
      </c>
      <c r="G18" s="14">
        <f t="shared" si="3"/>
        <v>-6.6898371878423596E-2</v>
      </c>
      <c r="H18" s="1">
        <f t="shared" si="12"/>
        <v>-6.6232716519226242E-2</v>
      </c>
      <c r="I18" s="1">
        <f t="shared" si="4"/>
        <v>-0.83960726219096582</v>
      </c>
      <c r="J18" s="1">
        <f t="shared" si="5"/>
        <v>-0.81933377110724814</v>
      </c>
      <c r="K18" s="1">
        <f t="shared" si="6"/>
        <v>-0.81982347445022641</v>
      </c>
      <c r="L18" s="14">
        <f t="shared" si="7"/>
        <v>-0.80000225439473838</v>
      </c>
      <c r="M18" s="7">
        <f t="shared" si="8"/>
        <v>9.8436093425595192</v>
      </c>
    </row>
    <row r="19" spans="1:13" x14ac:dyDescent="0.25">
      <c r="A19" s="1">
        <f t="shared" si="9"/>
        <v>0.09</v>
      </c>
      <c r="B19" s="4">
        <f t="shared" si="10"/>
        <v>9.8280894183091512</v>
      </c>
      <c r="C19" s="43">
        <f t="shared" si="11"/>
        <v>0.17153251952990897</v>
      </c>
      <c r="D19" s="3">
        <f t="shared" si="0"/>
        <v>-7.4429256532060659E-2</v>
      </c>
      <c r="E19" s="2">
        <f t="shared" si="1"/>
        <v>-7.480140281472096E-2</v>
      </c>
      <c r="F19" s="2">
        <f t="shared" si="2"/>
        <v>-7.4803263546134258E-2</v>
      </c>
      <c r="G19" s="14">
        <f t="shared" si="3"/>
        <v>-7.5177289167522005E-2</v>
      </c>
      <c r="H19" s="1">
        <f t="shared" si="12"/>
        <v>-7.4429256532060659E-2</v>
      </c>
      <c r="I19" s="1">
        <f t="shared" si="4"/>
        <v>-0.83639363076564033</v>
      </c>
      <c r="J19" s="1">
        <f t="shared" si="5"/>
        <v>-0.81619546040532376</v>
      </c>
      <c r="K19" s="1">
        <f t="shared" si="6"/>
        <v>-0.81668339806518997</v>
      </c>
      <c r="L19" s="14">
        <f t="shared" si="7"/>
        <v>-0.79693597343178091</v>
      </c>
      <c r="M19" s="7">
        <f t="shared" si="8"/>
        <v>9.8022055056082191</v>
      </c>
    </row>
    <row r="20" spans="1:13" x14ac:dyDescent="0.25">
      <c r="A20" s="1">
        <f t="shared" si="9"/>
        <v>9.9999999999999992E-2</v>
      </c>
      <c r="B20" s="4">
        <f t="shared" si="10"/>
        <v>9.7852306589558236</v>
      </c>
      <c r="C20" s="43">
        <f t="shared" si="11"/>
        <v>0.17078449306587348</v>
      </c>
      <c r="D20" s="3">
        <f t="shared" si="0"/>
        <v>-8.2594402067291406E-2</v>
      </c>
      <c r="E20" s="2">
        <f t="shared" si="1"/>
        <v>-8.3007374077627857E-2</v>
      </c>
      <c r="F20" s="2">
        <f t="shared" si="2"/>
        <v>-8.300943893767955E-2</v>
      </c>
      <c r="G20" s="14">
        <f t="shared" si="3"/>
        <v>-8.3424496456668204E-2</v>
      </c>
      <c r="H20" s="1">
        <f t="shared" si="12"/>
        <v>-8.2594402067291406E-2</v>
      </c>
      <c r="I20" s="1">
        <f t="shared" si="4"/>
        <v>-0.83278185858202181</v>
      </c>
      <c r="J20" s="1">
        <f t="shared" si="5"/>
        <v>-0.8126683720994613</v>
      </c>
      <c r="K20" s="1">
        <f t="shared" si="6"/>
        <v>-0.81315432383050223</v>
      </c>
      <c r="L20" s="14">
        <f t="shared" si="7"/>
        <v>-0.79348986597290794</v>
      </c>
      <c r="M20" s="7">
        <f t="shared" si="8"/>
        <v>9.7559987840817612</v>
      </c>
    </row>
    <row r="21" spans="1:13" x14ac:dyDescent="0.25">
      <c r="A21" s="1">
        <f t="shared" si="9"/>
        <v>0.10999999999999999</v>
      </c>
      <c r="B21" s="4">
        <f t="shared" si="10"/>
        <v>9.7376701462344695</v>
      </c>
      <c r="C21" s="43">
        <f t="shared" si="11"/>
        <v>0.1699544055249492</v>
      </c>
      <c r="D21" s="3">
        <f t="shared" si="0"/>
        <v>-9.0724263927982829E-2</v>
      </c>
      <c r="E21" s="2">
        <f t="shared" si="1"/>
        <v>-9.1177885247622742E-2</v>
      </c>
      <c r="F21" s="2">
        <f t="shared" si="2"/>
        <v>-9.1180153354220944E-2</v>
      </c>
      <c r="G21" s="14">
        <f t="shared" si="3"/>
        <v>-9.1636065461525043E-2</v>
      </c>
      <c r="H21" s="1">
        <f t="shared" si="12"/>
        <v>-9.0724263927982829E-2</v>
      </c>
      <c r="I21" s="1">
        <f t="shared" si="4"/>
        <v>-0.82877331718835767</v>
      </c>
      <c r="J21" s="1">
        <f t="shared" si="5"/>
        <v>-0.80875385643343511</v>
      </c>
      <c r="K21" s="1">
        <f t="shared" si="6"/>
        <v>-0.80923760223050623</v>
      </c>
      <c r="L21" s="14">
        <f t="shared" si="7"/>
        <v>-0.78966526087693911</v>
      </c>
      <c r="M21" s="7">
        <f t="shared" si="8"/>
        <v>9.7050118183491918</v>
      </c>
    </row>
    <row r="22" spans="1:13" x14ac:dyDescent="0.25">
      <c r="A22" s="1">
        <f t="shared" si="9"/>
        <v>0.11999999999999998</v>
      </c>
      <c r="B22" s="4">
        <f t="shared" si="10"/>
        <v>9.6854281976195153</v>
      </c>
      <c r="C22" s="43">
        <f t="shared" si="11"/>
        <v>0.16904261151396055</v>
      </c>
      <c r="D22" s="3">
        <f t="shared" si="0"/>
        <v>-9.8814966420304795E-2</v>
      </c>
      <c r="E22" s="2">
        <f t="shared" si="1"/>
        <v>-9.9309041252406319E-2</v>
      </c>
      <c r="F22" s="2">
        <f t="shared" si="2"/>
        <v>-9.9311511626566831E-2</v>
      </c>
      <c r="G22" s="14">
        <f t="shared" si="3"/>
        <v>-9.9808081536570462E-2</v>
      </c>
      <c r="H22" s="1">
        <f t="shared" si="12"/>
        <v>-9.8814966420304795E-2</v>
      </c>
      <c r="I22" s="1">
        <f t="shared" si="4"/>
        <v>-0.82436955242143717</v>
      </c>
      <c r="J22" s="1">
        <f t="shared" si="5"/>
        <v>-0.80445343488827681</v>
      </c>
      <c r="K22" s="1">
        <f t="shared" si="6"/>
        <v>-0.80493475503344492</v>
      </c>
      <c r="L22" s="14">
        <f t="shared" si="7"/>
        <v>-0.78546365522499506</v>
      </c>
      <c r="M22" s="7">
        <f t="shared" si="8"/>
        <v>9.64926959100357</v>
      </c>
    </row>
    <row r="23" spans="1:13" x14ac:dyDescent="0.25">
      <c r="A23" s="1">
        <f t="shared" si="9"/>
        <v>0.12999999999999998</v>
      </c>
      <c r="B23" s="4">
        <f t="shared" si="10"/>
        <v>9.6285273623345251</v>
      </c>
      <c r="C23" s="43">
        <f t="shared" si="11"/>
        <v>0.16804950459110252</v>
      </c>
      <c r="D23" s="3">
        <f t="shared" si="0"/>
        <v>-0.10686264906612125</v>
      </c>
      <c r="E23" s="2">
        <f t="shared" si="1"/>
        <v>-0.10739696231145186</v>
      </c>
      <c r="F23" s="2">
        <f t="shared" si="2"/>
        <v>-0.10739963387767851</v>
      </c>
      <c r="G23" s="14">
        <f t="shared" si="3"/>
        <v>-0.10793664540489803</v>
      </c>
      <c r="H23" s="1">
        <f t="shared" si="12"/>
        <v>-0.10686264906612125</v>
      </c>
      <c r="I23" s="1">
        <f t="shared" si="4"/>
        <v>-0.81957228451827047</v>
      </c>
      <c r="J23" s="1">
        <f t="shared" si="5"/>
        <v>-0.79976880023750829</v>
      </c>
      <c r="K23" s="1">
        <f t="shared" si="6"/>
        <v>-0.80024747534924501</v>
      </c>
      <c r="L23" s="14">
        <f t="shared" si="7"/>
        <v>-0.78088671432661305</v>
      </c>
      <c r="M23" s="7">
        <f t="shared" si="8"/>
        <v>9.5887994146210058</v>
      </c>
    </row>
    <row r="24" spans="1:13" x14ac:dyDescent="0.25">
      <c r="A24" s="1">
        <f t="shared" si="9"/>
        <v>0.13999999999999999</v>
      </c>
      <c r="B24" s="4">
        <f t="shared" si="10"/>
        <v>9.5669924125905208</v>
      </c>
      <c r="C24" s="43">
        <f t="shared" si="11"/>
        <v>0.16697551711302039</v>
      </c>
      <c r="D24" s="3">
        <f t="shared" si="0"/>
        <v>-0.11486346831615191</v>
      </c>
      <c r="E24" s="2">
        <f t="shared" si="1"/>
        <v>-0.11543778565773266</v>
      </c>
      <c r="F24" s="2">
        <f t="shared" si="2"/>
        <v>-0.11544065724444057</v>
      </c>
      <c r="G24" s="14">
        <f t="shared" si="3"/>
        <v>-0.11601787488859631</v>
      </c>
      <c r="H24" s="1">
        <f t="shared" si="12"/>
        <v>-0.11486346831615191</v>
      </c>
      <c r="I24" s="1">
        <f t="shared" si="4"/>
        <v>-0.81438340821219968</v>
      </c>
      <c r="J24" s="1">
        <f t="shared" si="5"/>
        <v>-0.79470181658237571</v>
      </c>
      <c r="K24" s="1">
        <f t="shared" si="6"/>
        <v>-0.79517762766751876</v>
      </c>
      <c r="L24" s="14">
        <f t="shared" si="7"/>
        <v>-0.7759362717020698</v>
      </c>
      <c r="M24" s="7">
        <f t="shared" si="8"/>
        <v>9.523630918378041</v>
      </c>
    </row>
    <row r="25" spans="1:13" x14ac:dyDescent="0.25">
      <c r="A25" s="1">
        <f t="shared" si="9"/>
        <v>0.15</v>
      </c>
      <c r="B25" s="4">
        <f t="shared" si="10"/>
        <v>9.5008503338377928</v>
      </c>
      <c r="C25" s="43">
        <f t="shared" si="11"/>
        <v>0.1658211200646719</v>
      </c>
      <c r="D25" s="3">
        <f t="shared" si="0"/>
        <v>-0.12281359926350867</v>
      </c>
      <c r="E25" s="2">
        <f t="shared" si="1"/>
        <v>-0.12342766725982621</v>
      </c>
      <c r="F25" s="2">
        <f t="shared" si="2"/>
        <v>-0.1234307375998078</v>
      </c>
      <c r="G25" s="14">
        <f t="shared" si="3"/>
        <v>-0.12404790663950675</v>
      </c>
      <c r="H25" s="1">
        <f t="shared" si="12"/>
        <v>-0.12281359926350867</v>
      </c>
      <c r="I25" s="1">
        <f t="shared" si="4"/>
        <v>-0.80880499280997109</v>
      </c>
      <c r="J25" s="1">
        <f t="shared" si="5"/>
        <v>-0.78925451936392688</v>
      </c>
      <c r="K25" s="1">
        <f t="shared" si="6"/>
        <v>-0.78972724787261372</v>
      </c>
      <c r="L25" s="14">
        <f t="shared" si="7"/>
        <v>-0.77061432903803351</v>
      </c>
      <c r="M25" s="7">
        <f t="shared" si="8"/>
        <v>9.453796033533937</v>
      </c>
    </row>
    <row r="26" spans="1:13" x14ac:dyDescent="0.25">
      <c r="A26" s="1">
        <f t="shared" si="9"/>
        <v>0.16</v>
      </c>
      <c r="B26" s="4">
        <f t="shared" si="10"/>
        <v>9.4301303140310182</v>
      </c>
      <c r="C26" s="43">
        <f t="shared" si="11"/>
        <v>0.1645868228719681</v>
      </c>
      <c r="D26" s="3">
        <f t="shared" si="0"/>
        <v>-0.13070923735737713</v>
      </c>
      <c r="E26" s="2">
        <f t="shared" si="1"/>
        <v>-0.13136278354416403</v>
      </c>
      <c r="F26" s="2">
        <f t="shared" si="2"/>
        <v>-0.13136605127509796</v>
      </c>
      <c r="G26" s="14">
        <f t="shared" si="3"/>
        <v>-0.13202289787012811</v>
      </c>
      <c r="H26" s="1">
        <f t="shared" si="12"/>
        <v>-0.13070923735737713</v>
      </c>
      <c r="I26" s="1">
        <f t="shared" si="4"/>
        <v>-0.80283928224602841</v>
      </c>
      <c r="J26" s="1">
        <f t="shared" si="5"/>
        <v>-0.78342911534852744</v>
      </c>
      <c r="K26" s="1">
        <f t="shared" si="6"/>
        <v>-0.78389854323229191</v>
      </c>
      <c r="L26" s="14">
        <f t="shared" si="7"/>
        <v>-0.76492305611343703</v>
      </c>
      <c r="M26" s="7">
        <f t="shared" si="8"/>
        <v>9.3793289777850148</v>
      </c>
    </row>
    <row r="27" spans="1:13" x14ac:dyDescent="0.25">
      <c r="A27" s="1">
        <f t="shared" si="9"/>
        <v>0.17</v>
      </c>
      <c r="B27" s="4">
        <f t="shared" si="10"/>
        <v>9.3548637319075798</v>
      </c>
      <c r="C27" s="43">
        <f t="shared" si="11"/>
        <v>0.1632731731971914</v>
      </c>
      <c r="D27" s="3">
        <f t="shared" si="0"/>
        <v>-0.13854660011657896</v>
      </c>
      <c r="E27" s="2">
        <f t="shared" si="1"/>
        <v>-0.13923933311716186</v>
      </c>
      <c r="F27" s="2">
        <f t="shared" si="2"/>
        <v>-0.13924279678216478</v>
      </c>
      <c r="G27" s="14">
        <f t="shared" si="3"/>
        <v>-0.13993902808440062</v>
      </c>
      <c r="H27" s="1">
        <f t="shared" si="12"/>
        <v>-0.13854660011657896</v>
      </c>
      <c r="I27" s="1">
        <f t="shared" si="4"/>
        <v>-0.79648869511003073</v>
      </c>
      <c r="J27" s="1">
        <f t="shared" si="5"/>
        <v>-0.7772279825831766</v>
      </c>
      <c r="K27" s="1">
        <f t="shared" si="6"/>
        <v>-0.7776938923563893</v>
      </c>
      <c r="L27" s="14">
        <f t="shared" si="7"/>
        <v>-0.75886479069226365</v>
      </c>
      <c r="M27" s="7">
        <f t="shared" si="8"/>
        <v>9.3002662384986543</v>
      </c>
    </row>
    <row r="28" spans="1:13" x14ac:dyDescent="0.25">
      <c r="A28" s="1">
        <f t="shared" si="9"/>
        <v>0.18000000000000002</v>
      </c>
      <c r="B28" s="4">
        <f t="shared" si="10"/>
        <v>9.2750841442791536</v>
      </c>
      <c r="C28" s="43">
        <f t="shared" si="11"/>
        <v>0.16188075671719201</v>
      </c>
      <c r="D28" s="3">
        <f t="shared" si="0"/>
        <v>-0.14632192884271467</v>
      </c>
      <c r="E28" s="2">
        <f t="shared" si="1"/>
        <v>-0.14705353848692823</v>
      </c>
      <c r="F28" s="2">
        <f t="shared" si="2"/>
        <v>-0.14705719653514931</v>
      </c>
      <c r="G28" s="14">
        <f t="shared" si="3"/>
        <v>-0.14779250080806616</v>
      </c>
      <c r="H28" s="1">
        <f t="shared" si="12"/>
        <v>-0.14632192884271467</v>
      </c>
      <c r="I28" s="1">
        <f t="shared" si="4"/>
        <v>-0.78975582464335814</v>
      </c>
      <c r="J28" s="1">
        <f t="shared" si="5"/>
        <v>-0.77065367031677812</v>
      </c>
      <c r="K28" s="1">
        <f t="shared" si="6"/>
        <v>-0.7711158451215917</v>
      </c>
      <c r="L28" s="14">
        <f t="shared" si="7"/>
        <v>-0.75244203837973678</v>
      </c>
      <c r="M28" s="7">
        <f t="shared" si="8"/>
        <v>9.2166465548352168</v>
      </c>
    </row>
    <row r="29" spans="1:13" x14ac:dyDescent="0.25">
      <c r="A29" s="1">
        <f t="shared" si="9"/>
        <v>0.19000000000000003</v>
      </c>
      <c r="B29" s="4">
        <f t="shared" si="10"/>
        <v>9.1908272723368238</v>
      </c>
      <c r="C29" s="43">
        <f t="shared" si="11"/>
        <v>0.16041019688436711</v>
      </c>
      <c r="D29" s="3">
        <f t="shared" si="0"/>
        <v>-0.15403149033254773</v>
      </c>
      <c r="E29" s="2">
        <f t="shared" si="1"/>
        <v>-0.15480164778421046</v>
      </c>
      <c r="F29" s="2">
        <f t="shared" si="2"/>
        <v>-0.15480549857146877</v>
      </c>
      <c r="G29" s="14">
        <f t="shared" si="3"/>
        <v>-0.15557954531826243</v>
      </c>
      <c r="H29" s="1">
        <f t="shared" si="12"/>
        <v>-0.15403149033254773</v>
      </c>
      <c r="I29" s="1">
        <f t="shared" si="4"/>
        <v>-0.78264343870015496</v>
      </c>
      <c r="J29" s="1">
        <f t="shared" si="5"/>
        <v>-0.7637088988833125</v>
      </c>
      <c r="K29" s="1">
        <f t="shared" si="6"/>
        <v>-0.76416712255825947</v>
      </c>
      <c r="L29" s="14">
        <f t="shared" si="7"/>
        <v>-0.745657472438229</v>
      </c>
      <c r="M29" s="7">
        <f t="shared" si="8"/>
        <v>9.1285108987666348</v>
      </c>
    </row>
    <row r="30" spans="1:13" x14ac:dyDescent="0.25">
      <c r="A30" s="1">
        <f t="shared" si="9"/>
        <v>0.20000000000000004</v>
      </c>
      <c r="B30" s="4">
        <f t="shared" si="10"/>
        <v>9.1021309869701472</v>
      </c>
      <c r="C30" s="43">
        <f t="shared" si="11"/>
        <v>0.15886215467043016</v>
      </c>
      <c r="D30" s="3">
        <f t="shared" si="0"/>
        <v>-0.16167157858925027</v>
      </c>
      <c r="E30" s="2">
        <f t="shared" si="1"/>
        <v>-0.16247993648219652</v>
      </c>
      <c r="F30" s="2">
        <f t="shared" si="2"/>
        <v>-0.16248397827166125</v>
      </c>
      <c r="G30" s="14">
        <f t="shared" si="3"/>
        <v>-0.16329641837196687</v>
      </c>
      <c r="H30" s="1">
        <f t="shared" si="12"/>
        <v>-0.16167157858925027</v>
      </c>
      <c r="I30" s="1">
        <f t="shared" si="4"/>
        <v>-0.7751544796682539</v>
      </c>
      <c r="J30" s="1">
        <f t="shared" si="5"/>
        <v>-0.75639655954268892</v>
      </c>
      <c r="K30" s="1">
        <f t="shared" si="6"/>
        <v>-0.75685061669506526</v>
      </c>
      <c r="L30" s="14">
        <f t="shared" si="7"/>
        <v>-0.73851393355904671</v>
      </c>
      <c r="M30" s="7">
        <f t="shared" si="8"/>
        <v>9.0359024550009632</v>
      </c>
    </row>
    <row r="31" spans="1:13" x14ac:dyDescent="0.25">
      <c r="A31" s="1">
        <f t="shared" si="9"/>
        <v>0.21000000000000005</v>
      </c>
      <c r="B31" s="4">
        <f t="shared" si="10"/>
        <v>9.0090352931008351</v>
      </c>
      <c r="C31" s="43">
        <f t="shared" si="11"/>
        <v>0.15723732829298195</v>
      </c>
      <c r="D31" s="3">
        <f t="shared" si="0"/>
        <v>-0.1692385165320883</v>
      </c>
      <c r="E31" s="2">
        <f t="shared" si="1"/>
        <v>-0.17008470911474874</v>
      </c>
      <c r="F31" s="2">
        <f t="shared" si="2"/>
        <v>-0.17008894007766204</v>
      </c>
      <c r="G31" s="14">
        <f t="shared" si="3"/>
        <v>-0.17093940593286491</v>
      </c>
      <c r="H31" s="1">
        <f t="shared" si="12"/>
        <v>-0.1692385165320883</v>
      </c>
      <c r="I31" s="1">
        <f t="shared" si="4"/>
        <v>-0.76729206434514963</v>
      </c>
      <c r="J31" s="1">
        <f t="shared" si="5"/>
        <v>-0.74871971427488648</v>
      </c>
      <c r="K31" s="1">
        <f t="shared" si="6"/>
        <v>-0.74916939035703134</v>
      </c>
      <c r="L31" s="14">
        <f t="shared" si="7"/>
        <v>-0.73101442958609864</v>
      </c>
      <c r="M31" s="7">
        <f t="shared" si="8"/>
        <v>8.9388665998227363</v>
      </c>
    </row>
    <row r="32" spans="1:13" x14ac:dyDescent="0.25">
      <c r="A32" s="1">
        <f t="shared" si="9"/>
        <v>0.22000000000000006</v>
      </c>
      <c r="B32" s="4">
        <f t="shared" si="10"/>
        <v>8.9115823130319196</v>
      </c>
      <c r="C32" s="43">
        <f t="shared" si="11"/>
        <v>0.15553645292489898</v>
      </c>
      <c r="D32" s="3">
        <f t="shared" si="0"/>
        <v>-0.17672865770408011</v>
      </c>
      <c r="E32" s="2">
        <f t="shared" si="1"/>
        <v>-0.1776123009926005</v>
      </c>
      <c r="F32" s="2">
        <f t="shared" si="2"/>
        <v>-0.17761671920904312</v>
      </c>
      <c r="G32" s="14">
        <f t="shared" si="3"/>
        <v>-0.17850482489617053</v>
      </c>
      <c r="H32" s="1">
        <f t="shared" si="12"/>
        <v>-0.17672865770408011</v>
      </c>
      <c r="I32" s="1">
        <f t="shared" si="4"/>
        <v>-0.75905948376403032</v>
      </c>
      <c r="J32" s="1">
        <f t="shared" si="5"/>
        <v>-0.7406815955228554</v>
      </c>
      <c r="K32" s="1">
        <f t="shared" si="6"/>
        <v>-0.74112667691242684</v>
      </c>
      <c r="L32" s="14">
        <f t="shared" si="7"/>
        <v>-0.72316213518733508</v>
      </c>
      <c r="M32" s="7">
        <f t="shared" si="8"/>
        <v>8.8374508788594976</v>
      </c>
    </row>
    <row r="33" spans="1:13" x14ac:dyDescent="0.25">
      <c r="A33" s="1">
        <f t="shared" si="9"/>
        <v>0.23000000000000007</v>
      </c>
      <c r="B33" s="4">
        <f t="shared" si="10"/>
        <v>8.8098162688136341</v>
      </c>
      <c r="C33" s="43">
        <f t="shared" si="11"/>
        <v>0.15376030038655975</v>
      </c>
      <c r="D33" s="3">
        <f t="shared" si="0"/>
        <v>-0.18413838797711665</v>
      </c>
      <c r="E33" s="2">
        <f t="shared" si="1"/>
        <v>-0.18505907991700224</v>
      </c>
      <c r="F33" s="2">
        <f t="shared" si="2"/>
        <v>-0.18506368337670168</v>
      </c>
      <c r="G33" s="14">
        <f t="shared" si="3"/>
        <v>-0.18598902481088367</v>
      </c>
      <c r="H33" s="1">
        <f t="shared" si="12"/>
        <v>-0.18413838797711665</v>
      </c>
      <c r="I33" s="1">
        <f t="shared" si="4"/>
        <v>-0.75046020296474236</v>
      </c>
      <c r="J33" s="1">
        <f t="shared" si="5"/>
        <v>-0.7322856058795375</v>
      </c>
      <c r="K33" s="1">
        <f t="shared" si="6"/>
        <v>-0.7327258799638563</v>
      </c>
      <c r="L33" s="14">
        <f t="shared" si="7"/>
        <v>-0.71496039146973578</v>
      </c>
      <c r="M33" s="7">
        <f t="shared" si="8"/>
        <v>8.7317049837853915</v>
      </c>
    </row>
    <row r="34" spans="1:13" x14ac:dyDescent="0.25">
      <c r="A34" s="1">
        <f t="shared" si="9"/>
        <v>0.24000000000000007</v>
      </c>
      <c r="B34" s="4">
        <f t="shared" si="10"/>
        <v>8.7037834636273903</v>
      </c>
      <c r="C34" s="43">
        <f t="shared" si="11"/>
        <v>0.15190967882093406</v>
      </c>
      <c r="D34" s="3">
        <f t="shared" si="0"/>
        <v>-0.19146412725398543</v>
      </c>
      <c r="E34" s="2">
        <f t="shared" si="1"/>
        <v>-0.19242144789025536</v>
      </c>
      <c r="F34" s="2">
        <f t="shared" si="2"/>
        <v>-0.19242623449343671</v>
      </c>
      <c r="G34" s="14">
        <f t="shared" si="3"/>
        <v>-0.1933883895989198</v>
      </c>
      <c r="H34" s="1">
        <f t="shared" si="12"/>
        <v>-0.19146412725398543</v>
      </c>
      <c r="I34" s="1">
        <f t="shared" si="4"/>
        <v>-0.74149786070445012</v>
      </c>
      <c r="J34" s="1">
        <f t="shared" si="5"/>
        <v>-0.72353531771425117</v>
      </c>
      <c r="K34" s="1">
        <f t="shared" si="6"/>
        <v>-0.72397057297877399</v>
      </c>
      <c r="L34" s="14">
        <f t="shared" si="7"/>
        <v>-0.70641270553354052</v>
      </c>
      <c r="M34" s="7">
        <f t="shared" si="8"/>
        <v>8.6216807279732421</v>
      </c>
    </row>
    <row r="35" spans="1:13" x14ac:dyDescent="0.25">
      <c r="A35" s="1">
        <f t="shared" si="9"/>
        <v>0.25000000000000006</v>
      </c>
      <c r="B35" s="4">
        <f t="shared" si="10"/>
        <v>8.5935322621897026</v>
      </c>
      <c r="C35" s="43">
        <f t="shared" si="11"/>
        <v>0.14998543235156692</v>
      </c>
      <c r="D35" s="3">
        <f t="shared" si="0"/>
        <v>-0.19870233116669217</v>
      </c>
      <c r="E35" s="2">
        <f t="shared" si="1"/>
        <v>-0.19969584282252564</v>
      </c>
      <c r="F35" s="2">
        <f t="shared" si="2"/>
        <v>-0.19970081038080481</v>
      </c>
      <c r="G35" s="14">
        <f t="shared" si="3"/>
        <v>-0.20069933927050021</v>
      </c>
      <c r="H35" s="1">
        <f t="shared" si="12"/>
        <v>-0.19870233116669217</v>
      </c>
      <c r="I35" s="1">
        <f t="shared" si="4"/>
        <v>-0.73217626910266498</v>
      </c>
      <c r="J35" s="1">
        <f t="shared" si="5"/>
        <v>-0.71443447273362748</v>
      </c>
      <c r="K35" s="1">
        <f t="shared" si="6"/>
        <v>-0.71486449885458381</v>
      </c>
      <c r="L35" s="14">
        <f t="shared" si="7"/>
        <v>-0.69752274996134755</v>
      </c>
      <c r="M35" s="7">
        <f t="shared" si="8"/>
        <v>8.5074320211070287</v>
      </c>
    </row>
    <row r="36" spans="1:13" x14ac:dyDescent="0.25">
      <c r="A36" s="1">
        <f t="shared" si="9"/>
        <v>0.26000000000000006</v>
      </c>
      <c r="B36" s="4">
        <f t="shared" si="10"/>
        <v>8.4791130701781547</v>
      </c>
      <c r="C36" s="43">
        <f t="shared" si="11"/>
        <v>0.14798844072349382</v>
      </c>
      <c r="D36" s="3">
        <f t="shared" si="0"/>
        <v>-0.20584949277042622</v>
      </c>
      <c r="E36" s="2">
        <f t="shared" si="1"/>
        <v>-0.20687874023427835</v>
      </c>
      <c r="F36" s="2">
        <f t="shared" si="2"/>
        <v>-0.20688388647159761</v>
      </c>
      <c r="G36" s="14">
        <f t="shared" si="3"/>
        <v>-0.2079183316351422</v>
      </c>
      <c r="H36" s="1">
        <f t="shared" si="12"/>
        <v>-0.20584949277042622</v>
      </c>
      <c r="I36" s="1">
        <f t="shared" si="4"/>
        <v>-0.7224994132152569</v>
      </c>
      <c r="J36" s="1">
        <f t="shared" si="5"/>
        <v>-0.70498698147221694</v>
      </c>
      <c r="K36" s="1">
        <f t="shared" si="6"/>
        <v>-0.7054115694134272</v>
      </c>
      <c r="L36" s="14">
        <f t="shared" si="7"/>
        <v>-0.68829436223766338</v>
      </c>
      <c r="M36" s="7">
        <f t="shared" si="8"/>
        <v>8.3890148427672298</v>
      </c>
    </row>
    <row r="37" spans="1:13" x14ac:dyDescent="0.25">
      <c r="A37" s="1">
        <f t="shared" si="9"/>
        <v>0.27000000000000007</v>
      </c>
      <c r="B37" s="4">
        <f t="shared" si="10"/>
        <v>8.3605783126819269</v>
      </c>
      <c r="C37" s="43">
        <f t="shared" si="11"/>
        <v>0.14591961892713162</v>
      </c>
      <c r="D37" s="3">
        <f t="shared" si="0"/>
        <v>-0.21290214423246656</v>
      </c>
      <c r="E37" s="2">
        <f t="shared" si="1"/>
        <v>-0.2139666549536289</v>
      </c>
      <c r="F37" s="2">
        <f t="shared" si="2"/>
        <v>-0.21397197750723471</v>
      </c>
      <c r="G37" s="14">
        <f t="shared" si="3"/>
        <v>-0.21504186400753891</v>
      </c>
      <c r="H37" s="1">
        <f t="shared" si="12"/>
        <v>-0.21290214423246656</v>
      </c>
      <c r="I37" s="1">
        <f t="shared" si="4"/>
        <v>-0.71247145053202321</v>
      </c>
      <c r="J37" s="1">
        <f t="shared" si="5"/>
        <v>-0.69519692270786704</v>
      </c>
      <c r="K37" s="1">
        <f t="shared" si="6"/>
        <v>-0.69561586482173787</v>
      </c>
      <c r="L37" s="14">
        <f t="shared" si="7"/>
        <v>-0.67873154409446235</v>
      </c>
      <c r="M37" s="7">
        <f t="shared" si="8"/>
        <v>8.2664872150019395</v>
      </c>
    </row>
    <row r="38" spans="1:13" x14ac:dyDescent="0.25">
      <c r="A38" s="1">
        <f t="shared" si="9"/>
        <v>0.28000000000000008</v>
      </c>
      <c r="B38" s="4">
        <f t="shared" si="10"/>
        <v>8.2379824116797948</v>
      </c>
      <c r="C38" s="43">
        <f t="shared" si="11"/>
        <v>0.14377991680519539</v>
      </c>
      <c r="D38" s="3">
        <f t="shared" si="0"/>
        <v>-0.21985685851527606</v>
      </c>
      <c r="E38" s="2">
        <f t="shared" si="1"/>
        <v>-0.22095614280785245</v>
      </c>
      <c r="F38" s="2">
        <f t="shared" si="2"/>
        <v>-0.22096163922931533</v>
      </c>
      <c r="G38" s="14">
        <f t="shared" si="3"/>
        <v>-0.2220664749075692</v>
      </c>
      <c r="H38" s="1">
        <f t="shared" si="12"/>
        <v>-0.21985685851527606</v>
      </c>
      <c r="I38" s="1">
        <f t="shared" si="4"/>
        <v>-0.7020967103923742</v>
      </c>
      <c r="J38" s="1">
        <f t="shared" si="5"/>
        <v>-0.68506854279695506</v>
      </c>
      <c r="K38" s="1">
        <f t="shared" si="6"/>
        <v>-0.68548163292962516</v>
      </c>
      <c r="L38" s="14">
        <f t="shared" si="7"/>
        <v>-0.66883846077831066</v>
      </c>
      <c r="M38" s="7">
        <f t="shared" si="8"/>
        <v>8.1399091738972249</v>
      </c>
    </row>
    <row r="39" spans="1:13" x14ac:dyDescent="0.25">
      <c r="A39" s="1">
        <f t="shared" si="9"/>
        <v>0.29000000000000009</v>
      </c>
      <c r="B39" s="4">
        <f t="shared" si="10"/>
        <v>8.1113817625489517</v>
      </c>
      <c r="C39" s="43">
        <f t="shared" si="11"/>
        <v>0.14157031864270009</v>
      </c>
      <c r="D39" s="3">
        <f t="shared" si="0"/>
        <v>-0.22671025105298248</v>
      </c>
      <c r="E39" s="2">
        <f t="shared" si="1"/>
        <v>-0.22784380230824738</v>
      </c>
      <c r="F39" s="2">
        <f t="shared" si="2"/>
        <v>-0.22784947006452372</v>
      </c>
      <c r="G39" s="14">
        <f t="shared" si="3"/>
        <v>-0.22898874575362771</v>
      </c>
      <c r="H39" s="1">
        <f t="shared" si="12"/>
        <v>-0.22671025105298248</v>
      </c>
      <c r="I39" s="1">
        <f t="shared" si="4"/>
        <v>-0.69137969331371663</v>
      </c>
      <c r="J39" s="1">
        <f t="shared" si="5"/>
        <v>-0.67460625492458759</v>
      </c>
      <c r="K39" s="1">
        <f t="shared" si="6"/>
        <v>-0.67501328852517517</v>
      </c>
      <c r="L39" s="14">
        <f t="shared" si="7"/>
        <v>-0.65861944023463392</v>
      </c>
      <c r="M39" s="7">
        <f t="shared" si="8"/>
        <v>8.0093427401606601</v>
      </c>
    </row>
    <row r="40" spans="1:13" x14ac:dyDescent="0.25">
      <c r="A40" s="1">
        <f t="shared" si="9"/>
        <v>0.3000000000000001</v>
      </c>
      <c r="B40" s="4">
        <f t="shared" si="10"/>
        <v>7.9808347096084606</v>
      </c>
      <c r="C40" s="43">
        <f t="shared" si="11"/>
        <v>0.13929184274011316</v>
      </c>
      <c r="D40" s="3">
        <f t="shared" si="0"/>
        <v>-0.23345898142039562</v>
      </c>
      <c r="E40" s="2">
        <f t="shared" si="1"/>
        <v>-0.23462627632749761</v>
      </c>
      <c r="F40" s="2">
        <f t="shared" si="2"/>
        <v>-0.23463211280203311</v>
      </c>
      <c r="G40" s="14">
        <f t="shared" si="3"/>
        <v>-0.23580530254841595</v>
      </c>
      <c r="H40" s="1">
        <f t="shared" si="12"/>
        <v>-0.23345898142039562</v>
      </c>
      <c r="I40" s="1">
        <f t="shared" si="4"/>
        <v>-0.6803250702271485</v>
      </c>
      <c r="J40" s="1">
        <f t="shared" si="5"/>
        <v>-0.66381463826490961</v>
      </c>
      <c r="K40" s="1">
        <f t="shared" si="6"/>
        <v>-0.66421541249879457</v>
      </c>
      <c r="L40" s="14">
        <f t="shared" si="7"/>
        <v>-0.64807897220474586</v>
      </c>
      <c r="M40" s="7">
        <f t="shared" si="8"/>
        <v>7.8748518887323975</v>
      </c>
    </row>
    <row r="41" spans="1:13" x14ac:dyDescent="0.25">
      <c r="A41" s="1">
        <f t="shared" si="9"/>
        <v>0.31000000000000011</v>
      </c>
      <c r="B41" s="4">
        <f t="shared" si="10"/>
        <v>7.8464015207016251</v>
      </c>
      <c r="C41" s="43">
        <f t="shared" si="11"/>
        <v>0.13694554096973338</v>
      </c>
      <c r="D41" s="3">
        <f t="shared" si="0"/>
        <v>-0.24009975499366112</v>
      </c>
      <c r="E41" s="2">
        <f t="shared" si="1"/>
        <v>-0.24130025376862943</v>
      </c>
      <c r="F41" s="2">
        <f t="shared" si="2"/>
        <v>-0.24130625626250427</v>
      </c>
      <c r="G41" s="14">
        <f t="shared" si="3"/>
        <v>-0.24251281755628618</v>
      </c>
      <c r="H41" s="1">
        <f t="shared" si="12"/>
        <v>-0.24009975499366112</v>
      </c>
      <c r="I41" s="1">
        <f t="shared" si="4"/>
        <v>-0.66893768161515466</v>
      </c>
      <c r="J41" s="1">
        <f t="shared" si="5"/>
        <v>-0.65269843704674535</v>
      </c>
      <c r="K41" s="1">
        <f t="shared" si="6"/>
        <v>-0.65309275091279184</v>
      </c>
      <c r="L41" s="14">
        <f t="shared" si="7"/>
        <v>-0.63722170723132199</v>
      </c>
      <c r="M41" s="7">
        <f t="shared" si="8"/>
        <v>7.7365025174387432</v>
      </c>
    </row>
    <row r="42" spans="1:13" x14ac:dyDescent="0.25">
      <c r="A42" s="1">
        <f t="shared" si="9"/>
        <v>0.32000000000000012</v>
      </c>
      <c r="B42" s="4">
        <f t="shared" si="10"/>
        <v>7.7081443608221143</v>
      </c>
      <c r="C42" s="43">
        <f t="shared" si="11"/>
        <v>0.13453249831537969</v>
      </c>
      <c r="D42" s="3">
        <f t="shared" si="0"/>
        <v>-0.24662932460160372</v>
      </c>
      <c r="E42" s="2">
        <f t="shared" si="1"/>
        <v>-0.24786247122461175</v>
      </c>
      <c r="F42" s="2">
        <f t="shared" si="2"/>
        <v>-0.24786863695772679</v>
      </c>
      <c r="G42" s="14">
        <f t="shared" si="3"/>
        <v>-0.24910801097118099</v>
      </c>
      <c r="H42" s="1">
        <f t="shared" si="12"/>
        <v>-0.24662932460160372</v>
      </c>
      <c r="I42" s="1">
        <f t="shared" si="4"/>
        <v>-0.65722253654607676</v>
      </c>
      <c r="J42" s="1">
        <f t="shared" si="5"/>
        <v>-0.64126255951986777</v>
      </c>
      <c r="K42" s="1">
        <f t="shared" si="6"/>
        <v>-0.64165021397147404</v>
      </c>
      <c r="L42" s="14">
        <f t="shared" si="7"/>
        <v>-0.62605245556809008</v>
      </c>
      <c r="M42" s="7">
        <f t="shared" si="8"/>
        <v>7.5943624147035376</v>
      </c>
    </row>
    <row r="43" spans="1:13" x14ac:dyDescent="0.25">
      <c r="A43" s="1">
        <f t="shared" si="9"/>
        <v>0.33000000000000013</v>
      </c>
      <c r="B43" s="4">
        <f t="shared" si="10"/>
        <v>7.5661272647891753</v>
      </c>
      <c r="C43" s="43">
        <f t="shared" si="11"/>
        <v>0.13205383239548393</v>
      </c>
      <c r="D43" s="3">
        <f t="shared" si="0"/>
        <v>-0.25304449216676517</v>
      </c>
      <c r="E43" s="2">
        <f t="shared" si="1"/>
        <v>-0.25430971462759899</v>
      </c>
      <c r="F43" s="2">
        <f t="shared" si="2"/>
        <v>-0.25431604073990316</v>
      </c>
      <c r="G43" s="14">
        <f t="shared" si="3"/>
        <v>-0.25558765257416421</v>
      </c>
      <c r="H43" s="1">
        <f t="shared" si="12"/>
        <v>-0.25304449216676517</v>
      </c>
      <c r="I43" s="1">
        <f t="shared" si="4"/>
        <v>-0.64518481160026009</v>
      </c>
      <c r="J43" s="1">
        <f t="shared" si="5"/>
        <v>-0.62951207681732091</v>
      </c>
      <c r="K43" s="1">
        <f t="shared" si="6"/>
        <v>-0.62989287488716283</v>
      </c>
      <c r="L43" s="14">
        <f t="shared" si="7"/>
        <v>-0.61457618598961206</v>
      </c>
      <c r="M43" s="7">
        <f t="shared" si="8"/>
        <v>7.44850122633318</v>
      </c>
    </row>
    <row r="44" spans="1:13" x14ac:dyDescent="0.25">
      <c r="A44" s="1">
        <f t="shared" si="9"/>
        <v>0.34000000000000014</v>
      </c>
      <c r="B44" s="4">
        <f t="shared" si="10"/>
        <v>7.4204161089778999</v>
      </c>
      <c r="C44" s="43">
        <f t="shared" si="11"/>
        <v>0.1295106929696907</v>
      </c>
      <c r="D44" s="3">
        <f t="shared" si="0"/>
        <v>-0.25934211033509658</v>
      </c>
      <c r="E44" s="2">
        <f t="shared" si="1"/>
        <v>-0.26063882088677204</v>
      </c>
      <c r="F44" s="2">
        <f t="shared" si="2"/>
        <v>-0.26064530443953043</v>
      </c>
      <c r="G44" s="14">
        <f t="shared" si="3"/>
        <v>-0.26194856337949191</v>
      </c>
      <c r="H44" s="1">
        <f t="shared" si="12"/>
        <v>-0.25934211033509658</v>
      </c>
      <c r="I44" s="1">
        <f t="shared" si="4"/>
        <v>-0.63282984968292211</v>
      </c>
      <c r="J44" s="1">
        <f t="shared" si="5"/>
        <v>-0.61745222170935476</v>
      </c>
      <c r="K44" s="1">
        <f t="shared" si="6"/>
        <v>-0.61782596863766059</v>
      </c>
      <c r="L44" s="14">
        <f t="shared" si="7"/>
        <v>-0.60279802449717479</v>
      </c>
      <c r="M44" s="7">
        <f t="shared" si="8"/>
        <v>7.2989904213915802</v>
      </c>
    </row>
    <row r="45" spans="1:13" x14ac:dyDescent="0.25">
      <c r="A45" s="1">
        <f t="shared" si="9"/>
        <v>0.35000000000000014</v>
      </c>
      <c r="B45" s="4">
        <f t="shared" si="10"/>
        <v>7.2710785821110511</v>
      </c>
      <c r="C45" s="43">
        <f t="shared" si="11"/>
        <v>0.12690426142907871</v>
      </c>
      <c r="D45" s="3">
        <f t="shared" si="0"/>
        <v>-0.26551908409322011</v>
      </c>
      <c r="E45" s="2">
        <f t="shared" si="1"/>
        <v>-0.26684667951368624</v>
      </c>
      <c r="F45" s="2">
        <f t="shared" si="2"/>
        <v>-0.26685331749078856</v>
      </c>
      <c r="G45" s="14">
        <f t="shared" si="3"/>
        <v>-0.26818761726812801</v>
      </c>
      <c r="H45" s="1">
        <f t="shared" si="12"/>
        <v>-0.26551908409322011</v>
      </c>
      <c r="I45" s="1">
        <f t="shared" si="4"/>
        <v>-0.62016315871896055</v>
      </c>
      <c r="J45" s="1">
        <f t="shared" si="5"/>
        <v>-0.6050883872446855</v>
      </c>
      <c r="K45" s="1">
        <f t="shared" si="6"/>
        <v>-0.60545489061086755</v>
      </c>
      <c r="L45" s="14">
        <f t="shared" si="7"/>
        <v>-0.59072325291694461</v>
      </c>
      <c r="M45" s="7">
        <f t="shared" si="8"/>
        <v>7.1459032571817449</v>
      </c>
    </row>
    <row r="46" spans="1:13" x14ac:dyDescent="0.25">
      <c r="A46" s="1">
        <f t="shared" si="9"/>
        <v>0.36000000000000015</v>
      </c>
      <c r="B46" s="4">
        <f t="shared" si="10"/>
        <v>7.1181841551196241</v>
      </c>
      <c r="C46" s="43">
        <f t="shared" si="11"/>
        <v>0.12423575027012822</v>
      </c>
      <c r="D46" s="3">
        <f t="shared" si="0"/>
        <v>-0.27157237237213178</v>
      </c>
      <c r="E46" s="2">
        <f t="shared" si="1"/>
        <v>-0.27293023423399243</v>
      </c>
      <c r="F46" s="2">
        <f t="shared" si="2"/>
        <v>-0.27293702354330174</v>
      </c>
      <c r="G46" s="14">
        <f t="shared" si="3"/>
        <v>-0.27430174260756479</v>
      </c>
      <c r="H46" s="1">
        <f t="shared" si="12"/>
        <v>-0.27157237237213178</v>
      </c>
      <c r="I46" s="1">
        <f t="shared" si="4"/>
        <v>-0.60719041022511677</v>
      </c>
      <c r="J46" s="1">
        <f t="shared" si="5"/>
        <v>-0.5924261252749955</v>
      </c>
      <c r="K46" s="1">
        <f t="shared" si="6"/>
        <v>-0.59278519513243555</v>
      </c>
      <c r="L46" s="14">
        <f t="shared" si="7"/>
        <v>-0.57835730738672586</v>
      </c>
      <c r="M46" s="7">
        <f t="shared" si="8"/>
        <v>6.9893147433511729</v>
      </c>
    </row>
    <row r="47" spans="1:13" x14ac:dyDescent="0.25">
      <c r="A47" s="1">
        <f t="shared" si="9"/>
        <v>0.37000000000000016</v>
      </c>
      <c r="B47" s="4">
        <f t="shared" si="10"/>
        <v>6.9618040500799347</v>
      </c>
      <c r="C47" s="43">
        <f t="shared" si="11"/>
        <v>0.12150640255257107</v>
      </c>
      <c r="D47" s="3">
        <f t="shared" si="0"/>
        <v>-0.27749898963617631</v>
      </c>
      <c r="E47" s="2">
        <f t="shared" si="1"/>
        <v>-0.27888648458435716</v>
      </c>
      <c r="F47" s="2">
        <f t="shared" si="2"/>
        <v>-0.27889342205909812</v>
      </c>
      <c r="G47" s="14">
        <f t="shared" si="3"/>
        <v>-0.28028792385676726</v>
      </c>
      <c r="H47" s="1">
        <f t="shared" si="12"/>
        <v>-0.27749898963617631</v>
      </c>
      <c r="I47" s="1">
        <f t="shared" si="4"/>
        <v>-0.59391743775513628</v>
      </c>
      <c r="J47" s="1">
        <f t="shared" si="5"/>
        <v>-0.57947114485877915</v>
      </c>
      <c r="K47" s="1">
        <f t="shared" si="6"/>
        <v>-0.57982259387254764</v>
      </c>
      <c r="L47" s="14">
        <f t="shared" si="7"/>
        <v>-0.56570577672785161</v>
      </c>
      <c r="M47" s="7">
        <f t="shared" si="8"/>
        <v>6.8293016051386122</v>
      </c>
    </row>
    <row r="48" spans="1:13" x14ac:dyDescent="0.25">
      <c r="A48" s="1">
        <f t="shared" si="9"/>
        <v>0.38000000000000017</v>
      </c>
      <c r="B48" s="4">
        <f t="shared" si="10"/>
        <v>6.8020112082357418</v>
      </c>
      <c r="C48" s="43">
        <f t="shared" si="11"/>
        <v>0.11871749134127131</v>
      </c>
      <c r="D48" s="3">
        <f t="shared" si="0"/>
        <v>-0.28329600745608569</v>
      </c>
      <c r="E48" s="2">
        <f t="shared" si="1"/>
        <v>-0.28471248749336614</v>
      </c>
      <c r="F48" s="2">
        <f t="shared" si="2"/>
        <v>-0.28471956989355252</v>
      </c>
      <c r="G48" s="14">
        <f t="shared" si="3"/>
        <v>-0.28614320315502123</v>
      </c>
      <c r="H48" s="1">
        <f t="shared" si="12"/>
        <v>-0.28329600745608569</v>
      </c>
      <c r="I48" s="1">
        <f t="shared" si="4"/>
        <v>-0.58035023521381246</v>
      </c>
      <c r="J48" s="1">
        <f t="shared" si="5"/>
        <v>-0.56622931054088466</v>
      </c>
      <c r="K48" s="1">
        <f t="shared" si="6"/>
        <v>-0.5665729541281509</v>
      </c>
      <c r="L48" s="14">
        <f t="shared" si="7"/>
        <v>-0.55277440069895312</v>
      </c>
      <c r="M48" s="7">
        <f t="shared" si="8"/>
        <v>6.6659422457802453</v>
      </c>
    </row>
    <row r="49" spans="1:13" x14ac:dyDescent="0.25">
      <c r="A49" s="1">
        <f t="shared" si="9"/>
        <v>0.39000000000000018</v>
      </c>
      <c r="B49" s="4">
        <f t="shared" si="10"/>
        <v>6.6388802571145398</v>
      </c>
      <c r="C49" s="43">
        <f t="shared" si="11"/>
        <v>0.11587031913229641</v>
      </c>
      <c r="D49" s="3">
        <f t="shared" si="0"/>
        <v>-0.28896055606483706</v>
      </c>
      <c r="E49" s="2">
        <f t="shared" si="1"/>
        <v>-0.29040535884516122</v>
      </c>
      <c r="F49" s="2">
        <f t="shared" si="2"/>
        <v>-0.29041258285906285</v>
      </c>
      <c r="G49" s="14">
        <f t="shared" si="3"/>
        <v>-0.29186468189342768</v>
      </c>
      <c r="H49" s="1">
        <f t="shared" si="12"/>
        <v>-0.28896055606483706</v>
      </c>
      <c r="I49" s="1">
        <f t="shared" si="4"/>
        <v>-0.5664949550360725</v>
      </c>
      <c r="J49" s="1">
        <f t="shared" si="5"/>
        <v>-0.55270664050434293</v>
      </c>
      <c r="K49" s="1">
        <f t="shared" si="6"/>
        <v>-0.55304229697721685</v>
      </c>
      <c r="L49" s="14">
        <f t="shared" si="7"/>
        <v>-0.53956906812858341</v>
      </c>
      <c r="M49" s="7">
        <f t="shared" si="8"/>
        <v>6.4993167080936614</v>
      </c>
    </row>
    <row r="50" spans="1:13" x14ac:dyDescent="0.25">
      <c r="A50" s="1">
        <f t="shared" si="9"/>
        <v>0.40000000000000019</v>
      </c>
      <c r="B50" s="4">
        <f t="shared" si="10"/>
        <v>6.4724874767479639</v>
      </c>
      <c r="C50" s="43">
        <f t="shared" si="11"/>
        <v>0.11296621726335189</v>
      </c>
      <c r="D50" s="3">
        <f t="shared" si="0"/>
        <v>-0.29448982589505002</v>
      </c>
      <c r="E50" s="2">
        <f t="shared" si="1"/>
        <v>-0.29596227502452527</v>
      </c>
      <c r="F50" s="2">
        <f t="shared" si="2"/>
        <v>-0.29596963727017267</v>
      </c>
      <c r="G50" s="14">
        <f t="shared" si="3"/>
        <v>-0.29744952226775173</v>
      </c>
      <c r="H50" s="1">
        <f t="shared" si="12"/>
        <v>-0.29448982589505002</v>
      </c>
      <c r="I50" s="1">
        <f t="shared" si="4"/>
        <v>-0.55235790622755898</v>
      </c>
      <c r="J50" s="1">
        <f t="shared" si="5"/>
        <v>-0.53890930459135367</v>
      </c>
      <c r="K50" s="1">
        <f t="shared" si="6"/>
        <v>-0.53923679530187951</v>
      </c>
      <c r="L50" s="14">
        <f t="shared" si="7"/>
        <v>-0.52609581492392776</v>
      </c>
      <c r="M50" s="7">
        <f t="shared" si="8"/>
        <v>6.3295066352584826</v>
      </c>
    </row>
    <row r="51" spans="1:13" x14ac:dyDescent="0.25">
      <c r="A51" s="1">
        <f t="shared" si="9"/>
        <v>0.4100000000000002</v>
      </c>
      <c r="B51" s="4">
        <f t="shared" si="10"/>
        <v>6.3029107650068941</v>
      </c>
      <c r="C51" s="43">
        <f t="shared" si="11"/>
        <v>0.1100065453087649</v>
      </c>
      <c r="D51" s="3">
        <f t="shared" si="0"/>
        <v>-0.29988106909661327</v>
      </c>
      <c r="E51" s="2">
        <f t="shared" si="1"/>
        <v>-0.30138047444209631</v>
      </c>
      <c r="F51" s="2">
        <f t="shared" si="2"/>
        <v>-0.30138797146882373</v>
      </c>
      <c r="G51" s="14">
        <f t="shared" si="3"/>
        <v>-0.30289494881130152</v>
      </c>
      <c r="H51" s="1">
        <f t="shared" si="12"/>
        <v>-0.29988106909661327</v>
      </c>
      <c r="I51" s="1">
        <f t="shared" si="4"/>
        <v>-0.5379455522634774</v>
      </c>
      <c r="J51" s="1">
        <f t="shared" si="5"/>
        <v>-0.52484362219058978</v>
      </c>
      <c r="K51" s="1">
        <f t="shared" si="6"/>
        <v>-0.52516277167759229</v>
      </c>
      <c r="L51" s="14">
        <f t="shared" si="7"/>
        <v>-0.51236082195310206</v>
      </c>
      <c r="M51" s="7">
        <f t="shared" si="8"/>
        <v>6.1565952308128367</v>
      </c>
    </row>
    <row r="52" spans="1:13" x14ac:dyDescent="0.25">
      <c r="A52" s="1">
        <f t="shared" si="9"/>
        <v>0.42000000000000021</v>
      </c>
      <c r="B52" s="4">
        <f t="shared" si="10"/>
        <v>6.1302296020626672</v>
      </c>
      <c r="C52" s="43">
        <f t="shared" si="11"/>
        <v>0.10699269045921531</v>
      </c>
      <c r="D52" s="3">
        <f t="shared" si="0"/>
        <v>-0.30513160103320153</v>
      </c>
      <c r="E52" s="2">
        <f t="shared" si="1"/>
        <v>-0.30665725903836755</v>
      </c>
      <c r="F52" s="2">
        <f t="shared" si="2"/>
        <v>-0.30666488732839337</v>
      </c>
      <c r="G52" s="14">
        <f t="shared" si="3"/>
        <v>-0.30819824990648548</v>
      </c>
      <c r="H52" s="1">
        <f t="shared" si="12"/>
        <v>-0.30513160103320153</v>
      </c>
      <c r="I52" s="1">
        <f t="shared" si="4"/>
        <v>-0.52326450884281339</v>
      </c>
      <c r="J52" s="1">
        <f t="shared" si="5"/>
        <v>-0.51051605998828709</v>
      </c>
      <c r="K52" s="1">
        <f t="shared" si="6"/>
        <v>-0.51082669612575893</v>
      </c>
      <c r="L52" s="14">
        <f t="shared" si="7"/>
        <v>-0.49837041279882571</v>
      </c>
      <c r="M52" s="7">
        <f t="shared" si="8"/>
        <v>5.9806672178852915</v>
      </c>
    </row>
    <row r="53" spans="1:13" x14ac:dyDescent="0.25">
      <c r="A53" s="1">
        <f t="shared" si="9"/>
        <v>0.43000000000000022</v>
      </c>
      <c r="B53" s="4">
        <f t="shared" si="10"/>
        <v>5.9545250139865455</v>
      </c>
      <c r="C53" s="43">
        <f t="shared" si="11"/>
        <v>0.10392606688642662</v>
      </c>
      <c r="D53" s="3">
        <f t="shared" si="0"/>
        <v>-0.31023880175631774</v>
      </c>
      <c r="E53" s="2">
        <f t="shared" si="1"/>
        <v>-0.3117899957650993</v>
      </c>
      <c r="F53" s="2">
        <f t="shared" si="2"/>
        <v>-0.31179775173514324</v>
      </c>
      <c r="G53" s="14">
        <f t="shared" si="3"/>
        <v>-0.31335677927366917</v>
      </c>
      <c r="H53" s="1">
        <f t="shared" si="12"/>
        <v>-0.31023880175631774</v>
      </c>
      <c r="I53" s="1">
        <f t="shared" si="4"/>
        <v>-0.50832154149538367</v>
      </c>
      <c r="J53" s="1">
        <f t="shared" si="5"/>
        <v>-0.49593322958092256</v>
      </c>
      <c r="K53" s="1">
        <f t="shared" si="6"/>
        <v>-0.49623518372761949</v>
      </c>
      <c r="L53" s="14">
        <f t="shared" si="7"/>
        <v>-0.48413105138156237</v>
      </c>
      <c r="M53" s="7">
        <f t="shared" si="8"/>
        <v>5.8018087976822112</v>
      </c>
    </row>
    <row r="54" spans="1:13" x14ac:dyDescent="0.25">
      <c r="A54" s="1">
        <f t="shared" si="9"/>
        <v>0.44000000000000022</v>
      </c>
      <c r="B54" s="4">
        <f t="shared" si="10"/>
        <v>5.7758795355003905</v>
      </c>
      <c r="C54" s="43">
        <f t="shared" si="11"/>
        <v>0.10080811509304251</v>
      </c>
      <c r="D54" s="3">
        <f t="shared" si="0"/>
        <v>-0.31520011745547444</v>
      </c>
      <c r="E54" s="2">
        <f t="shared" si="1"/>
        <v>-0.3167761180427518</v>
      </c>
      <c r="F54" s="2">
        <f t="shared" si="2"/>
        <v>-0.31678399804568819</v>
      </c>
      <c r="G54" s="14">
        <f t="shared" si="3"/>
        <v>-0.31836795743593133</v>
      </c>
      <c r="H54" s="1">
        <f t="shared" si="12"/>
        <v>-0.31520011745547444</v>
      </c>
      <c r="I54" s="1">
        <f t="shared" si="4"/>
        <v>-0.49312356303955701</v>
      </c>
      <c r="J54" s="1">
        <f t="shared" si="5"/>
        <v>-0.48110188494762046</v>
      </c>
      <c r="K54" s="1">
        <f t="shared" si="6"/>
        <v>-0.48139499209752168</v>
      </c>
      <c r="L54" s="14">
        <f t="shared" si="7"/>
        <v>-0.4696493394505355</v>
      </c>
      <c r="M54" s="7">
        <f t="shared" si="8"/>
        <v>5.6201076072508949</v>
      </c>
    </row>
    <row r="55" spans="1:13" x14ac:dyDescent="0.25">
      <c r="A55" s="1">
        <f t="shared" si="9"/>
        <v>0.45000000000000023</v>
      </c>
      <c r="B55" s="4">
        <f t="shared" si="10"/>
        <v>5.5943771718922592</v>
      </c>
      <c r="C55" s="43">
        <f t="shared" si="11"/>
        <v>9.7640301247928704E-2</v>
      </c>
      <c r="D55" s="3">
        <f t="shared" si="0"/>
        <v>-0.32001306188310841</v>
      </c>
      <c r="E55" s="2">
        <f t="shared" si="1"/>
        <v>-0.32161312719252394</v>
      </c>
      <c r="F55" s="2">
        <f t="shared" si="2"/>
        <v>-0.32162112751907102</v>
      </c>
      <c r="G55" s="14">
        <f t="shared" si="3"/>
        <v>-0.32322927315829914</v>
      </c>
      <c r="H55" s="1">
        <f t="shared" si="12"/>
        <v>-0.32001306188310841</v>
      </c>
      <c r="I55" s="1">
        <f t="shared" si="4"/>
        <v>-0.47767763088887216</v>
      </c>
      <c r="J55" s="1">
        <f t="shared" si="5"/>
        <v>-0.46602891978079247</v>
      </c>
      <c r="K55" s="1">
        <f t="shared" si="6"/>
        <v>-0.46631301871406655</v>
      </c>
      <c r="L55" s="14">
        <f t="shared" si="7"/>
        <v>-0.45493201394135857</v>
      </c>
      <c r="M55" s="7">
        <f t="shared" si="8"/>
        <v>5.4356526765391751</v>
      </c>
    </row>
    <row r="56" spans="1:13" x14ac:dyDescent="0.25">
      <c r="A56" s="1">
        <f t="shared" si="9"/>
        <v>0.46000000000000024</v>
      </c>
      <c r="B56" s="4">
        <f t="shared" si="10"/>
        <v>5.4101033601115134</v>
      </c>
      <c r="C56" s="43">
        <f t="shared" si="11"/>
        <v>9.4424116507154376E-2</v>
      </c>
      <c r="D56" s="3">
        <f t="shared" si="0"/>
        <v>-0.32467521775280833</v>
      </c>
      <c r="E56" s="2">
        <f t="shared" si="1"/>
        <v>-0.32629859384157239</v>
      </c>
      <c r="F56" s="2">
        <f t="shared" si="2"/>
        <v>-0.32630671072201617</v>
      </c>
      <c r="G56" s="14">
        <f t="shared" si="3"/>
        <v>-0.32793828486002852</v>
      </c>
      <c r="H56" s="1">
        <f t="shared" si="12"/>
        <v>-0.32467521775280833</v>
      </c>
      <c r="I56" s="1">
        <f t="shared" si="4"/>
        <v>-0.4619909442061898</v>
      </c>
      <c r="J56" s="1">
        <f t="shared" si="5"/>
        <v>-0.45072136467388518</v>
      </c>
      <c r="K56" s="1">
        <f t="shared" si="6"/>
        <v>-0.45099629810799119</v>
      </c>
      <c r="L56" s="14">
        <f t="shared" si="7"/>
        <v>-0.43998594419936565</v>
      </c>
      <c r="M56" s="7">
        <f t="shared" si="8"/>
        <v>5.2485343847725252</v>
      </c>
    </row>
    <row r="57" spans="1:13" x14ac:dyDescent="0.25">
      <c r="A57" s="1">
        <f t="shared" si="9"/>
        <v>0.47000000000000025</v>
      </c>
      <c r="B57" s="4">
        <f t="shared" si="10"/>
        <v>5.2231449290587602</v>
      </c>
      <c r="C57" s="43">
        <f t="shared" si="11"/>
        <v>9.116107632092102E-2</v>
      </c>
      <c r="D57" s="3">
        <f t="shared" si="0"/>
        <v>-0.32918423810942382</v>
      </c>
      <c r="E57" s="2">
        <f t="shared" si="1"/>
        <v>-0.33083015929997095</v>
      </c>
      <c r="F57" s="2">
        <f t="shared" si="2"/>
        <v>-0.33083838890592365</v>
      </c>
      <c r="G57" s="14">
        <f t="shared" si="3"/>
        <v>-0.33249262199848306</v>
      </c>
      <c r="H57" s="1">
        <f t="shared" si="12"/>
        <v>-0.32918423810942382</v>
      </c>
      <c r="I57" s="1">
        <f t="shared" si="4"/>
        <v>-0.44607084090443055</v>
      </c>
      <c r="J57" s="1">
        <f t="shared" si="5"/>
        <v>-0.43518638416549832</v>
      </c>
      <c r="K57" s="1">
        <f t="shared" si="6"/>
        <v>-0.43545199890604153</v>
      </c>
      <c r="L57" s="14">
        <f t="shared" si="7"/>
        <v>-0.42481812906807737</v>
      </c>
      <c r="M57" s="7">
        <f t="shared" si="8"/>
        <v>5.0588444161700465</v>
      </c>
    </row>
    <row r="58" spans="1:13" x14ac:dyDescent="0.25">
      <c r="A58" s="1">
        <f t="shared" si="9"/>
        <v>0.48000000000000026</v>
      </c>
      <c r="B58" s="4">
        <f t="shared" si="10"/>
        <v>5.0335900590868548</v>
      </c>
      <c r="C58" s="43">
        <f t="shared" si="11"/>
        <v>8.7852719726721526E-2</v>
      </c>
      <c r="D58" s="3">
        <f t="shared" si="0"/>
        <v>-0.33353784766961647</v>
      </c>
      <c r="E58" s="2">
        <f t="shared" si="1"/>
        <v>-0.33520553690796456</v>
      </c>
      <c r="F58" s="2">
        <f t="shared" si="2"/>
        <v>-0.33521387535415631</v>
      </c>
      <c r="G58" s="14">
        <f t="shared" si="3"/>
        <v>-0.33688998642315804</v>
      </c>
      <c r="H58" s="1">
        <f t="shared" si="12"/>
        <v>-0.33353784766961647</v>
      </c>
      <c r="I58" s="1">
        <f t="shared" si="4"/>
        <v>-0.42992479449339022</v>
      </c>
      <c r="J58" s="1">
        <f t="shared" si="5"/>
        <v>-0.41943127363953137</v>
      </c>
      <c r="K58" s="1">
        <f t="shared" si="6"/>
        <v>-0.41968742073048232</v>
      </c>
      <c r="L58" s="14">
        <f t="shared" si="7"/>
        <v>-0.40943569384260536</v>
      </c>
      <c r="M58" s="7">
        <f t="shared" si="8"/>
        <v>4.866675715021036</v>
      </c>
    </row>
    <row r="59" spans="1:13" x14ac:dyDescent="0.25">
      <c r="A59" s="1">
        <f t="shared" si="9"/>
        <v>0.49000000000000027</v>
      </c>
      <c r="B59" s="4">
        <f t="shared" si="10"/>
        <v>4.8415282407299642</v>
      </c>
      <c r="C59" s="43">
        <f t="shared" si="11"/>
        <v>8.4500608629026502E-2</v>
      </c>
      <c r="D59" s="3">
        <f t="shared" si="0"/>
        <v>-0.33773384413140983</v>
      </c>
      <c r="E59" s="2">
        <f t="shared" si="1"/>
        <v>-0.33942251335206686</v>
      </c>
      <c r="F59" s="2">
        <f t="shared" si="2"/>
        <v>-0.33943095669817019</v>
      </c>
      <c r="G59" s="14">
        <f t="shared" si="3"/>
        <v>-0.34112815369839156</v>
      </c>
      <c r="H59" s="1">
        <f t="shared" si="12"/>
        <v>-0.33773384413140983</v>
      </c>
      <c r="I59" s="1">
        <f t="shared" si="4"/>
        <v>-0.41356041077255973</v>
      </c>
      <c r="J59" s="1">
        <f t="shared" si="5"/>
        <v>-0.40346345608142037</v>
      </c>
      <c r="K59" s="1">
        <f t="shared" si="6"/>
        <v>-0.40370999095430005</v>
      </c>
      <c r="L59" s="14">
        <f t="shared" si="7"/>
        <v>-0.39384588708816914</v>
      </c>
      <c r="M59" s="7">
        <f t="shared" si="8"/>
        <v>4.6721224401441468</v>
      </c>
    </row>
    <row r="60" spans="1:13" x14ac:dyDescent="0.25">
      <c r="A60" s="1">
        <f t="shared" si="9"/>
        <v>0.50000000000000022</v>
      </c>
      <c r="B60" s="4">
        <f t="shared" si="10"/>
        <v>4.6470502326785548</v>
      </c>
      <c r="C60" s="43">
        <f t="shared" si="11"/>
        <v>8.1106327065809378E-2</v>
      </c>
      <c r="D60" s="3">
        <f t="shared" si="0"/>
        <v>-0.34177009945129677</v>
      </c>
      <c r="E60" s="2">
        <f t="shared" si="1"/>
        <v>-0.34347894994855327</v>
      </c>
      <c r="F60" s="2">
        <f t="shared" si="2"/>
        <v>-0.34348749420103952</v>
      </c>
      <c r="G60" s="14">
        <f t="shared" si="3"/>
        <v>-0.34520497439330716</v>
      </c>
      <c r="H60" s="1">
        <f t="shared" si="12"/>
        <v>-0.34177009945129677</v>
      </c>
      <c r="I60" s="1">
        <f t="shared" si="4"/>
        <v>-0.39698542437033479</v>
      </c>
      <c r="J60" s="1">
        <f t="shared" si="5"/>
        <v>-0.38729047869094274</v>
      </c>
      <c r="K60" s="1">
        <f t="shared" si="6"/>
        <v>-0.3875272613125692</v>
      </c>
      <c r="L60" s="14">
        <f t="shared" si="7"/>
        <v>-0.37805607732427732</v>
      </c>
      <c r="M60" s="7">
        <f t="shared" si="8"/>
        <v>4.4752799187514434</v>
      </c>
    </row>
    <row r="61" spans="1:13" x14ac:dyDescent="0.25">
      <c r="A61" s="1">
        <f t="shared" si="9"/>
        <v>0.51000000000000023</v>
      </c>
      <c r="B61" s="4">
        <f t="shared" si="10"/>
        <v>4.4502480190189777</v>
      </c>
      <c r="C61" s="43">
        <f t="shared" si="11"/>
        <v>7.7671480462236389E-2</v>
      </c>
      <c r="D61" s="3">
        <f t="shared" si="0"/>
        <v>-0.34564456108746616</v>
      </c>
      <c r="E61" s="2">
        <f t="shared" si="1"/>
        <v>-0.34737278389290349</v>
      </c>
      <c r="F61" s="2">
        <f t="shared" si="2"/>
        <v>-0.3473814250069307</v>
      </c>
      <c r="G61" s="14">
        <f t="shared" si="3"/>
        <v>-0.34911837533753548</v>
      </c>
      <c r="H61" s="1">
        <f t="shared" si="12"/>
        <v>-0.34564456108746616</v>
      </c>
      <c r="I61" s="1">
        <f t="shared" si="4"/>
        <v>-0.38020769513045399</v>
      </c>
      <c r="J61" s="1">
        <f t="shared" si="5"/>
        <v>-0.37092000935248448</v>
      </c>
      <c r="K61" s="1">
        <f t="shared" si="6"/>
        <v>-0.37114690437087239</v>
      </c>
      <c r="L61" s="14">
        <f t="shared" si="7"/>
        <v>-0.3620737495755097</v>
      </c>
      <c r="M61" s="7">
        <f t="shared" si="8"/>
        <v>4.2762445997399796</v>
      </c>
    </row>
    <row r="62" spans="1:13" x14ac:dyDescent="0.25">
      <c r="A62" s="1">
        <f t="shared" si="9"/>
        <v>0.52000000000000024</v>
      </c>
      <c r="B62" s="4">
        <f t="shared" si="10"/>
        <v>4.2512147657571608</v>
      </c>
      <c r="C62" s="43">
        <f t="shared" si="11"/>
        <v>7.4197694871861938E-2</v>
      </c>
      <c r="D62" s="3">
        <f t="shared" si="0"/>
        <v>-0.34935525320772065</v>
      </c>
      <c r="E62" s="2">
        <f t="shared" si="1"/>
        <v>-0.35110202947375924</v>
      </c>
      <c r="F62" s="2">
        <f t="shared" si="2"/>
        <v>-0.35111076335508945</v>
      </c>
      <c r="G62" s="14">
        <f t="shared" si="3"/>
        <v>-0.35286636084127154</v>
      </c>
      <c r="H62" s="1">
        <f t="shared" si="12"/>
        <v>-0.34935525320772065</v>
      </c>
      <c r="I62" s="1">
        <f t="shared" si="4"/>
        <v>-0.36323520434696993</v>
      </c>
      <c r="J62" s="1">
        <f t="shared" si="5"/>
        <v>-0.35435983296408619</v>
      </c>
      <c r="K62" s="1">
        <f t="shared" si="6"/>
        <v>-0.35457670985208939</v>
      </c>
      <c r="L62" s="14">
        <f t="shared" si="7"/>
        <v>-0.34590650179022331</v>
      </c>
      <c r="M62" s="7">
        <f t="shared" si="8"/>
        <v>4.0751140064337754</v>
      </c>
    </row>
    <row r="63" spans="1:13" x14ac:dyDescent="0.25">
      <c r="A63" s="1">
        <f t="shared" si="9"/>
        <v>0.53000000000000025</v>
      </c>
      <c r="B63" s="4">
        <f t="shared" si="10"/>
        <v>4.0500447766467493</v>
      </c>
      <c r="C63" s="43">
        <f t="shared" si="11"/>
        <v>7.0686616205684116E-2</v>
      </c>
      <c r="D63" s="3">
        <f t="shared" si="0"/>
        <v>-0.35290027786066991</v>
      </c>
      <c r="E63" s="2">
        <f t="shared" si="1"/>
        <v>-0.35466477924997325</v>
      </c>
      <c r="F63" s="2">
        <f t="shared" si="2"/>
        <v>-0.35467360175691975</v>
      </c>
      <c r="G63" s="14">
        <f t="shared" si="3"/>
        <v>-0.35644701387823913</v>
      </c>
      <c r="H63" s="1">
        <f t="shared" si="12"/>
        <v>-0.35290027786066991</v>
      </c>
      <c r="I63" s="1">
        <f t="shared" si="4"/>
        <v>-0.34607605084952303</v>
      </c>
      <c r="J63" s="1">
        <f t="shared" si="5"/>
        <v>-0.33761784762701236</v>
      </c>
      <c r="K63" s="1">
        <f t="shared" si="6"/>
        <v>-0.33782458082329575</v>
      </c>
      <c r="L63" s="14">
        <f t="shared" si="7"/>
        <v>-0.32956204112889526</v>
      </c>
      <c r="M63" s="7">
        <f t="shared" si="8"/>
        <v>3.8719866887993244</v>
      </c>
    </row>
    <row r="64" spans="1:13" x14ac:dyDescent="0.25">
      <c r="A64" s="1">
        <f t="shared" si="9"/>
        <v>0.54000000000000026</v>
      </c>
      <c r="B64" s="4">
        <f t="shared" si="10"/>
        <v>3.8468334483428324</v>
      </c>
      <c r="C64" s="43">
        <f t="shared" si="11"/>
        <v>6.713990944942963E-2</v>
      </c>
      <c r="D64" s="3">
        <f t="shared" si="0"/>
        <v>-0.35627781610880166</v>
      </c>
      <c r="E64" s="2">
        <f t="shared" si="1"/>
        <v>-0.35805920518934564</v>
      </c>
      <c r="F64" s="2">
        <f t="shared" si="2"/>
        <v>-0.35806811213474837</v>
      </c>
      <c r="G64" s="14">
        <f t="shared" si="3"/>
        <v>-0.35985849723014912</v>
      </c>
      <c r="H64" s="1">
        <f t="shared" si="12"/>
        <v>-0.35627781610880166</v>
      </c>
      <c r="I64" s="1">
        <f t="shared" si="4"/>
        <v>-0.32873844694115478</v>
      </c>
      <c r="J64" s="1">
        <f t="shared" si="5"/>
        <v>-0.32070206069801172</v>
      </c>
      <c r="K64" s="1">
        <f t="shared" si="6"/>
        <v>-0.32089852974494332</v>
      </c>
      <c r="L64" s="14">
        <f t="shared" si="7"/>
        <v>-0.31304818012420432</v>
      </c>
      <c r="M64" s="7">
        <f t="shared" si="8"/>
        <v>3.6669621751580967</v>
      </c>
    </row>
    <row r="65" spans="1:13" x14ac:dyDescent="0.25">
      <c r="A65" s="1">
        <f t="shared" si="9"/>
        <v>0.55000000000000027</v>
      </c>
      <c r="B65" s="4">
        <f t="shared" si="10"/>
        <v>3.6416772249032108</v>
      </c>
      <c r="C65" s="43">
        <f t="shared" si="11"/>
        <v>6.3559257869451061E-2</v>
      </c>
      <c r="D65" s="3">
        <f t="shared" si="0"/>
        <v>-0.3594861291220538</v>
      </c>
      <c r="E65" s="2">
        <f t="shared" si="1"/>
        <v>-0.36128355976766408</v>
      </c>
      <c r="F65" s="2">
        <f t="shared" si="2"/>
        <v>-0.36129254692089213</v>
      </c>
      <c r="G65" s="14">
        <f t="shared" si="3"/>
        <v>-0.36309905459126274</v>
      </c>
      <c r="H65" s="1">
        <f t="shared" si="12"/>
        <v>-0.3594861291220538</v>
      </c>
      <c r="I65" s="1">
        <f t="shared" si="4"/>
        <v>-0.31123071419136245</v>
      </c>
      <c r="J65" s="1">
        <f t="shared" si="5"/>
        <v>-0.30362058470686087</v>
      </c>
      <c r="K65" s="1">
        <f t="shared" si="6"/>
        <v>-0.3038066743849151</v>
      </c>
      <c r="L65" s="14">
        <f t="shared" si="7"/>
        <v>-0.29637283271534104</v>
      </c>
      <c r="M65" s="7">
        <f t="shared" si="8"/>
        <v>3.4601409234196461</v>
      </c>
    </row>
    <row r="66" spans="1:13" x14ac:dyDescent="0.25">
      <c r="A66" s="1">
        <f t="shared" si="9"/>
        <v>0.56000000000000028</v>
      </c>
      <c r="B66" s="4">
        <f t="shared" si="10"/>
        <v>3.4346735516599503</v>
      </c>
      <c r="C66" s="43">
        <f t="shared" si="11"/>
        <v>5.9946362207633677E-2</v>
      </c>
      <c r="D66" s="3">
        <f t="shared" si="0"/>
        <v>-0.36252355923053758</v>
      </c>
      <c r="E66" s="2">
        <f t="shared" si="1"/>
        <v>-0.3643361770266903</v>
      </c>
      <c r="F66" s="2">
        <f t="shared" si="2"/>
        <v>-0.36434524011567104</v>
      </c>
      <c r="G66" s="14">
        <f t="shared" si="3"/>
        <v>-0.36616701163169429</v>
      </c>
      <c r="H66" s="1">
        <f t="shared" si="12"/>
        <v>-0.36252355923053758</v>
      </c>
      <c r="I66" s="1">
        <f t="shared" si="4"/>
        <v>-0.2935612790875623</v>
      </c>
      <c r="J66" s="1">
        <f t="shared" si="5"/>
        <v>-0.28638163314220805</v>
      </c>
      <c r="K66" s="1">
        <f t="shared" si="6"/>
        <v>-0.28655723360047597</v>
      </c>
      <c r="L66" s="14">
        <f t="shared" si="7"/>
        <v>-0.27954401015942154</v>
      </c>
      <c r="M66" s="7">
        <f t="shared" si="8"/>
        <v>3.2516242718592401</v>
      </c>
    </row>
    <row r="67" spans="1:13" x14ac:dyDescent="0.25">
      <c r="A67" s="1">
        <f t="shared" si="9"/>
        <v>0.57000000000000028</v>
      </c>
      <c r="B67" s="4">
        <f t="shared" si="10"/>
        <v>3.2259208284847456</v>
      </c>
      <c r="C67" s="43">
        <f t="shared" si="11"/>
        <v>5.6302939865722088E-2</v>
      </c>
      <c r="D67" s="3">
        <f t="shared" si="0"/>
        <v>-0.36538853093509149</v>
      </c>
      <c r="E67" s="2">
        <f t="shared" si="1"/>
        <v>-0.36721547358976697</v>
      </c>
      <c r="F67" s="2">
        <f t="shared" si="2"/>
        <v>-0.36722460830304032</v>
      </c>
      <c r="G67" s="14">
        <f t="shared" si="3"/>
        <v>-0.3690607770181219</v>
      </c>
      <c r="H67" s="1">
        <f t="shared" si="12"/>
        <v>-0.36538853093509149</v>
      </c>
      <c r="I67" s="1">
        <f t="shared" si="4"/>
        <v>-0.27573866854858142</v>
      </c>
      <c r="J67" s="1">
        <f t="shared" si="5"/>
        <v>-0.26899351610914352</v>
      </c>
      <c r="K67" s="1">
        <f t="shared" si="6"/>
        <v>-0.26915852299155485</v>
      </c>
      <c r="L67" s="14">
        <f t="shared" si="7"/>
        <v>-0.2625698168232603</v>
      </c>
      <c r="M67" s="7">
        <f t="shared" si="8"/>
        <v>3.0415143894641457</v>
      </c>
    </row>
    <row r="68" spans="1:13" x14ac:dyDescent="0.25">
      <c r="A68" s="1">
        <f t="shared" si="9"/>
        <v>0.58000000000000029</v>
      </c>
      <c r="B68" s="4">
        <f t="shared" si="10"/>
        <v>3.0155183624723723</v>
      </c>
      <c r="C68" s="43">
        <f t="shared" si="11"/>
        <v>5.2630724079490709E-2</v>
      </c>
      <c r="D68" s="3">
        <f t="shared" si="0"/>
        <v>-0.36807955187438024</v>
      </c>
      <c r="E68" s="2">
        <f t="shared" si="1"/>
        <v>-0.36991994963375213</v>
      </c>
      <c r="F68" s="2">
        <f t="shared" si="2"/>
        <v>-0.36992915162254902</v>
      </c>
      <c r="G68" s="14">
        <f t="shared" si="3"/>
        <v>-0.37177884339060574</v>
      </c>
      <c r="H68" s="1">
        <f t="shared" si="12"/>
        <v>-0.36807955187438024</v>
      </c>
      <c r="I68" s="1">
        <f t="shared" si="4"/>
        <v>-0.25777150530425424</v>
      </c>
      <c r="J68" s="1">
        <f t="shared" si="5"/>
        <v>-0.25146463586234191</v>
      </c>
      <c r="K68" s="1">
        <f t="shared" si="6"/>
        <v>-0.25161895042920795</v>
      </c>
      <c r="L68" s="14">
        <f t="shared" si="7"/>
        <v>-0.24545844585913101</v>
      </c>
      <c r="M68" s="7">
        <f t="shared" si="8"/>
        <v>2.8299142258728502</v>
      </c>
    </row>
    <row r="69" spans="1:13" x14ac:dyDescent="0.25">
      <c r="A69" s="1">
        <f t="shared" si="9"/>
        <v>0.5900000000000003</v>
      </c>
      <c r="B69" s="4">
        <f t="shared" si="10"/>
        <v>2.8035663200672527</v>
      </c>
      <c r="C69" s="43">
        <f t="shared" si="11"/>
        <v>4.893146308319473E-2</v>
      </c>
      <c r="D69" s="3">
        <f t="shared" si="0"/>
        <v>-0.37059521374729104</v>
      </c>
      <c r="E69" s="2">
        <f t="shared" si="1"/>
        <v>-0.37244818981602751</v>
      </c>
      <c r="F69" s="2">
        <f t="shared" si="2"/>
        <v>-0.3724574546963712</v>
      </c>
      <c r="G69" s="14">
        <f t="shared" si="3"/>
        <v>-0.37431978829425477</v>
      </c>
      <c r="H69" s="1">
        <f t="shared" si="12"/>
        <v>-0.37059521374729104</v>
      </c>
      <c r="I69" s="1">
        <f t="shared" si="4"/>
        <v>-0.23966850314563659</v>
      </c>
      <c r="J69" s="1">
        <f t="shared" si="5"/>
        <v>-0.2338034822190144</v>
      </c>
      <c r="K69" s="1">
        <f t="shared" si="6"/>
        <v>-0.23394701146351449</v>
      </c>
      <c r="L69" s="14">
        <f t="shared" si="7"/>
        <v>-0.22821817476851125</v>
      </c>
      <c r="M69" s="7">
        <f t="shared" si="8"/>
        <v>2.6169274609318203</v>
      </c>
    </row>
    <row r="70" spans="1:13" x14ac:dyDescent="0.25">
      <c r="A70" s="1">
        <f t="shared" si="9"/>
        <v>0.60000000000000031</v>
      </c>
      <c r="B70" s="4">
        <f t="shared" si="10"/>
        <v>2.5901656786588769</v>
      </c>
      <c r="C70" s="43">
        <f t="shared" si="11"/>
        <v>4.5206919264750824E-2</v>
      </c>
      <c r="D70" s="3">
        <f t="shared" si="0"/>
        <v>-0.37293419318942306</v>
      </c>
      <c r="E70" s="2">
        <f t="shared" si="1"/>
        <v>-0.37479886415537017</v>
      </c>
      <c r="F70" s="2">
        <f t="shared" si="2"/>
        <v>-0.3748081875101999</v>
      </c>
      <c r="G70" s="14">
        <f t="shared" si="3"/>
        <v>-0.37668227506452506</v>
      </c>
      <c r="H70" s="1">
        <f t="shared" si="12"/>
        <v>-0.37293419318942306</v>
      </c>
      <c r="I70" s="1">
        <f t="shared" si="4"/>
        <v>-0.2214384620507826</v>
      </c>
      <c r="J70" s="1">
        <f t="shared" si="5"/>
        <v>-0.21601862785630499</v>
      </c>
      <c r="K70" s="1">
        <f t="shared" si="6"/>
        <v>-0.21615128461554883</v>
      </c>
      <c r="L70" s="14">
        <f t="shared" si="7"/>
        <v>-0.21085736085816234</v>
      </c>
      <c r="M70" s="7">
        <f t="shared" si="8"/>
        <v>2.4026584538944373</v>
      </c>
    </row>
    <row r="71" spans="1:13" x14ac:dyDescent="0.25">
      <c r="A71" s="1">
        <f t="shared" si="9"/>
        <v>0.61000000000000032</v>
      </c>
      <c r="B71" s="4">
        <f t="shared" si="10"/>
        <v>2.3754181776725134</v>
      </c>
      <c r="C71" s="43">
        <f t="shared" si="11"/>
        <v>4.1458868312109008E-2</v>
      </c>
      <c r="D71" s="3">
        <f t="shared" si="0"/>
        <v>-0.37509525260251081</v>
      </c>
      <c r="E71" s="2">
        <f t="shared" si="1"/>
        <v>-0.37697072886552335</v>
      </c>
      <c r="F71" s="2">
        <f t="shared" si="2"/>
        <v>-0.37698010624683842</v>
      </c>
      <c r="G71" s="14">
        <f t="shared" si="3"/>
        <v>-0.37886505366497919</v>
      </c>
      <c r="H71" s="1">
        <f t="shared" si="12"/>
        <v>-0.37509525260251081</v>
      </c>
      <c r="I71" s="1">
        <f t="shared" si="4"/>
        <v>-0.20309026319144594</v>
      </c>
      <c r="J71" s="1">
        <f t="shared" si="5"/>
        <v>-0.19811872349814202</v>
      </c>
      <c r="K71" s="1">
        <f t="shared" si="6"/>
        <v>-0.1982404265584552</v>
      </c>
      <c r="L71" s="14">
        <f t="shared" si="7"/>
        <v>-0.19338443659324248</v>
      </c>
      <c r="M71" s="7">
        <f t="shared" si="8"/>
        <v>2.1872121922870504</v>
      </c>
    </row>
    <row r="72" spans="1:13" x14ac:dyDescent="0.25">
      <c r="A72" s="1">
        <f t="shared" si="9"/>
        <v>0.62000000000000033</v>
      </c>
      <c r="B72" s="4">
        <f t="shared" si="10"/>
        <v>2.1594262691823092</v>
      </c>
      <c r="C72" s="43">
        <f t="shared" si="11"/>
        <v>3.7689098351288655E-2</v>
      </c>
      <c r="D72" s="3">
        <f t="shared" si="0"/>
        <v>-0.37707724093567396</v>
      </c>
      <c r="E72" s="2">
        <f t="shared" si="1"/>
        <v>-0.37896262714035234</v>
      </c>
      <c r="F72" s="2">
        <f t="shared" si="2"/>
        <v>-0.37897205407137574</v>
      </c>
      <c r="G72" s="14">
        <f t="shared" si="3"/>
        <v>-0.38086696147638771</v>
      </c>
      <c r="H72" s="1">
        <f t="shared" si="12"/>
        <v>-0.37707724093567396</v>
      </c>
      <c r="I72" s="1">
        <f t="shared" si="4"/>
        <v>-0.18463286382646904</v>
      </c>
      <c r="J72" s="1">
        <f t="shared" si="5"/>
        <v>-0.18011249299692039</v>
      </c>
      <c r="K72" s="1">
        <f t="shared" si="6"/>
        <v>-0.18022316719301468</v>
      </c>
      <c r="L72" s="14">
        <f t="shared" si="7"/>
        <v>-0.17580790485248229</v>
      </c>
      <c r="M72" s="7">
        <f t="shared" si="8"/>
        <v>1.9706942404672008</v>
      </c>
    </row>
    <row r="73" spans="1:13" x14ac:dyDescent="0.25">
      <c r="A73" s="1">
        <f t="shared" si="9"/>
        <v>0.63000000000000034</v>
      </c>
      <c r="B73" s="4">
        <f t="shared" si="10"/>
        <v>1.9422930680745232</v>
      </c>
      <c r="C73" s="43">
        <f t="shared" si="11"/>
        <v>3.3899409076562789E-2</v>
      </c>
      <c r="D73" s="3">
        <f t="shared" si="0"/>
        <v>-0.37887909441743867</v>
      </c>
      <c r="E73" s="2">
        <f t="shared" si="1"/>
        <v>-0.38077348988952586</v>
      </c>
      <c r="F73" s="2">
        <f t="shared" si="2"/>
        <v>-0.38078296186688632</v>
      </c>
      <c r="G73" s="14">
        <f t="shared" si="3"/>
        <v>-0.38268692403610755</v>
      </c>
      <c r="H73" s="1">
        <f t="shared" si="12"/>
        <v>-0.37887909441743867</v>
      </c>
      <c r="I73" s="1">
        <f t="shared" si="4"/>
        <v>-0.16607529208800867</v>
      </c>
      <c r="J73" s="1">
        <f t="shared" si="5"/>
        <v>-0.16200872831574167</v>
      </c>
      <c r="K73" s="1">
        <f t="shared" si="6"/>
        <v>-0.16210830462344908</v>
      </c>
      <c r="L73" s="14">
        <f t="shared" si="7"/>
        <v>-0.15813633409077149</v>
      </c>
      <c r="M73" s="7">
        <f t="shared" si="8"/>
        <v>1.7532106878991824</v>
      </c>
    </row>
    <row r="74" spans="1:13" x14ac:dyDescent="0.25">
      <c r="A74" s="1">
        <f t="shared" si="9"/>
        <v>0.64000000000000035</v>
      </c>
      <c r="B74" s="4">
        <f t="shared" si="10"/>
        <v>1.7241223017892369</v>
      </c>
      <c r="C74" s="43">
        <f t="shared" si="11"/>
        <v>3.0091610873285504E-2</v>
      </c>
      <c r="D74" s="3">
        <f t="shared" ref="D74:D137" si="13">H74</f>
        <v>-0.38049983723753394</v>
      </c>
      <c r="E74" s="2">
        <f t="shared" ref="E74:E137" si="14">H74+$B$2/2*D74</f>
        <v>-0.38240233642372162</v>
      </c>
      <c r="F74" s="2">
        <f t="shared" ref="F74:F137" si="15">H74+$B$2/2*E74</f>
        <v>-0.38241184891965257</v>
      </c>
      <c r="G74" s="14">
        <f t="shared" ref="G74:G137" si="16">H74+$B$2*F74</f>
        <v>-0.38432395572673045</v>
      </c>
      <c r="H74" s="1">
        <f t="shared" si="12"/>
        <v>-0.38049983723753394</v>
      </c>
      <c r="I74" s="1">
        <f t="shared" ref="I74:I137" si="17">-$B$3/$B$4*SIN(C74)</f>
        <v>-0.14742664166711414</v>
      </c>
      <c r="J74" s="1">
        <f t="shared" ref="J74:J137" si="18">-$B$3/$B$4*SIN(C74+1/2*$B$2*I74)</f>
        <v>-0.14381628441726951</v>
      </c>
      <c r="K74" s="1">
        <f t="shared" ref="K74:K137" si="19">-$B$3/$B$4*SIN(C74+1/2*$B$2*J74)</f>
        <v>-0.14390470003953809</v>
      </c>
      <c r="L74" s="14">
        <f t="shared" ref="L74:L137" si="20">-$B$3/$B$4*SIN(C74+$B$2*K74)</f>
        <v>-0.14037835341480939</v>
      </c>
      <c r="M74" s="7">
        <f t="shared" ref="M74:M137" si="21">$B$10*PI()/180*COS(SQRT($B$3/$B$4)*A74)*180/PI()</f>
        <v>1.5348680971723474</v>
      </c>
    </row>
    <row r="75" spans="1:13" x14ac:dyDescent="0.25">
      <c r="A75" s="1">
        <f t="shared" ref="A75:A138" si="22">A74+$B$2</f>
        <v>0.65000000000000036</v>
      </c>
      <c r="B75" s="4">
        <f t="shared" ref="B75:B138" si="23">C75*180/PI()</f>
        <v>1.5050182596694652</v>
      </c>
      <c r="C75" s="43">
        <f t="shared" ref="C75:C138" si="24">C74+$B$2*(D74+2*E74+2*F74+G74)/6</f>
        <v>2.6267523933867151E-2</v>
      </c>
      <c r="D75" s="3">
        <f t="shared" si="13"/>
        <v>-0.38193858217752652</v>
      </c>
      <c r="E75" s="2">
        <f t="shared" si="14"/>
        <v>-0.38384827508841413</v>
      </c>
      <c r="F75" s="2">
        <f t="shared" si="15"/>
        <v>-0.3838578235529686</v>
      </c>
      <c r="G75" s="14">
        <f t="shared" si="16"/>
        <v>-0.38577716041305621</v>
      </c>
      <c r="H75" s="1">
        <f t="shared" ref="H75:H138" si="25">H74+$B$2*(I74+2*J74+2*K74+L74)/6</f>
        <v>-0.38193858217752652</v>
      </c>
      <c r="I75" s="1">
        <f t="shared" si="17"/>
        <v>-0.12869606640551789</v>
      </c>
      <c r="J75" s="1">
        <f t="shared" si="18"/>
        <v>-0.12554407406557375</v>
      </c>
      <c r="K75" s="1">
        <f t="shared" si="19"/>
        <v>-0.12562127251144159</v>
      </c>
      <c r="L75" s="14">
        <f t="shared" si="20"/>
        <v>-0.12254264757775561</v>
      </c>
      <c r="M75" s="7">
        <f t="shared" si="21"/>
        <v>1.3157734517875466</v>
      </c>
    </row>
    <row r="76" spans="1:13" x14ac:dyDescent="0.25">
      <c r="A76" s="1">
        <f t="shared" si="22"/>
        <v>0.66000000000000036</v>
      </c>
      <c r="B76" s="4">
        <f t="shared" si="23"/>
        <v>1.2850857419471271</v>
      </c>
      <c r="C76" s="43">
        <f t="shared" si="24"/>
        <v>2.2428977367411573E-2</v>
      </c>
      <c r="D76" s="3">
        <f t="shared" si="13"/>
        <v>-0.38319453118942204</v>
      </c>
      <c r="E76" s="2">
        <f t="shared" si="14"/>
        <v>-0.38511050384536916</v>
      </c>
      <c r="F76" s="2">
        <f t="shared" si="15"/>
        <v>-0.38512008370864886</v>
      </c>
      <c r="G76" s="14">
        <f t="shared" si="16"/>
        <v>-0.38704573202650855</v>
      </c>
      <c r="H76" s="1">
        <f t="shared" si="25"/>
        <v>-0.38319453118942204</v>
      </c>
      <c r="I76" s="1">
        <f t="shared" si="17"/>
        <v>-0.10989277480082583</v>
      </c>
      <c r="J76" s="1">
        <f t="shared" si="18"/>
        <v>-0.10720106254762943</v>
      </c>
      <c r="K76" s="1">
        <f t="shared" si="19"/>
        <v>-0.10726699370391678</v>
      </c>
      <c r="L76" s="14">
        <f t="shared" si="20"/>
        <v>-0.10463795189908728</v>
      </c>
      <c r="M76" s="7">
        <f t="shared" si="21"/>
        <v>1.0960341037373733</v>
      </c>
    </row>
    <row r="77" spans="1:13" x14ac:dyDescent="0.25">
      <c r="A77" s="1">
        <f t="shared" si="22"/>
        <v>0.67000000000000037</v>
      </c>
      <c r="B77" s="4">
        <f t="shared" si="23"/>
        <v>1.0644300083958402</v>
      </c>
      <c r="C77" s="43">
        <f t="shared" si="24"/>
        <v>1.8577808303538296E-2</v>
      </c>
      <c r="D77" s="3">
        <f t="shared" si="13"/>
        <v>-0.38426697592142706</v>
      </c>
      <c r="E77" s="2">
        <f t="shared" si="14"/>
        <v>-0.38618831080103422</v>
      </c>
      <c r="F77" s="2">
        <f t="shared" si="15"/>
        <v>-0.38619791747543225</v>
      </c>
      <c r="G77" s="14">
        <f t="shared" si="16"/>
        <v>-0.38812895509618139</v>
      </c>
      <c r="H77" s="1">
        <f t="shared" si="25"/>
        <v>-0.38426697592142706</v>
      </c>
      <c r="I77" s="1">
        <f t="shared" si="17"/>
        <v>-9.1026024432592514E-2</v>
      </c>
      <c r="J77" s="1">
        <f t="shared" si="18"/>
        <v>-8.8796262321410913E-2</v>
      </c>
      <c r="K77" s="1">
        <f t="shared" si="19"/>
        <v>-8.88508825168913E-2</v>
      </c>
      <c r="L77" s="14">
        <f t="shared" si="20"/>
        <v>-8.6673047116117036E-2</v>
      </c>
      <c r="M77" s="7">
        <f t="shared" si="21"/>
        <v>0.8757577209058286</v>
      </c>
    </row>
    <row r="78" spans="1:13" x14ac:dyDescent="0.25">
      <c r="A78" s="1">
        <f t="shared" si="22"/>
        <v>0.68000000000000038</v>
      </c>
      <c r="B78" s="4">
        <f t="shared" si="23"/>
        <v>0.8431567266809632</v>
      </c>
      <c r="C78" s="43">
        <f t="shared" si="24"/>
        <v>1.4715860990920728E-2</v>
      </c>
      <c r="D78" s="3">
        <f t="shared" si="13"/>
        <v>-0.38515529819013589</v>
      </c>
      <c r="E78" s="2">
        <f t="shared" si="14"/>
        <v>-0.38708107468108655</v>
      </c>
      <c r="F78" s="2">
        <f t="shared" si="15"/>
        <v>-0.38709070356354131</v>
      </c>
      <c r="G78" s="14">
        <f t="shared" si="16"/>
        <v>-0.3890262052257713</v>
      </c>
      <c r="H78" s="1">
        <f t="shared" si="25"/>
        <v>-0.38515529819013589</v>
      </c>
      <c r="I78" s="1">
        <f t="shared" si="17"/>
        <v>-7.2105116317044249E-2</v>
      </c>
      <c r="J78" s="1">
        <f t="shared" si="18"/>
        <v>-7.0338727597770226E-2</v>
      </c>
      <c r="K78" s="1">
        <f t="shared" si="19"/>
        <v>-7.0381999659606162E-2</v>
      </c>
      <c r="L78" s="14">
        <f t="shared" si="20"/>
        <v>-6.8656754173853279E-2</v>
      </c>
      <c r="M78" s="7">
        <f t="shared" si="21"/>
        <v>0.65505223431320414</v>
      </c>
    </row>
    <row r="79" spans="1:13" x14ac:dyDescent="0.25">
      <c r="A79" s="1">
        <f t="shared" si="22"/>
        <v>0.69000000000000039</v>
      </c>
      <c r="B79" s="4">
        <f t="shared" si="23"/>
        <v>0.62137192043773903</v>
      </c>
      <c r="C79" s="43">
        <f t="shared" si="24"/>
        <v>1.084498589107879E-2</v>
      </c>
      <c r="D79" s="3">
        <f t="shared" si="13"/>
        <v>-0.38585897039847866</v>
      </c>
      <c r="E79" s="2">
        <f t="shared" si="14"/>
        <v>-0.38778826525047105</v>
      </c>
      <c r="F79" s="2">
        <f t="shared" si="15"/>
        <v>-0.38779791172473099</v>
      </c>
      <c r="G79" s="14">
        <f t="shared" si="16"/>
        <v>-0.38973694951572596</v>
      </c>
      <c r="H79" s="1">
        <f t="shared" si="25"/>
        <v>-0.38585897039847866</v>
      </c>
      <c r="I79" s="1">
        <f t="shared" si="17"/>
        <v>-5.3139389198461444E-2</v>
      </c>
      <c r="J79" s="1">
        <f t="shared" si="18"/>
        <v>-5.1837548863516436E-2</v>
      </c>
      <c r="K79" s="1">
        <f t="shared" si="19"/>
        <v>-5.1869442165770101E-2</v>
      </c>
      <c r="L79" s="14">
        <f t="shared" si="20"/>
        <v>-5.0597928960090903E-2</v>
      </c>
      <c r="M79" s="7">
        <f t="shared" si="21"/>
        <v>0.43402578523205765</v>
      </c>
    </row>
    <row r="80" spans="1:13" x14ac:dyDescent="0.25">
      <c r="A80" s="1">
        <f t="shared" si="22"/>
        <v>0.7000000000000004</v>
      </c>
      <c r="B80" s="4">
        <f t="shared" si="23"/>
        <v>0.39918191710876932</v>
      </c>
      <c r="C80" s="43">
        <f t="shared" si="24"/>
        <v>6.9670387679711086E-3</v>
      </c>
      <c r="D80" s="3">
        <f t="shared" si="13"/>
        <v>-0.38637755589884054</v>
      </c>
      <c r="E80" s="2">
        <f t="shared" si="14"/>
        <v>-0.38830944367833475</v>
      </c>
      <c r="F80" s="2">
        <f t="shared" si="15"/>
        <v>-0.38831910311723222</v>
      </c>
      <c r="G80" s="14">
        <f t="shared" si="16"/>
        <v>-0.39026074693001284</v>
      </c>
      <c r="H80" s="1">
        <f t="shared" si="25"/>
        <v>-0.38637755589884054</v>
      </c>
      <c r="I80" s="1">
        <f t="shared" si="17"/>
        <v>-3.4138213785454702E-2</v>
      </c>
      <c r="J80" s="1">
        <f t="shared" si="18"/>
        <v>-3.3301847353313235E-2</v>
      </c>
      <c r="K80" s="1">
        <f t="shared" si="19"/>
        <v>-3.3322337857368642E-2</v>
      </c>
      <c r="L80" s="14">
        <f t="shared" si="20"/>
        <v>-3.2505456992804327E-2</v>
      </c>
      <c r="M80" s="7">
        <f t="shared" si="21"/>
        <v>0.21278667220013606</v>
      </c>
    </row>
    <row r="81" spans="1:13" x14ac:dyDescent="0.25">
      <c r="A81" s="1">
        <f t="shared" si="22"/>
        <v>0.71000000000000041</v>
      </c>
      <c r="B81" s="4">
        <f t="shared" si="23"/>
        <v>0.1766932955723941</v>
      </c>
      <c r="C81" s="43">
        <f t="shared" si="24"/>
        <v>3.0838797739377957E-3</v>
      </c>
      <c r="D81" s="3">
        <f t="shared" si="13"/>
        <v>-0.38671070930083989</v>
      </c>
      <c r="E81" s="2">
        <f t="shared" si="14"/>
        <v>-0.3886442628473441</v>
      </c>
      <c r="F81" s="2">
        <f t="shared" si="15"/>
        <v>-0.38865393061507664</v>
      </c>
      <c r="G81" s="14">
        <f t="shared" si="16"/>
        <v>-0.39059724860699069</v>
      </c>
      <c r="H81" s="1">
        <f t="shared" si="25"/>
        <v>-0.38671070930083989</v>
      </c>
      <c r="I81" s="1">
        <f t="shared" si="17"/>
        <v>-1.5110986940562357E-2</v>
      </c>
      <c r="J81" s="1">
        <f t="shared" si="18"/>
        <v>-1.4740769478188928E-2</v>
      </c>
      <c r="K81" s="1">
        <f t="shared" si="19"/>
        <v>-1.4749839764948532E-2</v>
      </c>
      <c r="L81" s="14">
        <f t="shared" si="20"/>
        <v>-1.4388248067074698E-2</v>
      </c>
      <c r="M81" s="7">
        <f t="shared" si="21"/>
        <v>-8.5567020437265114E-3</v>
      </c>
    </row>
    <row r="82" spans="1:13" x14ac:dyDescent="0.25">
      <c r="A82" s="1">
        <f t="shared" si="22"/>
        <v>0.72000000000000042</v>
      </c>
      <c r="B82" s="4">
        <f t="shared" si="23"/>
        <v>-4.598716640615836E-2</v>
      </c>
      <c r="C82" s="43">
        <f t="shared" si="24"/>
        <v>-8.0262746744999124E-4</v>
      </c>
      <c r="D82" s="3">
        <f t="shared" si="13"/>
        <v>-0.38685817672332973</v>
      </c>
      <c r="E82" s="2">
        <f t="shared" si="14"/>
        <v>-0.38879246760694636</v>
      </c>
      <c r="F82" s="2">
        <f t="shared" si="15"/>
        <v>-0.38880213906136446</v>
      </c>
      <c r="G82" s="14">
        <f t="shared" si="16"/>
        <v>-0.3907461981139434</v>
      </c>
      <c r="H82" s="1">
        <f t="shared" si="25"/>
        <v>-0.38685817672332973</v>
      </c>
      <c r="I82" s="1">
        <f t="shared" si="17"/>
        <v>3.9328741682382222E-3</v>
      </c>
      <c r="J82" s="1">
        <f t="shared" si="18"/>
        <v>3.8365187813988004E-3</v>
      </c>
      <c r="K82" s="1">
        <f t="shared" si="19"/>
        <v>3.8388794876523277E-3</v>
      </c>
      <c r="L82" s="14">
        <f t="shared" si="20"/>
        <v>3.7447691310811913E-3</v>
      </c>
      <c r="M82" s="7">
        <f t="shared" si="21"/>
        <v>-0.22989588367478794</v>
      </c>
    </row>
    <row r="83" spans="1:13" x14ac:dyDescent="0.25">
      <c r="A83" s="1">
        <f t="shared" si="22"/>
        <v>0.73000000000000043</v>
      </c>
      <c r="B83" s="4">
        <f t="shared" si="23"/>
        <v>-0.26875254486873112</v>
      </c>
      <c r="C83" s="43">
        <f t="shared" si="24"/>
        <v>-4.6906167810731496E-3</v>
      </c>
      <c r="D83" s="3">
        <f t="shared" si="13"/>
        <v>-0.38681979599026733</v>
      </c>
      <c r="E83" s="2">
        <f t="shared" si="14"/>
        <v>-0.38875389497021867</v>
      </c>
      <c r="F83" s="2">
        <f t="shared" si="15"/>
        <v>-0.38876356546511842</v>
      </c>
      <c r="G83" s="14">
        <f t="shared" si="16"/>
        <v>-0.3907074316449185</v>
      </c>
      <c r="H83" s="1">
        <f t="shared" si="25"/>
        <v>-0.38681979599026733</v>
      </c>
      <c r="I83" s="1">
        <f t="shared" si="17"/>
        <v>2.298393794537916E-2</v>
      </c>
      <c r="J83" s="1">
        <f t="shared" si="18"/>
        <v>2.2420837509878576E-2</v>
      </c>
      <c r="K83" s="1">
        <f t="shared" si="19"/>
        <v>2.2434633326036672E-2</v>
      </c>
      <c r="L83" s="14">
        <f t="shared" si="20"/>
        <v>2.1884652436501003E-2</v>
      </c>
      <c r="M83" s="7">
        <f t="shared" si="21"/>
        <v>-0.45112242092260924</v>
      </c>
    </row>
    <row r="84" spans="1:13" x14ac:dyDescent="0.25">
      <c r="A84" s="1">
        <f t="shared" si="22"/>
        <v>0.74000000000000044</v>
      </c>
      <c r="B84" s="4">
        <f t="shared" si="23"/>
        <v>-0.49149582247098667</v>
      </c>
      <c r="C84" s="43">
        <f t="shared" si="24"/>
        <v>-8.5782203619162497E-3</v>
      </c>
      <c r="D84" s="3">
        <f t="shared" si="13"/>
        <v>-0.38659549677017779</v>
      </c>
      <c r="E84" s="2">
        <f t="shared" si="14"/>
        <v>-0.3885284742540287</v>
      </c>
      <c r="F84" s="2">
        <f t="shared" si="15"/>
        <v>-0.38853813914144791</v>
      </c>
      <c r="G84" s="14">
        <f t="shared" si="16"/>
        <v>-0.39048087816159227</v>
      </c>
      <c r="H84" s="1">
        <f t="shared" si="25"/>
        <v>-0.38659549677017779</v>
      </c>
      <c r="I84" s="1">
        <f t="shared" si="17"/>
        <v>4.2032764266080803E-2</v>
      </c>
      <c r="J84" s="1">
        <f t="shared" si="18"/>
        <v>4.1002998510102938E-2</v>
      </c>
      <c r="K84" s="1">
        <f t="shared" si="19"/>
        <v>4.1028226887254382E-2</v>
      </c>
      <c r="L84" s="14">
        <f t="shared" si="20"/>
        <v>4.0022451634721491E-2</v>
      </c>
      <c r="M84" s="7">
        <f t="shared" si="21"/>
        <v>-0.67212791721023679</v>
      </c>
    </row>
    <row r="85" spans="1:13" x14ac:dyDescent="0.25">
      <c r="A85" s="1">
        <f t="shared" si="22"/>
        <v>0.75000000000000044</v>
      </c>
      <c r="B85" s="4">
        <f t="shared" si="23"/>
        <v>-0.71410994136946271</v>
      </c>
      <c r="C85" s="43">
        <f t="shared" si="24"/>
        <v>-1.2463569698120789E-2</v>
      </c>
      <c r="D85" s="3">
        <f t="shared" si="13"/>
        <v>-0.38618530065901857</v>
      </c>
      <c r="E85" s="2">
        <f t="shared" si="14"/>
        <v>-0.38811622716231364</v>
      </c>
      <c r="F85" s="2">
        <f t="shared" si="15"/>
        <v>-0.38812588179483015</v>
      </c>
      <c r="G85" s="14">
        <f t="shared" si="16"/>
        <v>-0.39006655947696689</v>
      </c>
      <c r="H85" s="1">
        <f t="shared" si="25"/>
        <v>-0.38618530065901857</v>
      </c>
      <c r="I85" s="1">
        <f t="shared" si="17"/>
        <v>6.1069910386359241E-2</v>
      </c>
      <c r="J85" s="1">
        <f t="shared" si="18"/>
        <v>5.9573810967883889E-2</v>
      </c>
      <c r="K85" s="1">
        <f t="shared" si="19"/>
        <v>5.9610462692830948E-2</v>
      </c>
      <c r="L85" s="14">
        <f t="shared" si="20"/>
        <v>5.8149213902253125E-2</v>
      </c>
      <c r="M85" s="7">
        <f t="shared" si="21"/>
        <v>-0.89280408426637303</v>
      </c>
    </row>
    <row r="86" spans="1:13" x14ac:dyDescent="0.25">
      <c r="A86" s="1">
        <f t="shared" si="22"/>
        <v>0.76000000000000045</v>
      </c>
      <c r="B86" s="4">
        <f t="shared" si="23"/>
        <v>-0.93648785615634356</v>
      </c>
      <c r="C86" s="43">
        <f t="shared" si="24"/>
        <v>-1.6344796494871243E-2</v>
      </c>
      <c r="D86" s="3">
        <f t="shared" si="13"/>
        <v>-0.38558932120633516</v>
      </c>
      <c r="E86" s="2">
        <f t="shared" si="14"/>
        <v>-0.38751726781236684</v>
      </c>
      <c r="F86" s="2">
        <f t="shared" si="15"/>
        <v>-0.38752690754539698</v>
      </c>
      <c r="G86" s="14">
        <f t="shared" si="16"/>
        <v>-0.38946459028178915</v>
      </c>
      <c r="H86" s="1">
        <f t="shared" si="25"/>
        <v>-0.38558932120633516</v>
      </c>
      <c r="I86" s="1">
        <f t="shared" si="17"/>
        <v>8.0085936855720838E-2</v>
      </c>
      <c r="J86" s="1">
        <f t="shared" si="18"/>
        <v>7.8124087119265634E-2</v>
      </c>
      <c r="K86" s="1">
        <f t="shared" si="19"/>
        <v>7.8172146324528111E-2</v>
      </c>
      <c r="L86" s="14">
        <f t="shared" si="20"/>
        <v>7.6255989249626052E-2</v>
      </c>
      <c r="M86" s="7">
        <f t="shared" si="21"/>
        <v>-1.1130427951844488</v>
      </c>
    </row>
    <row r="87" spans="1:13" x14ac:dyDescent="0.25">
      <c r="A87" s="1">
        <f t="shared" si="22"/>
        <v>0.77000000000000046</v>
      </c>
      <c r="B87" s="4">
        <f t="shared" si="23"/>
        <v>-1.1585225868092934</v>
      </c>
      <c r="C87" s="43">
        <f t="shared" si="24"/>
        <v>-2.0220033598543997E-2</v>
      </c>
      <c r="D87" s="3">
        <f t="shared" si="13"/>
        <v>-0.38480776388468024</v>
      </c>
      <c r="E87" s="2">
        <f t="shared" si="14"/>
        <v>-0.38673180270410362</v>
      </c>
      <c r="F87" s="2">
        <f t="shared" si="15"/>
        <v>-0.38674142289820074</v>
      </c>
      <c r="G87" s="14">
        <f t="shared" si="16"/>
        <v>-0.38867517811366226</v>
      </c>
      <c r="H87" s="1">
        <f t="shared" si="25"/>
        <v>-0.38480776388468024</v>
      </c>
      <c r="I87" s="1">
        <f t="shared" si="17"/>
        <v>9.9071413423594393E-2</v>
      </c>
      <c r="J87" s="1">
        <f t="shared" si="18"/>
        <v>9.6644647912265791E-2</v>
      </c>
      <c r="K87" s="1">
        <f t="shared" si="19"/>
        <v>9.6704092094539201E-2</v>
      </c>
      <c r="L87" s="14">
        <f t="shared" si="20"/>
        <v>9.4333835959541659E-2</v>
      </c>
      <c r="M87" s="7">
        <f t="shared" si="21"/>
        <v>-1.3327361374026496</v>
      </c>
    </row>
    <row r="88" spans="1:13" x14ac:dyDescent="0.25">
      <c r="A88" s="1">
        <f t="shared" si="22"/>
        <v>0.78000000000000047</v>
      </c>
      <c r="B88" s="4">
        <f t="shared" si="23"/>
        <v>-1.3801072716236795</v>
      </c>
      <c r="C88" s="43">
        <f t="shared" si="24"/>
        <v>-2.4087415920548916E-2</v>
      </c>
      <c r="D88" s="3">
        <f t="shared" si="13"/>
        <v>-0.38384092600235231</v>
      </c>
      <c r="E88" s="2">
        <f t="shared" si="14"/>
        <v>-0.38576013063236408</v>
      </c>
      <c r="F88" s="2">
        <f t="shared" si="15"/>
        <v>-0.38576972665551412</v>
      </c>
      <c r="G88" s="14">
        <f t="shared" si="16"/>
        <v>-0.38769862326890747</v>
      </c>
      <c r="H88" s="1">
        <f t="shared" si="25"/>
        <v>-0.38384092600235231</v>
      </c>
      <c r="I88" s="1">
        <f t="shared" si="17"/>
        <v>0.1180169249305749</v>
      </c>
      <c r="J88" s="1">
        <f t="shared" si="18"/>
        <v>0.11512632865483773</v>
      </c>
      <c r="K88" s="1">
        <f t="shared" si="19"/>
        <v>0.11519712870184276</v>
      </c>
      <c r="L88" s="14">
        <f t="shared" si="20"/>
        <v>0.11237382601248216</v>
      </c>
      <c r="M88" s="7">
        <f t="shared" si="21"/>
        <v>-1.5517764655789188</v>
      </c>
    </row>
    <row r="89" spans="1:13" x14ac:dyDescent="0.25">
      <c r="A89" s="1">
        <f t="shared" si="22"/>
        <v>0.79000000000000048</v>
      </c>
      <c r="B89" s="4">
        <f t="shared" si="23"/>
        <v>-1.6011352200945486</v>
      </c>
      <c r="C89" s="43">
        <f t="shared" si="24"/>
        <v>-2.7945081360293944E-2</v>
      </c>
      <c r="D89" s="3">
        <f t="shared" si="13"/>
        <v>-0.3826891965595916</v>
      </c>
      <c r="E89" s="2">
        <f t="shared" si="14"/>
        <v>-0.38460264254238957</v>
      </c>
      <c r="F89" s="2">
        <f t="shared" si="15"/>
        <v>-0.38461220977230354</v>
      </c>
      <c r="G89" s="14">
        <f t="shared" si="16"/>
        <v>-0.38653531865731466</v>
      </c>
      <c r="H89" s="1">
        <f t="shared" si="25"/>
        <v>-0.3826891965595916</v>
      </c>
      <c r="I89" s="1">
        <f t="shared" si="17"/>
        <v>0.13691307717560944</v>
      </c>
      <c r="J89" s="1">
        <f t="shared" si="18"/>
        <v>0.13355998464085658</v>
      </c>
      <c r="K89" s="1">
        <f t="shared" si="19"/>
        <v>0.1336421048664887</v>
      </c>
      <c r="L89" s="14">
        <f t="shared" si="20"/>
        <v>0.13036705049217631</v>
      </c>
      <c r="M89" s="7">
        <f t="shared" si="21"/>
        <v>-1.7700564543350055</v>
      </c>
    </row>
    <row r="90" spans="1:13" x14ac:dyDescent="0.25">
      <c r="A90" s="1">
        <f t="shared" si="22"/>
        <v>0.80000000000000049</v>
      </c>
      <c r="B90" s="4">
        <f t="shared" si="23"/>
        <v>-1.8214999657157938</v>
      </c>
      <c r="C90" s="43">
        <f t="shared" si="24"/>
        <v>-3.1791171726704433E-2</v>
      </c>
      <c r="D90" s="3">
        <f t="shared" si="13"/>
        <v>-0.38135305604845415</v>
      </c>
      <c r="E90" s="2">
        <f t="shared" si="14"/>
        <v>-0.3832598213286964</v>
      </c>
      <c r="F90" s="2">
        <f t="shared" si="15"/>
        <v>-0.38326935515509764</v>
      </c>
      <c r="G90" s="14">
        <f t="shared" si="16"/>
        <v>-0.38518574960000512</v>
      </c>
      <c r="H90" s="1">
        <f t="shared" si="25"/>
        <v>-0.38135305604845415</v>
      </c>
      <c r="I90" s="1">
        <f t="shared" si="17"/>
        <v>0.15575050275034294</v>
      </c>
      <c r="J90" s="1">
        <f t="shared" si="18"/>
        <v>0.15193649674601026</v>
      </c>
      <c r="K90" s="1">
        <f t="shared" si="19"/>
        <v>0.15202989493367045</v>
      </c>
      <c r="L90" s="14">
        <f t="shared" si="20"/>
        <v>0.14830462496338964</v>
      </c>
      <c r="M90" s="7">
        <f t="shared" si="21"/>
        <v>-1.9874691508437712</v>
      </c>
    </row>
    <row r="91" spans="1:13" x14ac:dyDescent="0.25">
      <c r="A91" s="1">
        <f t="shared" si="22"/>
        <v>0.8100000000000005</v>
      </c>
      <c r="B91" s="4">
        <f t="shared" si="23"/>
        <v>-2.0410953186640866</v>
      </c>
      <c r="C91" s="43">
        <f t="shared" si="24"/>
        <v>-3.5623833657731176E-2</v>
      </c>
      <c r="D91" s="3">
        <f t="shared" si="13"/>
        <v>-0.37983307619666568</v>
      </c>
      <c r="E91" s="2">
        <f t="shared" si="14"/>
        <v>-0.38173224157764901</v>
      </c>
      <c r="F91" s="2">
        <f t="shared" si="15"/>
        <v>-0.38174173740455392</v>
      </c>
      <c r="G91" s="14">
        <f t="shared" si="16"/>
        <v>-0.38365049357071124</v>
      </c>
      <c r="H91" s="1">
        <f t="shared" si="25"/>
        <v>-0.37983307619666568</v>
      </c>
      <c r="I91" s="1">
        <f t="shared" si="17"/>
        <v>0.17451986683196066</v>
      </c>
      <c r="J91" s="1">
        <f t="shared" si="18"/>
        <v>0.17024677698558432</v>
      </c>
      <c r="K91" s="1">
        <f t="shared" si="19"/>
        <v>0.17035140443954377</v>
      </c>
      <c r="L91" s="14">
        <f t="shared" si="20"/>
        <v>0.16617769481460565</v>
      </c>
      <c r="M91" s="7">
        <f t="shared" si="21"/>
        <v>-2.2039080272339171</v>
      </c>
    </row>
    <row r="92" spans="1:13" x14ac:dyDescent="0.25">
      <c r="A92" s="1">
        <f t="shared" si="22"/>
        <v>0.82000000000000051</v>
      </c>
      <c r="B92" s="4">
        <f t="shared" si="23"/>
        <v>-2.2598154183353074</v>
      </c>
      <c r="C92" s="43">
        <f t="shared" si="24"/>
        <v>-3.9441219537284147E-2</v>
      </c>
      <c r="D92" s="3">
        <f t="shared" si="13"/>
        <v>-0.37812991965583764</v>
      </c>
      <c r="E92" s="2">
        <f t="shared" si="14"/>
        <v>-0.38002056925411681</v>
      </c>
      <c r="F92" s="2">
        <f t="shared" si="15"/>
        <v>-0.38003002250210821</v>
      </c>
      <c r="G92" s="14">
        <f t="shared" si="16"/>
        <v>-0.38193021988085873</v>
      </c>
      <c r="H92" s="1">
        <f t="shared" si="25"/>
        <v>-0.37812991965583764</v>
      </c>
      <c r="I92" s="1">
        <f t="shared" si="17"/>
        <v>0.19321187292601458</v>
      </c>
      <c r="J92" s="1">
        <f t="shared" si="18"/>
        <v>0.18848177402626423</v>
      </c>
      <c r="K92" s="1">
        <f t="shared" si="19"/>
        <v>0.18859757563088994</v>
      </c>
      <c r="L92" s="14">
        <f t="shared" si="20"/>
        <v>0.18397744055828544</v>
      </c>
      <c r="M92" s="7">
        <f t="shared" si="21"/>
        <v>-2.4192670327865273</v>
      </c>
    </row>
    <row r="93" spans="1:13" x14ac:dyDescent="0.25">
      <c r="A93" s="1">
        <f t="shared" si="22"/>
        <v>0.83000000000000052</v>
      </c>
      <c r="B93" s="4">
        <f t="shared" si="23"/>
        <v>-2.4775547857014439</v>
      </c>
      <c r="C93" s="43">
        <f t="shared" si="24"/>
        <v>-4.3241488409032726E-2</v>
      </c>
      <c r="D93" s="3">
        <f t="shared" si="13"/>
        <v>-0.37624433963450665</v>
      </c>
      <c r="E93" s="2">
        <f t="shared" si="14"/>
        <v>-0.37812556133267916</v>
      </c>
      <c r="F93" s="2">
        <f t="shared" si="15"/>
        <v>-0.37813496744117003</v>
      </c>
      <c r="G93" s="14">
        <f t="shared" si="16"/>
        <v>-0.38002568930891834</v>
      </c>
      <c r="H93" s="1">
        <f t="shared" si="25"/>
        <v>-0.37624433963450665</v>
      </c>
      <c r="I93" s="1">
        <f t="shared" si="17"/>
        <v>0.21181726855090019</v>
      </c>
      <c r="J93" s="1">
        <f t="shared" si="18"/>
        <v>0.20663247864424078</v>
      </c>
      <c r="K93" s="1">
        <f t="shared" si="19"/>
        <v>0.20675939293088208</v>
      </c>
      <c r="L93" s="14">
        <f t="shared" si="20"/>
        <v>0.20169508308154147</v>
      </c>
      <c r="M93" s="7">
        <f t="shared" si="21"/>
        <v>-2.6334406458977822</v>
      </c>
    </row>
    <row r="94" spans="1:13" x14ac:dyDescent="0.25">
      <c r="A94" s="1">
        <f t="shared" si="22"/>
        <v>0.84000000000000052</v>
      </c>
      <c r="B94" s="4">
        <f t="shared" si="23"/>
        <v>-2.6942083754561801</v>
      </c>
      <c r="C94" s="43">
        <f t="shared" si="24"/>
        <v>-4.7022806886517929E-2</v>
      </c>
      <c r="D94" s="3">
        <f t="shared" si="13"/>
        <v>-0.3741771794765355</v>
      </c>
      <c r="E94" s="2">
        <f t="shared" si="14"/>
        <v>-0.37604806537391816</v>
      </c>
      <c r="F94" s="2">
        <f t="shared" si="15"/>
        <v>-0.37605741980340507</v>
      </c>
      <c r="G94" s="14">
        <f t="shared" si="16"/>
        <v>-0.37793775367456955</v>
      </c>
      <c r="H94" s="1">
        <f t="shared" si="25"/>
        <v>-0.3741771794765355</v>
      </c>
      <c r="I94" s="1">
        <f t="shared" si="17"/>
        <v>0.23032685085585966</v>
      </c>
      <c r="J94" s="1">
        <f t="shared" si="18"/>
        <v>0.22468992912209418</v>
      </c>
      <c r="K94" s="1">
        <f t="shared" si="19"/>
        <v>0.22482788834340675</v>
      </c>
      <c r="L94" s="14">
        <f t="shared" si="20"/>
        <v>0.21932188884023116</v>
      </c>
      <c r="M94" s="7">
        <f t="shared" si="21"/>
        <v>-2.8463239257824426</v>
      </c>
    </row>
    <row r="95" spans="1:13" x14ac:dyDescent="0.25">
      <c r="A95" s="1">
        <f t="shared" si="22"/>
        <v>0.85000000000000053</v>
      </c>
      <c r="B95" s="4">
        <f t="shared" si="23"/>
        <v>-2.9096716279177168</v>
      </c>
      <c r="C95" s="43">
        <f t="shared" si="24"/>
        <v>-5.0783350059027517E-2</v>
      </c>
      <c r="D95" s="3">
        <f t="shared" si="13"/>
        <v>-0.37192937218549033</v>
      </c>
      <c r="E95" s="2">
        <f t="shared" si="14"/>
        <v>-0.37378901904641776</v>
      </c>
      <c r="F95" s="2">
        <f t="shared" si="15"/>
        <v>-0.37379831728072244</v>
      </c>
      <c r="G95" s="14">
        <f t="shared" si="16"/>
        <v>-0.37566735535829754</v>
      </c>
      <c r="H95" s="1">
        <f t="shared" si="25"/>
        <v>-0.37192937218549033</v>
      </c>
      <c r="I95" s="1">
        <f t="shared" si="17"/>
        <v>0.24873147216462585</v>
      </c>
      <c r="J95" s="1">
        <f t="shared" si="18"/>
        <v>0.24264521657714691</v>
      </c>
      <c r="K95" s="1">
        <f t="shared" si="19"/>
        <v>0.2427941467886045</v>
      </c>
      <c r="L95" s="14">
        <f t="shared" si="20"/>
        <v>0.23684917498967289</v>
      </c>
      <c r="M95" s="7">
        <f t="shared" si="21"/>
        <v>-3.0578125638927398</v>
      </c>
    </row>
    <row r="96" spans="1:13" x14ac:dyDescent="0.25">
      <c r="A96" s="1">
        <f t="shared" si="22"/>
        <v>0.86000000000000054</v>
      </c>
      <c r="B96" s="4">
        <f t="shared" si="23"/>
        <v>-3.1238405206577093</v>
      </c>
      <c r="C96" s="43">
        <f t="shared" si="24"/>
        <v>-5.4521302392690964E-2</v>
      </c>
      <c r="D96" s="3">
        <f t="shared" si="13"/>
        <v>-0.36950193989568064</v>
      </c>
      <c r="E96" s="2">
        <f t="shared" si="14"/>
        <v>-0.37134944959515903</v>
      </c>
      <c r="F96" s="2">
        <f t="shared" si="15"/>
        <v>-0.37135868714365644</v>
      </c>
      <c r="G96" s="14">
        <f t="shared" si="16"/>
        <v>-0.37321552676711722</v>
      </c>
      <c r="H96" s="1">
        <f t="shared" si="25"/>
        <v>-0.36950193989568064</v>
      </c>
      <c r="I96" s="1">
        <f t="shared" si="17"/>
        <v>0.26702204543708502</v>
      </c>
      <c r="J96" s="1">
        <f t="shared" si="18"/>
        <v>0.26048949021421303</v>
      </c>
      <c r="K96" s="1">
        <f t="shared" si="19"/>
        <v>0.26064931136253766</v>
      </c>
      <c r="L96" s="14">
        <f t="shared" si="20"/>
        <v>0.25426831444540166</v>
      </c>
      <c r="M96" s="7">
        <f t="shared" si="21"/>
        <v>-3.2678029350274618</v>
      </c>
    </row>
    <row r="97" spans="1:13" x14ac:dyDescent="0.25">
      <c r="A97" s="1">
        <f t="shared" si="22"/>
        <v>0.87000000000000055</v>
      </c>
      <c r="B97" s="4">
        <f t="shared" si="23"/>
        <v>-3.3366116198256179</v>
      </c>
      <c r="C97" s="43">
        <f t="shared" si="24"/>
        <v>-5.8234858626258344E-2</v>
      </c>
      <c r="D97" s="3">
        <f t="shared" si="13"/>
        <v>-0.36689599329062067</v>
      </c>
      <c r="E97" s="2">
        <f t="shared" si="14"/>
        <v>-0.36873047325707375</v>
      </c>
      <c r="F97" s="2">
        <f t="shared" si="15"/>
        <v>-0.36873964565690603</v>
      </c>
      <c r="G97" s="14">
        <f t="shared" si="16"/>
        <v>-0.37058338974718974</v>
      </c>
      <c r="H97" s="1">
        <f t="shared" si="25"/>
        <v>-0.36689599329062067</v>
      </c>
      <c r="I97" s="1">
        <f t="shared" si="17"/>
        <v>0.28518954964162874</v>
      </c>
      <c r="J97" s="1">
        <f t="shared" si="18"/>
        <v>0.27821396249593838</v>
      </c>
      <c r="K97" s="1">
        <f t="shared" si="19"/>
        <v>0.2783845885141556</v>
      </c>
      <c r="L97" s="14">
        <f t="shared" si="20"/>
        <v>0.2715707408676224</v>
      </c>
      <c r="M97" s="7">
        <f t="shared" si="21"/>
        <v>-3.4761921481062434</v>
      </c>
    </row>
    <row r="98" spans="1:13" x14ac:dyDescent="0.25">
      <c r="A98" s="1">
        <f t="shared" si="22"/>
        <v>0.88000000000000056</v>
      </c>
      <c r="B98" s="4">
        <f t="shared" si="23"/>
        <v>-3.5478821311381887</v>
      </c>
      <c r="C98" s="43">
        <f t="shared" si="24"/>
        <v>-6.1922224661034628E-2</v>
      </c>
      <c r="D98" s="3">
        <f t="shared" si="13"/>
        <v>-0.36411273096973829</v>
      </c>
      <c r="E98" s="2">
        <f t="shared" si="14"/>
        <v>-0.36593329462458696</v>
      </c>
      <c r="F98" s="2">
        <f t="shared" si="15"/>
        <v>-0.36594239744286122</v>
      </c>
      <c r="G98" s="14">
        <f t="shared" si="16"/>
        <v>-0.36777215494416687</v>
      </c>
      <c r="H98" s="1">
        <f t="shared" si="25"/>
        <v>-0.36411273096973829</v>
      </c>
      <c r="I98" s="1">
        <f t="shared" si="17"/>
        <v>0.30322503503118048</v>
      </c>
      <c r="J98" s="1">
        <f t="shared" si="18"/>
        <v>0.29580991422420816</v>
      </c>
      <c r="K98" s="1">
        <f t="shared" si="19"/>
        <v>0.29599125313301539</v>
      </c>
      <c r="L98" s="14">
        <f t="shared" si="20"/>
        <v>0.28874795356327876</v>
      </c>
      <c r="M98" s="7">
        <f t="shared" si="21"/>
        <v>-3.6828780965841288</v>
      </c>
    </row>
    <row r="99" spans="1:13" x14ac:dyDescent="0.25">
      <c r="A99" s="1">
        <f t="shared" si="22"/>
        <v>0.89000000000000057</v>
      </c>
      <c r="B99" s="4">
        <f t="shared" si="23"/>
        <v>-3.7575499505042593</v>
      </c>
      <c r="C99" s="43">
        <f t="shared" si="24"/>
        <v>-6.5581618444449291E-2</v>
      </c>
      <c r="D99" s="3">
        <f t="shared" si="13"/>
        <v>-0.36115343876422346</v>
      </c>
      <c r="E99" s="2">
        <f t="shared" si="14"/>
        <v>-0.3629592059580446</v>
      </c>
      <c r="F99" s="2">
        <f t="shared" si="15"/>
        <v>-0.36296823479401369</v>
      </c>
      <c r="G99" s="14">
        <f t="shared" si="16"/>
        <v>-0.3647831211121636</v>
      </c>
      <c r="H99" s="1">
        <f t="shared" si="25"/>
        <v>-0.36115343876422346</v>
      </c>
      <c r="I99" s="1">
        <f t="shared" si="17"/>
        <v>0.32111962831622021</v>
      </c>
      <c r="J99" s="1">
        <f t="shared" si="18"/>
        <v>0.3132686995264074</v>
      </c>
      <c r="K99" s="1">
        <f t="shared" si="19"/>
        <v>0.31346065354152552</v>
      </c>
      <c r="L99" s="14">
        <f t="shared" si="20"/>
        <v>0.30579152229993117</v>
      </c>
      <c r="M99" s="7">
        <f t="shared" si="21"/>
        <v>-3.8877595084817349</v>
      </c>
    </row>
    <row r="100" spans="1:13" x14ac:dyDescent="0.25">
      <c r="A100" s="1">
        <f t="shared" si="22"/>
        <v>0.90000000000000058</v>
      </c>
      <c r="B100" s="4">
        <f t="shared" si="23"/>
        <v>-3.9655137142556178</v>
      </c>
      <c r="C100" s="43">
        <f t="shared" si="24"/>
        <v>-6.9211270846750134E-2</v>
      </c>
      <c r="D100" s="3">
        <f t="shared" si="13"/>
        <v>-0.35801948900297009</v>
      </c>
      <c r="E100" s="2">
        <f t="shared" si="14"/>
        <v>-0.35980958644798494</v>
      </c>
      <c r="F100" s="2">
        <f t="shared" si="15"/>
        <v>-0.35981853693521004</v>
      </c>
      <c r="G100" s="14">
        <f t="shared" si="16"/>
        <v>-0.36161767437232217</v>
      </c>
      <c r="H100" s="1">
        <f t="shared" si="25"/>
        <v>-0.35801948900297009</v>
      </c>
      <c r="I100" s="1">
        <f t="shared" si="17"/>
        <v>0.33886453772849434</v>
      </c>
      <c r="J100" s="1">
        <f t="shared" si="18"/>
        <v>0.33058175074064622</v>
      </c>
      <c r="K100" s="1">
        <f t="shared" si="19"/>
        <v>0.3307842163858058</v>
      </c>
      <c r="L100" s="14">
        <f t="shared" si="20"/>
        <v>0.32269309202593927</v>
      </c>
      <c r="M100" s="7">
        <f t="shared" si="21"/>
        <v>-4.0907359960065053</v>
      </c>
    </row>
    <row r="101" spans="1:13" x14ac:dyDescent="0.25">
      <c r="A101" s="1">
        <f t="shared" si="22"/>
        <v>0.91000000000000059</v>
      </c>
      <c r="B101" s="4">
        <f t="shared" si="23"/>
        <v>-4.1716728489551587</v>
      </c>
      <c r="C101" s="43">
        <f t="shared" si="24"/>
        <v>-7.2809426530319604E-2</v>
      </c>
      <c r="D101" s="3">
        <f t="shared" si="13"/>
        <v>-0.35471233972962452</v>
      </c>
      <c r="E101" s="2">
        <f t="shared" si="14"/>
        <v>-0.35648590142827263</v>
      </c>
      <c r="F101" s="2">
        <f t="shared" si="15"/>
        <v>-0.35649476923676587</v>
      </c>
      <c r="G101" s="14">
        <f t="shared" si="16"/>
        <v>-0.35827728742199216</v>
      </c>
      <c r="H101" s="1">
        <f t="shared" si="25"/>
        <v>-0.35471233972962452</v>
      </c>
      <c r="I101" s="1">
        <f t="shared" si="17"/>
        <v>0.35645105796947452</v>
      </c>
      <c r="J101" s="1">
        <f t="shared" si="18"/>
        <v>0.34774058319440537</v>
      </c>
      <c r="K101" s="1">
        <f t="shared" si="19"/>
        <v>0.34795345141960587</v>
      </c>
      <c r="L101" s="14">
        <f t="shared" si="20"/>
        <v>0.33944438749175387</v>
      </c>
      <c r="M101" s="7">
        <f t="shared" si="21"/>
        <v>-4.291708104740704</v>
      </c>
    </row>
    <row r="102" spans="1:13" x14ac:dyDescent="0.25">
      <c r="A102" s="1">
        <f t="shared" si="22"/>
        <v>0.9200000000000006</v>
      </c>
      <c r="B102" s="4">
        <f t="shared" si="23"/>
        <v>-4.3759276207541937</v>
      </c>
      <c r="C102" s="43">
        <f t="shared" si="24"/>
        <v>-7.637434481112243E-2</v>
      </c>
      <c r="D102" s="3">
        <f t="shared" si="13"/>
        <v>-0.35123353387180911</v>
      </c>
      <c r="E102" s="2">
        <f t="shared" si="14"/>
        <v>-0.35298970154116815</v>
      </c>
      <c r="F102" s="2">
        <f t="shared" si="15"/>
        <v>-0.35299848237951498</v>
      </c>
      <c r="G102" s="14">
        <f t="shared" si="16"/>
        <v>-0.35476351869560424</v>
      </c>
      <c r="H102" s="1">
        <f t="shared" si="25"/>
        <v>-0.35123353387180911</v>
      </c>
      <c r="I102" s="1">
        <f t="shared" si="17"/>
        <v>0.37387057503803228</v>
      </c>
      <c r="J102" s="1">
        <f t="shared" si="18"/>
        <v>0.3647367998714221</v>
      </c>
      <c r="K102" s="1">
        <f t="shared" si="19"/>
        <v>0.3649599561760879</v>
      </c>
      <c r="L102" s="14">
        <f t="shared" si="20"/>
        <v>0.35603721776745523</v>
      </c>
      <c r="M102" s="7">
        <f t="shared" si="21"/>
        <v>-4.4905773623721021</v>
      </c>
    </row>
    <row r="103" spans="1:13" x14ac:dyDescent="0.25">
      <c r="A103" s="1">
        <f t="shared" si="22"/>
        <v>0.9300000000000006</v>
      </c>
      <c r="B103" s="4">
        <f t="shared" si="23"/>
        <v>-4.5781791842713773</v>
      </c>
      <c r="C103" s="43">
        <f t="shared" si="24"/>
        <v>-7.9904300511803736E-2</v>
      </c>
      <c r="D103" s="3">
        <f t="shared" si="13"/>
        <v>-0.34758469836364159</v>
      </c>
      <c r="E103" s="2">
        <f t="shared" si="14"/>
        <v>-0.34932262185545981</v>
      </c>
      <c r="F103" s="2">
        <f t="shared" si="15"/>
        <v>-0.3493313114729189</v>
      </c>
      <c r="G103" s="14">
        <f t="shared" si="16"/>
        <v>-0.35107801147837076</v>
      </c>
      <c r="H103" s="1">
        <f t="shared" si="25"/>
        <v>-0.34758469836364159</v>
      </c>
      <c r="I103" s="1">
        <f t="shared" si="17"/>
        <v>0.39111457093220997</v>
      </c>
      <c r="J103" s="1">
        <f t="shared" si="18"/>
        <v>0.38156209596201079</v>
      </c>
      <c r="K103" s="1">
        <f t="shared" si="19"/>
        <v>0.38179542052265519</v>
      </c>
      <c r="L103" s="14">
        <f t="shared" si="20"/>
        <v>0.37246348065201668</v>
      </c>
      <c r="M103" s="7">
        <f t="shared" si="21"/>
        <v>-4.6872463269434386</v>
      </c>
    </row>
    <row r="104" spans="1:13" x14ac:dyDescent="0.25">
      <c r="A104" s="1">
        <f t="shared" si="22"/>
        <v>0.94000000000000061</v>
      </c>
      <c r="B104" s="4">
        <f t="shared" si="23"/>
        <v>-4.7783296309663479</v>
      </c>
      <c r="C104" s="43">
        <f t="shared" si="24"/>
        <v>-8.3397584805968358E-2</v>
      </c>
      <c r="D104" s="3">
        <f t="shared" si="13"/>
        <v>-0.34376754322271896</v>
      </c>
      <c r="E104" s="2">
        <f t="shared" si="14"/>
        <v>-0.34548638093883255</v>
      </c>
      <c r="F104" s="2">
        <f t="shared" si="15"/>
        <v>-0.34549497512741312</v>
      </c>
      <c r="G104" s="14">
        <f t="shared" si="16"/>
        <v>-0.3472224929739931</v>
      </c>
      <c r="H104" s="1">
        <f t="shared" si="25"/>
        <v>-0.34376754322271896</v>
      </c>
      <c r="I104" s="1">
        <f t="shared" si="17"/>
        <v>0.40817462822039707</v>
      </c>
      <c r="J104" s="1">
        <f t="shared" si="18"/>
        <v>0.3982082632924045</v>
      </c>
      <c r="K104" s="1">
        <f t="shared" si="19"/>
        <v>0.39845163109440557</v>
      </c>
      <c r="L104" s="14">
        <f t="shared" si="20"/>
        <v>0.38871516697012853</v>
      </c>
      <c r="M104" s="7">
        <f t="shared" si="21"/>
        <v>-4.8816186345970323</v>
      </c>
    </row>
    <row r="105" spans="1:13" x14ac:dyDescent="0.25">
      <c r="A105" s="1">
        <f t="shared" si="22"/>
        <v>0.95000000000000062</v>
      </c>
      <c r="B105" s="4">
        <f t="shared" si="23"/>
        <v>-4.9762820369818614</v>
      </c>
      <c r="C105" s="43">
        <f t="shared" si="24"/>
        <v>-8.6852506053183703E-2</v>
      </c>
      <c r="D105" s="3">
        <f t="shared" si="13"/>
        <v>-0.33978386058277871</v>
      </c>
      <c r="E105" s="2">
        <f t="shared" si="14"/>
        <v>-0.34148277988569259</v>
      </c>
      <c r="F105" s="2">
        <f t="shared" si="15"/>
        <v>-0.34149127448220717</v>
      </c>
      <c r="G105" s="14">
        <f t="shared" si="16"/>
        <v>-0.34319877332760079</v>
      </c>
      <c r="H105" s="1">
        <f t="shared" si="25"/>
        <v>-0.33978386058277871</v>
      </c>
      <c r="I105" s="1">
        <f t="shared" si="17"/>
        <v>0.42504243447766937</v>
      </c>
      <c r="J105" s="1">
        <f t="shared" si="18"/>
        <v>0.41466719462910678</v>
      </c>
      <c r="K105" s="1">
        <f t="shared" si="19"/>
        <v>0.41492047560218842</v>
      </c>
      <c r="L105" s="14">
        <f t="shared" si="20"/>
        <v>0.40478436475278434</v>
      </c>
      <c r="M105" s="7">
        <f t="shared" si="21"/>
        <v>-5.0735990467911272</v>
      </c>
    </row>
    <row r="106" spans="1:13" x14ac:dyDescent="0.25">
      <c r="A106" s="1">
        <f t="shared" si="22"/>
        <v>0.96000000000000063</v>
      </c>
      <c r="B106" s="4">
        <f t="shared" si="23"/>
        <v>-5.1719405104289145</v>
      </c>
      <c r="C106" s="43">
        <f t="shared" si="24"/>
        <v>-9.0267390624260674E-2</v>
      </c>
      <c r="D106" s="3">
        <f t="shared" si="13"/>
        <v>-0.3356355236832903</v>
      </c>
      <c r="E106" s="2">
        <f t="shared" si="14"/>
        <v>-0.33731370130170674</v>
      </c>
      <c r="F106" s="2">
        <f t="shared" si="15"/>
        <v>-0.33732209218979886</v>
      </c>
      <c r="G106" s="14">
        <f t="shared" si="16"/>
        <v>-0.33900874460518832</v>
      </c>
      <c r="H106" s="1">
        <f t="shared" si="25"/>
        <v>-0.3356355236832903</v>
      </c>
      <c r="I106" s="1">
        <f t="shared" si="17"/>
        <v>0.44170978658349569</v>
      </c>
      <c r="J106" s="1">
        <f t="shared" si="18"/>
        <v>0.43093088785465272</v>
      </c>
      <c r="K106" s="1">
        <f t="shared" si="19"/>
        <v>0.43119394701165942</v>
      </c>
      <c r="L106" s="14">
        <f t="shared" si="20"/>
        <v>0.42066326329820813</v>
      </c>
      <c r="M106" s="7">
        <f t="shared" si="21"/>
        <v>-5.2630934969648981</v>
      </c>
    </row>
    <row r="107" spans="1:13" x14ac:dyDescent="0.25">
      <c r="A107" s="1">
        <f t="shared" si="22"/>
        <v>0.97000000000000064</v>
      </c>
      <c r="B107" s="4">
        <f t="shared" si="23"/>
        <v>-5.3652102380900253</v>
      </c>
      <c r="C107" s="43">
        <f t="shared" si="24"/>
        <v>-9.364058371637983E-2</v>
      </c>
      <c r="D107" s="3">
        <f t="shared" si="13"/>
        <v>-0.33132448581726642</v>
      </c>
      <c r="E107" s="2">
        <f t="shared" si="14"/>
        <v>-0.33298110824635274</v>
      </c>
      <c r="F107" s="2">
        <f t="shared" si="15"/>
        <v>-0.3329893913584982</v>
      </c>
      <c r="G107" s="14">
        <f t="shared" si="16"/>
        <v>-0.33465437973085138</v>
      </c>
      <c r="H107" s="1">
        <f t="shared" si="25"/>
        <v>-0.33132448581726642</v>
      </c>
      <c r="I107" s="1">
        <f t="shared" si="17"/>
        <v>0.45816859487748368</v>
      </c>
      <c r="J107" s="1">
        <f t="shared" si="18"/>
        <v>0.44699145001160351</v>
      </c>
      <c r="K107" s="1">
        <f t="shared" si="19"/>
        <v>0.4472641475901516</v>
      </c>
      <c r="L107" s="14">
        <f t="shared" si="20"/>
        <v>0.43634415711008229</v>
      </c>
      <c r="M107" s="7">
        <f t="shared" si="21"/>
        <v>-5.4500091366291636</v>
      </c>
    </row>
    <row r="108" spans="1:13" x14ac:dyDescent="0.25">
      <c r="A108" s="1">
        <f t="shared" si="22"/>
        <v>0.98000000000000065</v>
      </c>
      <c r="B108" s="4">
        <f t="shared" si="23"/>
        <v>-5.5559975315166437</v>
      </c>
      <c r="C108" s="43">
        <f t="shared" si="24"/>
        <v>-9.6970450157642857E-2</v>
      </c>
      <c r="D108" s="3">
        <f t="shared" si="13"/>
        <v>-0.32685277923861461</v>
      </c>
      <c r="E108" s="2">
        <f t="shared" si="14"/>
        <v>-0.3284870431348077</v>
      </c>
      <c r="F108" s="2">
        <f t="shared" si="15"/>
        <v>-0.32849521445428864</v>
      </c>
      <c r="G108" s="14">
        <f t="shared" si="16"/>
        <v>-0.3301377313831575</v>
      </c>
      <c r="H108" s="1">
        <f t="shared" si="25"/>
        <v>-0.32685277923861461</v>
      </c>
      <c r="I108" s="1">
        <f t="shared" si="17"/>
        <v>0.47441088717030444</v>
      </c>
      <c r="J108" s="1">
        <f t="shared" si="18"/>
        <v>0.4628411012120186</v>
      </c>
      <c r="K108" s="1">
        <f t="shared" si="19"/>
        <v>0.46312329281860715</v>
      </c>
      <c r="L108" s="14">
        <f t="shared" si="20"/>
        <v>0.45181944971042903</v>
      </c>
      <c r="M108" s="7">
        <f t="shared" si="21"/>
        <v>-5.6342543808603045</v>
      </c>
    </row>
    <row r="109" spans="1:13" x14ac:dyDescent="0.25">
      <c r="A109" s="1">
        <f t="shared" si="22"/>
        <v>0.99000000000000066</v>
      </c>
      <c r="B109" s="4">
        <f t="shared" si="23"/>
        <v>-5.7442098724973709</v>
      </c>
      <c r="C109" s="43">
        <f t="shared" si="24"/>
        <v>-0.1002553752006428</v>
      </c>
      <c r="D109" s="3">
        <f t="shared" si="13"/>
        <v>-0.32222251403037799</v>
      </c>
      <c r="E109" s="2">
        <f t="shared" si="14"/>
        <v>-0.32383362660052989</v>
      </c>
      <c r="F109" s="2">
        <f t="shared" si="15"/>
        <v>-0.32384168216338066</v>
      </c>
      <c r="G109" s="14">
        <f t="shared" si="16"/>
        <v>-0.32546093085201178</v>
      </c>
      <c r="H109" s="1">
        <f t="shared" si="25"/>
        <v>-0.32222251403037799</v>
      </c>
      <c r="I109" s="1">
        <f t="shared" si="17"/>
        <v>0.49042881260740734</v>
      </c>
      <c r="J109" s="1">
        <f t="shared" si="18"/>
        <v>0.47847217841008927</v>
      </c>
      <c r="K109" s="1">
        <f t="shared" si="19"/>
        <v>0.47876371516624955</v>
      </c>
      <c r="L109" s="14">
        <f t="shared" si="20"/>
        <v>0.46708165732489143</v>
      </c>
      <c r="M109" s="7">
        <f t="shared" si="21"/>
        <v>-5.8157389531750168</v>
      </c>
    </row>
    <row r="110" spans="1:13" x14ac:dyDescent="0.25">
      <c r="A110" s="1">
        <f t="shared" si="22"/>
        <v>1.0000000000000007</v>
      </c>
      <c r="B110" s="4">
        <f t="shared" si="23"/>
        <v>-5.9297559578744785</v>
      </c>
      <c r="C110" s="43">
        <f t="shared" si="24"/>
        <v>-0.10349376530465983</v>
      </c>
      <c r="D110" s="3">
        <f t="shared" si="13"/>
        <v>-0.31743587693523634</v>
      </c>
      <c r="E110" s="2">
        <f t="shared" si="14"/>
        <v>-0.31902305631991251</v>
      </c>
      <c r="F110" s="2">
        <f t="shared" si="15"/>
        <v>-0.3190309922168359</v>
      </c>
      <c r="G110" s="14">
        <f t="shared" si="16"/>
        <v>-0.32062618685740468</v>
      </c>
      <c r="H110" s="1">
        <f t="shared" si="25"/>
        <v>-0.31743587693523634</v>
      </c>
      <c r="I110" s="1">
        <f t="shared" si="17"/>
        <v>0.50621464538361605</v>
      </c>
      <c r="J110" s="1">
        <f t="shared" si="18"/>
        <v>0.49387713903604374</v>
      </c>
      <c r="K110" s="1">
        <f t="shared" si="19"/>
        <v>0.49417786772610972</v>
      </c>
      <c r="L110" s="14">
        <f t="shared" si="20"/>
        <v>0.482123412438554</v>
      </c>
      <c r="M110" s="7">
        <f t="shared" si="21"/>
        <v>-5.9943739297640173</v>
      </c>
    </row>
    <row r="111" spans="1:13" x14ac:dyDescent="0.25">
      <c r="A111" s="1">
        <f t="shared" si="22"/>
        <v>1.0100000000000007</v>
      </c>
      <c r="B111" s="4">
        <f t="shared" si="23"/>
        <v>-6.1125457436869919</v>
      </c>
      <c r="C111" s="43">
        <f t="shared" si="24"/>
        <v>-0.10668404890610339</v>
      </c>
      <c r="D111" s="3">
        <f t="shared" si="13"/>
        <v>-0.31249513014965885</v>
      </c>
      <c r="E111" s="2">
        <f t="shared" si="14"/>
        <v>-0.31405760580040715</v>
      </c>
      <c r="F111" s="2">
        <f t="shared" si="15"/>
        <v>-0.3140654181786609</v>
      </c>
      <c r="G111" s="14">
        <f t="shared" si="16"/>
        <v>-0.31563578433144546</v>
      </c>
      <c r="H111" s="1">
        <f t="shared" si="25"/>
        <v>-0.31249513014965885</v>
      </c>
      <c r="I111" s="1">
        <f t="shared" si="17"/>
        <v>0.52176078830716999</v>
      </c>
      <c r="J111" s="1">
        <f t="shared" si="18"/>
        <v>0.50904856448987335</v>
      </c>
      <c r="K111" s="1">
        <f t="shared" si="19"/>
        <v>0.5093583277099587</v>
      </c>
      <c r="L111" s="14">
        <f t="shared" si="20"/>
        <v>0.49693746722084425</v>
      </c>
      <c r="M111" s="7">
        <f t="shared" si="21"/>
        <v>-6.1700717830629106</v>
      </c>
    </row>
    <row r="112" spans="1:13" x14ac:dyDescent="0.25">
      <c r="A112" s="1">
        <f t="shared" si="22"/>
        <v>1.0200000000000007</v>
      </c>
      <c r="B112" s="4">
        <f t="shared" si="23"/>
        <v>-6.2924904886194089</v>
      </c>
      <c r="C112" s="43">
        <f t="shared" si="24"/>
        <v>-0.10982467717683546</v>
      </c>
      <c r="D112" s="3">
        <f t="shared" si="13"/>
        <v>-0.3074026100831127</v>
      </c>
      <c r="E112" s="2">
        <f t="shared" si="14"/>
        <v>-0.30893962313352824</v>
      </c>
      <c r="F112" s="2">
        <f t="shared" si="15"/>
        <v>-0.30894730819878036</v>
      </c>
      <c r="G112" s="14">
        <f t="shared" si="16"/>
        <v>-0.31049208316510052</v>
      </c>
      <c r="H112" s="1">
        <f t="shared" si="25"/>
        <v>-0.3074026100831127</v>
      </c>
      <c r="I112" s="1">
        <f t="shared" si="17"/>
        <v>0.53705977621225365</v>
      </c>
      <c r="J112" s="1">
        <f t="shared" si="18"/>
        <v>0.52397916349386242</v>
      </c>
      <c r="K112" s="1">
        <f t="shared" si="19"/>
        <v>0.52429779980163294</v>
      </c>
      <c r="L112" s="14">
        <f t="shared" si="20"/>
        <v>0.51151669681845291</v>
      </c>
      <c r="M112" s="7">
        <f t="shared" si="21"/>
        <v>-6.3427464246389356</v>
      </c>
    </row>
    <row r="113" spans="1:13" x14ac:dyDescent="0.25">
      <c r="A113" s="1">
        <f t="shared" si="22"/>
        <v>1.0300000000000007</v>
      </c>
      <c r="B113" s="4">
        <f t="shared" si="23"/>
        <v>-6.4695027967359344</v>
      </c>
      <c r="C113" s="43">
        <f t="shared" si="24"/>
        <v>-0.11291412477002351</v>
      </c>
      <c r="D113" s="3">
        <f t="shared" si="13"/>
        <v>-0.30216072608374323</v>
      </c>
      <c r="E113" s="2">
        <f t="shared" si="14"/>
        <v>-0.30367152971416195</v>
      </c>
      <c r="F113" s="2">
        <f t="shared" si="15"/>
        <v>-0.30367908373231406</v>
      </c>
      <c r="G113" s="14">
        <f t="shared" si="16"/>
        <v>-0.30519751692106639</v>
      </c>
      <c r="H113" s="1">
        <f t="shared" si="25"/>
        <v>-0.30216072608374323</v>
      </c>
      <c r="I113" s="1">
        <f t="shared" si="17"/>
        <v>0.55210427921952399</v>
      </c>
      <c r="J113" s="1">
        <f t="shared" si="18"/>
        <v>0.53866177530333192</v>
      </c>
      <c r="K113" s="1">
        <f t="shared" si="19"/>
        <v>0.53898911936816996</v>
      </c>
      <c r="L113" s="14">
        <f t="shared" si="20"/>
        <v>0.52585410251560172</v>
      </c>
      <c r="M113" s="7">
        <f t="shared" si="21"/>
        <v>-6.5123132473725986</v>
      </c>
    </row>
    <row r="114" spans="1:13" x14ac:dyDescent="0.25">
      <c r="A114" s="1">
        <f t="shared" si="22"/>
        <v>1.0400000000000007</v>
      </c>
      <c r="B114" s="4">
        <f t="shared" si="23"/>
        <v>-6.6434966594809106</v>
      </c>
      <c r="C114" s="43">
        <f t="shared" si="24"/>
        <v>-0.11595089055318644</v>
      </c>
      <c r="D114" s="3">
        <f t="shared" si="13"/>
        <v>-0.29677195913194632</v>
      </c>
      <c r="E114" s="2">
        <f t="shared" si="14"/>
        <v>-0.29825581892760605</v>
      </c>
      <c r="F114" s="2">
        <f t="shared" si="15"/>
        <v>-0.29826323822658435</v>
      </c>
      <c r="G114" s="14">
        <f t="shared" si="16"/>
        <v>-0.29975459151421219</v>
      </c>
      <c r="H114" s="1">
        <f t="shared" si="25"/>
        <v>-0.29677195913194632</v>
      </c>
      <c r="I114" s="1">
        <f t="shared" si="17"/>
        <v>0.5668871058446161</v>
      </c>
      <c r="J114" s="1">
        <f t="shared" si="18"/>
        <v>0.55308937277543746</v>
      </c>
      <c r="K114" s="1">
        <f t="shared" si="19"/>
        <v>0.55342525552860344</v>
      </c>
      <c r="L114" s="14">
        <f t="shared" si="20"/>
        <v>0.53994281476138295</v>
      </c>
      <c r="M114" s="7">
        <f t="shared" si="21"/>
        <v>-6.6786891669134549</v>
      </c>
    </row>
    <row r="115" spans="1:13" x14ac:dyDescent="0.25">
      <c r="A115" s="1">
        <f t="shared" si="22"/>
        <v>1.0500000000000007</v>
      </c>
      <c r="B115" s="4">
        <f t="shared" si="23"/>
        <v>-6.8143874969269742</v>
      </c>
      <c r="C115" s="43">
        <f t="shared" si="24"/>
        <v>-0.11893349832811068</v>
      </c>
      <c r="D115" s="3">
        <f t="shared" si="13"/>
        <v>-0.2912388605032562</v>
      </c>
      <c r="E115" s="2">
        <f t="shared" si="14"/>
        <v>-0.29269505480577246</v>
      </c>
      <c r="F115" s="2">
        <f t="shared" si="15"/>
        <v>-0.29270233577728505</v>
      </c>
      <c r="G115" s="14">
        <f t="shared" si="16"/>
        <v>-0.29416588386102904</v>
      </c>
      <c r="H115" s="1">
        <f t="shared" si="25"/>
        <v>-0.2912388605032562</v>
      </c>
      <c r="I115" s="1">
        <f t="shared" si="17"/>
        <v>0.58140120595506217</v>
      </c>
      <c r="J115" s="1">
        <f t="shared" si="18"/>
        <v>0.56725506529627845</v>
      </c>
      <c r="K115" s="1">
        <f t="shared" si="19"/>
        <v>0.56759931408068143</v>
      </c>
      <c r="L115" s="14">
        <f t="shared" si="20"/>
        <v>0.55377609606427702</v>
      </c>
      <c r="M115" s="7">
        <f t="shared" si="21"/>
        <v>-6.8417926623897856</v>
      </c>
    </row>
    <row r="116" spans="1:13" x14ac:dyDescent="0.25">
      <c r="A116" s="1">
        <f t="shared" si="22"/>
        <v>1.0600000000000007</v>
      </c>
      <c r="B116" s="4">
        <f t="shared" si="23"/>
        <v>-6.9820921982532571</v>
      </c>
      <c r="C116" s="43">
        <f t="shared" si="24"/>
        <v>-0.12186049753732801</v>
      </c>
      <c r="D116" s="3">
        <f t="shared" si="13"/>
        <v>-0.28556405040196742</v>
      </c>
      <c r="E116" s="2">
        <f t="shared" si="14"/>
        <v>-0.28699187065397724</v>
      </c>
      <c r="F116" s="2">
        <f t="shared" si="15"/>
        <v>-0.28699900975523729</v>
      </c>
      <c r="G116" s="14">
        <f t="shared" si="16"/>
        <v>-0.28843404049951982</v>
      </c>
      <c r="H116" s="1">
        <f t="shared" si="25"/>
        <v>-0.28556405040196742</v>
      </c>
      <c r="I116" s="1">
        <f t="shared" si="17"/>
        <v>0.5956396735765086</v>
      </c>
      <c r="J116" s="1">
        <f t="shared" si="18"/>
        <v>0.5811521015669856</v>
      </c>
      <c r="K116" s="1">
        <f t="shared" si="19"/>
        <v>0.5815045402861917</v>
      </c>
      <c r="L116" s="14">
        <f t="shared" si="20"/>
        <v>0.56734734375433082</v>
      </c>
      <c r="M116" s="7">
        <f t="shared" si="21"/>
        <v>-7.0015438163521715</v>
      </c>
    </row>
    <row r="117" spans="1:13" x14ac:dyDescent="0.25">
      <c r="A117" s="1">
        <f t="shared" si="22"/>
        <v>1.0700000000000007</v>
      </c>
      <c r="B117" s="4">
        <f t="shared" si="23"/>
        <v>-7.1465291614367805</v>
      </c>
      <c r="C117" s="43">
        <f t="shared" si="24"/>
        <v>-0.1247304639568612</v>
      </c>
      <c r="D117" s="3">
        <f t="shared" si="13"/>
        <v>-0.27975021656690541</v>
      </c>
      <c r="E117" s="2">
        <f t="shared" si="14"/>
        <v>-0.28114896764973996</v>
      </c>
      <c r="F117" s="2">
        <f t="shared" si="15"/>
        <v>-0.28115596140515409</v>
      </c>
      <c r="G117" s="14">
        <f t="shared" si="16"/>
        <v>-0.28256177618095696</v>
      </c>
      <c r="H117" s="1">
        <f t="shared" si="25"/>
        <v>-0.27975021656690541</v>
      </c>
      <c r="I117" s="1">
        <f t="shared" si="17"/>
        <v>0.60959574954955453</v>
      </c>
      <c r="J117" s="1">
        <f t="shared" si="18"/>
        <v>0.59477387224985923</v>
      </c>
      <c r="K117" s="1">
        <f t="shared" si="19"/>
        <v>0.59513432151597312</v>
      </c>
      <c r="L117" s="14">
        <f t="shared" si="20"/>
        <v>0.58065009261385225</v>
      </c>
      <c r="M117" s="7">
        <f t="shared" si="21"/>
        <v>-7.1578643539314815</v>
      </c>
    </row>
    <row r="118" spans="1:13" x14ac:dyDescent="0.25">
      <c r="A118" s="1">
        <f t="shared" si="22"/>
        <v>1.0800000000000007</v>
      </c>
      <c r="B118" s="4">
        <f t="shared" si="23"/>
        <v>-7.3076183321410149</v>
      </c>
      <c r="C118" s="43">
        <f t="shared" si="24"/>
        <v>-0.12754200037495728</v>
      </c>
      <c r="D118" s="3">
        <f t="shared" si="13"/>
        <v>-0.27380011285074696</v>
      </c>
      <c r="E118" s="2">
        <f t="shared" si="14"/>
        <v>-0.27516911341500067</v>
      </c>
      <c r="F118" s="2">
        <f t="shared" si="15"/>
        <v>-0.27517595841782194</v>
      </c>
      <c r="G118" s="14">
        <f t="shared" si="16"/>
        <v>-0.27655187243492518</v>
      </c>
      <c r="H118" s="1">
        <f t="shared" si="25"/>
        <v>-0.27380011285074696</v>
      </c>
      <c r="I118" s="1">
        <f t="shared" si="17"/>
        <v>0.62326282403895772</v>
      </c>
      <c r="J118" s="1">
        <f t="shared" si="18"/>
        <v>0.60811391247601587</v>
      </c>
      <c r="K118" s="1">
        <f t="shared" si="19"/>
        <v>0.60848218975608837</v>
      </c>
      <c r="L118" s="14">
        <f t="shared" si="20"/>
        <v>0.59367801737783077</v>
      </c>
      <c r="M118" s="7">
        <f t="shared" si="21"/>
        <v>-7.3106776811919625</v>
      </c>
    </row>
    <row r="119" spans="1:13" x14ac:dyDescent="0.25">
      <c r="A119" s="1">
        <f t="shared" si="22"/>
        <v>1.0900000000000007</v>
      </c>
      <c r="B119" s="4">
        <f t="shared" si="23"/>
        <v>-7.4652812417863563</v>
      </c>
      <c r="C119" s="43">
        <f t="shared" si="24"/>
        <v>-0.13029373725654281</v>
      </c>
      <c r="D119" s="3">
        <f t="shared" si="13"/>
        <v>-0.26771655777427861</v>
      </c>
      <c r="E119" s="2">
        <f t="shared" si="14"/>
        <v>-0.26905514056315</v>
      </c>
      <c r="F119" s="2">
        <f t="shared" si="15"/>
        <v>-0.26906183347709434</v>
      </c>
      <c r="G119" s="14">
        <f t="shared" si="16"/>
        <v>-0.27040717610904957</v>
      </c>
      <c r="H119" s="1">
        <f t="shared" si="25"/>
        <v>-0.26771655777427861</v>
      </c>
      <c r="I119" s="1">
        <f t="shared" si="17"/>
        <v>0.63663443889736426</v>
      </c>
      <c r="J119" s="1">
        <f t="shared" si="18"/>
        <v>0.62116590421637841</v>
      </c>
      <c r="K119" s="1">
        <f t="shared" si="19"/>
        <v>0.62154182397700974</v>
      </c>
      <c r="L119" s="14">
        <f t="shared" si="20"/>
        <v>0.60642493510564244</v>
      </c>
      <c r="M119" s="7">
        <f t="shared" si="21"/>
        <v>-7.4599089226607447</v>
      </c>
    </row>
    <row r="120" spans="1:13" x14ac:dyDescent="0.25">
      <c r="A120" s="1">
        <f t="shared" si="22"/>
        <v>1.1000000000000008</v>
      </c>
      <c r="B120" s="4">
        <f t="shared" si="23"/>
        <v>-7.6194410447881049</v>
      </c>
      <c r="C120" s="43">
        <f t="shared" si="24"/>
        <v>-0.13298433339314916</v>
      </c>
      <c r="D120" s="3">
        <f t="shared" si="13"/>
        <v>-0.2615024330569623</v>
      </c>
      <c r="E120" s="2">
        <f t="shared" si="14"/>
        <v>-0.2628099452222471</v>
      </c>
      <c r="F120" s="2">
        <f t="shared" si="15"/>
        <v>-0.26281648278307351</v>
      </c>
      <c r="G120" s="14">
        <f t="shared" si="16"/>
        <v>-0.26413059788479304</v>
      </c>
      <c r="H120" s="1">
        <f t="shared" si="25"/>
        <v>-0.2615024330569623</v>
      </c>
      <c r="I120" s="1">
        <f t="shared" si="17"/>
        <v>0.64970428988611062</v>
      </c>
      <c r="J120" s="1">
        <f t="shared" si="18"/>
        <v>0.63392367851820763</v>
      </c>
      <c r="K120" s="1">
        <f t="shared" si="19"/>
        <v>0.63430705236802865</v>
      </c>
      <c r="L120" s="14">
        <f t="shared" si="20"/>
        <v>0.61888480742593122</v>
      </c>
      <c r="M120" s="7">
        <f t="shared" si="21"/>
        <v>-7.6054849580153308</v>
      </c>
    </row>
    <row r="121" spans="1:13" x14ac:dyDescent="0.25">
      <c r="A121" s="1">
        <f t="shared" si="22"/>
        <v>1.1100000000000008</v>
      </c>
      <c r="B121" s="4">
        <f t="shared" si="23"/>
        <v>-7.7700225549482971</v>
      </c>
      <c r="C121" s="43">
        <f t="shared" si="24"/>
        <v>-0.13561247653806982</v>
      </c>
      <c r="D121" s="3">
        <f t="shared" si="13"/>
        <v>-0.2551606821251548</v>
      </c>
      <c r="E121" s="2">
        <f t="shared" si="14"/>
        <v>-0.25643648553578058</v>
      </c>
      <c r="F121" s="2">
        <f t="shared" si="15"/>
        <v>-0.25644286455283372</v>
      </c>
      <c r="G121" s="14">
        <f t="shared" si="16"/>
        <v>-0.25772511077068316</v>
      </c>
      <c r="H121" s="1">
        <f t="shared" si="25"/>
        <v>-0.2551606821251548</v>
      </c>
      <c r="I121" s="1">
        <f t="shared" si="17"/>
        <v>0.66246622875602323</v>
      </c>
      <c r="J121" s="1">
        <f t="shared" si="18"/>
        <v>0.64638121760971878</v>
      </c>
      <c r="K121" s="1">
        <f t="shared" si="19"/>
        <v>0.64677185443945229</v>
      </c>
      <c r="L121" s="14">
        <f t="shared" si="20"/>
        <v>0.63105174265687813</v>
      </c>
      <c r="M121" s="7">
        <f t="shared" si="21"/>
        <v>-7.7473344579110837</v>
      </c>
    </row>
    <row r="122" spans="1:13" x14ac:dyDescent="0.25">
      <c r="A122" s="1">
        <f t="shared" si="22"/>
        <v>1.1200000000000008</v>
      </c>
      <c r="B122" s="4">
        <f t="shared" si="23"/>
        <v>-7.9169522809885189</v>
      </c>
      <c r="C122" s="43">
        <f t="shared" si="24"/>
        <v>-0.13817688402652492</v>
      </c>
      <c r="D122" s="3">
        <f t="shared" si="13"/>
        <v>-0.24869430859930272</v>
      </c>
      <c r="E122" s="2">
        <f t="shared" si="14"/>
        <v>-0.24993778014229923</v>
      </c>
      <c r="F122" s="2">
        <f t="shared" si="15"/>
        <v>-0.24994399750001423</v>
      </c>
      <c r="G122" s="14">
        <f t="shared" si="16"/>
        <v>-0.25119374857430288</v>
      </c>
      <c r="H122" s="1">
        <f t="shared" si="25"/>
        <v>-0.24869430859930272</v>
      </c>
      <c r="I122" s="1">
        <f t="shared" si="17"/>
        <v>0.67491426519149544</v>
      </c>
      <c r="J122" s="1">
        <f t="shared" si="18"/>
        <v>0.65853265687565354</v>
      </c>
      <c r="K122" s="1">
        <f t="shared" si="19"/>
        <v>0.65893036299547747</v>
      </c>
      <c r="L122" s="14">
        <f t="shared" si="20"/>
        <v>0.64291999780437104</v>
      </c>
      <c r="M122" s="7">
        <f t="shared" si="21"/>
        <v>-7.8853879189311762</v>
      </c>
    </row>
    <row r="123" spans="1:13" x14ac:dyDescent="0.25">
      <c r="A123" s="1">
        <f t="shared" si="22"/>
        <v>1.1300000000000008</v>
      </c>
      <c r="B123" s="4">
        <f t="shared" si="23"/>
        <v>-8.0601584612115946</v>
      </c>
      <c r="C123" s="43">
        <f t="shared" si="24"/>
        <v>-0.14067630338062198</v>
      </c>
      <c r="D123" s="3">
        <f t="shared" si="13"/>
        <v>-0.24210637476140584</v>
      </c>
      <c r="E123" s="2">
        <f t="shared" si="14"/>
        <v>-0.24331690663521288</v>
      </c>
      <c r="F123" s="2">
        <f t="shared" si="15"/>
        <v>-0.24332295929458189</v>
      </c>
      <c r="G123" s="14">
        <f t="shared" si="16"/>
        <v>-0.24453960435435165</v>
      </c>
      <c r="H123" s="1">
        <f t="shared" si="25"/>
        <v>-0.24210637476140584</v>
      </c>
      <c r="I123" s="1">
        <f t="shared" si="17"/>
        <v>0.68704256862145574</v>
      </c>
      <c r="J123" s="1">
        <f t="shared" si="18"/>
        <v>0.67037228670698579</v>
      </c>
      <c r="K123" s="1">
        <f t="shared" si="19"/>
        <v>0.67077686598093844</v>
      </c>
      <c r="L123" s="14">
        <f t="shared" si="20"/>
        <v>0.65448398044087652</v>
      </c>
      <c r="M123" s="7">
        <f t="shared" si="21"/>
        <v>-8.0195776976418838</v>
      </c>
    </row>
    <row r="124" spans="1:13" x14ac:dyDescent="0.25">
      <c r="A124" s="1">
        <f t="shared" si="22"/>
        <v>1.1400000000000008</v>
      </c>
      <c r="B124" s="4">
        <f t="shared" si="23"/>
        <v>-8.1995710972808009</v>
      </c>
      <c r="C124" s="43">
        <f t="shared" si="24"/>
        <v>-0.14310951289891422</v>
      </c>
      <c r="D124" s="3">
        <f t="shared" si="13"/>
        <v>-0.23540000000400887</v>
      </c>
      <c r="E124" s="2">
        <f t="shared" si="14"/>
        <v>-0.23657700000402893</v>
      </c>
      <c r="F124" s="2">
        <f t="shared" si="15"/>
        <v>-0.23658288500402902</v>
      </c>
      <c r="G124" s="14">
        <f t="shared" si="16"/>
        <v>-0.23776582885404918</v>
      </c>
      <c r="H124" s="1">
        <f t="shared" si="25"/>
        <v>-0.23540000000400887</v>
      </c>
      <c r="I124" s="1">
        <f t="shared" si="17"/>
        <v>0.69884546990115592</v>
      </c>
      <c r="J124" s="1">
        <f t="shared" si="18"/>
        <v>0.68189455422823664</v>
      </c>
      <c r="K124" s="1">
        <f t="shared" si="19"/>
        <v>0.68230580820542341</v>
      </c>
      <c r="L124" s="14">
        <f t="shared" si="20"/>
        <v>0.66573825046808532</v>
      </c>
      <c r="M124" s="7">
        <f t="shared" si="21"/>
        <v>-8.1498380437365103</v>
      </c>
    </row>
    <row r="125" spans="1:13" x14ac:dyDescent="0.25">
      <c r="A125" s="1">
        <f t="shared" si="22"/>
        <v>1.1500000000000008</v>
      </c>
      <c r="B125" s="4">
        <f t="shared" si="23"/>
        <v>-8.3351219871059499</v>
      </c>
      <c r="C125" s="43">
        <f t="shared" si="24"/>
        <v>-0.14547532223037118</v>
      </c>
      <c r="D125" s="3">
        <f t="shared" si="13"/>
        <v>-0.22857835926194794</v>
      </c>
      <c r="E125" s="2">
        <f t="shared" si="14"/>
        <v>-0.22972125105825769</v>
      </c>
      <c r="F125" s="2">
        <f t="shared" si="15"/>
        <v>-0.22972696551723923</v>
      </c>
      <c r="G125" s="14">
        <f t="shared" si="16"/>
        <v>-0.23087562891712032</v>
      </c>
      <c r="H125" s="1">
        <f t="shared" si="25"/>
        <v>-0.22857835926194794</v>
      </c>
      <c r="I125" s="1">
        <f t="shared" si="17"/>
        <v>0.71031746286899777</v>
      </c>
      <c r="J125" s="1">
        <f t="shared" si="18"/>
        <v>0.69309406490613368</v>
      </c>
      <c r="K125" s="1">
        <f t="shared" si="19"/>
        <v>0.69351179294851895</v>
      </c>
      <c r="L125" s="14">
        <f t="shared" si="20"/>
        <v>0.67667752176664819</v>
      </c>
      <c r="M125" s="7">
        <f t="shared" si="21"/>
        <v>-8.2761051322517236</v>
      </c>
    </row>
    <row r="126" spans="1:13" x14ac:dyDescent="0.25">
      <c r="A126" s="1">
        <f t="shared" si="22"/>
        <v>1.1600000000000008</v>
      </c>
      <c r="B126" s="4">
        <f t="shared" si="23"/>
        <v>-8.4667447568264347</v>
      </c>
      <c r="C126" s="43">
        <f t="shared" si="24"/>
        <v>-0.14777257293258794</v>
      </c>
      <c r="D126" s="3">
        <f t="shared" si="13"/>
        <v>-0.2216446814280397</v>
      </c>
      <c r="E126" s="2">
        <f t="shared" si="14"/>
        <v>-0.2227529048351799</v>
      </c>
      <c r="F126" s="2">
        <f t="shared" si="15"/>
        <v>-0.22275844595221558</v>
      </c>
      <c r="G126" s="14">
        <f t="shared" si="16"/>
        <v>-0.22387226588756184</v>
      </c>
      <c r="H126" s="1">
        <f t="shared" si="25"/>
        <v>-0.2216446814280397</v>
      </c>
      <c r="I126" s="1">
        <f t="shared" si="17"/>
        <v>0.72145320578287941</v>
      </c>
      <c r="J126" s="1">
        <f t="shared" si="18"/>
        <v>0.70396558404360232</v>
      </c>
      <c r="K126" s="1">
        <f t="shared" si="19"/>
        <v>0.70438958345018821</v>
      </c>
      <c r="L126" s="14">
        <f t="shared" si="20"/>
        <v>0.68729666373655274</v>
      </c>
      <c r="M126" s="7">
        <f t="shared" si="21"/>
        <v>-8.398317094840495</v>
      </c>
    </row>
    <row r="127" spans="1:13" x14ac:dyDescent="0.25">
      <c r="A127" s="1">
        <f t="shared" si="22"/>
        <v>1.1700000000000008</v>
      </c>
      <c r="B127" s="4">
        <f t="shared" si="23"/>
        <v>-8.594374891881964</v>
      </c>
      <c r="C127" s="43">
        <f t="shared" si="24"/>
        <v>-0.15000013901407194</v>
      </c>
      <c r="D127" s="3">
        <f t="shared" si="13"/>
        <v>-0.21460224775386133</v>
      </c>
      <c r="E127" s="2">
        <f t="shared" si="14"/>
        <v>-0.21567525899263063</v>
      </c>
      <c r="F127" s="2">
        <f t="shared" si="15"/>
        <v>-0.21568062404882449</v>
      </c>
      <c r="G127" s="14">
        <f t="shared" si="16"/>
        <v>-0.21675905399434958</v>
      </c>
      <c r="H127" s="1">
        <f t="shared" si="25"/>
        <v>-0.21460224775386133</v>
      </c>
      <c r="I127" s="1">
        <f t="shared" si="17"/>
        <v>0.73224752264078863</v>
      </c>
      <c r="J127" s="1">
        <f t="shared" si="18"/>
        <v>0.71450403816330121</v>
      </c>
      <c r="K127" s="1">
        <f t="shared" si="19"/>
        <v>0.7149341042905204</v>
      </c>
      <c r="L127" s="14">
        <f t="shared" si="20"/>
        <v>0.69759070273190149</v>
      </c>
      <c r="M127" s="7">
        <f t="shared" si="21"/>
        <v>-8.5164140500863788</v>
      </c>
    </row>
    <row r="128" spans="1:13" x14ac:dyDescent="0.25">
      <c r="A128" s="1">
        <f t="shared" si="22"/>
        <v>1.1800000000000008</v>
      </c>
      <c r="B128" s="4">
        <f t="shared" si="23"/>
        <v>-8.7179497671624144</v>
      </c>
      <c r="C128" s="43">
        <f t="shared" si="24"/>
        <v>-0.15215692746045714</v>
      </c>
      <c r="D128" s="3">
        <f t="shared" si="13"/>
        <v>-0.20745439023672743</v>
      </c>
      <c r="E128" s="2">
        <f t="shared" si="14"/>
        <v>-0.20849166218791107</v>
      </c>
      <c r="F128" s="2">
        <f t="shared" si="15"/>
        <v>-0.20849684854766698</v>
      </c>
      <c r="G128" s="14">
        <f t="shared" si="16"/>
        <v>-0.20953935872220411</v>
      </c>
      <c r="H128" s="1">
        <f t="shared" si="25"/>
        <v>-0.20745439023672743</v>
      </c>
      <c r="I128" s="1">
        <f t="shared" si="17"/>
        <v>0.74269540439057868</v>
      </c>
      <c r="J128" s="1">
        <f t="shared" si="18"/>
        <v>0.72470451628511201</v>
      </c>
      <c r="K128" s="1">
        <f t="shared" si="19"/>
        <v>0.72514044266328159</v>
      </c>
      <c r="L128" s="14">
        <f t="shared" si="20"/>
        <v>0.70755482339403697</v>
      </c>
      <c r="M128" s="7">
        <f t="shared" si="21"/>
        <v>-8.630338132844189</v>
      </c>
    </row>
    <row r="129" spans="1:13" x14ac:dyDescent="0.25">
      <c r="A129" s="1">
        <f t="shared" si="22"/>
        <v>1.1900000000000008</v>
      </c>
      <c r="B129" s="4">
        <f t="shared" si="23"/>
        <v>-8.8374086762288684</v>
      </c>
      <c r="C129" s="43">
        <f t="shared" si="24"/>
        <v>-0.15424187874450729</v>
      </c>
      <c r="D129" s="3">
        <f t="shared" si="13"/>
        <v>-0.20020448999392509</v>
      </c>
      <c r="E129" s="2">
        <f t="shared" si="14"/>
        <v>-0.20120551244389473</v>
      </c>
      <c r="F129" s="2">
        <f t="shared" si="15"/>
        <v>-0.20121051755614458</v>
      </c>
      <c r="G129" s="14">
        <f t="shared" si="16"/>
        <v>-0.20221659516948653</v>
      </c>
      <c r="H129" s="1">
        <f t="shared" si="25"/>
        <v>-0.20020448999392509</v>
      </c>
      <c r="I129" s="1">
        <f t="shared" si="17"/>
        <v>0.75279201003405882</v>
      </c>
      <c r="J129" s="1">
        <f t="shared" si="18"/>
        <v>0.73456227110217331</v>
      </c>
      <c r="K129" s="1">
        <f t="shared" si="19"/>
        <v>0.735003849547882</v>
      </c>
      <c r="L129" s="14">
        <f t="shared" si="20"/>
        <v>0.71718436988712775</v>
      </c>
      <c r="M129" s="7">
        <f t="shared" si="21"/>
        <v>-8.7400335225927659</v>
      </c>
    </row>
    <row r="130" spans="1:13" x14ac:dyDescent="0.25">
      <c r="A130" s="1">
        <f t="shared" si="22"/>
        <v>1.2000000000000008</v>
      </c>
      <c r="B130" s="4">
        <f t="shared" si="23"/>
        <v>-8.9526928595984732</v>
      </c>
      <c r="C130" s="43">
        <f t="shared" si="24"/>
        <v>-0.15625396731977978</v>
      </c>
      <c r="D130" s="3">
        <f t="shared" si="13"/>
        <v>-0.19285597562522294</v>
      </c>
      <c r="E130" s="2">
        <f t="shared" si="14"/>
        <v>-0.19382025550334905</v>
      </c>
      <c r="F130" s="2">
        <f t="shared" si="15"/>
        <v>-0.19382507690273967</v>
      </c>
      <c r="G130" s="14">
        <f t="shared" si="16"/>
        <v>-0.19479422639425034</v>
      </c>
      <c r="H130" s="1">
        <f t="shared" si="25"/>
        <v>-0.19285597562522294</v>
      </c>
      <c r="I130" s="1">
        <f t="shared" si="17"/>
        <v>0.76253266763068328</v>
      </c>
      <c r="J130" s="1">
        <f t="shared" si="18"/>
        <v>0.74407272006020031</v>
      </c>
      <c r="K130" s="1">
        <f t="shared" si="19"/>
        <v>0.7445197407845221</v>
      </c>
      <c r="L130" s="14">
        <f t="shared" si="20"/>
        <v>0.72647484704047272</v>
      </c>
      <c r="M130" s="7">
        <f t="shared" si="21"/>
        <v>-8.8454464707859213</v>
      </c>
    </row>
    <row r="131" spans="1:13" x14ac:dyDescent="0.25">
      <c r="A131" s="1">
        <f t="shared" si="22"/>
        <v>1.2100000000000009</v>
      </c>
      <c r="B131" s="4">
        <f t="shared" si="23"/>
        <v>-9.0637455320863705</v>
      </c>
      <c r="C131" s="43">
        <f t="shared" si="24"/>
        <v>-0.15819220209783252</v>
      </c>
      <c r="D131" s="3">
        <f t="shared" si="13"/>
        <v>-0.18541232156462195</v>
      </c>
      <c r="E131" s="2">
        <f t="shared" si="14"/>
        <v>-0.18633938317244506</v>
      </c>
      <c r="F131" s="2">
        <f t="shared" si="15"/>
        <v>-0.18634401848048418</v>
      </c>
      <c r="G131" s="14">
        <f t="shared" si="16"/>
        <v>-0.18727576174942678</v>
      </c>
      <c r="H131" s="1">
        <f t="shared" si="25"/>
        <v>-0.18541232156462195</v>
      </c>
      <c r="I131" s="1">
        <f t="shared" si="17"/>
        <v>0.77191287520626584</v>
      </c>
      <c r="J131" s="1">
        <f t="shared" si="18"/>
        <v>0.75323144634495753</v>
      </c>
      <c r="K131" s="1">
        <f t="shared" si="19"/>
        <v>0.75368369805740976</v>
      </c>
      <c r="L131" s="14">
        <f t="shared" si="20"/>
        <v>0.73542192140190044</v>
      </c>
      <c r="M131" s="7">
        <f t="shared" si="21"/>
        <v>-8.9465253271881426</v>
      </c>
    </row>
    <row r="132" spans="1:13" x14ac:dyDescent="0.25">
      <c r="A132" s="1">
        <f t="shared" si="22"/>
        <v>1.2200000000000009</v>
      </c>
      <c r="B132" s="4">
        <f t="shared" si="23"/>
        <v>-9.1705119091985363</v>
      </c>
      <c r="C132" s="43">
        <f t="shared" si="24"/>
        <v>-0.16005562690886571</v>
      </c>
      <c r="D132" s="3">
        <f t="shared" si="13"/>
        <v>-0.17787704642226712</v>
      </c>
      <c r="E132" s="2">
        <f t="shared" si="14"/>
        <v>-0.17876643165437844</v>
      </c>
      <c r="F132" s="2">
        <f t="shared" si="15"/>
        <v>-0.178770878580539</v>
      </c>
      <c r="G132" s="14">
        <f t="shared" si="16"/>
        <v>-0.17966475520807251</v>
      </c>
      <c r="H132" s="1">
        <f t="shared" si="25"/>
        <v>-0.17787704642226712</v>
      </c>
      <c r="I132" s="1">
        <f t="shared" si="17"/>
        <v>0.78092830157224713</v>
      </c>
      <c r="J132" s="1">
        <f t="shared" si="18"/>
        <v>0.76203419978285669</v>
      </c>
      <c r="K132" s="1">
        <f t="shared" si="19"/>
        <v>0.76249146979104221</v>
      </c>
      <c r="L132" s="14">
        <f t="shared" si="20"/>
        <v>0.74402142220674339</v>
      </c>
      <c r="M132" s="7">
        <f t="shared" si="21"/>
        <v>-9.0432205651821782</v>
      </c>
    </row>
    <row r="133" spans="1:13" x14ac:dyDescent="0.25">
      <c r="A133" s="1">
        <f t="shared" si="22"/>
        <v>1.2300000000000009</v>
      </c>
      <c r="B133" s="4">
        <f t="shared" si="23"/>
        <v>-9.2729392325698079</v>
      </c>
      <c r="C133" s="43">
        <f t="shared" si="24"/>
        <v>-0.16184332094569934</v>
      </c>
      <c r="D133" s="3">
        <f t="shared" si="13"/>
        <v>-0.17025371131738914</v>
      </c>
      <c r="E133" s="2">
        <f t="shared" si="14"/>
        <v>-0.1711049798739761</v>
      </c>
      <c r="F133" s="2">
        <f t="shared" si="15"/>
        <v>-0.17110923621675903</v>
      </c>
      <c r="G133" s="14">
        <f t="shared" si="16"/>
        <v>-0.17196480367955674</v>
      </c>
      <c r="H133" s="1">
        <f t="shared" si="25"/>
        <v>-0.17025371131738914</v>
      </c>
      <c r="I133" s="1">
        <f t="shared" si="17"/>
        <v>0.78957478706112061</v>
      </c>
      <c r="J133" s="1">
        <f t="shared" si="18"/>
        <v>0.77047689765972449</v>
      </c>
      <c r="K133" s="1">
        <f t="shared" si="19"/>
        <v>0.7709389719646218</v>
      </c>
      <c r="L133" s="14">
        <f t="shared" si="20"/>
        <v>0.7522693422669301</v>
      </c>
      <c r="M133" s="7">
        <f t="shared" si="21"/>
        <v>-9.1354848060360876</v>
      </c>
    </row>
    <row r="134" spans="1:13" x14ac:dyDescent="0.25">
      <c r="A134" s="1">
        <f t="shared" si="22"/>
        <v>1.2400000000000009</v>
      </c>
      <c r="B134" s="4">
        <f t="shared" si="23"/>
        <v>-9.3709767944419973</v>
      </c>
      <c r="C134" s="43">
        <f t="shared" si="24"/>
        <v>-0.16355439919099671</v>
      </c>
      <c r="D134" s="3">
        <f t="shared" si="13"/>
        <v>-0.16254591820309458</v>
      </c>
      <c r="E134" s="2">
        <f t="shared" si="14"/>
        <v>-0.16335864779411005</v>
      </c>
      <c r="F134" s="2">
        <f t="shared" si="15"/>
        <v>-0.16336271144206513</v>
      </c>
      <c r="G134" s="14">
        <f t="shared" si="16"/>
        <v>-0.16417954531751522</v>
      </c>
      <c r="H134" s="1">
        <f t="shared" si="25"/>
        <v>-0.16254591820309458</v>
      </c>
      <c r="I134" s="1">
        <f t="shared" si="17"/>
        <v>0.79784834418367812</v>
      </c>
      <c r="J134" s="1">
        <f t="shared" si="18"/>
        <v>0.77855562546284063</v>
      </c>
      <c r="K134" s="1">
        <f t="shared" si="19"/>
        <v>0.77902228884972802</v>
      </c>
      <c r="L134" s="14">
        <f t="shared" si="20"/>
        <v>0.76016183878480359</v>
      </c>
      <c r="M134" s="7">
        <f t="shared" si="21"/>
        <v>-9.2232728421178809</v>
      </c>
    </row>
    <row r="135" spans="1:13" x14ac:dyDescent="0.25">
      <c r="A135" s="1">
        <f t="shared" si="22"/>
        <v>1.2500000000000009</v>
      </c>
      <c r="B135" s="4">
        <f t="shared" si="23"/>
        <v>-9.4645759611773421</v>
      </c>
      <c r="C135" s="43">
        <f t="shared" si="24"/>
        <v>-0.16518801282765164</v>
      </c>
      <c r="D135" s="3">
        <f t="shared" si="13"/>
        <v>-0.15475730818377187</v>
      </c>
      <c r="E135" s="2">
        <f t="shared" si="14"/>
        <v>-0.15553109472469073</v>
      </c>
      <c r="F135" s="2">
        <f t="shared" si="15"/>
        <v>-0.15553496365739533</v>
      </c>
      <c r="G135" s="14">
        <f t="shared" si="16"/>
        <v>-0.15631265782034581</v>
      </c>
      <c r="H135" s="1">
        <f t="shared" si="25"/>
        <v>-0.15475730818377187</v>
      </c>
      <c r="I135" s="1">
        <f t="shared" si="17"/>
        <v>0.80574515821374981</v>
      </c>
      <c r="J135" s="1">
        <f t="shared" si="18"/>
        <v>0.78626663755136483</v>
      </c>
      <c r="K135" s="1">
        <f t="shared" si="19"/>
        <v>0.78673767367638781</v>
      </c>
      <c r="L135" s="14">
        <f t="shared" si="20"/>
        <v>0.76769523409628782</v>
      </c>
      <c r="M135" s="7">
        <f t="shared" si="21"/>
        <v>-9.3065416590463439</v>
      </c>
    </row>
    <row r="136" spans="1:13" x14ac:dyDescent="0.25">
      <c r="A136" s="1">
        <f t="shared" si="22"/>
        <v>1.2600000000000009</v>
      </c>
      <c r="B136" s="4">
        <f t="shared" si="23"/>
        <v>-9.5536901958030782</v>
      </c>
      <c r="C136" s="43">
        <f t="shared" si="24"/>
        <v>-0.16674334963226545</v>
      </c>
      <c r="D136" s="3">
        <f t="shared" si="13"/>
        <v>-0.1468915598258293</v>
      </c>
      <c r="E136" s="2">
        <f t="shared" si="14"/>
        <v>-0.14762601762495844</v>
      </c>
      <c r="F136" s="2">
        <f t="shared" si="15"/>
        <v>-0.14762968991395409</v>
      </c>
      <c r="G136" s="14">
        <f t="shared" si="16"/>
        <v>-0.14836785672496883</v>
      </c>
      <c r="H136" s="1">
        <f t="shared" si="25"/>
        <v>-0.1468915598258293</v>
      </c>
      <c r="I136" s="1">
        <f t="shared" si="17"/>
        <v>0.81326158770611501</v>
      </c>
      <c r="J136" s="1">
        <f t="shared" si="18"/>
        <v>0.79360635776027999</v>
      </c>
      <c r="K136" s="1">
        <f t="shared" si="19"/>
        <v>0.79408154923269025</v>
      </c>
      <c r="L136" s="14">
        <f t="shared" si="20"/>
        <v>0.77486601634803842</v>
      </c>
      <c r="M136" s="7">
        <f t="shared" si="21"/>
        <v>-9.3852504567672153</v>
      </c>
    </row>
    <row r="137" spans="1:13" x14ac:dyDescent="0.25">
      <c r="A137" s="1">
        <f t="shared" si="22"/>
        <v>1.2700000000000009</v>
      </c>
      <c r="B137" s="4">
        <f t="shared" si="23"/>
        <v>-9.6382750795832663</v>
      </c>
      <c r="C137" s="43">
        <f t="shared" si="24"/>
        <v>-0.1682196343516465</v>
      </c>
      <c r="D137" s="3">
        <f t="shared" si="13"/>
        <v>-0.13895238746242913</v>
      </c>
      <c r="E137" s="2">
        <f t="shared" si="14"/>
        <v>-0.13964714939974127</v>
      </c>
      <c r="F137" s="2">
        <f t="shared" si="15"/>
        <v>-0.13965062320942784</v>
      </c>
      <c r="G137" s="14">
        <f t="shared" si="16"/>
        <v>-0.14034889369452341</v>
      </c>
      <c r="H137" s="1">
        <f t="shared" si="25"/>
        <v>-0.13895238746242913</v>
      </c>
      <c r="I137" s="1">
        <f t="shared" si="17"/>
        <v>0.82039416495322348</v>
      </c>
      <c r="J137" s="1">
        <f t="shared" si="18"/>
        <v>0.80057137994294147</v>
      </c>
      <c r="K137" s="1">
        <f t="shared" si="19"/>
        <v>0.80105050840306458</v>
      </c>
      <c r="L137" s="14">
        <f t="shared" si="20"/>
        <v>0.78167084011318555</v>
      </c>
      <c r="M137" s="7">
        <f t="shared" si="21"/>
        <v>-9.4593606695444254</v>
      </c>
    </row>
    <row r="138" spans="1:13" x14ac:dyDescent="0.25">
      <c r="A138" s="1">
        <f t="shared" si="22"/>
        <v>1.2800000000000009</v>
      </c>
      <c r="B138" s="4">
        <f t="shared" si="23"/>
        <v>-9.7182883326144491</v>
      </c>
      <c r="C138" s="43">
        <f t="shared" si="24"/>
        <v>-0.16961612906227197</v>
      </c>
      <c r="D138" s="3">
        <f t="shared" ref="D138:D201" si="26">H138</f>
        <v>-0.13094353949283177</v>
      </c>
      <c r="E138" s="2">
        <f t="shared" ref="E138:E201" si="27">H138+$B$2/2*D138</f>
        <v>-0.13159825719029594</v>
      </c>
      <c r="F138" s="2">
        <f t="shared" ref="F138:F201" si="28">H138+$B$2/2*E138</f>
        <v>-0.13160153077878325</v>
      </c>
      <c r="G138" s="14">
        <f t="shared" ref="G138:G201" si="29">H138+$B$2*F138</f>
        <v>-0.1322595548006196</v>
      </c>
      <c r="H138" s="1">
        <f t="shared" si="25"/>
        <v>-0.13094353949283177</v>
      </c>
      <c r="I138" s="1">
        <f t="shared" ref="I138:I201" si="30">-$B$3/$B$4*SIN(C138)</f>
        <v>0.82713959638630352</v>
      </c>
      <c r="J138" s="1">
        <f t="shared" ref="J138:J201" si="31">-$B$3/$B$4*SIN(C138+1/2*$B$2*I138)</f>
        <v>0.80715846845728279</v>
      </c>
      <c r="K138" s="1">
        <f t="shared" ref="K138:K201" si="32">-$B$3/$B$4*SIN(C138+1/2*$B$2*J138)</f>
        <v>0.80764131465028366</v>
      </c>
      <c r="L138" s="14">
        <f t="shared" ref="L138:L201" si="33">-$B$3/$B$4*SIN(C138+$B$2*K138)</f>
        <v>0.78810652695024264</v>
      </c>
      <c r="M138" s="7">
        <f t="shared" ref="M138:M201" si="34">$B$10*PI()/180*COS(SQRT($B$3/$B$4)*A138)*180/PI()</f>
        <v>-9.5288359848565101</v>
      </c>
    </row>
    <row r="139" spans="1:13" x14ac:dyDescent="0.25">
      <c r="A139" s="1">
        <f t="shared" ref="A139:A202" si="35">A138+$B$2</f>
        <v>1.2900000000000009</v>
      </c>
      <c r="B139" s="4">
        <f t="shared" ref="B139:B202" si="36">C139*180/PI()</f>
        <v>-9.7936898334420022</v>
      </c>
      <c r="C139" s="43">
        <f t="shared" ref="C139:C202" si="37">C138+$B$2*(D138+2*E138+2*F138+G138)/6</f>
        <v>-0.17093213351265799</v>
      </c>
      <c r="D139" s="3">
        <f t="shared" si="26"/>
        <v>-0.12286879667691231</v>
      </c>
      <c r="E139" s="2">
        <f t="shared" si="27"/>
        <v>-0.12348314066029686</v>
      </c>
      <c r="F139" s="2">
        <f t="shared" si="28"/>
        <v>-0.12348621238021379</v>
      </c>
      <c r="G139" s="14">
        <f t="shared" si="29"/>
        <v>-0.12410365880071444</v>
      </c>
      <c r="H139" s="1">
        <f t="shared" ref="H139:H202" si="38">H138+$B$2*(I138+2*J138+2*K138+L138)/6</f>
        <v>-0.12286879667691231</v>
      </c>
      <c r="I139" s="1">
        <f t="shared" si="30"/>
        <v>0.83349476292635449</v>
      </c>
      <c r="J139" s="1">
        <f t="shared" si="31"/>
        <v>0.81336455860064427</v>
      </c>
      <c r="K139" s="1">
        <f t="shared" si="32"/>
        <v>0.81385090244618807</v>
      </c>
      <c r="L139" s="14">
        <f t="shared" si="33"/>
        <v>0.79417006590967987</v>
      </c>
      <c r="M139" s="7">
        <f t="shared" si="34"/>
        <v>-9.593642361189028</v>
      </c>
    </row>
    <row r="140" spans="1:13" x14ac:dyDescent="0.25">
      <c r="A140" s="1">
        <f t="shared" si="35"/>
        <v>1.3000000000000009</v>
      </c>
      <c r="B140" s="4">
        <f t="shared" si="36"/>
        <v>-9.8644416376944122</v>
      </c>
      <c r="C140" s="43">
        <f t="shared" si="37"/>
        <v>-0.17216698544858908</v>
      </c>
      <c r="D140" s="3">
        <f t="shared" si="26"/>
        <v>-0.1147319704253628</v>
      </c>
      <c r="E140" s="2">
        <f t="shared" si="27"/>
        <v>-0.11530563027748962</v>
      </c>
      <c r="F140" s="2">
        <f t="shared" si="28"/>
        <v>-0.11530849857675025</v>
      </c>
      <c r="G140" s="14">
        <f t="shared" si="29"/>
        <v>-0.11588505541113031</v>
      </c>
      <c r="H140" s="1">
        <f t="shared" si="38"/>
        <v>-0.1147319704253628</v>
      </c>
      <c r="I140" s="1">
        <f t="shared" si="30"/>
        <v>0.83945672029039542</v>
      </c>
      <c r="J140" s="1">
        <f t="shared" si="31"/>
        <v>0.8191867569980964</v>
      </c>
      <c r="K140" s="1">
        <f t="shared" si="32"/>
        <v>0.81967637765601664</v>
      </c>
      <c r="L140" s="14">
        <f t="shared" si="33"/>
        <v>0.79985861399258407</v>
      </c>
      <c r="M140" s="7">
        <f t="shared" si="34"/>
        <v>-9.6537480447142165</v>
      </c>
    </row>
    <row r="141" spans="1:13" x14ac:dyDescent="0.25">
      <c r="A141" s="1">
        <f t="shared" si="35"/>
        <v>1.3100000000000009</v>
      </c>
      <c r="B141" s="4">
        <f t="shared" si="36"/>
        <v>-9.9305079957330094</v>
      </c>
      <c r="C141" s="43">
        <f t="shared" si="37"/>
        <v>-0.17332006092116403</v>
      </c>
      <c r="D141" s="3">
        <f t="shared" si="26"/>
        <v>-0.10653690108604413</v>
      </c>
      <c r="E141" s="2">
        <f t="shared" si="27"/>
        <v>-0.10706958559147435</v>
      </c>
      <c r="F141" s="2">
        <f t="shared" si="28"/>
        <v>-0.1070722490140015</v>
      </c>
      <c r="G141" s="14">
        <f t="shared" si="29"/>
        <v>-0.10760762357618414</v>
      </c>
      <c r="H141" s="1">
        <f t="shared" si="38"/>
        <v>-0.10653690108604413</v>
      </c>
      <c r="I141" s="1">
        <f t="shared" si="30"/>
        <v>0.84502269925821349</v>
      </c>
      <c r="J141" s="1">
        <f t="shared" si="31"/>
        <v>0.82462234194900175</v>
      </c>
      <c r="K141" s="1">
        <f t="shared" si="32"/>
        <v>0.82511501788111252</v>
      </c>
      <c r="L141" s="14">
        <f t="shared" si="33"/>
        <v>0.80516949656570724</v>
      </c>
      <c r="M141" s="7">
        <f t="shared" si="34"/>
        <v>-9.7091235848497544</v>
      </c>
    </row>
    <row r="142" spans="1:13" x14ac:dyDescent="0.25">
      <c r="A142" s="1">
        <f t="shared" si="35"/>
        <v>1.320000000000001</v>
      </c>
      <c r="B142" s="4">
        <f t="shared" si="36"/>
        <v>-9.991855369314921</v>
      </c>
      <c r="C142" s="43">
        <f t="shared" si="37"/>
        <v>-0.17439077457761934</v>
      </c>
      <c r="D142" s="3">
        <f t="shared" si="26"/>
        <v>-9.828745622690388E-2</v>
      </c>
      <c r="E142" s="2">
        <f t="shared" si="27"/>
        <v>-9.8778893508038396E-2</v>
      </c>
      <c r="F142" s="2">
        <f t="shared" si="28"/>
        <v>-9.8781350694444076E-2</v>
      </c>
      <c r="G142" s="14">
        <f t="shared" si="29"/>
        <v>-9.9275269733848315E-2</v>
      </c>
      <c r="H142" s="1">
        <f t="shared" si="38"/>
        <v>-9.828745622690388E-2</v>
      </c>
      <c r="I142" s="1">
        <f t="shared" si="30"/>
        <v>0.85019010590468602</v>
      </c>
      <c r="J142" s="1">
        <f t="shared" si="31"/>
        <v>0.82966876373642151</v>
      </c>
      <c r="K142" s="1">
        <f t="shared" si="32"/>
        <v>0.83016427276462035</v>
      </c>
      <c r="L142" s="14">
        <f t="shared" si="33"/>
        <v>0.81010020773708413</v>
      </c>
      <c r="M142" s="7">
        <f t="shared" si="34"/>
        <v>-9.7597418486889236</v>
      </c>
    </row>
    <row r="143" spans="1:13" x14ac:dyDescent="0.25">
      <c r="A143" s="1">
        <f t="shared" si="35"/>
        <v>1.330000000000001</v>
      </c>
      <c r="B143" s="4">
        <f t="shared" si="36"/>
        <v>-10.048452447267257</v>
      </c>
      <c r="C143" s="43">
        <f t="shared" si="37"/>
        <v>-0.17537857993489553</v>
      </c>
      <c r="D143" s="3">
        <f t="shared" si="26"/>
        <v>-8.9987528915830783E-2</v>
      </c>
      <c r="E143" s="2">
        <f t="shared" si="27"/>
        <v>-9.0437466560409935E-2</v>
      </c>
      <c r="F143" s="2">
        <f t="shared" si="28"/>
        <v>-9.043971624863284E-2</v>
      </c>
      <c r="G143" s="14">
        <f t="shared" si="29"/>
        <v>-9.0891926078317115E-2</v>
      </c>
      <c r="H143" s="1">
        <f t="shared" si="38"/>
        <v>-8.9987528915830783E-2</v>
      </c>
      <c r="I143" s="1">
        <f t="shared" si="30"/>
        <v>0.85495652180256287</v>
      </c>
      <c r="J143" s="1">
        <f t="shared" si="31"/>
        <v>0.83432364490379229</v>
      </c>
      <c r="K143" s="1">
        <f t="shared" si="32"/>
        <v>0.83482176426462984</v>
      </c>
      <c r="L143" s="14">
        <f t="shared" si="33"/>
        <v>0.81464841069624372</v>
      </c>
      <c r="M143" s="7">
        <f t="shared" si="34"/>
        <v>-9.8055780342952126</v>
      </c>
    </row>
    <row r="144" spans="1:13" x14ac:dyDescent="0.25">
      <c r="A144" s="1">
        <f t="shared" si="35"/>
        <v>1.340000000000001</v>
      </c>
      <c r="B144" s="4">
        <f t="shared" si="36"/>
        <v>-10.100270160170824</v>
      </c>
      <c r="C144" s="43">
        <f t="shared" si="37"/>
        <v>-0.17628296963591591</v>
      </c>
      <c r="D144" s="3">
        <f t="shared" si="26"/>
        <v>-8.1641035997771366E-2</v>
      </c>
      <c r="E144" s="2">
        <f t="shared" si="27"/>
        <v>-8.2049241177760218E-2</v>
      </c>
      <c r="F144" s="2">
        <f t="shared" si="28"/>
        <v>-8.2051282203660161E-2</v>
      </c>
      <c r="G144" s="14">
        <f t="shared" si="29"/>
        <v>-8.2461548819807967E-2</v>
      </c>
      <c r="H144" s="1">
        <f t="shared" si="38"/>
        <v>-8.1641035997771366E-2</v>
      </c>
      <c r="I144" s="1">
        <f t="shared" si="30"/>
        <v>0.85931970420038828</v>
      </c>
      <c r="J144" s="1">
        <f t="shared" si="31"/>
        <v>0.83858478050312391</v>
      </c>
      <c r="K144" s="1">
        <f t="shared" si="32"/>
        <v>0.83908528689901962</v>
      </c>
      <c r="L144" s="14">
        <f t="shared" si="33"/>
        <v>0.81881193802286956</v>
      </c>
      <c r="M144" s="7">
        <f t="shared" si="34"/>
        <v>-9.8466096828547673</v>
      </c>
    </row>
    <row r="145" spans="1:13" x14ac:dyDescent="0.25">
      <c r="A145" s="1">
        <f t="shared" si="35"/>
        <v>1.350000000000001</v>
      </c>
      <c r="B145" s="4">
        <f t="shared" si="36"/>
        <v>-10.147281694051694</v>
      </c>
      <c r="C145" s="43">
        <f t="shared" si="37"/>
        <v>-0.17710347568854995</v>
      </c>
      <c r="D145" s="3">
        <f t="shared" si="26"/>
        <v>-7.3251916369392128E-2</v>
      </c>
      <c r="E145" s="2">
        <f t="shared" si="27"/>
        <v>-7.3618175951239095E-2</v>
      </c>
      <c r="F145" s="2">
        <f t="shared" si="28"/>
        <v>-7.3620007249148328E-2</v>
      </c>
      <c r="G145" s="14">
        <f t="shared" si="29"/>
        <v>-7.3988116441883606E-2</v>
      </c>
      <c r="H145" s="1">
        <f t="shared" si="38"/>
        <v>-7.3251916369392128E-2</v>
      </c>
      <c r="I145" s="1">
        <f t="shared" si="30"/>
        <v>0.86327758618000461</v>
      </c>
      <c r="J145" s="1">
        <f t="shared" si="31"/>
        <v>0.84245013831874649</v>
      </c>
      <c r="K145" s="1">
        <f t="shared" si="32"/>
        <v>0.84295280796605843</v>
      </c>
      <c r="L145" s="14">
        <f t="shared" si="33"/>
        <v>0.82258879196757806</v>
      </c>
      <c r="M145" s="7">
        <f t="shared" si="34"/>
        <v>-9.8828166896807534</v>
      </c>
    </row>
    <row r="146" spans="1:13" x14ac:dyDescent="0.25">
      <c r="A146" s="1">
        <f t="shared" si="35"/>
        <v>1.360000000000001</v>
      </c>
      <c r="B146" s="4">
        <f t="shared" si="36"/>
        <v>-10.189462503079303</v>
      </c>
      <c r="C146" s="43">
        <f t="shared" si="37"/>
        <v>-0.17783966968723669</v>
      </c>
      <c r="D146" s="3">
        <f t="shared" si="26"/>
        <v>-6.4824129251530138E-2</v>
      </c>
      <c r="E146" s="2">
        <f t="shared" si="27"/>
        <v>-6.5148249897787794E-2</v>
      </c>
      <c r="F146" s="2">
        <f t="shared" si="28"/>
        <v>-6.5149870501019072E-2</v>
      </c>
      <c r="G146" s="14">
        <f t="shared" si="29"/>
        <v>-6.5475627956540328E-2</v>
      </c>
      <c r="H146" s="1">
        <f t="shared" si="38"/>
        <v>-6.4824129251530138E-2</v>
      </c>
      <c r="I146" s="1">
        <f t="shared" si="30"/>
        <v>0.86682827679783114</v>
      </c>
      <c r="J146" s="1">
        <f t="shared" si="31"/>
        <v>0.84591785907041794</v>
      </c>
      <c r="K146" s="1">
        <f t="shared" si="32"/>
        <v>0.84642246774457763</v>
      </c>
      <c r="L146" s="14">
        <f t="shared" si="33"/>
        <v>0.8259771447082731</v>
      </c>
      <c r="M146" s="7">
        <f t="shared" si="34"/>
        <v>-9.9141813140642565</v>
      </c>
    </row>
    <row r="147" spans="1:13" x14ac:dyDescent="0.25">
      <c r="A147" s="1">
        <f t="shared" si="35"/>
        <v>1.370000000000001</v>
      </c>
      <c r="B147" s="4">
        <f t="shared" si="36"/>
        <v>-10.226790321269769</v>
      </c>
      <c r="C147" s="43">
        <f t="shared" si="37"/>
        <v>-0.17849116301724616</v>
      </c>
      <c r="D147" s="3">
        <f t="shared" si="26"/>
        <v>-5.6361652459636646E-2</v>
      </c>
      <c r="E147" s="2">
        <f t="shared" si="27"/>
        <v>-5.6643460721934831E-2</v>
      </c>
      <c r="F147" s="2">
        <f t="shared" si="28"/>
        <v>-5.6644869763246321E-2</v>
      </c>
      <c r="G147" s="14">
        <f t="shared" si="29"/>
        <v>-5.6928101157269109E-2</v>
      </c>
      <c r="H147" s="1">
        <f t="shared" si="38"/>
        <v>-5.6361652459636646E-2</v>
      </c>
      <c r="I147" s="1">
        <f t="shared" si="30"/>
        <v>0.86997006121383647</v>
      </c>
      <c r="J147" s="1">
        <f t="shared" si="31"/>
        <v>0.84898625659934612</v>
      </c>
      <c r="K147" s="1">
        <f t="shared" si="32"/>
        <v>0.84949257967729319</v>
      </c>
      <c r="L147" s="14">
        <f t="shared" si="33"/>
        <v>0.82897533858531602</v>
      </c>
      <c r="M147" s="7">
        <f t="shared" si="34"/>
        <v>-9.940688187966872</v>
      </c>
    </row>
    <row r="148" spans="1:13" x14ac:dyDescent="0.25">
      <c r="A148" s="1">
        <f t="shared" si="35"/>
        <v>1.380000000000001</v>
      </c>
      <c r="B148" s="4">
        <f t="shared" si="36"/>
        <v>-10.259245173193261</v>
      </c>
      <c r="C148" s="43">
        <f t="shared" si="37"/>
        <v>-0.17905760704155826</v>
      </c>
      <c r="D148" s="3">
        <f t="shared" si="26"/>
        <v>-4.7868480672382592E-2</v>
      </c>
      <c r="E148" s="2">
        <f t="shared" si="27"/>
        <v>-4.8107823075744502E-2</v>
      </c>
      <c r="F148" s="2">
        <f t="shared" si="28"/>
        <v>-4.8109019787761317E-2</v>
      </c>
      <c r="G148" s="14">
        <f t="shared" si="29"/>
        <v>-4.8349570870260206E-2</v>
      </c>
      <c r="H148" s="1">
        <f t="shared" si="38"/>
        <v>-4.7868480672382592E-2</v>
      </c>
      <c r="I148" s="1">
        <f t="shared" si="30"/>
        <v>0.87270140081183234</v>
      </c>
      <c r="J148" s="1">
        <f t="shared" si="31"/>
        <v>0.85165381804042617</v>
      </c>
      <c r="K148" s="1">
        <f t="shared" si="32"/>
        <v>0.85216163054058258</v>
      </c>
      <c r="L148" s="14">
        <f t="shared" si="33"/>
        <v>0.83158188631850694</v>
      </c>
      <c r="M148" s="7">
        <f t="shared" si="34"/>
        <v>-9.9623243235507388</v>
      </c>
    </row>
    <row r="149" spans="1:13" x14ac:dyDescent="0.25">
      <c r="A149" s="1">
        <f t="shared" si="35"/>
        <v>1.390000000000001</v>
      </c>
      <c r="B149" s="4">
        <f t="shared" si="36"/>
        <v>-10.286809383684377</v>
      </c>
      <c r="C149" s="43">
        <f t="shared" si="37"/>
        <v>-0.17953869327034103</v>
      </c>
      <c r="D149" s="3">
        <f t="shared" si="26"/>
        <v>-3.9348623698561999E-2</v>
      </c>
      <c r="E149" s="2">
        <f t="shared" si="27"/>
        <v>-3.9545366817054811E-2</v>
      </c>
      <c r="F149" s="2">
        <f t="shared" si="28"/>
        <v>-3.9546350532647274E-2</v>
      </c>
      <c r="G149" s="14">
        <f t="shared" si="29"/>
        <v>-3.9744087203888473E-2</v>
      </c>
      <c r="H149" s="1">
        <f t="shared" si="38"/>
        <v>-3.9348623698561999E-2</v>
      </c>
      <c r="I149" s="1">
        <f t="shared" si="30"/>
        <v>0.87502093331441</v>
      </c>
      <c r="J149" s="1">
        <f t="shared" si="31"/>
        <v>0.85391920398370591</v>
      </c>
      <c r="K149" s="1">
        <f t="shared" si="32"/>
        <v>0.85442828060374532</v>
      </c>
      <c r="L149" s="14">
        <f t="shared" si="33"/>
        <v>0.8337954712086233</v>
      </c>
      <c r="M149" s="7">
        <f t="shared" si="34"/>
        <v>-9.9790791195423161</v>
      </c>
    </row>
    <row r="150" spans="1:13" x14ac:dyDescent="0.25">
      <c r="A150" s="1">
        <f t="shared" si="35"/>
        <v>1.400000000000001</v>
      </c>
      <c r="B150" s="4">
        <f t="shared" si="36"/>
        <v>-10.309467586554574</v>
      </c>
      <c r="C150" s="43">
        <f t="shared" si="37"/>
        <v>-0.17993415351301079</v>
      </c>
      <c r="D150" s="3">
        <f t="shared" si="26"/>
        <v>-3.0806104742398772E-2</v>
      </c>
      <c r="E150" s="2">
        <f t="shared" si="27"/>
        <v>-3.0960135266110765E-2</v>
      </c>
      <c r="F150" s="2">
        <f t="shared" si="28"/>
        <v>-3.0960905418729326E-2</v>
      </c>
      <c r="G150" s="14">
        <f t="shared" si="29"/>
        <v>-3.1115713796586064E-2</v>
      </c>
      <c r="H150" s="1">
        <f t="shared" si="38"/>
        <v>-3.0806104742398772E-2</v>
      </c>
      <c r="I150" s="1">
        <f t="shared" si="30"/>
        <v>0.87692747289551487</v>
      </c>
      <c r="J150" s="1">
        <f t="shared" si="31"/>
        <v>0.85578124862780436</v>
      </c>
      <c r="K150" s="1">
        <f t="shared" si="32"/>
        <v>0.85629136378048043</v>
      </c>
      <c r="L150" s="14">
        <f t="shared" si="33"/>
        <v>0.83561494732599351</v>
      </c>
      <c r="M150" s="7">
        <f t="shared" si="34"/>
        <v>-9.990944366426799</v>
      </c>
    </row>
    <row r="151" spans="1:13" x14ac:dyDescent="0.25">
      <c r="A151" s="1">
        <f t="shared" si="35"/>
        <v>1.410000000000001</v>
      </c>
      <c r="B151" s="4">
        <f t="shared" si="36"/>
        <v>-10.327206732305669</v>
      </c>
      <c r="C151" s="43">
        <f t="shared" si="37"/>
        <v>-0.18024376001285855</v>
      </c>
      <c r="D151" s="3">
        <f t="shared" si="26"/>
        <v>-2.2244958667335307E-2</v>
      </c>
      <c r="E151" s="2">
        <f t="shared" si="27"/>
        <v>-2.2356183460671985E-2</v>
      </c>
      <c r="F151" s="2">
        <f t="shared" si="28"/>
        <v>-2.2356739584638668E-2</v>
      </c>
      <c r="G151" s="14">
        <f t="shared" si="29"/>
        <v>-2.2468526063181695E-2</v>
      </c>
      <c r="H151" s="1">
        <f t="shared" si="38"/>
        <v>-2.2244958667335307E-2</v>
      </c>
      <c r="I151" s="1">
        <f t="shared" si="30"/>
        <v>0.87842001029332184</v>
      </c>
      <c r="J151" s="1">
        <f t="shared" si="31"/>
        <v>0.85723895992770027</v>
      </c>
      <c r="K151" s="1">
        <f t="shared" si="32"/>
        <v>0.85774988777500882</v>
      </c>
      <c r="L151" s="14">
        <f t="shared" si="33"/>
        <v>0.83703933968830191</v>
      </c>
      <c r="M151" s="7">
        <f t="shared" si="34"/>
        <v>-9.9979142504706111</v>
      </c>
    </row>
    <row r="152" spans="1:13" x14ac:dyDescent="0.25">
      <c r="A152" s="1">
        <f t="shared" si="35"/>
        <v>1.420000000000001</v>
      </c>
      <c r="B152" s="4">
        <f t="shared" si="36"/>
        <v>-10.340016094843602</v>
      </c>
      <c r="C152" s="43">
        <f t="shared" si="37"/>
        <v>-0.18046732556422712</v>
      </c>
      <c r="D152" s="3">
        <f t="shared" si="26"/>
        <v>-1.3669230258356905E-2</v>
      </c>
      <c r="E152" s="2">
        <f t="shared" si="27"/>
        <v>-1.373757640964869E-2</v>
      </c>
      <c r="F152" s="2">
        <f t="shared" si="28"/>
        <v>-1.3737918140405148E-2</v>
      </c>
      <c r="G152" s="14">
        <f t="shared" si="29"/>
        <v>-1.3806609439760956E-2</v>
      </c>
      <c r="H152" s="1">
        <f t="shared" si="38"/>
        <v>-1.3669230258356905E-2</v>
      </c>
      <c r="I152" s="1">
        <f t="shared" si="30"/>
        <v>0.87949771292571643</v>
      </c>
      <c r="J152" s="1">
        <f t="shared" si="31"/>
        <v>0.85829151973898743</v>
      </c>
      <c r="K152" s="1">
        <f t="shared" si="32"/>
        <v>0.85880303422494242</v>
      </c>
      <c r="L152" s="14">
        <f t="shared" si="33"/>
        <v>0.83806784442953641</v>
      </c>
      <c r="M152" s="7">
        <f t="shared" si="34"/>
        <v>-9.9999853565700274</v>
      </c>
    </row>
    <row r="153" spans="1:13" x14ac:dyDescent="0.25">
      <c r="A153" s="1">
        <f t="shared" si="35"/>
        <v>1.430000000000001</v>
      </c>
      <c r="B153" s="4">
        <f t="shared" si="36"/>
        <v>-10.347887277191578</v>
      </c>
      <c r="C153" s="43">
        <f t="shared" si="37"/>
        <v>-0.18060470361222417</v>
      </c>
      <c r="D153" s="3">
        <f t="shared" si="26"/>
        <v>-5.0829724828850495E-3</v>
      </c>
      <c r="E153" s="2">
        <f t="shared" si="27"/>
        <v>-5.1083873452994746E-3</v>
      </c>
      <c r="F153" s="2">
        <f t="shared" si="28"/>
        <v>-5.1085144196115467E-3</v>
      </c>
      <c r="G153" s="14">
        <f t="shared" si="29"/>
        <v>-5.1340576270811648E-3</v>
      </c>
      <c r="H153" s="1">
        <f t="shared" si="38"/>
        <v>-5.0829724828850495E-3</v>
      </c>
      <c r="I153" s="1">
        <f t="shared" si="30"/>
        <v>0.88015992501033535</v>
      </c>
      <c r="J153" s="1">
        <f t="shared" si="31"/>
        <v>0.8589382839603662</v>
      </c>
      <c r="K153" s="1">
        <f t="shared" si="32"/>
        <v>0.85945015884267972</v>
      </c>
      <c r="L153" s="14">
        <f t="shared" si="33"/>
        <v>0.83869982896168527</v>
      </c>
      <c r="M153" s="7">
        <f t="shared" si="34"/>
        <v>-9.9971566699244967</v>
      </c>
    </row>
    <row r="154" spans="1:13" x14ac:dyDescent="0.25">
      <c r="A154" s="1">
        <f t="shared" si="35"/>
        <v>1.4400000000000011</v>
      </c>
      <c r="B154" s="4">
        <f t="shared" si="36"/>
        <v>-10.350814216201774</v>
      </c>
      <c r="C154" s="43">
        <f t="shared" si="37"/>
        <v>-0.18065578833495716</v>
      </c>
      <c r="D154" s="3">
        <f t="shared" si="26"/>
        <v>3.5097552497451393E-3</v>
      </c>
      <c r="E154" s="2">
        <f t="shared" si="27"/>
        <v>3.5273040259938648E-3</v>
      </c>
      <c r="F154" s="2">
        <f t="shared" si="28"/>
        <v>3.5273917698751085E-3</v>
      </c>
      <c r="G154" s="14">
        <f t="shared" si="29"/>
        <v>3.5450291674438902E-3</v>
      </c>
      <c r="H154" s="1">
        <f t="shared" si="38"/>
        <v>3.5097552497451393E-3</v>
      </c>
      <c r="I154" s="1">
        <f t="shared" si="30"/>
        <v>0.8804061676907422</v>
      </c>
      <c r="J154" s="1">
        <f t="shared" si="31"/>
        <v>0.8591787826758075</v>
      </c>
      <c r="K154" s="1">
        <f t="shared" si="32"/>
        <v>0.85969079155676587</v>
      </c>
      <c r="L154" s="14">
        <f t="shared" si="33"/>
        <v>0.83893483213048858</v>
      </c>
      <c r="M154" s="7">
        <f t="shared" si="34"/>
        <v>-9.9894295765338761</v>
      </c>
    </row>
    <row r="155" spans="1:13" x14ac:dyDescent="0.25">
      <c r="A155" s="1">
        <f t="shared" si="35"/>
        <v>1.4500000000000011</v>
      </c>
      <c r="B155" s="4">
        <f t="shared" si="36"/>
        <v>-10.348793186264801</v>
      </c>
      <c r="C155" s="43">
        <f t="shared" si="37"/>
        <v>-0.18062051470827561</v>
      </c>
      <c r="D155" s="3">
        <f t="shared" si="26"/>
        <v>1.2104888830222435E-2</v>
      </c>
      <c r="E155" s="2">
        <f t="shared" si="27"/>
        <v>1.2165413274373548E-2</v>
      </c>
      <c r="F155" s="2">
        <f t="shared" si="28"/>
        <v>1.2165715896594303E-2</v>
      </c>
      <c r="G155" s="14">
        <f t="shared" si="29"/>
        <v>1.2226545989188379E-2</v>
      </c>
      <c r="H155" s="1">
        <f t="shared" si="38"/>
        <v>1.2104888830222435E-2</v>
      </c>
      <c r="I155" s="1">
        <f t="shared" si="30"/>
        <v>0.88023613916993737</v>
      </c>
      <c r="J155" s="1">
        <f t="shared" si="31"/>
        <v>0.85901272029747056</v>
      </c>
      <c r="K155" s="1">
        <f t="shared" si="32"/>
        <v>0.85952463665430645</v>
      </c>
      <c r="L155" s="14">
        <f t="shared" si="33"/>
        <v>0.83877256436622472</v>
      </c>
      <c r="M155" s="7">
        <f t="shared" si="34"/>
        <v>-9.9768078625193279</v>
      </c>
    </row>
    <row r="156" spans="1:13" x14ac:dyDescent="0.25">
      <c r="A156" s="1">
        <f t="shared" si="35"/>
        <v>1.4600000000000011</v>
      </c>
      <c r="B156" s="4">
        <f t="shared" si="36"/>
        <v>-10.341822802016106</v>
      </c>
      <c r="C156" s="43">
        <f t="shared" si="37"/>
        <v>-0.18049885855300671</v>
      </c>
      <c r="D156" s="3">
        <f t="shared" si="26"/>
        <v>2.0698361192621962E-2</v>
      </c>
      <c r="E156" s="2">
        <f t="shared" si="27"/>
        <v>2.0801852998585071E-2</v>
      </c>
      <c r="F156" s="2">
        <f t="shared" si="28"/>
        <v>2.0802370457614888E-2</v>
      </c>
      <c r="G156" s="14">
        <f t="shared" si="29"/>
        <v>2.0906384897198111E-2</v>
      </c>
      <c r="H156" s="1">
        <f t="shared" si="38"/>
        <v>2.0698361192621962E-2</v>
      </c>
      <c r="I156" s="1">
        <f t="shared" si="30"/>
        <v>0.87964971485202059</v>
      </c>
      <c r="J156" s="1">
        <f t="shared" si="31"/>
        <v>0.85843997571011799</v>
      </c>
      <c r="K156" s="1">
        <f t="shared" si="32"/>
        <v>0.85895157292517887</v>
      </c>
      <c r="L156" s="14">
        <f t="shared" si="33"/>
        <v>0.83821290783020952</v>
      </c>
      <c r="M156" s="7">
        <f t="shared" si="34"/>
        <v>-9.9592977122681852</v>
      </c>
    </row>
    <row r="157" spans="1:13" x14ac:dyDescent="0.25">
      <c r="A157" s="1">
        <f t="shared" si="35"/>
        <v>1.4700000000000011</v>
      </c>
      <c r="B157" s="4">
        <f t="shared" si="36"/>
        <v>-10.329904020038475</v>
      </c>
      <c r="C157" s="43">
        <f t="shared" si="37"/>
        <v>-0.18029083656466968</v>
      </c>
      <c r="D157" s="3">
        <f t="shared" si="26"/>
        <v>2.9286104059210005E-2</v>
      </c>
      <c r="E157" s="2">
        <f t="shared" si="27"/>
        <v>2.9432534579506054E-2</v>
      </c>
      <c r="F157" s="2">
        <f t="shared" si="28"/>
        <v>2.9433266732107534E-2</v>
      </c>
      <c r="G157" s="14">
        <f t="shared" si="29"/>
        <v>2.958043672653108E-2</v>
      </c>
      <c r="H157" s="1">
        <f t="shared" si="38"/>
        <v>2.9286104059210005E-2</v>
      </c>
      <c r="I157" s="1">
        <f t="shared" si="30"/>
        <v>0.87864694749242833</v>
      </c>
      <c r="J157" s="1">
        <f t="shared" si="31"/>
        <v>0.85746060241740774</v>
      </c>
      <c r="K157" s="1">
        <f t="shared" si="32"/>
        <v>0.85797165380842277</v>
      </c>
      <c r="L157" s="14">
        <f t="shared" si="33"/>
        <v>0.83725591655734166</v>
      </c>
      <c r="M157" s="7">
        <f t="shared" si="34"/>
        <v>-9.9369077054037227</v>
      </c>
    </row>
    <row r="158" spans="1:13" x14ac:dyDescent="0.25">
      <c r="A158" s="1">
        <f t="shared" si="35"/>
        <v>1.4800000000000011</v>
      </c>
      <c r="B158" s="4">
        <f t="shared" si="36"/>
        <v>-10.313040139559842</v>
      </c>
      <c r="C158" s="43">
        <f t="shared" si="37"/>
        <v>-0.17999650632565473</v>
      </c>
      <c r="D158" s="3">
        <f t="shared" si="26"/>
        <v>3.7864049686712392E-2</v>
      </c>
      <c r="E158" s="2">
        <f t="shared" si="27"/>
        <v>3.8053369935145957E-2</v>
      </c>
      <c r="F158" s="2">
        <f t="shared" si="28"/>
        <v>3.8054316536388119E-2</v>
      </c>
      <c r="G158" s="14">
        <f t="shared" si="29"/>
        <v>3.8244592852076272E-2</v>
      </c>
      <c r="H158" s="1">
        <f t="shared" si="38"/>
        <v>3.7864049686712392E-2</v>
      </c>
      <c r="I158" s="1">
        <f t="shared" si="30"/>
        <v>0.87722806735678549</v>
      </c>
      <c r="J158" s="1">
        <f t="shared" si="31"/>
        <v>0.85607482869008722</v>
      </c>
      <c r="K158" s="1">
        <f t="shared" si="32"/>
        <v>0.85658510754083761</v>
      </c>
      <c r="L158" s="14">
        <f t="shared" si="33"/>
        <v>0.83590181659472063</v>
      </c>
      <c r="M158" s="7">
        <f t="shared" si="34"/>
        <v>-9.9096488125813256</v>
      </c>
    </row>
    <row r="159" spans="1:13" x14ac:dyDescent="0.25">
      <c r="A159" s="1">
        <f t="shared" si="35"/>
        <v>1.4900000000000011</v>
      </c>
      <c r="B159" s="4">
        <f t="shared" si="36"/>
        <v>-10.291236802145525</v>
      </c>
      <c r="C159" s="43">
        <f t="shared" si="37"/>
        <v>-0.17961596629985163</v>
      </c>
      <c r="D159" s="3">
        <f t="shared" si="26"/>
        <v>4.6428132614067988E-2</v>
      </c>
      <c r="E159" s="2">
        <f t="shared" si="27"/>
        <v>4.6660273277138328E-2</v>
      </c>
      <c r="F159" s="2">
        <f t="shared" si="28"/>
        <v>4.6661433980453679E-2</v>
      </c>
      <c r="G159" s="14">
        <f t="shared" si="29"/>
        <v>4.6894746953872524E-2</v>
      </c>
      <c r="H159" s="1">
        <f t="shared" si="38"/>
        <v>4.6428132614067988E-2</v>
      </c>
      <c r="I159" s="1">
        <f t="shared" si="30"/>
        <v>0.87539348238800652</v>
      </c>
      <c r="J159" s="1">
        <f t="shared" si="31"/>
        <v>0.85428305771575974</v>
      </c>
      <c r="K159" s="1">
        <f t="shared" si="32"/>
        <v>0.8547923373074533</v>
      </c>
      <c r="L159" s="14">
        <f t="shared" si="33"/>
        <v>0.83415100613602378</v>
      </c>
      <c r="M159" s="7">
        <f t="shared" si="34"/>
        <v>-9.8775343901130821</v>
      </c>
    </row>
    <row r="160" spans="1:13" x14ac:dyDescent="0.25">
      <c r="A160" s="1">
        <f t="shared" si="35"/>
        <v>1.5000000000000011</v>
      </c>
      <c r="B160" s="4">
        <f t="shared" si="36"/>
        <v>-10.264501990384053</v>
      </c>
      <c r="C160" s="43">
        <f t="shared" si="37"/>
        <v>-0.17914935580971308</v>
      </c>
      <c r="D160" s="3">
        <f t="shared" si="26"/>
        <v>5.4974291411685416E-2</v>
      </c>
      <c r="E160" s="2">
        <f t="shared" si="27"/>
        <v>5.5249162868743845E-2</v>
      </c>
      <c r="F160" s="2">
        <f t="shared" si="28"/>
        <v>5.5250537226029135E-2</v>
      </c>
      <c r="G160" s="14">
        <f t="shared" si="29"/>
        <v>5.552679678394571E-2</v>
      </c>
      <c r="H160" s="1">
        <f t="shared" si="38"/>
        <v>5.4974291411685416E-2</v>
      </c>
      <c r="I160" s="1">
        <f t="shared" si="30"/>
        <v>0.87314377838090029</v>
      </c>
      <c r="J160" s="1">
        <f t="shared" si="31"/>
        <v>0.85208586774952988</v>
      </c>
      <c r="K160" s="1">
        <f t="shared" si="32"/>
        <v>0.85259392139318046</v>
      </c>
      <c r="L160" s="14">
        <f t="shared" si="33"/>
        <v>0.83200405565100799</v>
      </c>
      <c r="M160" s="7">
        <f t="shared" si="34"/>
        <v>-9.8405801734234561</v>
      </c>
    </row>
    <row r="161" spans="1:13" x14ac:dyDescent="0.25">
      <c r="A161" s="1">
        <f t="shared" si="35"/>
        <v>1.5100000000000011</v>
      </c>
      <c r="B161" s="4">
        <f t="shared" si="36"/>
        <v>-10.232846025565728</v>
      </c>
      <c r="C161" s="43">
        <f t="shared" si="37"/>
        <v>-0.1785968549957378</v>
      </c>
      <c r="D161" s="3">
        <f t="shared" si="26"/>
        <v>6.3498470432214293E-2</v>
      </c>
      <c r="E161" s="2">
        <f t="shared" si="27"/>
        <v>6.381596278437536E-2</v>
      </c>
      <c r="F161" s="2">
        <f t="shared" si="28"/>
        <v>6.3817550246136168E-2</v>
      </c>
      <c r="G161" s="14">
        <f t="shared" si="29"/>
        <v>6.4136645934675648E-2</v>
      </c>
      <c r="H161" s="1">
        <f t="shared" si="38"/>
        <v>6.3498470432214293E-2</v>
      </c>
      <c r="I161" s="1">
        <f t="shared" si="30"/>
        <v>0.87047971916313371</v>
      </c>
      <c r="J161" s="1">
        <f t="shared" si="31"/>
        <v>0.84948401226448278</v>
      </c>
      <c r="K161" s="1">
        <f t="shared" si="32"/>
        <v>0.84999061333459269</v>
      </c>
      <c r="L161" s="14">
        <f t="shared" si="33"/>
        <v>0.82946170800917707</v>
      </c>
      <c r="M161" s="7">
        <f t="shared" si="34"/>
        <v>-9.7988042693392448</v>
      </c>
    </row>
    <row r="162" spans="1:13" x14ac:dyDescent="0.25">
      <c r="A162" s="1">
        <f t="shared" si="35"/>
        <v>1.5200000000000011</v>
      </c>
      <c r="B162" s="4">
        <f t="shared" si="36"/>
        <v>-10.196281564353001</v>
      </c>
      <c r="C162" s="43">
        <f t="shared" si="37"/>
        <v>-0.17795868475835794</v>
      </c>
      <c r="D162" s="3">
        <f t="shared" si="26"/>
        <v>7.1996621562831722E-2</v>
      </c>
      <c r="E162" s="2">
        <f t="shared" si="27"/>
        <v>7.2356604670645877E-2</v>
      </c>
      <c r="F162" s="2">
        <f t="shared" si="28"/>
        <v>7.2358404586184949E-2</v>
      </c>
      <c r="G162" s="14">
        <f t="shared" si="29"/>
        <v>7.2720205608693578E-2</v>
      </c>
      <c r="H162" s="1">
        <f t="shared" si="38"/>
        <v>7.1996621562831722E-2</v>
      </c>
      <c r="I162" s="1">
        <f t="shared" si="30"/>
        <v>0.8674022467810264</v>
      </c>
      <c r="J162" s="1">
        <f t="shared" si="31"/>
        <v>0.84647842010059982</v>
      </c>
      <c r="K162" s="1">
        <f t="shared" si="32"/>
        <v>0.84698334207043513</v>
      </c>
      <c r="L162" s="14">
        <f t="shared" si="33"/>
        <v>0.82652487859633328</v>
      </c>
      <c r="M162" s="7">
        <f t="shared" si="34"/>
        <v>-9.7522271472175959</v>
      </c>
    </row>
    <row r="163" spans="1:13" x14ac:dyDescent="0.25">
      <c r="A163" s="1">
        <f t="shared" si="35"/>
        <v>1.5300000000000011</v>
      </c>
      <c r="B163" s="4">
        <f t="shared" si="36"/>
        <v>-10.154823594441869</v>
      </c>
      <c r="C163" s="43">
        <f t="shared" si="37"/>
        <v>-0.17723510668221595</v>
      </c>
      <c r="D163" s="3">
        <f t="shared" si="26"/>
        <v>8.0464705979030771E-2</v>
      </c>
      <c r="E163" s="2">
        <f t="shared" si="27"/>
        <v>8.0867029508925922E-2</v>
      </c>
      <c r="F163" s="2">
        <f t="shared" si="28"/>
        <v>8.0869041126575406E-2</v>
      </c>
      <c r="G163" s="14">
        <f t="shared" si="29"/>
        <v>8.1273396390296529E-2</v>
      </c>
      <c r="H163" s="1">
        <f t="shared" si="38"/>
        <v>8.0464705979030771E-2</v>
      </c>
      <c r="I163" s="1">
        <f t="shared" si="30"/>
        <v>0.86391248168827006</v>
      </c>
      <c r="J163" s="1">
        <f t="shared" si="31"/>
        <v>0.84307019561036456</v>
      </c>
      <c r="K163" s="1">
        <f t="shared" si="32"/>
        <v>0.84357321208911074</v>
      </c>
      <c r="L163" s="14">
        <f t="shared" si="33"/>
        <v>0.82319465542241466</v>
      </c>
      <c r="M163" s="7">
        <f t="shared" si="34"/>
        <v>-9.7008716289164365</v>
      </c>
    </row>
    <row r="164" spans="1:13" x14ac:dyDescent="0.25">
      <c r="A164" s="1">
        <f t="shared" si="35"/>
        <v>1.5400000000000011</v>
      </c>
      <c r="B164" s="4">
        <f t="shared" si="36"/>
        <v>-10.10848942921336</v>
      </c>
      <c r="C164" s="43">
        <f t="shared" si="37"/>
        <v>-0.17642642294281541</v>
      </c>
      <c r="D164" s="3">
        <f t="shared" si="26"/>
        <v>8.889869589988017E-2</v>
      </c>
      <c r="E164" s="2">
        <f t="shared" si="27"/>
        <v>8.9343189379379573E-2</v>
      </c>
      <c r="F164" s="2">
        <f t="shared" si="28"/>
        <v>8.9345411846777065E-2</v>
      </c>
      <c r="G164" s="14">
        <f t="shared" si="29"/>
        <v>8.9792150018347935E-2</v>
      </c>
      <c r="H164" s="1">
        <f t="shared" si="38"/>
        <v>8.889869589988017E-2</v>
      </c>
      <c r="I164" s="1">
        <f t="shared" si="30"/>
        <v>0.86001172293528483</v>
      </c>
      <c r="J164" s="1">
        <f t="shared" si="31"/>
        <v>0.83926061879897584</v>
      </c>
      <c r="K164" s="1">
        <f t="shared" si="32"/>
        <v>0.83976150357105317</v>
      </c>
      <c r="L164" s="14">
        <f t="shared" si="33"/>
        <v>0.81947229921871256</v>
      </c>
      <c r="M164" s="7">
        <f t="shared" si="34"/>
        <v>-9.6447628776122123</v>
      </c>
    </row>
    <row r="165" spans="1:13" x14ac:dyDescent="0.25">
      <c r="A165" s="1">
        <f t="shared" si="35"/>
        <v>1.5500000000000012</v>
      </c>
      <c r="B165" s="4">
        <f t="shared" si="36"/>
        <v>-10.057298701374283</v>
      </c>
      <c r="C165" s="43">
        <f t="shared" si="37"/>
        <v>-0.17553297619553118</v>
      </c>
      <c r="D165" s="3">
        <f t="shared" si="26"/>
        <v>9.7294576344703593E-2</v>
      </c>
      <c r="E165" s="2">
        <f t="shared" si="27"/>
        <v>9.7781049226427108E-2</v>
      </c>
      <c r="F165" s="2">
        <f t="shared" si="28"/>
        <v>9.7783481590835733E-2</v>
      </c>
      <c r="G165" s="14">
        <f t="shared" si="29"/>
        <v>9.8272411160611944E-2</v>
      </c>
      <c r="H165" s="1">
        <f t="shared" si="38"/>
        <v>9.7294576344703593E-2</v>
      </c>
      <c r="I165" s="1">
        <f t="shared" si="30"/>
        <v>0.85570144835657291</v>
      </c>
      <c r="J165" s="1">
        <f t="shared" si="31"/>
        <v>0.83505114545674952</v>
      </c>
      <c r="K165" s="1">
        <f t="shared" si="32"/>
        <v>0.83554967252355605</v>
      </c>
      <c r="L165" s="14">
        <f t="shared" si="33"/>
        <v>0.81535924352225919</v>
      </c>
      <c r="M165" s="7">
        <f t="shared" si="34"/>
        <v>-9.5839283854704327</v>
      </c>
    </row>
    <row r="166" spans="1:13" x14ac:dyDescent="0.25">
      <c r="A166" s="1">
        <f t="shared" si="35"/>
        <v>1.5600000000000012</v>
      </c>
      <c r="B166" s="4">
        <f t="shared" si="36"/>
        <v>-10.001273355586429</v>
      </c>
      <c r="C166" s="43">
        <f t="shared" si="37"/>
        <v>-0.17455514944696479</v>
      </c>
      <c r="D166" s="3">
        <f t="shared" si="26"/>
        <v>0.10564834689110267</v>
      </c>
      <c r="E166" s="2">
        <f t="shared" si="27"/>
        <v>0.10617658862555818</v>
      </c>
      <c r="F166" s="2">
        <f t="shared" si="28"/>
        <v>0.10617922983423046</v>
      </c>
      <c r="G166" s="14">
        <f t="shared" si="29"/>
        <v>0.10671013918944497</v>
      </c>
      <c r="H166" s="1">
        <f t="shared" si="38"/>
        <v>0.10564834689110267</v>
      </c>
      <c r="I166" s="1">
        <f t="shared" si="30"/>
        <v>0.85098331475306244</v>
      </c>
      <c r="J166" s="1">
        <f t="shared" si="31"/>
        <v>0.83044340728097188</v>
      </c>
      <c r="K166" s="1">
        <f t="shared" si="32"/>
        <v>0.8309393509053179</v>
      </c>
      <c r="L166" s="14">
        <f t="shared" si="33"/>
        <v>0.81085709474488232</v>
      </c>
      <c r="M166" s="7">
        <f t="shared" si="34"/>
        <v>-9.5183979601750774</v>
      </c>
    </row>
    <row r="167" spans="1:13" x14ac:dyDescent="0.25">
      <c r="A167" s="1">
        <f t="shared" si="35"/>
        <v>1.5700000000000012</v>
      </c>
      <c r="B167" s="4">
        <f t="shared" si="36"/>
        <v>-9.9404376400834487</v>
      </c>
      <c r="C167" s="43">
        <f t="shared" si="37"/>
        <v>-0.17349336590863124</v>
      </c>
      <c r="D167" s="3">
        <f t="shared" si="26"/>
        <v>0.1139560234342202</v>
      </c>
      <c r="E167" s="2">
        <f t="shared" si="27"/>
        <v>0.1145258035513913</v>
      </c>
      <c r="F167" s="2">
        <f t="shared" si="28"/>
        <v>0.11452865245197716</v>
      </c>
      <c r="G167" s="14">
        <f t="shared" si="29"/>
        <v>0.11510130995873998</v>
      </c>
      <c r="H167" s="1">
        <f t="shared" si="38"/>
        <v>0.1139560234342202</v>
      </c>
      <c r="I167" s="1">
        <f t="shared" si="30"/>
        <v>0.84585915806610279</v>
      </c>
      <c r="J167" s="1">
        <f t="shared" si="31"/>
        <v>0.82543921198415615</v>
      </c>
      <c r="K167" s="1">
        <f t="shared" si="32"/>
        <v>0.82593234673763738</v>
      </c>
      <c r="L167" s="14">
        <f t="shared" si="33"/>
        <v>0.80596763222414514</v>
      </c>
      <c r="M167" s="7">
        <f t="shared" si="34"/>
        <v>-9.4482037103234049</v>
      </c>
    </row>
    <row r="168" spans="1:13" x14ac:dyDescent="0.25">
      <c r="A168" s="1">
        <f t="shared" si="35"/>
        <v>1.5800000000000012</v>
      </c>
      <c r="B168" s="4">
        <f t="shared" si="36"/>
        <v>-9.8748180972746926</v>
      </c>
      <c r="C168" s="43">
        <f t="shared" si="37"/>
        <v>-0.17234808883296507</v>
      </c>
      <c r="D168" s="3">
        <f t="shared" si="26"/>
        <v>0.12221363994710993</v>
      </c>
      <c r="E168" s="2">
        <f t="shared" si="27"/>
        <v>0.12282470814684548</v>
      </c>
      <c r="F168" s="2">
        <f t="shared" si="28"/>
        <v>0.12282776348784416</v>
      </c>
      <c r="G168" s="14">
        <f t="shared" si="29"/>
        <v>0.12344191758198837</v>
      </c>
      <c r="H168" s="1">
        <f t="shared" si="38"/>
        <v>0.12221363994710993</v>
      </c>
      <c r="I168" s="1">
        <f t="shared" si="30"/>
        <v>0.84033099353943985</v>
      </c>
      <c r="J168" s="1">
        <f t="shared" si="31"/>
        <v>0.82004054338535637</v>
      </c>
      <c r="K168" s="1">
        <f t="shared" si="32"/>
        <v>0.82053064419890342</v>
      </c>
      <c r="L168" s="14">
        <f t="shared" si="33"/>
        <v>0.80069280825311218</v>
      </c>
      <c r="M168" s="7">
        <f t="shared" si="34"/>
        <v>-9.3733800296933971</v>
      </c>
    </row>
    <row r="169" spans="1:13" x14ac:dyDescent="0.25">
      <c r="A169" s="1">
        <f t="shared" si="35"/>
        <v>1.5900000000000012</v>
      </c>
      <c r="B169" s="4">
        <f t="shared" si="36"/>
        <v>-9.8044435533353589</v>
      </c>
      <c r="C169" s="43">
        <f t="shared" si="37"/>
        <v>-0.17111982133163428</v>
      </c>
      <c r="D169" s="3">
        <f t="shared" si="26"/>
        <v>0.13041725024204506</v>
      </c>
      <c r="E169" s="2">
        <f t="shared" si="27"/>
        <v>0.13106933649325528</v>
      </c>
      <c r="F169" s="2">
        <f t="shared" si="28"/>
        <v>0.13107259692451134</v>
      </c>
      <c r="G169" s="14">
        <f t="shared" si="29"/>
        <v>0.13172797621129018</v>
      </c>
      <c r="H169" s="1">
        <f t="shared" si="38"/>
        <v>0.13041725024204506</v>
      </c>
      <c r="I169" s="1">
        <f t="shared" si="30"/>
        <v>0.834401015865187</v>
      </c>
      <c r="J169" s="1">
        <f t="shared" si="31"/>
        <v>0.81424956148090588</v>
      </c>
      <c r="K169" s="1">
        <f t="shared" si="32"/>
        <v>0.81473640369873657</v>
      </c>
      <c r="L169" s="14">
        <f t="shared" si="33"/>
        <v>0.79503474808563124</v>
      </c>
      <c r="M169" s="7">
        <f t="shared" si="34"/>
        <v>-9.293963580391484</v>
      </c>
    </row>
    <row r="170" spans="1:13" x14ac:dyDescent="0.25">
      <c r="A170" s="1">
        <f t="shared" si="35"/>
        <v>1.6000000000000012</v>
      </c>
      <c r="B170" s="4">
        <f t="shared" si="36"/>
        <v>-9.7293451067824375</v>
      </c>
      <c r="C170" s="43">
        <f t="shared" si="37"/>
        <v>-0.16980910617615283</v>
      </c>
      <c r="D170" s="3">
        <f t="shared" si="26"/>
        <v>0.1385629297325619</v>
      </c>
      <c r="E170" s="2">
        <f t="shared" si="27"/>
        <v>0.13925574438122471</v>
      </c>
      <c r="F170" s="2">
        <f t="shared" si="28"/>
        <v>0.13925920845446801</v>
      </c>
      <c r="G170" s="14">
        <f t="shared" si="29"/>
        <v>0.13995552181710658</v>
      </c>
      <c r="H170" s="1">
        <f t="shared" si="38"/>
        <v>0.1385629297325619</v>
      </c>
      <c r="I170" s="1">
        <f t="shared" si="30"/>
        <v>0.82807159930951413</v>
      </c>
      <c r="J170" s="1">
        <f t="shared" si="31"/>
        <v>0.80806860249068724</v>
      </c>
      <c r="K170" s="1">
        <f t="shared" si="32"/>
        <v>0.80855196192786805</v>
      </c>
      <c r="L170" s="14">
        <f t="shared" si="33"/>
        <v>0.78899574991357613</v>
      </c>
      <c r="M170" s="7">
        <f t="shared" si="34"/>
        <v>-9.2099932748888662</v>
      </c>
    </row>
    <row r="171" spans="1:13" x14ac:dyDescent="0.25">
      <c r="A171" s="1">
        <f t="shared" si="35"/>
        <v>1.6100000000000012</v>
      </c>
      <c r="B171" s="4">
        <f t="shared" si="36"/>
        <v>-9.6495561160360115</v>
      </c>
      <c r="C171" s="43">
        <f t="shared" si="37"/>
        <v>-0.1684165255807844</v>
      </c>
      <c r="D171" s="3">
        <f t="shared" si="26"/>
        <v>0.14664677719599556</v>
      </c>
      <c r="E171" s="2">
        <f t="shared" si="27"/>
        <v>0.14738001108197554</v>
      </c>
      <c r="F171" s="2">
        <f t="shared" si="28"/>
        <v>0.14738367725140544</v>
      </c>
      <c r="G171" s="14">
        <f t="shared" si="29"/>
        <v>0.14812061396850962</v>
      </c>
      <c r="H171" s="1">
        <f t="shared" si="38"/>
        <v>0.14664677719599556</v>
      </c>
      <c r="I171" s="1">
        <f t="shared" si="30"/>
        <v>0.82134529781349741</v>
      </c>
      <c r="J171" s="1">
        <f t="shared" si="31"/>
        <v>0.80150017887578084</v>
      </c>
      <c r="K171" s="1">
        <f t="shared" si="32"/>
        <v>0.80197983187959565</v>
      </c>
      <c r="L171" s="14">
        <f t="shared" si="33"/>
        <v>0.78257828481226288</v>
      </c>
      <c r="M171" s="7">
        <f t="shared" si="34"/>
        <v>-9.1215102569551583</v>
      </c>
    </row>
    <row r="172" spans="1:13" x14ac:dyDescent="0.25">
      <c r="A172" s="1">
        <f t="shared" si="35"/>
        <v>1.6200000000000012</v>
      </c>
      <c r="B172" s="4">
        <f t="shared" si="36"/>
        <v>-9.5651121859656243</v>
      </c>
      <c r="C172" s="43">
        <f t="shared" si="37"/>
        <v>-0.16694270096773228</v>
      </c>
      <c r="D172" s="3">
        <f t="shared" si="26"/>
        <v>0.15466491653622308</v>
      </c>
      <c r="E172" s="2">
        <f t="shared" si="27"/>
        <v>0.1554382411189042</v>
      </c>
      <c r="F172" s="2">
        <f t="shared" si="28"/>
        <v>0.1554421077418176</v>
      </c>
      <c r="G172" s="14">
        <f t="shared" si="29"/>
        <v>0.15621933761364126</v>
      </c>
      <c r="H172" s="1">
        <f t="shared" si="38"/>
        <v>0.15466491653622308</v>
      </c>
      <c r="I172" s="1">
        <f t="shared" si="30"/>
        <v>0.8142248450643127</v>
      </c>
      <c r="J172" s="1">
        <f t="shared" si="31"/>
        <v>0.7945469793231128</v>
      </c>
      <c r="K172" s="1">
        <f t="shared" si="32"/>
        <v>0.79502270283841314</v>
      </c>
      <c r="L172" s="14">
        <f t="shared" si="33"/>
        <v>0.77578499665005274</v>
      </c>
      <c r="M172" s="7">
        <f t="shared" si="34"/>
        <v>-9.0285578814987772</v>
      </c>
    </row>
    <row r="173" spans="1:13" x14ac:dyDescent="0.25">
      <c r="A173" s="1">
        <f t="shared" si="35"/>
        <v>1.6300000000000012</v>
      </c>
      <c r="B173" s="4">
        <f t="shared" si="36"/>
        <v>-9.4760511534216114</v>
      </c>
      <c r="C173" s="43">
        <f t="shared" si="37"/>
        <v>-0.16538829271461344</v>
      </c>
      <c r="D173" s="3">
        <f t="shared" si="26"/>
        <v>0.16261349854628543</v>
      </c>
      <c r="E173" s="2">
        <f t="shared" si="27"/>
        <v>0.16342656603901687</v>
      </c>
      <c r="F173" s="2">
        <f t="shared" si="28"/>
        <v>0.16343063137648051</v>
      </c>
      <c r="G173" s="14">
        <f t="shared" si="29"/>
        <v>0.16424780486005022</v>
      </c>
      <c r="H173" s="1">
        <f t="shared" si="38"/>
        <v>0.16261349854628543</v>
      </c>
      <c r="I173" s="1">
        <f t="shared" si="30"/>
        <v>0.80671315453172254</v>
      </c>
      <c r="J173" s="1">
        <f t="shared" si="31"/>
        <v>0.78721186869250481</v>
      </c>
      <c r="K173" s="1">
        <f t="shared" si="32"/>
        <v>0.78768344033120463</v>
      </c>
      <c r="L173" s="14">
        <f t="shared" si="33"/>
        <v>0.76861870195794857</v>
      </c>
      <c r="M173" s="7">
        <f t="shared" si="34"/>
        <v>-8.9311816933239072</v>
      </c>
    </row>
    <row r="174" spans="1:13" x14ac:dyDescent="0.25">
      <c r="A174" s="1">
        <f t="shared" si="35"/>
        <v>1.6400000000000012</v>
      </c>
      <c r="B174" s="4">
        <f t="shared" si="36"/>
        <v>-9.3824130717514578</v>
      </c>
      <c r="C174" s="43">
        <f t="shared" si="37"/>
        <v>-0.1637539998842179</v>
      </c>
      <c r="D174" s="3">
        <f t="shared" si="26"/>
        <v>0.17048870267051391</v>
      </c>
      <c r="E174" s="2">
        <f t="shared" si="27"/>
        <v>0.17134114618386648</v>
      </c>
      <c r="F174" s="2">
        <f t="shared" si="28"/>
        <v>0.17134540840143325</v>
      </c>
      <c r="G174" s="14">
        <f t="shared" si="29"/>
        <v>0.17220215675452824</v>
      </c>
      <c r="H174" s="1">
        <f t="shared" si="38"/>
        <v>0.17048870267051391</v>
      </c>
      <c r="I174" s="1">
        <f t="shared" si="30"/>
        <v>0.79881331946458445</v>
      </c>
      <c r="J174" s="1">
        <f t="shared" si="31"/>
        <v>0.77949788792133656</v>
      </c>
      <c r="K174" s="1">
        <f t="shared" si="32"/>
        <v>0.77996508603619208</v>
      </c>
      <c r="L174" s="14">
        <f t="shared" si="33"/>
        <v>0.76108238975482745</v>
      </c>
      <c r="M174" s="7">
        <f t="shared" si="34"/>
        <v>-8.8294294048144533</v>
      </c>
    </row>
    <row r="175" spans="1:13" x14ac:dyDescent="0.25">
      <c r="A175" s="1">
        <f t="shared" si="35"/>
        <v>1.6500000000000012</v>
      </c>
      <c r="B175" s="4">
        <f t="shared" si="36"/>
        <v>-9.2842401943014572</v>
      </c>
      <c r="C175" s="43">
        <f t="shared" si="37"/>
        <v>-0.1620405599365585</v>
      </c>
      <c r="D175" s="3">
        <f t="shared" si="26"/>
        <v>0.17828673876573803</v>
      </c>
      <c r="E175" s="2">
        <f t="shared" si="27"/>
        <v>0.17917817245956671</v>
      </c>
      <c r="F175" s="2">
        <f t="shared" si="28"/>
        <v>0.17918262962803586</v>
      </c>
      <c r="G175" s="14">
        <f t="shared" si="29"/>
        <v>0.18007856506201839</v>
      </c>
      <c r="H175" s="1">
        <f t="shared" si="38"/>
        <v>0.17828673876573803</v>
      </c>
      <c r="I175" s="1">
        <f t="shared" si="30"/>
        <v>0.79052861284192344</v>
      </c>
      <c r="J175" s="1">
        <f t="shared" si="31"/>
        <v>0.77140825388186207</v>
      </c>
      <c r="K175" s="1">
        <f t="shared" si="32"/>
        <v>0.7718708576446589</v>
      </c>
      <c r="L175" s="14">
        <f t="shared" si="33"/>
        <v>0.75317922132379389</v>
      </c>
      <c r="M175" s="7">
        <f t="shared" si="34"/>
        <v>-8.7233508725559172</v>
      </c>
    </row>
    <row r="176" spans="1:13" x14ac:dyDescent="0.25">
      <c r="A176" s="1">
        <f t="shared" si="35"/>
        <v>1.6600000000000013</v>
      </c>
      <c r="B176" s="4">
        <f t="shared" si="36"/>
        <v>-9.1815769569042249</v>
      </c>
      <c r="C176" s="43">
        <f t="shared" si="37"/>
        <v>-0.16024874842322023</v>
      </c>
      <c r="D176" s="3">
        <f t="shared" si="26"/>
        <v>0.18600384886110263</v>
      </c>
      <c r="E176" s="2">
        <f t="shared" si="27"/>
        <v>0.18693386810540816</v>
      </c>
      <c r="F176" s="2">
        <f t="shared" si="28"/>
        <v>0.18693851820162968</v>
      </c>
      <c r="G176" s="14">
        <f t="shared" si="29"/>
        <v>0.18787323404311893</v>
      </c>
      <c r="H176" s="1">
        <f t="shared" si="38"/>
        <v>0.18600384886110263</v>
      </c>
      <c r="I176" s="1">
        <f t="shared" si="30"/>
        <v>0.7818624872729365</v>
      </c>
      <c r="J176" s="1">
        <f t="shared" si="31"/>
        <v>0.76294635918606535</v>
      </c>
      <c r="K176" s="1">
        <f t="shared" si="32"/>
        <v>0.76340414867031592</v>
      </c>
      <c r="L176" s="14">
        <f t="shared" si="33"/>
        <v>0.74491252993500734</v>
      </c>
      <c r="M176" s="7">
        <f t="shared" si="34"/>
        <v>-8.6129980729066915</v>
      </c>
    </row>
    <row r="177" spans="1:13" x14ac:dyDescent="0.25">
      <c r="A177" s="1">
        <f t="shared" si="35"/>
        <v>1.6700000000000013</v>
      </c>
      <c r="B177" s="4">
        <f t="shared" si="36"/>
        <v>-9.0744699593528413</v>
      </c>
      <c r="C177" s="43">
        <f t="shared" si="37"/>
        <v>-0.15837937866402307</v>
      </c>
      <c r="D177" s="3">
        <f t="shared" si="26"/>
        <v>0.19363630891597047</v>
      </c>
      <c r="E177" s="2">
        <f t="shared" si="27"/>
        <v>0.19460449046055034</v>
      </c>
      <c r="F177" s="2">
        <f t="shared" si="28"/>
        <v>0.19460933136827321</v>
      </c>
      <c r="G177" s="14">
        <f t="shared" si="29"/>
        <v>0.1955824022296532</v>
      </c>
      <c r="H177" s="1">
        <f t="shared" si="38"/>
        <v>0.19363630891597047</v>
      </c>
      <c r="I177" s="1">
        <f t="shared" si="30"/>
        <v>0.77281857484015948</v>
      </c>
      <c r="J177" s="1">
        <f t="shared" si="31"/>
        <v>0.75411577193282031</v>
      </c>
      <c r="K177" s="1">
        <f t="shared" si="32"/>
        <v>0.7545685282010518</v>
      </c>
      <c r="L177" s="14">
        <f t="shared" si="33"/>
        <v>0.73628582051021785</v>
      </c>
      <c r="M177" s="7">
        <f t="shared" si="34"/>
        <v>-8.4984250765306655</v>
      </c>
    </row>
    <row r="178" spans="1:13" x14ac:dyDescent="0.25">
      <c r="A178" s="1">
        <f t="shared" si="35"/>
        <v>1.6800000000000013</v>
      </c>
      <c r="B178" s="4">
        <f t="shared" si="36"/>
        <v>-8.9629679458627383</v>
      </c>
      <c r="C178" s="43">
        <f t="shared" si="37"/>
        <v>-0.15643330140601763</v>
      </c>
      <c r="D178" s="3">
        <f t="shared" si="26"/>
        <v>0.201180430575334</v>
      </c>
      <c r="E178" s="2">
        <f t="shared" si="27"/>
        <v>0.20218633272821065</v>
      </c>
      <c r="F178" s="2">
        <f t="shared" si="28"/>
        <v>0.20219136223897505</v>
      </c>
      <c r="G178" s="14">
        <f t="shared" si="29"/>
        <v>0.20320234419772373</v>
      </c>
      <c r="H178" s="1">
        <f t="shared" si="38"/>
        <v>0.201180430575334</v>
      </c>
      <c r="I178" s="1">
        <f t="shared" si="30"/>
        <v>0.76340068687990437</v>
      </c>
      <c r="J178" s="1">
        <f t="shared" si="31"/>
        <v>0.74492023539201457</v>
      </c>
      <c r="K178" s="1">
        <f t="shared" si="32"/>
        <v>0.74536774058770761</v>
      </c>
      <c r="L178" s="14">
        <f t="shared" si="33"/>
        <v>0.7273027692241677</v>
      </c>
      <c r="M178" s="7">
        <f t="shared" si="34"/>
        <v>-8.3796880219036822</v>
      </c>
    </row>
    <row r="179" spans="1:13" x14ac:dyDescent="0.25">
      <c r="A179" s="1">
        <f t="shared" si="35"/>
        <v>1.6900000000000013</v>
      </c>
      <c r="B179" s="4">
        <f t="shared" si="36"/>
        <v>-8.8471217845227663</v>
      </c>
      <c r="C179" s="43">
        <f t="shared" si="37"/>
        <v>-0.15441140446483859</v>
      </c>
      <c r="D179" s="3">
        <f t="shared" si="26"/>
        <v>0.20863256292210652</v>
      </c>
      <c r="E179" s="2">
        <f t="shared" si="27"/>
        <v>0.20967572573671706</v>
      </c>
      <c r="F179" s="2">
        <f t="shared" si="28"/>
        <v>0.20968094155079012</v>
      </c>
      <c r="G179" s="14">
        <f t="shared" si="29"/>
        <v>0.21072937233761443</v>
      </c>
      <c r="H179" s="1">
        <f t="shared" si="38"/>
        <v>0.20863256292210652</v>
      </c>
      <c r="I179" s="1">
        <f t="shared" si="30"/>
        <v>0.75361281369399191</v>
      </c>
      <c r="J179" s="1">
        <f t="shared" si="31"/>
        <v>0.73536366762021899</v>
      </c>
      <c r="K179" s="1">
        <f t="shared" si="32"/>
        <v>0.73580570506443332</v>
      </c>
      <c r="L179" s="14">
        <f t="shared" si="33"/>
        <v>0.71796722303793348</v>
      </c>
      <c r="M179" s="7">
        <f t="shared" si="34"/>
        <v>-8.2568450878068163</v>
      </c>
    </row>
    <row r="180" spans="1:13" x14ac:dyDescent="0.25">
      <c r="A180" s="1">
        <f t="shared" si="35"/>
        <v>1.7000000000000013</v>
      </c>
      <c r="B180" s="4">
        <f t="shared" si="36"/>
        <v>-8.7269844457372479</v>
      </c>
      <c r="C180" s="43">
        <f t="shared" si="37"/>
        <v>-0.15231461234844737</v>
      </c>
      <c r="D180" s="3">
        <f t="shared" si="26"/>
        <v>0.21598909422560858</v>
      </c>
      <c r="E180" s="2">
        <f t="shared" si="27"/>
        <v>0.21706903969673663</v>
      </c>
      <c r="F180" s="2">
        <f t="shared" si="28"/>
        <v>0.21707443942409227</v>
      </c>
      <c r="G180" s="14">
        <f t="shared" si="29"/>
        <v>0.2181598386198495</v>
      </c>
      <c r="H180" s="1">
        <f t="shared" si="38"/>
        <v>0.21598909422560858</v>
      </c>
      <c r="I180" s="1">
        <f t="shared" si="30"/>
        <v>0.74345912418673432</v>
      </c>
      <c r="J180" s="1">
        <f t="shared" si="31"/>
        <v>0.72545016100243409</v>
      </c>
      <c r="K180" s="1">
        <f t="shared" si="32"/>
        <v>0.72588651529513759</v>
      </c>
      <c r="L180" s="14">
        <f t="shared" si="33"/>
        <v>0.70828319915925364</v>
      </c>
      <c r="M180" s="7">
        <f t="shared" si="34"/>
        <v>-8.1299564648199407</v>
      </c>
    </row>
    <row r="181" spans="1:13" x14ac:dyDescent="0.25">
      <c r="A181" s="1">
        <f t="shared" si="35"/>
        <v>1.7100000000000013</v>
      </c>
      <c r="B181" s="4">
        <f t="shared" si="36"/>
        <v>-8.6026109796611596</v>
      </c>
      <c r="C181" s="43">
        <f t="shared" si="37"/>
        <v>-0.15014388586330218</v>
      </c>
      <c r="D181" s="3">
        <f t="shared" si="26"/>
        <v>0.22324645368551047</v>
      </c>
      <c r="E181" s="2">
        <f t="shared" si="27"/>
        <v>0.22436268595393802</v>
      </c>
      <c r="F181" s="2">
        <f t="shared" si="28"/>
        <v>0.22436826711528016</v>
      </c>
      <c r="G181" s="14">
        <f t="shared" si="29"/>
        <v>0.22549013635666326</v>
      </c>
      <c r="H181" s="1">
        <f t="shared" si="38"/>
        <v>0.22324645368551047</v>
      </c>
      <c r="I181" s="1">
        <f t="shared" si="30"/>
        <v>0.7329439654210953</v>
      </c>
      <c r="J181" s="1">
        <f t="shared" si="31"/>
        <v>0.71518398171441666</v>
      </c>
      <c r="K181" s="1">
        <f t="shared" si="32"/>
        <v>0.7156144388405048</v>
      </c>
      <c r="L181" s="14">
        <f t="shared" si="33"/>
        <v>0.69825488442485673</v>
      </c>
      <c r="M181" s="7">
        <f t="shared" si="34"/>
        <v>-7.9990843258295223</v>
      </c>
    </row>
    <row r="182" spans="1:13" x14ac:dyDescent="0.25">
      <c r="A182" s="1">
        <f t="shared" si="35"/>
        <v>1.7200000000000013</v>
      </c>
      <c r="B182" s="4">
        <f t="shared" si="36"/>
        <v>-8.4740584926311477</v>
      </c>
      <c r="C182" s="43">
        <f t="shared" si="37"/>
        <v>-0.14790022170300116</v>
      </c>
      <c r="D182" s="3">
        <f t="shared" si="26"/>
        <v>0.23040111317043679</v>
      </c>
      <c r="E182" s="2">
        <f t="shared" si="27"/>
        <v>0.23155311873628898</v>
      </c>
      <c r="F182" s="2">
        <f t="shared" si="28"/>
        <v>0.23155887876411824</v>
      </c>
      <c r="G182" s="14">
        <f t="shared" si="29"/>
        <v>0.23271670195807798</v>
      </c>
      <c r="H182" s="1">
        <f t="shared" si="38"/>
        <v>0.23040111317043679</v>
      </c>
      <c r="I182" s="1">
        <f t="shared" si="30"/>
        <v>0.72207186208794372</v>
      </c>
      <c r="J182" s="1">
        <f t="shared" si="31"/>
        <v>0.70456956910008994</v>
      </c>
      <c r="K182" s="1">
        <f t="shared" si="32"/>
        <v>0.7049939165400666</v>
      </c>
      <c r="L182" s="14">
        <f t="shared" si="33"/>
        <v>0.68788663459981492</v>
      </c>
      <c r="M182" s="7">
        <f t="shared" si="34"/>
        <v>-7.8642927955651762</v>
      </c>
    </row>
    <row r="183" spans="1:13" x14ac:dyDescent="0.25">
      <c r="A183" s="1">
        <f t="shared" si="35"/>
        <v>1.7300000000000013</v>
      </c>
      <c r="B183" s="4">
        <f t="shared" si="36"/>
        <v>-8.3413861225953525</v>
      </c>
      <c r="C183" s="43">
        <f t="shared" si="37"/>
        <v>-0.14558465201945228</v>
      </c>
      <c r="D183" s="3">
        <f t="shared" si="26"/>
        <v>0.23744958895038359</v>
      </c>
      <c r="E183" s="2">
        <f t="shared" si="27"/>
        <v>0.23863683689513551</v>
      </c>
      <c r="F183" s="2">
        <f t="shared" si="28"/>
        <v>0.23864277313485927</v>
      </c>
      <c r="G183" s="14">
        <f t="shared" si="29"/>
        <v>0.23983601668173218</v>
      </c>
      <c r="H183" s="1">
        <f t="shared" si="38"/>
        <v>0.23744958895038359</v>
      </c>
      <c r="I183" s="1">
        <f t="shared" si="30"/>
        <v>0.71084751588234563</v>
      </c>
      <c r="J183" s="1">
        <f t="shared" si="31"/>
        <v>0.69361153495856842</v>
      </c>
      <c r="K183" s="1">
        <f t="shared" si="32"/>
        <v>0.69402956180382802</v>
      </c>
      <c r="L183" s="14">
        <f t="shared" si="33"/>
        <v>0.67718297358897328</v>
      </c>
      <c r="M183" s="7">
        <f t="shared" si="34"/>
        <v>-7.7256479191798286</v>
      </c>
    </row>
    <row r="184" spans="1:13" x14ac:dyDescent="0.25">
      <c r="A184" s="1">
        <f t="shared" si="35"/>
        <v>1.7400000000000013</v>
      </c>
      <c r="B184" s="4">
        <f t="shared" si="36"/>
        <v>-8.2046550135456826</v>
      </c>
      <c r="C184" s="43">
        <f t="shared" si="37"/>
        <v>-0.14319824397663211</v>
      </c>
      <c r="D184" s="3">
        <f t="shared" si="26"/>
        <v>0.24438844342204377</v>
      </c>
      <c r="E184" s="2">
        <f t="shared" si="27"/>
        <v>0.24561038563915399</v>
      </c>
      <c r="F184" s="2">
        <f t="shared" si="28"/>
        <v>0.24561649535023955</v>
      </c>
      <c r="G184" s="14">
        <f t="shared" si="29"/>
        <v>0.24684460837554617</v>
      </c>
      <c r="H184" s="1">
        <f t="shared" si="38"/>
        <v>0.24438844342204377</v>
      </c>
      <c r="I184" s="1">
        <f t="shared" si="30"/>
        <v>0.69927580478088702</v>
      </c>
      <c r="J184" s="1">
        <f t="shared" si="31"/>
        <v>0.68231466273537833</v>
      </c>
      <c r="K184" s="1">
        <f t="shared" si="32"/>
        <v>0.68272615980800988</v>
      </c>
      <c r="L184" s="14">
        <f t="shared" si="33"/>
        <v>0.66614859255556125</v>
      </c>
      <c r="M184" s="7">
        <f t="shared" si="34"/>
        <v>-7.5832176298888969</v>
      </c>
    </row>
    <row r="185" spans="1:13" x14ac:dyDescent="0.25">
      <c r="A185" s="1">
        <f t="shared" si="35"/>
        <v>1.7500000000000013</v>
      </c>
      <c r="B185" s="4">
        <f t="shared" si="36"/>
        <v>-8.0639282889565695</v>
      </c>
      <c r="C185" s="43">
        <f t="shared" si="37"/>
        <v>-0.14074209928700482</v>
      </c>
      <c r="D185" s="3">
        <f t="shared" si="26"/>
        <v>0.25121428682608249</v>
      </c>
      <c r="E185" s="2">
        <f t="shared" si="27"/>
        <v>0.25247035826021291</v>
      </c>
      <c r="F185" s="2">
        <f t="shared" si="28"/>
        <v>0.25247663861738356</v>
      </c>
      <c r="G185" s="14">
        <f t="shared" si="29"/>
        <v>0.25373905321225632</v>
      </c>
      <c r="H185" s="1">
        <f t="shared" si="38"/>
        <v>0.25121428682608249</v>
      </c>
      <c r="I185" s="1">
        <f t="shared" si="30"/>
        <v>0.68736178221410504</v>
      </c>
      <c r="J185" s="1">
        <f t="shared" si="31"/>
        <v>0.67068390661253996</v>
      </c>
      <c r="K185" s="1">
        <f t="shared" si="32"/>
        <v>0.67108866658954702</v>
      </c>
      <c r="L185" s="14">
        <f t="shared" si="33"/>
        <v>0.65478834894216797</v>
      </c>
      <c r="M185" s="7">
        <f t="shared" si="34"/>
        <v>-7.4370717156843886</v>
      </c>
    </row>
    <row r="186" spans="1:13" x14ac:dyDescent="0.25">
      <c r="A186" s="1">
        <f t="shared" si="35"/>
        <v>1.7600000000000013</v>
      </c>
      <c r="B186" s="4">
        <f t="shared" si="36"/>
        <v>-7.9192710242348765</v>
      </c>
      <c r="C186" s="43">
        <f t="shared" si="37"/>
        <v>-0.13821735373068225</v>
      </c>
      <c r="D186" s="3">
        <f t="shared" si="26"/>
        <v>0.2579237789553499</v>
      </c>
      <c r="E186" s="2">
        <f t="shared" si="27"/>
        <v>0.25921339785012665</v>
      </c>
      <c r="F186" s="2">
        <f t="shared" si="28"/>
        <v>0.25921984594460051</v>
      </c>
      <c r="G186" s="14">
        <f t="shared" si="29"/>
        <v>0.26051597741479593</v>
      </c>
      <c r="H186" s="1">
        <f t="shared" si="38"/>
        <v>0.2579237789553499</v>
      </c>
      <c r="I186" s="1">
        <f t="shared" si="30"/>
        <v>0.67511067612821563</v>
      </c>
      <c r="J186" s="1">
        <f t="shared" si="31"/>
        <v>0.65872439049228104</v>
      </c>
      <c r="K186" s="1">
        <f t="shared" si="32"/>
        <v>0.65912220803408506</v>
      </c>
      <c r="L186" s="14">
        <f t="shared" si="33"/>
        <v>0.64310726538936613</v>
      </c>
      <c r="M186" s="7">
        <f t="shared" si="34"/>
        <v>-7.2872817851401699</v>
      </c>
    </row>
    <row r="187" spans="1:13" x14ac:dyDescent="0.25">
      <c r="A187" s="1">
        <f t="shared" si="35"/>
        <v>1.7700000000000014</v>
      </c>
      <c r="B187" s="4">
        <f t="shared" si="36"/>
        <v>-7.7707502181861612</v>
      </c>
      <c r="C187" s="43">
        <f t="shared" si="37"/>
        <v>-0.13562517665741625</v>
      </c>
      <c r="D187" s="3">
        <f t="shared" si="26"/>
        <v>0.26451363085296709</v>
      </c>
      <c r="E187" s="2">
        <f t="shared" si="27"/>
        <v>0.26583619900723193</v>
      </c>
      <c r="F187" s="2">
        <f t="shared" si="28"/>
        <v>0.26584281184800324</v>
      </c>
      <c r="G187" s="14">
        <f t="shared" si="29"/>
        <v>0.26717205897144714</v>
      </c>
      <c r="H187" s="1">
        <f t="shared" si="38"/>
        <v>0.26451363085296709</v>
      </c>
      <c r="I187" s="1">
        <f t="shared" si="30"/>
        <v>0.66252788793046868</v>
      </c>
      <c r="J187" s="1">
        <f t="shared" si="31"/>
        <v>0.64644140686928331</v>
      </c>
      <c r="K187" s="1">
        <f t="shared" si="32"/>
        <v>0.64683207875236004</v>
      </c>
      <c r="L187" s="14">
        <f t="shared" si="33"/>
        <v>0.63111052854739746</v>
      </c>
      <c r="M187" s="7">
        <f t="shared" si="34"/>
        <v>-7.1339212323252177</v>
      </c>
    </row>
    <row r="188" spans="1:13" x14ac:dyDescent="0.25">
      <c r="A188" s="1">
        <f t="shared" si="35"/>
        <v>1.7800000000000014</v>
      </c>
      <c r="B188" s="4">
        <f t="shared" si="36"/>
        <v>-7.6184347635031084</v>
      </c>
      <c r="C188" s="43">
        <f t="shared" si="37"/>
        <v>-0.13296677047152478</v>
      </c>
      <c r="D188" s="3">
        <f t="shared" si="26"/>
        <v>0.270980606499169</v>
      </c>
      <c r="E188" s="2">
        <f t="shared" si="27"/>
        <v>0.27233550953166485</v>
      </c>
      <c r="F188" s="2">
        <f t="shared" si="28"/>
        <v>0.27234228404682731</v>
      </c>
      <c r="G188" s="14">
        <f t="shared" si="29"/>
        <v>0.27370402933963728</v>
      </c>
      <c r="H188" s="1">
        <f t="shared" si="38"/>
        <v>0.270980606499169</v>
      </c>
      <c r="I188" s="1">
        <f t="shared" si="30"/>
        <v>0.64961899131262424</v>
      </c>
      <c r="J188" s="1">
        <f t="shared" si="31"/>
        <v>0.63384041558652959</v>
      </c>
      <c r="K188" s="1">
        <f t="shared" si="32"/>
        <v>0.63422374083999578</v>
      </c>
      <c r="L188" s="14">
        <f t="shared" si="33"/>
        <v>0.61880348777648075</v>
      </c>
      <c r="M188" s="7">
        <f t="shared" si="34"/>
        <v>-6.9770652008419685</v>
      </c>
    </row>
    <row r="189" spans="1:13" x14ac:dyDescent="0.25">
      <c r="A189" s="1">
        <f t="shared" si="35"/>
        <v>1.7900000000000014</v>
      </c>
      <c r="B189" s="4">
        <f t="shared" si="36"/>
        <v>-7.4623954162826509</v>
      </c>
      <c r="C189" s="43">
        <f t="shared" si="37"/>
        <v>-0.13024337009986511</v>
      </c>
      <c r="D189" s="3">
        <f t="shared" si="26"/>
        <v>0.27732152448573927</v>
      </c>
      <c r="E189" s="2">
        <f t="shared" si="27"/>
        <v>0.27870813210816797</v>
      </c>
      <c r="F189" s="2">
        <f t="shared" si="28"/>
        <v>0.27871506514628008</v>
      </c>
      <c r="G189" s="14">
        <f t="shared" si="29"/>
        <v>0.28010867513720206</v>
      </c>
      <c r="H189" s="1">
        <f t="shared" si="38"/>
        <v>0.27732152448573927</v>
      </c>
      <c r="I189" s="1">
        <f t="shared" si="30"/>
        <v>0.63638973094725348</v>
      </c>
      <c r="J189" s="1">
        <f t="shared" si="31"/>
        <v>0.62092704246999919</v>
      </c>
      <c r="K189" s="1">
        <f t="shared" si="32"/>
        <v>0.62130282251594948</v>
      </c>
      <c r="L189" s="14">
        <f t="shared" si="33"/>
        <v>0.60619165373148143</v>
      </c>
      <c r="M189" s="7">
        <f t="shared" si="34"/>
        <v>-6.8167905470074697</v>
      </c>
    </row>
    <row r="190" spans="1:13" x14ac:dyDescent="0.25">
      <c r="A190" s="1">
        <f t="shared" si="35"/>
        <v>1.8000000000000014</v>
      </c>
      <c r="B190" s="4">
        <f t="shared" si="36"/>
        <v>-7.3027047645788725</v>
      </c>
      <c r="C190" s="43">
        <f t="shared" si="37"/>
        <v>-0.12745624244297871</v>
      </c>
      <c r="D190" s="3">
        <f t="shared" si="26"/>
        <v>0.28353325967682363</v>
      </c>
      <c r="E190" s="2">
        <f t="shared" si="27"/>
        <v>0.28495092597520777</v>
      </c>
      <c r="F190" s="2">
        <f t="shared" si="28"/>
        <v>0.28495801430669965</v>
      </c>
      <c r="G190" s="14">
        <f t="shared" si="29"/>
        <v>0.28638283981989066</v>
      </c>
      <c r="H190" s="1">
        <f t="shared" si="38"/>
        <v>0.28353325967682363</v>
      </c>
      <c r="I190" s="1">
        <f t="shared" si="30"/>
        <v>0.62284602105178333</v>
      </c>
      <c r="J190" s="1">
        <f t="shared" si="31"/>
        <v>0.60770707783767497</v>
      </c>
      <c r="K190" s="1">
        <f t="shared" si="32"/>
        <v>0.60807511663504288</v>
      </c>
      <c r="L190" s="14">
        <f t="shared" si="33"/>
        <v>0.59328069682687834</v>
      </c>
      <c r="M190" s="7">
        <f t="shared" si="34"/>
        <v>-6.6531758021953298</v>
      </c>
    </row>
    <row r="191" spans="1:13" x14ac:dyDescent="0.25">
      <c r="A191" s="1">
        <f t="shared" si="35"/>
        <v>1.8100000000000014</v>
      </c>
      <c r="B191" s="4">
        <f t="shared" si="36"/>
        <v>-7.1394371959995855</v>
      </c>
      <c r="C191" s="43">
        <f t="shared" si="37"/>
        <v>-0.1246066858095445</v>
      </c>
      <c r="D191" s="3">
        <f t="shared" si="26"/>
        <v>0.28961274485486382</v>
      </c>
      <c r="E191" s="2">
        <f t="shared" si="27"/>
        <v>0.29106080857913813</v>
      </c>
      <c r="F191" s="2">
        <f t="shared" si="28"/>
        <v>0.2910680488977595</v>
      </c>
      <c r="G191" s="14">
        <f t="shared" si="29"/>
        <v>0.2925234253438414</v>
      </c>
      <c r="H191" s="1">
        <f t="shared" si="38"/>
        <v>0.28961274485486382</v>
      </c>
      <c r="I191" s="1">
        <f t="shared" si="30"/>
        <v>0.6089939438154649</v>
      </c>
      <c r="J191" s="1">
        <f t="shared" si="31"/>
        <v>0.59418647487856113</v>
      </c>
      <c r="K191" s="1">
        <f t="shared" si="32"/>
        <v>0.59454657907025399</v>
      </c>
      <c r="L191" s="14">
        <f t="shared" si="33"/>
        <v>0.58007644557818261</v>
      </c>
      <c r="M191" s="7">
        <f t="shared" si="34"/>
        <v>-6.4863011343568973</v>
      </c>
    </row>
    <row r="192" spans="1:13" x14ac:dyDescent="0.25">
      <c r="A192" s="1">
        <f t="shared" si="35"/>
        <v>1.8200000000000014</v>
      </c>
      <c r="B192" s="4">
        <f t="shared" si="36"/>
        <v>-6.9726688643550965</v>
      </c>
      <c r="C192" s="43">
        <f t="shared" si="37"/>
        <v>-0.12169602933429033</v>
      </c>
      <c r="D192" s="3">
        <f t="shared" si="26"/>
        <v>0.29555697235034928</v>
      </c>
      <c r="E192" s="2">
        <f t="shared" si="27"/>
        <v>0.29703475721210104</v>
      </c>
      <c r="F192" s="2">
        <f t="shared" si="28"/>
        <v>0.29704214613640978</v>
      </c>
      <c r="G192" s="14">
        <f t="shared" si="29"/>
        <v>0.29852739381171339</v>
      </c>
      <c r="H192" s="1">
        <f t="shared" si="38"/>
        <v>0.29555697235034928</v>
      </c>
      <c r="I192" s="1">
        <f t="shared" si="30"/>
        <v>0.59483974768472592</v>
      </c>
      <c r="J192" s="1">
        <f t="shared" si="31"/>
        <v>0.58037134789767042</v>
      </c>
      <c r="K192" s="1">
        <f t="shared" si="32"/>
        <v>0.58072332696070916</v>
      </c>
      <c r="L192" s="14">
        <f t="shared" si="33"/>
        <v>0.5665848848162095</v>
      </c>
      <c r="M192" s="7">
        <f t="shared" si="34"/>
        <v>-6.3162483087405903</v>
      </c>
    </row>
    <row r="193" spans="1:13" x14ac:dyDescent="0.25">
      <c r="A193" s="1">
        <f t="shared" si="35"/>
        <v>1.8300000000000014</v>
      </c>
      <c r="B193" s="4">
        <f t="shared" si="36"/>
        <v>-6.8024776553685422</v>
      </c>
      <c r="C193" s="43">
        <f t="shared" si="37"/>
        <v>-0.11872563237952519</v>
      </c>
      <c r="D193" s="3">
        <f t="shared" si="26"/>
        <v>0.30136299565404545</v>
      </c>
      <c r="E193" s="2">
        <f t="shared" si="27"/>
        <v>0.30286981063231566</v>
      </c>
      <c r="F193" s="2">
        <f t="shared" si="28"/>
        <v>0.30287734470720701</v>
      </c>
      <c r="G193" s="14">
        <f t="shared" si="29"/>
        <v>0.30439176910111754</v>
      </c>
      <c r="H193" s="1">
        <f t="shared" si="38"/>
        <v>0.30136299565404545</v>
      </c>
      <c r="I193" s="1">
        <f t="shared" si="30"/>
        <v>0.5803898455026717</v>
      </c>
      <c r="J193" s="1">
        <f t="shared" si="31"/>
        <v>0.56626797042322741</v>
      </c>
      <c r="K193" s="1">
        <f t="shared" si="32"/>
        <v>0.56661163682159721</v>
      </c>
      <c r="L193" s="14">
        <f t="shared" si="33"/>
        <v>0.55281215377086601</v>
      </c>
      <c r="M193" s="7">
        <f t="shared" si="34"/>
        <v>-6.1431006478285317</v>
      </c>
    </row>
    <row r="194" spans="1:13" x14ac:dyDescent="0.25">
      <c r="A194" s="1">
        <f t="shared" si="35"/>
        <v>1.8400000000000014</v>
      </c>
      <c r="B194" s="4">
        <f t="shared" si="36"/>
        <v>-6.6289431514578236</v>
      </c>
      <c r="C194" s="43">
        <f t="shared" si="37"/>
        <v>-0.11569688392046817</v>
      </c>
      <c r="D194" s="3">
        <f t="shared" si="26"/>
        <v>0.30702793101031745</v>
      </c>
      <c r="E194" s="2">
        <f t="shared" si="27"/>
        <v>0.30856307066536903</v>
      </c>
      <c r="F194" s="2">
        <f t="shared" si="28"/>
        <v>0.30857074636364429</v>
      </c>
      <c r="G194" s="14">
        <f t="shared" si="29"/>
        <v>0.3101136384739539</v>
      </c>
      <c r="H194" s="1">
        <f t="shared" si="38"/>
        <v>0.30702793101031745</v>
      </c>
      <c r="I194" s="1">
        <f t="shared" si="30"/>
        <v>0.56565081249883342</v>
      </c>
      <c r="J194" s="1">
        <f t="shared" si="31"/>
        <v>0.55188277317263856</v>
      </c>
      <c r="K194" s="1">
        <f t="shared" si="32"/>
        <v>0.55221794251253797</v>
      </c>
      <c r="L194" s="14">
        <f t="shared" si="33"/>
        <v>0.53876454402140239</v>
      </c>
      <c r="M194" s="7">
        <f t="shared" si="34"/>
        <v>-5.9669429905102351</v>
      </c>
    </row>
    <row r="195" spans="1:13" x14ac:dyDescent="0.25">
      <c r="A195" s="1">
        <f t="shared" si="35"/>
        <v>1.8500000000000014</v>
      </c>
      <c r="B195" s="4">
        <f t="shared" si="36"/>
        <v>-6.4521465956000723</v>
      </c>
      <c r="C195" s="43">
        <f t="shared" si="37"/>
        <v>-0.11261120191456435</v>
      </c>
      <c r="D195" s="3">
        <f t="shared" si="26"/>
        <v>0.31254895899013507</v>
      </c>
      <c r="E195" s="2">
        <f t="shared" si="27"/>
        <v>0.31411170378508574</v>
      </c>
      <c r="F195" s="2">
        <f t="shared" si="28"/>
        <v>0.31411951750906048</v>
      </c>
      <c r="G195" s="14">
        <f t="shared" si="29"/>
        <v>0.31569015416522567</v>
      </c>
      <c r="H195" s="1">
        <f t="shared" si="38"/>
        <v>0.31254895899013507</v>
      </c>
      <c r="I195" s="1">
        <f t="shared" si="30"/>
        <v>0.55062938412562001</v>
      </c>
      <c r="J195" s="1">
        <f t="shared" si="31"/>
        <v>0.53722234187410967</v>
      </c>
      <c r="K195" s="1">
        <f t="shared" si="32"/>
        <v>0.53754883306126555</v>
      </c>
      <c r="L195" s="14">
        <f t="shared" si="33"/>
        <v>0.52444849731037968</v>
      </c>
      <c r="M195" s="7">
        <f t="shared" si="34"/>
        <v>-5.7878616505132312</v>
      </c>
    </row>
    <row r="196" spans="1:13" x14ac:dyDescent="0.25">
      <c r="A196" s="1">
        <f t="shared" si="35"/>
        <v>1.8600000000000014</v>
      </c>
      <c r="B196" s="4">
        <f t="shared" si="36"/>
        <v>-6.2721708542903203</v>
      </c>
      <c r="C196" s="43">
        <f t="shared" si="37"/>
        <v>-0.1094700326549916</v>
      </c>
      <c r="D196" s="3">
        <f t="shared" si="26"/>
        <v>0.31792332604231299</v>
      </c>
      <c r="E196" s="2">
        <f t="shared" si="27"/>
        <v>0.31951294267252456</v>
      </c>
      <c r="F196" s="2">
        <f t="shared" si="28"/>
        <v>0.31952089075567564</v>
      </c>
      <c r="G196" s="14">
        <f t="shared" si="29"/>
        <v>0.32111853494986975</v>
      </c>
      <c r="H196" s="1">
        <f t="shared" si="38"/>
        <v>0.31792332604231299</v>
      </c>
      <c r="I196" s="1">
        <f t="shared" si="30"/>
        <v>0.53533245373830185</v>
      </c>
      <c r="J196" s="1">
        <f t="shared" si="31"/>
        <v>0.52229341494113979</v>
      </c>
      <c r="K196" s="1">
        <f t="shared" si="32"/>
        <v>0.52261105033983646</v>
      </c>
      <c r="L196" s="14">
        <f t="shared" si="33"/>
        <v>0.50987060321892774</v>
      </c>
      <c r="M196" s="7">
        <f t="shared" si="34"/>
        <v>-5.6059443741110409</v>
      </c>
    </row>
    <row r="197" spans="1:13" x14ac:dyDescent="0.25">
      <c r="A197" s="1">
        <f t="shared" si="35"/>
        <v>1.8700000000000014</v>
      </c>
      <c r="B197" s="4">
        <f t="shared" si="36"/>
        <v>-6.0891003796069176</v>
      </c>
      <c r="C197" s="43">
        <f t="shared" si="37"/>
        <v>-0.10627485010857729</v>
      </c>
      <c r="D197" s="3">
        <f t="shared" si="26"/>
        <v>0.32314834602151166</v>
      </c>
      <c r="E197" s="2">
        <f t="shared" si="27"/>
        <v>0.32476408775161919</v>
      </c>
      <c r="F197" s="2">
        <f t="shared" si="28"/>
        <v>0.32477216646026974</v>
      </c>
      <c r="G197" s="14">
        <f t="shared" si="29"/>
        <v>0.32639606768611434</v>
      </c>
      <c r="H197" s="1">
        <f t="shared" si="38"/>
        <v>0.32314834602151166</v>
      </c>
      <c r="I197" s="1">
        <f t="shared" si="30"/>
        <v>0.51976707011576473</v>
      </c>
      <c r="J197" s="1">
        <f t="shared" si="31"/>
        <v>0.50710288099749001</v>
      </c>
      <c r="K197" s="1">
        <f t="shared" si="32"/>
        <v>0.50741148659094437</v>
      </c>
      <c r="L197" s="14">
        <f t="shared" si="33"/>
        <v>0.49503759670120745</v>
      </c>
      <c r="M197" s="7">
        <f t="shared" si="34"/>
        <v>-5.4212802971293153</v>
      </c>
    </row>
    <row r="198" spans="1:13" x14ac:dyDescent="0.25">
      <c r="A198" s="1">
        <f t="shared" si="35"/>
        <v>1.8800000000000014</v>
      </c>
      <c r="B198" s="4">
        <f t="shared" si="36"/>
        <v>-5.9030211703970812</v>
      </c>
      <c r="C198" s="43">
        <f t="shared" si="37"/>
        <v>-0.10302715523835829</v>
      </c>
      <c r="D198" s="3">
        <f t="shared" si="26"/>
        <v>0.32822140169150138</v>
      </c>
      <c r="E198" s="2">
        <f t="shared" si="27"/>
        <v>0.32986250869995887</v>
      </c>
      <c r="F198" s="2">
        <f t="shared" si="28"/>
        <v>0.32987071423500119</v>
      </c>
      <c r="G198" s="14">
        <f t="shared" si="29"/>
        <v>0.33152010883385141</v>
      </c>
      <c r="H198" s="1">
        <f t="shared" si="38"/>
        <v>0.32822140169150138</v>
      </c>
      <c r="I198" s="1">
        <f t="shared" si="30"/>
        <v>0.50394043481968065</v>
      </c>
      <c r="J198" s="1">
        <f t="shared" si="31"/>
        <v>0.49165777625060875</v>
      </c>
      <c r="K198" s="1">
        <f t="shared" si="32"/>
        <v>0.4919571818023073</v>
      </c>
      <c r="L198" s="14">
        <f t="shared" si="33"/>
        <v>0.47995635547634652</v>
      </c>
      <c r="M198" s="7">
        <f t="shared" si="34"/>
        <v>-5.2339599012710005</v>
      </c>
    </row>
    <row r="199" spans="1:13" x14ac:dyDescent="0.25">
      <c r="A199" s="1">
        <f t="shared" si="35"/>
        <v>1.8900000000000015</v>
      </c>
      <c r="B199" s="4">
        <f t="shared" si="36"/>
        <v>-5.7140207325968113</v>
      </c>
      <c r="C199" s="43">
        <f t="shared" si="37"/>
        <v>-9.9728475311032835E-2</v>
      </c>
      <c r="D199" s="3">
        <f t="shared" si="26"/>
        <v>0.33313994620217113</v>
      </c>
      <c r="E199" s="2">
        <f t="shared" si="27"/>
        <v>0.33480564593318196</v>
      </c>
      <c r="F199" s="2">
        <f t="shared" si="28"/>
        <v>0.33481397443183702</v>
      </c>
      <c r="G199" s="14">
        <f t="shared" si="29"/>
        <v>0.33648808594648949</v>
      </c>
      <c r="H199" s="1">
        <f t="shared" si="38"/>
        <v>0.33313994620217113</v>
      </c>
      <c r="I199" s="1">
        <f t="shared" si="30"/>
        <v>0.48785989939018748</v>
      </c>
      <c r="J199" s="1">
        <f t="shared" si="31"/>
        <v>0.47596528171189939</v>
      </c>
      <c r="K199" s="1">
        <f t="shared" si="32"/>
        <v>0.47625532092749701</v>
      </c>
      <c r="L199" s="14">
        <f t="shared" si="33"/>
        <v>0.46463389727648902</v>
      </c>
      <c r="M199" s="7">
        <f t="shared" si="34"/>
        <v>-5.0440749697821659</v>
      </c>
    </row>
    <row r="200" spans="1:13" x14ac:dyDescent="0.25">
      <c r="A200" s="1">
        <f t="shared" si="35"/>
        <v>1.9000000000000015</v>
      </c>
      <c r="B200" s="4">
        <f t="shared" si="36"/>
        <v>-5.5221880387003033</v>
      </c>
      <c r="C200" s="43">
        <f t="shared" si="37"/>
        <v>-9.6380363189568344E-2</v>
      </c>
      <c r="D200" s="3">
        <f t="shared" si="26"/>
        <v>0.3379015045387469</v>
      </c>
      <c r="E200" s="2">
        <f t="shared" si="27"/>
        <v>0.33959101206144066</v>
      </c>
      <c r="F200" s="2">
        <f t="shared" si="28"/>
        <v>0.33959945959905408</v>
      </c>
      <c r="G200" s="14">
        <f t="shared" si="29"/>
        <v>0.34129749913473745</v>
      </c>
      <c r="H200" s="1">
        <f t="shared" si="38"/>
        <v>0.3379015045387469</v>
      </c>
      <c r="I200" s="1">
        <f t="shared" si="30"/>
        <v>0.47153296237662168</v>
      </c>
      <c r="J200" s="1">
        <f t="shared" si="31"/>
        <v>0.46003272026263131</v>
      </c>
      <c r="K200" s="1">
        <f t="shared" si="32"/>
        <v>0.46031323095200016</v>
      </c>
      <c r="L200" s="14">
        <f t="shared" si="33"/>
        <v>0.44907737694997962</v>
      </c>
      <c r="M200" s="7">
        <f t="shared" si="34"/>
        <v>-4.8517185424800324</v>
      </c>
    </row>
    <row r="201" spans="1:13" x14ac:dyDescent="0.25">
      <c r="A201" s="1">
        <f t="shared" si="35"/>
        <v>1.9100000000000015</v>
      </c>
      <c r="B201" s="4">
        <f t="shared" si="36"/>
        <v>-5.3276134863948474</v>
      </c>
      <c r="C201" s="43">
        <f t="shared" si="37"/>
        <v>-9.2984396611244219E-2</v>
      </c>
      <c r="D201" s="3">
        <f t="shared" si="26"/>
        <v>0.34250367494167333</v>
      </c>
      <c r="E201" s="2">
        <f t="shared" si="27"/>
        <v>0.3442161933163817</v>
      </c>
      <c r="F201" s="2">
        <f t="shared" si="28"/>
        <v>0.34422475590825524</v>
      </c>
      <c r="G201" s="14">
        <f t="shared" si="29"/>
        <v>0.3459459225007559</v>
      </c>
      <c r="H201" s="1">
        <f t="shared" si="38"/>
        <v>0.34250367494167333</v>
      </c>
      <c r="I201" s="1">
        <f t="shared" si="30"/>
        <v>0.45496726620231548</v>
      </c>
      <c r="J201" s="1">
        <f t="shared" si="31"/>
        <v>0.44386755356472674</v>
      </c>
      <c r="K201" s="1">
        <f t="shared" si="32"/>
        <v>0.44413837780373167</v>
      </c>
      <c r="L201" s="14">
        <f t="shared" si="33"/>
        <v>0.43329408341910108</v>
      </c>
      <c r="M201" s="7">
        <f t="shared" si="34"/>
        <v>-4.6569848701652914</v>
      </c>
    </row>
    <row r="202" spans="1:13" x14ac:dyDescent="0.25">
      <c r="A202" s="1">
        <f t="shared" si="35"/>
        <v>1.9200000000000015</v>
      </c>
      <c r="B202" s="4">
        <f t="shared" si="36"/>
        <v>-5.1303888563781221</v>
      </c>
      <c r="C202" s="43">
        <f t="shared" si="37"/>
        <v>-8.9542177451424718E-2</v>
      </c>
      <c r="D202" s="3">
        <f t="shared" ref="D202:D265" si="39">H202</f>
        <v>0.34694413029560389</v>
      </c>
      <c r="E202" s="2">
        <f t="shared" ref="E202:E265" si="40">H202+$B$2/2*D202</f>
        <v>0.3486788509470819</v>
      </c>
      <c r="F202" s="2">
        <f t="shared" ref="F202:F265" si="41">H202+$B$2/2*E202</f>
        <v>0.3486875245503393</v>
      </c>
      <c r="G202" s="14">
        <f t="shared" ref="G202:G265" si="42">H202+$B$2*F202</f>
        <v>0.35043100554110729</v>
      </c>
      <c r="H202" s="1">
        <f t="shared" si="38"/>
        <v>0.34694413029560389</v>
      </c>
      <c r="I202" s="1">
        <f t="shared" ref="I202:I265" si="43">-$B$3/$B$4*SIN(C202)</f>
        <v>0.43817059386295404</v>
      </c>
      <c r="J202" s="1">
        <f t="shared" ref="J202:J265" si="44">-$B$3/$B$4*SIN(C202+1/2*$B$2*I202)</f>
        <v>0.42747737881609316</v>
      </c>
      <c r="K202" s="1">
        <f t="shared" ref="K202:K265" si="45">-$B$3/$B$4*SIN(C202+1/2*$B$2*J202)</f>
        <v>0.42773836310766</v>
      </c>
      <c r="L202" s="14">
        <f t="shared" ref="L202:L265" si="46">-$B$3/$B$4*SIN(C202+$B$2*K202)</f>
        <v>0.41729143649218653</v>
      </c>
      <c r="M202" s="7">
        <f t="shared" ref="M202:M265" si="47">$B$10*PI()/180*COS(SQRT($B$3/$B$4)*A202)*180/PI()</f>
        <v>-4.4599693684411532</v>
      </c>
    </row>
    <row r="203" spans="1:13" x14ac:dyDescent="0.25">
      <c r="A203" s="1">
        <f t="shared" ref="A203:A266" si="48">A202+$B$2</f>
        <v>1.9300000000000015</v>
      </c>
      <c r="B203" s="4">
        <f t="shared" ref="B203:B266" si="49">C203*180/PI()</f>
        <v>-4.9306072693756535</v>
      </c>
      <c r="C203" s="43">
        <f t="shared" ref="C203:C266" si="50">C202+$B$2*(D202+2*E202+2*F202+G202)/6</f>
        <v>-8.6055330973372132E-2</v>
      </c>
      <c r="D203" s="3">
        <f t="shared" si="39"/>
        <v>0.35122061948594163</v>
      </c>
      <c r="E203" s="2">
        <f t="shared" si="40"/>
        <v>0.35297672258337132</v>
      </c>
      <c r="F203" s="2">
        <f t="shared" si="41"/>
        <v>0.35298550309885851</v>
      </c>
      <c r="G203" s="14">
        <f t="shared" si="42"/>
        <v>0.3547504745169302</v>
      </c>
      <c r="H203" s="1">
        <f t="shared" ref="H203:H266" si="51">H202+$B$2*(I202+2*J202+2*K202+L202)/6</f>
        <v>0.35122061948594163</v>
      </c>
      <c r="I203" s="1">
        <f t="shared" si="43"/>
        <v>0.42115086545847985</v>
      </c>
      <c r="J203" s="1">
        <f t="shared" si="44"/>
        <v>0.410869925350628</v>
      </c>
      <c r="K203" s="1">
        <f t="shared" si="45"/>
        <v>0.41112092078466267</v>
      </c>
      <c r="L203" s="14">
        <f t="shared" si="46"/>
        <v>0.40107698353034249</v>
      </c>
      <c r="M203" s="7">
        <f t="shared" si="47"/>
        <v>-4.2607685709615835</v>
      </c>
    </row>
    <row r="204" spans="1:13" x14ac:dyDescent="0.25">
      <c r="A204" s="1">
        <f t="shared" si="48"/>
        <v>1.9400000000000015</v>
      </c>
      <c r="B204" s="4">
        <f t="shared" si="49"/>
        <v>-4.7283631423771437</v>
      </c>
      <c r="C204" s="43">
        <f t="shared" si="50"/>
        <v>-8.2525505064426574E-2</v>
      </c>
      <c r="D204" s="3">
        <f t="shared" si="39"/>
        <v>0.35533096872137399</v>
      </c>
      <c r="E204" s="2">
        <f t="shared" si="40"/>
        <v>0.35710762356498088</v>
      </c>
      <c r="F204" s="2">
        <f t="shared" si="41"/>
        <v>0.35711650683919888</v>
      </c>
      <c r="G204" s="14">
        <f t="shared" si="42"/>
        <v>0.35890213378976599</v>
      </c>
      <c r="H204" s="1">
        <f t="shared" si="51"/>
        <v>0.35533096872137399</v>
      </c>
      <c r="I204" s="1">
        <f t="shared" si="43"/>
        <v>0.40391613455903314</v>
      </c>
      <c r="J204" s="1">
        <f t="shared" si="44"/>
        <v>0.39405305108347349</v>
      </c>
      <c r="K204" s="1">
        <f t="shared" si="45"/>
        <v>0.394293913495185</v>
      </c>
      <c r="L204" s="14">
        <f t="shared" si="46"/>
        <v>0.38465839596943796</v>
      </c>
      <c r="M204" s="7">
        <f t="shared" si="47"/>
        <v>-4.059480082131719</v>
      </c>
    </row>
    <row r="205" spans="1:13" x14ac:dyDescent="0.25">
      <c r="A205" s="1">
        <f t="shared" si="48"/>
        <v>1.9500000000000015</v>
      </c>
      <c r="B205" s="4">
        <f t="shared" si="49"/>
        <v>-4.5237521441112358</v>
      </c>
      <c r="C205" s="43">
        <f t="shared" si="50"/>
        <v>-7.8954369458894072E-2</v>
      </c>
      <c r="D205" s="3">
        <f t="shared" si="39"/>
        <v>0.3592730828208503</v>
      </c>
      <c r="E205" s="2">
        <f t="shared" si="40"/>
        <v>0.36106944823495457</v>
      </c>
      <c r="F205" s="2">
        <f t="shared" si="41"/>
        <v>0.36107843006202506</v>
      </c>
      <c r="G205" s="14">
        <f t="shared" si="42"/>
        <v>0.36288386712147053</v>
      </c>
      <c r="H205" s="1">
        <f t="shared" si="51"/>
        <v>0.3592730828208503</v>
      </c>
      <c r="I205" s="1">
        <f t="shared" si="43"/>
        <v>0.38647458440592664</v>
      </c>
      <c r="J205" s="1">
        <f t="shared" si="44"/>
        <v>0.37703473880256977</v>
      </c>
      <c r="K205" s="1">
        <f t="shared" si="45"/>
        <v>0.37726532892874409</v>
      </c>
      <c r="L205" s="14">
        <f t="shared" si="46"/>
        <v>0.36804346569844126</v>
      </c>
      <c r="M205" s="7">
        <f t="shared" si="47"/>
        <v>-3.8562025292837143</v>
      </c>
    </row>
    <row r="206" spans="1:13" x14ac:dyDescent="0.25">
      <c r="A206" s="1">
        <f t="shared" si="48"/>
        <v>1.9600000000000015</v>
      </c>
      <c r="B206" s="4">
        <f t="shared" si="49"/>
        <v>-4.3168711497791969</v>
      </c>
      <c r="C206" s="43">
        <f t="shared" si="50"/>
        <v>-7.5343614948000265E-2</v>
      </c>
      <c r="D206" s="3">
        <f t="shared" si="39"/>
        <v>0.36304494646346197</v>
      </c>
      <c r="E206" s="2">
        <f t="shared" si="40"/>
        <v>0.36486017119577929</v>
      </c>
      <c r="F206" s="2">
        <f t="shared" si="41"/>
        <v>0.36486924731944087</v>
      </c>
      <c r="G206" s="14">
        <f t="shared" si="42"/>
        <v>0.36669363893665635</v>
      </c>
      <c r="H206" s="1">
        <f t="shared" si="51"/>
        <v>0.36304494646346197</v>
      </c>
      <c r="I206" s="1">
        <f t="shared" si="43"/>
        <v>0.36883452394916488</v>
      </c>
      <c r="J206" s="1">
        <f t="shared" si="44"/>
        <v>0.35982309230802018</v>
      </c>
      <c r="K206" s="1">
        <f t="shared" si="45"/>
        <v>0.36004327594079044</v>
      </c>
      <c r="L206" s="14">
        <f t="shared" si="46"/>
        <v>0.35124010129561306</v>
      </c>
      <c r="M206" s="7">
        <f t="shared" si="47"/>
        <v>-3.6510355143512943</v>
      </c>
    </row>
    <row r="207" spans="1:13" x14ac:dyDescent="0.25">
      <c r="A207" s="1">
        <f t="shared" si="48"/>
        <v>1.9700000000000015</v>
      </c>
      <c r="B207" s="4">
        <f t="shared" si="49"/>
        <v>-4.1078181950688819</v>
      </c>
      <c r="C207" s="43">
        <f t="shared" si="50"/>
        <v>-7.1694952577282672E-2</v>
      </c>
      <c r="D207" s="3">
        <f t="shared" si="39"/>
        <v>0.36664462539969928</v>
      </c>
      <c r="E207" s="2">
        <f t="shared" si="40"/>
        <v>0.36847784852669779</v>
      </c>
      <c r="F207" s="2">
        <f t="shared" si="41"/>
        <v>0.36848701464233274</v>
      </c>
      <c r="G207" s="14">
        <f t="shared" si="42"/>
        <v>0.3703294955461226</v>
      </c>
      <c r="H207" s="1">
        <f t="shared" si="51"/>
        <v>0.36664462539969928</v>
      </c>
      <c r="I207" s="1">
        <f t="shared" si="43"/>
        <v>0.35100438372353576</v>
      </c>
      <c r="J207" s="1">
        <f t="shared" si="44"/>
        <v>0.34242633240125137</v>
      </c>
      <c r="K207" s="1">
        <f t="shared" si="45"/>
        <v>0.34263598053891048</v>
      </c>
      <c r="L207" s="14">
        <f t="shared" si="46"/>
        <v>0.33425632412449635</v>
      </c>
      <c r="M207" s="7">
        <f t="shared" si="47"/>
        <v>-3.4440795650667764</v>
      </c>
    </row>
    <row r="208" spans="1:13" x14ac:dyDescent="0.25">
      <c r="A208" s="1">
        <f t="shared" si="48"/>
        <v>1.9800000000000015</v>
      </c>
      <c r="B208" s="4">
        <f t="shared" si="49"/>
        <v>-3.89669242947121</v>
      </c>
      <c r="C208" s="43">
        <f t="shared" si="50"/>
        <v>-6.8010112831809535E-2</v>
      </c>
      <c r="D208" s="3">
        <f t="shared" si="39"/>
        <v>0.37007026762257988</v>
      </c>
      <c r="E208" s="2">
        <f t="shared" si="40"/>
        <v>0.37192061896069278</v>
      </c>
      <c r="F208" s="2">
        <f t="shared" si="41"/>
        <v>0.37192987071738337</v>
      </c>
      <c r="G208" s="14">
        <f t="shared" si="42"/>
        <v>0.37378956632975374</v>
      </c>
      <c r="H208" s="1">
        <f t="shared" si="51"/>
        <v>0.37007026762257988</v>
      </c>
      <c r="I208" s="1">
        <f t="shared" si="43"/>
        <v>0.33299271156581617</v>
      </c>
      <c r="J208" s="1">
        <f t="shared" si="44"/>
        <v>0.32485279272642514</v>
      </c>
      <c r="K208" s="1">
        <f t="shared" si="45"/>
        <v>0.32505178172082549</v>
      </c>
      <c r="L208" s="14">
        <f t="shared" si="46"/>
        <v>0.31710026429207233</v>
      </c>
      <c r="M208" s="7">
        <f t="shared" si="47"/>
        <v>-3.235436085704543</v>
      </c>
    </row>
    <row r="209" spans="1:13" x14ac:dyDescent="0.25">
      <c r="A209" s="1">
        <f t="shared" si="48"/>
        <v>1.9900000000000015</v>
      </c>
      <c r="B209" s="4">
        <f t="shared" si="49"/>
        <v>-3.6835940689222806</v>
      </c>
      <c r="C209" s="43">
        <f t="shared" si="50"/>
        <v>-6.4290844809628725E-2</v>
      </c>
      <c r="D209" s="3">
        <f t="shared" si="39"/>
        <v>0.37332010449716718</v>
      </c>
      <c r="E209" s="2">
        <f t="shared" si="40"/>
        <v>0.37518670501965301</v>
      </c>
      <c r="F209" s="2">
        <f t="shared" si="41"/>
        <v>0.37519603802226542</v>
      </c>
      <c r="G209" s="14">
        <f t="shared" si="42"/>
        <v>0.37707206487738981</v>
      </c>
      <c r="H209" s="1">
        <f t="shared" si="51"/>
        <v>0.37332010449716718</v>
      </c>
      <c r="I209" s="1">
        <f t="shared" si="43"/>
        <v>0.31480816817615104</v>
      </c>
      <c r="J209" s="1">
        <f t="shared" si="44"/>
        <v>0.30711091546702257</v>
      </c>
      <c r="K209" s="1">
        <f t="shared" si="45"/>
        <v>0.30729912716711516</v>
      </c>
      <c r="L209" s="14">
        <f t="shared" si="46"/>
        <v>0.29978015647187961</v>
      </c>
      <c r="M209" s="7">
        <f t="shared" si="47"/>
        <v>-3.0252073073949481</v>
      </c>
    </row>
    <row r="210" spans="1:13" x14ac:dyDescent="0.25">
      <c r="A210" s="1">
        <f t="shared" si="48"/>
        <v>2.0000000000000013</v>
      </c>
      <c r="B210" s="4">
        <f t="shared" si="49"/>
        <v>-3.4686243477950613</v>
      </c>
      <c r="C210" s="43">
        <f t="shared" si="50"/>
        <v>-6.0538915383864737E-2</v>
      </c>
      <c r="D210" s="3">
        <f t="shared" si="39"/>
        <v>0.37639245184702769</v>
      </c>
      <c r="E210" s="2">
        <f t="shared" si="40"/>
        <v>0.37827441410626284</v>
      </c>
      <c r="F210" s="2">
        <f t="shared" si="41"/>
        <v>0.37828382391755899</v>
      </c>
      <c r="G210" s="14">
        <f t="shared" si="42"/>
        <v>0.38017529008620327</v>
      </c>
      <c r="H210" s="1">
        <f t="shared" si="51"/>
        <v>0.37639245184702769</v>
      </c>
      <c r="I210" s="1">
        <f t="shared" si="43"/>
        <v>0.29645952252716984</v>
      </c>
      <c r="J210" s="1">
        <f t="shared" si="44"/>
        <v>0.28920924690098926</v>
      </c>
      <c r="K210" s="1">
        <f t="shared" si="45"/>
        <v>0.28938656879205643</v>
      </c>
      <c r="L210" s="14">
        <f t="shared" si="46"/>
        <v>0.2823043355953177</v>
      </c>
      <c r="M210" s="7">
        <f t="shared" si="47"/>
        <v>-2.8134962380330975</v>
      </c>
    </row>
    <row r="211" spans="1:13" x14ac:dyDescent="0.25">
      <c r="A211" s="1">
        <f t="shared" si="48"/>
        <v>2.0100000000000011</v>
      </c>
      <c r="B211" s="4">
        <f t="shared" si="49"/>
        <v>-3.2518854702654698</v>
      </c>
      <c r="C211" s="43">
        <f t="shared" si="50"/>
        <v>-5.6756108353896613E-2</v>
      </c>
      <c r="D211" s="3">
        <f t="shared" si="39"/>
        <v>0.37928571099620867</v>
      </c>
      <c r="E211" s="2">
        <f t="shared" si="40"/>
        <v>0.38118213955118974</v>
      </c>
      <c r="F211" s="2">
        <f t="shared" si="41"/>
        <v>0.38119162169396464</v>
      </c>
      <c r="G211" s="14">
        <f t="shared" si="42"/>
        <v>0.38309762721314833</v>
      </c>
      <c r="H211" s="1">
        <f t="shared" si="51"/>
        <v>0.37928571099620867</v>
      </c>
      <c r="I211" s="1">
        <f t="shared" si="43"/>
        <v>0.27795564712491461</v>
      </c>
      <c r="J211" s="1">
        <f t="shared" si="44"/>
        <v>0.27115643281828511</v>
      </c>
      <c r="K211" s="1">
        <f t="shared" si="45"/>
        <v>0.27132275815643137</v>
      </c>
      <c r="L211" s="14">
        <f t="shared" si="46"/>
        <v>0.26468123241477282</v>
      </c>
      <c r="M211" s="7">
        <f t="shared" si="47"/>
        <v>-2.6004066118070615</v>
      </c>
    </row>
    <row r="212" spans="1:13" x14ac:dyDescent="0.25">
      <c r="A212" s="1">
        <f t="shared" si="48"/>
        <v>2.0200000000000009</v>
      </c>
      <c r="B212" s="4">
        <f t="shared" si="49"/>
        <v>-3.0334805610784463</v>
      </c>
      <c r="C212" s="43">
        <f t="shared" si="50"/>
        <v>-5.2944223586063835E-2</v>
      </c>
      <c r="D212" s="3">
        <f t="shared" si="39"/>
        <v>0.38199836976535723</v>
      </c>
      <c r="E212" s="2">
        <f t="shared" si="40"/>
        <v>0.38390836161418401</v>
      </c>
      <c r="F212" s="2">
        <f t="shared" si="41"/>
        <v>0.38391791157342814</v>
      </c>
      <c r="G212" s="14">
        <f t="shared" si="42"/>
        <v>0.38583754888109151</v>
      </c>
      <c r="H212" s="1">
        <f t="shared" si="51"/>
        <v>0.38199836976535723</v>
      </c>
      <c r="I212" s="1">
        <f t="shared" si="43"/>
        <v>0.25930551312614319</v>
      </c>
      <c r="J212" s="1">
        <f t="shared" si="44"/>
        <v>0.2529612138051327</v>
      </c>
      <c r="K212" s="1">
        <f t="shared" si="45"/>
        <v>0.25311644174660741</v>
      </c>
      <c r="L212" s="14">
        <f t="shared" si="46"/>
        <v>0.24691936894261707</v>
      </c>
      <c r="M212" s="7">
        <f t="shared" si="47"/>
        <v>-2.3860428383701846</v>
      </c>
    </row>
    <row r="213" spans="1:13" x14ac:dyDescent="0.25">
      <c r="A213" s="1">
        <f t="shared" si="48"/>
        <v>2.0300000000000007</v>
      </c>
      <c r="B213" s="4">
        <f t="shared" si="49"/>
        <v>-2.8135136157404297</v>
      </c>
      <c r="C213" s="43">
        <f t="shared" si="50"/>
        <v>-4.9105076144361048E-2</v>
      </c>
      <c r="D213" s="3">
        <f t="shared" si="39"/>
        <v>0.38452900342064428</v>
      </c>
      <c r="E213" s="2">
        <f t="shared" si="40"/>
        <v>0.38645164843774749</v>
      </c>
      <c r="F213" s="2">
        <f t="shared" si="41"/>
        <v>0.38646126166283301</v>
      </c>
      <c r="G213" s="14">
        <f t="shared" si="42"/>
        <v>0.38839361603727263</v>
      </c>
      <c r="H213" s="1">
        <f t="shared" si="51"/>
        <v>0.38452900342064428</v>
      </c>
      <c r="I213" s="1">
        <f t="shared" si="43"/>
        <v>0.24051818531705882</v>
      </c>
      <c r="J213" s="1">
        <f t="shared" si="44"/>
        <v>0.23463242039970175</v>
      </c>
      <c r="K213" s="1">
        <f t="shared" si="45"/>
        <v>0.23477645612463746</v>
      </c>
      <c r="L213" s="14">
        <f t="shared" si="46"/>
        <v>0.22902735377052946</v>
      </c>
      <c r="M213" s="7">
        <f t="shared" si="47"/>
        <v>-2.1705099516824751</v>
      </c>
    </row>
    <row r="214" spans="1:13" x14ac:dyDescent="0.25">
      <c r="A214" s="1">
        <f t="shared" si="48"/>
        <v>2.0400000000000005</v>
      </c>
      <c r="B214" s="4">
        <f t="shared" si="49"/>
        <v>-2.5920894501654121</v>
      </c>
      <c r="C214" s="43">
        <f t="shared" si="50"/>
        <v>-4.5240495411595916E-2</v>
      </c>
      <c r="D214" s="3">
        <f t="shared" si="39"/>
        <v>0.38687627557420473</v>
      </c>
      <c r="E214" s="2">
        <f t="shared" si="40"/>
        <v>0.38881065695207573</v>
      </c>
      <c r="F214" s="2">
        <f t="shared" si="41"/>
        <v>0.38882032885896511</v>
      </c>
      <c r="G214" s="14">
        <f t="shared" si="42"/>
        <v>0.39076447886279436</v>
      </c>
      <c r="H214" s="1">
        <f t="shared" si="51"/>
        <v>0.38687627557420473</v>
      </c>
      <c r="I214" s="1">
        <f t="shared" si="43"/>
        <v>0.2216028169589857</v>
      </c>
      <c r="J214" s="1">
        <f t="shared" si="44"/>
        <v>0.21617896812438697</v>
      </c>
      <c r="K214" s="1">
        <f t="shared" si="45"/>
        <v>0.21631172295455456</v>
      </c>
      <c r="L214" s="14">
        <f t="shared" si="46"/>
        <v>0.21101387727397966</v>
      </c>
      <c r="M214" s="7">
        <f t="shared" si="47"/>
        <v>-1.9539135585460188</v>
      </c>
    </row>
    <row r="215" spans="1:13" x14ac:dyDescent="0.25">
      <c r="A215" s="1">
        <f t="shared" si="48"/>
        <v>2.0500000000000003</v>
      </c>
      <c r="B215" s="4">
        <f t="shared" si="49"/>
        <v>-2.3693136498024958</v>
      </c>
      <c r="C215" s="43">
        <f t="shared" si="50"/>
        <v>-4.1352324201497447E-2</v>
      </c>
      <c r="D215" s="3">
        <f t="shared" si="39"/>
        <v>0.38903893903485615</v>
      </c>
      <c r="E215" s="2">
        <f t="shared" si="40"/>
        <v>0.39098413373003044</v>
      </c>
      <c r="F215" s="2">
        <f t="shared" si="41"/>
        <v>0.39099385970350631</v>
      </c>
      <c r="G215" s="14">
        <f t="shared" si="42"/>
        <v>0.39294887763189124</v>
      </c>
      <c r="H215" s="1">
        <f t="shared" si="51"/>
        <v>0.38903893903485615</v>
      </c>
      <c r="I215" s="1">
        <f t="shared" si="43"/>
        <v>0.20256864450696838</v>
      </c>
      <c r="J215" s="1">
        <f t="shared" si="44"/>
        <v>0.19760985240025944</v>
      </c>
      <c r="K215" s="1">
        <f t="shared" si="45"/>
        <v>0.19773124391045246</v>
      </c>
      <c r="L215" s="14">
        <f t="shared" si="46"/>
        <v>0.19288770670709104</v>
      </c>
      <c r="M215" s="7">
        <f t="shared" si="47"/>
        <v>-1.7363597868597902</v>
      </c>
    </row>
    <row r="216" spans="1:13" x14ac:dyDescent="0.25">
      <c r="A216" s="1">
        <f t="shared" si="48"/>
        <v>2.06</v>
      </c>
      <c r="B216" s="4">
        <f t="shared" si="49"/>
        <v>-2.1452925182735698</v>
      </c>
      <c r="C216" s="43">
        <f t="shared" si="50"/>
        <v>-3.744241786227441E-2</v>
      </c>
      <c r="D216" s="3">
        <f t="shared" si="39"/>
        <v>0.39101583660791528</v>
      </c>
      <c r="E216" s="2">
        <f t="shared" si="40"/>
        <v>0.39297091579095483</v>
      </c>
      <c r="F216" s="2">
        <f t="shared" si="41"/>
        <v>0.39298069118687007</v>
      </c>
      <c r="G216" s="14">
        <f t="shared" si="42"/>
        <v>0.39494564351978401</v>
      </c>
      <c r="H216" s="1">
        <f t="shared" si="51"/>
        <v>0.39101583660791528</v>
      </c>
      <c r="I216" s="1">
        <f t="shared" si="43"/>
        <v>0.18342498220770828</v>
      </c>
      <c r="J216" s="1">
        <f t="shared" si="44"/>
        <v>0.17893414334966168</v>
      </c>
      <c r="K216" s="1">
        <f t="shared" si="45"/>
        <v>0.17904409547234432</v>
      </c>
      <c r="L216" s="14">
        <f t="shared" si="46"/>
        <v>0.17465768119346206</v>
      </c>
      <c r="M216" s="7">
        <f t="shared" si="47"/>
        <v>-1.5179552336190985</v>
      </c>
    </row>
    <row r="217" spans="1:13" x14ac:dyDescent="0.25">
      <c r="A217" s="1">
        <f t="shared" si="48"/>
        <v>2.0699999999999998</v>
      </c>
      <c r="B217" s="4">
        <f t="shared" si="49"/>
        <v>-1.9201330255504352</v>
      </c>
      <c r="C217" s="43">
        <f t="shared" si="50"/>
        <v>-3.3512643372135498E-2</v>
      </c>
      <c r="D217" s="3">
        <f t="shared" si="39"/>
        <v>0.39280590184299058</v>
      </c>
      <c r="E217" s="2">
        <f t="shared" si="40"/>
        <v>0.39476993135220551</v>
      </c>
      <c r="F217" s="2">
        <f t="shared" si="41"/>
        <v>0.39477975149975159</v>
      </c>
      <c r="G217" s="14">
        <f t="shared" si="42"/>
        <v>0.3967536993579881</v>
      </c>
      <c r="H217" s="1">
        <f t="shared" si="51"/>
        <v>0.39280590184299058</v>
      </c>
      <c r="I217" s="1">
        <f t="shared" si="43"/>
        <v>0.16418121658367241</v>
      </c>
      <c r="J217" s="1">
        <f t="shared" si="44"/>
        <v>0.16016098049330108</v>
      </c>
      <c r="K217" s="1">
        <f t="shared" si="45"/>
        <v>0.16025942361616968</v>
      </c>
      <c r="L217" s="14">
        <f t="shared" si="46"/>
        <v>0.156332706618871</v>
      </c>
      <c r="M217" s="7">
        <f t="shared" si="47"/>
        <v>-1.2988069126851913</v>
      </c>
    </row>
    <row r="218" spans="1:13" x14ac:dyDescent="0.25">
      <c r="A218" s="1">
        <f t="shared" si="48"/>
        <v>2.0799999999999996</v>
      </c>
      <c r="B218" s="4">
        <f t="shared" si="49"/>
        <v>-1.6939427557013216</v>
      </c>
      <c r="C218" s="43">
        <f t="shared" si="50"/>
        <v>-2.9564878427294009E-2</v>
      </c>
      <c r="D218" s="3">
        <f t="shared" si="39"/>
        <v>0.39440815972869303</v>
      </c>
      <c r="E218" s="2">
        <f t="shared" si="40"/>
        <v>0.39638020052733647</v>
      </c>
      <c r="F218" s="2">
        <f t="shared" si="41"/>
        <v>0.39639006073132971</v>
      </c>
      <c r="G218" s="14">
        <f t="shared" si="42"/>
        <v>0.39837206033600631</v>
      </c>
      <c r="H218" s="1">
        <f t="shared" si="51"/>
        <v>0.39440815972869303</v>
      </c>
      <c r="I218" s="1">
        <f t="shared" si="43"/>
        <v>0.14484680081060436</v>
      </c>
      <c r="J218" s="1">
        <f t="shared" si="44"/>
        <v>0.14129956734855506</v>
      </c>
      <c r="K218" s="1">
        <f t="shared" si="45"/>
        <v>0.14138643840468751</v>
      </c>
      <c r="L218" s="14">
        <f t="shared" si="46"/>
        <v>0.13792175043211766</v>
      </c>
      <c r="M218" s="7">
        <f t="shared" si="47"/>
        <v>-1.079022202350606</v>
      </c>
    </row>
    <row r="219" spans="1:13" x14ac:dyDescent="0.25">
      <c r="A219" s="1">
        <f t="shared" si="48"/>
        <v>2.0899999999999994</v>
      </c>
      <c r="B219" s="4">
        <f t="shared" si="49"/>
        <v>-1.466829854237371</v>
      </c>
      <c r="C219" s="43">
        <f t="shared" si="50"/>
        <v>-2.5601010522990623E-2</v>
      </c>
      <c r="D219" s="3">
        <f t="shared" si="39"/>
        <v>0.39582172733327503</v>
      </c>
      <c r="E219" s="2">
        <f t="shared" si="40"/>
        <v>0.39780083596994142</v>
      </c>
      <c r="F219" s="2">
        <f t="shared" si="41"/>
        <v>0.39781073151312474</v>
      </c>
      <c r="G219" s="14">
        <f t="shared" si="42"/>
        <v>0.39979983464840629</v>
      </c>
      <c r="H219" s="1">
        <f t="shared" si="51"/>
        <v>0.39582172733327503</v>
      </c>
      <c r="I219" s="1">
        <f t="shared" si="43"/>
        <v>0.12543124899604416</v>
      </c>
      <c r="J219" s="1">
        <f t="shared" si="44"/>
        <v>0.12235916593604158</v>
      </c>
      <c r="K219" s="1">
        <f t="shared" si="45"/>
        <v>0.12243440848632919</v>
      </c>
      <c r="L219" s="14">
        <f t="shared" si="46"/>
        <v>0.11943383636056366</v>
      </c>
      <c r="M219" s="7">
        <f t="shared" si="47"/>
        <v>-0.85870879272595213</v>
      </c>
    </row>
    <row r="220" spans="1:13" x14ac:dyDescent="0.25">
      <c r="A220" s="1">
        <f t="shared" si="48"/>
        <v>2.0999999999999992</v>
      </c>
      <c r="B220" s="4">
        <f t="shared" si="49"/>
        <v>-1.2389029750902183</v>
      </c>
      <c r="C220" s="43">
        <f t="shared" si="50"/>
        <v>-2.1622936028077602E-2</v>
      </c>
      <c r="D220" s="3">
        <f t="shared" si="39"/>
        <v>0.39704581439027731</v>
      </c>
      <c r="E220" s="2">
        <f t="shared" si="40"/>
        <v>0.39903104346222867</v>
      </c>
      <c r="F220" s="2">
        <f t="shared" si="41"/>
        <v>0.39904096960758845</v>
      </c>
      <c r="G220" s="14">
        <f t="shared" si="42"/>
        <v>0.4010362240863532</v>
      </c>
      <c r="H220" s="1">
        <f t="shared" si="51"/>
        <v>0.39704581439027731</v>
      </c>
      <c r="I220" s="1">
        <f t="shared" si="43"/>
        <v>0.1059441303668113</v>
      </c>
      <c r="J220" s="1">
        <f t="shared" si="44"/>
        <v>0.10334909120182405</v>
      </c>
      <c r="K220" s="1">
        <f t="shared" si="45"/>
        <v>0.1034126555094063</v>
      </c>
      <c r="L220" s="14">
        <f t="shared" si="46"/>
        <v>0.10087803904722237</v>
      </c>
      <c r="M220" s="7">
        <f t="shared" si="47"/>
        <v>-0.63797463297391366</v>
      </c>
    </row>
    <row r="221" spans="1:13" x14ac:dyDescent="0.25">
      <c r="A221" s="1">
        <f t="shared" si="48"/>
        <v>2.109999999999999</v>
      </c>
      <c r="B221" s="4">
        <f t="shared" si="49"/>
        <v>-1.010271227252338</v>
      </c>
      <c r="C221" s="43">
        <f t="shared" si="50"/>
        <v>-1.7632559253717161E-2</v>
      </c>
      <c r="D221" s="3">
        <f t="shared" si="39"/>
        <v>0.39807972382833812</v>
      </c>
      <c r="E221" s="2">
        <f t="shared" si="40"/>
        <v>0.4000701224474798</v>
      </c>
      <c r="F221" s="2">
        <f t="shared" si="41"/>
        <v>0.40008007444057553</v>
      </c>
      <c r="G221" s="14">
        <f t="shared" si="42"/>
        <v>0.40208052457274385</v>
      </c>
      <c r="H221" s="1">
        <f t="shared" si="51"/>
        <v>0.39807972382833812</v>
      </c>
      <c r="I221" s="1">
        <f t="shared" si="43"/>
        <v>8.6395063373729153E-2</v>
      </c>
      <c r="J221" s="1">
        <f t="shared" si="44"/>
        <v>8.4278705362913722E-2</v>
      </c>
      <c r="K221" s="1">
        <f t="shared" si="45"/>
        <v>8.4330548459361443E-2</v>
      </c>
      <c r="L221" s="14">
        <f t="shared" si="46"/>
        <v>8.2263478616514327E-2</v>
      </c>
      <c r="M221" s="7">
        <f t="shared" si="47"/>
        <v>-0.41692787841631845</v>
      </c>
    </row>
    <row r="222" spans="1:13" x14ac:dyDescent="0.25">
      <c r="A222" s="1">
        <f t="shared" si="48"/>
        <v>2.1199999999999988</v>
      </c>
      <c r="B222" s="4">
        <f t="shared" si="49"/>
        <v>-0.78104412111231047</v>
      </c>
      <c r="C222" s="43">
        <f t="shared" si="50"/>
        <v>-1.3631791516755174E-2</v>
      </c>
      <c r="D222" s="3">
        <f t="shared" si="39"/>
        <v>0.39892285224439611</v>
      </c>
      <c r="E222" s="2">
        <f t="shared" si="40"/>
        <v>0.4009174665056181</v>
      </c>
      <c r="F222" s="2">
        <f t="shared" si="41"/>
        <v>0.40092743957692423</v>
      </c>
      <c r="G222" s="14">
        <f t="shared" si="42"/>
        <v>0.40293212664016537</v>
      </c>
      <c r="H222" s="1">
        <f t="shared" si="51"/>
        <v>0.39892285224439611</v>
      </c>
      <c r="I222" s="1">
        <f t="shared" si="43"/>
        <v>6.6793709722162573E-2</v>
      </c>
      <c r="J222" s="1">
        <f t="shared" si="44"/>
        <v>6.5157412183998578E-2</v>
      </c>
      <c r="K222" s="1">
        <f t="shared" si="45"/>
        <v>6.5197497927018122E-2</v>
      </c>
      <c r="L222" s="14">
        <f t="shared" si="46"/>
        <v>6.359931517604811E-2</v>
      </c>
      <c r="M222" s="7">
        <f t="shared" si="47"/>
        <v>-0.19567683754019513</v>
      </c>
    </row>
    <row r="223" spans="1:13" x14ac:dyDescent="0.25">
      <c r="A223" s="1">
        <f t="shared" si="48"/>
        <v>2.1299999999999986</v>
      </c>
      <c r="B223" s="4">
        <f t="shared" si="49"/>
        <v>-0.55133151451760343</v>
      </c>
      <c r="C223" s="43">
        <f t="shared" si="50"/>
        <v>-9.6225501983390957E-3</v>
      </c>
      <c r="D223" s="3">
        <f t="shared" si="39"/>
        <v>0.39957469031959653</v>
      </c>
      <c r="E223" s="2">
        <f t="shared" si="40"/>
        <v>0.40157256377119449</v>
      </c>
      <c r="F223" s="2">
        <f t="shared" si="41"/>
        <v>0.40158255313845248</v>
      </c>
      <c r="G223" s="14">
        <f t="shared" si="42"/>
        <v>0.40359051585098105</v>
      </c>
      <c r="H223" s="1">
        <f t="shared" si="51"/>
        <v>0.39957469031959653</v>
      </c>
      <c r="I223" s="1">
        <f t="shared" si="43"/>
        <v>4.7149768337206355E-2</v>
      </c>
      <c r="J223" s="1">
        <f t="shared" si="44"/>
        <v>4.5994651193567798E-2</v>
      </c>
      <c r="K223" s="1">
        <f t="shared" si="45"/>
        <v>4.6022950316027149E-2</v>
      </c>
      <c r="L223" s="14">
        <f t="shared" si="46"/>
        <v>4.4894743262004544E-2</v>
      </c>
      <c r="M223" s="7">
        <f t="shared" si="47"/>
        <v>2.5670081071228368E-2</v>
      </c>
    </row>
    <row r="224" spans="1:13" x14ac:dyDescent="0.25">
      <c r="A224" s="1">
        <f t="shared" si="48"/>
        <v>2.1399999999999983</v>
      </c>
      <c r="B224" s="4">
        <f t="shared" si="49"/>
        <v>-0.32124355859785891</v>
      </c>
      <c r="C224" s="43">
        <f t="shared" si="50"/>
        <v>-5.6067577983559764E-3</v>
      </c>
      <c r="D224" s="3">
        <f t="shared" si="39"/>
        <v>0.40003482317729389</v>
      </c>
      <c r="E224" s="2">
        <f t="shared" si="40"/>
        <v>0.40203499729318037</v>
      </c>
      <c r="F224" s="2">
        <f t="shared" si="41"/>
        <v>0.40204499816375977</v>
      </c>
      <c r="G224" s="14">
        <f t="shared" si="42"/>
        <v>0.40405527315893147</v>
      </c>
      <c r="H224" s="1">
        <f t="shared" si="51"/>
        <v>0.40003482317729389</v>
      </c>
      <c r="I224" s="1">
        <f t="shared" si="43"/>
        <v>2.7472969272595214E-2</v>
      </c>
      <c r="J224" s="1">
        <f t="shared" si="44"/>
        <v>2.6799891847813884E-2</v>
      </c>
      <c r="K224" s="1">
        <f t="shared" si="45"/>
        <v>2.6816381997920843E-2</v>
      </c>
      <c r="L224" s="14">
        <f t="shared" si="46"/>
        <v>2.6158986235894972E-2</v>
      </c>
      <c r="M224" s="7">
        <f t="shared" si="47"/>
        <v>0.24700442185652524</v>
      </c>
    </row>
    <row r="225" spans="1:13" x14ac:dyDescent="0.25">
      <c r="A225" s="1">
        <f t="shared" si="48"/>
        <v>2.1499999999999981</v>
      </c>
      <c r="B225" s="4">
        <f t="shared" si="49"/>
        <v>-9.0890643382032801E-2</v>
      </c>
      <c r="C225" s="43">
        <f t="shared" si="50"/>
        <v>-1.5863409862724668E-3</v>
      </c>
      <c r="D225" s="3">
        <f t="shared" si="39"/>
        <v>0.40030293068262718</v>
      </c>
      <c r="E225" s="2">
        <f t="shared" si="40"/>
        <v>0.40230444533604032</v>
      </c>
      <c r="F225" s="2">
        <f t="shared" si="41"/>
        <v>0.4023144529093074</v>
      </c>
      <c r="G225" s="14">
        <f t="shared" si="42"/>
        <v>0.40432607521172026</v>
      </c>
      <c r="H225" s="1">
        <f t="shared" si="51"/>
        <v>0.40030293068262718</v>
      </c>
      <c r="I225" s="1">
        <f t="shared" si="43"/>
        <v>7.7730675726088976E-3</v>
      </c>
      <c r="J225" s="1">
        <f t="shared" si="44"/>
        <v>7.5826276508764116E-3</v>
      </c>
      <c r="K225" s="1">
        <f t="shared" si="45"/>
        <v>7.5872934233688965E-3</v>
      </c>
      <c r="L225" s="14">
        <f t="shared" si="46"/>
        <v>7.4012906406315526E-3</v>
      </c>
      <c r="M225" s="7">
        <f t="shared" si="47"/>
        <v>0.46821773541717848</v>
      </c>
    </row>
    <row r="226" spans="1:13" x14ac:dyDescent="0.25">
      <c r="A226" s="1">
        <f t="shared" si="48"/>
        <v>2.1599999999999979</v>
      </c>
      <c r="B226" s="4">
        <f t="shared" si="49"/>
        <v>0.13961665675697135</v>
      </c>
      <c r="C226" s="43">
        <f t="shared" si="50"/>
        <v>2.4367703510359386E-3</v>
      </c>
      <c r="D226" s="3">
        <f t="shared" si="39"/>
        <v>0.40037878768323004</v>
      </c>
      <c r="E226" s="2">
        <f t="shared" si="40"/>
        <v>0.4023806816216462</v>
      </c>
      <c r="F226" s="2">
        <f t="shared" si="41"/>
        <v>0.40239069109133829</v>
      </c>
      <c r="G226" s="14">
        <f t="shared" si="42"/>
        <v>0.40440269459414341</v>
      </c>
      <c r="H226" s="1">
        <f t="shared" si="51"/>
        <v>0.40037878768323004</v>
      </c>
      <c r="I226" s="1">
        <f t="shared" si="43"/>
        <v>-1.1940162903585709E-2</v>
      </c>
      <c r="J226" s="1">
        <f t="shared" si="44"/>
        <v>-1.1647629759854157E-2</v>
      </c>
      <c r="K226" s="1">
        <f t="shared" si="45"/>
        <v>-1.165479680161453E-2</v>
      </c>
      <c r="L226" s="14">
        <f t="shared" si="46"/>
        <v>-1.1369079476013046E-2</v>
      </c>
      <c r="M226" s="7">
        <f t="shared" si="47"/>
        <v>0.68920163165558079</v>
      </c>
    </row>
    <row r="227" spans="1:13" x14ac:dyDescent="0.25">
      <c r="A227" s="1">
        <f t="shared" si="48"/>
        <v>2.1699999999999977</v>
      </c>
      <c r="B227" s="4">
        <f t="shared" si="49"/>
        <v>0.37016763779627715</v>
      </c>
      <c r="C227" s="43">
        <f t="shared" si="50"/>
        <v>6.4606440638748427E-3</v>
      </c>
      <c r="D227" s="3">
        <f t="shared" si="39"/>
        <v>0.4002622641907258</v>
      </c>
      <c r="E227" s="2">
        <f t="shared" si="40"/>
        <v>0.40226357551167941</v>
      </c>
      <c r="F227" s="2">
        <f t="shared" si="41"/>
        <v>0.40227358206828417</v>
      </c>
      <c r="G227" s="14">
        <f t="shared" si="42"/>
        <v>0.40428500001140866</v>
      </c>
      <c r="H227" s="1">
        <f t="shared" si="51"/>
        <v>0.4002622641907258</v>
      </c>
      <c r="I227" s="1">
        <f t="shared" si="43"/>
        <v>-3.1656935685578064E-2</v>
      </c>
      <c r="J227" s="1">
        <f t="shared" si="44"/>
        <v>-3.0881356554532318E-2</v>
      </c>
      <c r="K227" s="1">
        <f t="shared" si="45"/>
        <v>-3.0900357865640934E-2</v>
      </c>
      <c r="L227" s="14">
        <f t="shared" si="46"/>
        <v>-3.0142848262367478E-2</v>
      </c>
      <c r="M227" s="7">
        <f t="shared" si="47"/>
        <v>0.90984783288402282</v>
      </c>
    </row>
    <row r="228" spans="1:13" x14ac:dyDescent="0.25">
      <c r="A228" s="1">
        <f t="shared" si="48"/>
        <v>2.1799999999999975</v>
      </c>
      <c r="B228" s="4">
        <f t="shared" si="49"/>
        <v>0.60065152086152085</v>
      </c>
      <c r="C228" s="43">
        <f t="shared" si="50"/>
        <v>1.0483346696144945E-2</v>
      </c>
      <c r="D228" s="3">
        <f t="shared" si="39"/>
        <v>0.39995332550274532</v>
      </c>
      <c r="E228" s="2">
        <f t="shared" si="40"/>
        <v>0.40195309213025904</v>
      </c>
      <c r="F228" s="2">
        <f t="shared" si="41"/>
        <v>0.40196309096339661</v>
      </c>
      <c r="G228" s="14">
        <f t="shared" si="42"/>
        <v>0.40397295641237929</v>
      </c>
      <c r="H228" s="1">
        <f t="shared" si="51"/>
        <v>0.39995332550274532</v>
      </c>
      <c r="I228" s="1">
        <f t="shared" si="43"/>
        <v>-5.136745791366544E-2</v>
      </c>
      <c r="J228" s="1">
        <f t="shared" si="44"/>
        <v>-5.0109022668821022E-2</v>
      </c>
      <c r="K228" s="1">
        <f t="shared" si="45"/>
        <v>-5.0139852719130885E-2</v>
      </c>
      <c r="L228" s="14">
        <f t="shared" si="46"/>
        <v>-4.8910733779972383E-2</v>
      </c>
      <c r="M228" s="7">
        <f t="shared" si="47"/>
        <v>1.1300482268785927</v>
      </c>
    </row>
    <row r="229" spans="1:13" x14ac:dyDescent="0.25">
      <c r="A229" s="1">
        <f t="shared" si="48"/>
        <v>2.1899999999999973</v>
      </c>
      <c r="B229" s="4">
        <f t="shared" si="49"/>
        <v>0.83095750709559857</v>
      </c>
      <c r="C229" s="43">
        <f t="shared" si="50"/>
        <v>1.4502944442982339E-2</v>
      </c>
      <c r="D229" s="3">
        <f t="shared" si="39"/>
        <v>0.39945203226529608</v>
      </c>
      <c r="E229" s="2">
        <f t="shared" si="40"/>
        <v>0.40144929242662253</v>
      </c>
      <c r="F229" s="2">
        <f t="shared" si="41"/>
        <v>0.4014592787274292</v>
      </c>
      <c r="G229" s="14">
        <f t="shared" si="42"/>
        <v>0.40346662505257036</v>
      </c>
      <c r="H229" s="1">
        <f t="shared" si="51"/>
        <v>0.39945203226529608</v>
      </c>
      <c r="I229" s="1">
        <f t="shared" si="43"/>
        <v>-7.1061936569368933E-2</v>
      </c>
      <c r="J229" s="1">
        <f t="shared" si="44"/>
        <v>-6.9321097770030954E-2</v>
      </c>
      <c r="K229" s="1">
        <f t="shared" si="45"/>
        <v>-6.9363744049686787E-2</v>
      </c>
      <c r="L229" s="14">
        <f t="shared" si="46"/>
        <v>-6.7663453728512499E-2</v>
      </c>
      <c r="M229" s="7">
        <f t="shared" si="47"/>
        <v>1.3496949198520047</v>
      </c>
    </row>
    <row r="230" spans="1:13" x14ac:dyDescent="0.25">
      <c r="A230" s="1">
        <f t="shared" si="48"/>
        <v>2.1999999999999971</v>
      </c>
      <c r="B230" s="4">
        <f t="shared" si="49"/>
        <v>1.0609748325633279</v>
      </c>
      <c r="C230" s="43">
        <f t="shared" si="50"/>
        <v>1.8517504109025622E-2</v>
      </c>
      <c r="D230" s="3">
        <f t="shared" si="39"/>
        <v>0.39875854047540055</v>
      </c>
      <c r="E230" s="2">
        <f t="shared" si="40"/>
        <v>0.40075233317777753</v>
      </c>
      <c r="F230" s="2">
        <f t="shared" si="41"/>
        <v>0.40076230214128944</v>
      </c>
      <c r="G230" s="14">
        <f t="shared" si="42"/>
        <v>0.40276616349681343</v>
      </c>
      <c r="H230" s="1">
        <f t="shared" si="51"/>
        <v>0.39875854047540055</v>
      </c>
      <c r="I230" s="1">
        <f t="shared" si="43"/>
        <v>-9.0730584704740783E-2</v>
      </c>
      <c r="J230" s="1">
        <f t="shared" si="44"/>
        <v>-8.8508057222416198E-2</v>
      </c>
      <c r="K230" s="1">
        <f t="shared" si="45"/>
        <v>-8.856250025660331E-2</v>
      </c>
      <c r="L230" s="14">
        <f t="shared" si="46"/>
        <v>-8.6391731170217118E-2</v>
      </c>
      <c r="M230" s="7">
        <f t="shared" si="47"/>
        <v>1.5686802893193943</v>
      </c>
    </row>
    <row r="231" spans="1:13" x14ac:dyDescent="0.25">
      <c r="A231" s="1">
        <f t="shared" si="48"/>
        <v>2.2099999999999969</v>
      </c>
      <c r="B231" s="4">
        <f t="shared" si="49"/>
        <v>1.2905928231576285</v>
      </c>
      <c r="C231" s="43">
        <f t="shared" si="50"/>
        <v>2.2525094066709536E-2</v>
      </c>
      <c r="D231" s="3">
        <f t="shared" si="39"/>
        <v>0.39787310142401222</v>
      </c>
      <c r="E231" s="2">
        <f t="shared" si="40"/>
        <v>0.39986246693113225</v>
      </c>
      <c r="F231" s="2">
        <f t="shared" si="41"/>
        <v>0.39987241375866789</v>
      </c>
      <c r="G231" s="14">
        <f t="shared" si="42"/>
        <v>0.40187182556159889</v>
      </c>
      <c r="H231" s="1">
        <f t="shared" si="51"/>
        <v>0.39787310142401222</v>
      </c>
      <c r="I231" s="1">
        <f t="shared" si="43"/>
        <v>-0.11036362766069505</v>
      </c>
      <c r="J231" s="1">
        <f t="shared" si="44"/>
        <v>-0.10766038804261117</v>
      </c>
      <c r="K231" s="1">
        <f t="shared" si="45"/>
        <v>-0.10772660141546826</v>
      </c>
      <c r="L231" s="14">
        <f t="shared" si="46"/>
        <v>-0.10508630024537922</v>
      </c>
      <c r="M231" s="7">
        <f t="shared" si="47"/>
        <v>1.7868970368311823</v>
      </c>
    </row>
    <row r="232" spans="1:13" x14ac:dyDescent="0.25">
      <c r="A232" s="1">
        <f t="shared" si="48"/>
        <v>2.2199999999999966</v>
      </c>
      <c r="B232" s="4">
        <f t="shared" si="49"/>
        <v>1.5197009494728311</v>
      </c>
      <c r="C232" s="43">
        <f t="shared" si="50"/>
        <v>2.6523785213984886E-2</v>
      </c>
      <c r="D232" s="3">
        <f t="shared" si="39"/>
        <v>0.39679606157930852</v>
      </c>
      <c r="E232" s="2">
        <f t="shared" si="40"/>
        <v>0.39878004188720506</v>
      </c>
      <c r="F232" s="2">
        <f t="shared" si="41"/>
        <v>0.39878996178874454</v>
      </c>
      <c r="G232" s="14">
        <f t="shared" si="42"/>
        <v>0.40078396119719595</v>
      </c>
      <c r="H232" s="1">
        <f t="shared" si="51"/>
        <v>0.39679606157930852</v>
      </c>
      <c r="I232" s="1">
        <f t="shared" si="43"/>
        <v>-0.12995130926463491</v>
      </c>
      <c r="J232" s="1">
        <f t="shared" si="44"/>
        <v>-0.1267685948362301</v>
      </c>
      <c r="K232" s="1">
        <f t="shared" si="45"/>
        <v>-0.12684654522384331</v>
      </c>
      <c r="L232" s="14">
        <f t="shared" si="46"/>
        <v>-0.12373791187067651</v>
      </c>
      <c r="M232" s="7">
        <f t="shared" si="47"/>
        <v>2.004238240547171</v>
      </c>
    </row>
    <row r="233" spans="1:13" x14ac:dyDescent="0.25">
      <c r="A233" s="1">
        <f t="shared" si="48"/>
        <v>2.2299999999999964</v>
      </c>
      <c r="B233" s="4">
        <f t="shared" si="49"/>
        <v>1.7481888816107856</v>
      </c>
      <c r="C233" s="43">
        <f t="shared" si="50"/>
        <v>3.0511651930865559E-2</v>
      </c>
      <c r="D233" s="3">
        <f t="shared" si="39"/>
        <v>0.39552786241054944</v>
      </c>
      <c r="E233" s="2">
        <f t="shared" si="40"/>
        <v>0.39750550172260218</v>
      </c>
      <c r="F233" s="2">
        <f t="shared" si="41"/>
        <v>0.39751538991916247</v>
      </c>
      <c r="G233" s="14">
        <f t="shared" si="42"/>
        <v>0.39950301630974105</v>
      </c>
      <c r="H233" s="1">
        <f t="shared" si="51"/>
        <v>0.39552786241054944</v>
      </c>
      <c r="I233" s="1">
        <f t="shared" si="43"/>
        <v>-0.14948389799772646</v>
      </c>
      <c r="J233" s="1">
        <f t="shared" si="44"/>
        <v>-0.14582320570671933</v>
      </c>
      <c r="K233" s="1">
        <f t="shared" si="45"/>
        <v>-0.14591285291908329</v>
      </c>
      <c r="L233" s="14">
        <f t="shared" si="46"/>
        <v>-0.14233733941203899</v>
      </c>
      <c r="M233" s="7">
        <f t="shared" si="47"/>
        <v>2.2205974076261032</v>
      </c>
    </row>
    <row r="234" spans="1:13" x14ac:dyDescent="0.25">
      <c r="A234" s="1">
        <f t="shared" si="48"/>
        <v>2.2399999999999962</v>
      </c>
      <c r="B234" s="4">
        <f t="shared" si="49"/>
        <v>1.9759465438855377</v>
      </c>
      <c r="C234" s="43">
        <f t="shared" si="50"/>
        <v>3.4486773034205262E-2</v>
      </c>
      <c r="D234" s="3">
        <f t="shared" si="39"/>
        <v>0.39406904015278049</v>
      </c>
      <c r="E234" s="2">
        <f t="shared" si="40"/>
        <v>0.39603938535354438</v>
      </c>
      <c r="F234" s="2">
        <f t="shared" si="41"/>
        <v>0.3960492370795482</v>
      </c>
      <c r="G234" s="14">
        <f t="shared" si="42"/>
        <v>0.39802953252357598</v>
      </c>
      <c r="H234" s="1">
        <f t="shared" si="51"/>
        <v>0.39406904015278049</v>
      </c>
      <c r="I234" s="1">
        <f t="shared" si="43"/>
        <v>-0.16895169312228001</v>
      </c>
      <c r="J234" s="1">
        <f t="shared" si="44"/>
        <v>-0.16481477812765269</v>
      </c>
      <c r="K234" s="1">
        <f t="shared" si="45"/>
        <v>-0.16491607515945306</v>
      </c>
      <c r="L234" s="14">
        <f t="shared" si="46"/>
        <v>-0.16087538432389845</v>
      </c>
      <c r="M234" s="7">
        <f t="shared" si="47"/>
        <v>2.4358685264050348</v>
      </c>
    </row>
    <row r="235" spans="1:13" x14ac:dyDescent="0.25">
      <c r="A235" s="1">
        <f t="shared" si="48"/>
        <v>2.249999999999996</v>
      </c>
      <c r="B235" s="4">
        <f t="shared" si="49"/>
        <v>2.2028641693925159</v>
      </c>
      <c r="C235" s="43">
        <f t="shared" si="50"/>
        <v>3.8447232730109498E-2</v>
      </c>
      <c r="D235" s="3">
        <f t="shared" si="39"/>
        <v>0.39242022551274652</v>
      </c>
      <c r="E235" s="2">
        <f t="shared" si="40"/>
        <v>0.39438232664031025</v>
      </c>
      <c r="F235" s="2">
        <f t="shared" si="41"/>
        <v>0.39439213714594806</v>
      </c>
      <c r="G235" s="14">
        <f t="shared" si="42"/>
        <v>0.39636414688420601</v>
      </c>
      <c r="H235" s="1">
        <f t="shared" si="51"/>
        <v>0.39242022551274652</v>
      </c>
      <c r="I235" s="1">
        <f t="shared" si="43"/>
        <v>-0.18834503075984674</v>
      </c>
      <c r="J235" s="1">
        <f t="shared" si="44"/>
        <v>-0.18373390476979132</v>
      </c>
      <c r="K235" s="1">
        <f t="shared" si="45"/>
        <v>-0.1838467978598339</v>
      </c>
      <c r="L235" s="14">
        <f t="shared" si="46"/>
        <v>-0.17934288174677393</v>
      </c>
      <c r="M235" s="7">
        <f t="shared" si="47"/>
        <v>2.6499461183428927</v>
      </c>
    </row>
    <row r="236" spans="1:13" x14ac:dyDescent="0.25">
      <c r="A236" s="1">
        <f t="shared" si="48"/>
        <v>2.2599999999999958</v>
      </c>
      <c r="B236" s="4">
        <f t="shared" si="49"/>
        <v>2.4288323544083745</v>
      </c>
      <c r="C236" s="43">
        <f t="shared" si="50"/>
        <v>4.2391121563391948E-2</v>
      </c>
      <c r="D236" s="3">
        <f t="shared" si="39"/>
        <v>0.39058214331647007</v>
      </c>
      <c r="E236" s="2">
        <f t="shared" si="40"/>
        <v>0.39253505403305239</v>
      </c>
      <c r="F236" s="2">
        <f t="shared" si="41"/>
        <v>0.39254481858663531</v>
      </c>
      <c r="G236" s="14">
        <f t="shared" si="42"/>
        <v>0.39450759150233644</v>
      </c>
      <c r="H236" s="1">
        <f t="shared" si="51"/>
        <v>0.39058214331647007</v>
      </c>
      <c r="I236" s="1">
        <f t="shared" si="43"/>
        <v>-0.20765428991081858</v>
      </c>
      <c r="J236" s="1">
        <f t="shared" si="44"/>
        <v>-0.20257121927439362</v>
      </c>
      <c r="K236" s="1">
        <f t="shared" si="45"/>
        <v>-0.2026956479734745</v>
      </c>
      <c r="L236" s="14">
        <f t="shared" si="46"/>
        <v>-0.197730706055295</v>
      </c>
      <c r="M236" s="7">
        <f t="shared" si="47"/>
        <v>2.8627252897029023</v>
      </c>
    </row>
    <row r="237" spans="1:13" x14ac:dyDescent="0.25">
      <c r="A237" s="1">
        <f t="shared" si="48"/>
        <v>2.2699999999999956</v>
      </c>
      <c r="B237" s="4">
        <f t="shared" si="49"/>
        <v>2.6537421125879006</v>
      </c>
      <c r="C237" s="43">
        <f t="shared" si="50"/>
        <v>4.6316537363488917E-2</v>
      </c>
      <c r="D237" s="3">
        <f t="shared" si="39"/>
        <v>0.38855561209903366</v>
      </c>
      <c r="E237" s="2">
        <f t="shared" si="40"/>
        <v>0.39049839015952881</v>
      </c>
      <c r="F237" s="2">
        <f t="shared" si="41"/>
        <v>0.39050810404983133</v>
      </c>
      <c r="G237" s="14">
        <f t="shared" si="42"/>
        <v>0.39246069313953197</v>
      </c>
      <c r="H237" s="1">
        <f t="shared" si="51"/>
        <v>0.38855561209903366</v>
      </c>
      <c r="I237" s="1">
        <f t="shared" si="43"/>
        <v>-0.22686989840653177</v>
      </c>
      <c r="J237" s="1">
        <f t="shared" si="44"/>
        <v>-0.22131740196444999</v>
      </c>
      <c r="K237" s="1">
        <f t="shared" si="45"/>
        <v>-0.22145329921143403</v>
      </c>
      <c r="L237" s="14">
        <f t="shared" si="46"/>
        <v>-0.21602977634893761</v>
      </c>
      <c r="M237" s="7">
        <f t="shared" si="47"/>
        <v>3.0741017829483837</v>
      </c>
    </row>
    <row r="238" spans="1:13" x14ac:dyDescent="0.25">
      <c r="A238" s="1">
        <f t="shared" si="48"/>
        <v>2.2799999999999954</v>
      </c>
      <c r="B238" s="4">
        <f t="shared" si="49"/>
        <v>2.8774849289247015</v>
      </c>
      <c r="C238" s="43">
        <f t="shared" si="50"/>
        <v>5.0221586186251062E-2</v>
      </c>
      <c r="D238" s="3">
        <f t="shared" si="39"/>
        <v>0.38634154363718826</v>
      </c>
      <c r="E238" s="2">
        <f t="shared" si="40"/>
        <v>0.38827325135537422</v>
      </c>
      <c r="F238" s="2">
        <f t="shared" si="41"/>
        <v>0.38828290989396513</v>
      </c>
      <c r="G238" s="14">
        <f t="shared" si="42"/>
        <v>0.39022437273612792</v>
      </c>
      <c r="H238" s="1">
        <f t="shared" si="51"/>
        <v>0.38634154363718826</v>
      </c>
      <c r="I238" s="1">
        <f t="shared" si="43"/>
        <v>-0.24598233878512091</v>
      </c>
      <c r="J238" s="1">
        <f t="shared" si="44"/>
        <v>-0.23996318548574183</v>
      </c>
      <c r="K238" s="1">
        <f t="shared" si="45"/>
        <v>-0.24011047769158897</v>
      </c>
      <c r="L238" s="14">
        <f t="shared" si="46"/>
        <v>-0.23423106187794807</v>
      </c>
      <c r="M238" s="7">
        <f t="shared" si="47"/>
        <v>3.2839720278268691</v>
      </c>
    </row>
    <row r="239" spans="1:13" x14ac:dyDescent="0.25">
      <c r="A239" s="1">
        <f t="shared" si="48"/>
        <v>2.2899999999999952</v>
      </c>
      <c r="B239" s="4">
        <f t="shared" si="49"/>
        <v>3.0999528134427612</v>
      </c>
      <c r="C239" s="43">
        <f t="shared" si="50"/>
        <v>5.4104383251037717E-2</v>
      </c>
      <c r="D239" s="3">
        <f t="shared" si="39"/>
        <v>0.38394094242549204</v>
      </c>
      <c r="E239" s="2">
        <f t="shared" si="40"/>
        <v>0.38586064713761947</v>
      </c>
      <c r="F239" s="2">
        <f t="shared" si="41"/>
        <v>0.38587024566118011</v>
      </c>
      <c r="G239" s="14">
        <f t="shared" si="42"/>
        <v>0.38779964488210383</v>
      </c>
      <c r="H239" s="1">
        <f t="shared" si="51"/>
        <v>0.38394094242549204</v>
      </c>
      <c r="I239" s="1">
        <f t="shared" si="43"/>
        <v>-0.2649821540826458</v>
      </c>
      <c r="J239" s="1">
        <f t="shared" si="44"/>
        <v>-0.25849936036987153</v>
      </c>
      <c r="K239" s="1">
        <f t="shared" si="45"/>
        <v>-0.25865796750932402</v>
      </c>
      <c r="L239" s="14">
        <f t="shared" si="46"/>
        <v>-0.2523255873971586</v>
      </c>
      <c r="M239" s="7">
        <f t="shared" si="47"/>
        <v>3.4922331921174528</v>
      </c>
    </row>
    <row r="240" spans="1:13" x14ac:dyDescent="0.25">
      <c r="A240" s="1">
        <f t="shared" si="48"/>
        <v>2.2999999999999949</v>
      </c>
      <c r="B240" s="4">
        <f t="shared" si="49"/>
        <v>3.3210383545863293</v>
      </c>
      <c r="C240" s="43">
        <f t="shared" si="50"/>
        <v>5.7963053872546376E-2</v>
      </c>
      <c r="D240" s="3">
        <f t="shared" si="39"/>
        <v>0.38135490509676173</v>
      </c>
      <c r="E240" s="2">
        <f t="shared" si="40"/>
        <v>0.38326167962224555</v>
      </c>
      <c r="F240" s="2">
        <f t="shared" si="41"/>
        <v>0.38327121349487298</v>
      </c>
      <c r="G240" s="14">
        <f t="shared" si="42"/>
        <v>0.38518761723171047</v>
      </c>
      <c r="H240" s="1">
        <f t="shared" si="51"/>
        <v>0.38135490509676173</v>
      </c>
      <c r="I240" s="1">
        <f t="shared" si="43"/>
        <v>-0.28385995353132037</v>
      </c>
      <c r="J240" s="1">
        <f t="shared" si="44"/>
        <v>-0.27691678051168755</v>
      </c>
      <c r="K240" s="1">
        <f t="shared" si="45"/>
        <v>-0.27708661622230785</v>
      </c>
      <c r="L240" s="14">
        <f t="shared" si="46"/>
        <v>-0.27030443844064578</v>
      </c>
      <c r="M240" s="7">
        <f t="shared" si="47"/>
        <v>3.6987832320165235</v>
      </c>
    </row>
    <row r="241" spans="1:13" x14ac:dyDescent="0.25">
      <c r="A241" s="1">
        <f t="shared" si="48"/>
        <v>2.3099999999999947</v>
      </c>
      <c r="B241" s="4">
        <f t="shared" si="49"/>
        <v>3.540634772276098</v>
      </c>
      <c r="C241" s="43">
        <f t="shared" si="50"/>
        <v>6.1795734386817555E-2</v>
      </c>
      <c r="D241" s="3">
        <f t="shared" si="39"/>
        <v>0.37858461978769514</v>
      </c>
      <c r="E241" s="2">
        <f t="shared" si="40"/>
        <v>0.3804775428866336</v>
      </c>
      <c r="F241" s="2">
        <f t="shared" si="41"/>
        <v>0.38048700750212833</v>
      </c>
      <c r="G241" s="14">
        <f t="shared" si="42"/>
        <v>0.38238948986271643</v>
      </c>
      <c r="H241" s="1">
        <f t="shared" si="51"/>
        <v>0.37858461978769514</v>
      </c>
      <c r="I241" s="1">
        <f t="shared" si="43"/>
        <v>-0.30260641815700567</v>
      </c>
      <c r="J241" s="1">
        <f t="shared" si="44"/>
        <v>-0.29520636855383048</v>
      </c>
      <c r="K241" s="1">
        <f t="shared" si="45"/>
        <v>-0.29538734024205571</v>
      </c>
      <c r="L241" s="14">
        <f t="shared" si="46"/>
        <v>-0.28815876651046002</v>
      </c>
      <c r="M241" s="7">
        <f t="shared" si="47"/>
        <v>3.9035209421371855</v>
      </c>
    </row>
    <row r="242" spans="1:13" x14ac:dyDescent="0.25">
      <c r="A242" s="1">
        <f t="shared" si="48"/>
        <v>2.3199999999999945</v>
      </c>
      <c r="B242" s="4">
        <f t="shared" si="49"/>
        <v>3.7586359706000763</v>
      </c>
      <c r="C242" s="43">
        <f t="shared" si="50"/>
        <v>6.5600573070864115E-2</v>
      </c>
      <c r="D242" s="3">
        <f t="shared" si="39"/>
        <v>0.37563136545059639</v>
      </c>
      <c r="E242" s="2">
        <f t="shared" si="40"/>
        <v>0.3775095222778494</v>
      </c>
      <c r="F242" s="2">
        <f t="shared" si="41"/>
        <v>0.37751891306198565</v>
      </c>
      <c r="G242" s="14">
        <f t="shared" si="42"/>
        <v>0.37940655458121625</v>
      </c>
      <c r="H242" s="1">
        <f t="shared" si="51"/>
        <v>0.37563136545059639</v>
      </c>
      <c r="I242" s="1">
        <f t="shared" si="43"/>
        <v>-0.32121230626849273</v>
      </c>
      <c r="J242" s="1">
        <f t="shared" si="44"/>
        <v>-0.31335912117145293</v>
      </c>
      <c r="K242" s="1">
        <f t="shared" si="45"/>
        <v>-0.313551130125311</v>
      </c>
      <c r="L242" s="14">
        <f t="shared" si="46"/>
        <v>-0.30587979417294958</v>
      </c>
      <c r="M242" s="7">
        <f t="shared" si="47"/>
        <v>4.1063460050978735</v>
      </c>
    </row>
    <row r="243" spans="1:13" x14ac:dyDescent="0.25">
      <c r="A243" s="1">
        <f t="shared" si="48"/>
        <v>2.3299999999999943</v>
      </c>
      <c r="B243" s="4">
        <f t="shared" si="49"/>
        <v>3.9749365901081366</v>
      </c>
      <c r="C243" s="43">
        <f t="shared" si="50"/>
        <v>6.937573105538325E-2</v>
      </c>
      <c r="D243" s="3">
        <f t="shared" si="39"/>
        <v>0.37249651111220478</v>
      </c>
      <c r="E243" s="2">
        <f t="shared" si="40"/>
        <v>0.37435899366776582</v>
      </c>
      <c r="F243" s="2">
        <f t="shared" si="41"/>
        <v>0.37436830608054361</v>
      </c>
      <c r="G243" s="14">
        <f t="shared" si="42"/>
        <v>0.37624019417301019</v>
      </c>
      <c r="H243" s="1">
        <f t="shared" si="51"/>
        <v>0.37249651111220478</v>
      </c>
      <c r="I243" s="1">
        <f t="shared" si="43"/>
        <v>-0.33966845883148411</v>
      </c>
      <c r="J243" s="1">
        <f t="shared" si="44"/>
        <v>-0.33136611425051565</v>
      </c>
      <c r="K243" s="1">
        <f t="shared" si="45"/>
        <v>-0.33156905575862655</v>
      </c>
      <c r="L243" s="14">
        <f t="shared" si="46"/>
        <v>-0.32345882005651916</v>
      </c>
      <c r="M243" s="7">
        <f t="shared" si="47"/>
        <v>4.3071590406758604</v>
      </c>
    </row>
    <row r="244" spans="1:13" x14ac:dyDescent="0.25">
      <c r="A244" s="1">
        <f t="shared" si="48"/>
        <v>2.3399999999999941</v>
      </c>
      <c r="B244" s="4">
        <f t="shared" si="49"/>
        <v>4.1894320596797741</v>
      </c>
      <c r="C244" s="43">
        <f t="shared" si="50"/>
        <v>7.3119383230019638E-2</v>
      </c>
      <c r="D244" s="3">
        <f t="shared" si="39"/>
        <v>0.3691815150806943</v>
      </c>
      <c r="E244" s="2">
        <f t="shared" si="40"/>
        <v>0.37102742265609778</v>
      </c>
      <c r="F244" s="2">
        <f t="shared" si="41"/>
        <v>0.3710366521939748</v>
      </c>
      <c r="G244" s="14">
        <f t="shared" si="42"/>
        <v>0.37289188160263403</v>
      </c>
      <c r="H244" s="1">
        <f t="shared" si="51"/>
        <v>0.3691815150806943</v>
      </c>
      <c r="I244" s="1">
        <f t="shared" si="43"/>
        <v>-0.35796580472059458</v>
      </c>
      <c r="J244" s="1">
        <f t="shared" si="44"/>
        <v>-0.34921850795343135</v>
      </c>
      <c r="K244" s="1">
        <f t="shared" si="45"/>
        <v>-0.34943227142990407</v>
      </c>
      <c r="L244" s="14">
        <f t="shared" si="46"/>
        <v>-0.34088722374500213</v>
      </c>
      <c r="M244" s="7">
        <f t="shared" si="47"/>
        <v>4.505861654501591</v>
      </c>
    </row>
    <row r="245" spans="1:13" x14ac:dyDescent="0.25">
      <c r="A245" s="1">
        <f t="shared" si="48"/>
        <v>2.3499999999999939</v>
      </c>
      <c r="B245" s="4">
        <f t="shared" si="49"/>
        <v>4.4020186479352255</v>
      </c>
      <c r="C245" s="43">
        <f t="shared" si="50"/>
        <v>7.6829719140658767E-2</v>
      </c>
      <c r="D245" s="3">
        <f t="shared" si="39"/>
        <v>0.36568792410197387</v>
      </c>
      <c r="E245" s="2">
        <f t="shared" si="40"/>
        <v>0.36751636372248375</v>
      </c>
      <c r="F245" s="2">
        <f t="shared" si="41"/>
        <v>0.3675255059205863</v>
      </c>
      <c r="G245" s="14">
        <f t="shared" si="42"/>
        <v>0.36936317916117972</v>
      </c>
      <c r="H245" s="1">
        <f t="shared" si="51"/>
        <v>0.36568792410197387</v>
      </c>
      <c r="I245" s="1">
        <f t="shared" si="43"/>
        <v>-0.37609536584312153</v>
      </c>
      <c r="J245" s="1">
        <f t="shared" si="44"/>
        <v>-0.36690755166622041</v>
      </c>
      <c r="K245" s="1">
        <f t="shared" si="45"/>
        <v>-0.36713202078103319</v>
      </c>
      <c r="L245" s="14">
        <f t="shared" si="46"/>
        <v>-0.35815647056117828</v>
      </c>
      <c r="M245" s="7">
        <f t="shared" si="47"/>
        <v>4.7023564862699168</v>
      </c>
    </row>
    <row r="246" spans="1:13" x14ac:dyDescent="0.25">
      <c r="A246" s="1">
        <f t="shared" si="48"/>
        <v>2.3599999999999937</v>
      </c>
      <c r="B246" s="4">
        <f t="shared" si="49"/>
        <v>4.6125935141607579</v>
      </c>
      <c r="C246" s="43">
        <f t="shared" si="50"/>
        <v>8.050494387824092E-2</v>
      </c>
      <c r="D246" s="3">
        <f t="shared" si="39"/>
        <v>0.36201737246647586</v>
      </c>
      <c r="E246" s="2">
        <f t="shared" si="40"/>
        <v>0.36382745932880822</v>
      </c>
      <c r="F246" s="2">
        <f t="shared" si="41"/>
        <v>0.36383650976311988</v>
      </c>
      <c r="G246" s="14">
        <f t="shared" si="42"/>
        <v>0.36565573756410708</v>
      </c>
      <c r="H246" s="1">
        <f t="shared" si="51"/>
        <v>0.36201737246647586</v>
      </c>
      <c r="I246" s="1">
        <f t="shared" si="43"/>
        <v>-0.39404826212878585</v>
      </c>
      <c r="J246" s="1">
        <f t="shared" si="44"/>
        <v>-0.38442458882174835</v>
      </c>
      <c r="K246" s="1">
        <f t="shared" si="45"/>
        <v>-0.38465964163619293</v>
      </c>
      <c r="L246" s="14">
        <f t="shared" si="46"/>
        <v>-0.37525811623534028</v>
      </c>
      <c r="M246" s="7">
        <f t="shared" si="47"/>
        <v>4.8965472574447499</v>
      </c>
    </row>
    <row r="247" spans="1:13" x14ac:dyDescent="0.25">
      <c r="A247" s="1">
        <f t="shared" si="48"/>
        <v>2.3699999999999934</v>
      </c>
      <c r="B247" s="4">
        <f t="shared" si="49"/>
        <v>4.8210547587196286</v>
      </c>
      <c r="C247" s="43">
        <f t="shared" si="50"/>
        <v>8.4143278958598314E-2</v>
      </c>
      <c r="D247" s="3">
        <f t="shared" si="39"/>
        <v>0.35817158106767583</v>
      </c>
      <c r="E247" s="2">
        <f t="shared" si="40"/>
        <v>0.35996243897301422</v>
      </c>
      <c r="F247" s="2">
        <f t="shared" si="41"/>
        <v>0.35997139326254091</v>
      </c>
      <c r="G247" s="14">
        <f t="shared" si="42"/>
        <v>0.36177129500030125</v>
      </c>
      <c r="H247" s="1">
        <f t="shared" si="51"/>
        <v>0.35817158106767583</v>
      </c>
      <c r="I247" s="1">
        <f t="shared" si="43"/>
        <v>-0.41181571638011227</v>
      </c>
      <c r="J247" s="1">
        <f t="shared" si="44"/>
        <v>-0.40176106159404151</v>
      </c>
      <c r="K247" s="1">
        <f t="shared" si="45"/>
        <v>-0.4020065707007946</v>
      </c>
      <c r="L247" s="14">
        <f t="shared" si="46"/>
        <v>-0.39218381145420078</v>
      </c>
      <c r="M247" s="7">
        <f t="shared" si="47"/>
        <v>5.0883388184335852</v>
      </c>
    </row>
    <row r="248" spans="1:13" x14ac:dyDescent="0.25">
      <c r="A248" s="1">
        <f t="shared" si="48"/>
        <v>2.3799999999999932</v>
      </c>
      <c r="B248" s="4">
        <f t="shared" si="49"/>
        <v>5.0273014729208922</v>
      </c>
      <c r="C248" s="43">
        <f t="shared" si="50"/>
        <v>8.774296319283012E-2</v>
      </c>
      <c r="D248" s="3">
        <f t="shared" si="39"/>
        <v>0.35415235641363585</v>
      </c>
      <c r="E248" s="2">
        <f t="shared" si="40"/>
        <v>0.35592311819570405</v>
      </c>
      <c r="F248" s="2">
        <f t="shared" si="41"/>
        <v>0.35593197200461435</v>
      </c>
      <c r="G248" s="14">
        <f t="shared" si="42"/>
        <v>0.35771167613368199</v>
      </c>
      <c r="H248" s="1">
        <f t="shared" si="51"/>
        <v>0.35415235641363585</v>
      </c>
      <c r="I248" s="1">
        <f t="shared" si="43"/>
        <v>-0.42938905897859947</v>
      </c>
      <c r="J248" s="1">
        <f t="shared" si="44"/>
        <v>-0.41890851545911212</v>
      </c>
      <c r="K248" s="1">
        <f t="shared" si="45"/>
        <v>-0.41916434812649062</v>
      </c>
      <c r="L248" s="14">
        <f t="shared" si="46"/>
        <v>-0.40892530628582591</v>
      </c>
      <c r="M248" s="7">
        <f t="shared" si="47"/>
        <v>5.2776371952089045</v>
      </c>
    </row>
    <row r="249" spans="1:13" x14ac:dyDescent="0.25">
      <c r="A249" s="1">
        <f t="shared" si="48"/>
        <v>2.389999999999993</v>
      </c>
      <c r="B249" s="4">
        <f t="shared" si="49"/>
        <v>5.2312337883190434</v>
      </c>
      <c r="C249" s="43">
        <f t="shared" si="50"/>
        <v>9.1302253547743378E-2</v>
      </c>
      <c r="D249" s="3">
        <f t="shared" si="39"/>
        <v>0.34996158959290979</v>
      </c>
      <c r="E249" s="2">
        <f t="shared" si="40"/>
        <v>0.35171139754087433</v>
      </c>
      <c r="F249" s="2">
        <f t="shared" si="41"/>
        <v>0.35172014658061418</v>
      </c>
      <c r="G249" s="14">
        <f t="shared" si="42"/>
        <v>0.35347879105871594</v>
      </c>
      <c r="H249" s="1">
        <f t="shared" si="51"/>
        <v>0.34996158959290979</v>
      </c>
      <c r="I249" s="1">
        <f t="shared" si="43"/>
        <v>-0.44675973244232919</v>
      </c>
      <c r="J249" s="1">
        <f t="shared" si="44"/>
        <v>-0.4358586036181783</v>
      </c>
      <c r="K249" s="1">
        <f t="shared" si="45"/>
        <v>-0.4361246219381259</v>
      </c>
      <c r="L249" s="14">
        <f t="shared" si="46"/>
        <v>-0.42547445447669763</v>
      </c>
      <c r="M249" s="7">
        <f t="shared" si="47"/>
        <v>5.4643496353535701</v>
      </c>
    </row>
    <row r="250" spans="1:13" x14ac:dyDescent="0.25">
      <c r="A250" s="1">
        <f t="shared" si="48"/>
        <v>2.3999999999999928</v>
      </c>
      <c r="B250" s="4">
        <f t="shared" si="49"/>
        <v>5.4327529254181739</v>
      </c>
      <c r="C250" s="43">
        <f t="shared" si="50"/>
        <v>9.4819425995901055E-2</v>
      </c>
      <c r="D250" s="3">
        <f t="shared" si="39"/>
        <v>0.34560125519619039</v>
      </c>
      <c r="E250" s="2">
        <f t="shared" si="40"/>
        <v>0.34732926147217136</v>
      </c>
      <c r="F250" s="2">
        <f t="shared" si="41"/>
        <v>0.34733790150355126</v>
      </c>
      <c r="G250" s="14">
        <f t="shared" si="42"/>
        <v>0.34907463421122592</v>
      </c>
      <c r="H250" s="1">
        <f t="shared" si="51"/>
        <v>0.34560125519619039</v>
      </c>
      <c r="I250" s="1">
        <f t="shared" si="43"/>
        <v>-0.46391929583116615</v>
      </c>
      <c r="J250" s="1">
        <f t="shared" si="44"/>
        <v>-0.45260309127962151</v>
      </c>
      <c r="K250" s="1">
        <f t="shared" si="45"/>
        <v>-0.45287915231896819</v>
      </c>
      <c r="L250" s="14">
        <f t="shared" si="46"/>
        <v>-0.44182321761742077</v>
      </c>
      <c r="M250" s="7">
        <f t="shared" si="47"/>
        <v>5.6483846535076552</v>
      </c>
    </row>
    <row r="251" spans="1:13" x14ac:dyDescent="0.25">
      <c r="A251" s="1">
        <f t="shared" si="48"/>
        <v>2.4099999999999926</v>
      </c>
      <c r="B251" s="4">
        <f t="shared" si="49"/>
        <v>5.6317612417551937</v>
      </c>
      <c r="C251" s="43">
        <f t="shared" si="50"/>
        <v>9.8292776354832495E-2</v>
      </c>
      <c r="D251" s="3">
        <f t="shared" si="39"/>
        <v>0.34107341019511411</v>
      </c>
      <c r="E251" s="2">
        <f t="shared" si="40"/>
        <v>0.34277877724608968</v>
      </c>
      <c r="F251" s="2">
        <f t="shared" si="41"/>
        <v>0.34278730408134456</v>
      </c>
      <c r="G251" s="14">
        <f t="shared" si="42"/>
        <v>0.34450128323592755</v>
      </c>
      <c r="H251" s="1">
        <f t="shared" si="51"/>
        <v>0.34107341019511411</v>
      </c>
      <c r="I251" s="1">
        <f t="shared" si="43"/>
        <v>-0.48085942899622125</v>
      </c>
      <c r="J251" s="1">
        <f t="shared" si="44"/>
        <v>-0.4691338597964943</v>
      </c>
      <c r="K251" s="1">
        <f t="shared" si="45"/>
        <v>-0.46941981575102765</v>
      </c>
      <c r="L251" s="14">
        <f t="shared" si="46"/>
        <v>-0.45796366917402392</v>
      </c>
      <c r="M251" s="7">
        <f t="shared" si="47"/>
        <v>5.8296520761944421</v>
      </c>
    </row>
    <row r="252" spans="1:13" x14ac:dyDescent="0.25">
      <c r="A252" s="1">
        <f t="shared" si="48"/>
        <v>2.4199999999999924</v>
      </c>
      <c r="B252" s="4">
        <f t="shared" si="49"/>
        <v>5.828162279337433</v>
      </c>
      <c r="C252" s="43">
        <f t="shared" si="50"/>
        <v>0.10172062111497568</v>
      </c>
      <c r="D252" s="3">
        <f t="shared" si="39"/>
        <v>0.33638019277967196</v>
      </c>
      <c r="E252" s="2">
        <f t="shared" si="40"/>
        <v>0.33806209374357032</v>
      </c>
      <c r="F252" s="2">
        <f t="shared" si="41"/>
        <v>0.33807050324838983</v>
      </c>
      <c r="G252" s="14">
        <f t="shared" si="42"/>
        <v>0.33976089781215585</v>
      </c>
      <c r="H252" s="1">
        <f t="shared" si="51"/>
        <v>0.33638019277967196</v>
      </c>
      <c r="I252" s="1">
        <f t="shared" si="43"/>
        <v>-0.49757193667076627</v>
      </c>
      <c r="J252" s="1">
        <f t="shared" si="44"/>
        <v>-0.48544291065686673</v>
      </c>
      <c r="K252" s="1">
        <f t="shared" si="45"/>
        <v>-0.48573860900775001</v>
      </c>
      <c r="L252" s="14">
        <f t="shared" si="46"/>
        <v>-0.47388799838223239</v>
      </c>
      <c r="M252" s="7">
        <f t="shared" si="47"/>
        <v>6.0080630860036068</v>
      </c>
    </row>
    <row r="253" spans="1:13" x14ac:dyDescent="0.25">
      <c r="A253" s="1">
        <f t="shared" si="48"/>
        <v>2.4299999999999922</v>
      </c>
      <c r="B253" s="4">
        <f t="shared" si="49"/>
        <v>6.0218608114107699</v>
      </c>
      <c r="C253" s="43">
        <f t="shared" si="50"/>
        <v>0.10510129825593525</v>
      </c>
      <c r="D253" s="3">
        <f t="shared" si="39"/>
        <v>0.33152382115570156</v>
      </c>
      <c r="E253" s="2">
        <f t="shared" si="40"/>
        <v>0.33318144026148006</v>
      </c>
      <c r="F253" s="2">
        <f t="shared" si="41"/>
        <v>0.33318972835700894</v>
      </c>
      <c r="G253" s="14">
        <f t="shared" si="42"/>
        <v>0.33485571843927164</v>
      </c>
      <c r="H253" s="1">
        <f t="shared" si="51"/>
        <v>0.33152382115570156</v>
      </c>
      <c r="I253" s="1">
        <f t="shared" si="43"/>
        <v>-0.51404875240031933</v>
      </c>
      <c r="J253" s="1">
        <f t="shared" si="44"/>
        <v>-0.50152236932477412</v>
      </c>
      <c r="K253" s="1">
        <f t="shared" si="45"/>
        <v>-0.50182765299685084</v>
      </c>
      <c r="L253" s="14">
        <f t="shared" si="46"/>
        <v>-0.48958851400253028</v>
      </c>
      <c r="M253" s="7">
        <f t="shared" si="47"/>
        <v>6.1835302651099981</v>
      </c>
    </row>
    <row r="254" spans="1:13" x14ac:dyDescent="0.25">
      <c r="A254" s="1">
        <f t="shared" si="48"/>
        <v>2.439999999999992</v>
      </c>
      <c r="B254" s="4">
        <f t="shared" si="49"/>
        <v>6.212762888535341</v>
      </c>
      <c r="C254" s="43">
        <f t="shared" si="50"/>
        <v>0.10843316805065517</v>
      </c>
      <c r="D254" s="3">
        <f t="shared" si="39"/>
        <v>0.32650659230395807</v>
      </c>
      <c r="E254" s="2">
        <f t="shared" si="40"/>
        <v>0.32813912526547784</v>
      </c>
      <c r="F254" s="2">
        <f t="shared" si="41"/>
        <v>0.32814728793028547</v>
      </c>
      <c r="G254" s="14">
        <f t="shared" si="42"/>
        <v>0.32978806518326093</v>
      </c>
      <c r="H254" s="1">
        <f t="shared" si="51"/>
        <v>0.32650659230395807</v>
      </c>
      <c r="I254" s="1">
        <f t="shared" si="43"/>
        <v>-0.53028194231014314</v>
      </c>
      <c r="J254" s="1">
        <f t="shared" si="44"/>
        <v>-0.51736448893001608</v>
      </c>
      <c r="K254" s="1">
        <f t="shared" si="45"/>
        <v>-0.51767919645153737</v>
      </c>
      <c r="L254" s="14">
        <f t="shared" si="46"/>
        <v>-0.50505764793426744</v>
      </c>
      <c r="M254" s="7">
        <f t="shared" si="47"/>
        <v>6.3559676381065984</v>
      </c>
    </row>
    <row r="255" spans="1:13" x14ac:dyDescent="0.25">
      <c r="A255" s="1">
        <f t="shared" si="48"/>
        <v>2.4499999999999917</v>
      </c>
      <c r="B255" s="4">
        <f t="shared" si="49"/>
        <v>6.4007758839466637</v>
      </c>
      <c r="C255" s="43">
        <f t="shared" si="50"/>
        <v>0.11171461385711974</v>
      </c>
      <c r="D255" s="3">
        <f t="shared" si="39"/>
        <v>0.32133088070227889</v>
      </c>
      <c r="E255" s="2">
        <f t="shared" si="40"/>
        <v>0.32293753510579026</v>
      </c>
      <c r="F255" s="2">
        <f t="shared" si="41"/>
        <v>0.32294556837780786</v>
      </c>
      <c r="G255" s="14">
        <f t="shared" si="42"/>
        <v>0.32456033638605697</v>
      </c>
      <c r="H255" s="1">
        <f t="shared" si="51"/>
        <v>0.32133088070227889</v>
      </c>
      <c r="I255" s="1">
        <f t="shared" si="43"/>
        <v>-0.54626370870892837</v>
      </c>
      <c r="J255" s="1">
        <f t="shared" si="44"/>
        <v>-0.5329616538055294</v>
      </c>
      <c r="K255" s="1">
        <f t="shared" si="45"/>
        <v>-0.53328561946885111</v>
      </c>
      <c r="L255" s="14">
        <f t="shared" si="46"/>
        <v>-0.52028795868750854</v>
      </c>
      <c r="M255" s="7">
        <f t="shared" si="47"/>
        <v>6.5252907141307759</v>
      </c>
    </row>
    <row r="256" spans="1:13" x14ac:dyDescent="0.25">
      <c r="A256" s="1">
        <f t="shared" si="48"/>
        <v>2.4599999999999915</v>
      </c>
      <c r="B256" s="4">
        <f t="shared" si="49"/>
        <v>6.5858085381809524</v>
      </c>
      <c r="C256" s="43">
        <f t="shared" si="50"/>
        <v>0.1149440428972123</v>
      </c>
      <c r="D256" s="3">
        <f t="shared" si="39"/>
        <v>0.3159991370123702</v>
      </c>
      <c r="E256" s="2">
        <f t="shared" si="40"/>
        <v>0.31757913269743204</v>
      </c>
      <c r="F256" s="2">
        <f t="shared" si="41"/>
        <v>0.31758703267585736</v>
      </c>
      <c r="G256" s="14">
        <f t="shared" si="42"/>
        <v>0.31917500733912879</v>
      </c>
      <c r="H256" s="1">
        <f t="shared" si="51"/>
        <v>0.3159991370123702</v>
      </c>
      <c r="I256" s="1">
        <f t="shared" si="43"/>
        <v>-0.56198639352795554</v>
      </c>
      <c r="J256" s="1">
        <f t="shared" si="44"/>
        <v>-0.54830638287154243</v>
      </c>
      <c r="K256" s="1">
        <f t="shared" si="45"/>
        <v>-0.54863943689433992</v>
      </c>
      <c r="L256" s="14">
        <f t="shared" si="46"/>
        <v>-0.53527213471175494</v>
      </c>
      <c r="M256" s="7">
        <f t="shared" si="47"/>
        <v>6.6914165282630815</v>
      </c>
    </row>
    <row r="257" spans="1:13" x14ac:dyDescent="0.25">
      <c r="A257" s="1">
        <f t="shared" si="48"/>
        <v>2.4699999999999913</v>
      </c>
      <c r="B257" s="4">
        <f t="shared" si="49"/>
        <v>6.7677710029442357</v>
      </c>
      <c r="C257" s="43">
        <f t="shared" si="50"/>
        <v>0.11811988702237576</v>
      </c>
      <c r="D257" s="3">
        <f t="shared" si="39"/>
        <v>0.3105138867327511</v>
      </c>
      <c r="E257" s="2">
        <f t="shared" si="40"/>
        <v>0.31206645616641487</v>
      </c>
      <c r="F257" s="2">
        <f t="shared" si="41"/>
        <v>0.31207421901358318</v>
      </c>
      <c r="G257" s="14">
        <f t="shared" si="42"/>
        <v>0.3136346289228869</v>
      </c>
      <c r="H257" s="1">
        <f t="shared" si="51"/>
        <v>0.3105138867327511</v>
      </c>
      <c r="I257" s="1">
        <f t="shared" si="43"/>
        <v>-0.57744248159554779</v>
      </c>
      <c r="J257" s="1">
        <f t="shared" si="44"/>
        <v>-0.56339133286618626</v>
      </c>
      <c r="K257" s="1">
        <f t="shared" si="45"/>
        <v>-0.56373330155274726</v>
      </c>
      <c r="L257" s="14">
        <f t="shared" si="46"/>
        <v>-0.55000299758110716</v>
      </c>
      <c r="M257" s="7">
        <f t="shared" si="47"/>
        <v>6.854263682178444</v>
      </c>
    </row>
    <row r="258" spans="1:13" x14ac:dyDescent="0.25">
      <c r="A258" s="1">
        <f t="shared" si="48"/>
        <v>2.4799999999999911</v>
      </c>
      <c r="B258" s="4">
        <f t="shared" si="49"/>
        <v>6.9465748842058055</v>
      </c>
      <c r="C258" s="43">
        <f t="shared" si="50"/>
        <v>0.12124060346573515</v>
      </c>
      <c r="D258" s="3">
        <f t="shared" si="39"/>
        <v>0.30487772881939357</v>
      </c>
      <c r="E258" s="2">
        <f t="shared" si="40"/>
        <v>0.30640211746349055</v>
      </c>
      <c r="F258" s="2">
        <f t="shared" si="41"/>
        <v>0.30640973940671101</v>
      </c>
      <c r="G258" s="14">
        <f t="shared" si="42"/>
        <v>0.30794182621346067</v>
      </c>
      <c r="H258" s="1">
        <f t="shared" si="51"/>
        <v>0.30487772881939357</v>
      </c>
      <c r="I258" s="1">
        <f t="shared" si="43"/>
        <v>-0.59262460374714043</v>
      </c>
      <c r="J258" s="1">
        <f t="shared" si="44"/>
        <v>-0.57820930142271121</v>
      </c>
      <c r="K258" s="1">
        <f t="shared" si="45"/>
        <v>-0.57856000732487467</v>
      </c>
      <c r="L258" s="14">
        <f t="shared" si="46"/>
        <v>-0.56447350503586613</v>
      </c>
      <c r="M258" s="7">
        <f t="shared" si="47"/>
        <v>7.0137523840296909</v>
      </c>
    </row>
    <row r="259" spans="1:13" x14ac:dyDescent="0.25">
      <c r="A259" s="1">
        <f t="shared" si="48"/>
        <v>2.4899999999999909</v>
      </c>
      <c r="B259" s="4">
        <f t="shared" si="49"/>
        <v>7.1221332844973775</v>
      </c>
      <c r="C259" s="43">
        <f t="shared" si="50"/>
        <v>0.12430467558035724</v>
      </c>
      <c r="D259" s="3">
        <f t="shared" si="39"/>
        <v>0.29909333427559659</v>
      </c>
      <c r="E259" s="2">
        <f t="shared" si="40"/>
        <v>0.3005888009469746</v>
      </c>
      <c r="F259" s="2">
        <f t="shared" si="41"/>
        <v>0.30059627828033147</v>
      </c>
      <c r="G259" s="14">
        <f t="shared" si="42"/>
        <v>0.30209929705839988</v>
      </c>
      <c r="H259" s="1">
        <f t="shared" si="51"/>
        <v>0.29909333427559659</v>
      </c>
      <c r="I259" s="1">
        <f t="shared" si="43"/>
        <v>-0.60752553977179247</v>
      </c>
      <c r="J259" s="1">
        <f t="shared" si="44"/>
        <v>-0.59275322999391078</v>
      </c>
      <c r="K259" s="1">
        <f t="shared" si="45"/>
        <v>-0.59311249207123162</v>
      </c>
      <c r="L259" s="14">
        <f t="shared" si="46"/>
        <v>-0.57867675388098738</v>
      </c>
      <c r="M259" s="7">
        <f t="shared" si="47"/>
        <v>7.169804487543967</v>
      </c>
    </row>
    <row r="260" spans="1:13" x14ac:dyDescent="0.25">
      <c r="A260" s="1">
        <f t="shared" si="48"/>
        <v>2.4999999999999907</v>
      </c>
      <c r="B260" s="4">
        <f t="shared" si="49"/>
        <v>7.2943608444002566</v>
      </c>
      <c r="C260" s="43">
        <f t="shared" si="50"/>
        <v>0.12731061356333825</v>
      </c>
      <c r="D260" s="3">
        <f t="shared" si="39"/>
        <v>0.29316344471262479</v>
      </c>
      <c r="E260" s="2">
        <f t="shared" si="40"/>
        <v>0.29462926193618794</v>
      </c>
      <c r="F260" s="2">
        <f t="shared" si="41"/>
        <v>0.29463659102230572</v>
      </c>
      <c r="G260" s="14">
        <f t="shared" si="42"/>
        <v>0.29610981062284786</v>
      </c>
      <c r="H260" s="1">
        <f t="shared" si="51"/>
        <v>0.29316344471262479</v>
      </c>
      <c r="I260" s="1">
        <f t="shared" si="43"/>
        <v>-0.62213822119645368</v>
      </c>
      <c r="J260" s="1">
        <f t="shared" si="44"/>
        <v>-0.60701620662480849</v>
      </c>
      <c r="K260" s="1">
        <f t="shared" si="45"/>
        <v>-0.60738384040354476</v>
      </c>
      <c r="L260" s="14">
        <f t="shared" si="46"/>
        <v>-0.59260598274221976</v>
      </c>
      <c r="M260" s="7">
        <f t="shared" si="47"/>
        <v>7.3223435303128435</v>
      </c>
    </row>
    <row r="261" spans="1:13" x14ac:dyDescent="0.25">
      <c r="A261" s="1">
        <f t="shared" si="48"/>
        <v>2.5099999999999905</v>
      </c>
      <c r="B261" s="4">
        <f t="shared" si="49"/>
        <v>7.4631737832036791</v>
      </c>
      <c r="C261" s="43">
        <f t="shared" si="50"/>
        <v>0.13025695516542568</v>
      </c>
      <c r="D261" s="3">
        <f t="shared" si="39"/>
        <v>0.28709087088263247</v>
      </c>
      <c r="E261" s="2">
        <f t="shared" si="40"/>
        <v>0.28852632523704563</v>
      </c>
      <c r="F261" s="2">
        <f t="shared" si="41"/>
        <v>0.28853350250881771</v>
      </c>
      <c r="G261" s="14">
        <f t="shared" si="42"/>
        <v>0.28997620590772066</v>
      </c>
      <c r="H261" s="1">
        <f t="shared" si="51"/>
        <v>0.28709087088263247</v>
      </c>
      <c r="I261" s="1">
        <f t="shared" si="43"/>
        <v>-0.63645573390978505</v>
      </c>
      <c r="J261" s="1">
        <f t="shared" si="44"/>
        <v>-0.62099146857509924</v>
      </c>
      <c r="K261" s="1">
        <f t="shared" si="45"/>
        <v>-0.62136728630562732</v>
      </c>
      <c r="L261" s="14">
        <f t="shared" si="46"/>
        <v>-0.60625457468116084</v>
      </c>
      <c r="M261" s="7">
        <f t="shared" si="47"/>
        <v>7.4712947712573641</v>
      </c>
    </row>
    <row r="262" spans="1:13" x14ac:dyDescent="0.25">
      <c r="A262" s="1">
        <f t="shared" si="48"/>
        <v>2.5199999999999902</v>
      </c>
      <c r="B262" s="4">
        <f t="shared" si="49"/>
        <v>7.6284899387183591</v>
      </c>
      <c r="C262" s="43">
        <f t="shared" si="50"/>
        <v>0.13314226638589582</v>
      </c>
      <c r="D262" s="3">
        <f t="shared" si="39"/>
        <v>0.28087849118537844</v>
      </c>
      <c r="E262" s="2">
        <f t="shared" si="40"/>
        <v>0.28228288364130533</v>
      </c>
      <c r="F262" s="2">
        <f t="shared" si="41"/>
        <v>0.28228990560358497</v>
      </c>
      <c r="G262" s="14">
        <f t="shared" si="42"/>
        <v>0.28370139024141428</v>
      </c>
      <c r="H262" s="1">
        <f t="shared" si="51"/>
        <v>0.28087849118537844</v>
      </c>
      <c r="I262" s="1">
        <f t="shared" si="43"/>
        <v>-0.6504713206277809</v>
      </c>
      <c r="J262" s="1">
        <f t="shared" si="44"/>
        <v>-0.63467240479325859</v>
      </c>
      <c r="K262" s="1">
        <f t="shared" si="45"/>
        <v>-0.63505621560554604</v>
      </c>
      <c r="L262" s="14">
        <f t="shared" si="46"/>
        <v>-0.61961605967085098</v>
      </c>
      <c r="M262" s="7">
        <f t="shared" si="47"/>
        <v>7.616585227249681</v>
      </c>
    </row>
    <row r="263" spans="1:13" x14ac:dyDescent="0.25">
      <c r="A263" s="1">
        <f t="shared" si="48"/>
        <v>2.52999999999999</v>
      </c>
      <c r="B263" s="4">
        <f t="shared" si="49"/>
        <v>7.7902288062301492</v>
      </c>
      <c r="C263" s="43">
        <f t="shared" si="50"/>
        <v>0.13596514215242345</v>
      </c>
      <c r="D263" s="3">
        <f t="shared" si="39"/>
        <v>0.27452925015021806</v>
      </c>
      <c r="E263" s="2">
        <f t="shared" si="40"/>
        <v>0.27590189640096913</v>
      </c>
      <c r="F263" s="2">
        <f t="shared" si="41"/>
        <v>0.27590875963222289</v>
      </c>
      <c r="G263" s="14">
        <f t="shared" si="42"/>
        <v>0.27728833774654027</v>
      </c>
      <c r="H263" s="1">
        <f t="shared" si="51"/>
        <v>0.27452925015021806</v>
      </c>
      <c r="I263" s="1">
        <f t="shared" si="43"/>
        <v>-0.66417838320389322</v>
      </c>
      <c r="J263" s="1">
        <f t="shared" si="44"/>
        <v>-0.64805255824464414</v>
      </c>
      <c r="K263" s="1">
        <f t="shared" si="45"/>
        <v>-0.64844416830141849</v>
      </c>
      <c r="L263" s="14">
        <f t="shared" si="46"/>
        <v>-0.63268411693390303</v>
      </c>
      <c r="M263" s="7">
        <f t="shared" si="47"/>
        <v>7.7581437088733356</v>
      </c>
    </row>
    <row r="264" spans="1:13" x14ac:dyDescent="0.25">
      <c r="A264" s="1">
        <f t="shared" si="48"/>
        <v>2.5399999999999898</v>
      </c>
      <c r="B264" s="4">
        <f t="shared" si="49"/>
        <v>7.948311576579596</v>
      </c>
      <c r="C264" s="43">
        <f t="shared" si="50"/>
        <v>0.13872420698569535</v>
      </c>
      <c r="D264" s="3">
        <f t="shared" si="39"/>
        <v>0.26804615689483485</v>
      </c>
      <c r="E264" s="2">
        <f t="shared" si="40"/>
        <v>0.269386387679309</v>
      </c>
      <c r="F264" s="2">
        <f t="shared" si="41"/>
        <v>0.26939308883323138</v>
      </c>
      <c r="G264" s="14">
        <f t="shared" si="42"/>
        <v>0.27074008778316716</v>
      </c>
      <c r="H264" s="1">
        <f t="shared" si="51"/>
        <v>0.26804615689483485</v>
      </c>
      <c r="I264" s="1">
        <f t="shared" si="43"/>
        <v>-0.67757048478678061</v>
      </c>
      <c r="J264" s="1">
        <f t="shared" si="44"/>
        <v>-0.66112562809630038</v>
      </c>
      <c r="K264" s="1">
        <f t="shared" si="45"/>
        <v>-0.66152484074358286</v>
      </c>
      <c r="L264" s="14">
        <f t="shared" si="46"/>
        <v>-0.64545257714552773</v>
      </c>
      <c r="M264" s="7">
        <f t="shared" si="47"/>
        <v>7.8959008553046299</v>
      </c>
    </row>
    <row r="265" spans="1:13" x14ac:dyDescent="0.25">
      <c r="A265" s="1">
        <f t="shared" si="48"/>
        <v>2.5499999999999896</v>
      </c>
      <c r="B265" s="4">
        <f t="shared" si="49"/>
        <v>8.1026611733539706</v>
      </c>
      <c r="C265" s="43">
        <f t="shared" si="50"/>
        <v>0.14141811564853382</v>
      </c>
      <c r="D265" s="3">
        <f t="shared" si="39"/>
        <v>0.26143228356214804</v>
      </c>
      <c r="E265" s="2">
        <f t="shared" si="40"/>
        <v>0.26273944497995877</v>
      </c>
      <c r="F265" s="2">
        <f t="shared" si="41"/>
        <v>0.26274598078704781</v>
      </c>
      <c r="G265" s="14">
        <f t="shared" si="42"/>
        <v>0.26405974337001853</v>
      </c>
      <c r="H265" s="1">
        <f t="shared" si="51"/>
        <v>0.26143228356214804</v>
      </c>
      <c r="I265" s="1">
        <f t="shared" si="43"/>
        <v>-0.69064135182920505</v>
      </c>
      <c r="J265" s="1">
        <f t="shared" si="44"/>
        <v>-0.67388547176155644</v>
      </c>
      <c r="K265" s="1">
        <f t="shared" si="45"/>
        <v>-0.67429208767623761</v>
      </c>
      <c r="L265" s="14">
        <f t="shared" si="46"/>
        <v>-0.65791542450415574</v>
      </c>
      <c r="M265" s="7">
        <f t="shared" si="47"/>
        <v>8.0297891682980627</v>
      </c>
    </row>
    <row r="266" spans="1:13" x14ac:dyDescent="0.25">
      <c r="A266" s="1">
        <f t="shared" si="48"/>
        <v>2.5599999999999894</v>
      </c>
      <c r="B266" s="4">
        <f t="shared" si="49"/>
        <v>8.2532022891792316</v>
      </c>
      <c r="C266" s="43">
        <f t="shared" si="50"/>
        <v>0.14404555377931078</v>
      </c>
      <c r="D266" s="3">
        <f t="shared" ref="D266:D329" si="52">H266</f>
        <v>0.25469076373679977</v>
      </c>
      <c r="E266" s="2">
        <f t="shared" ref="E266:E329" si="53">H266+$B$2/2*D266</f>
        <v>0.25596421755548376</v>
      </c>
      <c r="F266" s="2">
        <f t="shared" ref="F266:F329" si="54">H266+$B$2/2*E266</f>
        <v>0.25597058482457719</v>
      </c>
      <c r="G266" s="14">
        <f t="shared" ref="G266:G329" si="55">H266+$B$2*F266</f>
        <v>0.25725046958504555</v>
      </c>
      <c r="H266" s="1">
        <f t="shared" si="51"/>
        <v>0.25469076373679977</v>
      </c>
      <c r="I266" s="1">
        <f t="shared" ref="I266:I329" si="56">-$B$3/$B$4*SIN(C266)</f>
        <v>-0.70338487595198784</v>
      </c>
      <c r="J266" s="1">
        <f t="shared" ref="J266:J329" si="57">-$B$3/$B$4*SIN(C266+1/2*$B$2*I266)</f>
        <v>-0.68632610680785178</v>
      </c>
      <c r="K266" s="1">
        <f t="shared" ref="K266:K329" si="58">-$B$3/$B$4*SIN(C266+1/2*$B$2*J266)</f>
        <v>-0.68673992414201757</v>
      </c>
      <c r="L266" s="14">
        <f t="shared" ref="L266:L329" si="59">-$B$3/$B$4*SIN(C266+$B$2*K266)</f>
        <v>-0.67006679867268693</v>
      </c>
      <c r="M266" s="7">
        <f t="shared" ref="M266:M329" si="60">$B$10*PI()/180*COS(SQRT($B$3/$B$4)*A266)*180/PI()</f>
        <v>8.1597430452591091</v>
      </c>
    </row>
    <row r="267" spans="1:13" x14ac:dyDescent="0.25">
      <c r="A267" s="1">
        <f t="shared" ref="A267:A330" si="61">A266+$B$2</f>
        <v>2.5699999999999892</v>
      </c>
      <c r="B267" s="4">
        <f t="shared" ref="B267:B330" si="62">C267*180/PI()</f>
        <v>8.3998614211001446</v>
      </c>
      <c r="C267" s="43">
        <f t="shared" ref="C267:C330" si="63">C266+$B$2*(D266+2*E266+2*F266+G266)/6</f>
        <v>0.1466052385094474</v>
      </c>
      <c r="D267" s="3">
        <f t="shared" si="52"/>
        <v>0.24782479084259243</v>
      </c>
      <c r="E267" s="2">
        <f t="shared" si="53"/>
        <v>0.2490639147968054</v>
      </c>
      <c r="F267" s="2">
        <f t="shared" si="54"/>
        <v>0.24907011041657645</v>
      </c>
      <c r="G267" s="14">
        <f t="shared" si="55"/>
        <v>0.25031549194675817</v>
      </c>
      <c r="H267" s="1">
        <f t="shared" ref="H267:H330" si="64">H266+$B$2*(I266+2*J266+2*K266+L266)/6</f>
        <v>0.24782479084259243</v>
      </c>
      <c r="I267" s="1">
        <f t="shared" si="56"/>
        <v>-0.71579511566728626</v>
      </c>
      <c r="J267" s="1">
        <f t="shared" si="57"/>
        <v>-0.69844171273156164</v>
      </c>
      <c r="K267" s="1">
        <f t="shared" si="58"/>
        <v>-0.69886252725329445</v>
      </c>
      <c r="L267" s="14">
        <f t="shared" si="59"/>
        <v>-0.68190099659370229</v>
      </c>
      <c r="M267" s="7">
        <f t="shared" si="60"/>
        <v>8.2856988113881656</v>
      </c>
    </row>
    <row r="268" spans="1:13" x14ac:dyDescent="0.25">
      <c r="A268" s="1">
        <f t="shared" si="61"/>
        <v>2.579999999999989</v>
      </c>
      <c r="B268" s="4">
        <f t="shared" si="62"/>
        <v>8.5425669050375834</v>
      </c>
      <c r="C268" s="43">
        <f t="shared" si="63"/>
        <v>0.1490959190648076</v>
      </c>
      <c r="D268" s="3">
        <f t="shared" si="52"/>
        <v>0.24083761652220792</v>
      </c>
      <c r="E268" s="2">
        <f t="shared" si="53"/>
        <v>0.24204180460481897</v>
      </c>
      <c r="F268" s="2">
        <f t="shared" si="54"/>
        <v>0.24204782554523202</v>
      </c>
      <c r="G268" s="14">
        <f t="shared" si="55"/>
        <v>0.24325809477766025</v>
      </c>
      <c r="H268" s="1">
        <f t="shared" si="64"/>
        <v>0.24083761652220792</v>
      </c>
      <c r="I268" s="1">
        <f t="shared" si="56"/>
        <v>-0.7278662979657925</v>
      </c>
      <c r="J268" s="1">
        <f t="shared" si="57"/>
        <v>-0.71022663260390029</v>
      </c>
      <c r="K268" s="1">
        <f t="shared" si="58"/>
        <v>-0.71065423783430448</v>
      </c>
      <c r="L268" s="14">
        <f t="shared" si="59"/>
        <v>-0.69341247418225804</v>
      </c>
      <c r="M268" s="7">
        <f t="shared" si="60"/>
        <v>8.4075947508799551</v>
      </c>
    </row>
    <row r="269" spans="1:13" x14ac:dyDescent="0.25">
      <c r="A269" s="1">
        <f t="shared" si="61"/>
        <v>2.5899999999999888</v>
      </c>
      <c r="B269" s="4">
        <f t="shared" si="62"/>
        <v>8.6812489493128506</v>
      </c>
      <c r="C269" s="43">
        <f t="shared" si="63"/>
        <v>0.15151637735080756</v>
      </c>
      <c r="D269" s="3">
        <f t="shared" si="52"/>
        <v>0.2337325490005005</v>
      </c>
      <c r="E269" s="2">
        <f t="shared" si="53"/>
        <v>0.23490121174550299</v>
      </c>
      <c r="F269" s="2">
        <f t="shared" si="54"/>
        <v>0.23490705505922801</v>
      </c>
      <c r="G269" s="14">
        <f t="shared" si="55"/>
        <v>0.23608161955109278</v>
      </c>
      <c r="H269" s="1">
        <f t="shared" si="64"/>
        <v>0.2337325490005005</v>
      </c>
      <c r="I269" s="1">
        <f t="shared" si="56"/>
        <v>-0.73959281977275904</v>
      </c>
      <c r="J269" s="1">
        <f t="shared" si="57"/>
        <v>-0.72167537459226427</v>
      </c>
      <c r="K269" s="1">
        <f t="shared" si="58"/>
        <v>-0.72210956193849041</v>
      </c>
      <c r="L269" s="14">
        <f t="shared" si="59"/>
        <v>-0.70459584790015328</v>
      </c>
      <c r="M269" s="7">
        <f t="shared" si="60"/>
        <v>8.5253711371630274</v>
      </c>
    </row>
    <row r="270" spans="1:13" x14ac:dyDescent="0.25">
      <c r="A270" s="1">
        <f t="shared" si="61"/>
        <v>2.5999999999999885</v>
      </c>
      <c r="B270" s="4">
        <f t="shared" si="62"/>
        <v>8.815839667229497</v>
      </c>
      <c r="C270" s="43">
        <f t="shared" si="63"/>
        <v>0.15386542852107599</v>
      </c>
      <c r="D270" s="3">
        <f t="shared" si="52"/>
        <v>0.2265129514326098</v>
      </c>
      <c r="E270" s="2">
        <f t="shared" si="53"/>
        <v>0.22764551618977286</v>
      </c>
      <c r="F270" s="2">
        <f t="shared" si="54"/>
        <v>0.22765117901355866</v>
      </c>
      <c r="G270" s="14">
        <f t="shared" si="55"/>
        <v>0.22878946322274538</v>
      </c>
      <c r="H270" s="1">
        <f t="shared" si="64"/>
        <v>0.2265129514326098</v>
      </c>
      <c r="I270" s="1">
        <f t="shared" si="56"/>
        <v>-0.7509692492780341</v>
      </c>
      <c r="J270" s="1">
        <f t="shared" si="57"/>
        <v>-0.73278261336164063</v>
      </c>
      <c r="K270" s="1">
        <f t="shared" si="58"/>
        <v>-0.73322317224570499</v>
      </c>
      <c r="L270" s="14">
        <f t="shared" si="59"/>
        <v>-0.71544589621579746</v>
      </c>
      <c r="M270" s="7">
        <f t="shared" si="60"/>
        <v>8.6389702621645696</v>
      </c>
    </row>
    <row r="271" spans="1:13" x14ac:dyDescent="0.25">
      <c r="A271" s="1">
        <f t="shared" si="61"/>
        <v>2.6099999999999883</v>
      </c>
      <c r="B271" s="4">
        <f t="shared" si="62"/>
        <v>8.9462731087039593</v>
      </c>
      <c r="C271" s="43">
        <f t="shared" si="63"/>
        <v>0.15614192152951267</v>
      </c>
      <c r="D271" s="3">
        <f t="shared" si="52"/>
        <v>0.2191822402380956</v>
      </c>
      <c r="E271" s="2">
        <f t="shared" si="53"/>
        <v>0.22027815143928609</v>
      </c>
      <c r="F271" s="2">
        <f t="shared" si="54"/>
        <v>0.22028363099529202</v>
      </c>
      <c r="G271" s="14">
        <f t="shared" si="55"/>
        <v>0.22138507654804851</v>
      </c>
      <c r="H271" s="1">
        <f t="shared" si="64"/>
        <v>0.2191822402380956</v>
      </c>
      <c r="I271" s="1">
        <f t="shared" si="56"/>
        <v>-0.76199032714554427</v>
      </c>
      <c r="J271" s="1">
        <f t="shared" si="57"/>
        <v>-0.74354319136093472</v>
      </c>
      <c r="K271" s="1">
        <f t="shared" si="58"/>
        <v>-0.74398990934415976</v>
      </c>
      <c r="L271" s="14">
        <f t="shared" si="59"/>
        <v>-0.72595756095402775</v>
      </c>
      <c r="M271" s="7">
        <f t="shared" si="60"/>
        <v>8.7483364645862256</v>
      </c>
    </row>
    <row r="272" spans="1:13" x14ac:dyDescent="0.25">
      <c r="A272" s="1">
        <f t="shared" si="61"/>
        <v>2.6199999999999881</v>
      </c>
      <c r="B272" s="4">
        <f t="shared" si="62"/>
        <v>9.072485290936914</v>
      </c>
      <c r="C272" s="43">
        <f t="shared" si="63"/>
        <v>0.15834473966560483</v>
      </c>
      <c r="D272" s="3">
        <f t="shared" si="52"/>
        <v>0.21174388342224601</v>
      </c>
      <c r="E272" s="2">
        <f t="shared" si="53"/>
        <v>0.21280260283935723</v>
      </c>
      <c r="F272" s="2">
        <f t="shared" si="54"/>
        <v>0.21280789643644279</v>
      </c>
      <c r="G272" s="14">
        <f t="shared" si="55"/>
        <v>0.21387196238661044</v>
      </c>
      <c r="H272" s="1">
        <f t="shared" si="64"/>
        <v>0.21174388342224601</v>
      </c>
      <c r="I272" s="1">
        <f t="shared" si="56"/>
        <v>-0.77265096760788243</v>
      </c>
      <c r="J272" s="1">
        <f t="shared" si="57"/>
        <v>-0.75395211999929046</v>
      </c>
      <c r="K272" s="1">
        <f t="shared" si="58"/>
        <v>-0.75440478290220758</v>
      </c>
      <c r="L272" s="14">
        <f t="shared" si="59"/>
        <v>-0.73612594854042135</v>
      </c>
      <c r="M272" s="7">
        <f t="shared" si="60"/>
        <v>8.8534161571770085</v>
      </c>
    </row>
    <row r="273" spans="1:13" x14ac:dyDescent="0.25">
      <c r="A273" s="1">
        <f t="shared" si="61"/>
        <v>2.6299999999999879</v>
      </c>
      <c r="B273" s="4">
        <f t="shared" si="62"/>
        <v>9.1944142281180099</v>
      </c>
      <c r="C273" s="43">
        <f t="shared" si="63"/>
        <v>0.16047280107287226</v>
      </c>
      <c r="D273" s="3">
        <f t="shared" si="52"/>
        <v>0.20420139888566052</v>
      </c>
      <c r="E273" s="2">
        <f t="shared" si="53"/>
        <v>0.20522240588008883</v>
      </c>
      <c r="F273" s="2">
        <f t="shared" si="54"/>
        <v>0.20522751091506097</v>
      </c>
      <c r="G273" s="14">
        <f t="shared" si="55"/>
        <v>0.20625367399481112</v>
      </c>
      <c r="H273" s="1">
        <f t="shared" si="64"/>
        <v>0.20420139888566052</v>
      </c>
      <c r="I273" s="1">
        <f t="shared" si="56"/>
        <v>-0.78294625945185081</v>
      </c>
      <c r="J273" s="1">
        <f t="shared" si="57"/>
        <v>-0.76400458071764432</v>
      </c>
      <c r="K273" s="1">
        <f t="shared" si="58"/>
        <v>-0.76446297273523978</v>
      </c>
      <c r="L273" s="14">
        <f t="shared" si="59"/>
        <v>-0.74594633114481823</v>
      </c>
      <c r="M273" s="7">
        <f t="shared" si="60"/>
        <v>8.954157852989983</v>
      </c>
    </row>
    <row r="274" spans="1:13" x14ac:dyDescent="0.25">
      <c r="A274" s="1">
        <f t="shared" si="61"/>
        <v>2.6399999999999877</v>
      </c>
      <c r="B274" s="4">
        <f t="shared" si="62"/>
        <v>9.3119999601571788</v>
      </c>
      <c r="C274" s="43">
        <f t="shared" si="63"/>
        <v>0.16252505925032354</v>
      </c>
      <c r="D274" s="3">
        <f t="shared" si="52"/>
        <v>0.19655835272315647</v>
      </c>
      <c r="E274" s="2">
        <f t="shared" si="53"/>
        <v>0.19754114448677226</v>
      </c>
      <c r="F274" s="2">
        <f t="shared" si="54"/>
        <v>0.19754605844559034</v>
      </c>
      <c r="G274" s="14">
        <f t="shared" si="55"/>
        <v>0.19853381330761238</v>
      </c>
      <c r="H274" s="1">
        <f t="shared" si="64"/>
        <v>0.19655835272315647</v>
      </c>
      <c r="I274" s="1">
        <f t="shared" si="56"/>
        <v>-0.79287146690097376</v>
      </c>
      <c r="J274" s="1">
        <f t="shared" si="57"/>
        <v>-0.77369592596091796</v>
      </c>
      <c r="K274" s="1">
        <f t="shared" si="58"/>
        <v>-0.77415982977311515</v>
      </c>
      <c r="L274" s="14">
        <f t="shared" si="59"/>
        <v>-0.75541414772891258</v>
      </c>
      <c r="M274" s="7">
        <f t="shared" si="60"/>
        <v>9.050512190609842</v>
      </c>
    </row>
    <row r="275" spans="1:13" x14ac:dyDescent="0.25">
      <c r="A275" s="1">
        <f t="shared" si="61"/>
        <v>2.6499999999999875</v>
      </c>
      <c r="B275" s="4">
        <f t="shared" si="62"/>
        <v>9.4251845804364311</v>
      </c>
      <c r="C275" s="43">
        <f t="shared" si="63"/>
        <v>0.16450050353681603</v>
      </c>
      <c r="D275" s="3">
        <f t="shared" si="52"/>
        <v>0.18881835751299322</v>
      </c>
      <c r="E275" s="2">
        <f t="shared" si="53"/>
        <v>0.18976244930055819</v>
      </c>
      <c r="F275" s="2">
        <f t="shared" si="54"/>
        <v>0.18976716975949601</v>
      </c>
      <c r="G275" s="14">
        <f t="shared" si="55"/>
        <v>0.19071602921058819</v>
      </c>
      <c r="H275" s="1">
        <f t="shared" si="64"/>
        <v>0.18881835751299322</v>
      </c>
      <c r="I275" s="1">
        <f t="shared" si="56"/>
        <v>-0.8024220304011247</v>
      </c>
      <c r="J275" s="1">
        <f t="shared" si="57"/>
        <v>-0.78302168005638018</v>
      </c>
      <c r="K275" s="1">
        <f t="shared" si="58"/>
        <v>-0.7834908769336838</v>
      </c>
      <c r="L275" s="14">
        <f t="shared" si="59"/>
        <v>-0.7645250050029001</v>
      </c>
      <c r="M275" s="7">
        <f t="shared" si="60"/>
        <v>9.1424319583390066</v>
      </c>
    </row>
    <row r="276" spans="1:13" x14ac:dyDescent="0.25">
      <c r="A276" s="1">
        <f t="shared" si="61"/>
        <v>2.6599999999999873</v>
      </c>
      <c r="B276" s="4">
        <f t="shared" si="62"/>
        <v>9.5339122625765054</v>
      </c>
      <c r="C276" s="43">
        <f t="shared" si="63"/>
        <v>0.16639815957822218</v>
      </c>
      <c r="D276" s="3">
        <f t="shared" si="52"/>
        <v>0.18098507059735297</v>
      </c>
      <c r="E276" s="2">
        <f t="shared" si="53"/>
        <v>0.18188999595033972</v>
      </c>
      <c r="F276" s="2">
        <f t="shared" si="54"/>
        <v>0.18189452057710467</v>
      </c>
      <c r="G276" s="14">
        <f t="shared" si="55"/>
        <v>0.18280401580312403</v>
      </c>
      <c r="H276" s="1">
        <f t="shared" si="64"/>
        <v>0.18098507059735297</v>
      </c>
      <c r="I276" s="1">
        <f t="shared" si="56"/>
        <v>-0.81159356731551313</v>
      </c>
      <c r="J276" s="1">
        <f t="shared" si="57"/>
        <v>-0.79197754000379716</v>
      </c>
      <c r="K276" s="1">
        <f t="shared" si="58"/>
        <v>-0.79245180990805075</v>
      </c>
      <c r="L276" s="14">
        <f t="shared" si="59"/>
        <v>-0.77327467829624985</v>
      </c>
      <c r="M276" s="7">
        <f t="shared" si="60"/>
        <v>9.2298721173304301</v>
      </c>
    </row>
    <row r="277" spans="1:13" x14ac:dyDescent="0.25">
      <c r="A277" s="1">
        <f t="shared" si="61"/>
        <v>2.6699999999999871</v>
      </c>
      <c r="B277" s="4">
        <f t="shared" si="62"/>
        <v>9.6381292862133829</v>
      </c>
      <c r="C277" s="43">
        <f t="shared" si="63"/>
        <v>0.16821708977731445</v>
      </c>
      <c r="D277" s="3">
        <f t="shared" si="52"/>
        <v>0.17306219235496054</v>
      </c>
      <c r="E277" s="2">
        <f t="shared" si="53"/>
        <v>0.17392750331673534</v>
      </c>
      <c r="F277" s="2">
        <f t="shared" si="54"/>
        <v>0.17393182987154421</v>
      </c>
      <c r="G277" s="14">
        <f t="shared" si="55"/>
        <v>0.17480151065367597</v>
      </c>
      <c r="H277" s="1">
        <f t="shared" si="64"/>
        <v>0.17306219235496054</v>
      </c>
      <c r="I277" s="1">
        <f t="shared" si="56"/>
        <v>-0.82038187253534878</v>
      </c>
      <c r="J277" s="1">
        <f t="shared" si="57"/>
        <v>-0.80055937618307349</v>
      </c>
      <c r="K277" s="1">
        <f t="shared" si="58"/>
        <v>-0.80103849786330272</v>
      </c>
      <c r="L277" s="14">
        <f t="shared" si="59"/>
        <v>-0.78165911234774954</v>
      </c>
      <c r="M277" s="7">
        <f t="shared" si="60"/>
        <v>9.3127898236556987</v>
      </c>
    </row>
    <row r="278" spans="1:13" x14ac:dyDescent="0.25">
      <c r="A278" s="1">
        <f t="shared" si="61"/>
        <v>2.6799999999999868</v>
      </c>
      <c r="B278" s="4">
        <f t="shared" si="62"/>
        <v>9.7377840617801059</v>
      </c>
      <c r="C278" s="43">
        <f t="shared" si="63"/>
        <v>0.16995639372628976</v>
      </c>
      <c r="D278" s="3">
        <f t="shared" si="52"/>
        <v>0.16505346446666747</v>
      </c>
      <c r="E278" s="2">
        <f t="shared" si="53"/>
        <v>0.16587873178900081</v>
      </c>
      <c r="F278" s="2">
        <f t="shared" si="54"/>
        <v>0.16588285812561246</v>
      </c>
      <c r="G278" s="14">
        <f t="shared" si="55"/>
        <v>0.16671229304792359</v>
      </c>
      <c r="H278" s="1">
        <f t="shared" si="64"/>
        <v>0.16505346446666747</v>
      </c>
      <c r="I278" s="1">
        <f t="shared" si="56"/>
        <v>-0.82878291901253731</v>
      </c>
      <c r="J278" s="1">
        <f t="shared" si="57"/>
        <v>-0.80876323298511565</v>
      </c>
      <c r="K278" s="1">
        <f t="shared" si="58"/>
        <v>-0.80924698406845963</v>
      </c>
      <c r="L278" s="14">
        <f t="shared" si="59"/>
        <v>-0.78967442202000948</v>
      </c>
      <c r="M278" s="7">
        <f t="shared" si="60"/>
        <v>9.3911444492977356</v>
      </c>
    </row>
    <row r="279" spans="1:13" x14ac:dyDescent="0.25">
      <c r="A279" s="1">
        <f t="shared" si="61"/>
        <v>2.6899999999999866</v>
      </c>
      <c r="B279" s="4">
        <f t="shared" si="62"/>
        <v>9.8328271542898769</v>
      </c>
      <c r="C279" s="43">
        <f t="shared" si="63"/>
        <v>0.1716152086218628</v>
      </c>
      <c r="D279" s="3">
        <f t="shared" si="52"/>
        <v>0.15696266817476798</v>
      </c>
      <c r="E279" s="2">
        <f t="shared" si="53"/>
        <v>0.15774748151564183</v>
      </c>
      <c r="F279" s="2">
        <f t="shared" si="54"/>
        <v>0.15775140558234618</v>
      </c>
      <c r="G279" s="14">
        <f t="shared" si="55"/>
        <v>0.15854018223059144</v>
      </c>
      <c r="H279" s="1">
        <f t="shared" si="64"/>
        <v>0.15696266817476798</v>
      </c>
      <c r="I279" s="1">
        <f t="shared" si="56"/>
        <v>-0.83679285822076988</v>
      </c>
      <c r="J279" s="1">
        <f t="shared" si="57"/>
        <v>-0.81658532937166783</v>
      </c>
      <c r="K279" s="1">
        <f t="shared" si="58"/>
        <v>-0.81707348644942113</v>
      </c>
      <c r="L279" s="14">
        <f t="shared" si="59"/>
        <v>-0.79731689294362751</v>
      </c>
      <c r="M279" s="7">
        <f t="shared" si="60"/>
        <v>9.4648976020576967</v>
      </c>
    </row>
    <row r="280" spans="1:13" x14ac:dyDescent="0.25">
      <c r="A280" s="1">
        <f t="shared" si="61"/>
        <v>2.6999999999999864</v>
      </c>
      <c r="B280" s="4">
        <f t="shared" si="62"/>
        <v>9.9232113061167979</v>
      </c>
      <c r="C280" s="43">
        <f t="shared" si="63"/>
        <v>0.17319270966286504</v>
      </c>
      <c r="D280" s="3">
        <f t="shared" si="52"/>
        <v>0.14879362253675701</v>
      </c>
      <c r="E280" s="2">
        <f t="shared" si="53"/>
        <v>0.1495375906494408</v>
      </c>
      <c r="F280" s="2">
        <f t="shared" si="54"/>
        <v>0.14954131049000421</v>
      </c>
      <c r="G280" s="14">
        <f t="shared" si="55"/>
        <v>0.15028903564165705</v>
      </c>
      <c r="H280" s="1">
        <f t="shared" si="64"/>
        <v>0.14879362253675701</v>
      </c>
      <c r="I280" s="1">
        <f t="shared" si="56"/>
        <v>-0.84440802055134867</v>
      </c>
      <c r="J280" s="1">
        <f t="shared" si="57"/>
        <v>-0.82402205936985373</v>
      </c>
      <c r="K280" s="1">
        <f t="shared" si="58"/>
        <v>-0.82451439807867011</v>
      </c>
      <c r="L280" s="14">
        <f t="shared" si="59"/>
        <v>-0.80458298209620605</v>
      </c>
      <c r="M280" s="7">
        <f t="shared" si="60"/>
        <v>9.5340131443663836</v>
      </c>
    </row>
    <row r="281" spans="1:13" x14ac:dyDescent="0.25">
      <c r="A281" s="1">
        <f t="shared" si="61"/>
        <v>2.7099999999999862</v>
      </c>
      <c r="B281" s="4">
        <f t="shared" si="62"/>
        <v>10.008891458771096</v>
      </c>
      <c r="C281" s="43">
        <f t="shared" si="63"/>
        <v>0.17468811043029389</v>
      </c>
      <c r="D281" s="3">
        <f t="shared" si="52"/>
        <v>0.14055018267418268</v>
      </c>
      <c r="E281" s="2">
        <f t="shared" si="53"/>
        <v>0.14125293358755359</v>
      </c>
      <c r="F281" s="2">
        <f t="shared" si="54"/>
        <v>0.14125644734212045</v>
      </c>
      <c r="G281" s="14">
        <f t="shared" si="55"/>
        <v>0.14196274714760387</v>
      </c>
      <c r="H281" s="1">
        <f t="shared" si="64"/>
        <v>0.14055018267418268</v>
      </c>
      <c r="I281" s="1">
        <f t="shared" si="56"/>
        <v>-0.85162491565003406</v>
      </c>
      <c r="J281" s="1">
        <f t="shared" si="57"/>
        <v>-0.83106999250711489</v>
      </c>
      <c r="K281" s="1">
        <f t="shared" si="58"/>
        <v>-0.83156628760544415</v>
      </c>
      <c r="L281" s="14">
        <f t="shared" si="59"/>
        <v>-0.81146931832138369</v>
      </c>
      <c r="M281" s="7">
        <f t="shared" si="60"/>
        <v>9.5984572109909276</v>
      </c>
    </row>
    <row r="282" spans="1:13" x14ac:dyDescent="0.25">
      <c r="A282" s="1">
        <f t="shared" si="61"/>
        <v>2.719999999999986</v>
      </c>
      <c r="B282" s="4">
        <f t="shared" si="62"/>
        <v>10.089824773665949</v>
      </c>
      <c r="C282" s="43">
        <f t="shared" si="63"/>
        <v>0.17610066324976245</v>
      </c>
      <c r="D282" s="3">
        <f t="shared" si="52"/>
        <v>0.13223623801718845</v>
      </c>
      <c r="E282" s="2">
        <f t="shared" si="53"/>
        <v>0.13289741920727438</v>
      </c>
      <c r="F282" s="2">
        <f t="shared" si="54"/>
        <v>0.13290072511322482</v>
      </c>
      <c r="G282" s="14">
        <f t="shared" si="55"/>
        <v>0.1335652452683207</v>
      </c>
      <c r="H282" s="1">
        <f t="shared" si="64"/>
        <v>0.13223623801718845</v>
      </c>
      <c r="I282" s="1">
        <f t="shared" si="56"/>
        <v>-0.85844023270111858</v>
      </c>
      <c r="J282" s="1">
        <f t="shared" si="57"/>
        <v>-0.8377258741921646</v>
      </c>
      <c r="K282" s="1">
        <f t="shared" si="58"/>
        <v>-0.83822589963201632</v>
      </c>
      <c r="L282" s="14">
        <f t="shared" si="59"/>
        <v>-0.81797270279297241</v>
      </c>
      <c r="M282" s="7">
        <f t="shared" si="60"/>
        <v>9.6581982256280803</v>
      </c>
    </row>
    <row r="283" spans="1:13" x14ac:dyDescent="0.25">
      <c r="A283" s="1">
        <f t="shared" si="61"/>
        <v>2.7299999999999858</v>
      </c>
      <c r="B283" s="4">
        <f t="shared" si="62"/>
        <v>10.16597065187349</v>
      </c>
      <c r="C283" s="43">
        <f t="shared" si="63"/>
        <v>0.17742965953630663</v>
      </c>
      <c r="D283" s="3">
        <f t="shared" si="52"/>
        <v>0.12385571054528437</v>
      </c>
      <c r="E283" s="2">
        <f t="shared" si="53"/>
        <v>0.12447498909801079</v>
      </c>
      <c r="F283" s="2">
        <f t="shared" si="54"/>
        <v>0.12447808549077442</v>
      </c>
      <c r="G283" s="14">
        <f t="shared" si="55"/>
        <v>0.12510049140019211</v>
      </c>
      <c r="H283" s="1">
        <f t="shared" si="64"/>
        <v>0.12385571054528437</v>
      </c>
      <c r="I283" s="1">
        <f t="shared" si="56"/>
        <v>-0.86485084066481976</v>
      </c>
      <c r="J283" s="1">
        <f t="shared" si="57"/>
        <v>-0.84398662604747532</v>
      </c>
      <c r="K283" s="1">
        <f t="shared" si="58"/>
        <v>-0.84449015504163127</v>
      </c>
      <c r="L283" s="14">
        <f t="shared" si="59"/>
        <v>-0.82409010942921634</v>
      </c>
      <c r="M283" s="7">
        <f t="shared" si="60"/>
        <v>9.7132069163759702</v>
      </c>
    </row>
    <row r="284" spans="1:13" x14ac:dyDescent="0.25">
      <c r="A284" s="1">
        <f t="shared" si="61"/>
        <v>2.7399999999999856</v>
      </c>
      <c r="B284" s="4">
        <f t="shared" si="62"/>
        <v>10.23729075286777</v>
      </c>
      <c r="C284" s="43">
        <f t="shared" si="63"/>
        <v>0.17867443012151171</v>
      </c>
      <c r="D284" s="3">
        <f t="shared" si="52"/>
        <v>0.11541255302483061</v>
      </c>
      <c r="E284" s="2">
        <f t="shared" si="53"/>
        <v>0.11598961578995476</v>
      </c>
      <c r="F284" s="2">
        <f t="shared" si="54"/>
        <v>0.11599250110378038</v>
      </c>
      <c r="G284" s="14">
        <f t="shared" si="55"/>
        <v>0.11657247803586841</v>
      </c>
      <c r="H284" s="1">
        <f t="shared" si="64"/>
        <v>0.11541255302483061</v>
      </c>
      <c r="I284" s="1">
        <f t="shared" si="56"/>
        <v>-0.87085378847394301</v>
      </c>
      <c r="J284" s="1">
        <f t="shared" si="57"/>
        <v>-0.84984934619870289</v>
      </c>
      <c r="K284" s="1">
        <f t="shared" si="58"/>
        <v>-0.85035615128351361</v>
      </c>
      <c r="L284" s="14">
        <f t="shared" si="59"/>
        <v>-0.82981868526207203</v>
      </c>
      <c r="M284" s="7">
        <f t="shared" si="60"/>
        <v>9.7634563300767425</v>
      </c>
    </row>
    <row r="285" spans="1:13" x14ac:dyDescent="0.25">
      <c r="A285" s="1">
        <f t="shared" si="61"/>
        <v>2.7499999999999853</v>
      </c>
      <c r="B285" s="4">
        <f t="shared" si="62"/>
        <v>10.303749012252823</v>
      </c>
      <c r="C285" s="43">
        <f t="shared" si="63"/>
        <v>0.17983434556292532</v>
      </c>
      <c r="D285" s="3">
        <f t="shared" si="52"/>
        <v>0.1069107472436632</v>
      </c>
      <c r="E285" s="2">
        <f t="shared" si="53"/>
        <v>0.10744530097988152</v>
      </c>
      <c r="F285" s="2">
        <f t="shared" si="54"/>
        <v>0.1074479737485626</v>
      </c>
      <c r="G285" s="14">
        <f t="shared" si="55"/>
        <v>0.10798522698114883</v>
      </c>
      <c r="H285" s="1">
        <f t="shared" si="64"/>
        <v>0.1069107472436632</v>
      </c>
      <c r="I285" s="1">
        <f t="shared" si="56"/>
        <v>-0.87644630519559841</v>
      </c>
      <c r="J285" s="1">
        <f t="shared" si="57"/>
        <v>-0.8553113095262872</v>
      </c>
      <c r="K285" s="1">
        <f t="shared" si="58"/>
        <v>-0.8558211626202159</v>
      </c>
      <c r="L285" s="14">
        <f t="shared" si="59"/>
        <v>-0.8351557507662779</v>
      </c>
      <c r="M285" s="7">
        <f t="shared" si="60"/>
        <v>9.8089218455230771</v>
      </c>
    </row>
    <row r="286" spans="1:13" x14ac:dyDescent="0.25">
      <c r="A286" s="1">
        <f t="shared" si="61"/>
        <v>2.7599999999999851</v>
      </c>
      <c r="B286" s="4">
        <f t="shared" si="62"/>
        <v>10.365311658474164</v>
      </c>
      <c r="C286" s="43">
        <f t="shared" si="63"/>
        <v>0.18090881643572815</v>
      </c>
      <c r="D286" s="3">
        <f t="shared" si="52"/>
        <v>9.8354302243238392E-2</v>
      </c>
      <c r="E286" s="2">
        <f t="shared" si="53"/>
        <v>9.8846073754454589E-2</v>
      </c>
      <c r="F286" s="2">
        <f t="shared" si="54"/>
        <v>9.8848532612010667E-2</v>
      </c>
      <c r="G286" s="14">
        <f t="shared" si="55"/>
        <v>9.9342787569358493E-2</v>
      </c>
      <c r="H286" s="1">
        <f t="shared" si="64"/>
        <v>9.8354302243238392E-2</v>
      </c>
      <c r="I286" s="1">
        <f t="shared" si="56"/>
        <v>-0.88162580016355829</v>
      </c>
      <c r="J286" s="1">
        <f t="shared" si="57"/>
        <v>-0.86036996788430931</v>
      </c>
      <c r="K286" s="1">
        <f t="shared" si="58"/>
        <v>-0.86088264034239959</v>
      </c>
      <c r="L286" s="14">
        <f t="shared" si="59"/>
        <v>-0.84009880015282479</v>
      </c>
      <c r="M286" s="7">
        <f t="shared" si="60"/>
        <v>9.8495811855220747</v>
      </c>
    </row>
    <row r="287" spans="1:13" x14ac:dyDescent="0.25">
      <c r="A287" s="1">
        <f t="shared" si="61"/>
        <v>2.7699999999999849</v>
      </c>
      <c r="B287" s="4">
        <f t="shared" si="62"/>
        <v>10.421947228512295</v>
      </c>
      <c r="C287" s="43">
        <f t="shared" si="63"/>
        <v>0.18189729360663737</v>
      </c>
      <c r="D287" s="3">
        <f t="shared" si="52"/>
        <v>8.9747252548622064E-2</v>
      </c>
      <c r="E287" s="2">
        <f t="shared" si="53"/>
        <v>9.0195988811365174E-2</v>
      </c>
      <c r="F287" s="2">
        <f t="shared" si="54"/>
        <v>9.0198232492678887E-2</v>
      </c>
      <c r="G287" s="14">
        <f t="shared" si="55"/>
        <v>9.0649234873548853E-2</v>
      </c>
      <c r="H287" s="1">
        <f t="shared" si="64"/>
        <v>8.9747252548622064E-2</v>
      </c>
      <c r="I287" s="1">
        <f t="shared" si="56"/>
        <v>-0.88638986308662182</v>
      </c>
      <c r="J287" s="1">
        <f t="shared" si="57"/>
        <v>-0.86502295029147258</v>
      </c>
      <c r="K287" s="1">
        <f t="shared" si="58"/>
        <v>-0.86553821295594213</v>
      </c>
      <c r="L287" s="14">
        <f t="shared" si="59"/>
        <v>-0.84464550163126217</v>
      </c>
      <c r="M287" s="7">
        <f t="shared" si="60"/>
        <v>9.8854144278106553</v>
      </c>
    </row>
    <row r="288" spans="1:13" x14ac:dyDescent="0.25">
      <c r="A288" s="1">
        <f t="shared" si="61"/>
        <v>2.7799999999999847</v>
      </c>
      <c r="B288" s="4">
        <f t="shared" si="62"/>
        <v>10.473626582556987</v>
      </c>
      <c r="C288" s="43">
        <f t="shared" si="63"/>
        <v>0.18279926849002112</v>
      </c>
      <c r="D288" s="3">
        <f t="shared" si="52"/>
        <v>8.1093656396600877E-2</v>
      </c>
      <c r="E288" s="2">
        <f t="shared" si="53"/>
        <v>8.1499124678583876E-2</v>
      </c>
      <c r="F288" s="2">
        <f t="shared" si="54"/>
        <v>8.1501152019993792E-2</v>
      </c>
      <c r="G288" s="14">
        <f t="shared" si="55"/>
        <v>8.190866791680082E-2</v>
      </c>
      <c r="H288" s="1">
        <f t="shared" si="64"/>
        <v>8.1093656396600877E-2</v>
      </c>
      <c r="I288" s="1">
        <f t="shared" si="56"/>
        <v>-0.89073626413810769</v>
      </c>
      <c r="J288" s="1">
        <f t="shared" si="57"/>
        <v>-0.8692680630988644</v>
      </c>
      <c r="K288" s="1">
        <f t="shared" si="58"/>
        <v>-0.86978568634603803</v>
      </c>
      <c r="L288" s="14">
        <f t="shared" si="59"/>
        <v>-0.84879369764507007</v>
      </c>
      <c r="M288" s="7">
        <f t="shared" si="60"/>
        <v>9.9164040148170436</v>
      </c>
    </row>
    <row r="289" spans="1:13" x14ac:dyDescent="0.25">
      <c r="A289" s="1">
        <f t="shared" si="61"/>
        <v>2.7899999999999845</v>
      </c>
      <c r="B289" s="4">
        <f t="shared" si="62"/>
        <v>10.520322917661266</v>
      </c>
      <c r="C289" s="43">
        <f t="shared" si="63"/>
        <v>0.18361427328620539</v>
      </c>
      <c r="D289" s="3">
        <f t="shared" si="52"/>
        <v>7.2397593962145901E-2</v>
      </c>
      <c r="E289" s="2">
        <f t="shared" si="53"/>
        <v>7.2759581931956627E-2</v>
      </c>
      <c r="F289" s="2">
        <f t="shared" si="54"/>
        <v>7.2761391871805678E-2</v>
      </c>
      <c r="G289" s="14">
        <f t="shared" si="55"/>
        <v>7.3125207880863963E-2</v>
      </c>
      <c r="H289" s="1">
        <f t="shared" si="64"/>
        <v>7.2397593962145901E-2</v>
      </c>
      <c r="I289" s="1">
        <f t="shared" si="56"/>
        <v>-0.89466295403132734</v>
      </c>
      <c r="J289" s="1">
        <f t="shared" si="57"/>
        <v>-0.87310329013890708</v>
      </c>
      <c r="K289" s="1">
        <f t="shared" si="58"/>
        <v>-0.87362304392272394</v>
      </c>
      <c r="L289" s="14">
        <f t="shared" si="59"/>
        <v>-0.85254140508411458</v>
      </c>
      <c r="M289" s="7">
        <f t="shared" si="60"/>
        <v>9.9425347622636462</v>
      </c>
    </row>
    <row r="290" spans="1:13" x14ac:dyDescent="0.25">
      <c r="A290" s="1">
        <f t="shared" si="61"/>
        <v>2.7999999999999843</v>
      </c>
      <c r="B290" s="4">
        <f t="shared" si="62"/>
        <v>10.562011780374101</v>
      </c>
      <c r="C290" s="43">
        <f t="shared" si="63"/>
        <v>0.18434188120195627</v>
      </c>
      <c r="D290" s="3">
        <f t="shared" si="52"/>
        <v>6.3663165583414727E-2</v>
      </c>
      <c r="E290" s="2">
        <f t="shared" si="53"/>
        <v>6.3981481411331795E-2</v>
      </c>
      <c r="F290" s="2">
        <f t="shared" si="54"/>
        <v>6.3983072990471387E-2</v>
      </c>
      <c r="G290" s="14">
        <f t="shared" si="55"/>
        <v>6.4302996313319441E-2</v>
      </c>
      <c r="H290" s="1">
        <f t="shared" si="64"/>
        <v>6.3663165583414727E-2</v>
      </c>
      <c r="I290" s="1">
        <f t="shared" si="56"/>
        <v>-0.89816806408559413</v>
      </c>
      <c r="J290" s="1">
        <f t="shared" si="57"/>
        <v>-0.87652679285964086</v>
      </c>
      <c r="K290" s="1">
        <f t="shared" si="58"/>
        <v>-0.87704844675198457</v>
      </c>
      <c r="L290" s="14">
        <f t="shared" si="59"/>
        <v>-0.85588681547795709</v>
      </c>
      <c r="M290" s="7">
        <f t="shared" si="60"/>
        <v>9.9637938666070429</v>
      </c>
    </row>
    <row r="291" spans="1:13" x14ac:dyDescent="0.25">
      <c r="A291" s="1">
        <f t="shared" si="61"/>
        <v>2.8099999999999841</v>
      </c>
      <c r="B291" s="4">
        <f t="shared" si="62"/>
        <v>10.598671078351037</v>
      </c>
      <c r="C291" s="43">
        <f t="shared" si="63"/>
        <v>0.1849817066531235</v>
      </c>
      <c r="D291" s="3">
        <f t="shared" si="52"/>
        <v>5.4894489985436723E-2</v>
      </c>
      <c r="E291" s="2">
        <f t="shared" si="53"/>
        <v>5.5168962435363907E-2</v>
      </c>
      <c r="F291" s="2">
        <f t="shared" si="54"/>
        <v>5.5170334797613539E-2</v>
      </c>
      <c r="G291" s="14">
        <f t="shared" si="55"/>
        <v>5.5446193333412858E-2</v>
      </c>
      <c r="H291" s="1">
        <f t="shared" si="64"/>
        <v>5.4894489985436723E-2</v>
      </c>
      <c r="I291" s="1">
        <f t="shared" si="56"/>
        <v>-0.90124990628701973</v>
      </c>
      <c r="J291" s="1">
        <f t="shared" si="57"/>
        <v>-0.87953691044820537</v>
      </c>
      <c r="K291" s="1">
        <f t="shared" si="58"/>
        <v>-0.88006023367631914</v>
      </c>
      <c r="L291" s="14">
        <f t="shared" si="59"/>
        <v>-0.85882829517353676</v>
      </c>
      <c r="M291" s="7">
        <f t="shared" si="60"/>
        <v>9.9801709113114541</v>
      </c>
    </row>
    <row r="292" spans="1:13" x14ac:dyDescent="0.25">
      <c r="A292" s="1">
        <f t="shared" si="61"/>
        <v>2.8199999999999839</v>
      </c>
      <c r="B292" s="4">
        <f t="shared" si="62"/>
        <v>10.630281090941935</v>
      </c>
      <c r="C292" s="43">
        <f t="shared" si="63"/>
        <v>0.1855334054494315</v>
      </c>
      <c r="D292" s="3">
        <f t="shared" si="52"/>
        <v>4.6095702502587377E-2</v>
      </c>
      <c r="E292" s="2">
        <f t="shared" si="53"/>
        <v>4.6326181015100311E-2</v>
      </c>
      <c r="F292" s="2">
        <f t="shared" si="54"/>
        <v>4.6327333407662881E-2</v>
      </c>
      <c r="G292" s="14">
        <f t="shared" si="55"/>
        <v>4.6558975836664004E-2</v>
      </c>
      <c r="H292" s="1">
        <f t="shared" si="64"/>
        <v>4.6095702502587377E-2</v>
      </c>
      <c r="I292" s="1">
        <f t="shared" si="56"/>
        <v>-0.90390697334801007</v>
      </c>
      <c r="J292" s="1">
        <f t="shared" si="57"/>
        <v>-0.88213215994707783</v>
      </c>
      <c r="K292" s="1">
        <f t="shared" si="58"/>
        <v>-0.88265692142834173</v>
      </c>
      <c r="L292" s="14">
        <f t="shared" si="59"/>
        <v>-0.86136438550046979</v>
      </c>
      <c r="M292" s="7">
        <f t="shared" si="60"/>
        <v>9.991657871952647</v>
      </c>
    </row>
    <row r="293" spans="1:13" x14ac:dyDescent="0.25">
      <c r="A293" s="1">
        <f t="shared" si="61"/>
        <v>2.8299999999999836</v>
      </c>
      <c r="B293" s="4">
        <f t="shared" si="62"/>
        <v>10.656824478755166</v>
      </c>
      <c r="C293" s="43">
        <f t="shared" si="63"/>
        <v>0.18599667496140612</v>
      </c>
      <c r="D293" s="3">
        <f t="shared" si="52"/>
        <v>3.7270953299921847E-2</v>
      </c>
      <c r="E293" s="2">
        <f t="shared" si="53"/>
        <v>3.7457308066421453E-2</v>
      </c>
      <c r="F293" s="2">
        <f t="shared" si="54"/>
        <v>3.7458239840253954E-2</v>
      </c>
      <c r="G293" s="14">
        <f t="shared" si="55"/>
        <v>3.7645535698324385E-2</v>
      </c>
      <c r="H293" s="1">
        <f t="shared" si="64"/>
        <v>3.7270953299921847E-2</v>
      </c>
      <c r="I293" s="1">
        <f t="shared" si="56"/>
        <v>-0.90613793876902426</v>
      </c>
      <c r="J293" s="1">
        <f t="shared" si="57"/>
        <v>-0.88431123636630926</v>
      </c>
      <c r="K293" s="1">
        <f t="shared" si="58"/>
        <v>-0.88483720474066851</v>
      </c>
      <c r="L293" s="14">
        <f t="shared" si="59"/>
        <v>-0.86349380292691791</v>
      </c>
      <c r="M293" s="7">
        <f t="shared" si="60"/>
        <v>9.9982491201497403</v>
      </c>
    </row>
    <row r="294" spans="1:13" x14ac:dyDescent="0.25">
      <c r="A294" s="1">
        <f t="shared" si="61"/>
        <v>2.8399999999999834</v>
      </c>
      <c r="B294" s="4">
        <f t="shared" si="62"/>
        <v>10.678286292197603</v>
      </c>
      <c r="C294" s="43">
        <f t="shared" si="63"/>
        <v>0.18637125426942544</v>
      </c>
      <c r="D294" s="3">
        <f t="shared" si="52"/>
        <v>2.8424405593405352E-2</v>
      </c>
      <c r="E294" s="2">
        <f t="shared" si="53"/>
        <v>2.8566527621372378E-2</v>
      </c>
      <c r="F294" s="2">
        <f t="shared" si="54"/>
        <v>2.8567238231512214E-2</v>
      </c>
      <c r="G294" s="14">
        <f t="shared" si="55"/>
        <v>2.8710077975720474E-2</v>
      </c>
      <c r="H294" s="1">
        <f t="shared" si="64"/>
        <v>2.8424405593405352E-2</v>
      </c>
      <c r="I294" s="1">
        <f t="shared" si="56"/>
        <v>-0.90794165690579687</v>
      </c>
      <c r="J294" s="1">
        <f t="shared" si="57"/>
        <v>-0.88607301279467343</v>
      </c>
      <c r="K294" s="1">
        <f t="shared" si="58"/>
        <v>-0.88659995645501521</v>
      </c>
      <c r="L294" s="14">
        <f t="shared" si="59"/>
        <v>-0.86521543920867872</v>
      </c>
      <c r="M294" s="7">
        <f t="shared" si="60"/>
        <v>9.9999414263229944</v>
      </c>
    </row>
    <row r="295" spans="1:13" x14ac:dyDescent="0.25">
      <c r="A295" s="1">
        <f t="shared" si="61"/>
        <v>2.8499999999999832</v>
      </c>
      <c r="B295" s="4">
        <f t="shared" si="62"/>
        <v>10.69465397898975</v>
      </c>
      <c r="C295" s="43">
        <f t="shared" si="63"/>
        <v>0.18665692429488359</v>
      </c>
      <c r="D295" s="3">
        <f t="shared" si="52"/>
        <v>1.9560233869048933E-2</v>
      </c>
      <c r="E295" s="2">
        <f t="shared" si="53"/>
        <v>1.9658035038394178E-2</v>
      </c>
      <c r="F295" s="2">
        <f t="shared" si="54"/>
        <v>1.9658524044240903E-2</v>
      </c>
      <c r="G295" s="14">
        <f t="shared" si="55"/>
        <v>1.9756819109491341E-2</v>
      </c>
      <c r="H295" s="1">
        <f t="shared" si="64"/>
        <v>1.9560233869048933E-2</v>
      </c>
      <c r="I295" s="1">
        <f t="shared" si="56"/>
        <v>-0.90931716304483934</v>
      </c>
      <c r="J295" s="1">
        <f t="shared" si="57"/>
        <v>-0.88741654051228414</v>
      </c>
      <c r="K295" s="1">
        <f t="shared" si="58"/>
        <v>-0.88794422763307412</v>
      </c>
      <c r="L295" s="14">
        <f t="shared" si="59"/>
        <v>-0.86652836153382917</v>
      </c>
      <c r="M295" s="7">
        <f t="shared" si="60"/>
        <v>9.9967339612762434</v>
      </c>
    </row>
    <row r="296" spans="1:13" x14ac:dyDescent="0.25">
      <c r="A296" s="1">
        <f t="shared" si="61"/>
        <v>2.859999999999983</v>
      </c>
      <c r="B296" s="4">
        <f t="shared" si="62"/>
        <v>10.705917390655394</v>
      </c>
      <c r="C296" s="43">
        <f t="shared" si="63"/>
        <v>0.18685350791345662</v>
      </c>
      <c r="D296" s="3">
        <f t="shared" si="52"/>
        <v>1.068262210093329E-2</v>
      </c>
      <c r="E296" s="2">
        <f t="shared" si="53"/>
        <v>1.0736035211437957E-2</v>
      </c>
      <c r="F296" s="2">
        <f t="shared" si="54"/>
        <v>1.0736302276990481E-2</v>
      </c>
      <c r="G296" s="14">
        <f t="shared" si="55"/>
        <v>1.0789985123703195E-2</v>
      </c>
      <c r="H296" s="1">
        <f t="shared" si="64"/>
        <v>1.068262210093329E-2</v>
      </c>
      <c r="I296" s="1">
        <f t="shared" si="56"/>
        <v>-0.91026367348963966</v>
      </c>
      <c r="J296" s="1">
        <f t="shared" si="57"/>
        <v>-0.8883410491068896</v>
      </c>
      <c r="K296" s="1">
        <f t="shared" si="58"/>
        <v>-0.88886924767138242</v>
      </c>
      <c r="L296" s="14">
        <f t="shared" si="59"/>
        <v>-0.86743181266493241</v>
      </c>
      <c r="M296" s="7">
        <f t="shared" si="60"/>
        <v>9.9886282966031867</v>
      </c>
    </row>
    <row r="297" spans="1:13" x14ac:dyDescent="0.25">
      <c r="A297" s="1">
        <f t="shared" si="61"/>
        <v>2.8699999999999828</v>
      </c>
      <c r="B297" s="4">
        <f t="shared" si="62"/>
        <v>10.712068787985141</v>
      </c>
      <c r="C297" s="43">
        <f t="shared" si="63"/>
        <v>0.18696087005045911</v>
      </c>
      <c r="D297" s="3">
        <f t="shared" si="52"/>
        <v>1.7957619680814291E-3</v>
      </c>
      <c r="E297" s="2">
        <f t="shared" si="53"/>
        <v>1.8047407779218363E-3</v>
      </c>
      <c r="F297" s="2">
        <f t="shared" si="54"/>
        <v>1.8047856719710384E-3</v>
      </c>
      <c r="G297" s="14">
        <f t="shared" si="55"/>
        <v>1.8138098248011395E-3</v>
      </c>
      <c r="H297" s="1">
        <f t="shared" si="64"/>
        <v>1.7957619680814291E-3</v>
      </c>
      <c r="I297" s="1">
        <f t="shared" si="56"/>
        <v>-0.91078058565958175</v>
      </c>
      <c r="J297" s="1">
        <f t="shared" si="57"/>
        <v>-0.88884594659567384</v>
      </c>
      <c r="K297" s="1">
        <f t="shared" si="58"/>
        <v>-0.8893744244220223</v>
      </c>
      <c r="L297" s="14">
        <f t="shared" si="59"/>
        <v>-0.86792521108047194</v>
      </c>
      <c r="M297" s="7">
        <f t="shared" si="60"/>
        <v>9.9756284039173337</v>
      </c>
    </row>
    <row r="298" spans="1:13" x14ac:dyDescent="0.25">
      <c r="A298" s="1">
        <f t="shared" si="61"/>
        <v>2.8799999999999826</v>
      </c>
      <c r="B298" s="4">
        <f t="shared" si="62"/>
        <v>10.713102845473177</v>
      </c>
      <c r="C298" s="43">
        <f t="shared" si="63"/>
        <v>0.18697891775828021</v>
      </c>
      <c r="D298" s="3">
        <f t="shared" si="52"/>
        <v>-7.0961489298776471E-3</v>
      </c>
      <c r="E298" s="2">
        <f t="shared" si="53"/>
        <v>-7.1316296745270354E-3</v>
      </c>
      <c r="F298" s="2">
        <f t="shared" si="54"/>
        <v>-7.1318070782502825E-3</v>
      </c>
      <c r="G298" s="14">
        <f t="shared" si="55"/>
        <v>-7.1674670006601502E-3</v>
      </c>
      <c r="H298" s="1">
        <f t="shared" si="64"/>
        <v>-7.0961489298776471E-3</v>
      </c>
      <c r="I298" s="1">
        <f t="shared" si="56"/>
        <v>-0.91086747820317948</v>
      </c>
      <c r="J298" s="1">
        <f t="shared" si="57"/>
        <v>-0.88893081955401931</v>
      </c>
      <c r="K298" s="1">
        <f t="shared" si="58"/>
        <v>-0.88945934432061247</v>
      </c>
      <c r="L298" s="14">
        <f t="shared" si="59"/>
        <v>-0.86800815111684149</v>
      </c>
      <c r="M298" s="7">
        <f t="shared" si="60"/>
        <v>9.9577406529059989</v>
      </c>
    </row>
    <row r="299" spans="1:13" x14ac:dyDescent="0.25">
      <c r="A299" s="1">
        <f t="shared" si="61"/>
        <v>2.8899999999999824</v>
      </c>
      <c r="B299" s="4">
        <f t="shared" si="62"/>
        <v>10.709016654726531</v>
      </c>
      <c r="C299" s="43">
        <f t="shared" si="63"/>
        <v>0.18690760027588674</v>
      </c>
      <c r="D299" s="3">
        <f t="shared" si="52"/>
        <v>-1.5988908858326455E-2</v>
      </c>
      <c r="E299" s="2">
        <f t="shared" si="53"/>
        <v>-1.6068853402618086E-2</v>
      </c>
      <c r="F299" s="2">
        <f t="shared" si="54"/>
        <v>-1.6069253125339546E-2</v>
      </c>
      <c r="G299" s="14">
        <f t="shared" si="55"/>
        <v>-1.6149601389579851E-2</v>
      </c>
      <c r="H299" s="1">
        <f t="shared" si="64"/>
        <v>-1.5988908858326455E-2</v>
      </c>
      <c r="I299" s="1">
        <f t="shared" si="56"/>
        <v>-0.91052411112680498</v>
      </c>
      <c r="J299" s="1">
        <f t="shared" si="57"/>
        <v>-0.88859543325230073</v>
      </c>
      <c r="K299" s="1">
        <f t="shared" si="58"/>
        <v>-0.88912377252266139</v>
      </c>
      <c r="L299" s="14">
        <f t="shared" si="59"/>
        <v>-0.86768040311185657</v>
      </c>
      <c r="M299" s="7">
        <f t="shared" si="60"/>
        <v>9.934973808209282</v>
      </c>
    </row>
    <row r="300" spans="1:13" x14ac:dyDescent="0.25">
      <c r="A300" s="1">
        <f t="shared" si="61"/>
        <v>2.8999999999999821</v>
      </c>
      <c r="B300" s="4">
        <f t="shared" si="62"/>
        <v>10.699809726846146</v>
      </c>
      <c r="C300" s="43">
        <f t="shared" si="63"/>
        <v>0.18674690907038036</v>
      </c>
      <c r="D300" s="3">
        <f t="shared" si="52"/>
        <v>-2.4878313734640764E-2</v>
      </c>
      <c r="E300" s="2">
        <f t="shared" si="53"/>
        <v>-2.5002705303313968E-2</v>
      </c>
      <c r="F300" s="2">
        <f t="shared" si="54"/>
        <v>-2.5003327261157334E-2</v>
      </c>
      <c r="G300" s="14">
        <f t="shared" si="55"/>
        <v>-2.5128347007252336E-2</v>
      </c>
      <c r="H300" s="1">
        <f t="shared" si="64"/>
        <v>-2.4878313734640764E-2</v>
      </c>
      <c r="I300" s="1">
        <f t="shared" si="56"/>
        <v>-0.90975042593965672</v>
      </c>
      <c r="J300" s="1">
        <f t="shared" si="57"/>
        <v>-0.88783973180138198</v>
      </c>
      <c r="K300" s="1">
        <f t="shared" si="58"/>
        <v>-0.88836765304896204</v>
      </c>
      <c r="L300" s="14">
        <f t="shared" si="59"/>
        <v>-0.86694191355039885</v>
      </c>
      <c r="M300" s="7">
        <f t="shared" si="60"/>
        <v>9.9073390251255642</v>
      </c>
    </row>
    <row r="301" spans="1:13" x14ac:dyDescent="0.25">
      <c r="A301" s="1">
        <f t="shared" si="61"/>
        <v>2.9099999999999819</v>
      </c>
      <c r="B301" s="4">
        <f t="shared" si="62"/>
        <v>10.685483993778931</v>
      </c>
      <c r="C301" s="43">
        <f t="shared" si="63"/>
        <v>0.18649687786059563</v>
      </c>
      <c r="D301" s="3">
        <f t="shared" si="52"/>
        <v>-3.3760158916625337E-2</v>
      </c>
      <c r="E301" s="2">
        <f t="shared" si="53"/>
        <v>-3.3928959711208462E-2</v>
      </c>
      <c r="F301" s="2">
        <f t="shared" si="54"/>
        <v>-3.3929803715181381E-2</v>
      </c>
      <c r="G301" s="14">
        <f t="shared" si="55"/>
        <v>-3.4099456953777148E-2</v>
      </c>
      <c r="H301" s="1">
        <f t="shared" si="64"/>
        <v>-3.3760158916625337E-2</v>
      </c>
      <c r="I301" s="1">
        <f t="shared" si="56"/>
        <v>-0.90854654581528183</v>
      </c>
      <c r="J301" s="1">
        <f t="shared" si="57"/>
        <v>-0.88666383830709994</v>
      </c>
      <c r="K301" s="1">
        <f t="shared" si="58"/>
        <v>-0.88719110894030895</v>
      </c>
      <c r="L301" s="14">
        <f t="shared" si="59"/>
        <v>-0.8657928052124495</v>
      </c>
      <c r="M301" s="7">
        <f t="shared" si="60"/>
        <v>9.874849844145638</v>
      </c>
    </row>
    <row r="302" spans="1:13" x14ac:dyDescent="0.25">
      <c r="A302" s="1">
        <f t="shared" si="61"/>
        <v>2.9199999999999817</v>
      </c>
      <c r="B302" s="4">
        <f t="shared" si="62"/>
        <v>10.666043808639982</v>
      </c>
      <c r="C302" s="43">
        <f t="shared" si="63"/>
        <v>0.18615758262272367</v>
      </c>
      <c r="D302" s="3">
        <f t="shared" si="52"/>
        <v>-4.2630240992496252E-2</v>
      </c>
      <c r="E302" s="2">
        <f t="shared" si="53"/>
        <v>-4.2843392197458731E-2</v>
      </c>
      <c r="F302" s="2">
        <f t="shared" si="54"/>
        <v>-4.2844457953483545E-2</v>
      </c>
      <c r="G302" s="14">
        <f t="shared" si="55"/>
        <v>-4.3058685572031088E-2</v>
      </c>
      <c r="H302" s="1">
        <f t="shared" si="64"/>
        <v>-4.2630240992496252E-2</v>
      </c>
      <c r="I302" s="1">
        <f t="shared" si="56"/>
        <v>-0.90691277576952689</v>
      </c>
      <c r="J302" s="1">
        <f t="shared" si="57"/>
        <v>-0.88506805503361274</v>
      </c>
      <c r="K302" s="1">
        <f t="shared" si="58"/>
        <v>-0.88559444242141849</v>
      </c>
      <c r="L302" s="14">
        <f t="shared" si="59"/>
        <v>-0.86423337732338967</v>
      </c>
      <c r="M302" s="7">
        <f t="shared" si="60"/>
        <v>9.8375221843181375</v>
      </c>
    </row>
    <row r="303" spans="1:13" x14ac:dyDescent="0.25">
      <c r="A303" s="1">
        <f t="shared" si="61"/>
        <v>2.9299999999999815</v>
      </c>
      <c r="B303" s="4">
        <f t="shared" si="62"/>
        <v>10.641495945004062</v>
      </c>
      <c r="C303" s="43">
        <f t="shared" si="63"/>
        <v>0.18572914157794632</v>
      </c>
      <c r="D303" s="3">
        <f t="shared" si="52"/>
        <v>-5.148435957250122E-2</v>
      </c>
      <c r="E303" s="2">
        <f t="shared" si="53"/>
        <v>-5.1741781370363726E-2</v>
      </c>
      <c r="F303" s="2">
        <f t="shared" si="54"/>
        <v>-5.174306847935304E-2</v>
      </c>
      <c r="G303" s="14">
        <f t="shared" si="55"/>
        <v>-5.2001790257294754E-2</v>
      </c>
      <c r="H303" s="1">
        <f t="shared" si="64"/>
        <v>-5.148435957250122E-2</v>
      </c>
      <c r="I303" s="1">
        <f t="shared" si="56"/>
        <v>-0.90484960285435789</v>
      </c>
      <c r="J303" s="1">
        <f t="shared" si="57"/>
        <v>-0.88305286357509793</v>
      </c>
      <c r="K303" s="1">
        <f t="shared" si="58"/>
        <v>-0.88357813507353267</v>
      </c>
      <c r="L303" s="14">
        <f t="shared" si="59"/>
        <v>-0.86226410570609657</v>
      </c>
      <c r="M303" s="7">
        <f t="shared" si="60"/>
        <v>9.7953743354495355</v>
      </c>
    </row>
    <row r="304" spans="1:13" x14ac:dyDescent="0.25">
      <c r="A304" s="1">
        <f t="shared" si="61"/>
        <v>2.9399999999999813</v>
      </c>
      <c r="B304" s="4">
        <f t="shared" si="62"/>
        <v>10.611849595165442</v>
      </c>
      <c r="C304" s="43">
        <f t="shared" si="63"/>
        <v>0.18521171516206428</v>
      </c>
      <c r="D304" s="3">
        <f t="shared" si="52"/>
        <v>-6.031831908226408E-2</v>
      </c>
      <c r="E304" s="2">
        <f t="shared" si="53"/>
        <v>-6.0619910677675401E-2</v>
      </c>
      <c r="F304" s="2">
        <f t="shared" si="54"/>
        <v>-6.0621418635652458E-2</v>
      </c>
      <c r="G304" s="14">
        <f t="shared" si="55"/>
        <v>-6.0924533268620601E-2</v>
      </c>
      <c r="H304" s="1">
        <f t="shared" si="64"/>
        <v>-6.031831908226408E-2</v>
      </c>
      <c r="I304" s="1">
        <f t="shared" si="56"/>
        <v>-0.90235769636655283</v>
      </c>
      <c r="J304" s="1">
        <f t="shared" si="57"/>
        <v>-0.88061892503488481</v>
      </c>
      <c r="K304" s="1">
        <f t="shared" si="58"/>
        <v>-0.8811428480147917</v>
      </c>
      <c r="L304" s="14">
        <f t="shared" si="59"/>
        <v>-0.85988564293399039</v>
      </c>
      <c r="M304" s="7">
        <f t="shared" si="60"/>
        <v>9.7484269491424733</v>
      </c>
    </row>
    <row r="305" spans="1:13" x14ac:dyDescent="0.25">
      <c r="A305" s="1">
        <f t="shared" si="61"/>
        <v>2.9499999999999811</v>
      </c>
      <c r="B305" s="4">
        <f t="shared" si="62"/>
        <v>10.57711636736502</v>
      </c>
      <c r="C305" s="43">
        <f t="shared" si="63"/>
        <v>0.18460550597710171</v>
      </c>
      <c r="D305" s="3">
        <f t="shared" si="52"/>
        <v>-6.9127930557930567E-2</v>
      </c>
      <c r="E305" s="2">
        <f t="shared" si="53"/>
        <v>-6.9473570210720217E-2</v>
      </c>
      <c r="F305" s="2">
        <f t="shared" si="54"/>
        <v>-6.9475298408984171E-2</v>
      </c>
      <c r="G305" s="14">
        <f t="shared" si="55"/>
        <v>-6.9822683542020411E-2</v>
      </c>
      <c r="H305" s="1">
        <f t="shared" si="64"/>
        <v>-6.9127930557930567E-2</v>
      </c>
      <c r="I305" s="1">
        <f t="shared" si="56"/>
        <v>-0.89943790806983825</v>
      </c>
      <c r="J305" s="1">
        <f t="shared" si="57"/>
        <v>-0.87776708021071004</v>
      </c>
      <c r="K305" s="1">
        <f t="shared" si="58"/>
        <v>-0.87828942208705818</v>
      </c>
      <c r="L305" s="14">
        <f t="shared" si="59"/>
        <v>-0.8570988184838314</v>
      </c>
      <c r="M305" s="7">
        <f t="shared" si="60"/>
        <v>9.6967030286769234</v>
      </c>
    </row>
    <row r="306" spans="1:13" x14ac:dyDescent="0.25">
      <c r="A306" s="1">
        <f t="shared" si="61"/>
        <v>2.9599999999999809</v>
      </c>
      <c r="B306" s="4">
        <f t="shared" si="62"/>
        <v>10.537310281983801</v>
      </c>
      <c r="C306" s="43">
        <f t="shared" si="63"/>
        <v>0.18391075872486945</v>
      </c>
      <c r="D306" s="3">
        <f t="shared" si="52"/>
        <v>-7.7909013443179242E-2</v>
      </c>
      <c r="E306" s="2">
        <f t="shared" si="53"/>
        <v>-7.8298558510395133E-2</v>
      </c>
      <c r="F306" s="2">
        <f t="shared" si="54"/>
        <v>-7.8300506235731218E-2</v>
      </c>
      <c r="G306" s="14">
        <f t="shared" si="55"/>
        <v>-7.869201850553656E-2</v>
      </c>
      <c r="H306" s="1">
        <f t="shared" si="64"/>
        <v>-7.7909013443179242E-2</v>
      </c>
      <c r="I306" s="1">
        <f t="shared" si="56"/>
        <v>-0.89609127242861275</v>
      </c>
      <c r="J306" s="1">
        <f t="shared" si="57"/>
        <v>-0.87449834978440089</v>
      </c>
      <c r="K306" s="1">
        <f t="shared" si="58"/>
        <v>-0.87501887804748968</v>
      </c>
      <c r="L306" s="14">
        <f t="shared" si="59"/>
        <v>-0.85390463888671153</v>
      </c>
      <c r="M306" s="7">
        <f t="shared" si="60"/>
        <v>9.6402279177390184</v>
      </c>
    </row>
    <row r="307" spans="1:13" x14ac:dyDescent="0.25">
      <c r="A307" s="1">
        <f t="shared" si="61"/>
        <v>2.9699999999999807</v>
      </c>
      <c r="B307" s="4">
        <f t="shared" si="62"/>
        <v>10.492447766701547</v>
      </c>
      <c r="C307" s="43">
        <f t="shared" si="63"/>
        <v>0.18312776012246784</v>
      </c>
      <c r="D307" s="3">
        <f t="shared" si="52"/>
        <v>-8.6657397388144417E-2</v>
      </c>
      <c r="E307" s="2">
        <f t="shared" si="53"/>
        <v>-8.7090684375085145E-2</v>
      </c>
      <c r="F307" s="2">
        <f t="shared" si="54"/>
        <v>-8.7092850810019842E-2</v>
      </c>
      <c r="G307" s="14">
        <f t="shared" si="55"/>
        <v>-8.752832589624461E-2</v>
      </c>
      <c r="H307" s="1">
        <f t="shared" si="64"/>
        <v>-8.6657397388144417E-2</v>
      </c>
      <c r="I307" s="1">
        <f t="shared" si="56"/>
        <v>-0.89231900685098076</v>
      </c>
      <c r="J307" s="1">
        <f t="shared" si="57"/>
        <v>-0.87081393451389821</v>
      </c>
      <c r="K307" s="1">
        <f t="shared" si="58"/>
        <v>-0.87133241676277029</v>
      </c>
      <c r="L307" s="14">
        <f t="shared" si="59"/>
        <v>-0.8503042878753283</v>
      </c>
      <c r="M307" s="7">
        <f t="shared" si="60"/>
        <v>9.5790292880031664</v>
      </c>
    </row>
    <row r="308" spans="1:13" x14ac:dyDescent="0.25">
      <c r="A308" s="1">
        <f t="shared" si="61"/>
        <v>2.9799999999999804</v>
      </c>
      <c r="B308" s="4">
        <f t="shared" si="62"/>
        <v>10.442547650619581</v>
      </c>
      <c r="C308" s="43">
        <f t="shared" si="63"/>
        <v>0.18225683879971016</v>
      </c>
      <c r="D308" s="3">
        <f t="shared" si="52"/>
        <v>-9.5368924050277165E-2</v>
      </c>
      <c r="E308" s="2">
        <f t="shared" si="53"/>
        <v>-9.5845768670528547E-2</v>
      </c>
      <c r="F308" s="2">
        <f t="shared" si="54"/>
        <v>-9.5848152893629801E-2</v>
      </c>
      <c r="G308" s="14">
        <f t="shared" si="55"/>
        <v>-9.632740557921346E-2</v>
      </c>
      <c r="H308" s="1">
        <f t="shared" si="64"/>
        <v>-9.5368924050277165E-2</v>
      </c>
      <c r="I308" s="1">
        <f t="shared" si="56"/>
        <v>-0.8881225119384073</v>
      </c>
      <c r="J308" s="1">
        <f t="shared" si="57"/>
        <v>-0.86671521542516694</v>
      </c>
      <c r="K308" s="1">
        <f t="shared" si="58"/>
        <v>-0.86723141940353343</v>
      </c>
      <c r="L308" s="14">
        <f t="shared" si="59"/>
        <v>-0.84629912652529671</v>
      </c>
      <c r="M308" s="7">
        <f t="shared" si="60"/>
        <v>9.5131371255734685</v>
      </c>
    </row>
    <row r="309" spans="1:13" x14ac:dyDescent="0.25">
      <c r="A309" s="1">
        <f t="shared" si="61"/>
        <v>2.9899999999999802</v>
      </c>
      <c r="B309" s="4">
        <f t="shared" si="62"/>
        <v>10.38763115734659</v>
      </c>
      <c r="C309" s="43">
        <f t="shared" si="63"/>
        <v>0.18129836517844716</v>
      </c>
      <c r="D309" s="3">
        <f t="shared" si="52"/>
        <v>-0.10403944889714567</v>
      </c>
      <c r="E309" s="2">
        <f t="shared" si="53"/>
        <v>-0.10455964614163139</v>
      </c>
      <c r="F309" s="2">
        <f t="shared" si="54"/>
        <v>-0.10456224712785382</v>
      </c>
      <c r="G309" s="14">
        <f t="shared" si="55"/>
        <v>-0.10508507136842421</v>
      </c>
      <c r="H309" s="1">
        <f t="shared" si="64"/>
        <v>-0.10403944889714567</v>
      </c>
      <c r="I309" s="1">
        <f t="shared" si="56"/>
        <v>-0.88350337173890436</v>
      </c>
      <c r="J309" s="1">
        <f t="shared" si="57"/>
        <v>-0.86220375400116533</v>
      </c>
      <c r="K309" s="1">
        <f t="shared" si="58"/>
        <v>-0.86271744763614522</v>
      </c>
      <c r="L309" s="14">
        <f t="shared" si="59"/>
        <v>-0.84189069338791167</v>
      </c>
      <c r="M309" s="7">
        <f t="shared" si="60"/>
        <v>9.4425837162911535</v>
      </c>
    </row>
    <row r="310" spans="1:13" x14ac:dyDescent="0.25">
      <c r="A310" s="1">
        <f t="shared" si="61"/>
        <v>2.99999999999998</v>
      </c>
      <c r="B310" s="4">
        <f t="shared" si="62"/>
        <v>10.327721897046311</v>
      </c>
      <c r="C310" s="43">
        <f t="shared" si="63"/>
        <v>0.18025275133377294</v>
      </c>
      <c r="D310" s="3">
        <f t="shared" si="52"/>
        <v>-0.11266484301114807</v>
      </c>
      <c r="E310" s="2">
        <f t="shared" si="53"/>
        <v>-0.11322816722620381</v>
      </c>
      <c r="F310" s="2">
        <f t="shared" si="54"/>
        <v>-0.11323098384727909</v>
      </c>
      <c r="G310" s="14">
        <f t="shared" si="55"/>
        <v>-0.11379715284962086</v>
      </c>
      <c r="H310" s="1">
        <f t="shared" si="64"/>
        <v>-0.11266484301114807</v>
      </c>
      <c r="I310" s="1">
        <f t="shared" si="56"/>
        <v>-0.87846335400026698</v>
      </c>
      <c r="J310" s="1">
        <f t="shared" si="57"/>
        <v>-0.8572812923646993</v>
      </c>
      <c r="K310" s="1">
        <f t="shared" si="58"/>
        <v>-0.85779224380865571</v>
      </c>
      <c r="L310" s="14">
        <f t="shared" si="59"/>
        <v>-0.83708070461145812</v>
      </c>
      <c r="M310" s="7">
        <f t="shared" si="60"/>
        <v>9.3674036299151311</v>
      </c>
    </row>
    <row r="311" spans="1:13" x14ac:dyDescent="0.25">
      <c r="A311" s="1">
        <f t="shared" si="61"/>
        <v>3.0099999999999798</v>
      </c>
      <c r="B311" s="4">
        <f t="shared" si="62"/>
        <v>10.262845857446004</v>
      </c>
      <c r="C311" s="43">
        <f t="shared" si="63"/>
        <v>0.17912045083709338</v>
      </c>
      <c r="D311" s="3">
        <f t="shared" si="52"/>
        <v>-0.1212409948960788</v>
      </c>
      <c r="E311" s="2">
        <f t="shared" si="53"/>
        <v>-0.1218471998705592</v>
      </c>
      <c r="F311" s="2">
        <f t="shared" si="54"/>
        <v>-0.12185023089543159</v>
      </c>
      <c r="G311" s="14">
        <f t="shared" si="55"/>
        <v>-0.12245949720503312</v>
      </c>
      <c r="H311" s="1">
        <f t="shared" si="64"/>
        <v>-0.1212409948960788</v>
      </c>
      <c r="I311" s="1">
        <f t="shared" si="56"/>
        <v>-0.87300441041950871</v>
      </c>
      <c r="J311" s="1">
        <f t="shared" si="57"/>
        <v>-0.85194975345164203</v>
      </c>
      <c r="K311" s="1">
        <f t="shared" si="58"/>
        <v>-0.85245773112739043</v>
      </c>
      <c r="L311" s="14">
        <f t="shared" si="59"/>
        <v>-0.83187105404784922</v>
      </c>
      <c r="M311" s="7">
        <f t="shared" si="60"/>
        <v>9.287633703183527</v>
      </c>
    </row>
    <row r="312" spans="1:13" x14ac:dyDescent="0.25">
      <c r="A312" s="1">
        <f t="shared" si="61"/>
        <v>3.0199999999999796</v>
      </c>
      <c r="B312" s="4">
        <f t="shared" si="62"/>
        <v>10.19303139380467</v>
      </c>
      <c r="C312" s="43">
        <f t="shared" si="63"/>
        <v>0.17790195858103822</v>
      </c>
      <c r="D312" s="3">
        <f t="shared" si="52"/>
        <v>-0.1297638122854545</v>
      </c>
      <c r="E312" s="2">
        <f t="shared" si="53"/>
        <v>-0.13041263134688177</v>
      </c>
      <c r="F312" s="2">
        <f t="shared" si="54"/>
        <v>-0.13041587544218891</v>
      </c>
      <c r="G312" s="14">
        <f t="shared" si="55"/>
        <v>-0.13106797103987639</v>
      </c>
      <c r="H312" s="1">
        <f t="shared" si="64"/>
        <v>-0.1297638122854545</v>
      </c>
      <c r="I312" s="1">
        <f t="shared" si="56"/>
        <v>-0.86712867688427608</v>
      </c>
      <c r="J312" s="1">
        <f t="shared" si="57"/>
        <v>-0.84621124117067248</v>
      </c>
      <c r="K312" s="1">
        <f t="shared" si="58"/>
        <v>-0.84671601382032469</v>
      </c>
      <c r="L312" s="14">
        <f t="shared" si="59"/>
        <v>-0.82626381334108312</v>
      </c>
      <c r="M312" s="7">
        <f t="shared" si="60"/>
        <v>9.2033130217643979</v>
      </c>
    </row>
    <row r="313" spans="1:13" x14ac:dyDescent="0.25">
      <c r="A313" s="1">
        <f t="shared" si="61"/>
        <v>3.0299999999999794</v>
      </c>
      <c r="B313" s="4">
        <f t="shared" si="62"/>
        <v>10.118309217839938</v>
      </c>
      <c r="C313" s="43">
        <f t="shared" si="63"/>
        <v>0.17659781058619908</v>
      </c>
      <c r="D313" s="3">
        <f t="shared" si="52"/>
        <v>-0.13822922395246676</v>
      </c>
      <c r="E313" s="2">
        <f t="shared" si="53"/>
        <v>-0.1389203700722291</v>
      </c>
      <c r="F313" s="2">
        <f t="shared" si="54"/>
        <v>-0.13892382580282789</v>
      </c>
      <c r="G313" s="14">
        <f t="shared" si="55"/>
        <v>-0.13961846221049504</v>
      </c>
      <c r="H313" s="1">
        <f t="shared" si="64"/>
        <v>-0.13822922395246676</v>
      </c>
      <c r="I313" s="1">
        <f t="shared" si="56"/>
        <v>-0.86083847370169353</v>
      </c>
      <c r="J313" s="1">
        <f t="shared" si="57"/>
        <v>-0.84006804054538087</v>
      </c>
      <c r="K313" s="1">
        <f t="shared" si="58"/>
        <v>-0.84056937728306491</v>
      </c>
      <c r="L313" s="14">
        <f t="shared" si="59"/>
        <v>-0.82026123199372203</v>
      </c>
      <c r="M313" s="7">
        <f t="shared" si="60"/>
        <v>9.1144829011045498</v>
      </c>
    </row>
    <row r="314" spans="1:13" x14ac:dyDescent="0.25">
      <c r="A314" s="1">
        <f t="shared" si="61"/>
        <v>3.0399999999999792</v>
      </c>
      <c r="B314" s="4">
        <f t="shared" si="62"/>
        <v>10.03871238561276</v>
      </c>
      <c r="C314" s="43">
        <f t="shared" si="63"/>
        <v>0.1752085837896773</v>
      </c>
      <c r="D314" s="3">
        <f t="shared" si="52"/>
        <v>-0.14663318152138727</v>
      </c>
      <c r="E314" s="2">
        <f t="shared" si="53"/>
        <v>-0.14736634742899421</v>
      </c>
      <c r="F314" s="2">
        <f t="shared" si="54"/>
        <v>-0.14737001325853225</v>
      </c>
      <c r="G314" s="14">
        <f t="shared" si="55"/>
        <v>-0.14810688165397259</v>
      </c>
      <c r="H314" s="1">
        <f t="shared" si="64"/>
        <v>-0.14663318152138727</v>
      </c>
      <c r="I314" s="1">
        <f t="shared" si="56"/>
        <v>-0.85413630580975231</v>
      </c>
      <c r="J314" s="1">
        <f t="shared" si="57"/>
        <v>-0.8335226178342906</v>
      </c>
      <c r="K314" s="1">
        <f t="shared" si="58"/>
        <v>-0.83402028820298024</v>
      </c>
      <c r="L314" s="14">
        <f t="shared" si="59"/>
        <v>-0.81386573740733048</v>
      </c>
      <c r="M314" s="7">
        <f t="shared" si="60"/>
        <v>9.0211868661857935</v>
      </c>
    </row>
    <row r="315" spans="1:13" x14ac:dyDescent="0.25">
      <c r="A315" s="1">
        <f t="shared" si="61"/>
        <v>3.049999999999979</v>
      </c>
      <c r="B315" s="4">
        <f t="shared" si="62"/>
        <v>9.954276284369012</v>
      </c>
      <c r="C315" s="43">
        <f t="shared" si="63"/>
        <v>0.17373489581542662</v>
      </c>
      <c r="D315" s="3">
        <f t="shared" si="52"/>
        <v>-0.15497166128020665</v>
      </c>
      <c r="E315" s="2">
        <f t="shared" si="53"/>
        <v>-0.15574651958660768</v>
      </c>
      <c r="F315" s="2">
        <f t="shared" si="54"/>
        <v>-0.15575039387813969</v>
      </c>
      <c r="G315" s="14">
        <f t="shared" si="55"/>
        <v>-0.15652916521898805</v>
      </c>
      <c r="H315" s="1">
        <f t="shared" si="64"/>
        <v>-0.15497166128020665</v>
      </c>
      <c r="I315" s="1">
        <f t="shared" si="56"/>
        <v>-0.84702486296606905</v>
      </c>
      <c r="J315" s="1">
        <f t="shared" si="57"/>
        <v>-0.82657762062407669</v>
      </c>
      <c r="K315" s="1">
        <f t="shared" si="58"/>
        <v>-0.82707139465674095</v>
      </c>
      <c r="L315" s="14">
        <f t="shared" si="59"/>
        <v>-0.80707993489256891</v>
      </c>
      <c r="M315" s="7">
        <f t="shared" si="60"/>
        <v>8.923470630198576</v>
      </c>
    </row>
    <row r="316" spans="1:13" x14ac:dyDescent="0.25">
      <c r="A316" s="1">
        <f t="shared" si="61"/>
        <v>3.0599999999999787</v>
      </c>
      <c r="B316" s="4">
        <f t="shared" si="62"/>
        <v>9.8650386183373389</v>
      </c>
      <c r="C316" s="43">
        <f t="shared" si="63"/>
        <v>0.1721774047263788</v>
      </c>
      <c r="D316" s="3">
        <f t="shared" si="52"/>
        <v>-0.16324066599424045</v>
      </c>
      <c r="E316" s="2">
        <f t="shared" si="53"/>
        <v>-0.16405686932421165</v>
      </c>
      <c r="F316" s="2">
        <f t="shared" si="54"/>
        <v>-0.16406095034086152</v>
      </c>
      <c r="G316" s="14">
        <f t="shared" si="55"/>
        <v>-0.16488127549764905</v>
      </c>
      <c r="H316" s="1">
        <f t="shared" si="64"/>
        <v>-0.16324066599424045</v>
      </c>
      <c r="I316" s="1">
        <f t="shared" si="56"/>
        <v>-0.83950701990854459</v>
      </c>
      <c r="J316" s="1">
        <f t="shared" si="57"/>
        <v>-0.81923587789100782</v>
      </c>
      <c r="K316" s="1">
        <f t="shared" si="58"/>
        <v>-0.81972552617627303</v>
      </c>
      <c r="L316" s="14">
        <f t="shared" si="59"/>
        <v>-0.79990660764440347</v>
      </c>
      <c r="M316" s="7">
        <f t="shared" si="60"/>
        <v>8.8213820721434164</v>
      </c>
    </row>
    <row r="317" spans="1:13" x14ac:dyDescent="0.25">
      <c r="A317" s="1">
        <f t="shared" si="61"/>
        <v>3.0699999999999785</v>
      </c>
      <c r="B317" s="4">
        <f t="shared" si="62"/>
        <v>9.7710393934826527</v>
      </c>
      <c r="C317" s="43">
        <f t="shared" si="63"/>
        <v>0.17053680875834207</v>
      </c>
      <c r="D317" s="3">
        <f t="shared" si="52"/>
        <v>-0.1714362267203863</v>
      </c>
      <c r="E317" s="2">
        <f t="shared" si="53"/>
        <v>-0.17229340785398822</v>
      </c>
      <c r="F317" s="2">
        <f t="shared" si="54"/>
        <v>-0.17229769375965626</v>
      </c>
      <c r="G317" s="14">
        <f t="shared" si="55"/>
        <v>-0.17315920365798287</v>
      </c>
      <c r="H317" s="1">
        <f t="shared" si="64"/>
        <v>-0.1714362267203863</v>
      </c>
      <c r="I317" s="1">
        <f t="shared" si="56"/>
        <v>-0.83158583648221163</v>
      </c>
      <c r="J317" s="1">
        <f t="shared" si="57"/>
        <v>-0.81150040002540325</v>
      </c>
      <c r="K317" s="1">
        <f t="shared" si="58"/>
        <v>-0.81198569377790397</v>
      </c>
      <c r="L317" s="14">
        <f t="shared" si="59"/>
        <v>-0.79234871667768536</v>
      </c>
      <c r="M317" s="7">
        <f t="shared" si="60"/>
        <v>8.7149712133711805</v>
      </c>
    </row>
    <row r="318" spans="1:13" x14ac:dyDescent="0.25">
      <c r="A318" s="1">
        <f t="shared" si="61"/>
        <v>3.0799999999999783</v>
      </c>
      <c r="B318" s="4">
        <f t="shared" si="62"/>
        <v>9.6723209012149436</v>
      </c>
      <c r="C318" s="43">
        <f t="shared" si="63"/>
        <v>0.16881384603566596</v>
      </c>
      <c r="D318" s="3">
        <f t="shared" si="52"/>
        <v>-0.17955440462166383</v>
      </c>
      <c r="E318" s="2">
        <f t="shared" si="53"/>
        <v>-0.18045217664477214</v>
      </c>
      <c r="F318" s="2">
        <f t="shared" si="54"/>
        <v>-0.1804566655048877</v>
      </c>
      <c r="G318" s="14">
        <f t="shared" si="55"/>
        <v>-0.18135897127671272</v>
      </c>
      <c r="H318" s="1">
        <f t="shared" si="64"/>
        <v>-0.17955440462166383</v>
      </c>
      <c r="I318" s="1">
        <f t="shared" si="56"/>
        <v>-0.82326455772631202</v>
      </c>
      <c r="J318" s="1">
        <f t="shared" si="57"/>
        <v>-0.80337437881369389</v>
      </c>
      <c r="K318" s="1">
        <f t="shared" si="58"/>
        <v>-0.80385508994926425</v>
      </c>
      <c r="L318" s="14">
        <f t="shared" si="59"/>
        <v>-0.78440940071816745</v>
      </c>
      <c r="M318" s="7">
        <f t="shared" si="60"/>
        <v>8.6042901930735916</v>
      </c>
    </row>
    <row r="319" spans="1:13" x14ac:dyDescent="0.25">
      <c r="A319" s="1">
        <f t="shared" si="61"/>
        <v>3.0899999999999781</v>
      </c>
      <c r="B319" s="4">
        <f t="shared" si="62"/>
        <v>9.5689277010531892</v>
      </c>
      <c r="C319" s="43">
        <f t="shared" si="63"/>
        <v>0.16700929426866981</v>
      </c>
      <c r="D319" s="3">
        <f t="shared" si="52"/>
        <v>-0.18759129278161449</v>
      </c>
      <c r="E319" s="2">
        <f t="shared" si="53"/>
        <v>-0.18852924924552256</v>
      </c>
      <c r="F319" s="2">
        <f t="shared" si="54"/>
        <v>-0.1885339390278421</v>
      </c>
      <c r="G319" s="14">
        <f t="shared" si="55"/>
        <v>-0.18947663217189292</v>
      </c>
      <c r="H319" s="1">
        <f t="shared" si="64"/>
        <v>-0.18759129278161449</v>
      </c>
      <c r="I319" s="1">
        <f t="shared" si="56"/>
        <v>-0.81454661391545169</v>
      </c>
      <c r="J319" s="1">
        <f t="shared" si="57"/>
        <v>-0.79486118737248423</v>
      </c>
      <c r="K319" s="1">
        <f t="shared" si="58"/>
        <v>-0.79533708858832219</v>
      </c>
      <c r="L319" s="14">
        <f t="shared" si="59"/>
        <v>-0.77609197604385993</v>
      </c>
      <c r="M319" s="7">
        <f t="shared" si="60"/>
        <v>8.4893932427360834</v>
      </c>
    </row>
    <row r="320" spans="1:13" x14ac:dyDescent="0.25">
      <c r="A320" s="1">
        <f t="shared" si="61"/>
        <v>3.0999999999999779</v>
      </c>
      <c r="B320" s="4">
        <f t="shared" si="62"/>
        <v>9.460906602244501</v>
      </c>
      <c r="C320" s="43">
        <f t="shared" si="63"/>
        <v>0.16512397043283608</v>
      </c>
      <c r="D320" s="3">
        <f t="shared" si="52"/>
        <v>-0.19554301801808269</v>
      </c>
      <c r="E320" s="2">
        <f t="shared" si="53"/>
        <v>-0.19652073310817311</v>
      </c>
      <c r="F320" s="2">
        <f t="shared" si="54"/>
        <v>-0.19652562168362356</v>
      </c>
      <c r="G320" s="14">
        <f t="shared" si="55"/>
        <v>-0.19750827423491893</v>
      </c>
      <c r="H320" s="1">
        <f t="shared" si="64"/>
        <v>-0.19554301801808269</v>
      </c>
      <c r="I320" s="1">
        <f t="shared" si="56"/>
        <v>-0.80543562054849172</v>
      </c>
      <c r="J320" s="1">
        <f t="shared" si="57"/>
        <v>-0.78596438002886149</v>
      </c>
      <c r="K320" s="1">
        <f t="shared" si="58"/>
        <v>-0.78643524488877581</v>
      </c>
      <c r="L320" s="14">
        <f t="shared" si="59"/>
        <v>-0.76739993627148029</v>
      </c>
      <c r="M320" s="7">
        <f t="shared" si="60"/>
        <v>8.3703366595654796</v>
      </c>
    </row>
    <row r="321" spans="1:13" x14ac:dyDescent="0.25">
      <c r="A321" s="1">
        <f t="shared" si="61"/>
        <v>3.1099999999999777</v>
      </c>
      <c r="B321" s="4">
        <f t="shared" si="62"/>
        <v>9.3483066443388285</v>
      </c>
      <c r="C321" s="43">
        <f t="shared" si="63"/>
        <v>0.16315873042977508</v>
      </c>
      <c r="D321" s="3">
        <f t="shared" si="52"/>
        <v>-0.20340574269584144</v>
      </c>
      <c r="E321" s="2">
        <f t="shared" si="53"/>
        <v>-0.20442277140932064</v>
      </c>
      <c r="F321" s="2">
        <f t="shared" si="54"/>
        <v>-0.20442785655288803</v>
      </c>
      <c r="G321" s="14">
        <f t="shared" si="55"/>
        <v>-0.20545002126137032</v>
      </c>
      <c r="H321" s="1">
        <f t="shared" si="64"/>
        <v>-0.20340574269584144</v>
      </c>
      <c r="I321" s="1">
        <f t="shared" si="56"/>
        <v>-0.79593537827868832</v>
      </c>
      <c r="J321" s="1">
        <f t="shared" si="57"/>
        <v>-0.77668769214105671</v>
      </c>
      <c r="K321" s="1">
        <f t="shared" si="58"/>
        <v>-0.77715329516588028</v>
      </c>
      <c r="L321" s="14">
        <f t="shared" si="59"/>
        <v>-0.75833695208264451</v>
      </c>
      <c r="M321" s="7">
        <f t="shared" si="60"/>
        <v>8.2471787789054378</v>
      </c>
    </row>
    <row r="322" spans="1:13" x14ac:dyDescent="0.25">
      <c r="A322" s="1">
        <f t="shared" si="61"/>
        <v>3.1199999999999775</v>
      </c>
      <c r="B322" s="4">
        <f t="shared" si="62"/>
        <v>9.2311790767198936</v>
      </c>
      <c r="C322" s="43">
        <f t="shared" si="63"/>
        <v>0.16111446872997237</v>
      </c>
      <c r="D322" s="3">
        <f t="shared" si="52"/>
        <v>-0.21117566653746678</v>
      </c>
      <c r="E322" s="2">
        <f t="shared" si="53"/>
        <v>-0.21223154487015411</v>
      </c>
      <c r="F322" s="2">
        <f t="shared" si="54"/>
        <v>-0.21223682426181756</v>
      </c>
      <c r="G322" s="14">
        <f t="shared" si="55"/>
        <v>-0.21329803478008497</v>
      </c>
      <c r="H322" s="1">
        <f t="shared" si="64"/>
        <v>-0.21117566653746678</v>
      </c>
      <c r="I322" s="1">
        <f t="shared" si="56"/>
        <v>-0.78604987277847183</v>
      </c>
      <c r="J322" s="1">
        <f t="shared" si="57"/>
        <v>-0.76703503985345955</v>
      </c>
      <c r="K322" s="1">
        <f t="shared" si="58"/>
        <v>-0.76749515661669498</v>
      </c>
      <c r="L322" s="14">
        <f t="shared" si="59"/>
        <v>-0.74890687088433971</v>
      </c>
      <c r="M322" s="7">
        <f t="shared" si="60"/>
        <v>8.1199799456533395</v>
      </c>
    </row>
    <row r="323" spans="1:13" x14ac:dyDescent="0.25">
      <c r="A323" s="1">
        <f t="shared" si="61"/>
        <v>3.1299999999999772</v>
      </c>
      <c r="B323" s="4">
        <f t="shared" si="62"/>
        <v>9.1095773370933628</v>
      </c>
      <c r="C323" s="43">
        <f t="shared" si="63"/>
        <v>0.15899211799733654</v>
      </c>
      <c r="D323" s="3">
        <f t="shared" si="52"/>
        <v>-0.21884902843180531</v>
      </c>
      <c r="E323" s="2">
        <f t="shared" si="53"/>
        <v>-0.21994327357396434</v>
      </c>
      <c r="F323" s="2">
        <f t="shared" si="54"/>
        <v>-0.21994874479967513</v>
      </c>
      <c r="G323" s="14">
        <f t="shared" si="55"/>
        <v>-0.22104851587980207</v>
      </c>
      <c r="H323" s="1">
        <f t="shared" si="64"/>
        <v>-0.21884902843180531</v>
      </c>
      <c r="I323" s="1">
        <f t="shared" si="56"/>
        <v>-0.77578327453215756</v>
      </c>
      <c r="J323" s="1">
        <f t="shared" si="57"/>
        <v>-0.75701051977990907</v>
      </c>
      <c r="K323" s="1">
        <f t="shared" si="58"/>
        <v>-0.75746492700863899</v>
      </c>
      <c r="L323" s="14">
        <f t="shared" si="59"/>
        <v>-0.73911371639816215</v>
      </c>
      <c r="M323" s="7">
        <f t="shared" si="60"/>
        <v>7.9888024846924832</v>
      </c>
    </row>
    <row r="324" spans="1:13" x14ac:dyDescent="0.25">
      <c r="A324" s="1">
        <f t="shared" si="61"/>
        <v>3.139999999999977</v>
      </c>
      <c r="B324" s="4">
        <f t="shared" si="62"/>
        <v>8.9835570289336513</v>
      </c>
      <c r="C324" s="43">
        <f t="shared" si="63"/>
        <v>0.15679264869557172</v>
      </c>
      <c r="D324" s="3">
        <f t="shared" si="52"/>
        <v>-0.22642210823931769</v>
      </c>
      <c r="E324" s="2">
        <f t="shared" si="53"/>
        <v>-0.22755421878051427</v>
      </c>
      <c r="F324" s="2">
        <f t="shared" si="54"/>
        <v>-0.22755987933322025</v>
      </c>
      <c r="G324" s="14">
        <f t="shared" si="55"/>
        <v>-0.22869770703264988</v>
      </c>
      <c r="H324" s="1">
        <f t="shared" si="64"/>
        <v>-0.22642210823931769</v>
      </c>
      <c r="I324" s="1">
        <f t="shared" si="56"/>
        <v>-0.76513993854983009</v>
      </c>
      <c r="J324" s="1">
        <f t="shared" si="57"/>
        <v>-0.74661840860913231</v>
      </c>
      <c r="K324" s="1">
        <f t="shared" si="58"/>
        <v>-0.74706688429020995</v>
      </c>
      <c r="L324" s="14">
        <f t="shared" si="59"/>
        <v>-0.72896168817275409</v>
      </c>
      <c r="M324" s="7">
        <f t="shared" si="60"/>
        <v>7.8537106703541406</v>
      </c>
    </row>
    <row r="325" spans="1:13" x14ac:dyDescent="0.25">
      <c r="A325" s="1">
        <f t="shared" si="61"/>
        <v>3.1499999999999768</v>
      </c>
      <c r="B325" s="4">
        <f t="shared" si="62"/>
        <v>8.8531758978911572</v>
      </c>
      <c r="C325" s="43">
        <f t="shared" si="63"/>
        <v>0.15451706867640599</v>
      </c>
      <c r="D325" s="3">
        <f t="shared" si="52"/>
        <v>-0.2338912285935198</v>
      </c>
      <c r="E325" s="2">
        <f t="shared" si="53"/>
        <v>-0.23506068473648739</v>
      </c>
      <c r="F325" s="2">
        <f t="shared" si="54"/>
        <v>-0.23506653201720223</v>
      </c>
      <c r="G325" s="14">
        <f t="shared" si="55"/>
        <v>-0.23624189391369183</v>
      </c>
      <c r="H325" s="1">
        <f t="shared" si="64"/>
        <v>-0.2338912285935198</v>
      </c>
      <c r="I325" s="1">
        <f t="shared" si="56"/>
        <v>-0.75412440399559899</v>
      </c>
      <c r="J325" s="1">
        <f t="shared" si="57"/>
        <v>-0.73586316262617713</v>
      </c>
      <c r="K325" s="1">
        <f t="shared" si="58"/>
        <v>-0.73630548611768021</v>
      </c>
      <c r="L325" s="14">
        <f t="shared" si="59"/>
        <v>-0.71845516101386442</v>
      </c>
      <c r="M325" s="7">
        <f t="shared" si="60"/>
        <v>7.7147706949244181</v>
      </c>
    </row>
    <row r="326" spans="1:13" x14ac:dyDescent="0.25">
      <c r="A326" s="1">
        <f t="shared" si="61"/>
        <v>3.1599999999999766</v>
      </c>
      <c r="B326" s="4">
        <f t="shared" si="62"/>
        <v>8.7184938071621456</v>
      </c>
      <c r="C326" s="43">
        <f t="shared" si="63"/>
        <v>0.15216642274971501</v>
      </c>
      <c r="D326" s="3">
        <f t="shared" si="52"/>
        <v>-0.24125275669768176</v>
      </c>
      <c r="E326" s="2">
        <f t="shared" si="53"/>
        <v>-0.24245902048117016</v>
      </c>
      <c r="F326" s="2">
        <f t="shared" si="54"/>
        <v>-0.24246505180008762</v>
      </c>
      <c r="G326" s="14">
        <f t="shared" si="55"/>
        <v>-0.24367740721568262</v>
      </c>
      <c r="H326" s="1">
        <f t="shared" si="64"/>
        <v>-0.24125275669768176</v>
      </c>
      <c r="I326" s="1">
        <f t="shared" si="56"/>
        <v>-0.74274139372343773</v>
      </c>
      <c r="J326" s="1">
        <f t="shared" si="57"/>
        <v>-0.72474941714369756</v>
      </c>
      <c r="K326" s="1">
        <f t="shared" si="58"/>
        <v>-0.72518536929160615</v>
      </c>
      <c r="L326" s="14">
        <f t="shared" si="59"/>
        <v>-0.707598684326462</v>
      </c>
      <c r="M326" s="7">
        <f t="shared" si="60"/>
        <v>7.5720506362113653</v>
      </c>
    </row>
    <row r="327" spans="1:13" x14ac:dyDescent="0.25">
      <c r="A327" s="1">
        <f t="shared" si="61"/>
        <v>3.1699999999999764</v>
      </c>
      <c r="B327" s="4">
        <f t="shared" si="62"/>
        <v>8.5795727118240634</v>
      </c>
      <c r="C327" s="43">
        <f t="shared" si="63"/>
        <v>0.14974179223558853</v>
      </c>
      <c r="D327" s="3">
        <f t="shared" si="52"/>
        <v>-0.24850310611588261</v>
      </c>
      <c r="E327" s="2">
        <f t="shared" si="53"/>
        <v>-0.24974562164646202</v>
      </c>
      <c r="F327" s="2">
        <f t="shared" si="54"/>
        <v>-0.24975183422411493</v>
      </c>
      <c r="G327" s="14">
        <f t="shared" si="55"/>
        <v>-0.25100062445812377</v>
      </c>
      <c r="H327" s="1">
        <f t="shared" si="64"/>
        <v>-0.24850310611588261</v>
      </c>
      <c r="I327" s="1">
        <f t="shared" si="56"/>
        <v>-0.73099581371384326</v>
      </c>
      <c r="J327" s="1">
        <f t="shared" si="57"/>
        <v>-0.71328198583698332</v>
      </c>
      <c r="K327" s="1">
        <f t="shared" si="58"/>
        <v>-0.71371134909701384</v>
      </c>
      <c r="L327" s="14">
        <f t="shared" si="59"/>
        <v>-0.69639698136337458</v>
      </c>
      <c r="M327" s="7">
        <f t="shared" si="60"/>
        <v>7.4256204241882084</v>
      </c>
    </row>
    <row r="328" spans="1:13" x14ac:dyDescent="0.25">
      <c r="A328" s="1">
        <f t="shared" si="61"/>
        <v>3.1799999999999762</v>
      </c>
      <c r="B328" s="4">
        <f t="shared" si="62"/>
        <v>8.4364766321394917</v>
      </c>
      <c r="C328" s="43">
        <f t="shared" si="63"/>
        <v>0.1472442944983966</v>
      </c>
      <c r="D328" s="3">
        <f t="shared" si="52"/>
        <v>-0.25563873855745795</v>
      </c>
      <c r="E328" s="2">
        <f t="shared" si="53"/>
        <v>-0.25691693225024526</v>
      </c>
      <c r="F328" s="2">
        <f t="shared" si="54"/>
        <v>-0.2569233232187092</v>
      </c>
      <c r="G328" s="14">
        <f t="shared" si="55"/>
        <v>-0.25820797178964505</v>
      </c>
      <c r="H328" s="1">
        <f t="shared" si="64"/>
        <v>-0.25563873855745795</v>
      </c>
      <c r="I328" s="1">
        <f t="shared" si="56"/>
        <v>-0.71889275240462447</v>
      </c>
      <c r="J328" s="1">
        <f t="shared" si="57"/>
        <v>-0.70146585997668964</v>
      </c>
      <c r="K328" s="1">
        <f t="shared" si="58"/>
        <v>-0.70188841854119111</v>
      </c>
      <c r="L328" s="14">
        <f t="shared" si="59"/>
        <v>-0.68485494837498828</v>
      </c>
      <c r="M328" s="7">
        <f t="shared" si="60"/>
        <v>7.2755518067290614</v>
      </c>
    </row>
    <row r="329" spans="1:13" x14ac:dyDescent="0.25">
      <c r="A329" s="1">
        <f t="shared" si="61"/>
        <v>3.189999999999976</v>
      </c>
      <c r="B329" s="4">
        <f t="shared" si="62"/>
        <v>8.2892716258325567</v>
      </c>
      <c r="C329" s="43">
        <f t="shared" si="63"/>
        <v>0.14467508246292157</v>
      </c>
      <c r="D329" s="3">
        <f t="shared" si="52"/>
        <v>-0.26265616565381689</v>
      </c>
      <c r="E329" s="2">
        <f t="shared" si="53"/>
        <v>-0.26396944648208598</v>
      </c>
      <c r="F329" s="2">
        <f t="shared" si="54"/>
        <v>-0.2639760128862273</v>
      </c>
      <c r="G329" s="14">
        <f t="shared" si="55"/>
        <v>-0.26529592578267913</v>
      </c>
      <c r="H329" s="1">
        <f t="shared" si="64"/>
        <v>-0.26265616565381689</v>
      </c>
      <c r="I329" s="1">
        <f t="shared" si="56"/>
        <v>-0.70643747990922323</v>
      </c>
      <c r="J329" s="1">
        <f t="shared" si="57"/>
        <v>-0.68930620755332639</v>
      </c>
      <c r="K329" s="1">
        <f t="shared" si="58"/>
        <v>-0.68972174748311632</v>
      </c>
      <c r="L329" s="14">
        <f t="shared" si="59"/>
        <v>-0.6729776536546378</v>
      </c>
      <c r="M329" s="7">
        <f t="shared" si="60"/>
        <v>7.1219183144539038</v>
      </c>
    </row>
    <row r="330" spans="1:13" x14ac:dyDescent="0.25">
      <c r="A330" s="1">
        <f t="shared" si="61"/>
        <v>3.1999999999999758</v>
      </c>
      <c r="B330" s="4">
        <f t="shared" si="62"/>
        <v>8.138025759342197</v>
      </c>
      <c r="C330" s="43">
        <f t="shared" si="63"/>
        <v>0.14203534411263302</v>
      </c>
      <c r="D330" s="3">
        <f t="shared" ref="D330:D360" si="65">H330</f>
        <v>-0.26955195072654481</v>
      </c>
      <c r="E330" s="2">
        <f t="shared" ref="E330:E360" si="66">H330+$B$2/2*D330</f>
        <v>-0.27089971048017752</v>
      </c>
      <c r="F330" s="2">
        <f t="shared" ref="F330:F360" si="67">H330+$B$2/2*E330</f>
        <v>-0.27090644927894569</v>
      </c>
      <c r="G330" s="14">
        <f t="shared" ref="G330:G360" si="68">H330+$B$2*F330</f>
        <v>-0.27226101521933427</v>
      </c>
      <c r="H330" s="1">
        <f t="shared" si="64"/>
        <v>-0.26955195072654481</v>
      </c>
      <c r="I330" s="1">
        <f t="shared" ref="I330:I360" si="69">-$B$3/$B$4*SIN(C330)</f>
        <v>-0.69363544711610414</v>
      </c>
      <c r="J330" s="1">
        <f t="shared" ref="J330:J360" si="70">-$B$3/$B$4*SIN(C330+1/2*$B$2*I330)</f>
        <v>-0.67680837228768054</v>
      </c>
      <c r="K330" s="1">
        <f t="shared" ref="K330:K360" si="71">-$B$3/$B$4*SIN(C330+1/2*$B$2*J330)</f>
        <v>-0.67721668164867421</v>
      </c>
      <c r="L330" s="14">
        <f t="shared" ref="L330:L360" si="72">-$B$3/$B$4*SIN(C330+$B$2*K330)</f>
        <v>-0.66077033647443639</v>
      </c>
      <c r="M330" s="7">
        <f t="shared" ref="M330:M360" si="73">$B$10*PI()/180*COS(SQRT($B$3/$B$4)*A330)*180/PI()</f>
        <v>6.9647952247000475</v>
      </c>
    </row>
    <row r="331" spans="1:13" x14ac:dyDescent="0.25">
      <c r="A331" s="1">
        <f t="shared" ref="A331:A360" si="74">A330+$B$2</f>
        <v>3.2099999999999755</v>
      </c>
      <c r="B331" s="4">
        <f t="shared" ref="B331:B360" si="75">C331*180/PI()</f>
        <v>7.9828090780572944</v>
      </c>
      <c r="C331" s="43">
        <f t="shared" ref="C331:C360" si="76">C330+$B$2*(D330+2*E330+2*F330+G330)/6</f>
        <v>0.1393263019701928</v>
      </c>
      <c r="D331" s="3">
        <f t="shared" si="65"/>
        <v>-0.27632271054565022</v>
      </c>
      <c r="E331" s="2">
        <f t="shared" si="66"/>
        <v>-0.27770432409837847</v>
      </c>
      <c r="F331" s="2">
        <f t="shared" si="67"/>
        <v>-0.27771123216614213</v>
      </c>
      <c r="G331" s="14">
        <f t="shared" si="68"/>
        <v>-0.27909982286731166</v>
      </c>
      <c r="H331" s="1">
        <f t="shared" ref="H331:H360" si="77">H330+$B$2*(I330+2*J330+2*K330+L330)/6</f>
        <v>-0.27632271054565022</v>
      </c>
      <c r="I331" s="1">
        <f t="shared" si="69"/>
        <v>-0.68049228466291511</v>
      </c>
      <c r="J331" s="1">
        <f t="shared" si="70"/>
        <v>-0.66397787252151264</v>
      </c>
      <c r="K331" s="1">
        <f t="shared" si="71"/>
        <v>-0.66437874152596899</v>
      </c>
      <c r="L331" s="14">
        <f t="shared" si="72"/>
        <v>-0.64823840590643911</v>
      </c>
      <c r="M331" s="7">
        <f t="shared" si="73"/>
        <v>6.8042595246377635</v>
      </c>
    </row>
    <row r="332" spans="1:13" x14ac:dyDescent="0.25">
      <c r="A332" s="1">
        <f t="shared" si="74"/>
        <v>3.2199999999999753</v>
      </c>
      <c r="B332" s="4">
        <f t="shared" si="75"/>
        <v>7.8236935755393562</v>
      </c>
      <c r="C332" s="43">
        <f t="shared" si="76"/>
        <v>0.13654921256028946</v>
      </c>
      <c r="D332" s="3">
        <f t="shared" si="65"/>
        <v>-0.28296511707675742</v>
      </c>
      <c r="E332" s="2">
        <f t="shared" si="66"/>
        <v>-0.28437994266214123</v>
      </c>
      <c r="F332" s="2">
        <f t="shared" si="67"/>
        <v>-0.28438701679006811</v>
      </c>
      <c r="G332" s="14">
        <f t="shared" si="68"/>
        <v>-0.28580898724465809</v>
      </c>
      <c r="H332" s="1">
        <f t="shared" si="77"/>
        <v>-0.28296511707675742</v>
      </c>
      <c r="I332" s="1">
        <f t="shared" si="69"/>
        <v>-0.66701380177931169</v>
      </c>
      <c r="J332" s="1">
        <f t="shared" si="70"/>
        <v>-0.65082039998304209</v>
      </c>
      <c r="K332" s="1">
        <f t="shared" si="71"/>
        <v>-0.65121362113522485</v>
      </c>
      <c r="L332" s="14">
        <f t="shared" si="72"/>
        <v>-0.63538743952421262</v>
      </c>
      <c r="M332" s="7">
        <f t="shared" si="73"/>
        <v>6.6403898735480755</v>
      </c>
    </row>
    <row r="333" spans="1:13" x14ac:dyDescent="0.25">
      <c r="A333" s="1">
        <f t="shared" si="74"/>
        <v>3.2299999999999751</v>
      </c>
      <c r="B333" s="4">
        <f t="shared" si="75"/>
        <v>7.6607531617391054</v>
      </c>
      <c r="C333" s="43">
        <f t="shared" si="76"/>
        <v>0.13370536585491308</v>
      </c>
      <c r="D333" s="3">
        <f t="shared" si="65"/>
        <v>-0.28947589921599087</v>
      </c>
      <c r="E333" s="2">
        <f t="shared" si="66"/>
        <v>-0.29092327871207085</v>
      </c>
      <c r="F333" s="2">
        <f t="shared" si="67"/>
        <v>-0.29093051560955124</v>
      </c>
      <c r="G333" s="14">
        <f t="shared" si="68"/>
        <v>-0.29238520437208637</v>
      </c>
      <c r="H333" s="1">
        <f t="shared" si="77"/>
        <v>-0.28947589921599087</v>
      </c>
      <c r="I333" s="1">
        <f t="shared" si="69"/>
        <v>-0.65320598499256921</v>
      </c>
      <c r="J333" s="1">
        <f t="shared" si="70"/>
        <v>-0.63734181842195703</v>
      </c>
      <c r="K333" s="1">
        <f t="shared" si="71"/>
        <v>-0.63772718666798256</v>
      </c>
      <c r="L333" s="14">
        <f t="shared" si="72"/>
        <v>-0.62222318198007676</v>
      </c>
      <c r="M333" s="7">
        <f t="shared" si="73"/>
        <v>6.473266564281313</v>
      </c>
    </row>
    <row r="334" spans="1:13" x14ac:dyDescent="0.25">
      <c r="A334" s="1">
        <f t="shared" si="74"/>
        <v>3.2399999999999749</v>
      </c>
      <c r="B334" s="4">
        <f t="shared" si="75"/>
        <v>7.4940636302140646</v>
      </c>
      <c r="C334" s="43">
        <f t="shared" si="76"/>
        <v>0.13079608470119422</v>
      </c>
      <c r="D334" s="3">
        <f t="shared" si="65"/>
        <v>-0.29585184451124508</v>
      </c>
      <c r="E334" s="2">
        <f t="shared" si="66"/>
        <v>-0.29733110373380128</v>
      </c>
      <c r="F334" s="2">
        <f t="shared" si="67"/>
        <v>-0.29733850002991408</v>
      </c>
      <c r="G334" s="14">
        <f t="shared" si="68"/>
        <v>-0.29882522951154422</v>
      </c>
      <c r="H334" s="1">
        <f t="shared" si="77"/>
        <v>-0.29585184451124508</v>
      </c>
      <c r="I334" s="1">
        <f t="shared" si="69"/>
        <v>-0.63907499669036505</v>
      </c>
      <c r="J334" s="1">
        <f t="shared" si="70"/>
        <v>-0.62354816210892061</v>
      </c>
      <c r="K334" s="1">
        <f t="shared" si="71"/>
        <v>-0.6239254749905383</v>
      </c>
      <c r="L334" s="14">
        <f t="shared" si="72"/>
        <v>-0.60875154345351545</v>
      </c>
      <c r="M334" s="7">
        <f t="shared" si="73"/>
        <v>6.3029714839152122</v>
      </c>
    </row>
    <row r="335" spans="1:13" x14ac:dyDescent="0.25">
      <c r="A335" s="1">
        <f t="shared" si="74"/>
        <v>3.2499999999999747</v>
      </c>
      <c r="B335" s="4">
        <f t="shared" si="75"/>
        <v>7.3237026243549801</v>
      </c>
      <c r="C335" s="43">
        <f t="shared" si="76"/>
        <v>0.12782272423194385</v>
      </c>
      <c r="D335" s="3">
        <f t="shared" si="65"/>
        <v>-0.30208980086848308</v>
      </c>
      <c r="E335" s="2">
        <f t="shared" si="66"/>
        <v>-0.30360024987282552</v>
      </c>
      <c r="F335" s="2">
        <f t="shared" si="67"/>
        <v>-0.30360780211784721</v>
      </c>
      <c r="G335" s="14">
        <f t="shared" si="68"/>
        <v>-0.30512587888966153</v>
      </c>
      <c r="H335" s="1">
        <f t="shared" si="77"/>
        <v>-0.30208980086848308</v>
      </c>
      <c r="I335" s="1">
        <f t="shared" si="69"/>
        <v>-0.62462717353539865</v>
      </c>
      <c r="J335" s="1">
        <f t="shared" si="70"/>
        <v>-0.60944563419481579</v>
      </c>
      <c r="K335" s="1">
        <f t="shared" si="71"/>
        <v>-0.60981469200684302</v>
      </c>
      <c r="L335" s="14">
        <f t="shared" si="72"/>
        <v>-0.59497859796650099</v>
      </c>
      <c r="M335" s="7">
        <f t="shared" si="73"/>
        <v>6.1295880736318873</v>
      </c>
    </row>
    <row r="336" spans="1:13" x14ac:dyDescent="0.25">
      <c r="A336" s="1">
        <f t="shared" si="74"/>
        <v>3.2599999999999745</v>
      </c>
      <c r="B336" s="4">
        <f t="shared" si="75"/>
        <v>7.1497496026297123</v>
      </c>
      <c r="C336" s="43">
        <f t="shared" si="76"/>
        <v>0.1247866712590447</v>
      </c>
      <c r="D336" s="3">
        <f t="shared" si="65"/>
        <v>-0.30818667824165846</v>
      </c>
      <c r="E336" s="2">
        <f t="shared" si="66"/>
        <v>-0.30972761163286677</v>
      </c>
      <c r="F336" s="2">
        <f t="shared" si="67"/>
        <v>-0.30973531629982282</v>
      </c>
      <c r="G336" s="14">
        <f t="shared" si="68"/>
        <v>-0.31128403140465671</v>
      </c>
      <c r="H336" s="1">
        <f t="shared" si="77"/>
        <v>-0.30818667824165846</v>
      </c>
      <c r="I336" s="1">
        <f t="shared" si="69"/>
        <v>-0.60986902472684001</v>
      </c>
      <c r="J336" s="1">
        <f t="shared" si="70"/>
        <v>-0.59504060492526956</v>
      </c>
      <c r="K336" s="1">
        <f t="shared" si="71"/>
        <v>-0.59540121087637476</v>
      </c>
      <c r="L336" s="14">
        <f t="shared" si="72"/>
        <v>-0.58091058156175057</v>
      </c>
      <c r="M336" s="7">
        <f t="shared" si="73"/>
        <v>5.9532012878333216</v>
      </c>
    </row>
    <row r="337" spans="1:13" x14ac:dyDescent="0.25">
      <c r="A337" s="1">
        <f t="shared" si="74"/>
        <v>3.2699999999999743</v>
      </c>
      <c r="B337" s="4">
        <f t="shared" si="75"/>
        <v>6.9722858028539996</v>
      </c>
      <c r="C337" s="43">
        <f t="shared" si="76"/>
        <v>0.12168934364985855</v>
      </c>
      <c r="D337" s="3">
        <f t="shared" si="65"/>
        <v>-0.31413945030481161</v>
      </c>
      <c r="E337" s="2">
        <f t="shared" si="66"/>
        <v>-0.31571014755633564</v>
      </c>
      <c r="F337" s="2">
        <f t="shared" si="67"/>
        <v>-0.31571800104259329</v>
      </c>
      <c r="G337" s="14">
        <f t="shared" si="68"/>
        <v>-0.31729663031523753</v>
      </c>
      <c r="H337" s="1">
        <f t="shared" si="77"/>
        <v>-0.31413945030481161</v>
      </c>
      <c r="I337" s="1">
        <f t="shared" si="69"/>
        <v>-0.59480723010393921</v>
      </c>
      <c r="J337" s="1">
        <f t="shared" si="70"/>
        <v>-0.58033960970631138</v>
      </c>
      <c r="K337" s="1">
        <f t="shared" si="71"/>
        <v>-0.58069157008282024</v>
      </c>
      <c r="L337" s="14">
        <f t="shared" si="72"/>
        <v>-0.56655389034023451</v>
      </c>
      <c r="M337" s="7">
        <f t="shared" si="73"/>
        <v>5.7738975525154084</v>
      </c>
    </row>
    <row r="338" spans="1:13" x14ac:dyDescent="0.25">
      <c r="A338" s="1">
        <f t="shared" si="74"/>
        <v>3.279999999999974</v>
      </c>
      <c r="B338" s="4">
        <f t="shared" si="75"/>
        <v>6.7913942054993877</v>
      </c>
      <c r="C338" s="43">
        <f t="shared" si="76"/>
        <v>0.1185321896868287</v>
      </c>
      <c r="D338" s="3">
        <f t="shared" si="65"/>
        <v>-0.31994515610484903</v>
      </c>
      <c r="E338" s="2">
        <f t="shared" si="66"/>
        <v>-0.32154488188537328</v>
      </c>
      <c r="F338" s="2">
        <f t="shared" si="67"/>
        <v>-0.32155288051427589</v>
      </c>
      <c r="G338" s="14">
        <f t="shared" si="68"/>
        <v>-0.32316068490999178</v>
      </c>
      <c r="H338" s="1">
        <f t="shared" si="77"/>
        <v>-0.31994515610484903</v>
      </c>
      <c r="I338" s="1">
        <f t="shared" si="69"/>
        <v>-0.57944863808750879</v>
      </c>
      <c r="J338" s="1">
        <f t="shared" si="70"/>
        <v>-0.56534934701737383</v>
      </c>
      <c r="K338" s="1">
        <f t="shared" si="71"/>
        <v>-0.56569247134974776</v>
      </c>
      <c r="L338" s="14">
        <f t="shared" si="72"/>
        <v>-0.55191507835457176</v>
      </c>
      <c r="M338" s="7">
        <f t="shared" si="73"/>
        <v>5.5917647229209404</v>
      </c>
    </row>
    <row r="339" spans="1:13" x14ac:dyDescent="0.25">
      <c r="A339" s="1">
        <f t="shared" si="74"/>
        <v>3.2899999999999738</v>
      </c>
      <c r="B339" s="4">
        <f t="shared" si="75"/>
        <v>6.6071594960494275</v>
      </c>
      <c r="C339" s="43">
        <f t="shared" si="76"/>
        <v>0.1153166874104718</v>
      </c>
      <c r="D339" s="3">
        <f t="shared" si="65"/>
        <v>-0.32560090169347622</v>
      </c>
      <c r="E339" s="2">
        <f t="shared" si="66"/>
        <v>-0.32722890620194361</v>
      </c>
      <c r="F339" s="2">
        <f t="shared" si="67"/>
        <v>-0.32723704622448596</v>
      </c>
      <c r="G339" s="14">
        <f t="shared" si="68"/>
        <v>-0.3288732721557211</v>
      </c>
      <c r="H339" s="1">
        <f t="shared" si="77"/>
        <v>-0.32560090169347622</v>
      </c>
      <c r="I339" s="1">
        <f t="shared" si="69"/>
        <v>-0.56380026345538381</v>
      </c>
      <c r="J339" s="1">
        <f t="shared" si="70"/>
        <v>-0.55007667616820966</v>
      </c>
      <c r="K339" s="1">
        <f t="shared" si="71"/>
        <v>-0.55041077739982314</v>
      </c>
      <c r="L339" s="14">
        <f t="shared" si="72"/>
        <v>-0.53700085535529618</v>
      </c>
      <c r="M339" s="7">
        <f t="shared" si="73"/>
        <v>5.4068920404923091</v>
      </c>
    </row>
    <row r="340" spans="1:13" x14ac:dyDescent="0.25">
      <c r="A340" s="1">
        <f t="shared" si="74"/>
        <v>3.2999999999999736</v>
      </c>
      <c r="B340" s="4">
        <f t="shared" si="75"/>
        <v>6.4196680264161641</v>
      </c>
      <c r="C340" s="43">
        <f t="shared" si="76"/>
        <v>0.11204434394596836</v>
      </c>
      <c r="D340" s="3">
        <f t="shared" si="65"/>
        <v>-0.33110386173672079</v>
      </c>
      <c r="E340" s="2">
        <f t="shared" si="66"/>
        <v>-0.33275938104540442</v>
      </c>
      <c r="F340" s="2">
        <f t="shared" si="67"/>
        <v>-0.33276765864194779</v>
      </c>
      <c r="G340" s="14">
        <f t="shared" si="68"/>
        <v>-0.33443153832314026</v>
      </c>
      <c r="H340" s="1">
        <f t="shared" si="77"/>
        <v>-0.33110386173672079</v>
      </c>
      <c r="I340" s="1">
        <f t="shared" si="69"/>
        <v>-0.54786928494839915</v>
      </c>
      <c r="J340" s="1">
        <f t="shared" si="70"/>
        <v>-0.53452861489668868</v>
      </c>
      <c r="K340" s="1">
        <f t="shared" si="71"/>
        <v>-0.53485350955451616</v>
      </c>
      <c r="L340" s="14">
        <f t="shared" si="72"/>
        <v>-0.52181808438732846</v>
      </c>
      <c r="M340" s="7">
        <f t="shared" si="73"/>
        <v>5.2193700891449604</v>
      </c>
    </row>
    <row r="341" spans="1:13" x14ac:dyDescent="0.25">
      <c r="A341" s="1">
        <f t="shared" si="74"/>
        <v>3.3099999999999734</v>
      </c>
      <c r="B341" s="4">
        <f t="shared" si="75"/>
        <v>6.2290077754297926</v>
      </c>
      <c r="C341" s="43">
        <f t="shared" si="76"/>
        <v>0.10871669481357742</v>
      </c>
      <c r="D341" s="3">
        <f t="shared" si="65"/>
        <v>-0.33645128110045103</v>
      </c>
      <c r="E341" s="2">
        <f t="shared" si="66"/>
        <v>-0.33813353750595326</v>
      </c>
      <c r="F341" s="2">
        <f t="shared" si="67"/>
        <v>-0.33814194878798082</v>
      </c>
      <c r="G341" s="14">
        <f t="shared" si="68"/>
        <v>-0.33983270058833082</v>
      </c>
      <c r="H341" s="1">
        <f t="shared" si="77"/>
        <v>-0.33645128110045103</v>
      </c>
      <c r="I341" s="1">
        <f t="shared" si="69"/>
        <v>-0.53166304270386056</v>
      </c>
      <c r="J341" s="1">
        <f t="shared" si="70"/>
        <v>-0.51871233680485451</v>
      </c>
      <c r="K341" s="1">
        <f t="shared" si="71"/>
        <v>-0.5190278451716549</v>
      </c>
      <c r="L341" s="14">
        <f t="shared" si="72"/>
        <v>-0.50637377923438109</v>
      </c>
      <c r="M341" s="7">
        <f t="shared" si="73"/>
        <v>5.0292907508831286</v>
      </c>
    </row>
    <row r="342" spans="1:13" x14ac:dyDescent="0.25">
      <c r="A342" s="1">
        <f t="shared" si="74"/>
        <v>3.3199999999999732</v>
      </c>
      <c r="B342" s="4">
        <f t="shared" si="75"/>
        <v>6.0352683084153442</v>
      </c>
      <c r="C342" s="43">
        <f t="shared" si="76"/>
        <v>0.10533530322311634</v>
      </c>
      <c r="D342" s="3">
        <f t="shared" si="65"/>
        <v>-0.34164047641026979</v>
      </c>
      <c r="E342" s="2">
        <f t="shared" si="66"/>
        <v>-0.34334867879232112</v>
      </c>
      <c r="F342" s="2">
        <f t="shared" si="67"/>
        <v>-0.34335721980423139</v>
      </c>
      <c r="G342" s="14">
        <f t="shared" si="68"/>
        <v>-0.34507404860831209</v>
      </c>
      <c r="H342" s="1">
        <f t="shared" si="77"/>
        <v>-0.34164047641026979</v>
      </c>
      <c r="I342" s="1">
        <f t="shared" si="69"/>
        <v>-0.51518903551396378</v>
      </c>
      <c r="J342" s="1">
        <f t="shared" si="70"/>
        <v>-0.50263516863104996</v>
      </c>
      <c r="K342" s="1">
        <f t="shared" si="71"/>
        <v>-0.50294111491861859</v>
      </c>
      <c r="L342" s="14">
        <f t="shared" si="72"/>
        <v>-0.49067510170940981</v>
      </c>
      <c r="M342" s="7">
        <f t="shared" si="73"/>
        <v>4.8367471607794457</v>
      </c>
    </row>
    <row r="343" spans="1:13" x14ac:dyDescent="0.25">
      <c r="A343" s="1">
        <f t="shared" si="74"/>
        <v>3.329999999999973</v>
      </c>
      <c r="B343" s="4">
        <f t="shared" si="75"/>
        <v>5.8385407358711126</v>
      </c>
      <c r="C343" s="43">
        <f t="shared" si="76"/>
        <v>0.10190175935276352</v>
      </c>
      <c r="D343" s="3">
        <f t="shared" si="65"/>
        <v>-0.34666883758414097</v>
      </c>
      <c r="E343" s="2">
        <f t="shared" si="66"/>
        <v>-0.34840218177206167</v>
      </c>
      <c r="F343" s="2">
        <f t="shared" si="67"/>
        <v>-0.34841084849300125</v>
      </c>
      <c r="G343" s="14">
        <f t="shared" si="68"/>
        <v>-0.35015294606907099</v>
      </c>
      <c r="H343" s="1">
        <f t="shared" si="77"/>
        <v>-0.34666883758414097</v>
      </c>
      <c r="I343" s="1">
        <f t="shared" si="69"/>
        <v>-0.49845491790710167</v>
      </c>
      <c r="J343" s="1">
        <f t="shared" si="70"/>
        <v>-0.48630458735636783</v>
      </c>
      <c r="K343" s="1">
        <f t="shared" si="71"/>
        <v>-0.4866007998794149</v>
      </c>
      <c r="L343" s="14">
        <f t="shared" si="72"/>
        <v>-0.47472935878964534</v>
      </c>
      <c r="M343" s="7">
        <f t="shared" si="73"/>
        <v>4.6418336613406499</v>
      </c>
    </row>
    <row r="344" spans="1:13" x14ac:dyDescent="0.25">
      <c r="A344" s="1">
        <f t="shared" si="74"/>
        <v>3.3399999999999728</v>
      </c>
      <c r="B344" s="4">
        <f t="shared" si="75"/>
        <v>5.6389176712645677</v>
      </c>
      <c r="C344" s="43">
        <f t="shared" si="76"/>
        <v>9.8417679612457953E-2</v>
      </c>
      <c r="D344" s="3">
        <f t="shared" si="65"/>
        <v>-0.35153382933608818</v>
      </c>
      <c r="E344" s="2">
        <f t="shared" si="66"/>
        <v>-0.35329149848276864</v>
      </c>
      <c r="F344" s="2">
        <f t="shared" si="67"/>
        <v>-0.35330028682850201</v>
      </c>
      <c r="G344" s="14">
        <f t="shared" si="68"/>
        <v>-0.35506683220437318</v>
      </c>
      <c r="H344" s="1">
        <f t="shared" si="77"/>
        <v>-0.35153382933608818</v>
      </c>
      <c r="I344" s="1">
        <f t="shared" si="69"/>
        <v>-0.48146849705050559</v>
      </c>
      <c r="J344" s="1">
        <f t="shared" si="70"/>
        <v>-0.46972821714415186</v>
      </c>
      <c r="K344" s="1">
        <f t="shared" si="71"/>
        <v>-0.47001452849434577</v>
      </c>
      <c r="L344" s="14">
        <f t="shared" si="72"/>
        <v>-0.45854399959516284</v>
      </c>
      <c r="M344" s="7">
        <f t="shared" si="73"/>
        <v>4.4446457562816359</v>
      </c>
    </row>
    <row r="345" spans="1:13" x14ac:dyDescent="0.25">
      <c r="A345" s="1">
        <f t="shared" si="74"/>
        <v>3.3499999999999726</v>
      </c>
      <c r="B345" s="4">
        <f t="shared" si="75"/>
        <v>5.4364931879623679</v>
      </c>
      <c r="C345" s="43">
        <f t="shared" si="76"/>
        <v>9.4884705892186283E-2</v>
      </c>
      <c r="D345" s="3">
        <f t="shared" si="65"/>
        <v>-0.35623299264929259</v>
      </c>
      <c r="E345" s="2">
        <f t="shared" si="66"/>
        <v>-0.35801415761253907</v>
      </c>
      <c r="F345" s="2">
        <f t="shared" si="67"/>
        <v>-0.35802306343735529</v>
      </c>
      <c r="G345" s="14">
        <f t="shared" si="68"/>
        <v>-0.35981322328366616</v>
      </c>
      <c r="H345" s="1">
        <f t="shared" si="77"/>
        <v>-0.35623299264929259</v>
      </c>
      <c r="I345" s="1">
        <f t="shared" si="69"/>
        <v>-0.46423772947319236</v>
      </c>
      <c r="J345" s="1">
        <f t="shared" si="70"/>
        <v>-0.45291382611174774</v>
      </c>
      <c r="K345" s="1">
        <f t="shared" si="71"/>
        <v>-0.45319007333145445</v>
      </c>
      <c r="L345" s="14">
        <f t="shared" si="72"/>
        <v>-0.44212661221038735</v>
      </c>
      <c r="M345" s="7">
        <f t="shared" si="73"/>
        <v>4.2452800637305455</v>
      </c>
    </row>
    <row r="346" spans="1:13" x14ac:dyDescent="0.25">
      <c r="A346" s="1">
        <f t="shared" si="74"/>
        <v>3.3599999999999723</v>
      </c>
      <c r="B346" s="4">
        <f t="shared" si="75"/>
        <v>5.2313627753121326</v>
      </c>
      <c r="C346" s="43">
        <f t="shared" si="76"/>
        <v>9.1304504795465036E-2</v>
      </c>
      <c r="D346" s="3">
        <f t="shared" si="65"/>
        <v>-0.36076394621690921</v>
      </c>
      <c r="E346" s="2">
        <f t="shared" si="66"/>
        <v>-0.36256776594799378</v>
      </c>
      <c r="F346" s="2">
        <f t="shared" si="67"/>
        <v>-0.3625767850466492</v>
      </c>
      <c r="G346" s="14">
        <f t="shared" si="68"/>
        <v>-0.36438971406737569</v>
      </c>
      <c r="H346" s="1">
        <f t="shared" si="77"/>
        <v>-0.36076394621690921</v>
      </c>
      <c r="I346" s="1">
        <f t="shared" si="69"/>
        <v>-0.44677071760872195</v>
      </c>
      <c r="J346" s="1">
        <f t="shared" si="70"/>
        <v>-0.43586932293419706</v>
      </c>
      <c r="K346" s="1">
        <f t="shared" si="71"/>
        <v>-0.43613534768943324</v>
      </c>
      <c r="L346" s="14">
        <f t="shared" si="72"/>
        <v>-0.42548492034838348</v>
      </c>
      <c r="M346" s="7">
        <f t="shared" si="73"/>
        <v>4.0438342688878182</v>
      </c>
    </row>
    <row r="347" spans="1:13" x14ac:dyDescent="0.25">
      <c r="A347" s="1">
        <f t="shared" si="74"/>
        <v>3.3699999999999721</v>
      </c>
      <c r="B347" s="4">
        <f t="shared" si="75"/>
        <v>5.0236232938945369</v>
      </c>
      <c r="C347" s="43">
        <f t="shared" si="76"/>
        <v>8.7678766858342416E-2</v>
      </c>
      <c r="D347" s="3">
        <f t="shared" si="65"/>
        <v>-0.36512438784891649</v>
      </c>
      <c r="E347" s="2">
        <f t="shared" si="66"/>
        <v>-0.36695000978816106</v>
      </c>
      <c r="F347" s="2">
        <f t="shared" si="67"/>
        <v>-0.36695913789785728</v>
      </c>
      <c r="G347" s="14">
        <f t="shared" si="68"/>
        <v>-0.36879397922789509</v>
      </c>
      <c r="H347" s="1">
        <f t="shared" si="77"/>
        <v>-0.36512438784891649</v>
      </c>
      <c r="I347" s="1">
        <f t="shared" si="69"/>
        <v>-0.42907570615782142</v>
      </c>
      <c r="J347" s="1">
        <f t="shared" si="70"/>
        <v>-0.41860275328006724</v>
      </c>
      <c r="K347" s="1">
        <f t="shared" si="71"/>
        <v>-0.41885840203217733</v>
      </c>
      <c r="L347" s="14">
        <f t="shared" si="72"/>
        <v>-0.40862677985823626</v>
      </c>
      <c r="M347" s="7">
        <f t="shared" si="73"/>
        <v>3.8404070761623985</v>
      </c>
    </row>
    <row r="348" spans="1:13" x14ac:dyDescent="0.25">
      <c r="A348" s="1">
        <f t="shared" si="74"/>
        <v>3.3799999999999719</v>
      </c>
      <c r="B348" s="4">
        <f t="shared" si="75"/>
        <v>4.8133729299653059</v>
      </c>
      <c r="C348" s="43">
        <f t="shared" si="76"/>
        <v>8.4009205754261004E-2</v>
      </c>
      <c r="D348" s="3">
        <f t="shared" si="65"/>
        <v>-0.36931209584331742</v>
      </c>
      <c r="E348" s="2">
        <f t="shared" si="66"/>
        <v>-0.37115865632253403</v>
      </c>
      <c r="F348" s="2">
        <f t="shared" si="67"/>
        <v>-0.37116788912493009</v>
      </c>
      <c r="G348" s="14">
        <f t="shared" si="68"/>
        <v>-0.37302377473456672</v>
      </c>
      <c r="H348" s="1">
        <f t="shared" si="77"/>
        <v>-0.36931209584331742</v>
      </c>
      <c r="I348" s="1">
        <f t="shared" si="69"/>
        <v>-0.41116107827148629</v>
      </c>
      <c r="J348" s="1">
        <f t="shared" si="70"/>
        <v>-0.40112229608011973</v>
      </c>
      <c r="K348" s="1">
        <f t="shared" si="71"/>
        <v>-0.40136742025568095</v>
      </c>
      <c r="L348" s="14">
        <f t="shared" si="72"/>
        <v>-0.39156017507629653</v>
      </c>
      <c r="M348" s="7">
        <f t="shared" si="73"/>
        <v>3.6350981608085489</v>
      </c>
    </row>
    <row r="349" spans="1:13" x14ac:dyDescent="0.25">
      <c r="A349" s="1">
        <f t="shared" si="74"/>
        <v>3.3899999999999717</v>
      </c>
      <c r="B349" s="4">
        <f t="shared" si="75"/>
        <v>4.6007111491076147</v>
      </c>
      <c r="C349" s="43">
        <f t="shared" si="76"/>
        <v>8.0297557485139656E-2</v>
      </c>
      <c r="D349" s="3">
        <f t="shared" si="65"/>
        <v>-0.3733249303200164</v>
      </c>
      <c r="E349" s="2">
        <f t="shared" si="66"/>
        <v>-0.37519155497161649</v>
      </c>
      <c r="F349" s="2">
        <f t="shared" si="67"/>
        <v>-0.37520088809487451</v>
      </c>
      <c r="G349" s="14">
        <f t="shared" si="68"/>
        <v>-0.37707693920096513</v>
      </c>
      <c r="H349" s="1">
        <f t="shared" si="77"/>
        <v>-0.3733249303200164</v>
      </c>
      <c r="I349" s="1">
        <f t="shared" si="69"/>
        <v>-0.39303535155573532</v>
      </c>
      <c r="J349" s="1">
        <f t="shared" si="70"/>
        <v>-0.38343625963003136</v>
      </c>
      <c r="K349" s="1">
        <f t="shared" si="71"/>
        <v>-0.38367071578848588</v>
      </c>
      <c r="L349" s="14">
        <f t="shared" si="72"/>
        <v>-0.37429321502253649</v>
      </c>
      <c r="M349" s="7">
        <f t="shared" si="73"/>
        <v>3.4280081200869716</v>
      </c>
    </row>
    <row r="350" spans="1:13" x14ac:dyDescent="0.25">
      <c r="A350" s="1">
        <f t="shared" si="74"/>
        <v>3.3999999999999715</v>
      </c>
      <c r="B350" s="4">
        <f t="shared" si="75"/>
        <v>4.3857386491164139</v>
      </c>
      <c r="C350" s="43">
        <f t="shared" si="76"/>
        <v>7.6545579559049712E-2</v>
      </c>
      <c r="D350" s="3">
        <f t="shared" si="65"/>
        <v>-0.37716083451570859</v>
      </c>
      <c r="E350" s="2">
        <f t="shared" si="66"/>
        <v>-0.37904663868828714</v>
      </c>
      <c r="F350" s="2">
        <f t="shared" si="67"/>
        <v>-0.37905606770915001</v>
      </c>
      <c r="G350" s="14">
        <f t="shared" si="68"/>
        <v>-0.38095139519280008</v>
      </c>
      <c r="H350" s="1">
        <f t="shared" si="77"/>
        <v>-0.37716083451570859</v>
      </c>
      <c r="I350" s="1">
        <f t="shared" si="69"/>
        <v>-0.37470717389976249</v>
      </c>
      <c r="J350" s="1">
        <f t="shared" si="70"/>
        <v>-0.3655530775289072</v>
      </c>
      <c r="K350" s="1">
        <f t="shared" si="71"/>
        <v>-0.36577672752741841</v>
      </c>
      <c r="L350" s="14">
        <f t="shared" si="72"/>
        <v>-0.35683412944373127</v>
      </c>
      <c r="M350" s="7">
        <f t="shared" si="73"/>
        <v>3.2192384239741605</v>
      </c>
    </row>
    <row r="351" spans="1:13" x14ac:dyDescent="0.25">
      <c r="A351" s="1">
        <f t="shared" si="74"/>
        <v>3.4099999999999713</v>
      </c>
      <c r="B351" s="4">
        <f t="shared" si="75"/>
        <v>4.1685573121371018</v>
      </c>
      <c r="C351" s="43">
        <f t="shared" si="76"/>
        <v>7.2755050154877404E-2</v>
      </c>
      <c r="D351" s="3">
        <f t="shared" si="65"/>
        <v>-0.38081783603813552</v>
      </c>
      <c r="E351" s="2">
        <f t="shared" si="66"/>
        <v>-0.38272192521832621</v>
      </c>
      <c r="F351" s="2">
        <f t="shared" si="67"/>
        <v>-0.38273144566422712</v>
      </c>
      <c r="G351" s="14">
        <f t="shared" si="68"/>
        <v>-0.38464515049477777</v>
      </c>
      <c r="H351" s="1">
        <f t="shared" si="77"/>
        <v>-0.38081783603813552</v>
      </c>
      <c r="I351" s="1">
        <f t="shared" si="69"/>
        <v>-0.35618531912980389</v>
      </c>
      <c r="J351" s="1">
        <f t="shared" si="70"/>
        <v>-0.34748130445583703</v>
      </c>
      <c r="K351" s="1">
        <f t="shared" si="71"/>
        <v>-0.34769401561086677</v>
      </c>
      <c r="L351" s="14">
        <f t="shared" si="72"/>
        <v>-0.33919126470566541</v>
      </c>
      <c r="M351" s="7">
        <f t="shared" si="73"/>
        <v>3.0088913654441369</v>
      </c>
    </row>
    <row r="352" spans="1:13" x14ac:dyDescent="0.25">
      <c r="A352" s="1">
        <f t="shared" si="74"/>
        <v>3.4199999999999711</v>
      </c>
      <c r="B352" s="4">
        <f t="shared" si="75"/>
        <v>3.9492701560819681</v>
      </c>
      <c r="C352" s="43">
        <f t="shared" si="76"/>
        <v>6.89277672743807E-2</v>
      </c>
      <c r="D352" s="3">
        <f t="shared" si="65"/>
        <v>-0.38429404807808365</v>
      </c>
      <c r="E352" s="2">
        <f t="shared" si="66"/>
        <v>-0.38621551831847406</v>
      </c>
      <c r="F352" s="2">
        <f t="shared" si="67"/>
        <v>-0.38622512566967604</v>
      </c>
      <c r="G352" s="14">
        <f t="shared" si="68"/>
        <v>-0.38815629933478041</v>
      </c>
      <c r="H352" s="1">
        <f t="shared" si="77"/>
        <v>-0.38429404807808365</v>
      </c>
      <c r="I352" s="1">
        <f t="shared" si="69"/>
        <v>-0.33747868249160262</v>
      </c>
      <c r="J352" s="1">
        <f t="shared" si="70"/>
        <v>-0.32922961178727128</v>
      </c>
      <c r="K352" s="1">
        <f t="shared" si="71"/>
        <v>-0.32943125703237908</v>
      </c>
      <c r="L352" s="14">
        <f t="shared" si="72"/>
        <v>-0.32137307953702654</v>
      </c>
      <c r="M352" s="7">
        <f t="shared" si="73"/>
        <v>2.7970700103469719</v>
      </c>
    </row>
    <row r="353" spans="1:13" x14ac:dyDescent="0.25">
      <c r="A353" s="1">
        <f t="shared" si="74"/>
        <v>3.4299999999999708</v>
      </c>
      <c r="B353" s="4">
        <f t="shared" si="75"/>
        <v>3.7279812853487213</v>
      </c>
      <c r="C353" s="43">
        <f t="shared" si="76"/>
        <v>6.5065547882065422E-2</v>
      </c>
      <c r="D353" s="3">
        <f t="shared" si="65"/>
        <v>-0.38758767057753019</v>
      </c>
      <c r="E353" s="2">
        <f t="shared" si="66"/>
        <v>-0.38952560893041782</v>
      </c>
      <c r="F353" s="2">
        <f t="shared" si="67"/>
        <v>-0.38953529862218228</v>
      </c>
      <c r="G353" s="14">
        <f t="shared" si="68"/>
        <v>-0.39148302356375203</v>
      </c>
      <c r="H353" s="1">
        <f t="shared" si="77"/>
        <v>-0.38758767057753019</v>
      </c>
      <c r="I353" s="1">
        <f t="shared" si="69"/>
        <v>-0.31859627596492751</v>
      </c>
      <c r="J353" s="1">
        <f t="shared" si="70"/>
        <v>-0.31080678305850806</v>
      </c>
      <c r="K353" s="1">
        <f t="shared" si="71"/>
        <v>-0.31099724109787474</v>
      </c>
      <c r="L353" s="14">
        <f t="shared" si="72"/>
        <v>-0.30338814062813213</v>
      </c>
      <c r="M353" s="7">
        <f t="shared" si="73"/>
        <v>2.5838781469085323</v>
      </c>
    </row>
    <row r="354" spans="1:13" x14ac:dyDescent="0.25">
      <c r="A354" s="1">
        <f t="shared" si="74"/>
        <v>3.4399999999999706</v>
      </c>
      <c r="B354" s="4">
        <f t="shared" si="75"/>
        <v>3.5047958408663638</v>
      </c>
      <c r="C354" s="43">
        <f t="shared" si="76"/>
        <v>6.1170227033321284E-2</v>
      </c>
      <c r="D354" s="3">
        <f t="shared" si="65"/>
        <v>-0.39069699135237324</v>
      </c>
      <c r="E354" s="2">
        <f t="shared" si="66"/>
        <v>-0.39265047630913508</v>
      </c>
      <c r="F354" s="2">
        <f t="shared" si="67"/>
        <v>-0.39266024373391889</v>
      </c>
      <c r="G354" s="14">
        <f t="shared" si="68"/>
        <v>-0.3946235937897124</v>
      </c>
      <c r="H354" s="1">
        <f t="shared" si="77"/>
        <v>-0.39069699135237324</v>
      </c>
      <c r="I354" s="1">
        <f t="shared" si="69"/>
        <v>-0.29954722341416029</v>
      </c>
      <c r="J354" s="1">
        <f t="shared" si="70"/>
        <v>-0.29222170927309243</v>
      </c>
      <c r="K354" s="1">
        <f t="shared" si="71"/>
        <v>-0.29240086473028021</v>
      </c>
      <c r="L354" s="14">
        <f t="shared" si="72"/>
        <v>-0.28524511808809111</v>
      </c>
      <c r="M354" s="7">
        <f t="shared" si="73"/>
        <v>2.3694202348763591</v>
      </c>
    </row>
    <row r="355" spans="1:13" x14ac:dyDescent="0.25">
      <c r="A355" s="1">
        <f t="shared" si="74"/>
        <v>3.4499999999999704</v>
      </c>
      <c r="B355" s="4">
        <f t="shared" si="75"/>
        <v>3.2798199494945659</v>
      </c>
      <c r="C355" s="43">
        <f t="shared" si="76"/>
        <v>5.7243656991274296E-2</v>
      </c>
      <c r="D355" s="3">
        <f t="shared" si="65"/>
        <v>-0.39362038716822156</v>
      </c>
      <c r="E355" s="2">
        <f t="shared" si="66"/>
        <v>-0.39558848910406269</v>
      </c>
      <c r="F355" s="2">
        <f t="shared" si="67"/>
        <v>-0.39559832961374186</v>
      </c>
      <c r="G355" s="14">
        <f t="shared" si="68"/>
        <v>-0.39757637046435901</v>
      </c>
      <c r="H355" s="1">
        <f t="shared" si="77"/>
        <v>-0.39362038716822156</v>
      </c>
      <c r="I355" s="1">
        <f t="shared" si="69"/>
        <v>-0.28034075557952254</v>
      </c>
      <c r="J355" s="1">
        <f t="shared" si="70"/>
        <v>-0.27348338406443373</v>
      </c>
      <c r="K355" s="1">
        <f t="shared" si="71"/>
        <v>-0.27365112762590271</v>
      </c>
      <c r="L355" s="14">
        <f t="shared" si="72"/>
        <v>-0.26695278076446871</v>
      </c>
      <c r="M355" s="7">
        <f t="shared" si="73"/>
        <v>2.1538013543364709</v>
      </c>
    </row>
    <row r="356" spans="1:13" x14ac:dyDescent="0.25">
      <c r="A356" s="1">
        <f t="shared" si="74"/>
        <v>3.4599999999999702</v>
      </c>
      <c r="B356" s="4">
        <f t="shared" si="75"/>
        <v>3.0531606728035543</v>
      </c>
      <c r="C356" s="43">
        <f t="shared" si="76"/>
        <v>5.3287706332827312E-2</v>
      </c>
      <c r="D356" s="3">
        <f t="shared" si="65"/>
        <v>-0.39635632476776267</v>
      </c>
      <c r="E356" s="2">
        <f t="shared" si="66"/>
        <v>-0.3983381063916015</v>
      </c>
      <c r="F356" s="2">
        <f t="shared" si="67"/>
        <v>-0.39834801529972069</v>
      </c>
      <c r="G356" s="14">
        <f t="shared" si="68"/>
        <v>-0.40033980492075988</v>
      </c>
      <c r="H356" s="1">
        <f t="shared" si="77"/>
        <v>-0.39635632476776267</v>
      </c>
      <c r="I356" s="1">
        <f t="shared" si="69"/>
        <v>-0.26098620491405511</v>
      </c>
      <c r="J356" s="1">
        <f t="shared" si="70"/>
        <v>-0.25460089871444153</v>
      </c>
      <c r="K356" s="1">
        <f t="shared" si="71"/>
        <v>-0.254757127267355</v>
      </c>
      <c r="L356" s="14">
        <f t="shared" si="72"/>
        <v>-0.24851999142996947</v>
      </c>
      <c r="M356" s="7">
        <f t="shared" si="73"/>
        <v>1.9371271542262303</v>
      </c>
    </row>
    <row r="357" spans="1:13" x14ac:dyDescent="0.25">
      <c r="A357" s="1">
        <f t="shared" si="74"/>
        <v>3.46999999999997</v>
      </c>
      <c r="B357" s="4">
        <f t="shared" si="75"/>
        <v>2.8249259552624264</v>
      </c>
      <c r="C357" s="43">
        <f t="shared" si="76"/>
        <v>4.9304259044375368E-2</v>
      </c>
      <c r="D357" s="3">
        <f t="shared" si="65"/>
        <v>-0.39890336184827535</v>
      </c>
      <c r="E357" s="2">
        <f t="shared" si="66"/>
        <v>-0.40089787865751675</v>
      </c>
      <c r="F357" s="2">
        <f t="shared" si="67"/>
        <v>-0.40090785124156292</v>
      </c>
      <c r="G357" s="14">
        <f t="shared" si="68"/>
        <v>-0.40291244036069096</v>
      </c>
      <c r="H357" s="1">
        <f t="shared" si="77"/>
        <v>-0.39890336184827535</v>
      </c>
      <c r="I357" s="1">
        <f t="shared" si="69"/>
        <v>-0.24149300027199719</v>
      </c>
      <c r="J357" s="1">
        <f t="shared" si="70"/>
        <v>-0.23558343703446216</v>
      </c>
      <c r="K357" s="1">
        <f t="shared" si="71"/>
        <v>-0.23572805379832507</v>
      </c>
      <c r="L357" s="14">
        <f t="shared" si="72"/>
        <v>-0.2299557018410934</v>
      </c>
      <c r="M357" s="7">
        <f t="shared" si="73"/>
        <v>1.7195038005684711</v>
      </c>
    </row>
    <row r="358" spans="1:13" x14ac:dyDescent="0.25">
      <c r="A358" s="1">
        <f t="shared" si="74"/>
        <v>3.4799999999999698</v>
      </c>
      <c r="B358" s="4">
        <f t="shared" si="75"/>
        <v>2.5952245718645632</v>
      </c>
      <c r="C358" s="43">
        <f t="shared" si="76"/>
        <v>4.5295213607696824E-2</v>
      </c>
      <c r="D358" s="3">
        <f t="shared" si="65"/>
        <v>-0.40126014798790643</v>
      </c>
      <c r="E358" s="2">
        <f t="shared" si="66"/>
        <v>-0.40326644872784595</v>
      </c>
      <c r="F358" s="2">
        <f t="shared" si="67"/>
        <v>-0.40327648023154566</v>
      </c>
      <c r="G358" s="14">
        <f t="shared" si="68"/>
        <v>-0.40529291279022189</v>
      </c>
      <c r="H358" s="1">
        <f t="shared" si="77"/>
        <v>-0.40126014798790643</v>
      </c>
      <c r="I358" s="1">
        <f t="shared" si="69"/>
        <v>-0.22187066145472437</v>
      </c>
      <c r="J358" s="1">
        <f t="shared" si="70"/>
        <v>-0.2164402701142645</v>
      </c>
      <c r="K358" s="1">
        <f t="shared" si="71"/>
        <v>-0.21657318476595797</v>
      </c>
      <c r="L358" s="14">
        <f t="shared" si="72"/>
        <v>-0.21126894767414753</v>
      </c>
      <c r="M358" s="7">
        <f t="shared" si="73"/>
        <v>1.5010379244522771</v>
      </c>
    </row>
    <row r="359" spans="1:13" x14ac:dyDescent="0.25">
      <c r="A359" s="1">
        <f t="shared" si="74"/>
        <v>3.4899999999999696</v>
      </c>
      <c r="B359" s="4">
        <f t="shared" si="75"/>
        <v>2.364166075219678</v>
      </c>
      <c r="C359" s="43">
        <f t="shared" si="76"/>
        <v>4.1262482076535302E-2</v>
      </c>
      <c r="D359" s="3">
        <f t="shared" si="65"/>
        <v>-0.40342542551938865</v>
      </c>
      <c r="E359" s="2">
        <f t="shared" si="66"/>
        <v>-0.40544255264698559</v>
      </c>
      <c r="F359" s="2">
        <f t="shared" si="67"/>
        <v>-0.40545263828262357</v>
      </c>
      <c r="G359" s="14">
        <f t="shared" si="68"/>
        <v>-0.40747995190221487</v>
      </c>
      <c r="H359" s="1">
        <f t="shared" si="77"/>
        <v>-0.40342542551938865</v>
      </c>
      <c r="I359" s="1">
        <f t="shared" si="69"/>
        <v>-0.20212879362090624</v>
      </c>
      <c r="J359" s="1">
        <f t="shared" si="70"/>
        <v>-0.1971807509452789</v>
      </c>
      <c r="K359" s="1">
        <f t="shared" si="71"/>
        <v>-0.197301879737069</v>
      </c>
      <c r="L359" s="14">
        <f t="shared" si="72"/>
        <v>-0.19246884334440509</v>
      </c>
      <c r="M359" s="7">
        <f t="shared" si="73"/>
        <v>1.281836569785878</v>
      </c>
    </row>
    <row r="360" spans="1:13" x14ac:dyDescent="0.25">
      <c r="A360" s="1">
        <f t="shared" si="74"/>
        <v>3.4999999999999694</v>
      </c>
      <c r="B360" s="4">
        <f t="shared" si="75"/>
        <v>2.1318607421427371</v>
      </c>
      <c r="C360" s="43">
        <f t="shared" si="76"/>
        <v>3.7207989144400599E-2</v>
      </c>
      <c r="D360" s="3">
        <f t="shared" si="65"/>
        <v>-0.40539803034993865</v>
      </c>
      <c r="E360" s="2">
        <f t="shared" si="66"/>
        <v>-0.40742502050168833</v>
      </c>
      <c r="F360" s="2">
        <f t="shared" si="67"/>
        <v>-0.40743515545244707</v>
      </c>
      <c r="G360" s="14">
        <f t="shared" si="68"/>
        <v>-0.40947238190446311</v>
      </c>
      <c r="H360" s="1">
        <f t="shared" si="77"/>
        <v>-0.40539803034993865</v>
      </c>
      <c r="I360" s="1">
        <f t="shared" si="69"/>
        <v>-0.18227708156802022</v>
      </c>
      <c r="J360" s="1">
        <f t="shared" si="70"/>
        <v>-0.177814308924722</v>
      </c>
      <c r="K360" s="1">
        <f t="shared" si="71"/>
        <v>-0.17792357479484366</v>
      </c>
      <c r="L360" s="14">
        <f t="shared" si="72"/>
        <v>-0.17356457671459966</v>
      </c>
      <c r="M360" s="7">
        <f t="shared" si="73"/>
        <v>1.0620071408472782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103"/>
  <sheetViews>
    <sheetView tabSelected="1" zoomScale="230" zoomScaleNormal="230" workbookViewId="0">
      <selection activeCell="A2" sqref="A2"/>
    </sheetView>
  </sheetViews>
  <sheetFormatPr defaultRowHeight="15" x14ac:dyDescent="0.25"/>
  <sheetData>
    <row r="1" spans="1:7" x14ac:dyDescent="0.25">
      <c r="A1" s="20" t="s">
        <v>53</v>
      </c>
      <c r="D1" s="20" t="s">
        <v>30</v>
      </c>
      <c r="F1" s="20" t="s">
        <v>29</v>
      </c>
      <c r="G1" s="20" t="s">
        <v>28</v>
      </c>
    </row>
    <row r="2" spans="1:7" x14ac:dyDescent="0.25">
      <c r="A2" s="20" t="s">
        <v>31</v>
      </c>
      <c r="D2" s="18">
        <v>0.05</v>
      </c>
      <c r="F2" s="18">
        <v>9.8000000000000007</v>
      </c>
      <c r="G2" s="18">
        <v>2</v>
      </c>
    </row>
    <row r="3" spans="1:7" x14ac:dyDescent="0.25">
      <c r="A3" s="20" t="s">
        <v>27</v>
      </c>
    </row>
    <row r="5" spans="1:7" x14ac:dyDescent="0.25">
      <c r="B5" s="20" t="s">
        <v>49</v>
      </c>
      <c r="C5" s="20" t="s">
        <v>48</v>
      </c>
    </row>
    <row r="6" spans="1:7" x14ac:dyDescent="0.25">
      <c r="B6" s="18">
        <v>5</v>
      </c>
      <c r="C6" s="18">
        <v>0</v>
      </c>
    </row>
    <row r="7" spans="1:7" ht="15.75" thickBot="1" x14ac:dyDescent="0.3">
      <c r="A7" s="44" t="s">
        <v>8</v>
      </c>
      <c r="B7" s="45" t="s">
        <v>26</v>
      </c>
      <c r="C7" s="44" t="s">
        <v>25</v>
      </c>
      <c r="D7" s="46" t="s">
        <v>50</v>
      </c>
    </row>
    <row r="8" spans="1:7" x14ac:dyDescent="0.25">
      <c r="A8" s="5">
        <v>0</v>
      </c>
      <c r="B8" s="6">
        <f>RADIANS(B6)</f>
        <v>8.7266462599716474E-2</v>
      </c>
      <c r="C8" s="5">
        <v>0</v>
      </c>
      <c r="D8" s="47">
        <f t="shared" ref="D8:D71" si="0">$B$8*COS(SQRT($F$2/$G$2)*A8)</f>
        <v>8.7266462599716474E-2</v>
      </c>
    </row>
    <row r="9" spans="1:7" x14ac:dyDescent="0.25">
      <c r="A9" s="5">
        <f t="array" ref="A9:C9">ODE_RK4(A8:C8,$D$2,$F$2,$G$2)</f>
        <v>0.05</v>
      </c>
      <c r="B9" s="6">
        <v>8.6732633675387069E-2</v>
      </c>
      <c r="C9" s="5">
        <v>-2.1309726081061898E-2</v>
      </c>
      <c r="D9" s="47">
        <f t="shared" si="0"/>
        <v>8.6732500936185522E-2</v>
      </c>
    </row>
    <row r="10" spans="1:7" x14ac:dyDescent="0.25">
      <c r="A10" s="5">
        <f t="array" ref="A10:C10">ODE_RK4(A9:C9,$D$2,$F$2,$G$2)</f>
        <v>0.1</v>
      </c>
      <c r="B10" s="6">
        <v>8.513874302380546E-2</v>
      </c>
      <c r="C10" s="5">
        <v>-4.2359383304660381E-2</v>
      </c>
      <c r="D10" s="47">
        <f t="shared" si="0"/>
        <v>8.5137150301395043E-2</v>
      </c>
    </row>
    <row r="11" spans="1:7" x14ac:dyDescent="0.25">
      <c r="A11" s="5">
        <f t="array" ref="A11:C11">ODE_RK4(A10:C10,$D$2,$F$2,$G$2)</f>
        <v>0.15000000000000002</v>
      </c>
      <c r="B11" s="6">
        <v>8.2504237541694725E-2</v>
      </c>
      <c r="C11" s="5">
        <v>-6.2892269783585988E-2</v>
      </c>
      <c r="D11" s="47">
        <f>$B$8*COS(SQRT($F$2/$G$2)*A11)</f>
        <v>8.2499933798573719E-2</v>
      </c>
    </row>
    <row r="12" spans="1:7" x14ac:dyDescent="0.25">
      <c r="A12" s="5">
        <f t="array" ref="A12:C12">ODE_RK4(A11:C11,$D$2,$F$2,$G$2)</f>
        <v>0.2</v>
      </c>
      <c r="B12" s="6">
        <v>7.8861257531763193E-2</v>
      </c>
      <c r="C12" s="5">
        <v>-8.2657855121269178E-2</v>
      </c>
      <c r="D12" s="47">
        <f t="shared" si="0"/>
        <v>7.8853124364402782E-2</v>
      </c>
    </row>
    <row r="13" spans="1:7" x14ac:dyDescent="0.25">
      <c r="A13" s="5">
        <f t="array" ref="A13:C13">ODE_RK4(A12:C12,$D$2,$F$2,$G$2)</f>
        <v>0.25</v>
      </c>
      <c r="B13" s="6">
        <v>7.425425252663384E-2</v>
      </c>
      <c r="C13" s="5">
        <v>-0.10141478913659602</v>
      </c>
      <c r="D13" s="47">
        <f t="shared" si="0"/>
        <v>7.4241349828956693E-2</v>
      </c>
    </row>
    <row r="14" spans="1:7" x14ac:dyDescent="0.25">
      <c r="A14" s="5">
        <f t="array" ref="A14:C14">ODE_RK4(A13:C13,$D$2,$F$2,$G$2)</f>
        <v>0.3</v>
      </c>
      <c r="B14" s="6">
        <v>6.8739448797004471E-2</v>
      </c>
      <c r="C14" s="5">
        <v>-0.11893382051992317</v>
      </c>
      <c r="D14" s="47">
        <f t="shared" si="0"/>
        <v>6.8721046782637241E-2</v>
      </c>
    </row>
    <row r="15" spans="1:7" x14ac:dyDescent="0.25">
      <c r="A15" s="5">
        <f t="array" ref="A15:C15">ODE_RK4(A14:C14,$D$2,$F$2,$G$2)</f>
        <v>0.35</v>
      </c>
      <c r="B15" s="6">
        <v>6.2384173846965971E-2</v>
      </c>
      <c r="C15" s="5">
        <v>-0.1350005932336048</v>
      </c>
      <c r="D15" s="47">
        <f t="shared" si="0"/>
        <v>6.2359769933404315E-2</v>
      </c>
    </row>
    <row r="16" spans="1:7" x14ac:dyDescent="0.25">
      <c r="A16" s="5">
        <f t="array" ref="A16:C16">ODE_RK4(A15:C15,$D$2,$F$2,$G$2)</f>
        <v>0.39999999999999997</v>
      </c>
      <c r="B16" s="6">
        <v>5.5266044842149697E-2</v>
      </c>
      <c r="C16" s="5">
        <v>-0.14941828717096958</v>
      </c>
      <c r="D16" s="47">
        <f t="shared" si="0"/>
        <v>5.5235365406044193E-2</v>
      </c>
    </row>
    <row r="17" spans="1:4" x14ac:dyDescent="0.25">
      <c r="A17" s="5">
        <f t="array" ref="A17:C17">ODE_RK4(A16:C16,$D$2,$F$2,$G$2)</f>
        <v>0.44999999999999996</v>
      </c>
      <c r="B17" s="6">
        <v>4.7472029617281322E-2</v>
      </c>
      <c r="C17" s="5">
        <v>-0.16201006861562345</v>
      </c>
      <c r="D17" s="47">
        <f t="shared" si="0"/>
        <v>4.7435018100225511E-2</v>
      </c>
    </row>
    <row r="18" spans="1:4" x14ac:dyDescent="0.25">
      <c r="A18" s="5">
        <f t="array" ref="A18:C18">ODE_RK4(A17:C17,$D$2,$F$2,$G$2)</f>
        <v>0.49999999999999994</v>
      </c>
      <c r="B18" s="6">
        <v>3.9097390644229138E-2</v>
      </c>
      <c r="C18" s="5">
        <v>-0.17262131572258299</v>
      </c>
      <c r="D18" s="47">
        <f t="shared" si="0"/>
        <v>3.9054184765298559E-2</v>
      </c>
    </row>
    <row r="19" spans="1:4" x14ac:dyDescent="0.25">
      <c r="A19" s="5">
        <f t="array" ref="A19:C19">ODE_RK4(A18:C18,$D$2,$F$2,$G$2)</f>
        <v>0.54999999999999993</v>
      </c>
      <c r="B19" s="6">
        <v>3.0244524069593628E-2</v>
      </c>
      <c r="C19" s="5">
        <v>-0.18112158486744423</v>
      </c>
      <c r="D19" s="47">
        <f t="shared" si="0"/>
        <v>3.0195425848334952E-2</v>
      </c>
    </row>
    <row r="20" spans="1:4" x14ac:dyDescent="0.25">
      <c r="A20" s="5">
        <f t="array" ref="A20:C20">ODE_RK4(A19:C19,$D$2,$F$2,$G$2)</f>
        <v>0.6</v>
      </c>
      <c r="B20" s="6">
        <v>2.1021707598993473E-2</v>
      </c>
      <c r="C20" s="5">
        <v>-0.18740628550656474</v>
      </c>
      <c r="D20" s="47">
        <f t="shared" si="0"/>
        <v>2.0967150410667212E-2</v>
      </c>
    </row>
    <row r="21" spans="1:4" x14ac:dyDescent="0.25">
      <c r="A21" s="5">
        <f t="array" ref="A21:C21">ODE_RK4(A20:C20,$D$2,$F$2,$G$2)</f>
        <v>0.65</v>
      </c>
      <c r="B21" s="6">
        <v>1.1541772551104421E-2</v>
      </c>
      <c r="C21" s="5">
        <v>-0.19139803429155097</v>
      </c>
      <c r="D21" s="47">
        <f t="shared" si="0"/>
        <v>1.1482289472011834E-2</v>
      </c>
    </row>
    <row r="22" spans="1:4" x14ac:dyDescent="0.25">
      <c r="A22" s="5">
        <f t="array" ref="A22:C22">ODE_RK4(A21:C21,$D$2,$F$2,$G$2)</f>
        <v>0.70000000000000007</v>
      </c>
      <c r="B22" s="6">
        <v>1.9207167620992633E-3</v>
      </c>
      <c r="C22" s="5">
        <v>-0.19304766360165587</v>
      </c>
      <c r="D22" s="47">
        <f t="shared" si="0"/>
        <v>1.8569140171271884E-3</v>
      </c>
    </row>
    <row r="23" spans="1:4" x14ac:dyDescent="0.25">
      <c r="A23" s="5">
        <f t="array" ref="A23:C23">ODE_RK4(A22:C22,$D$2,$F$2,$G$2)</f>
        <v>0.75000000000000011</v>
      </c>
      <c r="B23" s="6">
        <v>-7.7237238734398188E-3</v>
      </c>
      <c r="C23" s="5">
        <v>-0.19233486529219049</v>
      </c>
      <c r="D23" s="47">
        <f t="shared" si="0"/>
        <v>-7.7911854228504985E-3</v>
      </c>
    </row>
    <row r="24" spans="1:4" x14ac:dyDescent="0.25">
      <c r="A24" s="5">
        <f t="array" ref="A24:C24">ODE_RK4(A23:C23,$D$2,$F$2,$G$2)</f>
        <v>0.80000000000000016</v>
      </c>
      <c r="B24" s="6">
        <v>-1.7273526641411831E-2</v>
      </c>
      <c r="C24" s="5">
        <v>-0.18926845708379086</v>
      </c>
      <c r="D24" s="47">
        <f t="shared" si="0"/>
        <v>-1.7343940232019767E-2</v>
      </c>
    </row>
    <row r="25" spans="1:4" x14ac:dyDescent="0.25">
      <c r="A25" s="5">
        <f t="array" ref="A25:C25">ODE_RK4(A24:C24,$D$2,$F$2,$G$2)</f>
        <v>0.8500000000000002</v>
      </c>
      <c r="B25" s="6">
        <v>-2.6611836995246021E-2</v>
      </c>
      <c r="C25" s="5">
        <v>-0.18388626631746427</v>
      </c>
      <c r="D25" s="47">
        <f t="shared" si="0"/>
        <v>-2.6684448574388817E-2</v>
      </c>
    </row>
    <row r="26" spans="1:4" x14ac:dyDescent="0.25">
      <c r="A26" s="5">
        <f t="array" ref="A26:C26">ODE_RK4(A25:C25,$D$2,$F$2,$G$2)</f>
        <v>0.90000000000000024</v>
      </c>
      <c r="B26" s="6">
        <v>-3.5624408185478823E-2</v>
      </c>
      <c r="C26" s="5">
        <v>-0.17625463338820196</v>
      </c>
      <c r="D26" s="47">
        <f t="shared" si="0"/>
        <v>-3.5698405980081491E-2</v>
      </c>
    </row>
    <row r="27" spans="1:4" x14ac:dyDescent="0.25">
      <c r="A27" s="5">
        <f t="array" ref="A27:C27">ODE_RK4(A26:C26,$D$2,$F$2,$G$2)</f>
        <v>0.95000000000000029</v>
      </c>
      <c r="B27" s="6">
        <v>-4.4201006730206917E-2</v>
      </c>
      <c r="C27" s="5">
        <v>-0.16646754463132832</v>
      </c>
      <c r="D27" s="47">
        <f t="shared" si="0"/>
        <v>-4.4275504146275436E-2</v>
      </c>
    </row>
    <row r="28" spans="1:4" x14ac:dyDescent="0.25">
      <c r="A28" s="5">
        <f t="array" ref="A28:C28">ODE_RK4(A27:C27,$D$2,$F$2,$G$2)</f>
        <v>1.0000000000000002</v>
      </c>
      <c r="B28" s="6">
        <v>-5.2236765590169307E-2</v>
      </c>
      <c r="C28" s="5">
        <v>-0.15464541136903515</v>
      </c>
      <c r="D28" s="47">
        <f t="shared" si="0"/>
        <v>-5.2310780835046651E-2</v>
      </c>
    </row>
    <row r="29" spans="1:4" x14ac:dyDescent="0.25">
      <c r="A29" s="5">
        <f t="array" ref="A29:C29">ODE_RK4(A28:C28,$D$2,$F$2,$G$2)</f>
        <v>1.0500000000000003</v>
      </c>
      <c r="B29" s="6">
        <v>-5.9633467903581316E-2</v>
      </c>
      <c r="C29" s="5">
        <v>-0.14093351788058581</v>
      </c>
      <c r="D29" s="47">
        <f t="shared" si="0"/>
        <v>-5.9705904348745217E-2</v>
      </c>
    </row>
    <row r="30" spans="1:4" x14ac:dyDescent="0.25">
      <c r="A30" s="5">
        <f t="array" ref="A30:C30">ODE_RK4(A29:C29,$D$2,$F$2,$G$2)</f>
        <v>1.1000000000000003</v>
      </c>
      <c r="B30" s="6">
        <v>-6.6300745402301617E-2</v>
      </c>
      <c r="C30" s="5">
        <v>-0.12550016597556157</v>
      </c>
      <c r="D30" s="47">
        <f t="shared" si="0"/>
        <v>-6.6370376864135064E-2</v>
      </c>
    </row>
    <row r="31" spans="1:4" x14ac:dyDescent="0.25">
      <c r="A31" s="5">
        <f t="array" ref="A31:C31">ODE_RK4(A30:C30,$D$2,$F$2,$G$2)</f>
        <v>1.1500000000000004</v>
      </c>
      <c r="B31" s="6">
        <v>-7.2157177111125209E-2</v>
      </c>
      <c r="C31" s="5">
        <v>-0.10853454747244225</v>
      </c>
      <c r="D31" s="47">
        <f t="shared" si="0"/>
        <v>-7.222264189949662E-2</v>
      </c>
    </row>
    <row r="32" spans="1:4" x14ac:dyDescent="0.25">
      <c r="A32" s="5">
        <f t="array" ref="A32:C32">ODE_RK4(A31:C31,$D$2,$F$2,$G$2)</f>
        <v>1.2000000000000004</v>
      </c>
      <c r="B32" s="6">
        <v>-7.7131275560012522E-2</v>
      </c>
      <c r="C32" s="5">
        <v>-9.0244378183397991E-2</v>
      </c>
      <c r="D32" s="47">
        <f t="shared" si="0"/>
        <v>-7.7191082362063318E-2</v>
      </c>
    </row>
    <row r="33" spans="1:4" x14ac:dyDescent="0.25">
      <c r="A33" s="5">
        <f t="array" ref="A33:C33">ODE_RK4(A32:C32,$D$2,$F$2,$G$2)</f>
        <v>1.2500000000000004</v>
      </c>
      <c r="B33" s="6">
        <v>-8.1162349450404625E-2</v>
      </c>
      <c r="C33" s="5">
        <v>-7.0853328068440524E-2</v>
      </c>
      <c r="D33" s="47">
        <f t="shared" si="0"/>
        <v>-8.1214896962187061E-2</v>
      </c>
    </row>
    <row r="34" spans="1:4" x14ac:dyDescent="0.25">
      <c r="A34" s="5">
        <f t="array" ref="A34:C34">ODE_RK4(A33:C33,$D$2,$F$2,$G$2)</f>
        <v>1.3000000000000005</v>
      </c>
      <c r="B34" s="6">
        <v>-8.4201233454061872E-2</v>
      </c>
      <c r="C34" s="5">
        <v>-5.0598282240520057E-2</v>
      </c>
      <c r="D34" s="47">
        <f t="shared" si="0"/>
        <v>-8.4244844269113911E-2</v>
      </c>
    </row>
    <row r="35" spans="1:4" x14ac:dyDescent="0.25">
      <c r="A35" s="5">
        <f t="array" ref="A35:C35">ODE_RK4(A34:C34,$D$2,$F$2,$G$2)</f>
        <v>1.3500000000000005</v>
      </c>
      <c r="B35" s="6">
        <v>-8.6210877540450565E-2</v>
      </c>
      <c r="C35" s="5">
        <v>-2.9726466748977269E-2</v>
      </c>
      <c r="D35" s="47">
        <f t="shared" si="0"/>
        <v>-8.6243845302987898E-2</v>
      </c>
    </row>
    <row r="36" spans="1:4" x14ac:dyDescent="0.25">
      <c r="A36" s="5">
        <f t="array" ref="A36:C36">ODE_RK4(A35:C35,$D$2,$F$2,$G$2)</f>
        <v>1.4000000000000006</v>
      </c>
      <c r="B36" s="6">
        <v>-8.7166789895790173E-2</v>
      </c>
      <c r="C36" s="5">
        <v>-8.4924718585350605E-3</v>
      </c>
      <c r="D36" s="47">
        <f t="shared" si="0"/>
        <v>-8.7187437288863218E-2</v>
      </c>
    </row>
    <row r="37" spans="1:4" x14ac:dyDescent="0.25">
      <c r="A37" s="5">
        <f t="array" ref="A37:C37">ODE_RK4(A36:C36,$D$2,$F$2,$G$2)</f>
        <v>1.4500000000000006</v>
      </c>
      <c r="B37" s="6">
        <v>-8.7057329098854538E-2</v>
      </c>
      <c r="C37" s="5">
        <v>1.2844795800557699E-2</v>
      </c>
      <c r="D37" s="47">
        <f t="shared" si="0"/>
        <v>-8.7064073019910038E-2</v>
      </c>
    </row>
    <row r="38" spans="1:4" x14ac:dyDescent="0.25">
      <c r="A38" s="5">
        <f t="array" ref="A38:C38">ODE_RK4(A37:C37,$D$2,$F$2,$G$2)</f>
        <v>1.5000000000000007</v>
      </c>
      <c r="B38" s="6">
        <v>-8.5883842756544357E-2</v>
      </c>
      <c r="C38" s="5">
        <v>3.4025202012736844E-2</v>
      </c>
      <c r="D38" s="47">
        <f t="shared" si="0"/>
        <v>-8.5875262166356964E-2</v>
      </c>
    </row>
    <row r="39" spans="1:4" x14ac:dyDescent="0.25">
      <c r="A39" s="5">
        <f t="array" ref="A39:C39">ODE_RK4(A38:C38,$D$2,$F$2,$G$2)</f>
        <v>1.5500000000000007</v>
      </c>
      <c r="B39" s="6">
        <v>-8.3660651290528729E-2</v>
      </c>
      <c r="C39" s="5">
        <v>5.4790485267946901E-2</v>
      </c>
      <c r="D39" s="47">
        <f t="shared" si="0"/>
        <v>-8.3635552800901708E-2</v>
      </c>
    </row>
    <row r="40" spans="1:4" x14ac:dyDescent="0.25">
      <c r="A40" s="5">
        <f t="array" ref="A40:C40">ODE_RK4(A39:C39,$D$2,$F$2,$G$2)</f>
        <v>1.6000000000000008</v>
      </c>
      <c r="B40" s="6">
        <v>-8.04148770288899E-2</v>
      </c>
      <c r="C40" s="5">
        <v>7.4887339377393225E-2</v>
      </c>
      <c r="D40" s="47">
        <f t="shared" si="0"/>
        <v>-8.0372353366672977E-2</v>
      </c>
    </row>
    <row r="41" spans="1:4" x14ac:dyDescent="0.25">
      <c r="A41" s="5">
        <f t="array" ref="A41:C41">ODE_RK4(A40:C40,$D$2,$F$2,$G$2)</f>
        <v>1.6500000000000008</v>
      </c>
      <c r="B41" s="6">
        <v>-7.6186120222460116E-2</v>
      </c>
      <c r="C41" s="5">
        <v>9.4070448875054877E-2</v>
      </c>
      <c r="D41" s="47">
        <f t="shared" si="0"/>
        <v>-7.612559726641055E-2</v>
      </c>
    </row>
    <row r="42" spans="1:4" x14ac:dyDescent="0.25">
      <c r="A42" s="5">
        <f t="array" ref="A42:C42">ODE_RK4(A41:C41,$D$2,$F$2,$G$2)</f>
        <v>1.7000000000000008</v>
      </c>
      <c r="B42" s="6">
        <v>-7.1025985102600359E-2</v>
      </c>
      <c r="C42" s="5">
        <v>0.11210544679005113</v>
      </c>
      <c r="D42" s="47">
        <f t="shared" si="0"/>
        <v>-7.0947254177453276E-2</v>
      </c>
    </row>
    <row r="43" spans="1:4" x14ac:dyDescent="0.25">
      <c r="A43" s="5">
        <f t="array" ref="A43:C43">ODE_RK4(A42:C42,$D$2,$F$2,$G$2)</f>
        <v>1.7500000000000009</v>
      </c>
      <c r="B43" s="6">
        <v>-6.4997460647870708E-2</v>
      </c>
      <c r="C43" s="5">
        <v>0.12877176314328692</v>
      </c>
      <c r="D43" s="47">
        <f t="shared" si="0"/>
        <v>-6.4900694072818135E-2</v>
      </c>
    </row>
    <row r="44" spans="1:4" x14ac:dyDescent="0.25">
      <c r="A44" s="5">
        <f t="array" ref="A44:C44">ODE_RK4(A43:C43,$D$2,$F$2,$G$2)</f>
        <v>1.8000000000000009</v>
      </c>
      <c r="B44" s="6">
        <v>-5.8174162343219676E-2</v>
      </c>
      <c r="C44" s="5">
        <v>0.14386533118346209</v>
      </c>
      <c r="D44" s="47">
        <f t="shared" si="0"/>
        <v>-5.8059911731161803E-2</v>
      </c>
    </row>
    <row r="45" spans="1:4" x14ac:dyDescent="0.25">
      <c r="A45" s="5">
        <f t="array" ref="A45:C45">ODE_RK4(A44:C44,$D$2,$F$2,$G$2)</f>
        <v>1.850000000000001</v>
      </c>
      <c r="B45" s="6">
        <v>-5.0639442894827601E-2</v>
      </c>
      <c r="C45" s="5">
        <v>0.15720111723723956</v>
      </c>
      <c r="D45" s="47">
        <f t="shared" si="0"/>
        <v>-5.0508621225684669E-2</v>
      </c>
    </row>
    <row r="46" spans="1:4" x14ac:dyDescent="0.25">
      <c r="A46" s="5">
        <f t="array" ref="A46:C46">ODE_RK4(A45:C45,$D$2,$F$2,$G$2)</f>
        <v>1.900000000000001</v>
      </c>
      <c r="B46" s="6">
        <v>-4.2485381588503249E-2</v>
      </c>
      <c r="C46" s="5">
        <v>0.1686154394321851</v>
      </c>
      <c r="D46" s="47">
        <f t="shared" si="0"/>
        <v>-4.2339231473168537E-2</v>
      </c>
    </row>
    <row r="47" spans="1:4" x14ac:dyDescent="0.25">
      <c r="A47" s="5">
        <f t="array" ref="A47:C47">ODE_RK4(A46:C46,$D$2,$F$2,$G$2)</f>
        <v>1.9500000000000011</v>
      </c>
      <c r="B47" s="6">
        <v>-3.3811663715421374E-2</v>
      </c>
      <c r="C47" s="5">
        <v>0.17796804076901018</v>
      </c>
      <c r="D47" s="47">
        <f t="shared" si="0"/>
        <v>-3.3651715379867012E-2</v>
      </c>
    </row>
    <row r="48" spans="1:4" x14ac:dyDescent="0.25">
      <c r="A48" s="5">
        <f t="array" ref="A48:C48">ODE_RK4(A47:C47,$D$2,$F$2,$G$2)</f>
        <v>2.0000000000000009</v>
      </c>
      <c r="B48" s="6">
        <v>-2.4724363187546186E-2</v>
      </c>
      <c r="C48" s="5">
        <v>0.18514388332886114</v>
      </c>
      <c r="D48" s="47">
        <f t="shared" si="0"/>
        <v>-2.4552386423075903E-2</v>
      </c>
    </row>
    <row r="49" spans="1:4" x14ac:dyDescent="0.25">
      <c r="A49" s="5">
        <f t="array" ref="A49:C49">ODE_RK4(A48:C48,$D$2,$F$2,$G$2)</f>
        <v>2.0500000000000007</v>
      </c>
      <c r="B49" s="6">
        <v>-1.5334643067005787E-2</v>
      </c>
      <c r="C49" s="5">
        <v>0.19005463297421762</v>
      </c>
      <c r="D49" s="47">
        <f t="shared" si="0"/>
        <v>-1.5152597639965079E-2</v>
      </c>
    </row>
    <row r="50" spans="1:4" x14ac:dyDescent="0.25">
      <c r="A50" s="5">
        <f t="array" ref="A50:C50">ODE_RK4(A49:C49,$D$2,$F$2,$G$2)</f>
        <v>2.1000000000000005</v>
      </c>
      <c r="B50" s="6">
        <v>-5.7573901736907435E-3</v>
      </c>
      <c r="C50" s="5">
        <v>0.19263980780215698</v>
      </c>
      <c r="D50" s="47">
        <f t="shared" si="0"/>
        <v>-5.5673789447982774E-3</v>
      </c>
    </row>
    <row r="51" spans="1:4" x14ac:dyDescent="0.25">
      <c r="A51" s="5">
        <f t="array" ref="A51:C51">ODE_RK4(A50:C50,$D$2,$F$2,$G$2)</f>
        <v>2.1500000000000004</v>
      </c>
      <c r="B51" s="6">
        <v>3.8901988520104094E-3</v>
      </c>
      <c r="C51" s="5">
        <v>0.19286756877918171</v>
      </c>
      <c r="D51" s="47">
        <f t="shared" si="0"/>
        <v>4.0859705496311014E-3</v>
      </c>
    </row>
    <row r="52" spans="1:4" x14ac:dyDescent="0.25">
      <c r="A52" s="5">
        <f t="array" ref="A52:C52">ODE_RK4(A51:C51,$D$2,$F$2,$G$2)</f>
        <v>2.2000000000000002</v>
      </c>
      <c r="B52" s="6">
        <v>1.3490061728706967E-2</v>
      </c>
      <c r="C52" s="5">
        <v>0.19073513725023575</v>
      </c>
      <c r="D52" s="47">
        <f t="shared" si="0"/>
        <v>1.3689317979880945E-2</v>
      </c>
    </row>
    <row r="53" spans="1:4" x14ac:dyDescent="0.25">
      <c r="A53" s="5">
        <f t="array" ref="A53:C53">ODE_RK4(A52:C52,$D$2,$F$2,$G$2)</f>
        <v>2.25</v>
      </c>
      <c r="B53" s="6">
        <v>2.292472606224729E-2</v>
      </c>
      <c r="C53" s="5">
        <v>0.18626883108769873</v>
      </c>
      <c r="D53" s="47">
        <f t="shared" si="0"/>
        <v>2.3125142382764141E-2</v>
      </c>
    </row>
    <row r="54" spans="1:4" x14ac:dyDescent="0.25">
      <c r="A54" s="5">
        <f t="array" ref="A54:C54">ODE_RK4(A53:C53,$D$2,$F$2,$G$2)</f>
        <v>2.2999999999999998</v>
      </c>
      <c r="B54" s="6">
        <v>3.2078757104876086E-2</v>
      </c>
      <c r="C54" s="5">
        <v>0.17952371876597414</v>
      </c>
      <c r="D54" s="47">
        <f t="shared" si="0"/>
        <v>3.2277972858123706E-2</v>
      </c>
    </row>
    <row r="55" spans="1:4" x14ac:dyDescent="0.25">
      <c r="A55" s="5">
        <f t="array" ref="A55:C55">ODE_RK4(A54:C54,$D$2,$F$2,$G$2)</f>
        <v>2.3499999999999996</v>
      </c>
      <c r="B55" s="6">
        <v>4.0840178781859471E-2</v>
      </c>
      <c r="C55" s="5">
        <v>0.17058289820626421</v>
      </c>
      <c r="D55" s="47">
        <f t="shared" si="0"/>
        <v>4.1035801643961749E-2</v>
      </c>
    </row>
    <row r="56" spans="1:4" x14ac:dyDescent="0.25">
      <c r="A56" s="5">
        <f t="array" ref="A56:C56">ODE_RK4(A55:C55,$D$2,$F$2,$G$2)</f>
        <v>2.3999999999999995</v>
      </c>
      <c r="B56" s="6">
        <v>4.9101849546800747E-2</v>
      </c>
      <c r="C56" s="5">
        <v>0.15955641442283741</v>
      </c>
      <c r="D56" s="47">
        <f t="shared" si="0"/>
        <v>4.9291454811414927E-2</v>
      </c>
    </row>
    <row r="57" spans="1:4" x14ac:dyDescent="0.25">
      <c r="A57" s="5">
        <f t="array" ref="A57:C57">ODE_RK4(A56:C56,$D$2,$F$2,$G$2)</f>
        <v>2.4499999999999993</v>
      </c>
      <c r="B57" s="6">
        <v>5.6762775493590059E-2</v>
      </c>
      <c r="C57" s="5">
        <v>0.14657983644221892</v>
      </c>
      <c r="D57" s="47">
        <f t="shared" si="0"/>
        <v>5.6943903805698109E-2</v>
      </c>
    </row>
    <row r="58" spans="1:4" x14ac:dyDescent="0.25">
      <c r="A58" s="5">
        <f t="array" ref="A58:C58">ODE_RK4(A57:C57,$D$2,$F$2,$G$2)</f>
        <v>2.4999999999999991</v>
      </c>
      <c r="B58" s="6">
        <v>6.372934431645548E-2</v>
      </c>
      <c r="C58" s="5">
        <v>0.13181251935971339</v>
      </c>
      <c r="D58" s="47">
        <f t="shared" si="0"/>
        <v>6.3899501783033275E-2</v>
      </c>
    </row>
    <row r="59" spans="1:4" x14ac:dyDescent="0.25">
      <c r="A59" s="5">
        <f t="array" ref="A59:C59">ODE_RK4(A58:C58,$D$2,$F$2,$G$2)</f>
        <v>2.5499999999999989</v>
      </c>
      <c r="B59" s="6">
        <v>6.9916465112100645E-2</v>
      </c>
      <c r="C59" s="5">
        <v>0.11543558154486709</v>
      </c>
      <c r="D59" s="47">
        <f t="shared" si="0"/>
        <v>7.0073129613890242E-2</v>
      </c>
    </row>
    <row r="60" spans="1:4" x14ac:dyDescent="0.25">
      <c r="A60" s="5">
        <f t="array" ref="A60:C60">ODE_RK4(A59:C59,$D$2,$F$2,$G$2)</f>
        <v>2.5999999999999988</v>
      </c>
      <c r="B60" s="6">
        <v>7.5248600594613385E-2</v>
      </c>
      <c r="C60" s="5">
        <v>9.7649629828716833E-2</v>
      </c>
      <c r="D60" s="47">
        <f t="shared" si="0"/>
        <v>7.5389237528325714E-2</v>
      </c>
    </row>
    <row r="61" spans="1:4" x14ac:dyDescent="0.25">
      <c r="A61" s="5">
        <f t="array" ref="A61:C61">ODE_RK4(A60:C60,$D$2,$F$2,$G$2)</f>
        <v>2.6499999999999986</v>
      </c>
      <c r="B61" s="6">
        <v>7.9660679978959426E-2</v>
      </c>
      <c r="C61" s="5">
        <v>7.867226704253566E-2</v>
      </c>
      <c r="D61" s="47">
        <f t="shared" si="0"/>
        <v>7.9782769656285252E-2</v>
      </c>
    </row>
    <row r="62" spans="1:4" x14ac:dyDescent="0.25">
      <c r="A62" s="5">
        <f t="array" ref="A62:C62">ODE_RK4(A61:C61,$D$2,$F$2,$G$2)</f>
        <v>2.6999999999999984</v>
      </c>
      <c r="B62" s="6">
        <v>8.3098882521636525E-2</v>
      </c>
      <c r="C62" s="5">
        <v>5.8735416683626362E-2</v>
      </c>
      <c r="D62" s="47">
        <f t="shared" si="0"/>
        <v>8.3199960148806137E-2</v>
      </c>
    </row>
    <row r="63" spans="1:4" x14ac:dyDescent="0.25">
      <c r="A63" s="5">
        <f t="array" ref="A63:C63">ODE_RK4(A62:C62,$D$2,$F$2,$G$2)</f>
        <v>2.7499999999999982</v>
      </c>
      <c r="B63" s="6">
        <v>8.5521283436697418E-2</v>
      </c>
      <c r="C63" s="5">
        <v>3.8082499001930704E-2</v>
      </c>
      <c r="D63" s="47">
        <f t="shared" si="0"/>
        <v>8.559899113758862E-2</v>
      </c>
    </row>
    <row r="64" spans="1:4" x14ac:dyDescent="0.25">
      <c r="A64" s="5">
        <f t="array" ref="A64:C64">ODE_RK4(A63:C63,$D$2,$F$2,$G$2)</f>
        <v>2.799999999999998</v>
      </c>
      <c r="B64" s="6">
        <v>8.6898355594895837E-2</v>
      </c>
      <c r="C64" s="5">
        <v>1.6965491734501948E-2</v>
      </c>
      <c r="D64" s="47">
        <f t="shared" si="0"/>
        <v>8.6950504481155017E-2</v>
      </c>
    </row>
    <row r="65" spans="1:4" x14ac:dyDescent="0.25">
      <c r="A65" s="5">
        <f t="array" ref="A65:C65">ODE_RK4(A64:C64,$D$2,$F$2,$G$2)</f>
        <v>2.8499999999999979</v>
      </c>
      <c r="B65" s="6">
        <v>8.721332204208071E-2</v>
      </c>
      <c r="C65" s="5">
        <v>-4.3580926109510858E-3</v>
      </c>
      <c r="D65" s="47">
        <f t="shared" si="0"/>
        <v>8.7237961035102812E-2</v>
      </c>
    </row>
    <row r="66" spans="1:4" x14ac:dyDescent="0.25">
      <c r="A66" s="5">
        <f t="array" ref="A66:C66">ODE_RK4(A65:C65,$D$2,$F$2,$G$2)</f>
        <v>2.8999999999999977</v>
      </c>
      <c r="B66" s="6">
        <v>8.6462355935155874E-2</v>
      </c>
      <c r="C66" s="5">
        <v>-2.56282822958088E-2</v>
      </c>
      <c r="D66" s="47">
        <f t="shared" si="0"/>
        <v>8.6457843049882743E-2</v>
      </c>
    </row>
    <row r="67" spans="1:4" x14ac:dyDescent="0.25">
      <c r="A67" s="5">
        <f t="array" ref="A67:C67">ODE_RK4(A66:C66,$D$2,$F$2,$G$2)</f>
        <v>2.9499999999999975</v>
      </c>
      <c r="B67" s="6">
        <v>8.4654625999397062E-2</v>
      </c>
      <c r="C67" s="5">
        <v>-4.6585745045286467E-2</v>
      </c>
      <c r="D67" s="47">
        <f t="shared" si="0"/>
        <v>8.4619697219258438E-2</v>
      </c>
    </row>
    <row r="68" spans="1:4" x14ac:dyDescent="0.25">
      <c r="A68" s="5">
        <f t="array" ref="A68:C68">ODE_RK4(A67:C67,$D$2,$F$2,$G$2)</f>
        <v>2.9999999999999973</v>
      </c>
      <c r="B68" s="6">
        <v>8.1812187080371038E-2</v>
      </c>
      <c r="C68" s="5">
        <v>-6.6974880691450286E-2</v>
      </c>
      <c r="D68" s="47">
        <f t="shared" si="0"/>
        <v>8.1746017852642572E-2</v>
      </c>
    </row>
    <row r="69" spans="1:4" x14ac:dyDescent="0.25">
      <c r="A69" s="5">
        <f t="array" ref="A69:C69">ODE_RK4(A68:C68,$D$2,$F$2,$G$2)</f>
        <v>3.0499999999999972</v>
      </c>
      <c r="B69" s="6">
        <v>7.7969716824601409E-2</v>
      </c>
      <c r="C69" s="5">
        <v>-8.6546878436356042E-2</v>
      </c>
      <c r="D69" s="47">
        <f t="shared" si="0"/>
        <v>7.7871971600987633E-2</v>
      </c>
    </row>
    <row r="70" spans="1:4" x14ac:dyDescent="0.25">
      <c r="A70" s="5">
        <f t="array" ref="A70:C70">ODE_RK4(A69:C69,$D$2,$F$2,$G$2)</f>
        <v>3.099999999999997</v>
      </c>
      <c r="B70" s="6">
        <v>7.3174101004513548E-2</v>
      </c>
      <c r="C70" s="5">
        <v>-0.10506270872521375</v>
      </c>
      <c r="D70" s="47">
        <f t="shared" si="0"/>
        <v>7.3044967104898675E-2</v>
      </c>
    </row>
    <row r="71" spans="1:4" x14ac:dyDescent="0.25">
      <c r="A71" s="5">
        <f t="array" ref="A71:C71">ODE_RK4(A70:C70,$D$2,$F$2,$G$2)</f>
        <v>3.1499999999999968</v>
      </c>
      <c r="B71" s="6">
        <v>6.7483871530312323E-2</v>
      </c>
      <c r="C71" s="5">
        <v>-0.12229601860463615</v>
      </c>
      <c r="D71" s="47">
        <f t="shared" si="0"/>
        <v>6.7324074831398573E-2</v>
      </c>
    </row>
    <row r="72" spans="1:4" x14ac:dyDescent="0.25">
      <c r="A72" s="5">
        <f t="array" ref="A72:C72">ODE_RK4(A71:C71,$D$2,$F$2,$G$2)</f>
        <v>3.1999999999999966</v>
      </c>
      <c r="B72" s="6">
        <v>6.0968502780790947E-2</v>
      </c>
      <c r="C72" s="5">
        <v>-0.13803589811224531</v>
      </c>
      <c r="D72" s="47">
        <f t="shared" ref="D72:D103" si="1">$B$8*COS(SQRT($F$2/$G$2)*A72)</f>
        <v>6.0779304199094171E-2</v>
      </c>
    </row>
    <row r="73" spans="1:4" x14ac:dyDescent="0.25">
      <c r="A73" s="5">
        <f t="array" ref="A73:C73">ODE_RK4(A72:C72,$D$2,$F$2,$G$2)</f>
        <v>3.2499999999999964</v>
      </c>
      <c r="B73" s="6">
        <v>5.3707573540372013E-2</v>
      </c>
      <c r="C73" s="5">
        <v>-0.15208948398747249</v>
      </c>
      <c r="D73" s="47">
        <f t="shared" si="1"/>
        <v>5.3490746837923216E-2</v>
      </c>
    </row>
    <row r="74" spans="1:4" x14ac:dyDescent="0.25">
      <c r="A74" s="5">
        <f t="array" ref="A74:C74">ODE_RK4(A73:C73,$D$2,$F$2,$G$2)</f>
        <v>3.2999999999999963</v>
      </c>
      <c r="B74" s="6">
        <v>4.5789803539323826E-2</v>
      </c>
      <c r="C74" s="5">
        <v>-0.16428436613106487</v>
      </c>
      <c r="D74" s="47">
        <f t="shared" si="1"/>
        <v>4.5547596467841046E-2</v>
      </c>
    </row>
    <row r="75" spans="1:4" x14ac:dyDescent="0.25">
      <c r="A75" s="5">
        <f t="array" ref="A75:C75">ODE_RK4(A74:C74,$D$2,$F$2,$G$2)</f>
        <v>3.3499999999999961</v>
      </c>
      <c r="B75" s="6">
        <v>3.7311975330238355E-2</v>
      </c>
      <c r="C75" s="5">
        <v>-0.17447076209334306</v>
      </c>
      <c r="D75" s="47">
        <f t="shared" si="1"/>
        <v>3.7047057390682217E-2</v>
      </c>
    </row>
    <row r="76" spans="1:4" x14ac:dyDescent="0.25">
      <c r="A76" s="5">
        <f t="array" ref="A76:C76">ODE_RK4(A75:C75,$D$2,$F$2,$G$2)</f>
        <v>3.3999999999999959</v>
      </c>
      <c r="B76" s="6">
        <v>2.8377753953435857E-2</v>
      </c>
      <c r="C76" s="5">
        <v>-0.18252342572086733</v>
      </c>
      <c r="D76" s="47">
        <f t="shared" si="1"/>
        <v>2.8093154952526653E-2</v>
      </c>
    </row>
    <row r="77" spans="1:4" x14ac:dyDescent="0.25">
      <c r="A77" s="5">
        <f t="array" ref="A77:C77">ODE_RK4(A76:C76,$D$2,$F$2,$G$2)</f>
        <v>3.4499999999999957</v>
      </c>
      <c r="B77" s="6">
        <v>1.9096418491495584E-2</v>
      </c>
      <c r="C77" s="5">
        <v>-0.18834325814721231</v>
      </c>
      <c r="D77" s="47">
        <f t="shared" si="1"/>
        <v>1.8795462533537467E-2</v>
      </c>
    </row>
    <row r="78" spans="1:4" x14ac:dyDescent="0.25">
      <c r="A78" s="5">
        <f t="array" ref="A78:C78">ODE_RK4(A77:C77,$D$2,$F$2,$G$2)</f>
        <v>3.4999999999999956</v>
      </c>
      <c r="B78" s="6">
        <v>9.5815211250740544E-3</v>
      </c>
      <c r="C78" s="5">
        <v>-0.19185859268506583</v>
      </c>
      <c r="D78" s="47">
        <f t="shared" si="1"/>
        <v>9.2677606437329973E-3</v>
      </c>
    </row>
    <row r="79" spans="1:4" x14ac:dyDescent="0.25">
      <c r="A79" s="5">
        <f t="array" ref="A79:C79">ODE_RK4(A78:C78,$D$2,$F$2,$G$2)</f>
        <v>3.5499999999999954</v>
      </c>
      <c r="B79" s="6">
        <v>-5.0509387517754661E-5</v>
      </c>
      <c r="C79" s="5">
        <v>-0.19302612985548656</v>
      </c>
      <c r="D79" s="47">
        <f t="shared" si="1"/>
        <v>-3.7335546599304598E-4</v>
      </c>
    </row>
    <row r="80" spans="1:4" x14ac:dyDescent="0.25">
      <c r="A80" s="5">
        <f t="array" ref="A80:C80">ODE_RK4(A79:C79,$D$2,$F$2,$G$2)</f>
        <v>3.5999999999999952</v>
      </c>
      <c r="B80" s="6">
        <v>-9.6818018384412438E-3</v>
      </c>
      <c r="C80" s="5">
        <v>-0.19183150464550891</v>
      </c>
      <c r="D80" s="47">
        <f t="shared" si="1"/>
        <v>-1.000990263824259E-2</v>
      </c>
    </row>
    <row r="81" spans="1:4" x14ac:dyDescent="0.25">
      <c r="A81" s="5">
        <f t="array" ref="A81:C81">ODE_RK4(A80:C80,$D$2,$F$2,$G$2)</f>
        <v>3.649999999999995</v>
      </c>
      <c r="B81" s="6">
        <v>-1.9194495608971844E-2</v>
      </c>
      <c r="C81" s="5">
        <v>-0.18828947487389408</v>
      </c>
      <c r="D81" s="47">
        <f t="shared" si="1"/>
        <v>-1.952395362798923E-2</v>
      </c>
    </row>
    <row r="82" spans="1:4" x14ac:dyDescent="0.25">
      <c r="A82" s="5">
        <f t="array" ref="A82:C82">ODE_RK4(A81:C81,$D$2,$F$2,$G$2)</f>
        <v>3.6999999999999948</v>
      </c>
      <c r="B82" s="6">
        <v>-2.8472193548812211E-2</v>
      </c>
      <c r="C82" s="5">
        <v>-0.18244372693173705</v>
      </c>
      <c r="D82" s="47">
        <f t="shared" si="1"/>
        <v>-2.8799080237227305E-2</v>
      </c>
    </row>
    <row r="83" spans="1:4" x14ac:dyDescent="0.25">
      <c r="A83" s="5">
        <f t="array" ref="A83:C83">ODE_RK4(A82:C82,$D$2,$F$2,$G$2)</f>
        <v>3.7499999999999947</v>
      </c>
      <c r="B83" s="6">
        <v>-3.7401395629772426E-2</v>
      </c>
      <c r="C83" s="5">
        <v>-0.17436630275554393</v>
      </c>
      <c r="D83" s="47">
        <f t="shared" si="1"/>
        <v>-3.7721778105033285E-2</v>
      </c>
    </row>
    <row r="84" spans="1:4" x14ac:dyDescent="0.25">
      <c r="A84" s="5">
        <f t="array" ref="A84:C84">ODE_RK4(A83:C83,$D$2,$F$2,$G$2)</f>
        <v>3.7999999999999945</v>
      </c>
      <c r="B84" s="6">
        <v>-4.5872894687040255E-2</v>
      </c>
      <c r="C84" s="5">
        <v>-0.16415665927064005</v>
      </c>
      <c r="D84" s="47">
        <f t="shared" si="1"/>
        <v>-4.6182855717170034E-2</v>
      </c>
    </row>
    <row r="85" spans="1:4" x14ac:dyDescent="0.25">
      <c r="A85" s="5">
        <f t="array" ref="A85:C85">ODE_RK4(A84:C84,$D$2,$F$2,$G$2)</f>
        <v>3.8499999999999943</v>
      </c>
      <c r="B85" s="6">
        <v>-5.3783116296199925E-2</v>
      </c>
      <c r="C85" s="5">
        <v>-0.15194037831872478</v>
      </c>
      <c r="D85" s="47">
        <f t="shared" si="1"/>
        <v>-5.4078770637231995E-2</v>
      </c>
    </row>
    <row r="86" spans="1:4" x14ac:dyDescent="0.25">
      <c r="A86" s="5">
        <f t="array" ref="A86:C86">ODE_RK4(A85:C85,$D$2,$F$2,$G$2)</f>
        <v>3.8999999999999941</v>
      </c>
      <c r="B86" s="6">
        <v>-6.1035385885590467E-2</v>
      </c>
      <c r="C86" s="5">
        <v>-0.13786755092137712</v>
      </c>
      <c r="D86" s="47">
        <f t="shared" si="1"/>
        <v>-6.1312896607199546E-2</v>
      </c>
    </row>
    <row r="87" spans="1:4" x14ac:dyDescent="0.25">
      <c r="A87" s="5">
        <f t="array" ref="A87:C87">ODE_RK4(A86:C86,$D$2,$F$2,$G$2)</f>
        <v>3.949999999999994</v>
      </c>
      <c r="B87" s="6">
        <v>-6.7541107498123143E-2</v>
      </c>
      <c r="C87" s="5">
        <v>-0.12211086438956771</v>
      </c>
      <c r="D87" s="47">
        <f t="shared" si="1"/>
        <v>-6.7796706011261226E-2</v>
      </c>
    </row>
    <row r="88" spans="1:4" x14ac:dyDescent="0.25">
      <c r="A88" s="5">
        <f t="array" ref="A88:C88">ODE_RK4(A87:C87,$D$2,$F$2,$G$2)</f>
        <v>3.9999999999999938</v>
      </c>
      <c r="B88" s="6">
        <v>-7.3220840131591497E-2</v>
      </c>
      <c r="C88" s="5">
        <v>-0.10486342413933936</v>
      </c>
      <c r="D88" s="47">
        <f t="shared" si="1"/>
        <v>-7.3450853232503804E-2</v>
      </c>
    </row>
    <row r="89" spans="1:4" x14ac:dyDescent="0.25">
      <c r="A89" s="5">
        <f t="array" ref="A89:C89">ODE_RK4(A88:C88,$D$2,$F$2,$G$2)</f>
        <v>4.0499999999999936</v>
      </c>
      <c r="B89" s="6">
        <v>-7.8005259235730623E-2</v>
      </c>
      <c r="C89" s="5">
        <v>-8.6336344109366428E-2</v>
      </c>
      <c r="D89" s="47">
        <f t="shared" si="1"/>
        <v>-7.8206145644890659E-2</v>
      </c>
    </row>
    <row r="90" spans="1:4" x14ac:dyDescent="0.25">
      <c r="A90" s="5">
        <f t="array" ref="A90:C90">ODE_RK4(A89:C89,$D$2,$F$2,$G$2)</f>
        <v>4.0999999999999934</v>
      </c>
      <c r="B90" s="6">
        <v>-8.1835992664405596E-2</v>
      </c>
      <c r="C90" s="5">
        <v>-6.6756140507897771E-2</v>
      </c>
      <c r="D90" s="47">
        <f t="shared" si="1"/>
        <v>-8.2004390358015586E-2</v>
      </c>
    </row>
    <row r="91" spans="1:4" x14ac:dyDescent="0.25">
      <c r="A91" s="5">
        <f t="array" ref="A91:C91">ODE_RK4(A90:C90,$D$2,$F$2,$G$2)</f>
        <v>4.1499999999999932</v>
      </c>
      <c r="B91" s="6">
        <v>-8.4666322117066942E-2</v>
      </c>
      <c r="C91" s="5">
        <v>-4.636196345532452E-2</v>
      </c>
      <c r="D91" s="47">
        <f t="shared" si="1"/>
        <v>-8.479910635259362E-2</v>
      </c>
    </row>
    <row r="92" spans="1:4" x14ac:dyDescent="0.25">
      <c r="A92" s="5">
        <f t="array" ref="A92:C92">ODE_RK4(A91:C91,$D$2,$F$2,$G$2)</f>
        <v>4.1999999999999931</v>
      </c>
      <c r="B92" s="6">
        <v>-8.6461742812220521E-2</v>
      </c>
      <c r="C92" s="5">
        <v>-2.5402700217344618E-2</v>
      </c>
      <c r="D92" s="47">
        <f t="shared" si="1"/>
        <v>-8.655609329192944E-2</v>
      </c>
    </row>
    <row r="93" spans="1:4" x14ac:dyDescent="0.25">
      <c r="A93" s="5">
        <f t="array" ref="A93:C93">ODE_RK4(A92:C92,$D$2,$F$2,$G$2)</f>
        <v>4.2499999999999929</v>
      </c>
      <c r="B93" s="6">
        <v>-8.7200375789594081E-2</v>
      </c>
      <c r="C93" s="5">
        <v>-4.1339824633669434E-3</v>
      </c>
      <c r="D93" s="47">
        <f t="shared" si="1"/>
        <v>-8.7253850048534101E-2</v>
      </c>
    </row>
    <row r="94" spans="1:4" x14ac:dyDescent="0.25">
      <c r="A94" s="5">
        <f t="array" ref="A94:C94">ODE_RK4(A93:C93,$D$2,$F$2,$G$2)</f>
        <v>4.2999999999999927</v>
      </c>
      <c r="B94" s="6">
        <v>-8.6873228825632351E-2</v>
      </c>
      <c r="C94" s="5">
        <v>1.7184871343213937E-2</v>
      </c>
      <c r="D94" s="47">
        <f t="shared" si="1"/>
        <v>-8.6883837824170668E-2</v>
      </c>
    </row>
    <row r="95" spans="1:4" x14ac:dyDescent="0.25">
      <c r="A95" s="5">
        <f t="array" ref="A95:C95">ODE_RK4(A94:C94,$D$2,$F$2,$G$2)</f>
        <v>4.3499999999999925</v>
      </c>
      <c r="B95" s="6">
        <v>-8.5484303472916204E-2</v>
      </c>
      <c r="C95" s="5">
        <v>3.8293948426594865E-2</v>
      </c>
      <c r="D95" s="47">
        <f t="shared" si="1"/>
        <v>-8.5450584643396596E-2</v>
      </c>
    </row>
    <row r="96" spans="1:4" x14ac:dyDescent="0.25">
      <c r="A96" s="5">
        <f t="array" ref="A96:C96">ODE_RK4(A95:C95,$D$2,$F$2,$G$2)</f>
        <v>4.3999999999999924</v>
      </c>
      <c r="B96" s="6">
        <v>-8.3050547214763737E-2</v>
      </c>
      <c r="C96" s="5">
        <v>5.8935839730818493E-2</v>
      </c>
      <c r="D96" s="47">
        <f t="shared" si="1"/>
        <v>-8.29716299418638E-2</v>
      </c>
    </row>
    <row r="97" spans="1:4" x14ac:dyDescent="0.25">
      <c r="A97" s="5">
        <f t="array" ref="A97:C97">ODE_RK4(A96:C96,$D$2,$F$2,$G$2)</f>
        <v>4.4499999999999922</v>
      </c>
      <c r="B97" s="6">
        <v>-7.960165118697797E-2</v>
      </c>
      <c r="C97" s="5">
        <v>7.8858714295378649E-2</v>
      </c>
      <c r="D97" s="47">
        <f t="shared" si="1"/>
        <v>-7.9477309927476536E-2</v>
      </c>
    </row>
    <row r="98" spans="1:4" x14ac:dyDescent="0.25">
      <c r="A98" s="5">
        <f t="array" ref="A98:C98">ODE_RK4(A97:C97,$D$2,$F$2,$G$2)</f>
        <v>4.499999999999992</v>
      </c>
      <c r="B98" s="6">
        <v>-7.5179695388496143E-2</v>
      </c>
      <c r="C98" s="5">
        <v>9.7819340298709062E-2</v>
      </c>
      <c r="D98" s="47">
        <f t="shared" si="1"/>
        <v>-7.5010386341050367E-2</v>
      </c>
    </row>
    <row r="99" spans="1:4" x14ac:dyDescent="0.25">
      <c r="A99" s="5">
        <f t="array" ref="A99:C99">ODE_RK4(A98:C98,$D$2,$F$2,$G$2)</f>
        <v>4.5499999999999918</v>
      </c>
      <c r="B99" s="6">
        <v>-6.9838644808931732E-2</v>
      </c>
      <c r="C99" s="5">
        <v>0.11558602213072937</v>
      </c>
      <c r="D99" s="47">
        <f t="shared" si="1"/>
        <v>-6.962552315951348E-2</v>
      </c>
    </row>
    <row r="100" spans="1:4" x14ac:dyDescent="0.25">
      <c r="A100" s="5">
        <f t="array" ref="A100:C100">ODE_RK4(A99:C99,$D$2,$F$2,$G$2)</f>
        <v>4.5999999999999917</v>
      </c>
      <c r="B100" s="6">
        <v>-6.3643701464181496E-2</v>
      </c>
      <c r="C100" s="5">
        <v>0.13194142158191971</v>
      </c>
      <c r="D100" s="47">
        <f t="shared" si="1"/>
        <v>-6.3388617645494416E-2</v>
      </c>
    </row>
    <row r="101" spans="1:4" x14ac:dyDescent="0.25">
      <c r="A101" s="5">
        <f t="array" ref="A101:C101">ODE_RK4(A100:C100,$D$2,$F$2,$G$2)</f>
        <v>4.6499999999999915</v>
      </c>
      <c r="B101" s="6">
        <v>-5.6670518960591304E-2</v>
      </c>
      <c r="C101" s="5">
        <v>0.14668522991513788</v>
      </c>
      <c r="D101" s="47">
        <f t="shared" si="1"/>
        <v>-5.637599392957747E-2</v>
      </c>
    </row>
    <row r="102" spans="1:4" x14ac:dyDescent="0.25">
      <c r="A102" s="5">
        <f t="array" ref="A102:C102">ODE_RK4(A101:C101,$D$2,$F$2,$G$2)</f>
        <v>4.6999999999999913</v>
      </c>
      <c r="B102" s="6">
        <v>-4.9004287898327156E-2</v>
      </c>
      <c r="C102" s="5">
        <v>0.15963665652925535</v>
      </c>
      <c r="D102" s="47">
        <f t="shared" si="1"/>
        <v>-4.8673468993763014E-2</v>
      </c>
    </row>
    <row r="103" spans="1:4" x14ac:dyDescent="0.25">
      <c r="A103" s="5">
        <f t="array" ref="A103:C103">ODE_RK4(A102:C102,$D$2,$F$2,$G$2)</f>
        <v>4.7499999999999911</v>
      </c>
      <c r="B103" s="6">
        <v>-4.073870215418697E-2</v>
      </c>
      <c r="C103" s="5">
        <v>0.17063669945616183</v>
      </c>
      <c r="D103" s="47">
        <f t="shared" si="1"/>
        <v>-4.0375302486158386E-2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116"/>
  <sheetViews>
    <sheetView zoomScale="210" zoomScaleNormal="210" workbookViewId="0">
      <selection activeCell="A7" sqref="A7"/>
    </sheetView>
  </sheetViews>
  <sheetFormatPr defaultRowHeight="15" x14ac:dyDescent="0.25"/>
  <sheetData>
    <row r="1" spans="1:5" x14ac:dyDescent="0.25">
      <c r="A1" s="20" t="s">
        <v>51</v>
      </c>
      <c r="E1" s="20"/>
    </row>
    <row r="2" spans="1:5" x14ac:dyDescent="0.25">
      <c r="A2" s="21" t="s">
        <v>21</v>
      </c>
      <c r="B2" s="19">
        <v>0.05</v>
      </c>
    </row>
    <row r="3" spans="1:5" x14ac:dyDescent="0.25">
      <c r="A3" s="21" t="s">
        <v>20</v>
      </c>
      <c r="B3" s="19">
        <v>9.8000000000000007</v>
      </c>
      <c r="C3" s="1" t="s">
        <v>19</v>
      </c>
      <c r="D3" s="20" t="s">
        <v>31</v>
      </c>
    </row>
    <row r="4" spans="1:5" x14ac:dyDescent="0.25">
      <c r="A4" s="21" t="s">
        <v>17</v>
      </c>
      <c r="B4" s="19">
        <v>2</v>
      </c>
      <c r="C4" s="1" t="s">
        <v>16</v>
      </c>
      <c r="D4" s="20" t="s">
        <v>27</v>
      </c>
    </row>
    <row r="6" spans="1:5" x14ac:dyDescent="0.25">
      <c r="A6" t="s">
        <v>34</v>
      </c>
      <c r="B6" t="s">
        <v>44</v>
      </c>
    </row>
    <row r="7" spans="1:5" x14ac:dyDescent="0.25">
      <c r="A7" t="s">
        <v>24</v>
      </c>
      <c r="B7" s="18">
        <f>'edo - pêndulo - rk4'!B6</f>
        <v>5</v>
      </c>
      <c r="C7" t="s">
        <v>18</v>
      </c>
    </row>
    <row r="8" spans="1:5" x14ac:dyDescent="0.25">
      <c r="A8" s="13" t="s">
        <v>23</v>
      </c>
      <c r="B8" s="16">
        <f>'edo - pêndulo - rk4'!C6</f>
        <v>0</v>
      </c>
      <c r="C8" t="s">
        <v>22</v>
      </c>
    </row>
    <row r="9" spans="1:5" x14ac:dyDescent="0.25">
      <c r="A9" s="13"/>
      <c r="B9" s="16"/>
    </row>
    <row r="10" spans="1:5" ht="15.75" thickBot="1" x14ac:dyDescent="0.3">
      <c r="A10" s="49" t="s">
        <v>8</v>
      </c>
      <c r="B10" s="50" t="s">
        <v>26</v>
      </c>
      <c r="C10" s="51" t="s">
        <v>33</v>
      </c>
      <c r="D10" s="51" t="s">
        <v>25</v>
      </c>
      <c r="E10" s="49" t="s">
        <v>32</v>
      </c>
    </row>
    <row r="11" spans="1:5" x14ac:dyDescent="0.25">
      <c r="A11" s="27">
        <v>0</v>
      </c>
      <c r="B11" s="48">
        <f>RADIANS(B7)</f>
        <v>8.7266462599716474E-2</v>
      </c>
      <c r="C11" s="36">
        <f t="shared" ref="C11:C42" si="0">D11</f>
        <v>0</v>
      </c>
      <c r="D11" s="36">
        <f>B8</f>
        <v>0</v>
      </c>
      <c r="E11" s="27">
        <f t="shared" ref="E11:E42" si="1">-$B$3/$B$4*SIN(B11)</f>
        <v>-0.42706313946352503</v>
      </c>
    </row>
    <row r="12" spans="1:5" x14ac:dyDescent="0.25">
      <c r="A12" s="5">
        <f t="shared" ref="A12:A43" si="2">A11+$B$2</f>
        <v>0.05</v>
      </c>
      <c r="B12" s="6">
        <f t="shared" ref="B12:B43" ca="1" si="3">IF($B$6="n",RADIANS($B$7),B11+$B$2/2*(C11+C12))</f>
        <v>8.6734257389388197E-2</v>
      </c>
      <c r="C12" s="1">
        <f t="shared" ca="1" si="0"/>
        <v>-2.1288208413131303E-2</v>
      </c>
      <c r="D12" s="1">
        <f t="shared" ref="D12:D43" ca="1" si="4">IF($B$6="n",RADIANS($B$7),D11+$B$2/2*(E11+E12))</f>
        <v>-2.1288208413131303E-2</v>
      </c>
      <c r="E12" s="5">
        <f t="shared" ca="1" si="1"/>
        <v>-0.42446519706172703</v>
      </c>
    </row>
    <row r="13" spans="1:5" x14ac:dyDescent="0.25">
      <c r="A13" s="5">
        <f t="shared" si="2"/>
        <v>0.1</v>
      </c>
      <c r="B13" s="6">
        <f t="shared" ca="1" si="3"/>
        <v>8.5144117303894595E-2</v>
      </c>
      <c r="C13" s="1">
        <f t="shared" ca="1" si="0"/>
        <v>-4.2317395006612871E-2</v>
      </c>
      <c r="D13" s="1">
        <f t="shared" ca="1" si="4"/>
        <v>-4.2317395006612871E-2</v>
      </c>
      <c r="E13" s="5">
        <f t="shared" ca="1" si="1"/>
        <v>-0.41670226667753574</v>
      </c>
    </row>
    <row r="14" spans="1:5" x14ac:dyDescent="0.25">
      <c r="A14" s="5">
        <f t="shared" si="2"/>
        <v>0.15000000000000002</v>
      </c>
      <c r="B14" s="6">
        <f t="shared" ca="1" si="3"/>
        <v>8.2515391918906902E-2</v>
      </c>
      <c r="C14" s="1">
        <f t="shared" ca="1" si="0"/>
        <v>-6.283162039289461E-2</v>
      </c>
      <c r="D14" s="1">
        <f t="shared" ca="1" si="4"/>
        <v>-6.283162039289461E-2</v>
      </c>
      <c r="E14" s="5">
        <f t="shared" ca="1" si="1"/>
        <v>-0.40386674877373402</v>
      </c>
    </row>
    <row r="15" spans="1:5" x14ac:dyDescent="0.25">
      <c r="A15" s="5">
        <f t="shared" si="2"/>
        <v>0.2</v>
      </c>
      <c r="B15" s="6">
        <f t="shared" ca="1" si="3"/>
        <v>7.888007438653552E-2</v>
      </c>
      <c r="C15" s="1">
        <f t="shared" ca="1" si="0"/>
        <v>-8.258108090196048E-2</v>
      </c>
      <c r="D15" s="1">
        <f t="shared" ca="1" si="4"/>
        <v>-8.258108090196048E-2</v>
      </c>
      <c r="E15" s="5">
        <f t="shared" ca="1" si="1"/>
        <v>-0.38611167158890058</v>
      </c>
    </row>
    <row r="16" spans="1:5" x14ac:dyDescent="0.25">
      <c r="A16" s="5">
        <f t="shared" si="2"/>
        <v>0.25</v>
      </c>
      <c r="B16" s="6">
        <f t="shared" ca="1" si="3"/>
        <v>7.4282419788637449E-2</v>
      </c>
      <c r="C16" s="1">
        <f t="shared" ca="1" si="0"/>
        <v>-0.10132510301396219</v>
      </c>
      <c r="D16" s="1">
        <f t="shared" ca="1" si="4"/>
        <v>-0.10132510301396219</v>
      </c>
      <c r="E16" s="5">
        <f t="shared" ca="1" si="1"/>
        <v>-0.36364921289116814</v>
      </c>
    </row>
    <row r="17" spans="1:5" x14ac:dyDescent="0.25">
      <c r="A17" s="5">
        <f t="shared" si="2"/>
        <v>0.3</v>
      </c>
      <c r="B17" s="6">
        <f t="shared" ca="1" si="3"/>
        <v>6.8778416007825485E-2</v>
      </c>
      <c r="C17" s="1">
        <f t="shared" ca="1" si="0"/>
        <v>-0.11883504821851643</v>
      </c>
      <c r="D17" s="1">
        <f t="shared" ca="1" si="4"/>
        <v>-0.11883504821851643</v>
      </c>
      <c r="E17" s="5">
        <f t="shared" ca="1" si="1"/>
        <v>-0.33674859529100148</v>
      </c>
    </row>
    <row r="18" spans="1:5" x14ac:dyDescent="0.25">
      <c r="A18" s="5">
        <f t="shared" si="2"/>
        <v>0.35</v>
      </c>
      <c r="B18" s="6">
        <f t="shared" ca="1" si="3"/>
        <v>6.2435112394649092E-2</v>
      </c>
      <c r="C18" s="1">
        <f t="shared" ca="1" si="0"/>
        <v>-0.13489709630853916</v>
      </c>
      <c r="D18" s="1">
        <f t="shared" ca="1" si="4"/>
        <v>-0.13489709630853916</v>
      </c>
      <c r="E18" s="5">
        <f t="shared" ca="1" si="1"/>
        <v>-0.3057333283099084</v>
      </c>
    </row>
    <row r="19" spans="1:5" x14ac:dyDescent="0.25">
      <c r="A19" s="5">
        <f t="shared" si="2"/>
        <v>0.39999999999999997</v>
      </c>
      <c r="B19" s="6">
        <f t="shared" ca="1" si="3"/>
        <v>5.5329813140509644E-2</v>
      </c>
      <c r="C19" s="1">
        <f t="shared" ca="1" si="0"/>
        <v>-0.14931487385703879</v>
      </c>
      <c r="D19" s="1">
        <f t="shared" ca="1" si="4"/>
        <v>-0.14931487385703879</v>
      </c>
      <c r="E19" s="5">
        <f t="shared" ca="1" si="1"/>
        <v>-0.27097777363007686</v>
      </c>
    </row>
    <row r="20" spans="1:5" x14ac:dyDescent="0.25">
      <c r="A20" s="5">
        <f t="shared" si="2"/>
        <v>0.44999999999999996</v>
      </c>
      <c r="B20" s="6">
        <f t="shared" ca="1" si="3"/>
        <v>4.7549143951857095E-2</v>
      </c>
      <c r="C20" s="1">
        <f t="shared" ca="1" si="0"/>
        <v>-0.16191189368906297</v>
      </c>
      <c r="D20" s="1">
        <f t="shared" ca="1" si="4"/>
        <v>-0.16191189368906297</v>
      </c>
      <c r="E20" s="5">
        <f t="shared" ca="1" si="1"/>
        <v>-0.23290301965089047</v>
      </c>
    </row>
    <row r="21" spans="1:5" x14ac:dyDescent="0.25">
      <c r="A21" s="5">
        <f t="shared" si="2"/>
        <v>0.49999999999999994</v>
      </c>
      <c r="B21" s="6">
        <f t="shared" ca="1" si="3"/>
        <v>3.9188002337987221E-2</v>
      </c>
      <c r="C21" s="1">
        <f t="shared" ca="1" si="0"/>
        <v>-0.17253377086573202</v>
      </c>
      <c r="D21" s="1">
        <f t="shared" ca="1" si="4"/>
        <v>-0.17253377086573202</v>
      </c>
      <c r="E21" s="5">
        <f t="shared" ca="1" si="1"/>
        <v>-0.19197206741587086</v>
      </c>
    </row>
    <row r="22" spans="1:5" x14ac:dyDescent="0.25">
      <c r="A22" s="5">
        <f t="shared" si="2"/>
        <v>0.54999999999999993</v>
      </c>
      <c r="B22" s="6">
        <f t="shared" ca="1" si="3"/>
        <v>3.0348403533079972E-2</v>
      </c>
      <c r="C22" s="1">
        <f t="shared" ca="1" si="0"/>
        <v>-0.18105018133055786</v>
      </c>
      <c r="D22" s="1">
        <f t="shared" ca="1" si="4"/>
        <v>-0.18105018133055786</v>
      </c>
      <c r="E22" s="5">
        <f t="shared" ca="1" si="1"/>
        <v>-0.14868435117716278</v>
      </c>
    </row>
    <row r="23" spans="1:5" x14ac:dyDescent="0.25">
      <c r="A23" s="5">
        <f t="shared" si="2"/>
        <v>0.6</v>
      </c>
      <c r="B23" s="6">
        <f t="shared" ca="1" si="3"/>
        <v>2.1138235720995664E-2</v>
      </c>
      <c r="C23" s="1">
        <f t="shared" ca="1" si="0"/>
        <v>-0.18735653115281442</v>
      </c>
      <c r="D23" s="1">
        <f t="shared" ca="1" si="4"/>
        <v>-0.18735653115281442</v>
      </c>
      <c r="E23" s="5">
        <f t="shared" ca="1" si="1"/>
        <v>-0.10356964171310003</v>
      </c>
    </row>
    <row r="24" spans="1:5" x14ac:dyDescent="0.25">
      <c r="A24" s="5">
        <f t="shared" si="2"/>
        <v>0.65</v>
      </c>
      <c r="B24" s="6">
        <f t="shared" ca="1" si="3"/>
        <v>1.1669939757975065E-2</v>
      </c>
      <c r="C24" s="1">
        <f t="shared" ca="1" si="0"/>
        <v>-0.19137530736800953</v>
      </c>
      <c r="D24" s="1">
        <f t="shared" ca="1" si="4"/>
        <v>-0.19137530736800953</v>
      </c>
      <c r="E24" s="5">
        <f t="shared" ca="1" si="1"/>
        <v>-5.7181406894704842E-2</v>
      </c>
    </row>
    <row r="25" spans="1:5" x14ac:dyDescent="0.25">
      <c r="A25" s="5">
        <f t="shared" si="2"/>
        <v>0.70000000000000007</v>
      </c>
      <c r="B25" s="6">
        <f t="shared" ca="1" si="3"/>
        <v>2.0591299293131922E-3</v>
      </c>
      <c r="C25" s="1">
        <f t="shared" ca="1" si="0"/>
        <v>-0.19305708577846536</v>
      </c>
      <c r="D25" s="1">
        <f t="shared" ca="1" si="4"/>
        <v>-0.19305708577846536</v>
      </c>
      <c r="E25" s="5">
        <f t="shared" ca="1" si="1"/>
        <v>-1.0089729523528568E-2</v>
      </c>
    </row>
    <row r="26" spans="1:5" x14ac:dyDescent="0.25">
      <c r="A26" s="5">
        <f t="shared" si="2"/>
        <v>0.75000000000000011</v>
      </c>
      <c r="B26" s="6">
        <f t="shared" ca="1" si="3"/>
        <v>-7.5768266310214834E-3</v>
      </c>
      <c r="C26" s="1">
        <f t="shared" ca="1" si="0"/>
        <v>-0.1923811766349216</v>
      </c>
      <c r="D26" s="1">
        <f t="shared" ca="1" si="4"/>
        <v>-0.1923811766349216</v>
      </c>
      <c r="E26" s="5">
        <f t="shared" ca="1" si="1"/>
        <v>3.7126095265279171E-2</v>
      </c>
    </row>
    <row r="27" spans="1:5" x14ac:dyDescent="0.25">
      <c r="A27" s="5">
        <f t="shared" si="2"/>
        <v>0.80000000000000016</v>
      </c>
      <c r="B27" s="6">
        <f t="shared" ca="1" si="3"/>
        <v>-1.7120253438304731E-2</v>
      </c>
      <c r="C27" s="1">
        <f t="shared" ca="1" si="0"/>
        <v>-0.18935589565640829</v>
      </c>
      <c r="D27" s="1">
        <f t="shared" ca="1" si="4"/>
        <v>-0.18935589565640829</v>
      </c>
      <c r="E27" s="5">
        <f t="shared" ca="1" si="1"/>
        <v>8.3885143875253532E-2</v>
      </c>
    </row>
    <row r="28" spans="1:5" x14ac:dyDescent="0.25">
      <c r="A28" s="5">
        <f t="shared" si="2"/>
        <v>0.8500000000000002</v>
      </c>
      <c r="B28" s="6">
        <f t="shared" ca="1" si="3"/>
        <v>-2.6454612205931663E-2</v>
      </c>
      <c r="C28" s="1">
        <f t="shared" ca="1" si="0"/>
        <v>-0.18401845504866907</v>
      </c>
      <c r="D28" s="1">
        <f t="shared" ca="1" si="4"/>
        <v>-0.18401845504866907</v>
      </c>
      <c r="E28" s="5">
        <f t="shared" ca="1" si="1"/>
        <v>0.12961248043431481</v>
      </c>
    </row>
    <row r="29" spans="1:5" x14ac:dyDescent="0.25">
      <c r="A29" s="5">
        <f t="shared" si="2"/>
        <v>0.90000000000000024</v>
      </c>
      <c r="B29" s="6">
        <f t="shared" ca="1" si="3"/>
        <v>-3.5465935498990298E-2</v>
      </c>
      <c r="C29" s="1">
        <f t="shared" ca="1" si="0"/>
        <v>-0.17643447667367618</v>
      </c>
      <c r="D29" s="1">
        <f t="shared" ca="1" si="4"/>
        <v>-0.17643447667367618</v>
      </c>
      <c r="E29" s="5">
        <f t="shared" ca="1" si="1"/>
        <v>0.17374665456540075</v>
      </c>
    </row>
    <row r="30" spans="1:5" x14ac:dyDescent="0.25">
      <c r="A30" s="5">
        <f t="shared" si="2"/>
        <v>0.95000000000000029</v>
      </c>
      <c r="B30" s="6">
        <f t="shared" ca="1" si="3"/>
        <v>-4.4044225838283844E-2</v>
      </c>
      <c r="C30" s="1">
        <f t="shared" ca="1" si="0"/>
        <v>-0.16669713689806565</v>
      </c>
      <c r="D30" s="1">
        <f t="shared" ca="1" si="4"/>
        <v>-0.16669713689806565</v>
      </c>
      <c r="E30" s="5">
        <f t="shared" ca="1" si="1"/>
        <v>0.21574693645901991</v>
      </c>
    </row>
    <row r="31" spans="1:5" x14ac:dyDescent="0.25">
      <c r="A31" s="5">
        <f t="shared" si="2"/>
        <v>1.0000000000000002</v>
      </c>
      <c r="B31" s="6">
        <f t="shared" ca="1" si="3"/>
        <v>-5.2084803248537183E-2</v>
      </c>
      <c r="C31" s="1">
        <f t="shared" ca="1" si="0"/>
        <v>-0.15492595951206786</v>
      </c>
      <c r="D31" s="1">
        <f t="shared" ca="1" si="4"/>
        <v>-0.15492595951206786</v>
      </c>
      <c r="E31" s="5">
        <f t="shared" ca="1" si="1"/>
        <v>0.25510015898089178</v>
      </c>
    </row>
    <row r="32" spans="1:5" x14ac:dyDescent="0.25">
      <c r="A32" s="5">
        <f t="shared" si="2"/>
        <v>1.0500000000000003</v>
      </c>
      <c r="B32" s="6">
        <f t="shared" ca="1" si="3"/>
        <v>-5.9489584214308437E-2</v>
      </c>
      <c r="C32" s="1">
        <f t="shared" ca="1" si="0"/>
        <v>-0.14126527911878234</v>
      </c>
      <c r="D32" s="1">
        <f t="shared" ca="1" si="4"/>
        <v>-0.14126527911878234</v>
      </c>
      <c r="E32" s="5">
        <f t="shared" ca="1" si="1"/>
        <v>0.29132705675052961</v>
      </c>
    </row>
    <row r="33" spans="1:5" x14ac:dyDescent="0.25">
      <c r="A33" s="5">
        <f t="shared" si="2"/>
        <v>1.1000000000000003</v>
      </c>
      <c r="B33" s="6">
        <f t="shared" ca="1" si="3"/>
        <v>-6.6168276249435679E-2</v>
      </c>
      <c r="C33" s="1">
        <f t="shared" ca="1" si="0"/>
        <v>-0.12588240228630751</v>
      </c>
      <c r="D33" s="1">
        <f t="shared" ca="1" si="4"/>
        <v>-0.12588240228630751</v>
      </c>
      <c r="E33" s="5">
        <f t="shared" ca="1" si="1"/>
        <v>0.32398801654846326</v>
      </c>
    </row>
    <row r="34" spans="1:5" x14ac:dyDescent="0.25">
      <c r="A34" s="5">
        <f t="shared" si="2"/>
        <v>1.1500000000000004</v>
      </c>
      <c r="B34" s="6">
        <f t="shared" ca="1" si="3"/>
        <v>-7.2039473741080481E-2</v>
      </c>
      <c r="C34" s="1">
        <f t="shared" ca="1" si="0"/>
        <v>-0.10896549737948445</v>
      </c>
      <c r="D34" s="1">
        <f t="shared" ca="1" si="4"/>
        <v>-0.10896549737948445</v>
      </c>
      <c r="E34" s="5">
        <f t="shared" ca="1" si="1"/>
        <v>0.35268817972445898</v>
      </c>
    </row>
    <row r="35" spans="1:5" x14ac:dyDescent="0.25">
      <c r="A35" s="5">
        <f t="shared" si="2"/>
        <v>1.2000000000000004</v>
      </c>
      <c r="B35" s="6">
        <f t="shared" ca="1" si="3"/>
        <v>-7.7031642333313458E-2</v>
      </c>
      <c r="C35" s="1">
        <f t="shared" ca="1" si="0"/>
        <v>-9.0721246309834552E-2</v>
      </c>
      <c r="D35" s="1">
        <f t="shared" ca="1" si="4"/>
        <v>-9.0721246309834552E-2</v>
      </c>
      <c r="E35" s="5">
        <f t="shared" ca="1" si="1"/>
        <v>0.37708186306153718</v>
      </c>
    </row>
    <row r="36" spans="1:5" x14ac:dyDescent="0.25">
      <c r="A36" s="5">
        <f t="shared" si="2"/>
        <v>1.2500000000000004</v>
      </c>
      <c r="B36" s="6">
        <f t="shared" ca="1" si="3"/>
        <v>-8.1083980804678088E-2</v>
      </c>
      <c r="C36" s="1">
        <f t="shared" ca="1" si="0"/>
        <v>-7.1372292544750804E-2</v>
      </c>
      <c r="D36" s="1">
        <f t="shared" ca="1" si="4"/>
        <v>-7.1372292544750804E-2</v>
      </c>
      <c r="E36" s="5">
        <f t="shared" ca="1" si="1"/>
        <v>0.39687628754181303</v>
      </c>
    </row>
    <row r="37" spans="1:5" x14ac:dyDescent="0.25">
      <c r="A37" s="5">
        <f t="shared" si="2"/>
        <v>1.3000000000000005</v>
      </c>
      <c r="B37" s="6">
        <f t="shared" ca="1" si="3"/>
        <v>-8.4147151112948432E-2</v>
      </c>
      <c r="C37" s="1">
        <f t="shared" ca="1" si="0"/>
        <v>-5.1154519786062877E-2</v>
      </c>
      <c r="D37" s="1">
        <f t="shared" ca="1" si="4"/>
        <v>-5.1154519786062877E-2</v>
      </c>
      <c r="E37" s="5">
        <f t="shared" ca="1" si="1"/>
        <v>0.41183462280570393</v>
      </c>
    </row>
    <row r="38" spans="1:5" x14ac:dyDescent="0.25">
      <c r="A38" s="5">
        <f t="shared" si="2"/>
        <v>1.3500000000000005</v>
      </c>
      <c r="B38" s="6">
        <f t="shared" ca="1" si="3"/>
        <v>-8.6183868983290127E-2</v>
      </c>
      <c r="C38" s="1">
        <f t="shared" ca="1" si="0"/>
        <v>-3.0314195027604775E-2</v>
      </c>
      <c r="D38" s="1">
        <f t="shared" ca="1" si="4"/>
        <v>-3.0314195027604775E-2</v>
      </c>
      <c r="E38" s="5">
        <f t="shared" ca="1" si="1"/>
        <v>0.4217783675326201</v>
      </c>
    </row>
    <row r="39" spans="1:5" x14ac:dyDescent="0.25">
      <c r="A39" s="5">
        <f t="shared" si="2"/>
        <v>1.4000000000000006</v>
      </c>
      <c r="B39" s="6">
        <f t="shared" ca="1" si="3"/>
        <v>-8.7169349072497543E-2</v>
      </c>
      <c r="C39" s="1">
        <f t="shared" ca="1" si="0"/>
        <v>-9.1050085406918606E-3</v>
      </c>
      <c r="D39" s="1">
        <f t="shared" ca="1" si="4"/>
        <v>-9.1050085406918606E-3</v>
      </c>
      <c r="E39" s="5">
        <f t="shared" ca="1" si="1"/>
        <v>0.42658909194389644</v>
      </c>
    </row>
    <row r="40" spans="1:5" x14ac:dyDescent="0.25">
      <c r="A40" s="5">
        <f t="shared" si="2"/>
        <v>1.4500000000000006</v>
      </c>
      <c r="B40" s="6">
        <f t="shared" ca="1" si="3"/>
        <v>-8.7091600336861627E-2</v>
      </c>
      <c r="C40" s="1">
        <f t="shared" ca="1" si="0"/>
        <v>1.2214957966128405E-2</v>
      </c>
      <c r="D40" s="1">
        <f t="shared" ca="1" si="4"/>
        <v>1.2214957966128405E-2</v>
      </c>
      <c r="E40" s="5">
        <f t="shared" ca="1" si="1"/>
        <v>0.4262095683289141</v>
      </c>
    </row>
    <row r="41" spans="1:5" x14ac:dyDescent="0.25">
      <c r="A41" s="5">
        <f t="shared" si="2"/>
        <v>1.5000000000000007</v>
      </c>
      <c r="B41" s="6">
        <f t="shared" ca="1" si="3"/>
        <v>-8.5951568764711911E-2</v>
      </c>
      <c r="C41" s="1">
        <f t="shared" ca="1" si="0"/>
        <v>3.3386304919860513E-2</v>
      </c>
      <c r="D41" s="1">
        <f t="shared" ca="1" si="4"/>
        <v>3.3386304919860513E-2</v>
      </c>
      <c r="E41" s="5">
        <f t="shared" ca="1" si="1"/>
        <v>0.42064430982037004</v>
      </c>
    </row>
    <row r="42" spans="1:5" x14ac:dyDescent="0.25">
      <c r="A42" s="5">
        <f t="shared" si="2"/>
        <v>1.5500000000000007</v>
      </c>
      <c r="B42" s="6">
        <f t="shared" ca="1" si="3"/>
        <v>-8.3763126120027814E-2</v>
      </c>
      <c r="C42" s="1">
        <f t="shared" ca="1" si="0"/>
        <v>5.4151400867503453E-2</v>
      </c>
      <c r="D42" s="1">
        <f t="shared" ca="1" si="4"/>
        <v>5.4151400867503453E-2</v>
      </c>
      <c r="E42" s="5">
        <f t="shared" ca="1" si="1"/>
        <v>0.40995952808534752</v>
      </c>
    </row>
    <row r="43" spans="1:5" x14ac:dyDescent="0.25">
      <c r="A43" s="5">
        <f t="shared" si="2"/>
        <v>1.6000000000000008</v>
      </c>
      <c r="B43" s="6">
        <f t="shared" ca="1" si="3"/>
        <v>-8.0552904803430816E-2</v>
      </c>
      <c r="C43" s="1">
        <f t="shared" ref="C43:C74" ca="1" si="5">D43</f>
        <v>7.4257451796376647E-2</v>
      </c>
      <c r="D43" s="1">
        <f t="shared" ca="1" si="4"/>
        <v>7.4257451796376647E-2</v>
      </c>
      <c r="E43" s="5">
        <f t="shared" ref="E43:E74" ca="1" si="6">-$B$3/$B$4*SIN(B43)</f>
        <v>0.39428250906958012</v>
      </c>
    </row>
    <row r="44" spans="1:5" x14ac:dyDescent="0.25">
      <c r="A44" s="5">
        <f t="shared" ref="A44:A75" si="7">A43+$B$2</f>
        <v>1.6500000000000008</v>
      </c>
      <c r="B44" s="6">
        <f t="shared" ref="B44:B75" ca="1" si="8">IF($B$6="n",RADIANS($B$7),B43+$B$2/2*(C43+C44))</f>
        <v>-7.6359980398843105E-2</v>
      </c>
      <c r="C44" s="1">
        <f t="shared" ca="1" si="5"/>
        <v>9.3459524387131593E-2</v>
      </c>
      <c r="D44" s="1">
        <f t="shared" ref="D44:D75" ca="1" si="9">IF($B$6="n",RADIANS($B$7),D43+$B$2/2*(E43+E44))</f>
        <v>9.3459524387131593E-2</v>
      </c>
      <c r="E44" s="5">
        <f t="shared" ca="1" si="6"/>
        <v>0.37380039456061759</v>
      </c>
    </row>
    <row r="45" spans="1:5" x14ac:dyDescent="0.25">
      <c r="A45" s="5">
        <f t="shared" si="7"/>
        <v>1.7000000000000008</v>
      </c>
      <c r="B45" s="6">
        <f t="shared" ca="1" si="8"/>
        <v>-7.1235404965241125E-2</v>
      </c>
      <c r="C45" s="1">
        <f t="shared" ca="1" si="5"/>
        <v>0.11152349295694762</v>
      </c>
      <c r="D45" s="1">
        <f t="shared" ca="1" si="9"/>
        <v>0.11152349295694762</v>
      </c>
      <c r="E45" s="5">
        <f t="shared" ca="1" si="6"/>
        <v>0.34875834823202334</v>
      </c>
    </row>
    <row r="46" spans="1:5" x14ac:dyDescent="0.25">
      <c r="A46" s="5">
        <f t="shared" si="7"/>
        <v>1.7500000000000009</v>
      </c>
      <c r="B46" s="6">
        <f t="shared" ca="1" si="8"/>
        <v>-6.5241595674836145E-2</v>
      </c>
      <c r="C46" s="1">
        <f t="shared" ca="1" si="5"/>
        <v>0.12822887865925189</v>
      </c>
      <c r="D46" s="1">
        <f t="shared" ca="1" si="9"/>
        <v>0.12822887865925189</v>
      </c>
      <c r="E46" s="5">
        <f t="shared" ca="1" si="6"/>
        <v>0.31945707986014799</v>
      </c>
    </row>
    <row r="47" spans="1:5" x14ac:dyDescent="0.25">
      <c r="A47" s="5">
        <f t="shared" si="7"/>
        <v>1.8000000000000009</v>
      </c>
      <c r="B47" s="6">
        <f t="shared" ca="1" si="8"/>
        <v>-5.8451585003222811E-2</v>
      </c>
      <c r="C47" s="1">
        <f t="shared" ca="1" si="5"/>
        <v>0.14337154820528139</v>
      </c>
      <c r="D47" s="1">
        <f t="shared" ca="1" si="9"/>
        <v>0.14337154820528139</v>
      </c>
      <c r="E47" s="5">
        <f t="shared" ca="1" si="6"/>
        <v>0.28624970198103233</v>
      </c>
    </row>
    <row r="48" spans="1:5" x14ac:dyDescent="0.25">
      <c r="A48" s="5">
        <f t="shared" si="7"/>
        <v>1.850000000000001</v>
      </c>
      <c r="B48" s="6">
        <f t="shared" ca="1" si="8"/>
        <v>-5.0948140341609834E-2</v>
      </c>
      <c r="C48" s="1">
        <f t="shared" ca="1" si="5"/>
        <v>0.15676623825923766</v>
      </c>
      <c r="D48" s="1">
        <f t="shared" ca="1" si="9"/>
        <v>0.15676623825923766</v>
      </c>
      <c r="E48" s="5">
        <f t="shared" ca="1" si="6"/>
        <v>0.249537900177219</v>
      </c>
    </row>
    <row r="49" spans="1:5" x14ac:dyDescent="0.25">
      <c r="A49" s="5">
        <f t="shared" si="7"/>
        <v>1.900000000000001</v>
      </c>
      <c r="B49" s="6">
        <f t="shared" ca="1" si="8"/>
        <v>-4.2822762608827253E-2</v>
      </c>
      <c r="C49" s="1">
        <f t="shared" ca="1" si="5"/>
        <v>0.16824887105206562</v>
      </c>
      <c r="D49" s="1">
        <f t="shared" ca="1" si="9"/>
        <v>0.16824887105206562</v>
      </c>
      <c r="E49" s="5">
        <f t="shared" ca="1" si="6"/>
        <v>0.20976741153589934</v>
      </c>
    </row>
    <row r="50" spans="1:5" x14ac:dyDescent="0.25">
      <c r="A50" s="5">
        <f t="shared" si="7"/>
        <v>1.9500000000000011</v>
      </c>
      <c r="B50" s="6">
        <f t="shared" ca="1" si="8"/>
        <v>-3.4174575158427672E-2</v>
      </c>
      <c r="C50" s="1">
        <f t="shared" ca="1" si="5"/>
        <v>0.17767862696391756</v>
      </c>
      <c r="D50" s="1">
        <f t="shared" ca="1" si="9"/>
        <v>0.17767862696391756</v>
      </c>
      <c r="E50" s="5">
        <f t="shared" ca="1" si="6"/>
        <v>0.16742282493817773</v>
      </c>
    </row>
    <row r="51" spans="1:5" x14ac:dyDescent="0.25">
      <c r="A51" s="5">
        <f t="shared" si="7"/>
        <v>2.0000000000000009</v>
      </c>
      <c r="B51" s="6">
        <f t="shared" ca="1" si="8"/>
        <v>-2.5109115956916915E-2</v>
      </c>
      <c r="C51" s="1">
        <f t="shared" ca="1" si="5"/>
        <v>0.18493974109651279</v>
      </c>
      <c r="D51" s="1">
        <f t="shared" ca="1" si="9"/>
        <v>0.18493974109651279</v>
      </c>
      <c r="E51" s="5">
        <f t="shared" ca="1" si="6"/>
        <v>0.12302174036563131</v>
      </c>
    </row>
    <row r="52" spans="1:5" x14ac:dyDescent="0.25">
      <c r="A52" s="5">
        <f t="shared" si="7"/>
        <v>2.0500000000000007</v>
      </c>
      <c r="B52" s="6">
        <f t="shared" ca="1" si="8"/>
        <v>-1.5737047595351432E-2</v>
      </c>
      <c r="C52" s="1">
        <f t="shared" ca="1" si="5"/>
        <v>0.18994299336610659</v>
      </c>
      <c r="D52" s="1">
        <f t="shared" ca="1" si="9"/>
        <v>0.18994299336610659</v>
      </c>
      <c r="E52" s="5">
        <f t="shared" ca="1" si="6"/>
        <v>7.7108350418120336E-2</v>
      </c>
    </row>
    <row r="53" spans="1:5" x14ac:dyDescent="0.25">
      <c r="A53" s="5">
        <f t="shared" si="7"/>
        <v>2.1000000000000005</v>
      </c>
      <c r="B53" s="6">
        <f t="shared" ca="1" si="8"/>
        <v>-6.1728011246429647E-3</v>
      </c>
      <c r="C53" s="1">
        <f t="shared" ca="1" si="5"/>
        <v>0.19262686546223207</v>
      </c>
      <c r="D53" s="1">
        <f t="shared" ca="1" si="9"/>
        <v>0.19262686546223207</v>
      </c>
      <c r="E53" s="5">
        <f t="shared" ca="1" si="6"/>
        <v>3.0246533426898023E-2</v>
      </c>
    </row>
    <row r="54" spans="1:5" x14ac:dyDescent="0.25">
      <c r="A54" s="5">
        <f t="shared" si="7"/>
        <v>2.1500000000000004</v>
      </c>
      <c r="B54" s="6">
        <f t="shared" ca="1" si="8"/>
        <v>3.4668290890430241E-3</v>
      </c>
      <c r="C54" s="1">
        <f t="shared" ca="1" si="5"/>
        <v>0.1929583430852074</v>
      </c>
      <c r="D54" s="1">
        <f t="shared" ca="1" si="9"/>
        <v>0.1929583430852074</v>
      </c>
      <c r="E54" s="5">
        <f t="shared" ca="1" si="6"/>
        <v>-1.6987428507884556E-2</v>
      </c>
    </row>
    <row r="55" spans="1:5" x14ac:dyDescent="0.25">
      <c r="A55" s="5">
        <f t="shared" si="7"/>
        <v>2.2000000000000002</v>
      </c>
      <c r="B55" s="6">
        <f t="shared" ca="1" si="8"/>
        <v>1.3064121366851079E-2</v>
      </c>
      <c r="C55" s="1">
        <f t="shared" ca="1" si="5"/>
        <v>0.19093334802711473</v>
      </c>
      <c r="D55" s="1">
        <f t="shared" ca="1" si="9"/>
        <v>0.19093334802711473</v>
      </c>
      <c r="E55" s="5">
        <f t="shared" ca="1" si="6"/>
        <v>-6.4012373815822199E-2</v>
      </c>
    </row>
    <row r="56" spans="1:5" x14ac:dyDescent="0.25">
      <c r="A56" s="5">
        <f t="shared" si="7"/>
        <v>2.25</v>
      </c>
      <c r="B56" s="6">
        <f t="shared" ca="1" si="8"/>
        <v>2.2501874858090146E-2</v>
      </c>
      <c r="C56" s="1">
        <f t="shared" ca="1" si="5"/>
        <v>0.18657679162244795</v>
      </c>
      <c r="D56" s="1">
        <f t="shared" ca="1" si="9"/>
        <v>0.18657679162244795</v>
      </c>
      <c r="E56" s="5">
        <f t="shared" ca="1" si="6"/>
        <v>-0.11024988237084887</v>
      </c>
    </row>
    <row r="57" spans="1:5" x14ac:dyDescent="0.25">
      <c r="A57" s="5">
        <f t="shared" si="7"/>
        <v>2.2999999999999998</v>
      </c>
      <c r="B57" s="6">
        <f t="shared" ca="1" si="8"/>
        <v>3.1664850861459329E-2</v>
      </c>
      <c r="C57" s="1">
        <f t="shared" ca="1" si="5"/>
        <v>0.17994224851231949</v>
      </c>
      <c r="D57" s="1">
        <f t="shared" ca="1" si="9"/>
        <v>0.17994224851231949</v>
      </c>
      <c r="E57" s="5">
        <f t="shared" ca="1" si="6"/>
        <v>-0.15513184203428979</v>
      </c>
    </row>
    <row r="58" spans="1:5" x14ac:dyDescent="0.25">
      <c r="A58" s="5">
        <f t="shared" si="7"/>
        <v>2.3499999999999996</v>
      </c>
      <c r="B58" s="6">
        <f t="shared" ca="1" si="8"/>
        <v>4.0441188502797973E-2</v>
      </c>
      <c r="C58" s="1">
        <f t="shared" ca="1" si="5"/>
        <v>0.17111125714122613</v>
      </c>
      <c r="D58" s="1">
        <f t="shared" ca="1" si="9"/>
        <v>0.17111125714122613</v>
      </c>
      <c r="E58" s="5">
        <f t="shared" ca="1" si="6"/>
        <v>-0.19810781280944439</v>
      </c>
    </row>
    <row r="59" spans="1:5" x14ac:dyDescent="0.25">
      <c r="A59" s="5">
        <f t="shared" si="7"/>
        <v>2.3999999999999995</v>
      </c>
      <c r="B59" s="6">
        <f t="shared" ca="1" si="8"/>
        <v>4.8723776444663872E-2</v>
      </c>
      <c r="C59" s="1">
        <f t="shared" ca="1" si="5"/>
        <v>0.16019226053340979</v>
      </c>
      <c r="D59" s="1">
        <f t="shared" ca="1" si="9"/>
        <v>0.16019226053340979</v>
      </c>
      <c r="E59" s="5">
        <f t="shared" ca="1" si="6"/>
        <v>-0.23865205150320934</v>
      </c>
    </row>
    <row r="60" spans="1:5" x14ac:dyDescent="0.25">
      <c r="A60" s="5">
        <f t="shared" si="7"/>
        <v>2.4499999999999993</v>
      </c>
      <c r="B60" s="6">
        <f t="shared" ca="1" si="8"/>
        <v>5.6411563140668218E-2</v>
      </c>
      <c r="C60" s="1">
        <f t="shared" ca="1" si="5"/>
        <v>0.14731920730676398</v>
      </c>
      <c r="D60" s="1">
        <f t="shared" ca="1" si="9"/>
        <v>0.14731920730676398</v>
      </c>
      <c r="E60" s="5">
        <f t="shared" ca="1" si="6"/>
        <v>-0.27627007756262284</v>
      </c>
    </row>
    <row r="61" spans="1:5" x14ac:dyDescent="0.25">
      <c r="A61" s="5">
        <f t="shared" si="7"/>
        <v>2.4999999999999991</v>
      </c>
      <c r="B61" s="6">
        <f t="shared" ca="1" si="8"/>
        <v>6.341078928025233E-2</v>
      </c>
      <c r="C61" s="1">
        <f t="shared" ca="1" si="5"/>
        <v>0.13264983827660051</v>
      </c>
      <c r="D61" s="1">
        <f t="shared" ca="1" si="9"/>
        <v>0.13264983827660051</v>
      </c>
      <c r="E61" s="5">
        <f t="shared" ca="1" si="6"/>
        <v>-0.31050468364391615</v>
      </c>
    </row>
    <row r="62" spans="1:5" x14ac:dyDescent="0.25">
      <c r="A62" s="5">
        <f t="shared" si="7"/>
        <v>2.5499999999999989</v>
      </c>
      <c r="B62" s="6">
        <f t="shared" ca="1" si="8"/>
        <v>6.9636127441632917E-2</v>
      </c>
      <c r="C62" s="1">
        <f t="shared" ca="1" si="5"/>
        <v>0.11636368817862308</v>
      </c>
      <c r="D62" s="1">
        <f t="shared" ca="1" si="9"/>
        <v>0.11636368817862308</v>
      </c>
      <c r="E62" s="5">
        <f t="shared" ca="1" si="6"/>
        <v>-0.34094132027518131</v>
      </c>
    </row>
    <row r="63" spans="1:5" x14ac:dyDescent="0.25">
      <c r="A63" s="5">
        <f t="shared" si="7"/>
        <v>2.5999999999999988</v>
      </c>
      <c r="B63" s="6">
        <f t="shared" ca="1" si="8"/>
        <v>7.5011715518969985E-2</v>
      </c>
      <c r="C63" s="1">
        <f t="shared" ca="1" si="5"/>
        <v>9.865983491485944E-2</v>
      </c>
      <c r="D63" s="1">
        <f t="shared" ca="1" si="9"/>
        <v>9.865983491485944E-2</v>
      </c>
      <c r="E63" s="5">
        <f t="shared" ca="1" si="6"/>
        <v>-0.36721281027536429</v>
      </c>
    </row>
    <row r="64" spans="1:5" x14ac:dyDescent="0.25">
      <c r="A64" s="5">
        <f t="shared" si="7"/>
        <v>2.6499999999999986</v>
      </c>
      <c r="B64" s="6">
        <f t="shared" ca="1" si="8"/>
        <v>7.9472072150146664E-2</v>
      </c>
      <c r="C64" s="1">
        <f t="shared" ca="1" si="5"/>
        <v>7.9754430332207707E-2</v>
      </c>
      <c r="D64" s="1">
        <f t="shared" ca="1" si="9"/>
        <v>7.9754430332207707E-2</v>
      </c>
      <c r="E64" s="5">
        <f t="shared" ca="1" si="6"/>
        <v>-0.3890033730307052</v>
      </c>
    </row>
    <row r="65" spans="1:5" x14ac:dyDescent="0.25">
      <c r="A65" s="5">
        <f t="shared" si="7"/>
        <v>2.6999999999999984</v>
      </c>
      <c r="B65" s="6">
        <f t="shared" ca="1" si="8"/>
        <v>8.2962884084080729E-2</v>
      </c>
      <c r="C65" s="1">
        <f t="shared" ca="1" si="5"/>
        <v>5.9878047025154875E-2</v>
      </c>
      <c r="D65" s="1">
        <f t="shared" ca="1" si="9"/>
        <v>5.9878047025154875E-2</v>
      </c>
      <c r="E65" s="5">
        <f t="shared" ca="1" si="6"/>
        <v>-0.40605195925140808</v>
      </c>
    </row>
    <row r="66" spans="1:5" x14ac:dyDescent="0.25">
      <c r="A66" s="5">
        <f t="shared" si="7"/>
        <v>2.7499999999999982</v>
      </c>
      <c r="B66" s="6">
        <f t="shared" ca="1" si="8"/>
        <v>8.5441657140867683E-2</v>
      </c>
      <c r="C66" s="1">
        <f t="shared" ca="1" si="5"/>
        <v>3.9272875246323523E-2</v>
      </c>
      <c r="D66" s="1">
        <f t="shared" ca="1" si="9"/>
        <v>3.9272875246323523E-2</v>
      </c>
      <c r="E66" s="5">
        <f t="shared" ca="1" si="6"/>
        <v>-0.41815491190184584</v>
      </c>
    </row>
    <row r="67" spans="1:5" x14ac:dyDescent="0.25">
      <c r="A67" s="5">
        <f t="shared" si="7"/>
        <v>2.799999999999998</v>
      </c>
      <c r="B67" s="6">
        <f t="shared" ca="1" si="8"/>
        <v>8.6878224097151305E-2</v>
      </c>
      <c r="C67" s="1">
        <f t="shared" ca="1" si="5"/>
        <v>1.8189803005021429E-2</v>
      </c>
      <c r="D67" s="1">
        <f t="shared" ca="1" si="9"/>
        <v>1.8189803005021429E-2</v>
      </c>
      <c r="E67" s="5">
        <f t="shared" ca="1" si="6"/>
        <v>-0.42516797775023779</v>
      </c>
    </row>
    <row r="68" spans="1:5" x14ac:dyDescent="0.25">
      <c r="A68" s="5">
        <f t="shared" si="7"/>
        <v>2.8499999999999979</v>
      </c>
      <c r="B68" s="6">
        <f t="shared" ca="1" si="8"/>
        <v>8.7255104451126164E-2</v>
      </c>
      <c r="C68" s="1">
        <f t="shared" ca="1" si="5"/>
        <v>-3.1145888460267813E-3</v>
      </c>
      <c r="D68" s="1">
        <f t="shared" ca="1" si="9"/>
        <v>-3.1145888460267813E-3</v>
      </c>
      <c r="E68" s="5">
        <f t="shared" ca="1" si="6"/>
        <v>-0.42700769629169061</v>
      </c>
    </row>
    <row r="69" spans="1:5" x14ac:dyDescent="0.25">
      <c r="A69" s="5">
        <f t="shared" si="7"/>
        <v>2.8999999999999977</v>
      </c>
      <c r="B69" s="6">
        <f t="shared" ca="1" si="8"/>
        <v>8.6567712580350328E-2</v>
      </c>
      <c r="C69" s="1">
        <f t="shared" ca="1" si="5"/>
        <v>-2.4381085985006486E-2</v>
      </c>
      <c r="D69" s="1">
        <f t="shared" ca="1" si="9"/>
        <v>-2.4381085985006486E-2</v>
      </c>
      <c r="E69" s="5">
        <f t="shared" ca="1" si="6"/>
        <v>-0.42365218926749754</v>
      </c>
    </row>
    <row r="70" spans="1:5" x14ac:dyDescent="0.25">
      <c r="A70" s="5">
        <f t="shared" si="7"/>
        <v>2.9499999999999975</v>
      </c>
      <c r="B70" s="6">
        <f t="shared" ca="1" si="8"/>
        <v>8.4824412309127295E-2</v>
      </c>
      <c r="C70" s="1">
        <f t="shared" ca="1" si="5"/>
        <v>-4.5350924863915121E-2</v>
      </c>
      <c r="D70" s="1">
        <f t="shared" ca="1" si="9"/>
        <v>-4.5350924863915128E-2</v>
      </c>
      <c r="E70" s="5">
        <f t="shared" ca="1" si="6"/>
        <v>-0.41514136588884804</v>
      </c>
    </row>
    <row r="71" spans="1:5" x14ac:dyDescent="0.25">
      <c r="A71" s="5">
        <f t="shared" si="7"/>
        <v>2.9999999999999973</v>
      </c>
      <c r="B71" s="6">
        <f t="shared" ca="1" si="8"/>
        <v>8.2046417369793526E-2</v>
      </c>
      <c r="C71" s="1">
        <f t="shared" ca="1" si="5"/>
        <v>-6.5768872709435863E-2</v>
      </c>
      <c r="D71" s="1">
        <f t="shared" ca="1" si="9"/>
        <v>-6.5768872709435877E-2</v>
      </c>
      <c r="E71" s="5">
        <f t="shared" ca="1" si="6"/>
        <v>-0.40157654793198161</v>
      </c>
    </row>
    <row r="72" spans="1:5" x14ac:dyDescent="0.25">
      <c r="A72" s="5">
        <f t="shared" si="7"/>
        <v>3.0499999999999972</v>
      </c>
      <c r="B72" s="6">
        <f t="shared" ca="1" si="8"/>
        <v>7.8267538699884051E-2</v>
      </c>
      <c r="C72" s="1">
        <f t="shared" ca="1" si="5"/>
        <v>-8.5386274086943381E-2</v>
      </c>
      <c r="D72" s="1">
        <f t="shared" ca="1" si="9"/>
        <v>-8.5386274086943381E-2</v>
      </c>
      <c r="E72" s="5">
        <f t="shared" ca="1" si="6"/>
        <v>-0.38311950716831877</v>
      </c>
    </row>
    <row r="73" spans="1:5" x14ac:dyDescent="0.25">
      <c r="A73" s="5">
        <f t="shared" si="7"/>
        <v>3.099999999999997</v>
      </c>
      <c r="B73" s="6">
        <f t="shared" ca="1" si="8"/>
        <v>7.35337809927607E-2</v>
      </c>
      <c r="C73" s="1">
        <f t="shared" ca="1" si="5"/>
        <v>-0.10396403419799041</v>
      </c>
      <c r="D73" s="1">
        <f t="shared" ca="1" si="9"/>
        <v>-0.10396403419799041</v>
      </c>
      <c r="E73" s="5">
        <f t="shared" ca="1" si="6"/>
        <v>-0.35999089727356226</v>
      </c>
    </row>
    <row r="74" spans="1:5" x14ac:dyDescent="0.25">
      <c r="A74" s="5">
        <f t="shared" si="7"/>
        <v>3.1499999999999968</v>
      </c>
      <c r="B74" s="6">
        <f t="shared" ca="1" si="8"/>
        <v>6.7902792437427112E-2</v>
      </c>
      <c r="C74" s="1">
        <f t="shared" ca="1" si="5"/>
        <v>-0.12127550801535292</v>
      </c>
      <c r="D74" s="1">
        <f t="shared" ca="1" si="9"/>
        <v>-0.12127550801535292</v>
      </c>
      <c r="E74" s="5">
        <f t="shared" ca="1" si="6"/>
        <v>-0.33246805542093788</v>
      </c>
    </row>
    <row r="75" spans="1:5" x14ac:dyDescent="0.25">
      <c r="A75" s="5">
        <f t="shared" si="7"/>
        <v>3.1999999999999966</v>
      </c>
      <c r="B75" s="6">
        <f t="shared" ca="1" si="8"/>
        <v>6.1443173160249651E-2</v>
      </c>
      <c r="C75" s="1">
        <f t="shared" ref="C75:C103" ca="1" si="10">D75</f>
        <v>-0.13710926307174545</v>
      </c>
      <c r="D75" s="1">
        <f t="shared" ca="1" si="9"/>
        <v>-0.13710926307174545</v>
      </c>
      <c r="E75" s="5">
        <f t="shared" ref="E75:E103" ca="1" si="11">-$B$3/$B$4*SIN(B75)</f>
        <v>-0.30088214683476322</v>
      </c>
    </row>
    <row r="76" spans="1:5" x14ac:dyDescent="0.25">
      <c r="A76" s="5">
        <f t="shared" ref="A76:A103" si="12">A75+$B$2</f>
        <v>3.2499999999999964</v>
      </c>
      <c r="B76" s="6">
        <f t="shared" ref="B76:B103" ca="1" si="13">IF($B$6="n",RADIANS($B$7),B75+$B$2/2*(C75+C76))</f>
        <v>5.4233649521303419E-2</v>
      </c>
      <c r="C76" s="1">
        <f t="shared" ca="1" si="10"/>
        <v>-0.15127168248610384</v>
      </c>
      <c r="D76" s="1">
        <f t="shared" ref="D76:D103" ca="1" si="14">IF($B$6="n",RADIANS($B$7),D75+$B$2/2*(E75+E76))</f>
        <v>-0.15127168248610384</v>
      </c>
      <c r="E76" s="5">
        <f t="shared" ca="1" si="11"/>
        <v>-0.26561462973957234</v>
      </c>
    </row>
    <row r="77" spans="1:5" x14ac:dyDescent="0.25">
      <c r="A77" s="5">
        <f t="shared" si="12"/>
        <v>3.2999999999999963</v>
      </c>
      <c r="B77" s="6">
        <f t="shared" ca="1" si="13"/>
        <v>4.6362123110420823E-2</v>
      </c>
      <c r="C77" s="1">
        <f t="shared" ca="1" si="10"/>
        <v>-0.16358937394920001</v>
      </c>
      <c r="D77" s="1">
        <f t="shared" ca="1" si="14"/>
        <v>-0.16358937394920001</v>
      </c>
      <c r="E77" s="5">
        <f t="shared" ca="1" si="11"/>
        <v>-0.2270930287842744</v>
      </c>
    </row>
    <row r="78" spans="1:5" x14ac:dyDescent="0.25">
      <c r="A78" s="5">
        <f t="shared" si="12"/>
        <v>3.3499999999999961</v>
      </c>
      <c r="B78" s="6">
        <f t="shared" ca="1" si="13"/>
        <v>3.7924605006342746E-2</v>
      </c>
      <c r="C78" s="1">
        <f t="shared" ca="1" si="10"/>
        <v>-0.17391135021392296</v>
      </c>
      <c r="D78" s="1">
        <f t="shared" ca="1" si="14"/>
        <v>-0.17391135021392296</v>
      </c>
      <c r="E78" s="5">
        <f t="shared" ca="1" si="11"/>
        <v>-0.18578602180464321</v>
      </c>
    </row>
    <row r="79" spans="1:5" x14ac:dyDescent="0.25">
      <c r="A79" s="5">
        <f t="shared" si="12"/>
        <v>3.3999999999999959</v>
      </c>
      <c r="B79" s="6">
        <f t="shared" ca="1" si="13"/>
        <v>2.9024047565369901E-2</v>
      </c>
      <c r="C79" s="1">
        <f t="shared" ca="1" si="10"/>
        <v>-0.1821109474249909</v>
      </c>
      <c r="D79" s="1">
        <f t="shared" ca="1" si="14"/>
        <v>-0.1821109474249909</v>
      </c>
      <c r="E79" s="5">
        <f t="shared" ca="1" si="11"/>
        <v>-0.14219786663807463</v>
      </c>
    </row>
    <row r="80" spans="1:5" x14ac:dyDescent="0.25">
      <c r="A80" s="5">
        <f t="shared" si="12"/>
        <v>3.4499999999999957</v>
      </c>
      <c r="B80" s="6">
        <f t="shared" ca="1" si="13"/>
        <v>1.9769087640023102E-2</v>
      </c>
      <c r="C80" s="1">
        <f t="shared" ca="1" si="10"/>
        <v>-0.18808744958888118</v>
      </c>
      <c r="D80" s="1">
        <f t="shared" ca="1" si="14"/>
        <v>-0.18808744958888118</v>
      </c>
      <c r="E80" s="5">
        <f t="shared" ca="1" si="11"/>
        <v>-9.6862219917536935E-2</v>
      </c>
    </row>
    <row r="81" spans="1:5" x14ac:dyDescent="0.25">
      <c r="A81" s="5">
        <f t="shared" si="12"/>
        <v>3.4999999999999956</v>
      </c>
      <c r="B81" s="6">
        <f t="shared" ca="1" si="13"/>
        <v>1.0272716631768484E-2</v>
      </c>
      <c r="C81" s="1">
        <f t="shared" ca="1" si="10"/>
        <v>-0.19176739074130358</v>
      </c>
      <c r="D81" s="1">
        <f t="shared" ca="1" si="14"/>
        <v>-0.19176739074130358</v>
      </c>
      <c r="E81" s="5">
        <f t="shared" ca="1" si="11"/>
        <v>-5.0335426179359044E-2</v>
      </c>
    </row>
    <row r="82" spans="1:5" x14ac:dyDescent="0.25">
      <c r="A82" s="5">
        <f t="shared" si="12"/>
        <v>3.5499999999999954</v>
      </c>
      <c r="B82" s="6">
        <f t="shared" ca="1" si="13"/>
        <v>6.508940903303239E-4</v>
      </c>
      <c r="C82" s="1">
        <f t="shared" ca="1" si="10"/>
        <v>-0.19310551091622291</v>
      </c>
      <c r="D82" s="1">
        <f t="shared" ca="1" si="14"/>
        <v>-0.19310551091622294</v>
      </c>
      <c r="E82" s="5">
        <f t="shared" ca="1" si="11"/>
        <v>-3.1893808174147395E-3</v>
      </c>
    </row>
    <row r="83" spans="1:5" x14ac:dyDescent="0.25">
      <c r="A83" s="5">
        <f t="shared" si="12"/>
        <v>3.5999999999999952</v>
      </c>
      <c r="B83" s="6">
        <f t="shared" ca="1" si="13"/>
        <v>-8.9788773760062241E-3</v>
      </c>
      <c r="C83" s="1">
        <f t="shared" ca="1" si="10"/>
        <v>-0.19208534773723906</v>
      </c>
      <c r="D83" s="1">
        <f t="shared" ca="1" si="14"/>
        <v>-0.19208534773723912</v>
      </c>
      <c r="E83" s="5">
        <f t="shared" ca="1" si="11"/>
        <v>4.3995907976767987E-2</v>
      </c>
    </row>
    <row r="84" spans="1:5" x14ac:dyDescent="0.25">
      <c r="A84" s="5">
        <f t="shared" si="12"/>
        <v>3.649999999999995</v>
      </c>
      <c r="B84" s="6">
        <f t="shared" ca="1" si="13"/>
        <v>-1.8498997372116806E-2</v>
      </c>
      <c r="C84" s="1">
        <f t="shared" ca="1" si="10"/>
        <v>-0.18871945210718435</v>
      </c>
      <c r="D84" s="1">
        <f t="shared" ca="1" si="14"/>
        <v>-0.18871945210718441</v>
      </c>
      <c r="E84" s="5">
        <f t="shared" ca="1" si="11"/>
        <v>9.0639917225420558E-2</v>
      </c>
    </row>
    <row r="85" spans="1:5" x14ac:dyDescent="0.25">
      <c r="A85" s="5">
        <f t="shared" si="12"/>
        <v>3.6999999999999948</v>
      </c>
      <c r="B85" s="6">
        <f t="shared" ca="1" si="13"/>
        <v>-2.779321426833934E-2</v>
      </c>
      <c r="C85" s="1">
        <f t="shared" ca="1" si="10"/>
        <v>-0.18304922374171717</v>
      </c>
      <c r="D85" s="1">
        <f t="shared" ca="1" si="14"/>
        <v>-0.18304922374171725</v>
      </c>
      <c r="E85" s="5">
        <f t="shared" ca="1" si="11"/>
        <v>0.1361692173932661</v>
      </c>
    </row>
    <row r="86" spans="1:5" x14ac:dyDescent="0.25">
      <c r="A86" s="5">
        <f t="shared" si="12"/>
        <v>3.7499999999999947</v>
      </c>
      <c r="B86" s="6">
        <f t="shared" ca="1" si="13"/>
        <v>-3.6748054106716513E-2</v>
      </c>
      <c r="C86" s="1">
        <f t="shared" ca="1" si="10"/>
        <v>-0.17514436979337003</v>
      </c>
      <c r="D86" s="1">
        <f t="shared" ca="1" si="14"/>
        <v>-0.17514436979337014</v>
      </c>
      <c r="E86" s="5">
        <f t="shared" ca="1" si="11"/>
        <v>0.18002494054061852</v>
      </c>
    </row>
    <row r="87" spans="1:5" x14ac:dyDescent="0.25">
      <c r="A87" s="5">
        <f t="shared" si="12"/>
        <v>3.7999999999999945</v>
      </c>
      <c r="B87" s="6">
        <f t="shared" ca="1" si="13"/>
        <v>-4.5254213279973518E-2</v>
      </c>
      <c r="C87" s="1">
        <f t="shared" ca="1" si="10"/>
        <v>-0.16510199713691084</v>
      </c>
      <c r="D87" s="1">
        <f t="shared" ca="1" si="14"/>
        <v>-0.16510199713691098</v>
      </c>
      <c r="E87" s="5">
        <f t="shared" ca="1" si="11"/>
        <v>0.22166996571774825</v>
      </c>
    </row>
    <row r="88" spans="1:5" x14ac:dyDescent="0.25">
      <c r="A88" s="5">
        <f t="shared" si="12"/>
        <v>3.8499999999999943</v>
      </c>
      <c r="B88" s="6">
        <f t="shared" ca="1" si="13"/>
        <v>-5.3207897099533427E-2</v>
      </c>
      <c r="C88" s="1">
        <f t="shared" ca="1" si="10"/>
        <v>-0.1530453556454863</v>
      </c>
      <c r="D88" s="1">
        <f t="shared" ca="1" si="14"/>
        <v>-0.15304535564548649</v>
      </c>
      <c r="E88" s="5">
        <f t="shared" ca="1" si="11"/>
        <v>0.26059569393923171</v>
      </c>
    </row>
    <row r="89" spans="1:5" x14ac:dyDescent="0.25">
      <c r="A89" s="5">
        <f t="shared" si="12"/>
        <v>3.8999999999999941</v>
      </c>
      <c r="B89" s="6">
        <f t="shared" ca="1" si="13"/>
        <v>-6.0512087381827145E-2</v>
      </c>
      <c r="C89" s="1">
        <f t="shared" ca="1" si="10"/>
        <v>-0.13912225564626352</v>
      </c>
      <c r="D89" s="1">
        <f t="shared" ca="1" si="14"/>
        <v>-0.13912225564626376</v>
      </c>
      <c r="E89" s="5">
        <f t="shared" ca="1" si="11"/>
        <v>0.29632830602967769</v>
      </c>
    </row>
    <row r="90" spans="1:5" x14ac:dyDescent="0.25">
      <c r="A90" s="5">
        <f t="shared" si="12"/>
        <v>3.949999999999994</v>
      </c>
      <c r="B90" s="6">
        <f t="shared" ca="1" si="13"/>
        <v>-6.7077723459446223E-2</v>
      </c>
      <c r="C90" s="1">
        <f t="shared" ca="1" si="10"/>
        <v>-0.12350318745850142</v>
      </c>
      <c r="D90" s="1">
        <f t="shared" ca="1" si="14"/>
        <v>-0.12350318745850175</v>
      </c>
      <c r="E90" s="5">
        <f t="shared" ca="1" si="11"/>
        <v>0.32843442148080371</v>
      </c>
    </row>
    <row r="91" spans="1:5" x14ac:dyDescent="0.25">
      <c r="A91" s="5">
        <f t="shared" si="12"/>
        <v>3.9999999999999938</v>
      </c>
      <c r="B91" s="6">
        <f t="shared" ca="1" si="13"/>
        <v>-7.282478250466641E-2</v>
      </c>
      <c r="C91" s="1">
        <f t="shared" ca="1" si="10"/>
        <v>-0.10637917435030902</v>
      </c>
      <c r="D91" s="1">
        <f t="shared" ca="1" si="14"/>
        <v>-0.10637917435030948</v>
      </c>
      <c r="E91" s="5">
        <f t="shared" ca="1" si="11"/>
        <v>0.35652610284688896</v>
      </c>
    </row>
    <row r="92" spans="1:5" x14ac:dyDescent="0.25">
      <c r="A92" s="5">
        <f t="shared" si="12"/>
        <v>4.0499999999999936</v>
      </c>
      <c r="B92" s="6">
        <f t="shared" ca="1" si="13"/>
        <v>-7.7683246673081088E-2</v>
      </c>
      <c r="C92" s="1">
        <f t="shared" ca="1" si="10"/>
        <v>-8.7959392386282781E-2</v>
      </c>
      <c r="D92" s="1">
        <f t="shared" ca="1" si="14"/>
        <v>-8.7959392386283392E-2</v>
      </c>
      <c r="E92" s="5">
        <f t="shared" ca="1" si="11"/>
        <v>0.38026517571415752</v>
      </c>
    </row>
    <row r="93" spans="1:5" x14ac:dyDescent="0.25">
      <c r="A93" s="5">
        <f t="shared" si="12"/>
        <v>4.0999999999999934</v>
      </c>
      <c r="B93" s="6">
        <f t="shared" ca="1" si="13"/>
        <v>-8.1593946272138812E-2</v>
      </c>
      <c r="C93" s="1">
        <f t="shared" ca="1" si="10"/>
        <v>-6.8468591576032939E-2</v>
      </c>
      <c r="D93" s="1">
        <f t="shared" ca="1" si="14"/>
        <v>-6.8468591576033758E-2</v>
      </c>
      <c r="E93" s="5">
        <f t="shared" ca="1" si="11"/>
        <v>0.39936685669583288</v>
      </c>
    </row>
    <row r="94" spans="1:5" x14ac:dyDescent="0.25">
      <c r="A94" s="5">
        <f t="shared" si="12"/>
        <v>4.1499999999999932</v>
      </c>
      <c r="B94" s="6">
        <f t="shared" ca="1" si="13"/>
        <v>-8.4509269878348975E-2</v>
      </c>
      <c r="C94" s="1">
        <f t="shared" ca="1" si="10"/>
        <v>-4.8144352672383525E-2</v>
      </c>
      <c r="D94" s="1">
        <f t="shared" ca="1" si="14"/>
        <v>-4.8144352672384594E-2</v>
      </c>
      <c r="E94" s="5">
        <f t="shared" ca="1" si="11"/>
        <v>0.41360269945014183</v>
      </c>
    </row>
    <row r="95" spans="1:5" x14ac:dyDescent="0.25">
      <c r="A95" s="5">
        <f t="shared" si="12"/>
        <v>4.1999999999999931</v>
      </c>
      <c r="B95" s="6">
        <f t="shared" ca="1" si="13"/>
        <v>-8.639373402466885E-2</v>
      </c>
      <c r="C95" s="1">
        <f t="shared" ca="1" si="10"/>
        <v>-2.7234213180426153E-2</v>
      </c>
      <c r="D95" s="1">
        <f t="shared" ca="1" si="14"/>
        <v>-2.7234213180427489E-2</v>
      </c>
      <c r="E95" s="5">
        <f t="shared" ca="1" si="11"/>
        <v>0.42280288022815526</v>
      </c>
    </row>
    <row r="96" spans="1:5" x14ac:dyDescent="0.25">
      <c r="A96" s="5">
        <f t="shared" si="12"/>
        <v>4.2499999999999929</v>
      </c>
      <c r="B96" s="6">
        <f t="shared" ca="1" si="13"/>
        <v>-8.7224406727618553E-2</v>
      </c>
      <c r="C96" s="1">
        <f t="shared" ca="1" si="10"/>
        <v>-5.9926949375836286E-3</v>
      </c>
      <c r="D96" s="1">
        <f t="shared" ca="1" si="14"/>
        <v>-5.9926949375852211E-3</v>
      </c>
      <c r="E96" s="5">
        <f t="shared" ca="1" si="11"/>
        <v>0.42685784948555594</v>
      </c>
    </row>
    <row r="97" spans="1:5" x14ac:dyDescent="0.25">
      <c r="A97" s="5">
        <f t="shared" si="12"/>
        <v>4.2999999999999927</v>
      </c>
      <c r="B97" s="6">
        <f t="shared" ca="1" si="13"/>
        <v>-8.6991180709233409E-2</v>
      </c>
      <c r="C97" s="1">
        <f t="shared" ca="1" si="10"/>
        <v>1.5321735672957807E-2</v>
      </c>
      <c r="D97" s="1">
        <f t="shared" ca="1" si="14"/>
        <v>1.5321735672956058E-2</v>
      </c>
      <c r="E97" s="5">
        <f t="shared" ca="1" si="11"/>
        <v>0.42571937493612738</v>
      </c>
    </row>
    <row r="98" spans="1:5" x14ac:dyDescent="0.25">
      <c r="A98" s="5">
        <f t="shared" si="12"/>
        <v>4.3499999999999925</v>
      </c>
      <c r="B98" s="6">
        <f t="shared" ca="1" si="13"/>
        <v>-8.5696893694325926E-2</v>
      </c>
      <c r="C98" s="1">
        <f t="shared" ca="1" si="10"/>
        <v>3.6449744923295904E-2</v>
      </c>
      <c r="D98" s="1">
        <f t="shared" ca="1" si="14"/>
        <v>3.6449744923294239E-2</v>
      </c>
      <c r="E98" s="5">
        <f t="shared" ca="1" si="11"/>
        <v>0.41940099507744988</v>
      </c>
    </row>
    <row r="99" spans="1:5" x14ac:dyDescent="0.25">
      <c r="A99" s="5">
        <f t="shared" si="12"/>
        <v>4.3999999999999924</v>
      </c>
      <c r="B99" s="6">
        <f t="shared" ca="1" si="13"/>
        <v>-8.3357294643582755E-2</v>
      </c>
      <c r="C99" s="1">
        <f t="shared" ca="1" si="10"/>
        <v>5.7134217106365723E-2</v>
      </c>
      <c r="D99" s="1">
        <f t="shared" ca="1" si="14"/>
        <v>5.7134217106364654E-2</v>
      </c>
      <c r="E99" s="5">
        <f t="shared" ca="1" si="11"/>
        <v>0.40797789224544395</v>
      </c>
    </row>
    <row r="100" spans="1:5" x14ac:dyDescent="0.25">
      <c r="A100" s="5">
        <f t="shared" si="12"/>
        <v>4.4499999999999922</v>
      </c>
      <c r="B100" s="6">
        <f t="shared" ca="1" si="13"/>
        <v>-8.0000856241475515E-2</v>
      </c>
      <c r="C100" s="1">
        <f t="shared" ca="1" si="10"/>
        <v>7.7123318977830438E-2</v>
      </c>
      <c r="D100" s="1">
        <f t="shared" ca="1" si="14"/>
        <v>7.7123318977830951E-2</v>
      </c>
      <c r="E100" s="5">
        <f t="shared" ca="1" si="11"/>
        <v>0.39158618261332528</v>
      </c>
    </row>
    <row r="101" spans="1:5" x14ac:dyDescent="0.25">
      <c r="A101" s="5">
        <f t="shared" si="12"/>
        <v>4.499999999999992</v>
      </c>
      <c r="B101" s="6">
        <f t="shared" ca="1" si="13"/>
        <v>-7.5668435422583918E-2</v>
      </c>
      <c r="C101" s="1">
        <f t="shared" ca="1" si="10"/>
        <v>9.61735137777016E-2</v>
      </c>
      <c r="D101" s="1">
        <f t="shared" ca="1" si="14"/>
        <v>9.6173513777705416E-2</v>
      </c>
      <c r="E101" s="5">
        <f t="shared" ca="1" si="11"/>
        <v>0.37042160938183166</v>
      </c>
    </row>
    <row r="102" spans="1:5" x14ac:dyDescent="0.25">
      <c r="A102" s="5">
        <f t="shared" si="12"/>
        <v>4.5499999999999918</v>
      </c>
      <c r="B102" s="6">
        <f t="shared" ca="1" si="13"/>
        <v>-7.0412785217330978E-2</v>
      </c>
      <c r="C102" s="1">
        <f t="shared" ca="1" si="10"/>
        <v>0.11405249443223076</v>
      </c>
      <c r="D102" s="1">
        <f t="shared" ca="1" si="14"/>
        <v>0.1140524944322408</v>
      </c>
      <c r="E102" s="5">
        <f t="shared" ca="1" si="11"/>
        <v>0.34473761679985232</v>
      </c>
    </row>
    <row r="103" spans="1:5" x14ac:dyDescent="0.25">
      <c r="A103" s="5">
        <f t="shared" si="12"/>
        <v>4.5999999999999917</v>
      </c>
      <c r="B103" s="6">
        <f t="shared" ca="1" si="13"/>
        <v>-6.4297922748701858E-2</v>
      </c>
      <c r="C103" s="1">
        <f t="shared" ca="1" si="10"/>
        <v>0.13054200431267685</v>
      </c>
      <c r="D103" s="1">
        <f t="shared" ca="1" si="14"/>
        <v>0.130542004312698</v>
      </c>
      <c r="E103" s="5">
        <f t="shared" ca="1" si="11"/>
        <v>0.31484277841883601</v>
      </c>
    </row>
    <row r="104" spans="1:5" x14ac:dyDescent="0.25">
      <c r="A104" s="5">
        <f t="shared" ref="A104:A111" si="15">A103+$B$2</f>
        <v>4.6499999999999915</v>
      </c>
      <c r="B104" s="6">
        <f t="shared" ref="B104:B111" ca="1" si="16">IF($B$6="n",RADIANS($B$7),B103+$B$2/2*(C103+C104))</f>
        <v>-5.739835982501483E-2</v>
      </c>
      <c r="C104" s="1">
        <f t="shared" ref="C104:C111" ca="1" si="17">D104</f>
        <v>0.14544051263444904</v>
      </c>
      <c r="D104" s="1">
        <f t="shared" ref="D104:D111" ca="1" si="18">IF($B$6="n",RADIANS($B$7),D103+$B$2/2*(E103+E104))</f>
        <v>0.14544051263448918</v>
      </c>
      <c r="E104" s="5">
        <f t="shared" ref="E104:E111" ca="1" si="19">-$B$3/$B$4*SIN(B104)</f>
        <v>0.28109755445340573</v>
      </c>
    </row>
    <row r="105" spans="1:5" x14ac:dyDescent="0.25">
      <c r="A105" s="5">
        <f t="shared" si="15"/>
        <v>4.6999999999999913</v>
      </c>
      <c r="B105" s="6">
        <f t="shared" ca="1" si="16"/>
        <v>-4.9798204246126784E-2</v>
      </c>
      <c r="C105" s="1">
        <f t="shared" ca="1" si="17"/>
        <v>0.15856571052058716</v>
      </c>
      <c r="D105" s="1">
        <f t="shared" ca="1" si="18"/>
        <v>0.15856571052065876</v>
      </c>
      <c r="E105" s="5">
        <f t="shared" ca="1" si="19"/>
        <v>0.24391036099425301</v>
      </c>
    </row>
    <row r="106" spans="1:5" x14ac:dyDescent="0.25">
      <c r="A106" s="5">
        <f t="shared" si="15"/>
        <v>4.7499999999999911</v>
      </c>
      <c r="B106" s="6">
        <f t="shared" ca="1" si="16"/>
        <v>-4.1590141651916733E-2</v>
      </c>
      <c r="C106" s="1">
        <f t="shared" ca="1" si="17"/>
        <v>0.16975679324715762</v>
      </c>
      <c r="D106" s="1">
        <f t="shared" ca="1" si="18"/>
        <v>0.16975679324728024</v>
      </c>
      <c r="E106" s="5">
        <f t="shared" ca="1" si="19"/>
        <v>0.20373294807188522</v>
      </c>
    </row>
    <row r="107" spans="1:5" x14ac:dyDescent="0.25">
      <c r="A107" s="5">
        <f t="shared" si="15"/>
        <v>4.7999999999999909</v>
      </c>
      <c r="B107" s="6">
        <f t="shared" ca="1" si="16"/>
        <v>-3.2874309457350218E-2</v>
      </c>
      <c r="C107" s="1">
        <f t="shared" ca="1" si="17"/>
        <v>0.17887649453462218</v>
      </c>
      <c r="D107" s="1">
        <f t="shared" ca="1" si="18"/>
        <v>0.17887649453482585</v>
      </c>
      <c r="E107" s="5">
        <f t="shared" ca="1" si="19"/>
        <v>0.16105510343179891</v>
      </c>
    </row>
    <row r="108" spans="1:5" x14ac:dyDescent="0.25">
      <c r="A108" s="5">
        <f t="shared" si="15"/>
        <v>4.8499999999999908</v>
      </c>
      <c r="B108" s="6">
        <f t="shared" ca="1" si="16"/>
        <v>-2.3757076089136301E-2</v>
      </c>
      <c r="C108" s="1">
        <f t="shared" ca="1" si="17"/>
        <v>0.18581284019276825</v>
      </c>
      <c r="D108" s="1">
        <f t="shared" ca="1" si="18"/>
        <v>0.18581284019309874</v>
      </c>
      <c r="E108" s="5">
        <f t="shared" ca="1" si="19"/>
        <v>0.116398722901802</v>
      </c>
    </row>
    <row r="109" spans="1:5" x14ac:dyDescent="0.25">
      <c r="A109" s="5">
        <f t="shared" si="15"/>
        <v>4.8999999999999906</v>
      </c>
      <c r="B109" s="6">
        <f t="shared" ca="1" si="16"/>
        <v>-1.4349740306143532E-2</v>
      </c>
      <c r="C109" s="1">
        <f t="shared" ca="1" si="17"/>
        <v>0.19048059112541796</v>
      </c>
      <c r="D109" s="1">
        <f t="shared" ca="1" si="18"/>
        <v>0.19048059112594409</v>
      </c>
      <c r="E109" s="5">
        <f t="shared" ca="1" si="19"/>
        <v>7.0311314415865855E-2</v>
      </c>
    </row>
    <row r="110" spans="1:5" x14ac:dyDescent="0.25">
      <c r="A110" s="5">
        <f t="shared" si="15"/>
        <v>4.9499999999999904</v>
      </c>
      <c r="B110" s="6">
        <f t="shared" ca="1" si="16"/>
        <v>-4.7671667853418989E-3</v>
      </c>
      <c r="C110" s="1">
        <f t="shared" ca="1" si="17"/>
        <v>0.19282234970468382</v>
      </c>
      <c r="D110" s="1">
        <f t="shared" ca="1" si="18"/>
        <v>0.19282234970550827</v>
      </c>
      <c r="E110" s="5">
        <f t="shared" ca="1" si="19"/>
        <v>2.3359028772196533E-2</v>
      </c>
    </row>
    <row r="111" spans="1:5" x14ac:dyDescent="0.25">
      <c r="A111" s="5">
        <f t="shared" si="15"/>
        <v>4.9999999999999902</v>
      </c>
      <c r="B111" s="6">
        <f t="shared" ca="1" si="16"/>
        <v>4.873624676434804E-3</v>
      </c>
      <c r="C111" s="1">
        <f t="shared" ca="1" si="17"/>
        <v>0.19280930876389898</v>
      </c>
      <c r="D111" s="1">
        <f t="shared" ca="1" si="18"/>
        <v>0.19280930876517333</v>
      </c>
      <c r="E111" s="5">
        <f t="shared" ca="1" si="19"/>
        <v>-2.3880666377804984E-2</v>
      </c>
    </row>
    <row r="112" spans="1:5" x14ac:dyDescent="0.25">
      <c r="A112" s="5"/>
      <c r="B112" s="6"/>
      <c r="C112" s="1"/>
      <c r="D112" s="1"/>
      <c r="E112" s="5"/>
    </row>
    <row r="113" spans="1:5" x14ac:dyDescent="0.25">
      <c r="A113" s="5"/>
      <c r="B113" s="6"/>
      <c r="C113" s="1"/>
      <c r="D113" s="1"/>
      <c r="E113" s="5"/>
    </row>
    <row r="114" spans="1:5" x14ac:dyDescent="0.25">
      <c r="A114" s="5"/>
      <c r="B114" s="6"/>
      <c r="C114" s="1"/>
      <c r="D114" s="1"/>
      <c r="E114" s="5"/>
    </row>
    <row r="115" spans="1:5" x14ac:dyDescent="0.25">
      <c r="A115" s="5"/>
      <c r="B115" s="6"/>
      <c r="C115" s="1"/>
      <c r="D115" s="1"/>
      <c r="E115" s="5"/>
    </row>
    <row r="116" spans="1:5" x14ac:dyDescent="0.25">
      <c r="A116" s="5"/>
      <c r="B116" s="6"/>
      <c r="C116" s="1"/>
      <c r="D116" s="1"/>
      <c r="E116" s="5"/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Gráficos</vt:lpstr>
      </vt:variant>
      <vt:variant>
        <vt:i4>3</vt:i4>
      </vt:variant>
    </vt:vector>
  </HeadingPairs>
  <TitlesOfParts>
    <vt:vector size="7" baseType="lpstr">
      <vt:lpstr>edo - pêndulo - an.eul</vt:lpstr>
      <vt:lpstr>edo - pêndulo - an.eul.rk4 - v2</vt:lpstr>
      <vt:lpstr>edo - pêndulo - rk4</vt:lpstr>
      <vt:lpstr>edo - pêndulo - dif.fin.</vt:lpstr>
      <vt:lpstr>Gráf1</vt:lpstr>
      <vt:lpstr>Gráf2</vt:lpstr>
      <vt:lpstr>Gráf3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2011-02-13T18:08:46Z</dcterms:created>
  <dcterms:modified xsi:type="dcterms:W3CDTF">2021-12-02T11:48:45Z</dcterms:modified>
</cp:coreProperties>
</file>