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chartsheets/sheet7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120" yWindow="135" windowWidth="19020" windowHeight="11895" firstSheet="9" activeTab="10"/>
  </bookViews>
  <sheets>
    <sheet name="dente de serra - Coef_Integral" sheetId="5" r:id="rId1"/>
    <sheet name="dente de serra - Gráf1" sheetId="6" r:id="rId2"/>
    <sheet name="dente de serra - Gráf2" sheetId="7" r:id="rId3"/>
    <sheet name="dente de serra - Coef_Solver" sheetId="8" r:id="rId4"/>
    <sheet name="dente de serra - Gráf3" sheetId="9" r:id="rId5"/>
    <sheet name="dente de serra - Gráf4" sheetId="10" r:id="rId6"/>
    <sheet name="dente de serra - Coef_Matrizes" sheetId="11" r:id="rId7"/>
    <sheet name="dente de serra - Gráf5" sheetId="12" r:id="rId8"/>
    <sheet name="dente de serra - Gráf6" sheetId="13" r:id="rId9"/>
    <sheet name="dente de serra - vba - dados" sheetId="1" r:id="rId10"/>
    <sheet name="dente de serra - vba - Gráf1" sheetId="4" r:id="rId11"/>
  </sheets>
  <functionGroups builtInGroupCount="18"/>
  <definedNames>
    <definedName name="a0">'dente de serra - vba - dados'!$D$2</definedName>
    <definedName name="n_">'dente de serra - vba - dados'!$B$3</definedName>
    <definedName name="periodo">'dente de serra - vba - dados'!$B$2</definedName>
    <definedName name="solver_adj" localSheetId="0" hidden="1">'dente de serra - Coef_Integral'!$E$3:$N$3</definedName>
    <definedName name="solver_adj" localSheetId="6" hidden="1">'dente de serra - Coef_Matrizes'!$E$3:$N$3</definedName>
    <definedName name="solver_adj" localSheetId="3" hidden="1">'dente de serra - Coef_Solver'!$E$3:$N$3</definedName>
    <definedName name="solver_adj" localSheetId="9" hidden="1">'dente de serra - vba - dados'!$D$2:$U$3</definedName>
    <definedName name="solver_cvg" localSheetId="0" hidden="1">0.0001</definedName>
    <definedName name="solver_cvg" localSheetId="6" hidden="1">0.0001</definedName>
    <definedName name="solver_cvg" localSheetId="3" hidden="1">0.0001</definedName>
    <definedName name="solver_cvg" localSheetId="9" hidden="1">0.0001</definedName>
    <definedName name="solver_drv" localSheetId="0" hidden="1">1</definedName>
    <definedName name="solver_drv" localSheetId="6" hidden="1">1</definedName>
    <definedName name="solver_drv" localSheetId="3" hidden="1">1</definedName>
    <definedName name="solver_drv" localSheetId="9" hidden="1">1</definedName>
    <definedName name="solver_eng" localSheetId="9" hidden="1">1</definedName>
    <definedName name="solver_est" localSheetId="0" hidden="1">1</definedName>
    <definedName name="solver_est" localSheetId="6" hidden="1">1</definedName>
    <definedName name="solver_est" localSheetId="3" hidden="1">1</definedName>
    <definedName name="solver_est" localSheetId="9" hidden="1">1</definedName>
    <definedName name="solver_itr" localSheetId="0" hidden="1">100</definedName>
    <definedName name="solver_itr" localSheetId="6" hidden="1">100</definedName>
    <definedName name="solver_itr" localSheetId="3" hidden="1">100</definedName>
    <definedName name="solver_itr" localSheetId="9" hidden="1">2147483647</definedName>
    <definedName name="solver_lin" localSheetId="0" hidden="1">2</definedName>
    <definedName name="solver_lin" localSheetId="6" hidden="1">2</definedName>
    <definedName name="solver_lin" localSheetId="3" hidden="1">2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0" hidden="1">2</definedName>
    <definedName name="solver_neg" localSheetId="6" hidden="1">2</definedName>
    <definedName name="solver_neg" localSheetId="3" hidden="1">2</definedName>
    <definedName name="solver_neg" localSheetId="9" hidden="1">2</definedName>
    <definedName name="solver_nod" localSheetId="9" hidden="1">2147483647</definedName>
    <definedName name="solver_num" localSheetId="0" hidden="1">0</definedName>
    <definedName name="solver_num" localSheetId="6" hidden="1">0</definedName>
    <definedName name="solver_num" localSheetId="3" hidden="1">0</definedName>
    <definedName name="solver_num" localSheetId="9" hidden="1">0</definedName>
    <definedName name="solver_nwt" localSheetId="0" hidden="1">1</definedName>
    <definedName name="solver_nwt" localSheetId="6" hidden="1">1</definedName>
    <definedName name="solver_nwt" localSheetId="3" hidden="1">1</definedName>
    <definedName name="solver_nwt" localSheetId="9" hidden="1">1</definedName>
    <definedName name="solver_opt" localSheetId="0" hidden="1">'dente de serra - Coef_Integral'!$P$27</definedName>
    <definedName name="solver_opt" localSheetId="6" hidden="1">'dente de serra - Coef_Matrizes'!#REF!</definedName>
    <definedName name="solver_opt" localSheetId="3" hidden="1">'dente de serra - Coef_Solver'!$P$27</definedName>
    <definedName name="solver_opt" localSheetId="9" hidden="1">'dente de serra - vba - dados'!$D$144</definedName>
    <definedName name="solver_pre" localSheetId="0" hidden="1">0.000001</definedName>
    <definedName name="solver_pre" localSheetId="6" hidden="1">0.000001</definedName>
    <definedName name="solver_pre" localSheetId="3" hidden="1">0.000001</definedName>
    <definedName name="solver_pre" localSheetId="9" hidden="1">0.000001</definedName>
    <definedName name="solver_rbv" localSheetId="9" hidden="1">1</definedName>
    <definedName name="solver_rlx" localSheetId="9" hidden="1">2</definedName>
    <definedName name="solver_rsd" localSheetId="9" hidden="1">0</definedName>
    <definedName name="solver_scl" localSheetId="0" hidden="1">2</definedName>
    <definedName name="solver_scl" localSheetId="6" hidden="1">2</definedName>
    <definedName name="solver_scl" localSheetId="3" hidden="1">2</definedName>
    <definedName name="solver_scl" localSheetId="9" hidden="1">1</definedName>
    <definedName name="solver_sho" localSheetId="0" hidden="1">2</definedName>
    <definedName name="solver_sho" localSheetId="6" hidden="1">2</definedName>
    <definedName name="solver_sho" localSheetId="3" hidden="1">2</definedName>
    <definedName name="solver_sho" localSheetId="9" hidden="1">2</definedName>
    <definedName name="solver_ssz" localSheetId="9" hidden="1">100</definedName>
    <definedName name="solver_tim" localSheetId="0" hidden="1">100</definedName>
    <definedName name="solver_tim" localSheetId="6" hidden="1">100</definedName>
    <definedName name="solver_tim" localSheetId="3" hidden="1">100</definedName>
    <definedName name="solver_tim" localSheetId="9" hidden="1">2147483647</definedName>
    <definedName name="solver_tol" localSheetId="0" hidden="1">0.05</definedName>
    <definedName name="solver_tol" localSheetId="6" hidden="1">0.05</definedName>
    <definedName name="solver_tol" localSheetId="3" hidden="1">0.05</definedName>
    <definedName name="solver_tol" localSheetId="9" hidden="1">0.01</definedName>
    <definedName name="solver_typ" localSheetId="0" hidden="1">2</definedName>
    <definedName name="solver_typ" localSheetId="6" hidden="1">2</definedName>
    <definedName name="solver_typ" localSheetId="3" hidden="1">2</definedName>
    <definedName name="solver_typ" localSheetId="9" hidden="1">2</definedName>
    <definedName name="solver_val" localSheetId="0" hidden="1">0</definedName>
    <definedName name="solver_val" localSheetId="6" hidden="1">0</definedName>
    <definedName name="solver_val" localSheetId="3" hidden="1">0</definedName>
    <definedName name="solver_val" localSheetId="9" hidden="1">0</definedName>
    <definedName name="solver_ver" localSheetId="9" hidden="1">3</definedName>
  </definedNames>
  <calcPr calcId="162913"/>
</workbook>
</file>

<file path=xl/calcChain.xml><?xml version="1.0" encoding="utf-8"?>
<calcChain xmlns="http://schemas.openxmlformats.org/spreadsheetml/2006/main">
  <c r="E2" i="11" l="1"/>
  <c r="F2" i="11"/>
  <c r="G2" i="11"/>
  <c r="H2" i="11"/>
  <c r="I2" i="11"/>
  <c r="J2" i="11"/>
  <c r="K2" i="11"/>
  <c r="L2" i="11"/>
  <c r="M2" i="11"/>
  <c r="N2" i="11"/>
  <c r="F5" i="11"/>
  <c r="I5" i="11"/>
  <c r="J5" i="11"/>
  <c r="M5" i="11"/>
  <c r="N5" i="11"/>
  <c r="A6" i="11"/>
  <c r="B6" i="11"/>
  <c r="F6" i="11"/>
  <c r="I6" i="11"/>
  <c r="J6" i="11"/>
  <c r="M6" i="11"/>
  <c r="N6" i="11"/>
  <c r="A7" i="11"/>
  <c r="B7" i="11"/>
  <c r="F7" i="11"/>
  <c r="I7" i="11"/>
  <c r="J7" i="11"/>
  <c r="M7" i="11"/>
  <c r="N7" i="11"/>
  <c r="A8" i="11"/>
  <c r="B8" i="11"/>
  <c r="F8" i="11"/>
  <c r="I8" i="11"/>
  <c r="J8" i="11"/>
  <c r="M8" i="11"/>
  <c r="N8" i="11"/>
  <c r="A9" i="11"/>
  <c r="B9" i="11"/>
  <c r="F9" i="11"/>
  <c r="I9" i="11"/>
  <c r="J9" i="11"/>
  <c r="M9" i="11"/>
  <c r="N9" i="11"/>
  <c r="A10" i="11"/>
  <c r="B10" i="11"/>
  <c r="F10" i="11"/>
  <c r="I10" i="11"/>
  <c r="J10" i="11"/>
  <c r="M10" i="11"/>
  <c r="N10" i="11"/>
  <c r="A11" i="11"/>
  <c r="B11" i="11"/>
  <c r="F11" i="11"/>
  <c r="I11" i="11"/>
  <c r="J11" i="11"/>
  <c r="M11" i="11"/>
  <c r="N11" i="11"/>
  <c r="A12" i="11"/>
  <c r="B12" i="11"/>
  <c r="F12" i="11"/>
  <c r="I12" i="11"/>
  <c r="J12" i="11"/>
  <c r="M12" i="11"/>
  <c r="N12" i="11"/>
  <c r="A13" i="11"/>
  <c r="B13" i="11"/>
  <c r="F13" i="11"/>
  <c r="I13" i="11"/>
  <c r="J13" i="11"/>
  <c r="M13" i="11"/>
  <c r="N13" i="11"/>
  <c r="A14" i="11"/>
  <c r="B14" i="11"/>
  <c r="F14" i="11"/>
  <c r="I14" i="11"/>
  <c r="J14" i="11"/>
  <c r="M14" i="11"/>
  <c r="N14" i="11"/>
  <c r="A15" i="11"/>
  <c r="B15" i="11"/>
  <c r="F15" i="11"/>
  <c r="I15" i="11"/>
  <c r="J15" i="11"/>
  <c r="M15" i="11"/>
  <c r="N15" i="11"/>
  <c r="A16" i="11"/>
  <c r="B16" i="11"/>
  <c r="F16" i="11"/>
  <c r="I16" i="11"/>
  <c r="J16" i="11"/>
  <c r="M16" i="11"/>
  <c r="N16" i="11"/>
  <c r="A17" i="11"/>
  <c r="B17" i="11"/>
  <c r="F17" i="11"/>
  <c r="I17" i="11"/>
  <c r="J17" i="11"/>
  <c r="M17" i="11"/>
  <c r="N17" i="11"/>
  <c r="A18" i="11"/>
  <c r="B18" i="11"/>
  <c r="F18" i="11"/>
  <c r="I18" i="11"/>
  <c r="J18" i="11"/>
  <c r="M18" i="11"/>
  <c r="N18" i="11"/>
  <c r="A19" i="11"/>
  <c r="B19" i="11"/>
  <c r="F19" i="11"/>
  <c r="I19" i="11"/>
  <c r="J19" i="11"/>
  <c r="M19" i="11"/>
  <c r="N19" i="11"/>
  <c r="A20" i="11"/>
  <c r="B20" i="11"/>
  <c r="F20" i="11"/>
  <c r="I20" i="11"/>
  <c r="J20" i="11"/>
  <c r="M20" i="11"/>
  <c r="N20" i="11"/>
  <c r="A21" i="11"/>
  <c r="B21" i="11"/>
  <c r="F21" i="11"/>
  <c r="I21" i="11"/>
  <c r="J21" i="11"/>
  <c r="M21" i="11"/>
  <c r="N21" i="11"/>
  <c r="A22" i="11"/>
  <c r="B22" i="11"/>
  <c r="F22" i="11"/>
  <c r="I22" i="11"/>
  <c r="J22" i="11"/>
  <c r="M22" i="11"/>
  <c r="N22" i="11"/>
  <c r="A23" i="11"/>
  <c r="B23" i="11"/>
  <c r="F23" i="11"/>
  <c r="I23" i="11"/>
  <c r="J23" i="11"/>
  <c r="M23" i="11"/>
  <c r="N23" i="11"/>
  <c r="A24" i="11"/>
  <c r="B24" i="11"/>
  <c r="F24" i="11"/>
  <c r="H24" i="11"/>
  <c r="I24" i="11"/>
  <c r="J24" i="11"/>
  <c r="M24" i="11"/>
  <c r="N24" i="11"/>
  <c r="A25" i="11"/>
  <c r="B25" i="11"/>
  <c r="F25" i="11"/>
  <c r="I25" i="11"/>
  <c r="J25" i="11"/>
  <c r="M25" i="11"/>
  <c r="N25" i="11"/>
  <c r="E2" i="8"/>
  <c r="F2" i="8"/>
  <c r="F5" i="8" s="1"/>
  <c r="G2" i="8"/>
  <c r="H2" i="8"/>
  <c r="I2" i="8"/>
  <c r="J2" i="8"/>
  <c r="J5" i="8" s="1"/>
  <c r="K2" i="8"/>
  <c r="L2" i="8"/>
  <c r="M2" i="8"/>
  <c r="N2" i="8"/>
  <c r="N5" i="8" s="1"/>
  <c r="G5" i="8"/>
  <c r="H5" i="8"/>
  <c r="I5" i="8"/>
  <c r="K5" i="8"/>
  <c r="L5" i="8"/>
  <c r="M5" i="8"/>
  <c r="A6" i="8"/>
  <c r="G6" i="8"/>
  <c r="E2" i="5"/>
  <c r="F2" i="5"/>
  <c r="F5" i="5" s="1"/>
  <c r="G2" i="5"/>
  <c r="H2" i="5"/>
  <c r="H5" i="5" s="1"/>
  <c r="I2" i="5"/>
  <c r="J2" i="5"/>
  <c r="J5" i="5" s="1"/>
  <c r="K2" i="5"/>
  <c r="L2" i="5"/>
  <c r="L5" i="5" s="1"/>
  <c r="M2" i="5"/>
  <c r="N2" i="5"/>
  <c r="N5" i="5" s="1"/>
  <c r="F3" i="5"/>
  <c r="G3" i="5"/>
  <c r="H3" i="5"/>
  <c r="I3" i="5"/>
  <c r="J3" i="5"/>
  <c r="K3" i="5"/>
  <c r="L3" i="5"/>
  <c r="M3" i="5"/>
  <c r="N3" i="5"/>
  <c r="G5" i="5"/>
  <c r="I5" i="5"/>
  <c r="K5" i="5"/>
  <c r="M5" i="5"/>
  <c r="A6" i="5"/>
  <c r="B6" i="5" s="1"/>
  <c r="G6" i="5"/>
  <c r="I6" i="5"/>
  <c r="K6" i="5"/>
  <c r="M6" i="5"/>
  <c r="A7" i="5"/>
  <c r="B7" i="5" s="1"/>
  <c r="G7" i="5"/>
  <c r="I7" i="5"/>
  <c r="K7" i="5"/>
  <c r="M7" i="5"/>
  <c r="A8" i="5"/>
  <c r="B8" i="5" s="1"/>
  <c r="G8" i="5"/>
  <c r="I8" i="5"/>
  <c r="K8" i="5"/>
  <c r="M8" i="5"/>
  <c r="A9" i="5"/>
  <c r="B9" i="5" s="1"/>
  <c r="G9" i="5"/>
  <c r="I9" i="5"/>
  <c r="K9" i="5"/>
  <c r="M9" i="5"/>
  <c r="A10" i="5"/>
  <c r="B10" i="5" s="1"/>
  <c r="G10" i="5"/>
  <c r="I10" i="5"/>
  <c r="K10" i="5"/>
  <c r="M10" i="5"/>
  <c r="A11" i="5"/>
  <c r="B11" i="5" s="1"/>
  <c r="G11" i="5"/>
  <c r="I11" i="5"/>
  <c r="K11" i="5"/>
  <c r="M11" i="5"/>
  <c r="A12" i="5"/>
  <c r="B12" i="5" s="1"/>
  <c r="G12" i="5"/>
  <c r="I12" i="5"/>
  <c r="K12" i="5"/>
  <c r="M12" i="5"/>
  <c r="A13" i="5"/>
  <c r="B13" i="5" s="1"/>
  <c r="G13" i="5"/>
  <c r="I13" i="5"/>
  <c r="K13" i="5"/>
  <c r="M13" i="5"/>
  <c r="A14" i="5"/>
  <c r="B14" i="5" s="1"/>
  <c r="G14" i="5"/>
  <c r="I14" i="5"/>
  <c r="K14" i="5"/>
  <c r="M14" i="5"/>
  <c r="A15" i="5"/>
  <c r="B15" i="5" s="1"/>
  <c r="G15" i="5"/>
  <c r="I15" i="5"/>
  <c r="K15" i="5"/>
  <c r="M15" i="5"/>
  <c r="A16" i="5"/>
  <c r="B16" i="5" s="1"/>
  <c r="G16" i="5"/>
  <c r="I16" i="5"/>
  <c r="K16" i="5"/>
  <c r="M16" i="5"/>
  <c r="A17" i="5"/>
  <c r="B17" i="5" s="1"/>
  <c r="G17" i="5"/>
  <c r="I17" i="5"/>
  <c r="K17" i="5"/>
  <c r="M17" i="5"/>
  <c r="A18" i="5"/>
  <c r="B18" i="5" s="1"/>
  <c r="G18" i="5"/>
  <c r="I18" i="5"/>
  <c r="K18" i="5"/>
  <c r="M18" i="5"/>
  <c r="A19" i="5"/>
  <c r="B19" i="5" s="1"/>
  <c r="G19" i="5"/>
  <c r="I19" i="5"/>
  <c r="K19" i="5"/>
  <c r="M19" i="5"/>
  <c r="A20" i="5"/>
  <c r="B20" i="5" s="1"/>
  <c r="G20" i="5"/>
  <c r="I20" i="5"/>
  <c r="K20" i="5"/>
  <c r="M20" i="5"/>
  <c r="A21" i="5"/>
  <c r="B21" i="5" s="1"/>
  <c r="G21" i="5"/>
  <c r="I21" i="5"/>
  <c r="K21" i="5"/>
  <c r="M21" i="5"/>
  <c r="A22" i="5"/>
  <c r="B22" i="5" s="1"/>
  <c r="G22" i="5"/>
  <c r="I22" i="5"/>
  <c r="K22" i="5"/>
  <c r="M22" i="5"/>
  <c r="A23" i="5"/>
  <c r="B23" i="5" s="1"/>
  <c r="G23" i="5"/>
  <c r="I23" i="5"/>
  <c r="K23" i="5"/>
  <c r="M23" i="5"/>
  <c r="A24" i="5"/>
  <c r="B24" i="5" s="1"/>
  <c r="G24" i="5"/>
  <c r="I24" i="5"/>
  <c r="K24" i="5"/>
  <c r="M24" i="5"/>
  <c r="A25" i="5"/>
  <c r="B25" i="5" s="1"/>
  <c r="G25" i="5"/>
  <c r="I25" i="5"/>
  <c r="K25" i="5"/>
  <c r="M25" i="5"/>
  <c r="B5" i="1"/>
  <c r="A6" i="1"/>
  <c r="A7" i="1"/>
  <c r="B6" i="1"/>
  <c r="C12" i="1" a="1"/>
  <c r="C20" i="1" a="1"/>
  <c r="C28" i="1" a="1"/>
  <c r="C36" i="1" a="1"/>
  <c r="C44" i="1" a="1"/>
  <c r="C52" i="1" a="1"/>
  <c r="C60" i="1" a="1"/>
  <c r="C68" i="1" a="1"/>
  <c r="C76" i="1" a="1"/>
  <c r="C84" i="1" a="1"/>
  <c r="C94" i="1" a="1"/>
  <c r="C102" i="1" a="1"/>
  <c r="C114" i="1" a="1"/>
  <c r="C128" i="1" a="1"/>
  <c r="C142" i="1" a="1"/>
  <c r="C11" i="1" a="1"/>
  <c r="C19" i="1" a="1"/>
  <c r="C27" i="1" a="1"/>
  <c r="C35" i="1" a="1"/>
  <c r="C43" i="1" a="1"/>
  <c r="C51" i="1" a="1"/>
  <c r="C59" i="1" a="1"/>
  <c r="C67" i="1" a="1"/>
  <c r="C75" i="1" a="1"/>
  <c r="C10" i="1" a="1"/>
  <c r="C18" i="1" a="1"/>
  <c r="C26" i="1" a="1"/>
  <c r="C34" i="1" a="1"/>
  <c r="C42" i="1" a="1"/>
  <c r="C50" i="1" a="1"/>
  <c r="C58" i="1" a="1"/>
  <c r="C66" i="1" a="1"/>
  <c r="C74" i="1" a="1"/>
  <c r="C82" i="1" a="1"/>
  <c r="C90" i="1" a="1"/>
  <c r="C100" i="1" a="1"/>
  <c r="C110" i="1" a="1"/>
  <c r="C124" i="1" a="1"/>
  <c r="C138" i="1" a="1"/>
  <c r="C9" i="1" a="1"/>
  <c r="C17" i="1" a="1"/>
  <c r="C25" i="1" a="1"/>
  <c r="C33" i="1" a="1"/>
  <c r="C41" i="1" a="1"/>
  <c r="C49" i="1" a="1"/>
  <c r="C57" i="1" a="1"/>
  <c r="C65" i="1" a="1"/>
  <c r="C73" i="1" a="1"/>
  <c r="C8" i="1" a="1"/>
  <c r="C24" i="1" a="1"/>
  <c r="C40" i="1" a="1"/>
  <c r="C56" i="1" a="1"/>
  <c r="C72" i="1" a="1"/>
  <c r="C88" i="1" a="1"/>
  <c r="C106" i="1" a="1"/>
  <c r="C134" i="1" a="1"/>
  <c r="C15" i="1" a="1"/>
  <c r="C31" i="1" a="1"/>
  <c r="C47" i="1" a="1"/>
  <c r="C63" i="1" a="1"/>
  <c r="C79" i="1" a="1"/>
  <c r="C87" i="1" a="1"/>
  <c r="C95" i="1" a="1"/>
  <c r="C103" i="1" a="1"/>
  <c r="C111" i="1" a="1"/>
  <c r="C119" i="1" a="1"/>
  <c r="C127" i="1" a="1"/>
  <c r="C135" i="1" a="1"/>
  <c r="C108" i="1" a="1"/>
  <c r="C126" i="1" a="1"/>
  <c r="C137" i="1" a="1"/>
  <c r="C14" i="1" a="1"/>
  <c r="C30" i="1" a="1"/>
  <c r="C46" i="1" a="1"/>
  <c r="C62" i="1" a="1"/>
  <c r="C78" i="1" a="1"/>
  <c r="C96" i="1" a="1"/>
  <c r="C116" i="1" a="1"/>
  <c r="C139" i="1" a="1"/>
  <c r="C21" i="1" a="1"/>
  <c r="C37" i="1" a="1"/>
  <c r="C53" i="1" a="1"/>
  <c r="C69" i="1" a="1"/>
  <c r="C81" i="1" a="1"/>
  <c r="C89" i="1" a="1"/>
  <c r="C97" i="1" a="1"/>
  <c r="C105" i="1" a="1"/>
  <c r="C113" i="1" a="1"/>
  <c r="C121" i="1" a="1"/>
  <c r="C129" i="1" a="1"/>
  <c r="C141" i="1" a="1"/>
  <c r="C112" i="1" a="1"/>
  <c r="C130" i="1" a="1"/>
  <c r="C5" i="1" a="1"/>
  <c r="C16" i="1" a="1"/>
  <c r="C48" i="1" a="1"/>
  <c r="C80" i="1" a="1"/>
  <c r="C120" i="1" a="1"/>
  <c r="C23" i="1" a="1"/>
  <c r="C55" i="1" a="1"/>
  <c r="C83" i="1" a="1"/>
  <c r="C99" i="1" a="1"/>
  <c r="C115" i="1" a="1"/>
  <c r="C131" i="1" a="1"/>
  <c r="C118" i="1" a="1"/>
  <c r="C64" i="1" a="1"/>
  <c r="C7" i="1" a="1"/>
  <c r="C71" i="1" a="1"/>
  <c r="C107" i="1" a="1"/>
  <c r="C143" i="1" a="1"/>
  <c r="C6" i="1" a="1"/>
  <c r="C70" i="1" a="1"/>
  <c r="C13" i="1" a="1"/>
  <c r="C77" i="1" a="1"/>
  <c r="C109" i="1" a="1"/>
  <c r="C92" i="1" a="1"/>
  <c r="C22" i="1" a="1"/>
  <c r="C54" i="1" a="1"/>
  <c r="C86" i="1" a="1"/>
  <c r="C132" i="1" a="1"/>
  <c r="C29" i="1" a="1"/>
  <c r="C61" i="1" a="1"/>
  <c r="C85" i="1" a="1"/>
  <c r="C101" i="1" a="1"/>
  <c r="C117" i="1" a="1"/>
  <c r="C133" i="1" a="1"/>
  <c r="C122" i="1" a="1"/>
  <c r="C32" i="1" a="1"/>
  <c r="C98" i="1" a="1"/>
  <c r="C39" i="1" a="1"/>
  <c r="C91" i="1" a="1"/>
  <c r="C123" i="1" a="1"/>
  <c r="C136" i="1" a="1"/>
  <c r="C38" i="1" a="1"/>
  <c r="C104" i="1" a="1"/>
  <c r="C45" i="1" a="1"/>
  <c r="C93" i="1" a="1"/>
  <c r="C125" i="1" a="1"/>
  <c r="C140" i="1" a="1"/>
  <c r="L5" i="11" l="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L2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G5" i="11"/>
  <c r="E3" i="11" s="1" a="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H25" i="11"/>
  <c r="L25" i="11"/>
  <c r="L23" i="11"/>
  <c r="I6" i="8"/>
  <c r="M6" i="8"/>
  <c r="J6" i="8"/>
  <c r="B6" i="8"/>
  <c r="H6" i="8"/>
  <c r="L6" i="8"/>
  <c r="A7" i="8"/>
  <c r="F6" i="8"/>
  <c r="N6" i="8"/>
  <c r="K6" i="8"/>
  <c r="D5" i="5"/>
  <c r="L25" i="5"/>
  <c r="H25" i="5"/>
  <c r="L24" i="5"/>
  <c r="H24" i="5"/>
  <c r="L23" i="5"/>
  <c r="H23" i="5"/>
  <c r="L22" i="5"/>
  <c r="H22" i="5"/>
  <c r="L21" i="5"/>
  <c r="H21" i="5"/>
  <c r="L20" i="5"/>
  <c r="H20" i="5"/>
  <c r="L19" i="5"/>
  <c r="H19" i="5"/>
  <c r="L18" i="5"/>
  <c r="H18" i="5"/>
  <c r="L17" i="5"/>
  <c r="H17" i="5"/>
  <c r="L16" i="5"/>
  <c r="H16" i="5"/>
  <c r="L15" i="5"/>
  <c r="H15" i="5"/>
  <c r="L14" i="5"/>
  <c r="H14" i="5"/>
  <c r="L13" i="5"/>
  <c r="H13" i="5"/>
  <c r="L12" i="5"/>
  <c r="H12" i="5"/>
  <c r="L11" i="5"/>
  <c r="H11" i="5"/>
  <c r="L10" i="5"/>
  <c r="H10" i="5"/>
  <c r="L9" i="5"/>
  <c r="H9" i="5"/>
  <c r="L8" i="5"/>
  <c r="H8" i="5"/>
  <c r="L7" i="5"/>
  <c r="H7" i="5"/>
  <c r="L6" i="5"/>
  <c r="H6" i="5"/>
  <c r="N25" i="5"/>
  <c r="J25" i="5"/>
  <c r="F25" i="5"/>
  <c r="N24" i="5"/>
  <c r="J24" i="5"/>
  <c r="F24" i="5"/>
  <c r="N23" i="5"/>
  <c r="J23" i="5"/>
  <c r="F23" i="5"/>
  <c r="D23" i="5" s="1"/>
  <c r="N22" i="5"/>
  <c r="J22" i="5"/>
  <c r="F22" i="5"/>
  <c r="N21" i="5"/>
  <c r="J21" i="5"/>
  <c r="F21" i="5"/>
  <c r="N20" i="5"/>
  <c r="J20" i="5"/>
  <c r="F20" i="5"/>
  <c r="N19" i="5"/>
  <c r="J19" i="5"/>
  <c r="F19" i="5"/>
  <c r="D19" i="5" s="1"/>
  <c r="N18" i="5"/>
  <c r="J18" i="5"/>
  <c r="F18" i="5"/>
  <c r="N17" i="5"/>
  <c r="J17" i="5"/>
  <c r="F17" i="5"/>
  <c r="N16" i="5"/>
  <c r="J16" i="5"/>
  <c r="F16" i="5"/>
  <c r="N15" i="5"/>
  <c r="J15" i="5"/>
  <c r="F15" i="5"/>
  <c r="D15" i="5" s="1"/>
  <c r="N14" i="5"/>
  <c r="J14" i="5"/>
  <c r="F14" i="5"/>
  <c r="N13" i="5"/>
  <c r="J13" i="5"/>
  <c r="F13" i="5"/>
  <c r="N12" i="5"/>
  <c r="J12" i="5"/>
  <c r="F12" i="5"/>
  <c r="N11" i="5"/>
  <c r="J11" i="5"/>
  <c r="F11" i="5"/>
  <c r="D11" i="5" s="1"/>
  <c r="N10" i="5"/>
  <c r="J10" i="5"/>
  <c r="F10" i="5"/>
  <c r="N9" i="5"/>
  <c r="J9" i="5"/>
  <c r="F9" i="5"/>
  <c r="N8" i="5"/>
  <c r="J8" i="5"/>
  <c r="F8" i="5"/>
  <c r="N7" i="5"/>
  <c r="J7" i="5"/>
  <c r="F7" i="5"/>
  <c r="D7" i="5" s="1"/>
  <c r="N6" i="5"/>
  <c r="J6" i="5"/>
  <c r="F6" i="5"/>
  <c r="C140" i="1"/>
  <c r="C125" i="1"/>
  <c r="C93" i="1"/>
  <c r="C45" i="1"/>
  <c r="C104" i="1"/>
  <c r="C38" i="1"/>
  <c r="C136" i="1"/>
  <c r="C123" i="1"/>
  <c r="C91" i="1"/>
  <c r="C39" i="1"/>
  <c r="C98" i="1"/>
  <c r="C32" i="1"/>
  <c r="C122" i="1"/>
  <c r="C133" i="1"/>
  <c r="C117" i="1"/>
  <c r="C101" i="1"/>
  <c r="C85" i="1"/>
  <c r="C61" i="1"/>
  <c r="C29" i="1"/>
  <c r="C132" i="1"/>
  <c r="C86" i="1"/>
  <c r="C54" i="1"/>
  <c r="C22" i="1"/>
  <c r="C92" i="1"/>
  <c r="C109" i="1"/>
  <c r="C77" i="1"/>
  <c r="C13" i="1"/>
  <c r="C70" i="1"/>
  <c r="C6" i="1"/>
  <c r="D6" i="1" s="1"/>
  <c r="C143" i="1"/>
  <c r="C107" i="1"/>
  <c r="C71" i="1"/>
  <c r="C7" i="1"/>
  <c r="C64" i="1"/>
  <c r="C118" i="1"/>
  <c r="C131" i="1"/>
  <c r="C115" i="1"/>
  <c r="C99" i="1"/>
  <c r="C83" i="1"/>
  <c r="C55" i="1"/>
  <c r="C23" i="1"/>
  <c r="C120" i="1"/>
  <c r="C80" i="1"/>
  <c r="C48" i="1"/>
  <c r="C16" i="1"/>
  <c r="C5" i="1"/>
  <c r="D5" i="1" s="1"/>
  <c r="C130" i="1"/>
  <c r="C112" i="1"/>
  <c r="C141" i="1"/>
  <c r="C129" i="1"/>
  <c r="C121" i="1"/>
  <c r="C113" i="1"/>
  <c r="C105" i="1"/>
  <c r="C97" i="1"/>
  <c r="C89" i="1"/>
  <c r="C81" i="1"/>
  <c r="C69" i="1"/>
  <c r="C53" i="1"/>
  <c r="C37" i="1"/>
  <c r="C21" i="1"/>
  <c r="C139" i="1"/>
  <c r="C116" i="1"/>
  <c r="C96" i="1"/>
  <c r="C78" i="1"/>
  <c r="C62" i="1"/>
  <c r="C46" i="1"/>
  <c r="C30" i="1"/>
  <c r="C14" i="1"/>
  <c r="C137" i="1"/>
  <c r="C126" i="1"/>
  <c r="C108" i="1"/>
  <c r="C135" i="1"/>
  <c r="C127" i="1"/>
  <c r="C119" i="1"/>
  <c r="C111" i="1"/>
  <c r="C103" i="1"/>
  <c r="C95" i="1"/>
  <c r="C87" i="1"/>
  <c r="C79" i="1"/>
  <c r="C63" i="1"/>
  <c r="C47" i="1"/>
  <c r="C31" i="1"/>
  <c r="C15" i="1"/>
  <c r="C134" i="1"/>
  <c r="C106" i="1"/>
  <c r="C88" i="1"/>
  <c r="C72" i="1"/>
  <c r="C56" i="1"/>
  <c r="C40" i="1"/>
  <c r="C24" i="1"/>
  <c r="C8" i="1"/>
  <c r="C73" i="1"/>
  <c r="C65" i="1"/>
  <c r="C57" i="1"/>
  <c r="C49" i="1"/>
  <c r="C41" i="1"/>
  <c r="C33" i="1"/>
  <c r="C25" i="1"/>
  <c r="C17" i="1"/>
  <c r="C9" i="1"/>
  <c r="C138" i="1"/>
  <c r="C124" i="1"/>
  <c r="C110" i="1"/>
  <c r="C100" i="1"/>
  <c r="C90" i="1"/>
  <c r="C82" i="1"/>
  <c r="C74" i="1"/>
  <c r="C66" i="1"/>
  <c r="C58" i="1"/>
  <c r="C50" i="1"/>
  <c r="C42" i="1"/>
  <c r="C34" i="1"/>
  <c r="C26" i="1"/>
  <c r="C18" i="1"/>
  <c r="C10" i="1"/>
  <c r="C75" i="1"/>
  <c r="C67" i="1"/>
  <c r="C59" i="1"/>
  <c r="C51" i="1"/>
  <c r="C43" i="1"/>
  <c r="C35" i="1"/>
  <c r="C27" i="1"/>
  <c r="C19" i="1"/>
  <c r="C11" i="1"/>
  <c r="C142" i="1"/>
  <c r="C128" i="1"/>
  <c r="C114" i="1"/>
  <c r="C102" i="1"/>
  <c r="C94" i="1"/>
  <c r="C84" i="1"/>
  <c r="C76" i="1"/>
  <c r="C68" i="1"/>
  <c r="C60" i="1"/>
  <c r="C52" i="1"/>
  <c r="C44" i="1"/>
  <c r="C36" i="1"/>
  <c r="C28" i="1"/>
  <c r="C20" i="1"/>
  <c r="C12" i="1"/>
  <c r="A8" i="1"/>
  <c r="B7" i="1"/>
  <c r="D7" i="1" s="1"/>
  <c r="F3" i="11" l="1"/>
  <c r="J3" i="11"/>
  <c r="N3" i="11"/>
  <c r="G3" i="11"/>
  <c r="K3" i="11"/>
  <c r="H3" i="11"/>
  <c r="I3" i="11"/>
  <c r="L3" i="11"/>
  <c r="E3" i="11"/>
  <c r="D5" i="11" s="1" a="1"/>
  <c r="M3" i="11"/>
  <c r="B7" i="8"/>
  <c r="H7" i="8"/>
  <c r="L7" i="8"/>
  <c r="A8" i="8"/>
  <c r="I7" i="8"/>
  <c r="G7" i="8"/>
  <c r="K7" i="8"/>
  <c r="M7" i="8"/>
  <c r="N7" i="8"/>
  <c r="F7" i="8"/>
  <c r="J7" i="8"/>
  <c r="D9" i="5"/>
  <c r="D13" i="5"/>
  <c r="D17" i="5"/>
  <c r="D21" i="5"/>
  <c r="D25" i="5"/>
  <c r="D8" i="5"/>
  <c r="D12" i="5"/>
  <c r="D16" i="5"/>
  <c r="D20" i="5"/>
  <c r="D24" i="5"/>
  <c r="D6" i="5"/>
  <c r="D10" i="5"/>
  <c r="D14" i="5"/>
  <c r="D18" i="5"/>
  <c r="D22" i="5"/>
  <c r="B8" i="1"/>
  <c r="D8" i="1" s="1"/>
  <c r="A9" i="1"/>
  <c r="D5" i="11" l="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G8" i="8"/>
  <c r="K8" i="8"/>
  <c r="B8" i="8"/>
  <c r="L8" i="8"/>
  <c r="H8" i="8"/>
  <c r="A9" i="8"/>
  <c r="I8" i="8"/>
  <c r="M8" i="8"/>
  <c r="J8" i="8"/>
  <c r="N8" i="8"/>
  <c r="F8" i="8"/>
  <c r="B9" i="1"/>
  <c r="D9" i="1" s="1"/>
  <c r="A10" i="1"/>
  <c r="G9" i="8" l="1"/>
  <c r="I9" i="8"/>
  <c r="M9" i="8"/>
  <c r="K9" i="8"/>
  <c r="B9" i="8"/>
  <c r="L9" i="8"/>
  <c r="A10" i="8"/>
  <c r="H9" i="8"/>
  <c r="F9" i="8"/>
  <c r="N9" i="8"/>
  <c r="J9" i="8"/>
  <c r="A11" i="1"/>
  <c r="B10" i="1"/>
  <c r="D10" i="1" s="1"/>
  <c r="I10" i="8" l="1"/>
  <c r="M10" i="8"/>
  <c r="F10" i="8"/>
  <c r="N10" i="8"/>
  <c r="B10" i="8"/>
  <c r="H10" i="8"/>
  <c r="L10" i="8"/>
  <c r="A11" i="8"/>
  <c r="J10" i="8"/>
  <c r="G10" i="8"/>
  <c r="K10" i="8"/>
  <c r="A12" i="1"/>
  <c r="B11" i="1"/>
  <c r="D11" i="1" s="1"/>
  <c r="B11" i="8" l="1"/>
  <c r="H11" i="8"/>
  <c r="L11" i="8"/>
  <c r="A12" i="8"/>
  <c r="M11" i="8"/>
  <c r="G11" i="8"/>
  <c r="K11" i="8"/>
  <c r="I11" i="8"/>
  <c r="J11" i="8"/>
  <c r="N11" i="8"/>
  <c r="F11" i="8"/>
  <c r="B12" i="1"/>
  <c r="D12" i="1" s="1"/>
  <c r="A13" i="1"/>
  <c r="G12" i="8" l="1"/>
  <c r="K12" i="8"/>
  <c r="H12" i="8"/>
  <c r="A13" i="8"/>
  <c r="B12" i="8"/>
  <c r="L12" i="8"/>
  <c r="M12" i="8"/>
  <c r="I12" i="8"/>
  <c r="N12" i="8"/>
  <c r="F12" i="8"/>
  <c r="J12" i="8"/>
  <c r="B13" i="1"/>
  <c r="D13" i="1" s="1"/>
  <c r="A14" i="1"/>
  <c r="G13" i="8" l="1"/>
  <c r="I13" i="8"/>
  <c r="M13" i="8"/>
  <c r="K13" i="8"/>
  <c r="A14" i="8"/>
  <c r="H13" i="8"/>
  <c r="B13" i="8"/>
  <c r="L13" i="8"/>
  <c r="J13" i="8"/>
  <c r="N13" i="8"/>
  <c r="F13" i="8"/>
  <c r="B14" i="1"/>
  <c r="D14" i="1" s="1"/>
  <c r="A15" i="1"/>
  <c r="I14" i="8" l="1"/>
  <c r="M14" i="8"/>
  <c r="J14" i="8"/>
  <c r="B14" i="8"/>
  <c r="H14" i="8"/>
  <c r="L14" i="8"/>
  <c r="A15" i="8"/>
  <c r="F14" i="8"/>
  <c r="N14" i="8"/>
  <c r="G14" i="8"/>
  <c r="K14" i="8"/>
  <c r="A16" i="1"/>
  <c r="B15" i="1"/>
  <c r="D15" i="1" s="1"/>
  <c r="B15" i="8" l="1"/>
  <c r="H15" i="8"/>
  <c r="L15" i="8"/>
  <c r="A16" i="8"/>
  <c r="I15" i="8"/>
  <c r="G15" i="8"/>
  <c r="K15" i="8"/>
  <c r="M15" i="8"/>
  <c r="F15" i="8"/>
  <c r="N15" i="8"/>
  <c r="J15" i="8"/>
  <c r="A17" i="1"/>
  <c r="B16" i="1"/>
  <c r="D16" i="1" s="1"/>
  <c r="G16" i="8" l="1"/>
  <c r="K16" i="8"/>
  <c r="H16" i="8"/>
  <c r="A17" i="8"/>
  <c r="M16" i="8"/>
  <c r="I16" i="8"/>
  <c r="L16" i="8"/>
  <c r="B16" i="8"/>
  <c r="J16" i="8"/>
  <c r="F16" i="8"/>
  <c r="N16" i="8"/>
  <c r="A18" i="1"/>
  <c r="B17" i="1"/>
  <c r="D17" i="1" s="1"/>
  <c r="I17" i="8" l="1"/>
  <c r="M17" i="8"/>
  <c r="K17" i="8"/>
  <c r="G17" i="8"/>
  <c r="A18" i="8"/>
  <c r="B17" i="8"/>
  <c r="L17" i="8"/>
  <c r="H17" i="8"/>
  <c r="N17" i="8"/>
  <c r="F17" i="8"/>
  <c r="J17" i="8"/>
  <c r="A19" i="1"/>
  <c r="B18" i="1"/>
  <c r="D18" i="1" s="1"/>
  <c r="I18" i="8" l="1"/>
  <c r="M18" i="8"/>
  <c r="B18" i="8"/>
  <c r="H18" i="8"/>
  <c r="L18" i="8"/>
  <c r="A19" i="8"/>
  <c r="F18" i="8"/>
  <c r="N18" i="8"/>
  <c r="J18" i="8"/>
  <c r="K18" i="8"/>
  <c r="G18" i="8"/>
  <c r="A20" i="1"/>
  <c r="B19" i="1"/>
  <c r="D19" i="1" s="1"/>
  <c r="B19" i="8" l="1"/>
  <c r="H19" i="8"/>
  <c r="L19" i="8"/>
  <c r="A20" i="8"/>
  <c r="G19" i="8"/>
  <c r="K19" i="8"/>
  <c r="I19" i="8"/>
  <c r="M19" i="8"/>
  <c r="N19" i="8"/>
  <c r="J19" i="8"/>
  <c r="F19" i="8"/>
  <c r="B20" i="1"/>
  <c r="D20" i="1" s="1"/>
  <c r="A21" i="1"/>
  <c r="G20" i="8" l="1"/>
  <c r="K20" i="8"/>
  <c r="B20" i="8"/>
  <c r="L20" i="8"/>
  <c r="A21" i="8"/>
  <c r="M20" i="8"/>
  <c r="H20" i="8"/>
  <c r="I20" i="8"/>
  <c r="F20" i="8"/>
  <c r="N20" i="8"/>
  <c r="J20" i="8"/>
  <c r="A22" i="1"/>
  <c r="B21" i="1"/>
  <c r="D21" i="1" s="1"/>
  <c r="I21" i="8" l="1"/>
  <c r="M21" i="8"/>
  <c r="G21" i="8"/>
  <c r="L21" i="8"/>
  <c r="H21" i="8"/>
  <c r="A22" i="8"/>
  <c r="K21" i="8"/>
  <c r="B21" i="8"/>
  <c r="J21" i="8"/>
  <c r="F21" i="8"/>
  <c r="N21" i="8"/>
  <c r="A23" i="1"/>
  <c r="B22" i="1"/>
  <c r="D22" i="1" s="1"/>
  <c r="I22" i="8" l="1"/>
  <c r="M22" i="8"/>
  <c r="B22" i="8"/>
  <c r="H22" i="8"/>
  <c r="L22" i="8"/>
  <c r="A23" i="8"/>
  <c r="J22" i="8"/>
  <c r="F22" i="8"/>
  <c r="K22" i="8"/>
  <c r="N22" i="8"/>
  <c r="G22" i="8"/>
  <c r="A24" i="1"/>
  <c r="B23" i="1"/>
  <c r="D23" i="1" s="1"/>
  <c r="B23" i="8" l="1"/>
  <c r="H23" i="8"/>
  <c r="L23" i="8"/>
  <c r="A24" i="8"/>
  <c r="G23" i="8"/>
  <c r="K23" i="8"/>
  <c r="M23" i="8"/>
  <c r="I23" i="8"/>
  <c r="F23" i="8"/>
  <c r="N23" i="8"/>
  <c r="J23" i="8"/>
  <c r="B24" i="1"/>
  <c r="D24" i="1" s="1"/>
  <c r="A25" i="1"/>
  <c r="G24" i="8" l="1"/>
  <c r="K24" i="8"/>
  <c r="H24" i="8"/>
  <c r="A25" i="8"/>
  <c r="L24" i="8"/>
  <c r="M24" i="8"/>
  <c r="I24" i="8"/>
  <c r="B24" i="8"/>
  <c r="J24" i="8"/>
  <c r="N24" i="8"/>
  <c r="F24" i="8"/>
  <c r="A26" i="1"/>
  <c r="B25" i="1"/>
  <c r="D25" i="1" s="1"/>
  <c r="I25" i="8" l="1"/>
  <c r="M25" i="8"/>
  <c r="K25" i="8"/>
  <c r="B25" i="8"/>
  <c r="L25" i="8"/>
  <c r="G25" i="8"/>
  <c r="H25" i="8"/>
  <c r="F25" i="8"/>
  <c r="N25" i="8"/>
  <c r="D5" i="8" s="1" a="1"/>
  <c r="J25" i="8"/>
  <c r="B26" i="1"/>
  <c r="D26" i="1" s="1"/>
  <c r="A27" i="1"/>
  <c r="D6" i="8" l="1"/>
  <c r="P6" i="8" s="1"/>
  <c r="D10" i="8"/>
  <c r="P10" i="8" s="1"/>
  <c r="D14" i="8"/>
  <c r="P14" i="8" s="1"/>
  <c r="D18" i="8"/>
  <c r="P18" i="8" s="1"/>
  <c r="D22" i="8"/>
  <c r="P22" i="8" s="1"/>
  <c r="D7" i="8"/>
  <c r="P7" i="8" s="1"/>
  <c r="D15" i="8"/>
  <c r="P15" i="8" s="1"/>
  <c r="D5" i="8"/>
  <c r="P5" i="8" s="1"/>
  <c r="P27" i="8" s="1"/>
  <c r="D9" i="8"/>
  <c r="P9" i="8" s="1"/>
  <c r="D13" i="8"/>
  <c r="P13" i="8" s="1"/>
  <c r="D17" i="8"/>
  <c r="P17" i="8" s="1"/>
  <c r="D21" i="8"/>
  <c r="P21" i="8" s="1"/>
  <c r="D25" i="8"/>
  <c r="D11" i="8"/>
  <c r="P11" i="8" s="1"/>
  <c r="D16" i="8"/>
  <c r="P16" i="8" s="1"/>
  <c r="D23" i="8"/>
  <c r="P23" i="8" s="1"/>
  <c r="D12" i="8"/>
  <c r="P12" i="8" s="1"/>
  <c r="D24" i="8"/>
  <c r="P24" i="8" s="1"/>
  <c r="D8" i="8"/>
  <c r="P8" i="8" s="1"/>
  <c r="D20" i="8"/>
  <c r="P20" i="8" s="1"/>
  <c r="D19" i="8"/>
  <c r="P19" i="8" s="1"/>
  <c r="P25" i="8"/>
  <c r="A28" i="1"/>
  <c r="B27" i="1"/>
  <c r="D27" i="1" s="1"/>
  <c r="A29" i="1" l="1"/>
  <c r="B28" i="1"/>
  <c r="D28" i="1" s="1"/>
  <c r="B29" i="1" l="1"/>
  <c r="D29" i="1" s="1"/>
  <c r="A30" i="1"/>
  <c r="A31" i="1" l="1"/>
  <c r="B30" i="1"/>
  <c r="D30" i="1" s="1"/>
  <c r="A32" i="1" l="1"/>
  <c r="B31" i="1"/>
  <c r="D31" i="1" s="1"/>
  <c r="A33" i="1" l="1"/>
  <c r="B32" i="1"/>
  <c r="D32" i="1" s="1"/>
  <c r="A34" i="1" l="1"/>
  <c r="B33" i="1"/>
  <c r="D33" i="1" s="1"/>
  <c r="B34" i="1" l="1"/>
  <c r="D34" i="1" s="1"/>
  <c r="A35" i="1"/>
  <c r="A36" i="1" l="1"/>
  <c r="B35" i="1"/>
  <c r="D35" i="1" s="1"/>
  <c r="A37" i="1" l="1"/>
  <c r="B36" i="1"/>
  <c r="D36" i="1" s="1"/>
  <c r="A38" i="1" l="1"/>
  <c r="B37" i="1"/>
  <c r="D37" i="1" s="1"/>
  <c r="A39" i="1" l="1"/>
  <c r="B38" i="1"/>
  <c r="D38" i="1" s="1"/>
  <c r="A40" i="1" l="1"/>
  <c r="B39" i="1"/>
  <c r="D39" i="1" s="1"/>
  <c r="B40" i="1" l="1"/>
  <c r="D40" i="1" s="1"/>
  <c r="A41" i="1"/>
  <c r="A42" i="1" l="1"/>
  <c r="B41" i="1"/>
  <c r="D41" i="1" s="1"/>
  <c r="A43" i="1" l="1"/>
  <c r="B42" i="1"/>
  <c r="D42" i="1" s="1"/>
  <c r="A44" i="1" l="1"/>
  <c r="B43" i="1"/>
  <c r="D43" i="1" s="1"/>
  <c r="A45" i="1" l="1"/>
  <c r="B44" i="1"/>
  <c r="D44" i="1" s="1"/>
  <c r="A46" i="1" l="1"/>
  <c r="B45" i="1"/>
  <c r="D45" i="1" s="1"/>
  <c r="B46" i="1" l="1"/>
  <c r="D46" i="1" s="1"/>
  <c r="A47" i="1"/>
  <c r="A48" i="1" l="1"/>
  <c r="B47" i="1"/>
  <c r="D47" i="1" s="1"/>
  <c r="A49" i="1" l="1"/>
  <c r="B48" i="1"/>
  <c r="D48" i="1" s="1"/>
  <c r="B49" i="1" l="1"/>
  <c r="D49" i="1" s="1"/>
  <c r="A50" i="1"/>
  <c r="B50" i="1" l="1"/>
  <c r="D50" i="1" s="1"/>
  <c r="A51" i="1"/>
  <c r="A52" i="1" l="1"/>
  <c r="B51" i="1"/>
  <c r="D51" i="1" s="1"/>
  <c r="A53" i="1" l="1"/>
  <c r="B52" i="1"/>
  <c r="D52" i="1" s="1"/>
  <c r="A54" i="1" l="1"/>
  <c r="B53" i="1"/>
  <c r="D53" i="1" s="1"/>
  <c r="A55" i="1" l="1"/>
  <c r="B54" i="1"/>
  <c r="D54" i="1" s="1"/>
  <c r="A56" i="1" l="1"/>
  <c r="B55" i="1"/>
  <c r="D55" i="1" s="1"/>
  <c r="A57" i="1" l="1"/>
  <c r="B56" i="1"/>
  <c r="D56" i="1" s="1"/>
  <c r="A58" i="1" l="1"/>
  <c r="B57" i="1"/>
  <c r="D57" i="1" s="1"/>
  <c r="A59" i="1" l="1"/>
  <c r="B58" i="1"/>
  <c r="D58" i="1" s="1"/>
  <c r="A60" i="1" l="1"/>
  <c r="B59" i="1"/>
  <c r="D59" i="1" s="1"/>
  <c r="A61" i="1" l="1"/>
  <c r="B60" i="1"/>
  <c r="D60" i="1" s="1"/>
  <c r="A62" i="1" l="1"/>
  <c r="B61" i="1"/>
  <c r="D61" i="1" s="1"/>
  <c r="A63" i="1" l="1"/>
  <c r="B62" i="1"/>
  <c r="D62" i="1" s="1"/>
  <c r="A64" i="1" l="1"/>
  <c r="B63" i="1"/>
  <c r="D63" i="1" s="1"/>
  <c r="A65" i="1" l="1"/>
  <c r="B64" i="1"/>
  <c r="D64" i="1" s="1"/>
  <c r="B65" i="1" l="1"/>
  <c r="D65" i="1" s="1"/>
  <c r="A66" i="1"/>
  <c r="A67" i="1" l="1"/>
  <c r="B66" i="1"/>
  <c r="D66" i="1" s="1"/>
  <c r="A68" i="1" l="1"/>
  <c r="B67" i="1"/>
  <c r="D67" i="1" s="1"/>
  <c r="A69" i="1" l="1"/>
  <c r="B68" i="1"/>
  <c r="D68" i="1" s="1"/>
  <c r="B69" i="1" l="1"/>
  <c r="D69" i="1" s="1"/>
  <c r="A70" i="1"/>
  <c r="A71" i="1" l="1"/>
  <c r="B70" i="1"/>
  <c r="D70" i="1" s="1"/>
  <c r="B71" i="1" l="1"/>
  <c r="D71" i="1" s="1"/>
  <c r="A72" i="1"/>
  <c r="A73" i="1" l="1"/>
  <c r="B72" i="1"/>
  <c r="D72" i="1" s="1"/>
  <c r="B73" i="1" l="1"/>
  <c r="D73" i="1" s="1"/>
  <c r="A74" i="1"/>
  <c r="B74" i="1" l="1"/>
  <c r="D74" i="1" s="1"/>
  <c r="A75" i="1"/>
  <c r="A76" i="1" l="1"/>
  <c r="B75" i="1"/>
  <c r="D75" i="1" s="1"/>
  <c r="A77" i="1" l="1"/>
  <c r="B76" i="1"/>
  <c r="D76" i="1" s="1"/>
  <c r="B77" i="1" l="1"/>
  <c r="D77" i="1" s="1"/>
  <c r="A78" i="1"/>
  <c r="B78" i="1" l="1"/>
  <c r="D78" i="1" s="1"/>
  <c r="A79" i="1"/>
  <c r="A80" i="1" l="1"/>
  <c r="B79" i="1"/>
  <c r="D79" i="1" s="1"/>
  <c r="A81" i="1" l="1"/>
  <c r="B80" i="1"/>
  <c r="D80" i="1" s="1"/>
  <c r="B81" i="1" l="1"/>
  <c r="D81" i="1" s="1"/>
  <c r="A82" i="1"/>
  <c r="B82" i="1" l="1"/>
  <c r="D82" i="1" s="1"/>
  <c r="A83" i="1"/>
  <c r="A84" i="1" l="1"/>
  <c r="B83" i="1"/>
  <c r="D83" i="1" s="1"/>
  <c r="A85" i="1" l="1"/>
  <c r="B84" i="1"/>
  <c r="D84" i="1" s="1"/>
  <c r="A86" i="1" l="1"/>
  <c r="B85" i="1"/>
  <c r="D85" i="1" s="1"/>
  <c r="B86" i="1" l="1"/>
  <c r="D86" i="1" s="1"/>
  <c r="A87" i="1"/>
  <c r="A88" i="1" l="1"/>
  <c r="B87" i="1"/>
  <c r="D87" i="1" s="1"/>
  <c r="A89" i="1" l="1"/>
  <c r="B88" i="1"/>
  <c r="D88" i="1" s="1"/>
  <c r="B89" i="1" l="1"/>
  <c r="D89" i="1" s="1"/>
  <c r="A90" i="1"/>
  <c r="B90" i="1" l="1"/>
  <c r="D90" i="1" s="1"/>
  <c r="A91" i="1"/>
  <c r="A92" i="1" l="1"/>
  <c r="B91" i="1"/>
  <c r="D91" i="1" s="1"/>
  <c r="A93" i="1" l="1"/>
  <c r="B92" i="1"/>
  <c r="D92" i="1" s="1"/>
  <c r="B93" i="1" l="1"/>
  <c r="D93" i="1" s="1"/>
  <c r="A94" i="1"/>
  <c r="B94" i="1" l="1"/>
  <c r="D94" i="1" s="1"/>
  <c r="A95" i="1"/>
  <c r="B95" i="1" l="1"/>
  <c r="D95" i="1" s="1"/>
  <c r="A96" i="1"/>
  <c r="A97" i="1" l="1"/>
  <c r="B96" i="1"/>
  <c r="D96" i="1" s="1"/>
  <c r="A98" i="1" l="1"/>
  <c r="B97" i="1"/>
  <c r="D97" i="1" s="1"/>
  <c r="B98" i="1" l="1"/>
  <c r="D98" i="1" s="1"/>
  <c r="A99" i="1"/>
  <c r="B99" i="1" l="1"/>
  <c r="D99" i="1" s="1"/>
  <c r="A100" i="1"/>
  <c r="A101" i="1" l="1"/>
  <c r="B100" i="1"/>
  <c r="D100" i="1" s="1"/>
  <c r="B101" i="1" l="1"/>
  <c r="D101" i="1" s="1"/>
  <c r="A102" i="1"/>
  <c r="A103" i="1" l="1"/>
  <c r="B102" i="1"/>
  <c r="D102" i="1" s="1"/>
  <c r="B103" i="1" l="1"/>
  <c r="D103" i="1" s="1"/>
  <c r="A104" i="1"/>
  <c r="A105" i="1" l="1"/>
  <c r="B104" i="1"/>
  <c r="D104" i="1" s="1"/>
  <c r="B105" i="1" l="1"/>
  <c r="D105" i="1" s="1"/>
  <c r="A106" i="1"/>
  <c r="B106" i="1" l="1"/>
  <c r="D106" i="1" s="1"/>
  <c r="A107" i="1"/>
  <c r="B107" i="1" l="1"/>
  <c r="D107" i="1" s="1"/>
  <c r="A108" i="1"/>
  <c r="B108" i="1" l="1"/>
  <c r="D108" i="1" s="1"/>
  <c r="A109" i="1"/>
  <c r="A110" i="1" l="1"/>
  <c r="B109" i="1"/>
  <c r="D109" i="1" s="1"/>
  <c r="B110" i="1" l="1"/>
  <c r="D110" i="1" s="1"/>
  <c r="A111" i="1"/>
  <c r="B111" i="1" l="1"/>
  <c r="D111" i="1" s="1"/>
  <c r="A112" i="1"/>
  <c r="A113" i="1" l="1"/>
  <c r="B112" i="1"/>
  <c r="D112" i="1" s="1"/>
  <c r="A114" i="1" l="1"/>
  <c r="B113" i="1"/>
  <c r="D113" i="1" s="1"/>
  <c r="A115" i="1" l="1"/>
  <c r="B114" i="1"/>
  <c r="D114" i="1" s="1"/>
  <c r="A116" i="1" l="1"/>
  <c r="B115" i="1"/>
  <c r="D115" i="1" s="1"/>
  <c r="B116" i="1" l="1"/>
  <c r="D116" i="1" s="1"/>
  <c r="A117" i="1"/>
  <c r="B117" i="1" l="1"/>
  <c r="D117" i="1" s="1"/>
  <c r="A118" i="1"/>
  <c r="B118" i="1" l="1"/>
  <c r="D118" i="1" s="1"/>
  <c r="A119" i="1"/>
  <c r="B119" i="1" l="1"/>
  <c r="D119" i="1" s="1"/>
  <c r="A120" i="1"/>
  <c r="A121" i="1" l="1"/>
  <c r="B120" i="1"/>
  <c r="D120" i="1" s="1"/>
  <c r="B121" i="1" l="1"/>
  <c r="D121" i="1" s="1"/>
  <c r="A122" i="1"/>
  <c r="B122" i="1" l="1"/>
  <c r="D122" i="1" s="1"/>
  <c r="A123" i="1"/>
  <c r="B123" i="1" l="1"/>
  <c r="D123" i="1" s="1"/>
  <c r="A124" i="1"/>
  <c r="B124" i="1" l="1"/>
  <c r="D124" i="1" s="1"/>
  <c r="A125" i="1"/>
  <c r="A126" i="1" l="1"/>
  <c r="B125" i="1"/>
  <c r="D125" i="1" s="1"/>
  <c r="B126" i="1" l="1"/>
  <c r="D126" i="1" s="1"/>
  <c r="A127" i="1"/>
  <c r="B127" i="1" l="1"/>
  <c r="D127" i="1" s="1"/>
  <c r="A128" i="1"/>
  <c r="A129" i="1" l="1"/>
  <c r="B128" i="1"/>
  <c r="D128" i="1" s="1"/>
  <c r="B129" i="1" l="1"/>
  <c r="D129" i="1" s="1"/>
  <c r="A130" i="1"/>
  <c r="A131" i="1" l="1"/>
  <c r="B130" i="1"/>
  <c r="D130" i="1" s="1"/>
  <c r="B131" i="1" l="1"/>
  <c r="D131" i="1" s="1"/>
  <c r="A132" i="1"/>
  <c r="B132" i="1" l="1"/>
  <c r="D132" i="1" s="1"/>
  <c r="A133" i="1"/>
  <c r="B133" i="1" l="1"/>
  <c r="D133" i="1" s="1"/>
  <c r="A134" i="1"/>
  <c r="B134" i="1" l="1"/>
  <c r="D134" i="1" s="1"/>
  <c r="A135" i="1"/>
  <c r="B135" i="1" l="1"/>
  <c r="D135" i="1" s="1"/>
  <c r="A136" i="1"/>
  <c r="A137" i="1" l="1"/>
  <c r="B136" i="1"/>
  <c r="D136" i="1" s="1"/>
  <c r="A138" i="1" l="1"/>
  <c r="B137" i="1"/>
  <c r="D137" i="1" s="1"/>
  <c r="A139" i="1" l="1"/>
  <c r="B138" i="1"/>
  <c r="D138" i="1" s="1"/>
  <c r="A140" i="1" l="1"/>
  <c r="B139" i="1"/>
  <c r="D139" i="1" s="1"/>
  <c r="A141" i="1" l="1"/>
  <c r="B140" i="1"/>
  <c r="D140" i="1" s="1"/>
  <c r="A142" i="1" l="1"/>
  <c r="B141" i="1"/>
  <c r="D141" i="1" s="1"/>
  <c r="B142" i="1" l="1"/>
  <c r="D142" i="1" s="1"/>
  <c r="A143" i="1"/>
  <c r="B143" i="1" s="1"/>
  <c r="D143" i="1" s="1"/>
  <c r="D144" i="1" s="1"/>
</calcChain>
</file>

<file path=xl/comments1.xml><?xml version="1.0" encoding="utf-8"?>
<comments xmlns="http://schemas.openxmlformats.org/spreadsheetml/2006/main">
  <authors>
    <author xml:space="preserve"> </author>
  </authors>
  <commentList>
    <comment ref="F3" authorId="0" shapeId="0">
      <text>
        <r>
          <rPr>
            <b/>
            <sz val="10"/>
            <color indexed="81"/>
            <rFont val="Tahoma"/>
            <family val="2"/>
          </rPr>
          <t>=(2*(SEN(PI()*J$1)-PI()*J$1*COS(PI()*J$1)))/(PI()^2*J$1^2)</t>
        </r>
      </text>
    </comment>
    <comment ref="D5" authorId="0" shapeId="0">
      <text>
        <r>
          <rPr>
            <b/>
            <sz val="10"/>
            <color indexed="81"/>
            <rFont val="Tahoma"/>
            <family val="2"/>
          </rPr>
          <t>=SOMA(E5:N5)</t>
        </r>
      </text>
    </comment>
    <comment ref="F5" authorId="0" shapeId="0">
      <text>
        <r>
          <rPr>
            <b/>
            <sz val="10"/>
            <color indexed="81"/>
            <rFont val="Tahoma"/>
            <family val="2"/>
          </rPr>
          <t>=F$3*SEN(F$2*$A5)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D5" authorId="0" shapeId="0">
      <text>
        <r>
          <rPr>
            <b/>
            <sz val="10"/>
            <color indexed="81"/>
            <rFont val="Tahoma"/>
            <family val="2"/>
          </rPr>
          <t>=MATRIZ.MULT(E5:N25;TRANSPOR(E3:N3))</t>
        </r>
      </text>
    </comment>
    <comment ref="F5" authorId="0" shapeId="0">
      <text>
        <r>
          <rPr>
            <b/>
            <sz val="10"/>
            <color indexed="81"/>
            <rFont val="Tahoma"/>
            <family val="2"/>
          </rPr>
          <t>=SEN(F$2*$A5)</t>
        </r>
      </text>
    </comment>
    <comment ref="P5" authorId="0" shapeId="0">
      <text>
        <r>
          <rPr>
            <b/>
            <sz val="10"/>
            <color indexed="81"/>
            <rFont val="Tahoma"/>
            <family val="2"/>
          </rPr>
          <t>=(B5-D5)^2</t>
        </r>
      </text>
    </comment>
    <comment ref="P27" authorId="0" shapeId="0">
      <text>
        <r>
          <rPr>
            <b/>
            <sz val="10"/>
            <color indexed="81"/>
            <rFont val="Tahoma"/>
            <family val="2"/>
          </rPr>
          <t>=SOMA(P5:P25)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E3" authorId="0" shapeId="0">
      <text>
        <r>
          <rPr>
            <b/>
            <sz val="10"/>
            <color indexed="81"/>
            <rFont val="Tahoma"/>
            <family val="2"/>
          </rPr>
          <t>=TRANSPOR(MATRIZ.MULT(MATRIZ.INVERSO(MATRIZ.MULT(TRANSPOR(E5:N25);E5:N25));MATRIZ.MULT(TRANSPOR(E5:N25);B5:B25)))</t>
        </r>
      </text>
    </comment>
    <comment ref="D5" authorId="0" shapeId="0">
      <text>
        <r>
          <rPr>
            <b/>
            <sz val="10"/>
            <color indexed="81"/>
            <rFont val="Tahoma"/>
            <family val="2"/>
          </rPr>
          <t>=MATRIZ.MULT(E5:N25;TRANSPOR(E3:N3))</t>
        </r>
      </text>
    </comment>
    <comment ref="F5" authorId="0" shapeId="0">
      <text>
        <r>
          <rPr>
            <b/>
            <sz val="10"/>
            <color indexed="81"/>
            <rFont val="Tahoma"/>
            <family val="2"/>
          </rPr>
          <t>=SEN(F$2*$A5)</t>
        </r>
      </text>
    </comment>
  </commentList>
</comments>
</file>

<file path=xl/sharedStrings.xml><?xml version="1.0" encoding="utf-8"?>
<sst xmlns="http://schemas.openxmlformats.org/spreadsheetml/2006/main" count="40" uniqueCount="19">
  <si>
    <t>t</t>
  </si>
  <si>
    <t>f(t)</t>
  </si>
  <si>
    <t>h=</t>
  </si>
  <si>
    <t>fc(t)</t>
  </si>
  <si>
    <t xml:space="preserve">t As Double, </t>
  </si>
  <si>
    <t>T=</t>
  </si>
  <si>
    <t xml:space="preserve">periodo As Double, </t>
  </si>
  <si>
    <t>erro^2</t>
  </si>
  <si>
    <t>Soma=</t>
  </si>
  <si>
    <t>n</t>
  </si>
  <si>
    <t>coef as Variant</t>
  </si>
  <si>
    <t>f(t)(série)</t>
  </si>
  <si>
    <t xml:space="preserve"> </t>
  </si>
  <si>
    <t>f(t) original</t>
  </si>
  <si>
    <t>an (Calculados pela Integral) =</t>
  </si>
  <si>
    <t>2pi.k/T =</t>
  </si>
  <si>
    <t>k=</t>
  </si>
  <si>
    <t>an (Calculados pelo Solver) =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</si>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</sst>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3" formatCode="0.000"/>
    <numFmt numFmtId="175" formatCode="0.0"/>
  </numFmts>
  <fonts count="4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6337778862885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173" fontId="0" fillId="0" borderId="0" xfId="0" applyNumberFormat="1"/>
    <xf numFmtId="173" fontId="0" fillId="0" borderId="1" xfId="0" applyNumberFormat="1" applyBorder="1" applyAlignment="1">
      <alignment horizontal="right"/>
    </xf>
    <xf numFmtId="173" fontId="0" fillId="3" borderId="1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173" fontId="0" fillId="3" borderId="0" xfId="0" applyNumberFormat="1" applyFill="1"/>
    <xf numFmtId="173" fontId="0" fillId="0" borderId="4" xfId="0" applyNumberFormat="1" applyBorder="1"/>
    <xf numFmtId="173" fontId="0" fillId="0" borderId="5" xfId="0" applyNumberFormat="1" applyBorder="1"/>
    <xf numFmtId="173" fontId="0" fillId="0" borderId="6" xfId="0" applyNumberFormat="1" applyBorder="1"/>
    <xf numFmtId="173" fontId="0" fillId="0" borderId="7" xfId="0" applyNumberFormat="1" applyBorder="1"/>
    <xf numFmtId="175" fontId="0" fillId="0" borderId="7" xfId="0" applyNumberFormat="1" applyBorder="1"/>
    <xf numFmtId="173" fontId="0" fillId="0" borderId="8" xfId="0" applyNumberFormat="1" applyBorder="1"/>
    <xf numFmtId="173" fontId="0" fillId="0" borderId="0" xfId="0" applyNumberFormat="1" applyBorder="1"/>
    <xf numFmtId="173" fontId="0" fillId="0" borderId="9" xfId="0" applyNumberFormat="1" applyBorder="1"/>
    <xf numFmtId="173" fontId="0" fillId="0" borderId="10" xfId="0" applyNumberFormat="1" applyBorder="1"/>
    <xf numFmtId="175" fontId="0" fillId="0" borderId="10" xfId="0" applyNumberFormat="1" applyBorder="1"/>
    <xf numFmtId="173" fontId="0" fillId="0" borderId="11" xfId="0" applyNumberFormat="1" applyBorder="1"/>
    <xf numFmtId="173" fontId="0" fillId="0" borderId="12" xfId="0" applyNumberFormat="1" applyBorder="1"/>
    <xf numFmtId="173" fontId="0" fillId="0" borderId="13" xfId="0" applyNumberFormat="1" applyBorder="1"/>
    <xf numFmtId="173" fontId="0" fillId="0" borderId="14" xfId="0" applyNumberFormat="1" applyBorder="1"/>
    <xf numFmtId="175" fontId="0" fillId="0" borderId="14" xfId="0" applyNumberFormat="1" applyBorder="1"/>
    <xf numFmtId="0" fontId="2" fillId="0" borderId="15" xfId="0" applyFont="1" applyBorder="1"/>
    <xf numFmtId="173" fontId="0" fillId="4" borderId="0" xfId="0" applyNumberFormat="1" applyFill="1"/>
    <xf numFmtId="0" fontId="2" fillId="0" borderId="0" xfId="0" applyFont="1" applyAlignment="1">
      <alignment horizontal="right"/>
    </xf>
    <xf numFmtId="173" fontId="0" fillId="0" borderId="16" xfId="0" applyNumberFormat="1" applyBorder="1"/>
    <xf numFmtId="173" fontId="0" fillId="0" borderId="17" xfId="0" applyNumberFormat="1" applyBorder="1"/>
    <xf numFmtId="173" fontId="0" fillId="0" borderId="18" xfId="0" applyNumberFormat="1" applyBorder="1"/>
    <xf numFmtId="0" fontId="2" fillId="0" borderId="14" xfId="0" applyFont="1" applyBorder="1"/>
    <xf numFmtId="173" fontId="0" fillId="4" borderId="19" xfId="0" applyNumberFormat="1" applyFill="1" applyBorder="1"/>
    <xf numFmtId="173" fontId="0" fillId="4" borderId="20" xfId="0" applyNumberFormat="1" applyFill="1" applyBorder="1"/>
    <xf numFmtId="173" fontId="0" fillId="4" borderId="2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hartsheet" Target="chartsheets/sheet7.xml"/><Relationship Id="rId5" Type="http://schemas.openxmlformats.org/officeDocument/2006/relationships/chartsheet" Target="chartsheets/sheet3.xml"/><Relationship Id="rId15" Type="http://schemas.openxmlformats.org/officeDocument/2006/relationships/calcChain" Target="calcChain.xml"/><Relationship Id="rId10" Type="http://schemas.openxmlformats.org/officeDocument/2006/relationships/worksheet" Target="worksheets/sheet4.xml"/><Relationship Id="rId4" Type="http://schemas.openxmlformats.org/officeDocument/2006/relationships/worksheet" Target="worksheets/sheet2.xml"/><Relationship Id="rId9" Type="http://schemas.openxmlformats.org/officeDocument/2006/relationships/chartsheet" Target="chartsheets/sheet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'dente de serra - Coef_Integral'!$B$4</c:f>
              <c:strCache>
                <c:ptCount val="1"/>
                <c:pt idx="0">
                  <c:v>f(t) original</c:v>
                </c:pt>
              </c:strCache>
            </c:strRef>
          </c:tx>
          <c:marker>
            <c:symbol val="none"/>
          </c:marker>
          <c:xVal>
            <c:numRef>
              <c:f>'dente de serra - Coef_Integral'!$A$5:$A$25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'dente de serra - Coef_Integral'!$B$5:$B$25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46-4A33-ADF2-E29C39F2931C}"/>
            </c:ext>
          </c:extLst>
        </c:ser>
        <c:ser>
          <c:idx val="3"/>
          <c:order val="1"/>
          <c:tx>
            <c:strRef>
              <c:f>'dente de serra - Coef_Integral'!$D$4</c:f>
              <c:strCache>
                <c:ptCount val="1"/>
                <c:pt idx="0">
                  <c:v>f(t)(série)</c:v>
                </c:pt>
              </c:strCache>
            </c:strRef>
          </c:tx>
          <c:marker>
            <c:symbol val="none"/>
          </c:marker>
          <c:xVal>
            <c:numRef>
              <c:f>'dente de serra - Coef_Integral'!$A$5:$A$25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'dente de serra - Coef_Integral'!$D$5:$D$25</c:f>
              <c:numCache>
                <c:formatCode>0.000</c:formatCode>
                <c:ptCount val="21"/>
                <c:pt idx="0">
                  <c:v>-7.0195835743237783E-16</c:v>
                </c:pt>
                <c:pt idx="1">
                  <c:v>-1.077312001589515</c:v>
                </c:pt>
                <c:pt idx="2">
                  <c:v>-0.70617538442984717</c:v>
                </c:pt>
                <c:pt idx="3">
                  <c:v>-0.76111619420798604</c:v>
                </c:pt>
                <c:pt idx="4">
                  <c:v>-0.55678079924488644</c:v>
                </c:pt>
                <c:pt idx="5">
                  <c:v>-0.53152698454817104</c:v>
                </c:pt>
                <c:pt idx="6">
                  <c:v>-0.37704424459371588</c:v>
                </c:pt>
                <c:pt idx="7">
                  <c:v>-0.31611922683020888</c:v>
                </c:pt>
                <c:pt idx="8">
                  <c:v>-0.1897133949928774</c:v>
                </c:pt>
                <c:pt idx="9">
                  <c:v>-0.10501620726809056</c:v>
                </c:pt>
                <c:pt idx="10">
                  <c:v>-2.7755575615628914E-16</c:v>
                </c:pt>
                <c:pt idx="11">
                  <c:v>0.10501620726809052</c:v>
                </c:pt>
                <c:pt idx="12">
                  <c:v>0.18971339499287698</c:v>
                </c:pt>
                <c:pt idx="13">
                  <c:v>0.31611922683020899</c:v>
                </c:pt>
                <c:pt idx="14">
                  <c:v>0.37704424459371549</c:v>
                </c:pt>
                <c:pt idx="15">
                  <c:v>0.53152698454817127</c:v>
                </c:pt>
                <c:pt idx="16">
                  <c:v>0.55678079924488599</c:v>
                </c:pt>
                <c:pt idx="17">
                  <c:v>0.76111619420798604</c:v>
                </c:pt>
                <c:pt idx="18">
                  <c:v>0.70617538442984673</c:v>
                </c:pt>
                <c:pt idx="19">
                  <c:v>1.0773120015895146</c:v>
                </c:pt>
                <c:pt idx="20">
                  <c:v>4.9956510829692981E-15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46-4A33-ADF2-E29C39F29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356560"/>
        <c:axId val="1"/>
      </c:scatterChart>
      <c:valAx>
        <c:axId val="93935656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93935656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'dente de serra - Coef_Integral'!$E$1:$N$1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'dente de serra - Coef_Integral'!$E$3:$N$3</c:f>
              <c:numCache>
                <c:formatCode>0.000</c:formatCode>
                <c:ptCount val="10"/>
                <c:pt idx="0">
                  <c:v>0</c:v>
                </c:pt>
                <c:pt idx="1">
                  <c:v>0.63661977236758138</c:v>
                </c:pt>
                <c:pt idx="2">
                  <c:v>-0.31830988618379069</c:v>
                </c:pt>
                <c:pt idx="3">
                  <c:v>0.21220659078919377</c:v>
                </c:pt>
                <c:pt idx="4">
                  <c:v>-0.15915494309189535</c:v>
                </c:pt>
                <c:pt idx="5">
                  <c:v>0.12732395447351627</c:v>
                </c:pt>
                <c:pt idx="6">
                  <c:v>-0.10610329539459688</c:v>
                </c:pt>
                <c:pt idx="7">
                  <c:v>9.0945681766797334E-2</c:v>
                </c:pt>
                <c:pt idx="8">
                  <c:v>-7.9577471545947673E-2</c:v>
                </c:pt>
                <c:pt idx="9">
                  <c:v>7.0735530263064589E-2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5-4E69-81C0-3683DABA6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9939536"/>
        <c:axId val="1"/>
      </c:barChart>
      <c:catAx>
        <c:axId val="93993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939939536"/>
        <c:crosses val="autoZero"/>
        <c:crossBetween val="between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'dente de serra - Coef_Solver'!$B$4</c:f>
              <c:strCache>
                <c:ptCount val="1"/>
                <c:pt idx="0">
                  <c:v>f(t) original</c:v>
                </c:pt>
              </c:strCache>
            </c:strRef>
          </c:tx>
          <c:marker>
            <c:symbol val="none"/>
          </c:marker>
          <c:xVal>
            <c:numRef>
              <c:f>'dente de serra - Coef_Solver'!$A$5:$A$25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'dente de serra - Coef_Solver'!$B$5:$B$25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65-4A98-B516-4037DC59C883}"/>
            </c:ext>
          </c:extLst>
        </c:ser>
        <c:ser>
          <c:idx val="3"/>
          <c:order val="1"/>
          <c:tx>
            <c:strRef>
              <c:f>'dente de serra - Coef_Solver'!$D$4</c:f>
              <c:strCache>
                <c:ptCount val="1"/>
                <c:pt idx="0">
                  <c:v>f(t)(série)</c:v>
                </c:pt>
              </c:strCache>
            </c:strRef>
          </c:tx>
          <c:marker>
            <c:symbol val="none"/>
          </c:marker>
          <c:xVal>
            <c:numRef>
              <c:f>'dente de serra - Coef_Solver'!$A$5:$A$25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'dente de serra - Coef_Solver'!$D$5:$D$25</c:f>
              <c:numCache>
                <c:formatCode>0.000</c:formatCode>
                <c:ptCount val="21"/>
                <c:pt idx="0">
                  <c:v>2.4356169264732769E-13</c:v>
                </c:pt>
                <c:pt idx="1">
                  <c:v>-0.90000002721399819</c:v>
                </c:pt>
                <c:pt idx="2">
                  <c:v>-0.79999999163811697</c:v>
                </c:pt>
                <c:pt idx="3">
                  <c:v>-0.69999992270293776</c:v>
                </c:pt>
                <c:pt idx="4">
                  <c:v>-0.59999991273046471</c:v>
                </c:pt>
                <c:pt idx="5">
                  <c:v>-0.49999983460209613</c:v>
                </c:pt>
                <c:pt idx="6">
                  <c:v>-0.39999984303529518</c:v>
                </c:pt>
                <c:pt idx="7">
                  <c:v>-0.29999970034510565</c:v>
                </c:pt>
                <c:pt idx="8">
                  <c:v>-0.19999979442892429</c:v>
                </c:pt>
                <c:pt idx="9">
                  <c:v>-9.9999549867773041E-2</c:v>
                </c:pt>
                <c:pt idx="10">
                  <c:v>2.4390588662637006E-13</c:v>
                </c:pt>
                <c:pt idx="11">
                  <c:v>9.9999549868260929E-2</c:v>
                </c:pt>
                <c:pt idx="12">
                  <c:v>0.19999979442941221</c:v>
                </c:pt>
                <c:pt idx="13">
                  <c:v>0.29999970034559353</c:v>
                </c:pt>
                <c:pt idx="14">
                  <c:v>0.39999984303578301</c:v>
                </c:pt>
                <c:pt idx="15">
                  <c:v>0.49999983460258418</c:v>
                </c:pt>
                <c:pt idx="16">
                  <c:v>0.59999991273095232</c:v>
                </c:pt>
                <c:pt idx="17">
                  <c:v>0.69999992270342593</c:v>
                </c:pt>
                <c:pt idx="18">
                  <c:v>0.79999999163860436</c:v>
                </c:pt>
                <c:pt idx="19">
                  <c:v>0.90000002721448669</c:v>
                </c:pt>
                <c:pt idx="20">
                  <c:v>2.476446561735329E-13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65-4A98-B516-4037DC59C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40784"/>
        <c:axId val="1"/>
      </c:scatterChart>
      <c:valAx>
        <c:axId val="93994078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93994078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'dente de serra - Coef_Solver'!$E$1:$N$1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'dente de serra - Coef_Solver'!$E$3:$N$3</c:f>
              <c:numCache>
                <c:formatCode>0.000</c:formatCode>
                <c:ptCount val="10"/>
                <c:pt idx="0">
                  <c:v>2.4406171528212894E-13</c:v>
                </c:pt>
                <c:pt idx="1">
                  <c:v>0.63137495965289914</c:v>
                </c:pt>
                <c:pt idx="2">
                  <c:v>-0.30776849783248883</c:v>
                </c:pt>
                <c:pt idx="3">
                  <c:v>0.19626097992266262</c:v>
                </c:pt>
                <c:pt idx="4">
                  <c:v>-0.13763826663055606</c:v>
                </c:pt>
                <c:pt idx="5">
                  <c:v>9.9999957727213595E-2</c:v>
                </c:pt>
                <c:pt idx="6">
                  <c:v>-7.2654307530930773E-2</c:v>
                </c:pt>
                <c:pt idx="7">
                  <c:v>5.0952498283539496E-2</c:v>
                </c:pt>
                <c:pt idx="8">
                  <c:v>-3.2492022329101866E-2</c:v>
                </c:pt>
                <c:pt idx="9">
                  <c:v>1.5838395428429596E-2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4-44D0-9383-9BA419BEF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9942416"/>
        <c:axId val="1"/>
      </c:barChart>
      <c:catAx>
        <c:axId val="93994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939942416"/>
        <c:crosses val="autoZero"/>
        <c:crossBetween val="between"/>
      </c:valAx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'dente de serra - Coef_Matrizes'!$B$4</c:f>
              <c:strCache>
                <c:ptCount val="1"/>
                <c:pt idx="0">
                  <c:v>f(t) original</c:v>
                </c:pt>
              </c:strCache>
            </c:strRef>
          </c:tx>
          <c:marker>
            <c:symbol val="none"/>
          </c:marker>
          <c:xVal>
            <c:numRef>
              <c:f>'dente de serra - Coef_Matrizes'!$A$5:$A$25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'dente de serra - Coef_Matrizes'!$B$5:$B$25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1-4B93-936A-2924AC3D018D}"/>
            </c:ext>
          </c:extLst>
        </c:ser>
        <c:ser>
          <c:idx val="3"/>
          <c:order val="1"/>
          <c:tx>
            <c:strRef>
              <c:f>'dente de serra - Coef_Matrizes'!$D$4</c:f>
              <c:strCache>
                <c:ptCount val="1"/>
                <c:pt idx="0">
                  <c:v>f(t)(série)</c:v>
                </c:pt>
              </c:strCache>
            </c:strRef>
          </c:tx>
          <c:marker>
            <c:symbol val="none"/>
          </c:marker>
          <c:xVal>
            <c:numRef>
              <c:f>'dente de serra - Coef_Matrizes'!$A$5:$A$25</c:f>
              <c:numCache>
                <c:formatCode>0.0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'dente de serra - Coef_Matrizes'!$D$5:$D$25</c:f>
              <c:numCache>
                <c:formatCode>0.000</c:formatCode>
                <c:ptCount val="21"/>
                <c:pt idx="0">
                  <c:v>-7.242059252391583E-16</c:v>
                </c:pt>
                <c:pt idx="1">
                  <c:v>-0.90000000000000291</c:v>
                </c:pt>
                <c:pt idx="2">
                  <c:v>-0.79999999999999882</c:v>
                </c:pt>
                <c:pt idx="3">
                  <c:v>-0.70000000000000107</c:v>
                </c:pt>
                <c:pt idx="4">
                  <c:v>-0.5999999999999992</c:v>
                </c:pt>
                <c:pt idx="5">
                  <c:v>-0.50000000000000067</c:v>
                </c:pt>
                <c:pt idx="6">
                  <c:v>-0.39999999999999991</c:v>
                </c:pt>
                <c:pt idx="7">
                  <c:v>-0.30000000000000032</c:v>
                </c:pt>
                <c:pt idx="8">
                  <c:v>-0.20000000000000037</c:v>
                </c:pt>
                <c:pt idx="9">
                  <c:v>-0.10000000000000031</c:v>
                </c:pt>
                <c:pt idx="10">
                  <c:v>-3.8001312500497827E-16</c:v>
                </c:pt>
                <c:pt idx="11">
                  <c:v>9.9999999999999575E-2</c:v>
                </c:pt>
                <c:pt idx="12">
                  <c:v>0.19999999999999968</c:v>
                </c:pt>
                <c:pt idx="13">
                  <c:v>0.2999999999999996</c:v>
                </c:pt>
                <c:pt idx="14">
                  <c:v>0.39999999999999919</c:v>
                </c:pt>
                <c:pt idx="15">
                  <c:v>0.50000000000000022</c:v>
                </c:pt>
                <c:pt idx="16">
                  <c:v>0.59999999999999831</c:v>
                </c:pt>
                <c:pt idx="17">
                  <c:v>0.70000000000000062</c:v>
                </c:pt>
                <c:pt idx="18">
                  <c:v>0.79999999999999771</c:v>
                </c:pt>
                <c:pt idx="19">
                  <c:v>0.9000000000000028</c:v>
                </c:pt>
                <c:pt idx="20">
                  <c:v>3.3587574786363295E-15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31-4B93-936A-2924AC3D0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669488"/>
        <c:axId val="1"/>
      </c:scatterChart>
      <c:valAx>
        <c:axId val="82666948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82666948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'dente de serra - Coef_Matrizes'!$E$1:$N$1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'dente de serra - Coef_Matrizes'!$E$3:$N$3</c:f>
              <c:numCache>
                <c:formatCode>0.000</c:formatCode>
                <c:ptCount val="10"/>
                <c:pt idx="0">
                  <c:v>-2.2418328522276981E-16</c:v>
                </c:pt>
                <c:pt idx="1">
                  <c:v>0.63137515146750423</c:v>
                </c:pt>
                <c:pt idx="2">
                  <c:v>-0.30776835371752548</c:v>
                </c:pt>
                <c:pt idx="3">
                  <c:v>0.19626105055051532</c:v>
                </c:pt>
                <c:pt idx="4">
                  <c:v>-0.13763819204711769</c:v>
                </c:pt>
                <c:pt idx="5">
                  <c:v>0.10000000000000044</c:v>
                </c:pt>
                <c:pt idx="6">
                  <c:v>-7.2654252800536487E-2</c:v>
                </c:pt>
                <c:pt idx="7">
                  <c:v>5.0952544949443283E-2</c:v>
                </c:pt>
                <c:pt idx="8">
                  <c:v>-3.2491969623291463E-2</c:v>
                </c:pt>
                <c:pt idx="9">
                  <c:v>1.583844403245448E-2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1-4D91-A4F8-848C11C68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0021680"/>
        <c:axId val="1"/>
      </c:barChart>
      <c:catAx>
        <c:axId val="94002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940021680"/>
        <c:crosses val="autoZero"/>
        <c:crossBetween val="between"/>
      </c:valAx>
    </c:plotArea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'dente de serra - vba - dados'!$B$4</c:f>
              <c:strCache>
                <c:ptCount val="1"/>
                <c:pt idx="0">
                  <c:v>f(t)</c:v>
                </c:pt>
              </c:strCache>
            </c:strRef>
          </c:tx>
          <c:marker>
            <c:symbol val="none"/>
          </c:marker>
          <c:xVal>
            <c:numRef>
              <c:f>'dente de serra - vba - dados'!$A$5:$A$143</c:f>
              <c:numCache>
                <c:formatCode>0.000</c:formatCode>
                <c:ptCount val="139"/>
                <c:pt idx="0">
                  <c:v>0</c:v>
                </c:pt>
                <c:pt idx="1">
                  <c:v>7.246376811594249E-3</c:v>
                </c:pt>
                <c:pt idx="2">
                  <c:v>1.4492753623188498E-2</c:v>
                </c:pt>
                <c:pt idx="3">
                  <c:v>2.1739130434782747E-2</c:v>
                </c:pt>
                <c:pt idx="4">
                  <c:v>2.8985507246376996E-2</c:v>
                </c:pt>
                <c:pt idx="5">
                  <c:v>3.6231884057971245E-2</c:v>
                </c:pt>
                <c:pt idx="6">
                  <c:v>4.3478260869565494E-2</c:v>
                </c:pt>
                <c:pt idx="7">
                  <c:v>5.0724637681159743E-2</c:v>
                </c:pt>
                <c:pt idx="8">
                  <c:v>5.7971014492753992E-2</c:v>
                </c:pt>
                <c:pt idx="9">
                  <c:v>6.5217391304348241E-2</c:v>
                </c:pt>
                <c:pt idx="10">
                  <c:v>7.246376811594249E-2</c:v>
                </c:pt>
                <c:pt idx="11">
                  <c:v>7.9710144927536739E-2</c:v>
                </c:pt>
                <c:pt idx="12">
                  <c:v>8.6956521739130987E-2</c:v>
                </c:pt>
                <c:pt idx="13">
                  <c:v>9.4202898550725236E-2</c:v>
                </c:pt>
                <c:pt idx="14">
                  <c:v>0.10144927536231949</c:v>
                </c:pt>
                <c:pt idx="15">
                  <c:v>0.10869565217391373</c:v>
                </c:pt>
                <c:pt idx="16">
                  <c:v>0.11594202898550798</c:v>
                </c:pt>
                <c:pt idx="17">
                  <c:v>0.12318840579710223</c:v>
                </c:pt>
                <c:pt idx="18">
                  <c:v>0.13043478260869648</c:v>
                </c:pt>
                <c:pt idx="19">
                  <c:v>0.13768115942029074</c:v>
                </c:pt>
                <c:pt idx="20">
                  <c:v>0.14492753623188498</c:v>
                </c:pt>
                <c:pt idx="21">
                  <c:v>0.15217391304347921</c:v>
                </c:pt>
                <c:pt idx="22">
                  <c:v>0.15942028985507345</c:v>
                </c:pt>
                <c:pt idx="23">
                  <c:v>0.16666666666666768</c:v>
                </c:pt>
                <c:pt idx="24">
                  <c:v>0.17391304347826192</c:v>
                </c:pt>
                <c:pt idx="25">
                  <c:v>0.18115942028985615</c:v>
                </c:pt>
                <c:pt idx="26">
                  <c:v>0.18840579710145039</c:v>
                </c:pt>
                <c:pt idx="27">
                  <c:v>0.19565217391304462</c:v>
                </c:pt>
                <c:pt idx="28">
                  <c:v>0.20289855072463886</c:v>
                </c:pt>
                <c:pt idx="29">
                  <c:v>0.21014492753623309</c:v>
                </c:pt>
                <c:pt idx="30">
                  <c:v>0.21739130434782733</c:v>
                </c:pt>
                <c:pt idx="31">
                  <c:v>0.22463768115942157</c:v>
                </c:pt>
                <c:pt idx="32">
                  <c:v>0.2318840579710158</c:v>
                </c:pt>
                <c:pt idx="33">
                  <c:v>0.23913043478261004</c:v>
                </c:pt>
                <c:pt idx="34">
                  <c:v>0.24637681159420427</c:v>
                </c:pt>
                <c:pt idx="35">
                  <c:v>0.25362318840579851</c:v>
                </c:pt>
                <c:pt idx="36">
                  <c:v>0.26086956521739274</c:v>
                </c:pt>
                <c:pt idx="37">
                  <c:v>0.26811594202898698</c:v>
                </c:pt>
                <c:pt idx="38">
                  <c:v>0.27536231884058121</c:v>
                </c:pt>
                <c:pt idx="39">
                  <c:v>0.28260869565217545</c:v>
                </c:pt>
                <c:pt idx="40">
                  <c:v>0.28985507246376968</c:v>
                </c:pt>
                <c:pt idx="41">
                  <c:v>0.29710144927536392</c:v>
                </c:pt>
                <c:pt idx="42">
                  <c:v>0.30434782608695815</c:v>
                </c:pt>
                <c:pt idx="43">
                  <c:v>0.31159420289855239</c:v>
                </c:pt>
                <c:pt idx="44">
                  <c:v>0.31884057971014662</c:v>
                </c:pt>
                <c:pt idx="45">
                  <c:v>0.32608695652174086</c:v>
                </c:pt>
                <c:pt idx="46">
                  <c:v>0.33333333333333509</c:v>
                </c:pt>
                <c:pt idx="47">
                  <c:v>0.34057971014492933</c:v>
                </c:pt>
                <c:pt idx="48">
                  <c:v>0.34782608695652356</c:v>
                </c:pt>
                <c:pt idx="49">
                  <c:v>0.3550724637681178</c:v>
                </c:pt>
                <c:pt idx="50">
                  <c:v>0.36231884057971203</c:v>
                </c:pt>
                <c:pt idx="51">
                  <c:v>0.36956521739130627</c:v>
                </c:pt>
                <c:pt idx="52">
                  <c:v>0.3768115942029005</c:v>
                </c:pt>
                <c:pt idx="53">
                  <c:v>0.38405797101449474</c:v>
                </c:pt>
                <c:pt idx="54">
                  <c:v>0.39130434782608897</c:v>
                </c:pt>
                <c:pt idx="55">
                  <c:v>0.39855072463768321</c:v>
                </c:pt>
                <c:pt idx="56">
                  <c:v>0.40579710144927744</c:v>
                </c:pt>
                <c:pt idx="57">
                  <c:v>0.41304347826087168</c:v>
                </c:pt>
                <c:pt idx="58">
                  <c:v>0.42028985507246591</c:v>
                </c:pt>
                <c:pt idx="59">
                  <c:v>0.42753623188406015</c:v>
                </c:pt>
                <c:pt idx="60">
                  <c:v>0.43478260869565438</c:v>
                </c:pt>
                <c:pt idx="61">
                  <c:v>0.44202898550724862</c:v>
                </c:pt>
                <c:pt idx="62">
                  <c:v>0.44927536231884285</c:v>
                </c:pt>
                <c:pt idx="63">
                  <c:v>0.45652173913043709</c:v>
                </c:pt>
                <c:pt idx="64">
                  <c:v>0.46376811594203132</c:v>
                </c:pt>
                <c:pt idx="65">
                  <c:v>0.47101449275362556</c:v>
                </c:pt>
                <c:pt idx="66">
                  <c:v>0.47826086956521979</c:v>
                </c:pt>
                <c:pt idx="67">
                  <c:v>0.48550724637681403</c:v>
                </c:pt>
                <c:pt idx="68">
                  <c:v>0.49275362318840826</c:v>
                </c:pt>
                <c:pt idx="69">
                  <c:v>0.50000000000000255</c:v>
                </c:pt>
                <c:pt idx="70">
                  <c:v>0.50724637681159679</c:v>
                </c:pt>
                <c:pt idx="71">
                  <c:v>0.51449275362319102</c:v>
                </c:pt>
                <c:pt idx="72">
                  <c:v>0.52173913043478526</c:v>
                </c:pt>
                <c:pt idx="73">
                  <c:v>0.52898550724637949</c:v>
                </c:pt>
                <c:pt idx="74">
                  <c:v>0.53623188405797373</c:v>
                </c:pt>
                <c:pt idx="75">
                  <c:v>0.54347826086956796</c:v>
                </c:pt>
                <c:pt idx="76">
                  <c:v>0.5507246376811622</c:v>
                </c:pt>
                <c:pt idx="77">
                  <c:v>0.55797101449275643</c:v>
                </c:pt>
                <c:pt idx="78">
                  <c:v>0.56521739130435067</c:v>
                </c:pt>
                <c:pt idx="79">
                  <c:v>0.5724637681159449</c:v>
                </c:pt>
                <c:pt idx="80">
                  <c:v>0.57971014492753914</c:v>
                </c:pt>
                <c:pt idx="81">
                  <c:v>0.58695652173913337</c:v>
                </c:pt>
                <c:pt idx="82">
                  <c:v>0.59420289855072761</c:v>
                </c:pt>
                <c:pt idx="83">
                  <c:v>0.60144927536232184</c:v>
                </c:pt>
                <c:pt idx="84">
                  <c:v>0.60869565217391608</c:v>
                </c:pt>
                <c:pt idx="85">
                  <c:v>0.61594202898551031</c:v>
                </c:pt>
                <c:pt idx="86">
                  <c:v>0.62318840579710455</c:v>
                </c:pt>
                <c:pt idx="87">
                  <c:v>0.63043478260869878</c:v>
                </c:pt>
                <c:pt idx="88">
                  <c:v>0.63768115942029302</c:v>
                </c:pt>
                <c:pt idx="89">
                  <c:v>0.64492753623188726</c:v>
                </c:pt>
                <c:pt idx="90">
                  <c:v>0.65217391304348149</c:v>
                </c:pt>
                <c:pt idx="91">
                  <c:v>0.65942028985507573</c:v>
                </c:pt>
                <c:pt idx="92">
                  <c:v>0.66666666666666996</c:v>
                </c:pt>
                <c:pt idx="93">
                  <c:v>0.6739130434782642</c:v>
                </c:pt>
                <c:pt idx="94">
                  <c:v>0.68115942028985843</c:v>
                </c:pt>
                <c:pt idx="95">
                  <c:v>0.68840579710145267</c:v>
                </c:pt>
                <c:pt idx="96">
                  <c:v>0.6956521739130469</c:v>
                </c:pt>
                <c:pt idx="97">
                  <c:v>0.70289855072464114</c:v>
                </c:pt>
                <c:pt idx="98">
                  <c:v>0.71014492753623537</c:v>
                </c:pt>
                <c:pt idx="99">
                  <c:v>0.71739130434782961</c:v>
                </c:pt>
                <c:pt idx="100">
                  <c:v>0.72463768115942384</c:v>
                </c:pt>
                <c:pt idx="101">
                  <c:v>0.73188405797101808</c:v>
                </c:pt>
                <c:pt idx="102">
                  <c:v>0.73913043478261231</c:v>
                </c:pt>
                <c:pt idx="103">
                  <c:v>0.74637681159420655</c:v>
                </c:pt>
                <c:pt idx="104">
                  <c:v>0.75362318840580078</c:v>
                </c:pt>
                <c:pt idx="105">
                  <c:v>0.76086956521739502</c:v>
                </c:pt>
                <c:pt idx="106">
                  <c:v>0.76811594202898925</c:v>
                </c:pt>
                <c:pt idx="107">
                  <c:v>0.77536231884058349</c:v>
                </c:pt>
                <c:pt idx="108">
                  <c:v>0.78260869565217772</c:v>
                </c:pt>
                <c:pt idx="109">
                  <c:v>0.78985507246377196</c:v>
                </c:pt>
                <c:pt idx="110">
                  <c:v>0.79710144927536619</c:v>
                </c:pt>
                <c:pt idx="111">
                  <c:v>0.80434782608696043</c:v>
                </c:pt>
                <c:pt idx="112">
                  <c:v>0.81159420289855466</c:v>
                </c:pt>
                <c:pt idx="113">
                  <c:v>0.8188405797101489</c:v>
                </c:pt>
                <c:pt idx="114">
                  <c:v>0.82608695652174313</c:v>
                </c:pt>
                <c:pt idx="115">
                  <c:v>0.83333333333333737</c:v>
                </c:pt>
                <c:pt idx="116">
                  <c:v>0.8405797101449316</c:v>
                </c:pt>
                <c:pt idx="117">
                  <c:v>0.84782608695652584</c:v>
                </c:pt>
                <c:pt idx="118">
                  <c:v>0.85507246376812007</c:v>
                </c:pt>
                <c:pt idx="119">
                  <c:v>0.86231884057971431</c:v>
                </c:pt>
                <c:pt idx="120">
                  <c:v>0.86956521739130854</c:v>
                </c:pt>
                <c:pt idx="121">
                  <c:v>0.87681159420290278</c:v>
                </c:pt>
                <c:pt idx="122">
                  <c:v>0.88405797101449701</c:v>
                </c:pt>
                <c:pt idx="123">
                  <c:v>0.89130434782609125</c:v>
                </c:pt>
                <c:pt idx="124">
                  <c:v>0.89855072463768548</c:v>
                </c:pt>
                <c:pt idx="125">
                  <c:v>0.90579710144927972</c:v>
                </c:pt>
                <c:pt idx="126">
                  <c:v>0.91304347826087395</c:v>
                </c:pt>
                <c:pt idx="127">
                  <c:v>0.92028985507246819</c:v>
                </c:pt>
                <c:pt idx="128">
                  <c:v>0.92753623188406242</c:v>
                </c:pt>
                <c:pt idx="129">
                  <c:v>0.93478260869565666</c:v>
                </c:pt>
                <c:pt idx="130">
                  <c:v>0.94202898550725089</c:v>
                </c:pt>
                <c:pt idx="131">
                  <c:v>0.94927536231884513</c:v>
                </c:pt>
                <c:pt idx="132">
                  <c:v>0.95652173913043936</c:v>
                </c:pt>
                <c:pt idx="133">
                  <c:v>0.9637681159420336</c:v>
                </c:pt>
                <c:pt idx="134">
                  <c:v>0.97101449275362783</c:v>
                </c:pt>
                <c:pt idx="135">
                  <c:v>0.97826086956522207</c:v>
                </c:pt>
                <c:pt idx="136">
                  <c:v>0.9855072463768163</c:v>
                </c:pt>
                <c:pt idx="137">
                  <c:v>0.99275362318841054</c:v>
                </c:pt>
                <c:pt idx="138">
                  <c:v>1.0000000000000049</c:v>
                </c:pt>
              </c:numCache>
            </c:numRef>
          </c:xVal>
          <c:yVal>
            <c:numRef>
              <c:f>'dente de serra - vba - dados'!$B$5:$B$143</c:f>
              <c:numCache>
                <c:formatCode>0.000</c:formatCode>
                <c:ptCount val="139"/>
                <c:pt idx="0">
                  <c:v>0</c:v>
                </c:pt>
                <c:pt idx="1">
                  <c:v>7.246376811594249E-3</c:v>
                </c:pt>
                <c:pt idx="2">
                  <c:v>1.4492753623188498E-2</c:v>
                </c:pt>
                <c:pt idx="3">
                  <c:v>2.1739130434782747E-2</c:v>
                </c:pt>
                <c:pt idx="4">
                  <c:v>2.8985507246376996E-2</c:v>
                </c:pt>
                <c:pt idx="5">
                  <c:v>3.6231884057971245E-2</c:v>
                </c:pt>
                <c:pt idx="6">
                  <c:v>4.3478260869565494E-2</c:v>
                </c:pt>
                <c:pt idx="7">
                  <c:v>5.0724637681159743E-2</c:v>
                </c:pt>
                <c:pt idx="8">
                  <c:v>5.7971014492753992E-2</c:v>
                </c:pt>
                <c:pt idx="9">
                  <c:v>6.5217391304348241E-2</c:v>
                </c:pt>
                <c:pt idx="10">
                  <c:v>7.246376811594249E-2</c:v>
                </c:pt>
                <c:pt idx="11">
                  <c:v>7.9710144927536739E-2</c:v>
                </c:pt>
                <c:pt idx="12">
                  <c:v>8.6956521739130987E-2</c:v>
                </c:pt>
                <c:pt idx="13">
                  <c:v>9.4202898550725236E-2</c:v>
                </c:pt>
                <c:pt idx="14">
                  <c:v>0.10144927536231949</c:v>
                </c:pt>
                <c:pt idx="15">
                  <c:v>0.10869565217391373</c:v>
                </c:pt>
                <c:pt idx="16">
                  <c:v>0.11594202898550798</c:v>
                </c:pt>
                <c:pt idx="17">
                  <c:v>0.12318840579710223</c:v>
                </c:pt>
                <c:pt idx="18">
                  <c:v>0.13043478260869648</c:v>
                </c:pt>
                <c:pt idx="19">
                  <c:v>0.13768115942029074</c:v>
                </c:pt>
                <c:pt idx="20">
                  <c:v>0.14492753623188498</c:v>
                </c:pt>
                <c:pt idx="21">
                  <c:v>0.15217391304347921</c:v>
                </c:pt>
                <c:pt idx="22">
                  <c:v>0.15942028985507345</c:v>
                </c:pt>
                <c:pt idx="23">
                  <c:v>0.16666666666666768</c:v>
                </c:pt>
                <c:pt idx="24">
                  <c:v>0.17391304347826192</c:v>
                </c:pt>
                <c:pt idx="25">
                  <c:v>0.18115942028985615</c:v>
                </c:pt>
                <c:pt idx="26">
                  <c:v>0.18840579710145039</c:v>
                </c:pt>
                <c:pt idx="27">
                  <c:v>0.19565217391304462</c:v>
                </c:pt>
                <c:pt idx="28">
                  <c:v>0.20289855072463886</c:v>
                </c:pt>
                <c:pt idx="29">
                  <c:v>0.21014492753623309</c:v>
                </c:pt>
                <c:pt idx="30">
                  <c:v>0.21739130434782733</c:v>
                </c:pt>
                <c:pt idx="31">
                  <c:v>0.22463768115942157</c:v>
                </c:pt>
                <c:pt idx="32">
                  <c:v>0.2318840579710158</c:v>
                </c:pt>
                <c:pt idx="33">
                  <c:v>0.23913043478261004</c:v>
                </c:pt>
                <c:pt idx="34">
                  <c:v>0.24637681159420427</c:v>
                </c:pt>
                <c:pt idx="35">
                  <c:v>0.25362318840579851</c:v>
                </c:pt>
                <c:pt idx="36">
                  <c:v>0.26086956521739274</c:v>
                </c:pt>
                <c:pt idx="37">
                  <c:v>0.26811594202898698</c:v>
                </c:pt>
                <c:pt idx="38">
                  <c:v>0.27536231884058121</c:v>
                </c:pt>
                <c:pt idx="39">
                  <c:v>0.28260869565217545</c:v>
                </c:pt>
                <c:pt idx="40">
                  <c:v>0.28985507246376968</c:v>
                </c:pt>
                <c:pt idx="41">
                  <c:v>0.29710144927536392</c:v>
                </c:pt>
                <c:pt idx="42">
                  <c:v>0.30434782608695815</c:v>
                </c:pt>
                <c:pt idx="43">
                  <c:v>0.31159420289855239</c:v>
                </c:pt>
                <c:pt idx="44">
                  <c:v>0.31884057971014662</c:v>
                </c:pt>
                <c:pt idx="45">
                  <c:v>0.32608695652174086</c:v>
                </c:pt>
                <c:pt idx="46">
                  <c:v>0.33333333333333509</c:v>
                </c:pt>
                <c:pt idx="47">
                  <c:v>0.34057971014492933</c:v>
                </c:pt>
                <c:pt idx="48">
                  <c:v>0.34782608695652356</c:v>
                </c:pt>
                <c:pt idx="49">
                  <c:v>0.3550724637681178</c:v>
                </c:pt>
                <c:pt idx="50">
                  <c:v>0.36231884057971203</c:v>
                </c:pt>
                <c:pt idx="51">
                  <c:v>0.36956521739130627</c:v>
                </c:pt>
                <c:pt idx="52">
                  <c:v>0.3768115942029005</c:v>
                </c:pt>
                <c:pt idx="53">
                  <c:v>0.38405797101449474</c:v>
                </c:pt>
                <c:pt idx="54">
                  <c:v>0.39130434782608897</c:v>
                </c:pt>
                <c:pt idx="55">
                  <c:v>0.39855072463768321</c:v>
                </c:pt>
                <c:pt idx="56">
                  <c:v>0.40579710144927744</c:v>
                </c:pt>
                <c:pt idx="57">
                  <c:v>0.41304347826087168</c:v>
                </c:pt>
                <c:pt idx="58">
                  <c:v>0.42028985507246591</c:v>
                </c:pt>
                <c:pt idx="59">
                  <c:v>0.42753623188406015</c:v>
                </c:pt>
                <c:pt idx="60">
                  <c:v>0.43478260869565438</c:v>
                </c:pt>
                <c:pt idx="61">
                  <c:v>0.44202898550724862</c:v>
                </c:pt>
                <c:pt idx="62">
                  <c:v>0.44927536231884285</c:v>
                </c:pt>
                <c:pt idx="63">
                  <c:v>0.45652173913043709</c:v>
                </c:pt>
                <c:pt idx="64">
                  <c:v>0.46376811594203132</c:v>
                </c:pt>
                <c:pt idx="65">
                  <c:v>0.47101449275362556</c:v>
                </c:pt>
                <c:pt idx="66">
                  <c:v>0.47826086956521979</c:v>
                </c:pt>
                <c:pt idx="67">
                  <c:v>0.48550724637681403</c:v>
                </c:pt>
                <c:pt idx="68">
                  <c:v>0.49275362318840826</c:v>
                </c:pt>
                <c:pt idx="69">
                  <c:v>0.50000000000000255</c:v>
                </c:pt>
                <c:pt idx="70">
                  <c:v>0.50724637681159679</c:v>
                </c:pt>
                <c:pt idx="71">
                  <c:v>0.51449275362319102</c:v>
                </c:pt>
                <c:pt idx="72">
                  <c:v>0.52173913043478526</c:v>
                </c:pt>
                <c:pt idx="73">
                  <c:v>0.52898550724637949</c:v>
                </c:pt>
                <c:pt idx="74">
                  <c:v>0.53623188405797373</c:v>
                </c:pt>
                <c:pt idx="75">
                  <c:v>0.54347826086956796</c:v>
                </c:pt>
                <c:pt idx="76">
                  <c:v>0.5507246376811622</c:v>
                </c:pt>
                <c:pt idx="77">
                  <c:v>0.55797101449275643</c:v>
                </c:pt>
                <c:pt idx="78">
                  <c:v>0.56521739130435067</c:v>
                </c:pt>
                <c:pt idx="79">
                  <c:v>0.5724637681159449</c:v>
                </c:pt>
                <c:pt idx="80">
                  <c:v>0.57971014492753914</c:v>
                </c:pt>
                <c:pt idx="81">
                  <c:v>0.58695652173913337</c:v>
                </c:pt>
                <c:pt idx="82">
                  <c:v>0.59420289855072761</c:v>
                </c:pt>
                <c:pt idx="83">
                  <c:v>0.60144927536232184</c:v>
                </c:pt>
                <c:pt idx="84">
                  <c:v>0.60869565217391608</c:v>
                </c:pt>
                <c:pt idx="85">
                  <c:v>0.61594202898551031</c:v>
                </c:pt>
                <c:pt idx="86">
                  <c:v>0.62318840579710455</c:v>
                </c:pt>
                <c:pt idx="87">
                  <c:v>0.63043478260869878</c:v>
                </c:pt>
                <c:pt idx="88">
                  <c:v>0.63768115942029302</c:v>
                </c:pt>
                <c:pt idx="89">
                  <c:v>0.64492753623188726</c:v>
                </c:pt>
                <c:pt idx="90">
                  <c:v>0.65217391304348149</c:v>
                </c:pt>
                <c:pt idx="91">
                  <c:v>0.65942028985507573</c:v>
                </c:pt>
                <c:pt idx="92">
                  <c:v>0.66666666666666996</c:v>
                </c:pt>
                <c:pt idx="93">
                  <c:v>0.6739130434782642</c:v>
                </c:pt>
                <c:pt idx="94">
                  <c:v>0.68115942028985843</c:v>
                </c:pt>
                <c:pt idx="95">
                  <c:v>0.68840579710145267</c:v>
                </c:pt>
                <c:pt idx="96">
                  <c:v>0.6956521739130469</c:v>
                </c:pt>
                <c:pt idx="97">
                  <c:v>0.70289855072464114</c:v>
                </c:pt>
                <c:pt idx="98">
                  <c:v>0.71014492753623537</c:v>
                </c:pt>
                <c:pt idx="99">
                  <c:v>0.71739130434782961</c:v>
                </c:pt>
                <c:pt idx="100">
                  <c:v>0.72463768115942384</c:v>
                </c:pt>
                <c:pt idx="101">
                  <c:v>0.73188405797101808</c:v>
                </c:pt>
                <c:pt idx="102">
                  <c:v>0.73913043478261231</c:v>
                </c:pt>
                <c:pt idx="103">
                  <c:v>0.74637681159420655</c:v>
                </c:pt>
                <c:pt idx="104">
                  <c:v>0.75362318840580078</c:v>
                </c:pt>
                <c:pt idx="105">
                  <c:v>0.76086956521739502</c:v>
                </c:pt>
                <c:pt idx="106">
                  <c:v>0.76811594202898925</c:v>
                </c:pt>
                <c:pt idx="107">
                  <c:v>0.77536231884058349</c:v>
                </c:pt>
                <c:pt idx="108">
                  <c:v>0.78260869565217772</c:v>
                </c:pt>
                <c:pt idx="109">
                  <c:v>0.78985507246377196</c:v>
                </c:pt>
                <c:pt idx="110">
                  <c:v>0.79710144927536619</c:v>
                </c:pt>
                <c:pt idx="111">
                  <c:v>0.80434782608696043</c:v>
                </c:pt>
                <c:pt idx="112">
                  <c:v>0.81159420289855466</c:v>
                </c:pt>
                <c:pt idx="113">
                  <c:v>0.8188405797101489</c:v>
                </c:pt>
                <c:pt idx="114">
                  <c:v>0.82608695652174313</c:v>
                </c:pt>
                <c:pt idx="115">
                  <c:v>0.83333333333333737</c:v>
                </c:pt>
                <c:pt idx="116">
                  <c:v>0.8405797101449316</c:v>
                </c:pt>
                <c:pt idx="117">
                  <c:v>0.84782608695652584</c:v>
                </c:pt>
                <c:pt idx="118">
                  <c:v>0.85507246376812007</c:v>
                </c:pt>
                <c:pt idx="119">
                  <c:v>0.86231884057971431</c:v>
                </c:pt>
                <c:pt idx="120">
                  <c:v>0.86956521739130854</c:v>
                </c:pt>
                <c:pt idx="121">
                  <c:v>0.87681159420290278</c:v>
                </c:pt>
                <c:pt idx="122">
                  <c:v>0.88405797101449701</c:v>
                </c:pt>
                <c:pt idx="123">
                  <c:v>0.89130434782609125</c:v>
                </c:pt>
                <c:pt idx="124">
                  <c:v>0.89855072463768548</c:v>
                </c:pt>
                <c:pt idx="125">
                  <c:v>0.90579710144927972</c:v>
                </c:pt>
                <c:pt idx="126">
                  <c:v>0.91304347826087395</c:v>
                </c:pt>
                <c:pt idx="127">
                  <c:v>0.92028985507246819</c:v>
                </c:pt>
                <c:pt idx="128">
                  <c:v>0.92753623188406242</c:v>
                </c:pt>
                <c:pt idx="129">
                  <c:v>0.93478260869565666</c:v>
                </c:pt>
                <c:pt idx="130">
                  <c:v>0.94202898550725089</c:v>
                </c:pt>
                <c:pt idx="131">
                  <c:v>0.94927536231884513</c:v>
                </c:pt>
                <c:pt idx="132">
                  <c:v>0.95652173913043936</c:v>
                </c:pt>
                <c:pt idx="133">
                  <c:v>0.9637681159420336</c:v>
                </c:pt>
                <c:pt idx="134">
                  <c:v>0.97101449275362783</c:v>
                </c:pt>
                <c:pt idx="135">
                  <c:v>0.97826086956522207</c:v>
                </c:pt>
                <c:pt idx="136">
                  <c:v>0.9855072463768163</c:v>
                </c:pt>
                <c:pt idx="137">
                  <c:v>0.99275362318841054</c:v>
                </c:pt>
                <c:pt idx="138">
                  <c:v>1.0000000000000049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9E-4062-94E5-935ED9C8E0A2}"/>
            </c:ext>
          </c:extLst>
        </c:ser>
        <c:ser>
          <c:idx val="1"/>
          <c:order val="1"/>
          <c:tx>
            <c:strRef>
              <c:f>'dente de serra - vba - dados'!$C$4</c:f>
              <c:strCache>
                <c:ptCount val="1"/>
                <c:pt idx="0">
                  <c:v>fc(t)</c:v>
                </c:pt>
              </c:strCache>
            </c:strRef>
          </c:tx>
          <c:marker>
            <c:symbol val="none"/>
          </c:marker>
          <c:xVal>
            <c:numRef>
              <c:f>'dente de serra - vba - dados'!$A$5:$A$143</c:f>
              <c:numCache>
                <c:formatCode>0.000</c:formatCode>
                <c:ptCount val="139"/>
                <c:pt idx="0">
                  <c:v>0</c:v>
                </c:pt>
                <c:pt idx="1">
                  <c:v>7.246376811594249E-3</c:v>
                </c:pt>
                <c:pt idx="2">
                  <c:v>1.4492753623188498E-2</c:v>
                </c:pt>
                <c:pt idx="3">
                  <c:v>2.1739130434782747E-2</c:v>
                </c:pt>
                <c:pt idx="4">
                  <c:v>2.8985507246376996E-2</c:v>
                </c:pt>
                <c:pt idx="5">
                  <c:v>3.6231884057971245E-2</c:v>
                </c:pt>
                <c:pt idx="6">
                  <c:v>4.3478260869565494E-2</c:v>
                </c:pt>
                <c:pt idx="7">
                  <c:v>5.0724637681159743E-2</c:v>
                </c:pt>
                <c:pt idx="8">
                  <c:v>5.7971014492753992E-2</c:v>
                </c:pt>
                <c:pt idx="9">
                  <c:v>6.5217391304348241E-2</c:v>
                </c:pt>
                <c:pt idx="10">
                  <c:v>7.246376811594249E-2</c:v>
                </c:pt>
                <c:pt idx="11">
                  <c:v>7.9710144927536739E-2</c:v>
                </c:pt>
                <c:pt idx="12">
                  <c:v>8.6956521739130987E-2</c:v>
                </c:pt>
                <c:pt idx="13">
                  <c:v>9.4202898550725236E-2</c:v>
                </c:pt>
                <c:pt idx="14">
                  <c:v>0.10144927536231949</c:v>
                </c:pt>
                <c:pt idx="15">
                  <c:v>0.10869565217391373</c:v>
                </c:pt>
                <c:pt idx="16">
                  <c:v>0.11594202898550798</c:v>
                </c:pt>
                <c:pt idx="17">
                  <c:v>0.12318840579710223</c:v>
                </c:pt>
                <c:pt idx="18">
                  <c:v>0.13043478260869648</c:v>
                </c:pt>
                <c:pt idx="19">
                  <c:v>0.13768115942029074</c:v>
                </c:pt>
                <c:pt idx="20">
                  <c:v>0.14492753623188498</c:v>
                </c:pt>
                <c:pt idx="21">
                  <c:v>0.15217391304347921</c:v>
                </c:pt>
                <c:pt idx="22">
                  <c:v>0.15942028985507345</c:v>
                </c:pt>
                <c:pt idx="23">
                  <c:v>0.16666666666666768</c:v>
                </c:pt>
                <c:pt idx="24">
                  <c:v>0.17391304347826192</c:v>
                </c:pt>
                <c:pt idx="25">
                  <c:v>0.18115942028985615</c:v>
                </c:pt>
                <c:pt idx="26">
                  <c:v>0.18840579710145039</c:v>
                </c:pt>
                <c:pt idx="27">
                  <c:v>0.19565217391304462</c:v>
                </c:pt>
                <c:pt idx="28">
                  <c:v>0.20289855072463886</c:v>
                </c:pt>
                <c:pt idx="29">
                  <c:v>0.21014492753623309</c:v>
                </c:pt>
                <c:pt idx="30">
                  <c:v>0.21739130434782733</c:v>
                </c:pt>
                <c:pt idx="31">
                  <c:v>0.22463768115942157</c:v>
                </c:pt>
                <c:pt idx="32">
                  <c:v>0.2318840579710158</c:v>
                </c:pt>
                <c:pt idx="33">
                  <c:v>0.23913043478261004</c:v>
                </c:pt>
                <c:pt idx="34">
                  <c:v>0.24637681159420427</c:v>
                </c:pt>
                <c:pt idx="35">
                  <c:v>0.25362318840579851</c:v>
                </c:pt>
                <c:pt idx="36">
                  <c:v>0.26086956521739274</c:v>
                </c:pt>
                <c:pt idx="37">
                  <c:v>0.26811594202898698</c:v>
                </c:pt>
                <c:pt idx="38">
                  <c:v>0.27536231884058121</c:v>
                </c:pt>
                <c:pt idx="39">
                  <c:v>0.28260869565217545</c:v>
                </c:pt>
                <c:pt idx="40">
                  <c:v>0.28985507246376968</c:v>
                </c:pt>
                <c:pt idx="41">
                  <c:v>0.29710144927536392</c:v>
                </c:pt>
                <c:pt idx="42">
                  <c:v>0.30434782608695815</c:v>
                </c:pt>
                <c:pt idx="43">
                  <c:v>0.31159420289855239</c:v>
                </c:pt>
                <c:pt idx="44">
                  <c:v>0.31884057971014662</c:v>
                </c:pt>
                <c:pt idx="45">
                  <c:v>0.32608695652174086</c:v>
                </c:pt>
                <c:pt idx="46">
                  <c:v>0.33333333333333509</c:v>
                </c:pt>
                <c:pt idx="47">
                  <c:v>0.34057971014492933</c:v>
                </c:pt>
                <c:pt idx="48">
                  <c:v>0.34782608695652356</c:v>
                </c:pt>
                <c:pt idx="49">
                  <c:v>0.3550724637681178</c:v>
                </c:pt>
                <c:pt idx="50">
                  <c:v>0.36231884057971203</c:v>
                </c:pt>
                <c:pt idx="51">
                  <c:v>0.36956521739130627</c:v>
                </c:pt>
                <c:pt idx="52">
                  <c:v>0.3768115942029005</c:v>
                </c:pt>
                <c:pt idx="53">
                  <c:v>0.38405797101449474</c:v>
                </c:pt>
                <c:pt idx="54">
                  <c:v>0.39130434782608897</c:v>
                </c:pt>
                <c:pt idx="55">
                  <c:v>0.39855072463768321</c:v>
                </c:pt>
                <c:pt idx="56">
                  <c:v>0.40579710144927744</c:v>
                </c:pt>
                <c:pt idx="57">
                  <c:v>0.41304347826087168</c:v>
                </c:pt>
                <c:pt idx="58">
                  <c:v>0.42028985507246591</c:v>
                </c:pt>
                <c:pt idx="59">
                  <c:v>0.42753623188406015</c:v>
                </c:pt>
                <c:pt idx="60">
                  <c:v>0.43478260869565438</c:v>
                </c:pt>
                <c:pt idx="61">
                  <c:v>0.44202898550724862</c:v>
                </c:pt>
                <c:pt idx="62">
                  <c:v>0.44927536231884285</c:v>
                </c:pt>
                <c:pt idx="63">
                  <c:v>0.45652173913043709</c:v>
                </c:pt>
                <c:pt idx="64">
                  <c:v>0.46376811594203132</c:v>
                </c:pt>
                <c:pt idx="65">
                  <c:v>0.47101449275362556</c:v>
                </c:pt>
                <c:pt idx="66">
                  <c:v>0.47826086956521979</c:v>
                </c:pt>
                <c:pt idx="67">
                  <c:v>0.48550724637681403</c:v>
                </c:pt>
                <c:pt idx="68">
                  <c:v>0.49275362318840826</c:v>
                </c:pt>
                <c:pt idx="69">
                  <c:v>0.50000000000000255</c:v>
                </c:pt>
                <c:pt idx="70">
                  <c:v>0.50724637681159679</c:v>
                </c:pt>
                <c:pt idx="71">
                  <c:v>0.51449275362319102</c:v>
                </c:pt>
                <c:pt idx="72">
                  <c:v>0.52173913043478526</c:v>
                </c:pt>
                <c:pt idx="73">
                  <c:v>0.52898550724637949</c:v>
                </c:pt>
                <c:pt idx="74">
                  <c:v>0.53623188405797373</c:v>
                </c:pt>
                <c:pt idx="75">
                  <c:v>0.54347826086956796</c:v>
                </c:pt>
                <c:pt idx="76">
                  <c:v>0.5507246376811622</c:v>
                </c:pt>
                <c:pt idx="77">
                  <c:v>0.55797101449275643</c:v>
                </c:pt>
                <c:pt idx="78">
                  <c:v>0.56521739130435067</c:v>
                </c:pt>
                <c:pt idx="79">
                  <c:v>0.5724637681159449</c:v>
                </c:pt>
                <c:pt idx="80">
                  <c:v>0.57971014492753914</c:v>
                </c:pt>
                <c:pt idx="81">
                  <c:v>0.58695652173913337</c:v>
                </c:pt>
                <c:pt idx="82">
                  <c:v>0.59420289855072761</c:v>
                </c:pt>
                <c:pt idx="83">
                  <c:v>0.60144927536232184</c:v>
                </c:pt>
                <c:pt idx="84">
                  <c:v>0.60869565217391608</c:v>
                </c:pt>
                <c:pt idx="85">
                  <c:v>0.61594202898551031</c:v>
                </c:pt>
                <c:pt idx="86">
                  <c:v>0.62318840579710455</c:v>
                </c:pt>
                <c:pt idx="87">
                  <c:v>0.63043478260869878</c:v>
                </c:pt>
                <c:pt idx="88">
                  <c:v>0.63768115942029302</c:v>
                </c:pt>
                <c:pt idx="89">
                  <c:v>0.64492753623188726</c:v>
                </c:pt>
                <c:pt idx="90">
                  <c:v>0.65217391304348149</c:v>
                </c:pt>
                <c:pt idx="91">
                  <c:v>0.65942028985507573</c:v>
                </c:pt>
                <c:pt idx="92">
                  <c:v>0.66666666666666996</c:v>
                </c:pt>
                <c:pt idx="93">
                  <c:v>0.6739130434782642</c:v>
                </c:pt>
                <c:pt idx="94">
                  <c:v>0.68115942028985843</c:v>
                </c:pt>
                <c:pt idx="95">
                  <c:v>0.68840579710145267</c:v>
                </c:pt>
                <c:pt idx="96">
                  <c:v>0.6956521739130469</c:v>
                </c:pt>
                <c:pt idx="97">
                  <c:v>0.70289855072464114</c:v>
                </c:pt>
                <c:pt idx="98">
                  <c:v>0.71014492753623537</c:v>
                </c:pt>
                <c:pt idx="99">
                  <c:v>0.71739130434782961</c:v>
                </c:pt>
                <c:pt idx="100">
                  <c:v>0.72463768115942384</c:v>
                </c:pt>
                <c:pt idx="101">
                  <c:v>0.73188405797101808</c:v>
                </c:pt>
                <c:pt idx="102">
                  <c:v>0.73913043478261231</c:v>
                </c:pt>
                <c:pt idx="103">
                  <c:v>0.74637681159420655</c:v>
                </c:pt>
                <c:pt idx="104">
                  <c:v>0.75362318840580078</c:v>
                </c:pt>
                <c:pt idx="105">
                  <c:v>0.76086956521739502</c:v>
                </c:pt>
                <c:pt idx="106">
                  <c:v>0.76811594202898925</c:v>
                </c:pt>
                <c:pt idx="107">
                  <c:v>0.77536231884058349</c:v>
                </c:pt>
                <c:pt idx="108">
                  <c:v>0.78260869565217772</c:v>
                </c:pt>
                <c:pt idx="109">
                  <c:v>0.78985507246377196</c:v>
                </c:pt>
                <c:pt idx="110">
                  <c:v>0.79710144927536619</c:v>
                </c:pt>
                <c:pt idx="111">
                  <c:v>0.80434782608696043</c:v>
                </c:pt>
                <c:pt idx="112">
                  <c:v>0.81159420289855466</c:v>
                </c:pt>
                <c:pt idx="113">
                  <c:v>0.8188405797101489</c:v>
                </c:pt>
                <c:pt idx="114">
                  <c:v>0.82608695652174313</c:v>
                </c:pt>
                <c:pt idx="115">
                  <c:v>0.83333333333333737</c:v>
                </c:pt>
                <c:pt idx="116">
                  <c:v>0.8405797101449316</c:v>
                </c:pt>
                <c:pt idx="117">
                  <c:v>0.84782608695652584</c:v>
                </c:pt>
                <c:pt idx="118">
                  <c:v>0.85507246376812007</c:v>
                </c:pt>
                <c:pt idx="119">
                  <c:v>0.86231884057971431</c:v>
                </c:pt>
                <c:pt idx="120">
                  <c:v>0.86956521739130854</c:v>
                </c:pt>
                <c:pt idx="121">
                  <c:v>0.87681159420290278</c:v>
                </c:pt>
                <c:pt idx="122">
                  <c:v>0.88405797101449701</c:v>
                </c:pt>
                <c:pt idx="123">
                  <c:v>0.89130434782609125</c:v>
                </c:pt>
                <c:pt idx="124">
                  <c:v>0.89855072463768548</c:v>
                </c:pt>
                <c:pt idx="125">
                  <c:v>0.90579710144927972</c:v>
                </c:pt>
                <c:pt idx="126">
                  <c:v>0.91304347826087395</c:v>
                </c:pt>
                <c:pt idx="127">
                  <c:v>0.92028985507246819</c:v>
                </c:pt>
                <c:pt idx="128">
                  <c:v>0.92753623188406242</c:v>
                </c:pt>
                <c:pt idx="129">
                  <c:v>0.93478260869565666</c:v>
                </c:pt>
                <c:pt idx="130">
                  <c:v>0.94202898550725089</c:v>
                </c:pt>
                <c:pt idx="131">
                  <c:v>0.94927536231884513</c:v>
                </c:pt>
                <c:pt idx="132">
                  <c:v>0.95652173913043936</c:v>
                </c:pt>
                <c:pt idx="133">
                  <c:v>0.9637681159420336</c:v>
                </c:pt>
                <c:pt idx="134">
                  <c:v>0.97101449275362783</c:v>
                </c:pt>
                <c:pt idx="135">
                  <c:v>0.97826086956522207</c:v>
                </c:pt>
                <c:pt idx="136">
                  <c:v>0.9855072463768163</c:v>
                </c:pt>
                <c:pt idx="137">
                  <c:v>0.99275362318841054</c:v>
                </c:pt>
                <c:pt idx="138">
                  <c:v>1.0000000000000049</c:v>
                </c:pt>
              </c:numCache>
            </c:numRef>
          </c:xVal>
          <c:yVal>
            <c:numRef>
              <c:f>'dente de serra - vba - dados'!$C$5:$C$143</c:f>
              <c:numCache>
                <c:formatCode>0.000</c:formatCode>
                <c:ptCount val="139"/>
                <c:pt idx="0">
                  <c:v>0.49999944453450623</c:v>
                </c:pt>
                <c:pt idx="1">
                  <c:v>0.26661060742018167</c:v>
                </c:pt>
                <c:pt idx="2">
                  <c:v>8.0449289695253848E-2</c:v>
                </c:pt>
                <c:pt idx="3">
                  <c:v>-2.8127385961405415E-2</c:v>
                </c:pt>
                <c:pt idx="4">
                  <c:v>-5.5305986147510901E-2</c:v>
                </c:pt>
                <c:pt idx="5">
                  <c:v>-2.2442637765220944E-2</c:v>
                </c:pt>
                <c:pt idx="6">
                  <c:v>3.5153592200392728E-2</c:v>
                </c:pt>
                <c:pt idx="7">
                  <c:v>8.3755513932183709E-2</c:v>
                </c:pt>
                <c:pt idx="8">
                  <c:v>0.10399164842774389</c:v>
                </c:pt>
                <c:pt idx="9">
                  <c:v>9.560462810560956E-2</c:v>
                </c:pt>
                <c:pt idx="10">
                  <c:v>7.3086883960468113E-2</c:v>
                </c:pt>
                <c:pt idx="11">
                  <c:v>5.5416783426069455E-2</c:v>
                </c:pt>
                <c:pt idx="12">
                  <c:v>5.5525387210915648E-2</c:v>
                </c:pt>
                <c:pt idx="13">
                  <c:v>7.458431818066355E-2</c:v>
                </c:pt>
                <c:pt idx="14">
                  <c:v>0.10323102850046599</c:v>
                </c:pt>
                <c:pt idx="15">
                  <c:v>0.12813318956266728</c:v>
                </c:pt>
                <c:pt idx="16">
                  <c:v>0.13977664187006497</c:v>
                </c:pt>
                <c:pt idx="17">
                  <c:v>0.13721385043432008</c:v>
                </c:pt>
                <c:pt idx="18">
                  <c:v>0.12758904256452613</c:v>
                </c:pt>
                <c:pt idx="19">
                  <c:v>0.12127319371062049</c:v>
                </c:pt>
                <c:pt idx="20">
                  <c:v>0.12572123547718567</c:v>
                </c:pt>
                <c:pt idx="21">
                  <c:v>0.1415563490047187</c:v>
                </c:pt>
                <c:pt idx="22">
                  <c:v>0.16284244496399802</c:v>
                </c:pt>
                <c:pt idx="23">
                  <c:v>0.18102281004425824</c:v>
                </c:pt>
                <c:pt idx="24">
                  <c:v>0.1900112213190065</c:v>
                </c:pt>
                <c:pt idx="25">
                  <c:v>0.1894787436990655</c:v>
                </c:pt>
                <c:pt idx="26">
                  <c:v>0.18461592913372041</c:v>
                </c:pt>
                <c:pt idx="27">
                  <c:v>0.18276016593988906</c:v>
                </c:pt>
                <c:pt idx="28">
                  <c:v>0.18902371078201333</c:v>
                </c:pt>
                <c:pt idx="29">
                  <c:v>0.20348393640451473</c:v>
                </c:pt>
                <c:pt idx="30">
                  <c:v>0.22144616484383625</c:v>
                </c:pt>
                <c:pt idx="31">
                  <c:v>0.236443839939597</c:v>
                </c:pt>
                <c:pt idx="32">
                  <c:v>0.24409297145314302</c:v>
                </c:pt>
                <c:pt idx="33">
                  <c:v>0.24453159494143301</c:v>
                </c:pt>
                <c:pt idx="34">
                  <c:v>0.24210908312689705</c:v>
                </c:pt>
                <c:pt idx="35">
                  <c:v>0.24264322920518852</c:v>
                </c:pt>
                <c:pt idx="36">
                  <c:v>0.24995252694132292</c:v>
                </c:pt>
                <c:pt idx="37">
                  <c:v>0.26371118306347346</c:v>
                </c:pt>
                <c:pt idx="38">
                  <c:v>0.27981650684031312</c:v>
                </c:pt>
                <c:pt idx="39">
                  <c:v>0.29294884098261548</c:v>
                </c:pt>
                <c:pt idx="40">
                  <c:v>0.29974219963892806</c:v>
                </c:pt>
                <c:pt idx="41">
                  <c:v>0.30068985237337953</c:v>
                </c:pt>
                <c:pt idx="42">
                  <c:v>0.29971687133412878</c:v>
                </c:pt>
                <c:pt idx="43">
                  <c:v>0.30175211177351241</c:v>
                </c:pt>
                <c:pt idx="44">
                  <c:v>0.30979036942427735</c:v>
                </c:pt>
                <c:pt idx="45">
                  <c:v>0.32318528019175979</c:v>
                </c:pt>
                <c:pt idx="46">
                  <c:v>0.33813818549201752</c:v>
                </c:pt>
                <c:pt idx="47">
                  <c:v>0.35003138603266548</c:v>
                </c:pt>
                <c:pt idx="48">
                  <c:v>0.35618111636365396</c:v>
                </c:pt>
                <c:pt idx="49">
                  <c:v>0.35737719515838295</c:v>
                </c:pt>
                <c:pt idx="50">
                  <c:v>0.35733188957325118</c:v>
                </c:pt>
                <c:pt idx="51">
                  <c:v>0.36041299660429377</c:v>
                </c:pt>
                <c:pt idx="52">
                  <c:v>0.36903874734034908</c:v>
                </c:pt>
                <c:pt idx="53">
                  <c:v>0.38228165749762455</c:v>
                </c:pt>
                <c:pt idx="54">
                  <c:v>0.3964830062927176</c:v>
                </c:pt>
                <c:pt idx="55">
                  <c:v>0.40747625803934018</c:v>
                </c:pt>
                <c:pt idx="56">
                  <c:v>0.41307375551108383</c:v>
                </c:pt>
                <c:pt idx="57">
                  <c:v>0.41433810989121594</c:v>
                </c:pt>
                <c:pt idx="58">
                  <c:v>0.41490272986401966</c:v>
                </c:pt>
                <c:pt idx="59">
                  <c:v>0.41877266330610963</c:v>
                </c:pt>
                <c:pt idx="60">
                  <c:v>0.42793208030939817</c:v>
                </c:pt>
                <c:pt idx="61">
                  <c:v>0.44118283032335004</c:v>
                </c:pt>
                <c:pt idx="62">
                  <c:v>0.45489135332097497</c:v>
                </c:pt>
                <c:pt idx="63">
                  <c:v>0.46518056117774093</c:v>
                </c:pt>
                <c:pt idx="64">
                  <c:v>0.47024872616419749</c:v>
                </c:pt>
                <c:pt idx="65">
                  <c:v>0.4714327559820255</c:v>
                </c:pt>
                <c:pt idx="66">
                  <c:v>0.4723904217491553</c:v>
                </c:pt>
                <c:pt idx="67">
                  <c:v>0.47690002008889609</c:v>
                </c:pt>
                <c:pt idx="68">
                  <c:v>0.48659709190208356</c:v>
                </c:pt>
                <c:pt idx="69">
                  <c:v>0.49999992612557442</c:v>
                </c:pt>
                <c:pt idx="70">
                  <c:v>0.51340275230345556</c:v>
                </c:pt>
                <c:pt idx="71">
                  <c:v>0.5230998048060449</c:v>
                </c:pt>
                <c:pt idx="72">
                  <c:v>0.52760938416250058</c:v>
                </c:pt>
                <c:pt idx="73">
                  <c:v>0.52856704269407739</c:v>
                </c:pt>
                <c:pt idx="74">
                  <c:v>0.52975108142331395</c:v>
                </c:pt>
                <c:pt idx="75">
                  <c:v>0.53481926618123443</c:v>
                </c:pt>
                <c:pt idx="76">
                  <c:v>0.54510849282515306</c:v>
                </c:pt>
                <c:pt idx="77">
                  <c:v>0.55881702230025232</c:v>
                </c:pt>
                <c:pt idx="78">
                  <c:v>0.57206776248470548</c:v>
                </c:pt>
                <c:pt idx="79">
                  <c:v>0.58122715914282952</c:v>
                </c:pt>
                <c:pt idx="80">
                  <c:v>0.58509707390735655</c:v>
                </c:pt>
                <c:pt idx="81">
                  <c:v>0.58566168817669728</c:v>
                </c:pt>
                <c:pt idx="82">
                  <c:v>0.58692605343880988</c:v>
                </c:pt>
                <c:pt idx="83">
                  <c:v>0.59252357202363637</c:v>
                </c:pt>
                <c:pt idx="84">
                  <c:v>0.60351684249029913</c:v>
                </c:pt>
                <c:pt idx="85">
                  <c:v>0.61771819623941349</c:v>
                </c:pt>
                <c:pt idx="86">
                  <c:v>0.63096109434371639</c:v>
                </c:pt>
                <c:pt idx="87">
                  <c:v>0.63958682300447811</c:v>
                </c:pt>
                <c:pt idx="88">
                  <c:v>0.6426679111156911</c:v>
                </c:pt>
                <c:pt idx="89">
                  <c:v>0.64262260129598536</c:v>
                </c:pt>
                <c:pt idx="90">
                  <c:v>0.64381869342177833</c:v>
                </c:pt>
                <c:pt idx="91">
                  <c:v>0.64996844695244571</c:v>
                </c:pt>
                <c:pt idx="92">
                  <c:v>0.66186166670269642</c:v>
                </c:pt>
                <c:pt idx="93">
                  <c:v>0.67681457544345225</c:v>
                </c:pt>
                <c:pt idx="94">
                  <c:v>0.6902094713712178</c:v>
                </c:pt>
                <c:pt idx="95">
                  <c:v>0.69824770443008766</c:v>
                </c:pt>
                <c:pt idx="96">
                  <c:v>0.700282925232938</c:v>
                </c:pt>
                <c:pt idx="97">
                  <c:v>0.69930994165747351</c:v>
                </c:pt>
                <c:pt idx="98">
                  <c:v>0.70025761108115259</c:v>
                </c:pt>
                <c:pt idx="99">
                  <c:v>0.70705099613300304</c:v>
                </c:pt>
                <c:pt idx="100">
                  <c:v>0.72018335059555505</c:v>
                </c:pt>
                <c:pt idx="101">
                  <c:v>0.73628867594598524</c:v>
                </c:pt>
                <c:pt idx="102">
                  <c:v>0.75004731316834627</c:v>
                </c:pt>
                <c:pt idx="103">
                  <c:v>0.75735658224330382</c:v>
                </c:pt>
                <c:pt idx="104">
                  <c:v>0.7578907070471248</c:v>
                </c:pt>
                <c:pt idx="105">
                  <c:v>0.75546819475593041</c:v>
                </c:pt>
                <c:pt idx="106">
                  <c:v>0.7559068398812997</c:v>
                </c:pt>
                <c:pt idx="107">
                  <c:v>0.76355600297376303</c:v>
                </c:pt>
                <c:pt idx="108">
                  <c:v>0.77855370067967899</c:v>
                </c:pt>
                <c:pt idx="109">
                  <c:v>0.79651592831270845</c:v>
                </c:pt>
                <c:pt idx="110">
                  <c:v>0.81097612881617209</c:v>
                </c:pt>
                <c:pt idx="111">
                  <c:v>0.81723963822533285</c:v>
                </c:pt>
                <c:pt idx="112">
                  <c:v>0.815383850519943</c:v>
                </c:pt>
                <c:pt idx="113">
                  <c:v>0.81052103828744204</c:v>
                </c:pt>
                <c:pt idx="114">
                  <c:v>0.80998859032964543</c:v>
                </c:pt>
                <c:pt idx="115">
                  <c:v>0.81897704224665024</c:v>
                </c:pt>
                <c:pt idx="116">
                  <c:v>0.8371574345471644</c:v>
                </c:pt>
                <c:pt idx="117">
                  <c:v>0.85844352621185704</c:v>
                </c:pt>
                <c:pt idx="118">
                  <c:v>0.87427860379792566</c:v>
                </c:pt>
                <c:pt idx="119">
                  <c:v>0.87872659746437864</c:v>
                </c:pt>
                <c:pt idx="120">
                  <c:v>0.87241071728598651</c:v>
                </c:pt>
                <c:pt idx="121">
                  <c:v>0.86278591635619062</c:v>
                </c:pt>
                <c:pt idx="122">
                  <c:v>0.86022317014678795</c:v>
                </c:pt>
                <c:pt idx="123">
                  <c:v>0.87186668211095397</c:v>
                </c:pt>
                <c:pt idx="124">
                  <c:v>0.89676888137747535</c:v>
                </c:pt>
                <c:pt idx="125">
                  <c:v>0.92541558109960009</c:v>
                </c:pt>
                <c:pt idx="126">
                  <c:v>0.9444744518486432</c:v>
                </c:pt>
                <c:pt idx="127">
                  <c:v>0.94458297593205875</c:v>
                </c:pt>
                <c:pt idx="128">
                  <c:v>0.92691282384573548</c:v>
                </c:pt>
                <c:pt idx="129">
                  <c:v>0.90439509547334251</c:v>
                </c:pt>
                <c:pt idx="130">
                  <c:v>0.8960081637004399</c:v>
                </c:pt>
                <c:pt idx="131">
                  <c:v>0.916244420934752</c:v>
                </c:pt>
                <c:pt idx="132">
                  <c:v>0.96484642928127839</c:v>
                </c:pt>
                <c:pt idx="133">
                  <c:v>1.0224426389429315</c:v>
                </c:pt>
                <c:pt idx="134">
                  <c:v>1.0553058249286034</c:v>
                </c:pt>
                <c:pt idx="135">
                  <c:v>1.0281269437668843</c:v>
                </c:pt>
                <c:pt idx="136">
                  <c:v>0.91954994806683377</c:v>
                </c:pt>
                <c:pt idx="137">
                  <c:v>0.73338837754635211</c:v>
                </c:pt>
                <c:pt idx="138">
                  <c:v>0.49999944453434392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9E-4062-94E5-935ED9C8E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556832"/>
        <c:axId val="1"/>
      </c:scatterChart>
      <c:valAx>
        <c:axId val="38455683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84556832"/>
        <c:crosses val="autoZero"/>
        <c:crossBetween val="midCat"/>
      </c:valAx>
    </c:plotArea>
    <c:legend>
      <c:legendPos val="r"/>
      <c:layout/>
      <c:overlay val="0"/>
    </c:legend>
    <c:plotVisOnly val="0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2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3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5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6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8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áf9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áf4"/>
  <sheetViews>
    <sheetView tabSelected="1" zoomScale="123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8902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P27"/>
  <sheetViews>
    <sheetView zoomScale="120" zoomScaleNormal="120" workbookViewId="0">
      <selection activeCell="B6" sqref="B6"/>
    </sheetView>
  </sheetViews>
  <sheetFormatPr defaultRowHeight="15" x14ac:dyDescent="0.25"/>
  <cols>
    <col min="5" max="14" width="9.28515625" customWidth="1"/>
  </cols>
  <sheetData>
    <row r="1" spans="1:16" x14ac:dyDescent="0.25">
      <c r="A1" s="28" t="s">
        <v>5</v>
      </c>
      <c r="B1" s="2">
        <v>2</v>
      </c>
      <c r="D1" s="28" t="s">
        <v>16</v>
      </c>
      <c r="E1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</row>
    <row r="2" spans="1:16" x14ac:dyDescent="0.25">
      <c r="A2" s="28" t="s">
        <v>2</v>
      </c>
      <c r="B2" s="2">
        <v>0.1</v>
      </c>
      <c r="D2" s="28" t="s">
        <v>15</v>
      </c>
      <c r="E2" s="4">
        <f>2*PI()*E1/$B$1</f>
        <v>0</v>
      </c>
      <c r="F2" s="4">
        <f>2*PI()*F1/$B$1</f>
        <v>3.1415926535897931</v>
      </c>
      <c r="G2" s="4">
        <f>2*PI()*G1/$B$1</f>
        <v>6.2831853071795862</v>
      </c>
      <c r="H2" s="4">
        <f>2*PI()*H1/$B$1</f>
        <v>9.4247779607693793</v>
      </c>
      <c r="I2" s="4">
        <f>2*PI()*I1/$B$1</f>
        <v>12.566370614359172</v>
      </c>
      <c r="J2" s="4">
        <f>2*PI()*J1/$B$1</f>
        <v>15.707963267948966</v>
      </c>
      <c r="K2" s="4">
        <f>2*PI()*K1/$B$1</f>
        <v>18.849555921538759</v>
      </c>
      <c r="L2" s="4">
        <f>2*PI()*L1/$B$1</f>
        <v>21.991148575128552</v>
      </c>
      <c r="M2" s="4">
        <f>2*PI()*M1/$B$1</f>
        <v>25.132741228718345</v>
      </c>
      <c r="N2" s="4">
        <f>2*PI()*N1/$B$1</f>
        <v>28.274333882308138</v>
      </c>
    </row>
    <row r="3" spans="1:16" x14ac:dyDescent="0.25">
      <c r="D3" s="28" t="s">
        <v>14</v>
      </c>
      <c r="E3" s="27">
        <v>0</v>
      </c>
      <c r="F3" s="27">
        <f>(2*(SIN(PI()*F$1)-PI()*F$1*COS(PI()*F$1)))/(PI()^2*F$1^2)</f>
        <v>0.63661977236758138</v>
      </c>
      <c r="G3" s="27">
        <f>(2*(SIN(PI()*G$1)-PI()*G$1*COS(PI()*G$1)))/(PI()^2*G$1^2)</f>
        <v>-0.31830988618379069</v>
      </c>
      <c r="H3" s="27">
        <f>(2*(SIN(PI()*H$1)-PI()*H$1*COS(PI()*H$1)))/(PI()^2*H$1^2)</f>
        <v>0.21220659078919377</v>
      </c>
      <c r="I3" s="27">
        <f>(2*(SIN(PI()*I$1)-PI()*I$1*COS(PI()*I$1)))/(PI()^2*I$1^2)</f>
        <v>-0.15915494309189535</v>
      </c>
      <c r="J3" s="27">
        <f>(2*(SIN(PI()*J$1)-PI()*J$1*COS(PI()*J$1)))/(PI()^2*J$1^2)</f>
        <v>0.12732395447351627</v>
      </c>
      <c r="K3" s="27">
        <f>(2*(SIN(PI()*K$1)-PI()*K$1*COS(PI()*K$1)))/(PI()^2*K$1^2)</f>
        <v>-0.10610329539459688</v>
      </c>
      <c r="L3" s="27">
        <f>(2*(SIN(PI()*L$1)-PI()*L$1*COS(PI()*L$1)))/(PI()^2*L$1^2)</f>
        <v>9.0945681766797334E-2</v>
      </c>
      <c r="M3" s="27">
        <f>(2*(SIN(PI()*M$1)-PI()*M$1*COS(PI()*M$1)))/(PI()^2*M$1^2)</f>
        <v>-7.9577471545947673E-2</v>
      </c>
      <c r="N3" s="27">
        <f>(2*(SIN(PI()*N$1)-PI()*N$1*COS(PI()*N$1)))/(PI()^2*N$1^2)</f>
        <v>7.0735530263064589E-2</v>
      </c>
    </row>
    <row r="4" spans="1:16" x14ac:dyDescent="0.25">
      <c r="A4" s="26" t="s">
        <v>0</v>
      </c>
      <c r="B4" s="26" t="s">
        <v>13</v>
      </c>
      <c r="C4" t="s">
        <v>12</v>
      </c>
      <c r="D4" s="26" t="s">
        <v>11</v>
      </c>
    </row>
    <row r="5" spans="1:16" x14ac:dyDescent="0.25">
      <c r="A5" s="25">
        <v>-1</v>
      </c>
      <c r="B5" s="25">
        <v>-1</v>
      </c>
      <c r="D5" s="24">
        <f>SUM(E5:N5)</f>
        <v>-7.0195835743237783E-16</v>
      </c>
      <c r="E5" s="23">
        <v>0</v>
      </c>
      <c r="F5" s="22">
        <f>F$3*SIN(F$2*$A5)</f>
        <v>-7.7995373048041977E-17</v>
      </c>
      <c r="G5" s="22">
        <f>G$3*SIN(G$2*$A5)</f>
        <v>-7.7995373048041977E-17</v>
      </c>
      <c r="H5" s="22">
        <f>H$3*SIN(H$2*$A5)</f>
        <v>-7.7995373048041965E-17</v>
      </c>
      <c r="I5" s="22">
        <f>I$3*SIN(I$2*$A5)</f>
        <v>-7.7995373048041977E-17</v>
      </c>
      <c r="J5" s="22">
        <f>J$3*SIN(J$2*$A5)</f>
        <v>-7.7995373048041965E-17</v>
      </c>
      <c r="K5" s="22">
        <f>K$3*SIN(K$2*$A5)</f>
        <v>-7.7995373048041965E-17</v>
      </c>
      <c r="L5" s="22">
        <f>L$3*SIN(L$2*$A5)</f>
        <v>-7.7995373048041965E-17</v>
      </c>
      <c r="M5" s="22">
        <f>M$3*SIN(M$2*$A5)</f>
        <v>-7.7995373048041977E-17</v>
      </c>
      <c r="N5" s="21">
        <f>N$3*SIN(N$2*$A5)</f>
        <v>-7.7995373048041965E-17</v>
      </c>
      <c r="P5" s="4"/>
    </row>
    <row r="6" spans="1:16" x14ac:dyDescent="0.25">
      <c r="A6" s="20">
        <f>A5+$B$2</f>
        <v>-0.9</v>
      </c>
      <c r="B6" s="20">
        <f>A6</f>
        <v>-0.9</v>
      </c>
      <c r="D6" s="19">
        <f>SUM(E6:N6)</f>
        <v>-1.077312001589515</v>
      </c>
      <c r="E6" s="18">
        <v>0</v>
      </c>
      <c r="F6" s="17">
        <f>F$3*SIN(F$2*$A6)</f>
        <v>-0.19672632861669326</v>
      </c>
      <c r="G6" s="17">
        <f>G$3*SIN(G$2*$A6)</f>
        <v>-0.18709785675772789</v>
      </c>
      <c r="H6" s="17">
        <f>H$3*SIN(H$2*$A6)</f>
        <v>-0.171678738266828</v>
      </c>
      <c r="I6" s="17">
        <f>I$3*SIN(I$2*$A6)</f>
        <v>-0.15136534572813143</v>
      </c>
      <c r="J6" s="17">
        <f>J$3*SIN(J$2*$A6)</f>
        <v>-0.12732395447351627</v>
      </c>
      <c r="K6" s="17">
        <f>K$3*SIN(K$2*$A6)</f>
        <v>-0.1009102304854209</v>
      </c>
      <c r="L6" s="17">
        <f>L$3*SIN(L$2*$A6)</f>
        <v>-7.3576602114354892E-2</v>
      </c>
      <c r="M6" s="17">
        <f>M$3*SIN(M$2*$A6)</f>
        <v>-4.6774464189431902E-2</v>
      </c>
      <c r="N6" s="16">
        <f>N$3*SIN(N$2*$A6)</f>
        <v>-2.1858480957410407E-2</v>
      </c>
      <c r="P6" s="4"/>
    </row>
    <row r="7" spans="1:16" x14ac:dyDescent="0.25">
      <c r="A7" s="20">
        <f>A6+$B$2</f>
        <v>-0.8</v>
      </c>
      <c r="B7" s="20">
        <f>A7</f>
        <v>-0.8</v>
      </c>
      <c r="D7" s="19">
        <f>SUM(E7:N7)</f>
        <v>-0.70617538442984717</v>
      </c>
      <c r="E7" s="18">
        <v>0</v>
      </c>
      <c r="F7" s="17">
        <f>F$3*SIN(F$2*$A7)</f>
        <v>-0.37419571351545572</v>
      </c>
      <c r="G7" s="17">
        <f>G$3*SIN(G$2*$A7)</f>
        <v>-0.30273069145626286</v>
      </c>
      <c r="H7" s="17">
        <f>H$3*SIN(H$2*$A7)</f>
        <v>-0.20182046097084183</v>
      </c>
      <c r="I7" s="17">
        <f>I$3*SIN(I$2*$A7)</f>
        <v>-9.354892837886386E-2</v>
      </c>
      <c r="J7" s="17">
        <f>J$3*SIN(J$2*$A7)</f>
        <v>6.2396298438433569E-17</v>
      </c>
      <c r="K7" s="17">
        <f>K$3*SIN(K$2*$A7)</f>
        <v>6.2365952252575976E-2</v>
      </c>
      <c r="L7" s="17">
        <f>L$3*SIN(L$2*$A7)</f>
        <v>8.6494483273217959E-2</v>
      </c>
      <c r="M7" s="17">
        <f>M$3*SIN(M$2*$A7)</f>
        <v>7.5682672864065687E-2</v>
      </c>
      <c r="N7" s="16">
        <f>N$3*SIN(N$2*$A7)</f>
        <v>4.1577301501717241E-2</v>
      </c>
      <c r="P7" s="4"/>
    </row>
    <row r="8" spans="1:16" x14ac:dyDescent="0.25">
      <c r="A8" s="20">
        <f>A7+$B$2</f>
        <v>-0.70000000000000007</v>
      </c>
      <c r="B8" s="20">
        <f>A8</f>
        <v>-0.70000000000000007</v>
      </c>
      <c r="D8" s="19">
        <f>SUM(E8:N8)</f>
        <v>-0.76111619420798604</v>
      </c>
      <c r="E8" s="18">
        <v>0</v>
      </c>
      <c r="F8" s="17">
        <f>F$3*SIN(F$2*$A8)</f>
        <v>-0.51503621480048389</v>
      </c>
      <c r="G8" s="17">
        <f>G$3*SIN(G$2*$A8)</f>
        <v>-0.3027306914562628</v>
      </c>
      <c r="H8" s="17">
        <f>H$3*SIN(H$2*$A8)</f>
        <v>-6.5575442872231188E-2</v>
      </c>
      <c r="I8" s="17">
        <f>I$3*SIN(I$2*$A8)</f>
        <v>9.3548928378863944E-2</v>
      </c>
      <c r="J8" s="17">
        <f>J$3*SIN(J$2*$A8)</f>
        <v>0.12732395447351627</v>
      </c>
      <c r="K8" s="17">
        <f>K$3*SIN(K$2*$A8)</f>
        <v>6.2365952252576039E-2</v>
      </c>
      <c r="L8" s="17">
        <f>L$3*SIN(L$2*$A8)</f>
        <v>-2.8103761230956068E-2</v>
      </c>
      <c r="M8" s="17">
        <f>M$3*SIN(M$2*$A8)</f>
        <v>-7.5682672864065714E-2</v>
      </c>
      <c r="N8" s="16">
        <f>N$3*SIN(N$2*$A8)</f>
        <v>-5.7226246088942688E-2</v>
      </c>
      <c r="P8" s="4"/>
    </row>
    <row r="9" spans="1:16" x14ac:dyDescent="0.25">
      <c r="A9" s="20">
        <f>A8+$B$2</f>
        <v>-0.60000000000000009</v>
      </c>
      <c r="B9" s="20">
        <f>A9</f>
        <v>-0.60000000000000009</v>
      </c>
      <c r="D9" s="19">
        <f>SUM(E9:N9)</f>
        <v>-0.55678079924488644</v>
      </c>
      <c r="E9" s="18">
        <v>0</v>
      </c>
      <c r="F9" s="17">
        <f>F$3*SIN(F$2*$A9)</f>
        <v>-0.6054613829125256</v>
      </c>
      <c r="G9" s="17">
        <f>G$3*SIN(G$2*$A9)</f>
        <v>-0.18709785675772789</v>
      </c>
      <c r="H9" s="17">
        <f>H$3*SIN(H$2*$A9)</f>
        <v>0.12473190450515174</v>
      </c>
      <c r="I9" s="17">
        <f>I$3*SIN(I$2*$A9)</f>
        <v>0.15136534572813143</v>
      </c>
      <c r="J9" s="17">
        <f>J$3*SIN(J$2*$A9)</f>
        <v>1.7937555351969157E-16</v>
      </c>
      <c r="K9" s="17">
        <f>K$3*SIN(K$2*$A9)</f>
        <v>-0.10091023048542089</v>
      </c>
      <c r="L9" s="17">
        <f>L$3*SIN(L$2*$A9)</f>
        <v>-5.3456530502208034E-2</v>
      </c>
      <c r="M9" s="17">
        <f>M$3*SIN(M$2*$A9)</f>
        <v>4.6774464189431875E-2</v>
      </c>
      <c r="N9" s="16">
        <f>N$3*SIN(N$2*$A9)</f>
        <v>6.727348699028067E-2</v>
      </c>
      <c r="P9" s="4"/>
    </row>
    <row r="10" spans="1:16" x14ac:dyDescent="0.25">
      <c r="A10" s="20">
        <f>A9+$B$2</f>
        <v>-0.50000000000000011</v>
      </c>
      <c r="B10" s="20">
        <f>A10</f>
        <v>-0.50000000000000011</v>
      </c>
      <c r="D10" s="19">
        <f>SUM(E10:N10)</f>
        <v>-0.53152698454817104</v>
      </c>
      <c r="E10" s="18">
        <v>0</v>
      </c>
      <c r="F10" s="17">
        <f>F$3*SIN(F$2*$A10)</f>
        <v>-0.63661977236758138</v>
      </c>
      <c r="G10" s="17">
        <f>G$3*SIN(G$2*$A10)</f>
        <v>-2.4371828516162494E-16</v>
      </c>
      <c r="H10" s="17">
        <f>H$3*SIN(H$2*$A10)</f>
        <v>0.21220659078919377</v>
      </c>
      <c r="I10" s="17">
        <f>I$3*SIN(I$2*$A10)</f>
        <v>2.4371828516162494E-16</v>
      </c>
      <c r="J10" s="17">
        <f>J$3*SIN(J$2*$A10)</f>
        <v>-0.12732395447351627</v>
      </c>
      <c r="K10" s="17">
        <f>K$3*SIN(K$2*$A10)</f>
        <v>-1.4947962793307629E-16</v>
      </c>
      <c r="L10" s="17">
        <f>L$3*SIN(L$2*$A10)</f>
        <v>9.0945681766797334E-2</v>
      </c>
      <c r="M10" s="17">
        <f>M$3*SIN(M$2*$A10)</f>
        <v>2.4371828516162494E-16</v>
      </c>
      <c r="N10" s="16">
        <f>N$3*SIN(N$2*$A10)</f>
        <v>-7.0735530263064589E-2</v>
      </c>
      <c r="P10" s="4"/>
    </row>
    <row r="11" spans="1:16" x14ac:dyDescent="0.25">
      <c r="A11" s="20">
        <f>A10+$B$2</f>
        <v>-0.40000000000000013</v>
      </c>
      <c r="B11" s="20">
        <f>A11</f>
        <v>-0.40000000000000013</v>
      </c>
      <c r="D11" s="19">
        <f>SUM(E11:N11)</f>
        <v>-0.37704424459371588</v>
      </c>
      <c r="E11" s="18">
        <v>0</v>
      </c>
      <c r="F11" s="17">
        <f>F$3*SIN(F$2*$A11)</f>
        <v>-0.60546138291252571</v>
      </c>
      <c r="G11" s="17">
        <f>G$3*SIN(G$2*$A11)</f>
        <v>0.18709785675772761</v>
      </c>
      <c r="H11" s="17">
        <f>H$3*SIN(H$2*$A11)</f>
        <v>0.12473190450515208</v>
      </c>
      <c r="I11" s="17">
        <f>I$3*SIN(I$2*$A11)</f>
        <v>-0.15136534572813132</v>
      </c>
      <c r="J11" s="17">
        <f>J$3*SIN(J$2*$A11)</f>
        <v>-1.9497462812929995E-16</v>
      </c>
      <c r="K11" s="17">
        <f>K$3*SIN(K$2*$A11)</f>
        <v>0.100910230485421</v>
      </c>
      <c r="L11" s="17">
        <f>L$3*SIN(L$2*$A11)</f>
        <v>-5.3456530502207715E-2</v>
      </c>
      <c r="M11" s="17">
        <f>M$3*SIN(M$2*$A11)</f>
        <v>-4.6774464189432159E-2</v>
      </c>
      <c r="N11" s="16">
        <f>N$3*SIN(N$2*$A11)</f>
        <v>6.7273486990280545E-2</v>
      </c>
      <c r="P11" s="4"/>
    </row>
    <row r="12" spans="1:16" x14ac:dyDescent="0.25">
      <c r="A12" s="20">
        <f>A11+$B$2</f>
        <v>-0.30000000000000016</v>
      </c>
      <c r="B12" s="20">
        <f>A12</f>
        <v>-0.30000000000000016</v>
      </c>
      <c r="D12" s="19">
        <f>SUM(E12:N12)</f>
        <v>-0.31611922683020888</v>
      </c>
      <c r="E12" s="18">
        <v>0</v>
      </c>
      <c r="F12" s="17">
        <f>F$3*SIN(F$2*$A12)</f>
        <v>-0.515036214800484</v>
      </c>
      <c r="G12" s="17">
        <f>G$3*SIN(G$2*$A12)</f>
        <v>0.30273069145626275</v>
      </c>
      <c r="H12" s="17">
        <f>H$3*SIN(H$2*$A12)</f>
        <v>-6.5575442872230813E-2</v>
      </c>
      <c r="I12" s="17">
        <f>I$3*SIN(I$2*$A12)</f>
        <v>-9.3548928378864124E-2</v>
      </c>
      <c r="J12" s="17">
        <f>J$3*SIN(J$2*$A12)</f>
        <v>0.12732395447351627</v>
      </c>
      <c r="K12" s="17">
        <f>K$3*SIN(K$2*$A12)</f>
        <v>-6.236595225257572E-2</v>
      </c>
      <c r="L12" s="17">
        <f>L$3*SIN(L$2*$A12)</f>
        <v>-2.8103761230956457E-2</v>
      </c>
      <c r="M12" s="17">
        <f>M$3*SIN(M$2*$A12)</f>
        <v>7.5682672864065784E-2</v>
      </c>
      <c r="N12" s="16">
        <f>N$3*SIN(N$2*$A12)</f>
        <v>-5.7226246088942515E-2</v>
      </c>
      <c r="P12" s="4"/>
    </row>
    <row r="13" spans="1:16" x14ac:dyDescent="0.25">
      <c r="A13" s="20">
        <f>A12+$B$2</f>
        <v>-0.20000000000000015</v>
      </c>
      <c r="B13" s="20">
        <f>A13</f>
        <v>-0.20000000000000015</v>
      </c>
      <c r="D13" s="19">
        <f>SUM(E13:N13)</f>
        <v>-0.1897133949928774</v>
      </c>
      <c r="E13" s="18">
        <v>0</v>
      </c>
      <c r="F13" s="17">
        <f>F$3*SIN(F$2*$A13)</f>
        <v>-0.37419571351545583</v>
      </c>
      <c r="G13" s="17">
        <f>G$3*SIN(G$2*$A13)</f>
        <v>0.30273069145626291</v>
      </c>
      <c r="H13" s="17">
        <f>H$3*SIN(H$2*$A13)</f>
        <v>-0.20182046097084178</v>
      </c>
      <c r="I13" s="17">
        <f>I$3*SIN(I$2*$A13)</f>
        <v>9.3548928378863694E-2</v>
      </c>
      <c r="J13" s="17">
        <f>J$3*SIN(J$2*$A13)</f>
        <v>2.6711689707603756E-16</v>
      </c>
      <c r="K13" s="17">
        <f>K$3*SIN(K$2*$A13)</f>
        <v>-6.2365952252576143E-2</v>
      </c>
      <c r="L13" s="17">
        <f>L$3*SIN(L$2*$A13)</f>
        <v>8.6494483273218042E-2</v>
      </c>
      <c r="M13" s="17">
        <f>M$3*SIN(M$2*$A13)</f>
        <v>-7.5682672864065617E-2</v>
      </c>
      <c r="N13" s="16">
        <f>N$3*SIN(N$2*$A13)</f>
        <v>4.1577301501717047E-2</v>
      </c>
      <c r="P13" s="4"/>
    </row>
    <row r="14" spans="1:16" x14ac:dyDescent="0.25">
      <c r="A14" s="20">
        <f>A13+$B$2</f>
        <v>-0.10000000000000014</v>
      </c>
      <c r="B14" s="20">
        <f>A14</f>
        <v>-0.10000000000000014</v>
      </c>
      <c r="D14" s="19">
        <f>SUM(E14:N14)</f>
        <v>-0.10501620726809056</v>
      </c>
      <c r="E14" s="18">
        <v>0</v>
      </c>
      <c r="F14" s="17">
        <f>F$3*SIN(F$2*$A14)</f>
        <v>-0.19672632861669348</v>
      </c>
      <c r="G14" s="17">
        <f>G$3*SIN(G$2*$A14)</f>
        <v>0.18709785675772803</v>
      </c>
      <c r="H14" s="17">
        <f>H$3*SIN(H$2*$A14)</f>
        <v>-0.17167873826682811</v>
      </c>
      <c r="I14" s="17">
        <f>I$3*SIN(I$2*$A14)</f>
        <v>0.15136534572813148</v>
      </c>
      <c r="J14" s="17">
        <f>J$3*SIN(J$2*$A14)</f>
        <v>-0.12732395447351627</v>
      </c>
      <c r="K14" s="17">
        <f>K$3*SIN(K$2*$A14)</f>
        <v>0.10091023048542083</v>
      </c>
      <c r="L14" s="17">
        <f>L$3*SIN(L$2*$A14)</f>
        <v>-7.3576602114354683E-2</v>
      </c>
      <c r="M14" s="17">
        <f>M$3*SIN(M$2*$A14)</f>
        <v>4.6774464189431736E-2</v>
      </c>
      <c r="N14" s="16">
        <f>N$3*SIN(N$2*$A14)</f>
        <v>-2.1858480957410092E-2</v>
      </c>
      <c r="P14" s="4"/>
    </row>
    <row r="15" spans="1:16" x14ac:dyDescent="0.25">
      <c r="A15" s="20">
        <f>A14+$B$2</f>
        <v>-1.3877787807814457E-16</v>
      </c>
      <c r="B15" s="20">
        <f>A15</f>
        <v>-1.3877787807814457E-16</v>
      </c>
      <c r="D15" s="19">
        <f>SUM(E15:N15)</f>
        <v>-2.7755575615628914E-16</v>
      </c>
      <c r="E15" s="18">
        <v>0</v>
      </c>
      <c r="F15" s="17">
        <f>F$3*SIN(F$2*$A15)</f>
        <v>-2.7755575615628914E-16</v>
      </c>
      <c r="G15" s="17">
        <f>G$3*SIN(G$2*$A15)</f>
        <v>2.7755575615628914E-16</v>
      </c>
      <c r="H15" s="17">
        <f>H$3*SIN(H$2*$A15)</f>
        <v>-2.7755575615628909E-16</v>
      </c>
      <c r="I15" s="17">
        <f>I$3*SIN(I$2*$A15)</f>
        <v>2.7755575615628914E-16</v>
      </c>
      <c r="J15" s="17">
        <f>J$3*SIN(J$2*$A15)</f>
        <v>-2.7755575615628914E-16</v>
      </c>
      <c r="K15" s="17">
        <f>K$3*SIN(K$2*$A15)</f>
        <v>2.7755575615628909E-16</v>
      </c>
      <c r="L15" s="17">
        <f>L$3*SIN(L$2*$A15)</f>
        <v>-2.7755575615628914E-16</v>
      </c>
      <c r="M15" s="17">
        <f>M$3*SIN(M$2*$A15)</f>
        <v>2.7755575615628914E-16</v>
      </c>
      <c r="N15" s="16">
        <f>N$3*SIN(N$2*$A15)</f>
        <v>-2.7755575615628914E-16</v>
      </c>
      <c r="P15" s="4"/>
    </row>
    <row r="16" spans="1:16" x14ac:dyDescent="0.25">
      <c r="A16" s="20">
        <f>A15+$B$2</f>
        <v>9.9999999999999867E-2</v>
      </c>
      <c r="B16" s="20">
        <f>A16</f>
        <v>9.9999999999999867E-2</v>
      </c>
      <c r="D16" s="19">
        <f>SUM(E16:N16)</f>
        <v>0.10501620726809052</v>
      </c>
      <c r="E16" s="18">
        <v>0</v>
      </c>
      <c r="F16" s="17">
        <f>F$3*SIN(F$2*$A16)</f>
        <v>0.19672632861669295</v>
      </c>
      <c r="G16" s="17">
        <f>G$3*SIN(G$2*$A16)</f>
        <v>-0.18709785675772758</v>
      </c>
      <c r="H16" s="17">
        <f>H$3*SIN(H$2*$A16)</f>
        <v>0.17167873826682778</v>
      </c>
      <c r="I16" s="17">
        <f>I$3*SIN(I$2*$A16)</f>
        <v>-0.15136534572813132</v>
      </c>
      <c r="J16" s="17">
        <f>J$3*SIN(J$2*$A16)</f>
        <v>0.12732395447351627</v>
      </c>
      <c r="K16" s="17">
        <f>K$3*SIN(K$2*$A16)</f>
        <v>-0.100910230485421</v>
      </c>
      <c r="L16" s="17">
        <f>L$3*SIN(L$2*$A16)</f>
        <v>7.3576602114355016E-2</v>
      </c>
      <c r="M16" s="17">
        <f>M$3*SIN(M$2*$A16)</f>
        <v>-4.6774464189432194E-2</v>
      </c>
      <c r="N16" s="16">
        <f>N$3*SIN(N$2*$A16)</f>
        <v>2.1858480957410598E-2</v>
      </c>
      <c r="P16" s="4"/>
    </row>
    <row r="17" spans="1:16" x14ac:dyDescent="0.25">
      <c r="A17" s="20">
        <f>A16+$B$2</f>
        <v>0.19999999999999987</v>
      </c>
      <c r="B17" s="20">
        <f>A17</f>
        <v>0.19999999999999987</v>
      </c>
      <c r="D17" s="19">
        <f>SUM(E17:N17)</f>
        <v>0.18971339499287698</v>
      </c>
      <c r="E17" s="18">
        <v>0</v>
      </c>
      <c r="F17" s="17">
        <f>F$3*SIN(F$2*$A17)</f>
        <v>0.37419571351545544</v>
      </c>
      <c r="G17" s="17">
        <f>G$3*SIN(G$2*$A17)</f>
        <v>-0.30273069145626275</v>
      </c>
      <c r="H17" s="17">
        <f>H$3*SIN(H$2*$A17)</f>
        <v>0.20182046097084194</v>
      </c>
      <c r="I17" s="17">
        <f>I$3*SIN(I$2*$A17)</f>
        <v>-9.3548928378864152E-2</v>
      </c>
      <c r="J17" s="17">
        <f>J$3*SIN(J$2*$A17)</f>
        <v>2.9831504629525433E-16</v>
      </c>
      <c r="K17" s="17">
        <f>K$3*SIN(K$2*$A17)</f>
        <v>6.2365952252575733E-2</v>
      </c>
      <c r="L17" s="17">
        <f>L$3*SIN(L$2*$A17)</f>
        <v>-8.6494483273217862E-2</v>
      </c>
      <c r="M17" s="17">
        <f>M$3*SIN(M$2*$A17)</f>
        <v>7.5682672864065798E-2</v>
      </c>
      <c r="N17" s="16">
        <f>N$3*SIN(N$2*$A17)</f>
        <v>-4.1577301501717498E-2</v>
      </c>
      <c r="P17" s="4"/>
    </row>
    <row r="18" spans="1:16" x14ac:dyDescent="0.25">
      <c r="A18" s="20">
        <f>A17+$B$2</f>
        <v>0.29999999999999988</v>
      </c>
      <c r="B18" s="20">
        <f>A18</f>
        <v>0.29999999999999988</v>
      </c>
      <c r="D18" s="19">
        <f>SUM(E18:N18)</f>
        <v>0.31611922683020899</v>
      </c>
      <c r="E18" s="18">
        <v>0</v>
      </c>
      <c r="F18" s="17">
        <f>F$3*SIN(F$2*$A18)</f>
        <v>0.51503621480048378</v>
      </c>
      <c r="G18" s="17">
        <f>G$3*SIN(G$2*$A18)</f>
        <v>-0.30273069145626286</v>
      </c>
      <c r="H18" s="17">
        <f>H$3*SIN(H$2*$A18)</f>
        <v>6.5575442872231354E-2</v>
      </c>
      <c r="I18" s="17">
        <f>I$3*SIN(I$2*$A18)</f>
        <v>9.3548928378863722E-2</v>
      </c>
      <c r="J18" s="17">
        <f>J$3*SIN(J$2*$A18)</f>
        <v>-0.12732395447351627</v>
      </c>
      <c r="K18" s="17">
        <f>K$3*SIN(K$2*$A18)</f>
        <v>6.2365952252576178E-2</v>
      </c>
      <c r="L18" s="17">
        <f>L$3*SIN(L$2*$A18)</f>
        <v>2.8103761230955916E-2</v>
      </c>
      <c r="M18" s="17">
        <f>M$3*SIN(M$2*$A18)</f>
        <v>-7.5682672864065631E-2</v>
      </c>
      <c r="N18" s="16">
        <f>N$3*SIN(N$2*$A18)</f>
        <v>5.7226246088942806E-2</v>
      </c>
      <c r="P18" s="4"/>
    </row>
    <row r="19" spans="1:16" x14ac:dyDescent="0.25">
      <c r="A19" s="20">
        <f>A18+$B$2</f>
        <v>0.39999999999999991</v>
      </c>
      <c r="B19" s="20">
        <f>A19</f>
        <v>0.39999999999999991</v>
      </c>
      <c r="D19" s="19">
        <f>SUM(E19:N19)</f>
        <v>0.37704424459371549</v>
      </c>
      <c r="E19" s="18">
        <v>0</v>
      </c>
      <c r="F19" s="17">
        <f>F$3*SIN(F$2*$A19)</f>
        <v>0.6054613829125256</v>
      </c>
      <c r="G19" s="17">
        <f>G$3*SIN(G$2*$A19)</f>
        <v>-0.18709785675772797</v>
      </c>
      <c r="H19" s="17">
        <f>H$3*SIN(H$2*$A19)</f>
        <v>-0.12473190450515168</v>
      </c>
      <c r="I19" s="17">
        <f>I$3*SIN(I$2*$A19)</f>
        <v>0.15136534572813146</v>
      </c>
      <c r="J19" s="17">
        <f>J$3*SIN(J$2*$A19)</f>
        <v>-2.5737092656773351E-16</v>
      </c>
      <c r="K19" s="17">
        <f>K$3*SIN(K$2*$A19)</f>
        <v>-0.10091023048542086</v>
      </c>
      <c r="L19" s="17">
        <f>L$3*SIN(L$2*$A19)</f>
        <v>5.3456530502208097E-2</v>
      </c>
      <c r="M19" s="17">
        <f>M$3*SIN(M$2*$A19)</f>
        <v>4.6774464189431812E-2</v>
      </c>
      <c r="N19" s="16">
        <f>N$3*SIN(N$2*$A19)</f>
        <v>-6.727348699028067E-2</v>
      </c>
      <c r="P19" s="4"/>
    </row>
    <row r="20" spans="1:16" x14ac:dyDescent="0.25">
      <c r="A20" s="20">
        <f>A19+$B$2</f>
        <v>0.49999999999999989</v>
      </c>
      <c r="B20" s="20">
        <f>A20</f>
        <v>0.49999999999999989</v>
      </c>
      <c r="D20" s="19">
        <f>SUM(E20:N20)</f>
        <v>0.53152698454817127</v>
      </c>
      <c r="E20" s="18">
        <v>0</v>
      </c>
      <c r="F20" s="17">
        <f>F$3*SIN(F$2*$A20)</f>
        <v>0.63661977236758138</v>
      </c>
      <c r="G20" s="17">
        <f>G$3*SIN(G$2*$A20)</f>
        <v>-3.2171365820966695E-16</v>
      </c>
      <c r="H20" s="17">
        <f>H$3*SIN(H$2*$A20)</f>
        <v>-0.21220659078919377</v>
      </c>
      <c r="I20" s="17">
        <f>I$3*SIN(I$2*$A20)</f>
        <v>3.2171365820966695E-16</v>
      </c>
      <c r="J20" s="17">
        <f>J$3*SIN(J$2*$A20)</f>
        <v>0.12732395447351627</v>
      </c>
      <c r="K20" s="17">
        <f>K$3*SIN(K$2*$A20)</f>
        <v>-2.2747500098111825E-16</v>
      </c>
      <c r="L20" s="17">
        <f>L$3*SIN(L$2*$A20)</f>
        <v>-9.0945681766797334E-2</v>
      </c>
      <c r="M20" s="17">
        <f>M$3*SIN(M$2*$A20)</f>
        <v>3.2171365820966695E-16</v>
      </c>
      <c r="N20" s="16">
        <f>N$3*SIN(N$2*$A20)</f>
        <v>7.0735530263064589E-2</v>
      </c>
      <c r="P20" s="4"/>
    </row>
    <row r="21" spans="1:16" x14ac:dyDescent="0.25">
      <c r="A21" s="20">
        <f>A20+$B$2</f>
        <v>0.59999999999999987</v>
      </c>
      <c r="B21" s="20">
        <f>A21</f>
        <v>0.59999999999999987</v>
      </c>
      <c r="D21" s="19">
        <f>SUM(E21:N21)</f>
        <v>0.55678079924488599</v>
      </c>
      <c r="E21" s="18">
        <v>0</v>
      </c>
      <c r="F21" s="17">
        <f>F$3*SIN(F$2*$A21)</f>
        <v>0.60546138291252571</v>
      </c>
      <c r="G21" s="17">
        <f>G$3*SIN(G$2*$A21)</f>
        <v>0.18709785675772753</v>
      </c>
      <c r="H21" s="17">
        <f>H$3*SIN(H$2*$A21)</f>
        <v>-0.12473190450515205</v>
      </c>
      <c r="I21" s="17">
        <f>I$3*SIN(I$2*$A21)</f>
        <v>-0.15136534572813132</v>
      </c>
      <c r="J21" s="17">
        <f>J$3*SIN(J$2*$A21)</f>
        <v>2.7297000117734194E-16</v>
      </c>
      <c r="K21" s="17">
        <f>K$3*SIN(K$2*$A21)</f>
        <v>0.100910230485421</v>
      </c>
      <c r="L21" s="17">
        <f>L$3*SIN(L$2*$A21)</f>
        <v>5.3456530502207646E-2</v>
      </c>
      <c r="M21" s="17">
        <f>M$3*SIN(M$2*$A21)</f>
        <v>-4.6774464189432222E-2</v>
      </c>
      <c r="N21" s="16">
        <f>N$3*SIN(N$2*$A21)</f>
        <v>-6.7273486990280532E-2</v>
      </c>
      <c r="P21" s="4"/>
    </row>
    <row r="22" spans="1:16" x14ac:dyDescent="0.25">
      <c r="A22" s="20">
        <f>A21+$B$2</f>
        <v>0.69999999999999984</v>
      </c>
      <c r="B22" s="20">
        <f>A22</f>
        <v>0.69999999999999984</v>
      </c>
      <c r="D22" s="19">
        <f>SUM(E22:N22)</f>
        <v>0.76111619420798604</v>
      </c>
      <c r="E22" s="18">
        <v>0</v>
      </c>
      <c r="F22" s="17">
        <f>F$3*SIN(F$2*$A22)</f>
        <v>0.51503621480048412</v>
      </c>
      <c r="G22" s="17">
        <f>G$3*SIN(G$2*$A22)</f>
        <v>0.30273069145626269</v>
      </c>
      <c r="H22" s="17">
        <f>H$3*SIN(H$2*$A22)</f>
        <v>6.557544287223066E-2</v>
      </c>
      <c r="I22" s="17">
        <f>I$3*SIN(I$2*$A22)</f>
        <v>-9.354892837886418E-2</v>
      </c>
      <c r="J22" s="17">
        <f>J$3*SIN(J$2*$A22)</f>
        <v>-0.12732395447351627</v>
      </c>
      <c r="K22" s="17">
        <f>K$3*SIN(K$2*$A22)</f>
        <v>-6.2365952252575581E-2</v>
      </c>
      <c r="L22" s="17">
        <f>L$3*SIN(L$2*$A22)</f>
        <v>2.810376123095653E-2</v>
      </c>
      <c r="M22" s="17">
        <f>M$3*SIN(M$2*$A22)</f>
        <v>7.5682672864065811E-2</v>
      </c>
      <c r="N22" s="16">
        <f>N$3*SIN(N$2*$A22)</f>
        <v>5.722624608894239E-2</v>
      </c>
      <c r="P22" s="4"/>
    </row>
    <row r="23" spans="1:16" x14ac:dyDescent="0.25">
      <c r="A23" s="20">
        <f>A22+$B$2</f>
        <v>0.79999999999999982</v>
      </c>
      <c r="B23" s="20">
        <f>A23</f>
        <v>0.79999999999999982</v>
      </c>
      <c r="D23" s="19">
        <f>SUM(E23:N23)</f>
        <v>0.70617538442984673</v>
      </c>
      <c r="E23" s="18">
        <v>0</v>
      </c>
      <c r="F23" s="17">
        <f>F$3*SIN(F$2*$A23)</f>
        <v>0.37419571351545594</v>
      </c>
      <c r="G23" s="17">
        <f>G$3*SIN(G$2*$A23)</f>
        <v>0.30273069145626291</v>
      </c>
      <c r="H23" s="17">
        <f>H$3*SIN(H$2*$A23)</f>
        <v>0.20182046097084172</v>
      </c>
      <c r="I23" s="17">
        <f>I$3*SIN(I$2*$A23)</f>
        <v>9.3548928378863624E-2</v>
      </c>
      <c r="J23" s="17">
        <f>J$3*SIN(J$2*$A23)</f>
        <v>-5.1474185313546702E-16</v>
      </c>
      <c r="K23" s="17">
        <f>K$3*SIN(K$2*$A23)</f>
        <v>-6.2365952252576289E-2</v>
      </c>
      <c r="L23" s="17">
        <f>L$3*SIN(L$2*$A23)</f>
        <v>-8.6494483273218056E-2</v>
      </c>
      <c r="M23" s="17">
        <f>M$3*SIN(M$2*$A23)</f>
        <v>-7.5682672864065589E-2</v>
      </c>
      <c r="N23" s="16">
        <f>N$3*SIN(N$2*$A23)</f>
        <v>-4.157730150171704E-2</v>
      </c>
      <c r="P23" s="4"/>
    </row>
    <row r="24" spans="1:16" x14ac:dyDescent="0.25">
      <c r="A24" s="20">
        <f>A23+$B$2</f>
        <v>0.8999999999999998</v>
      </c>
      <c r="B24" s="20">
        <f>A24</f>
        <v>0.8999999999999998</v>
      </c>
      <c r="D24" s="19">
        <f>SUM(E24:N24)</f>
        <v>1.0773120015895146</v>
      </c>
      <c r="E24" s="18">
        <v>0</v>
      </c>
      <c r="F24" s="17">
        <f>F$3*SIN(F$2*$A24)</f>
        <v>0.19672632861669354</v>
      </c>
      <c r="G24" s="17">
        <f>G$3*SIN(G$2*$A24)</f>
        <v>0.18709785675772811</v>
      </c>
      <c r="H24" s="17">
        <f>H$3*SIN(H$2*$A24)</f>
        <v>0.1716787382668282</v>
      </c>
      <c r="I24" s="17">
        <f>I$3*SIN(I$2*$A24)</f>
        <v>0.15136534572813151</v>
      </c>
      <c r="J24" s="17">
        <f>J$3*SIN(J$2*$A24)</f>
        <v>0.12732395447351627</v>
      </c>
      <c r="K24" s="17">
        <f>K$3*SIN(K$2*$A24)</f>
        <v>0.10091023048542079</v>
      </c>
      <c r="L24" s="17">
        <f>L$3*SIN(L$2*$A24)</f>
        <v>7.3576602114354503E-2</v>
      </c>
      <c r="M24" s="17">
        <f>M$3*SIN(M$2*$A24)</f>
        <v>4.6774464189431673E-2</v>
      </c>
      <c r="N24" s="16">
        <f>N$3*SIN(N$2*$A24)</f>
        <v>2.1858480957409929E-2</v>
      </c>
      <c r="P24" s="4"/>
    </row>
    <row r="25" spans="1:16" x14ac:dyDescent="0.25">
      <c r="A25" s="15">
        <f>A24+$B$2</f>
        <v>0.99999999999999978</v>
      </c>
      <c r="B25" s="15">
        <f>A25</f>
        <v>0.99999999999999978</v>
      </c>
      <c r="D25" s="14">
        <f>SUM(E25:N25)</f>
        <v>4.9956510829692981E-15</v>
      </c>
      <c r="E25" s="13">
        <v>0</v>
      </c>
      <c r="F25" s="12">
        <f>F$3*SIN(F$2*$A25)</f>
        <v>6.434273164193339E-16</v>
      </c>
      <c r="G25" s="12">
        <f>G$3*SIN(G$2*$A25)</f>
        <v>6.434273164193339E-16</v>
      </c>
      <c r="H25" s="12">
        <f>H$3*SIN(H$2*$A25)</f>
        <v>4.5495000196223651E-16</v>
      </c>
      <c r="I25" s="12">
        <f>I$3*SIN(I$2*$A25)</f>
        <v>6.434273164193339E-16</v>
      </c>
      <c r="J25" s="12">
        <f>J$3*SIN(J$2*$A25)</f>
        <v>5.303409277450755E-16</v>
      </c>
      <c r="K25" s="12">
        <f>K$3*SIN(K$2*$A25)</f>
        <v>4.5495000196223651E-16</v>
      </c>
      <c r="L25" s="12">
        <f>L$3*SIN(L$2*$A25)</f>
        <v>4.0109934068878016E-16</v>
      </c>
      <c r="M25" s="12">
        <f>M$3*SIN(M$2*$A25)</f>
        <v>6.434273164193339E-16</v>
      </c>
      <c r="N25" s="11">
        <f>N$3*SIN(N$2*$A25)</f>
        <v>5.8060154493363464E-16</v>
      </c>
      <c r="P25" s="4"/>
    </row>
    <row r="26" spans="1:16" x14ac:dyDescent="0.25">
      <c r="P26" s="4"/>
    </row>
    <row r="27" spans="1:16" x14ac:dyDescent="0.25">
      <c r="P27" s="10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P27"/>
  <sheetViews>
    <sheetView zoomScale="113" zoomScaleNormal="113" workbookViewId="0"/>
  </sheetViews>
  <sheetFormatPr defaultColWidth="9.28515625" defaultRowHeight="15" x14ac:dyDescent="0.25"/>
  <sheetData>
    <row r="1" spans="1:16" x14ac:dyDescent="0.25">
      <c r="A1" s="28" t="s">
        <v>5</v>
      </c>
      <c r="B1" s="2">
        <v>2</v>
      </c>
      <c r="D1" s="28" t="s">
        <v>16</v>
      </c>
      <c r="E1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</row>
    <row r="2" spans="1:16" x14ac:dyDescent="0.25">
      <c r="A2" s="28" t="s">
        <v>2</v>
      </c>
      <c r="B2" s="2">
        <v>0.1</v>
      </c>
      <c r="D2" s="28" t="s">
        <v>15</v>
      </c>
      <c r="E2" s="4">
        <f>2*PI()*E1/$B$1</f>
        <v>0</v>
      </c>
      <c r="F2" s="4">
        <f>2*PI()*F1/$B$1</f>
        <v>3.1415926535897931</v>
      </c>
      <c r="G2" s="4">
        <f>2*PI()*G1/$B$1</f>
        <v>6.2831853071795862</v>
      </c>
      <c r="H2" s="4">
        <f>2*PI()*H1/$B$1</f>
        <v>9.4247779607693793</v>
      </c>
      <c r="I2" s="4">
        <f>2*PI()*I1/$B$1</f>
        <v>12.566370614359172</v>
      </c>
      <c r="J2" s="4">
        <f>2*PI()*J1/$B$1</f>
        <v>15.707963267948966</v>
      </c>
      <c r="K2" s="4">
        <f>2*PI()*K1/$B$1</f>
        <v>18.849555921538759</v>
      </c>
      <c r="L2" s="4">
        <f>2*PI()*L1/$B$1</f>
        <v>21.991148575128552</v>
      </c>
      <c r="M2" s="4">
        <f>2*PI()*M1/$B$1</f>
        <v>25.132741228718345</v>
      </c>
      <c r="N2" s="4">
        <f>2*PI()*N1/$B$1</f>
        <v>28.274333882308138</v>
      </c>
    </row>
    <row r="3" spans="1:16" x14ac:dyDescent="0.25">
      <c r="D3" s="28" t="s">
        <v>17</v>
      </c>
      <c r="E3" s="27">
        <v>2.4406171528212894E-13</v>
      </c>
      <c r="F3" s="27">
        <v>0.63137495965289914</v>
      </c>
      <c r="G3" s="27">
        <v>-0.30776849783248883</v>
      </c>
      <c r="H3" s="27">
        <v>0.19626097992266262</v>
      </c>
      <c r="I3" s="27">
        <v>-0.13763826663055606</v>
      </c>
      <c r="J3" s="27">
        <v>9.9999957727213595E-2</v>
      </c>
      <c r="K3" s="27">
        <v>-7.2654307530930773E-2</v>
      </c>
      <c r="L3" s="27">
        <v>5.0952498283539496E-2</v>
      </c>
      <c r="M3" s="27">
        <v>-3.2492022329101866E-2</v>
      </c>
      <c r="N3" s="27">
        <v>1.5838395428429596E-2</v>
      </c>
    </row>
    <row r="4" spans="1:16" ht="15.75" thickBot="1" x14ac:dyDescent="0.3">
      <c r="A4" s="26" t="s">
        <v>0</v>
      </c>
      <c r="B4" s="26" t="s">
        <v>13</v>
      </c>
      <c r="C4" t="s">
        <v>12</v>
      </c>
      <c r="D4" s="32" t="s">
        <v>11</v>
      </c>
      <c r="P4" t="s">
        <v>7</v>
      </c>
    </row>
    <row r="5" spans="1:16" ht="15.75" thickTop="1" x14ac:dyDescent="0.25">
      <c r="A5" s="25">
        <v>-1</v>
      </c>
      <c r="B5" s="25">
        <v>-1</v>
      </c>
      <c r="D5" s="31">
        <f t="array" ref="D5:D25">MMULT(E5:N25,TRANSPOSE(E3:N3))</f>
        <v>2.4356169264732769E-13</v>
      </c>
      <c r="E5" s="22">
        <v>1</v>
      </c>
      <c r="F5" s="22">
        <f>SIN(F$2*$A5)</f>
        <v>-1.22514845490862E-16</v>
      </c>
      <c r="G5" s="22">
        <f>SIN(G$2*$A5)</f>
        <v>2.45029690981724E-16</v>
      </c>
      <c r="H5" s="22">
        <f>SIN(H$2*$A5)</f>
        <v>-3.67544536472586E-16</v>
      </c>
      <c r="I5" s="22">
        <f>SIN(I$2*$A5)</f>
        <v>4.90059381963448E-16</v>
      </c>
      <c r="J5" s="22">
        <f>SIN(J$2*$A5)</f>
        <v>-6.1257422745431001E-16</v>
      </c>
      <c r="K5" s="22">
        <f>SIN(K$2*$A5)</f>
        <v>7.3508907294517201E-16</v>
      </c>
      <c r="L5" s="22">
        <f>SIN(L$2*$A5)</f>
        <v>-8.5760391843603401E-16</v>
      </c>
      <c r="M5" s="22">
        <f>SIN(M$2*$A5)</f>
        <v>9.8011876392689601E-16</v>
      </c>
      <c r="N5" s="21">
        <f>SIN(N$2*$A5)</f>
        <v>-1.102633609417758E-15</v>
      </c>
      <c r="P5" s="4">
        <f>(B5-D5)^2</f>
        <v>1.0000000000004872</v>
      </c>
    </row>
    <row r="6" spans="1:16" x14ac:dyDescent="0.25">
      <c r="A6" s="20">
        <f>A5+$B$2</f>
        <v>-0.9</v>
      </c>
      <c r="B6" s="20">
        <f>A6</f>
        <v>-0.9</v>
      </c>
      <c r="D6" s="30">
        <v>-0.90000002721399819</v>
      </c>
      <c r="E6" s="17">
        <v>1</v>
      </c>
      <c r="F6" s="17">
        <f>SIN(F$2*$A6)</f>
        <v>-0.30901699437494751</v>
      </c>
      <c r="G6" s="17">
        <f>SIN(G$2*$A6)</f>
        <v>0.58778525229247336</v>
      </c>
      <c r="H6" s="17">
        <f>SIN(H$2*$A6)</f>
        <v>-0.80901699437494767</v>
      </c>
      <c r="I6" s="17">
        <f>SIN(I$2*$A6)</f>
        <v>0.95105651629515375</v>
      </c>
      <c r="J6" s="17">
        <f>SIN(J$2*$A6)</f>
        <v>-1</v>
      </c>
      <c r="K6" s="17">
        <f>SIN(K$2*$A6)</f>
        <v>0.95105651629515342</v>
      </c>
      <c r="L6" s="17">
        <f>SIN(L$2*$A6)</f>
        <v>-0.80901699437494801</v>
      </c>
      <c r="M6" s="17">
        <f>SIN(M$2*$A6)</f>
        <v>0.58778525229247247</v>
      </c>
      <c r="N6" s="16">
        <f>SIN(N$2*$A6)</f>
        <v>-0.30901699437494817</v>
      </c>
      <c r="P6" s="4">
        <f>(B6-D6)^2</f>
        <v>7.4060169618317296E-16</v>
      </c>
    </row>
    <row r="7" spans="1:16" x14ac:dyDescent="0.25">
      <c r="A7" s="20">
        <f>A6+$B$2</f>
        <v>-0.8</v>
      </c>
      <c r="B7" s="20">
        <f>A7</f>
        <v>-0.8</v>
      </c>
      <c r="D7" s="30">
        <v>-0.79999999163811697</v>
      </c>
      <c r="E7" s="17">
        <v>1</v>
      </c>
      <c r="F7" s="17">
        <f>SIN(F$2*$A7)</f>
        <v>-0.58778525229247325</v>
      </c>
      <c r="G7" s="17">
        <f>SIN(G$2*$A7)</f>
        <v>0.95105651629515364</v>
      </c>
      <c r="H7" s="17">
        <f>SIN(H$2*$A7)</f>
        <v>-0.95105651629515353</v>
      </c>
      <c r="I7" s="17">
        <f>SIN(I$2*$A7)</f>
        <v>0.5877852522924728</v>
      </c>
      <c r="J7" s="17">
        <f>SIN(J$2*$A7)</f>
        <v>4.90059381963448E-16</v>
      </c>
      <c r="K7" s="17">
        <f>SIN(K$2*$A7)</f>
        <v>-0.58778525229247358</v>
      </c>
      <c r="L7" s="17">
        <f>SIN(L$2*$A7)</f>
        <v>0.95105651629515375</v>
      </c>
      <c r="M7" s="17">
        <f>SIN(M$2*$A7)</f>
        <v>-0.95105651629515331</v>
      </c>
      <c r="N7" s="16">
        <f>SIN(N$2*$A7)</f>
        <v>0.58778525229247247</v>
      </c>
      <c r="P7" s="4">
        <f>(B7-D7)^2</f>
        <v>6.9921088557425321E-17</v>
      </c>
    </row>
    <row r="8" spans="1:16" x14ac:dyDescent="0.25">
      <c r="A8" s="20">
        <f>A7+$B$2</f>
        <v>-0.70000000000000007</v>
      </c>
      <c r="B8" s="20">
        <f>A8</f>
        <v>-0.70000000000000007</v>
      </c>
      <c r="D8" s="30">
        <v>-0.69999992270293776</v>
      </c>
      <c r="E8" s="17">
        <v>1</v>
      </c>
      <c r="F8" s="17">
        <f>SIN(F$2*$A8)</f>
        <v>-0.80901699437494745</v>
      </c>
      <c r="G8" s="17">
        <f>SIN(G$2*$A8)</f>
        <v>0.95105651629515353</v>
      </c>
      <c r="H8" s="17">
        <f>SIN(H$2*$A8)</f>
        <v>-0.30901699437494801</v>
      </c>
      <c r="I8" s="17">
        <f>SIN(I$2*$A8)</f>
        <v>-0.58778525229247336</v>
      </c>
      <c r="J8" s="17">
        <f>SIN(J$2*$A8)</f>
        <v>1</v>
      </c>
      <c r="K8" s="17">
        <f>SIN(K$2*$A8)</f>
        <v>-0.58778525229247414</v>
      </c>
      <c r="L8" s="17">
        <f>SIN(L$2*$A8)</f>
        <v>-0.30901699437494629</v>
      </c>
      <c r="M8" s="17">
        <f>SIN(M$2*$A8)</f>
        <v>0.95105651629515375</v>
      </c>
      <c r="N8" s="16">
        <f>SIN(N$2*$A8)</f>
        <v>-0.80901699437494801</v>
      </c>
      <c r="P8" s="4">
        <f>(B8-D8)^2</f>
        <v>5.9748358412016448E-15</v>
      </c>
    </row>
    <row r="9" spans="1:16" x14ac:dyDescent="0.25">
      <c r="A9" s="20">
        <f>A8+$B$2</f>
        <v>-0.60000000000000009</v>
      </c>
      <c r="B9" s="20">
        <f>A9</f>
        <v>-0.60000000000000009</v>
      </c>
      <c r="D9" s="30">
        <v>-0.59999991273046471</v>
      </c>
      <c r="E9" s="17">
        <v>1</v>
      </c>
      <c r="F9" s="17">
        <f>SIN(F$2*$A9)</f>
        <v>-0.95105651629515353</v>
      </c>
      <c r="G9" s="17">
        <f>SIN(G$2*$A9)</f>
        <v>0.58778525229247336</v>
      </c>
      <c r="H9" s="17">
        <f>SIN(H$2*$A9)</f>
        <v>0.58778525229247258</v>
      </c>
      <c r="I9" s="17">
        <f>SIN(I$2*$A9)</f>
        <v>-0.95105651629515375</v>
      </c>
      <c r="J9" s="17">
        <f>SIN(J$2*$A9)</f>
        <v>1.4088123029276645E-15</v>
      </c>
      <c r="K9" s="17">
        <f>SIN(K$2*$A9)</f>
        <v>0.9510565162951532</v>
      </c>
      <c r="L9" s="17">
        <f>SIN(L$2*$A9)</f>
        <v>-0.58778525229247414</v>
      </c>
      <c r="M9" s="17">
        <f>SIN(M$2*$A9)</f>
        <v>-0.58778525229247214</v>
      </c>
      <c r="N9" s="16">
        <f>SIN(N$2*$A9)</f>
        <v>0.95105651629515442</v>
      </c>
      <c r="P9" s="4">
        <f>(B9-D9)^2</f>
        <v>7.615971804737106E-15</v>
      </c>
    </row>
    <row r="10" spans="1:16" x14ac:dyDescent="0.25">
      <c r="A10" s="20">
        <f>A9+$B$2</f>
        <v>-0.50000000000000011</v>
      </c>
      <c r="B10" s="20">
        <f>A10</f>
        <v>-0.50000000000000011</v>
      </c>
      <c r="D10" s="30">
        <v>-0.49999983460209613</v>
      </c>
      <c r="E10" s="17">
        <v>1</v>
      </c>
      <c r="F10" s="17">
        <f>SIN(F$2*$A10)</f>
        <v>-1</v>
      </c>
      <c r="G10" s="17">
        <f>SIN(G$2*$A10)</f>
        <v>7.6566357420926323E-16</v>
      </c>
      <c r="H10" s="17">
        <f>SIN(H$2*$A10)</f>
        <v>1</v>
      </c>
      <c r="I10" s="17">
        <f>SIN(I$2*$A10)</f>
        <v>-1.5313271484185265E-15</v>
      </c>
      <c r="J10" s="17">
        <f>SIN(J$2*$A10)</f>
        <v>-1</v>
      </c>
      <c r="K10" s="17">
        <f>SIN(K$2*$A10)</f>
        <v>1.4088123029276645E-15</v>
      </c>
      <c r="L10" s="17">
        <f>SIN(L$2*$A10)</f>
        <v>1</v>
      </c>
      <c r="M10" s="17">
        <f>SIN(M$2*$A10)</f>
        <v>-3.0626542968370529E-15</v>
      </c>
      <c r="N10" s="16">
        <f>SIN(N$2*$A10)</f>
        <v>-1</v>
      </c>
      <c r="P10" s="4">
        <f>(B10-D10)^2</f>
        <v>2.7356466642285537E-14</v>
      </c>
    </row>
    <row r="11" spans="1:16" x14ac:dyDescent="0.25">
      <c r="A11" s="20">
        <f>A10+$B$2</f>
        <v>-0.40000000000000013</v>
      </c>
      <c r="B11" s="20">
        <f>A11</f>
        <v>-0.40000000000000013</v>
      </c>
      <c r="D11" s="30">
        <v>-0.39999984303529518</v>
      </c>
      <c r="E11" s="17">
        <v>1</v>
      </c>
      <c r="F11" s="17">
        <f>SIN(F$2*$A11)</f>
        <v>-0.95105651629515364</v>
      </c>
      <c r="G11" s="17">
        <f>SIN(G$2*$A11)</f>
        <v>-0.58778525229247247</v>
      </c>
      <c r="H11" s="17">
        <f>SIN(H$2*$A11)</f>
        <v>0.58778525229247414</v>
      </c>
      <c r="I11" s="17">
        <f>SIN(I$2*$A11)</f>
        <v>0.95105651629515309</v>
      </c>
      <c r="J11" s="17">
        <f>SIN(J$2*$A11)</f>
        <v>-1.5313271484185265E-15</v>
      </c>
      <c r="K11" s="17">
        <f>SIN(K$2*$A11)</f>
        <v>-0.95105651629515431</v>
      </c>
      <c r="L11" s="17">
        <f>SIN(L$2*$A11)</f>
        <v>-0.58778525229247058</v>
      </c>
      <c r="M11" s="17">
        <f>SIN(M$2*$A11)</f>
        <v>0.58778525229247569</v>
      </c>
      <c r="N11" s="16">
        <f>SIN(N$2*$A11)</f>
        <v>0.95105651629515264</v>
      </c>
      <c r="P11" s="4">
        <f>(B11-D11)^2</f>
        <v>2.4637918601912876E-14</v>
      </c>
    </row>
    <row r="12" spans="1:16" x14ac:dyDescent="0.25">
      <c r="A12" s="20">
        <f>A11+$B$2</f>
        <v>-0.30000000000000016</v>
      </c>
      <c r="B12" s="20">
        <f>A12</f>
        <v>-0.30000000000000016</v>
      </c>
      <c r="D12" s="30">
        <v>-0.29999970034510565</v>
      </c>
      <c r="E12" s="17">
        <v>1</v>
      </c>
      <c r="F12" s="17">
        <f>SIN(F$2*$A12)</f>
        <v>-0.80901699437494767</v>
      </c>
      <c r="G12" s="17">
        <f>SIN(G$2*$A12)</f>
        <v>-0.95105651629515331</v>
      </c>
      <c r="H12" s="17">
        <f>SIN(H$2*$A12)</f>
        <v>-0.30901699437494629</v>
      </c>
      <c r="I12" s="17">
        <f>SIN(I$2*$A12)</f>
        <v>0.58778525229247447</v>
      </c>
      <c r="J12" s="17">
        <f>SIN(J$2*$A12)</f>
        <v>1</v>
      </c>
      <c r="K12" s="17">
        <f>SIN(K$2*$A12)</f>
        <v>0.58778525229247114</v>
      </c>
      <c r="L12" s="17">
        <f>SIN(L$2*$A12)</f>
        <v>-0.30901699437495056</v>
      </c>
      <c r="M12" s="17">
        <f>SIN(M$2*$A12)</f>
        <v>-0.95105651629515453</v>
      </c>
      <c r="N12" s="16">
        <f>SIN(N$2*$A12)</f>
        <v>-0.80901699437494556</v>
      </c>
      <c r="P12" s="4">
        <f>(B12-D12)^2</f>
        <v>8.9793055803136347E-14</v>
      </c>
    </row>
    <row r="13" spans="1:16" x14ac:dyDescent="0.25">
      <c r="A13" s="20">
        <f>A12+$B$2</f>
        <v>-0.20000000000000015</v>
      </c>
      <c r="B13" s="20">
        <f>A13</f>
        <v>-0.20000000000000015</v>
      </c>
      <c r="D13" s="30">
        <v>-0.19999979442892429</v>
      </c>
      <c r="E13" s="17">
        <v>1</v>
      </c>
      <c r="F13" s="17">
        <f>SIN(F$2*$A13)</f>
        <v>-0.58778525229247347</v>
      </c>
      <c r="G13" s="17">
        <f>SIN(G$2*$A13)</f>
        <v>-0.95105651629515386</v>
      </c>
      <c r="H13" s="17">
        <f>SIN(H$2*$A13)</f>
        <v>-0.9510565162951532</v>
      </c>
      <c r="I13" s="17">
        <f>SIN(I$2*$A13)</f>
        <v>-0.5877852522924718</v>
      </c>
      <c r="J13" s="17">
        <f>SIN(J$2*$A13)</f>
        <v>2.0979312037594511E-15</v>
      </c>
      <c r="K13" s="17">
        <f>SIN(K$2*$A13)</f>
        <v>0.58778525229247514</v>
      </c>
      <c r="L13" s="17">
        <f>SIN(L$2*$A13)</f>
        <v>0.95105651629515464</v>
      </c>
      <c r="M13" s="17">
        <f>SIN(M$2*$A13)</f>
        <v>0.95105651629515253</v>
      </c>
      <c r="N13" s="16">
        <f>SIN(N$2*$A13)</f>
        <v>0.5877852522924697</v>
      </c>
      <c r="P13" s="4">
        <f>(B13-D13)^2</f>
        <v>4.2259467228754569E-14</v>
      </c>
    </row>
    <row r="14" spans="1:16" x14ac:dyDescent="0.25">
      <c r="A14" s="20">
        <f>A13+$B$2</f>
        <v>-0.10000000000000014</v>
      </c>
      <c r="B14" s="20">
        <f>A14</f>
        <v>-0.10000000000000014</v>
      </c>
      <c r="D14" s="30">
        <v>-9.9999549867773041E-2</v>
      </c>
      <c r="E14" s="17">
        <v>1</v>
      </c>
      <c r="F14" s="17">
        <f>SIN(F$2*$A14)</f>
        <v>-0.30901699437494784</v>
      </c>
      <c r="G14" s="17">
        <f>SIN(G$2*$A14)</f>
        <v>-0.5877852522924738</v>
      </c>
      <c r="H14" s="17">
        <f>SIN(H$2*$A14)</f>
        <v>-0.80901699437494823</v>
      </c>
      <c r="I14" s="17">
        <f>SIN(I$2*$A14)</f>
        <v>-0.95105651629515409</v>
      </c>
      <c r="J14" s="17">
        <f>SIN(J$2*$A14)</f>
        <v>-1</v>
      </c>
      <c r="K14" s="17">
        <f>SIN(K$2*$A14)</f>
        <v>-0.95105651629515275</v>
      </c>
      <c r="L14" s="17">
        <f>SIN(L$2*$A14)</f>
        <v>-0.80901699437494567</v>
      </c>
      <c r="M14" s="17">
        <f>SIN(M$2*$A14)</f>
        <v>-0.58778525229247036</v>
      </c>
      <c r="N14" s="16">
        <f>SIN(N$2*$A14)</f>
        <v>-0.30901699437494373</v>
      </c>
      <c r="P14" s="4">
        <f>(B14-D14)^2</f>
        <v>2.0261902187700216E-13</v>
      </c>
    </row>
    <row r="15" spans="1:16" x14ac:dyDescent="0.25">
      <c r="A15" s="20">
        <f>A14+$B$2</f>
        <v>-1.3877787807814457E-16</v>
      </c>
      <c r="B15" s="20">
        <f>A15</f>
        <v>-1.3877787807814457E-16</v>
      </c>
      <c r="D15" s="30">
        <v>2.4390588662637006E-13</v>
      </c>
      <c r="E15" s="17">
        <v>1</v>
      </c>
      <c r="F15" s="17">
        <f>SIN(F$2*$A15)</f>
        <v>-4.3598356225107897E-16</v>
      </c>
      <c r="G15" s="17">
        <f>SIN(G$2*$A15)</f>
        <v>-8.7196712450215794E-16</v>
      </c>
      <c r="H15" s="17">
        <f>SIN(H$2*$A15)</f>
        <v>-1.3079506867532368E-15</v>
      </c>
      <c r="I15" s="17">
        <f>SIN(I$2*$A15)</f>
        <v>-1.7439342490043159E-15</v>
      </c>
      <c r="J15" s="17">
        <f>SIN(J$2*$A15)</f>
        <v>-2.179917811255395E-15</v>
      </c>
      <c r="K15" s="17">
        <f>SIN(K$2*$A15)</f>
        <v>-2.6159013735064736E-15</v>
      </c>
      <c r="L15" s="17">
        <f>SIN(L$2*$A15)</f>
        <v>-3.0518849357575527E-15</v>
      </c>
      <c r="M15" s="17">
        <f>SIN(M$2*$A15)</f>
        <v>-3.4878684980086318E-15</v>
      </c>
      <c r="N15" s="16">
        <f>SIN(N$2*$A15)</f>
        <v>-3.9238520602597108E-15</v>
      </c>
      <c r="P15" s="4">
        <f>(B15-D15)^2</f>
        <v>5.9557798273088683E-26</v>
      </c>
    </row>
    <row r="16" spans="1:16" x14ac:dyDescent="0.25">
      <c r="A16" s="20">
        <f>A15+$B$2</f>
        <v>9.9999999999999867E-2</v>
      </c>
      <c r="B16" s="20">
        <f>A16</f>
        <v>9.9999999999999867E-2</v>
      </c>
      <c r="D16" s="30">
        <v>9.9999549868260929E-2</v>
      </c>
      <c r="E16" s="17">
        <v>1</v>
      </c>
      <c r="F16" s="17">
        <f>SIN(F$2*$A16)</f>
        <v>0.30901699437494701</v>
      </c>
      <c r="G16" s="17">
        <f>SIN(G$2*$A16)</f>
        <v>0.58778525229247236</v>
      </c>
      <c r="H16" s="17">
        <f>SIN(H$2*$A16)</f>
        <v>0.80901699437494667</v>
      </c>
      <c r="I16" s="17">
        <f>SIN(I$2*$A16)</f>
        <v>0.95105651629515298</v>
      </c>
      <c r="J16" s="17">
        <f>SIN(J$2*$A16)</f>
        <v>1</v>
      </c>
      <c r="K16" s="17">
        <f>SIN(K$2*$A16)</f>
        <v>0.95105651629515431</v>
      </c>
      <c r="L16" s="17">
        <f>SIN(L$2*$A16)</f>
        <v>0.80901699437494934</v>
      </c>
      <c r="M16" s="17">
        <f>SIN(M$2*$A16)</f>
        <v>0.58778525229247613</v>
      </c>
      <c r="N16" s="16">
        <f>SIN(N$2*$A16)</f>
        <v>0.30901699437495089</v>
      </c>
      <c r="P16" s="4">
        <f>(B16-D16)^2</f>
        <v>2.0261858239958563E-13</v>
      </c>
    </row>
    <row r="17" spans="1:16" x14ac:dyDescent="0.25">
      <c r="A17" s="20">
        <f>A16+$B$2</f>
        <v>0.19999999999999987</v>
      </c>
      <c r="B17" s="20">
        <f>A17</f>
        <v>0.19999999999999987</v>
      </c>
      <c r="D17" s="30">
        <v>0.19999979442941221</v>
      </c>
      <c r="E17" s="17">
        <v>1</v>
      </c>
      <c r="F17" s="17">
        <f>SIN(F$2*$A17)</f>
        <v>0.5877852522924728</v>
      </c>
      <c r="G17" s="17">
        <f>SIN(G$2*$A17)</f>
        <v>0.95105651629515331</v>
      </c>
      <c r="H17" s="17">
        <f>SIN(H$2*$A17)</f>
        <v>0.95105651629515398</v>
      </c>
      <c r="I17" s="17">
        <f>SIN(I$2*$A17)</f>
        <v>0.58778525229247469</v>
      </c>
      <c r="J17" s="17">
        <f>SIN(J$2*$A17)</f>
        <v>2.3429608947411751E-15</v>
      </c>
      <c r="K17" s="17">
        <f>SIN(K$2*$A17)</f>
        <v>-0.58778525229247125</v>
      </c>
      <c r="L17" s="17">
        <f>SIN(L$2*$A17)</f>
        <v>-0.95105651629515264</v>
      </c>
      <c r="M17" s="17">
        <f>SIN(M$2*$A17)</f>
        <v>-0.95105651629515475</v>
      </c>
      <c r="N17" s="16">
        <f>SIN(N$2*$A17)</f>
        <v>-0.58778525229247613</v>
      </c>
      <c r="P17" s="4">
        <f>(B17-D17)^2</f>
        <v>4.2259266512346636E-14</v>
      </c>
    </row>
    <row r="18" spans="1:16" x14ac:dyDescent="0.25">
      <c r="A18" s="20">
        <f>A17+$B$2</f>
        <v>0.29999999999999988</v>
      </c>
      <c r="B18" s="20">
        <f>A18</f>
        <v>0.29999999999999988</v>
      </c>
      <c r="D18" s="30">
        <v>0.29999970034559353</v>
      </c>
      <c r="E18" s="17">
        <v>1</v>
      </c>
      <c r="F18" s="17">
        <f>SIN(F$2*$A18)</f>
        <v>0.80901699437494723</v>
      </c>
      <c r="G18" s="17">
        <f>SIN(G$2*$A18)</f>
        <v>0.95105651629515375</v>
      </c>
      <c r="H18" s="17">
        <f>SIN(H$2*$A18)</f>
        <v>0.30901699437494878</v>
      </c>
      <c r="I18" s="17">
        <f>SIN(I$2*$A18)</f>
        <v>-0.58778525229247192</v>
      </c>
      <c r="J18" s="17">
        <f>SIN(J$2*$A18)</f>
        <v>-1</v>
      </c>
      <c r="K18" s="17">
        <f>SIN(K$2*$A18)</f>
        <v>-0.58778525229247547</v>
      </c>
      <c r="L18" s="17">
        <f>SIN(L$2*$A18)</f>
        <v>0.30901699437494462</v>
      </c>
      <c r="M18" s="17">
        <f>SIN(M$2*$A18)</f>
        <v>0.95105651629515264</v>
      </c>
      <c r="N18" s="16">
        <f>SIN(N$2*$A18)</f>
        <v>0.80901699437494967</v>
      </c>
      <c r="P18" s="4">
        <f>(B18-D18)^2</f>
        <v>8.9792763241273186E-14</v>
      </c>
    </row>
    <row r="19" spans="1:16" x14ac:dyDescent="0.25">
      <c r="A19" s="20">
        <f>A18+$B$2</f>
        <v>0.39999999999999991</v>
      </c>
      <c r="B19" s="20">
        <f>A19</f>
        <v>0.39999999999999991</v>
      </c>
      <c r="D19" s="30">
        <v>0.39999984303578301</v>
      </c>
      <c r="E19" s="17">
        <v>1</v>
      </c>
      <c r="F19" s="17">
        <f>SIN(F$2*$A19)</f>
        <v>0.95105651629515353</v>
      </c>
      <c r="G19" s="17">
        <f>SIN(G$2*$A19)</f>
        <v>0.58778525229247358</v>
      </c>
      <c r="H19" s="17">
        <f>SIN(H$2*$A19)</f>
        <v>-0.58778525229247225</v>
      </c>
      <c r="I19" s="17">
        <f>SIN(I$2*$A19)</f>
        <v>-0.95105651629515386</v>
      </c>
      <c r="J19" s="17">
        <f>SIN(J$2*$A19)</f>
        <v>-2.0213865303819745E-15</v>
      </c>
      <c r="K19" s="17">
        <f>SIN(K$2*$A19)</f>
        <v>0.95105651629515298</v>
      </c>
      <c r="L19" s="17">
        <f>SIN(L$2*$A19)</f>
        <v>0.5877852522924748</v>
      </c>
      <c r="M19" s="17">
        <f>SIN(M$2*$A19)</f>
        <v>-0.58778525229247136</v>
      </c>
      <c r="N19" s="16">
        <f>SIN(N$2*$A19)</f>
        <v>-0.95105651629515431</v>
      </c>
      <c r="P19" s="4">
        <f>(B19-D19)^2</f>
        <v>2.463776538763378E-14</v>
      </c>
    </row>
    <row r="20" spans="1:16" x14ac:dyDescent="0.25">
      <c r="A20" s="20">
        <f>A19+$B$2</f>
        <v>0.49999999999999989</v>
      </c>
      <c r="B20" s="20">
        <f>A20</f>
        <v>0.49999999999999989</v>
      </c>
      <c r="D20" s="30">
        <v>0.49999983460258418</v>
      </c>
      <c r="E20" s="17">
        <v>1</v>
      </c>
      <c r="F20" s="17">
        <f>SIN(F$2*$A20)</f>
        <v>1</v>
      </c>
      <c r="G20" s="17">
        <f>SIN(G$2*$A20)</f>
        <v>1.0106932651909872E-15</v>
      </c>
      <c r="H20" s="17">
        <f>SIN(H$2*$A20)</f>
        <v>-1</v>
      </c>
      <c r="I20" s="17">
        <f>SIN(I$2*$A20)</f>
        <v>-2.0213865303819745E-15</v>
      </c>
      <c r="J20" s="17">
        <f>SIN(J$2*$A20)</f>
        <v>1</v>
      </c>
      <c r="K20" s="17">
        <f>SIN(K$2*$A20)</f>
        <v>2.1439013758728365E-15</v>
      </c>
      <c r="L20" s="17">
        <f>SIN(L$2*$A20)</f>
        <v>-1</v>
      </c>
      <c r="M20" s="17">
        <f>SIN(M$2*$A20)</f>
        <v>-4.0427730607639489E-15</v>
      </c>
      <c r="N20" s="16">
        <f>SIN(N$2*$A20)</f>
        <v>1</v>
      </c>
      <c r="P20" s="4">
        <f>(B20-D20)^2</f>
        <v>2.7356305122841495E-14</v>
      </c>
    </row>
    <row r="21" spans="1:16" x14ac:dyDescent="0.25">
      <c r="A21" s="20">
        <f>A20+$B$2</f>
        <v>0.59999999999999987</v>
      </c>
      <c r="B21" s="20">
        <f>A21</f>
        <v>0.59999999999999987</v>
      </c>
      <c r="D21" s="30">
        <v>0.59999991273095232</v>
      </c>
      <c r="E21" s="17">
        <v>1</v>
      </c>
      <c r="F21" s="17">
        <f>SIN(F$2*$A21)</f>
        <v>0.95105651629515375</v>
      </c>
      <c r="G21" s="17">
        <f>SIN(G$2*$A21)</f>
        <v>-0.58778525229247225</v>
      </c>
      <c r="H21" s="17">
        <f>SIN(H$2*$A21)</f>
        <v>-0.58778525229247403</v>
      </c>
      <c r="I21" s="17">
        <f>SIN(I$2*$A21)</f>
        <v>0.95105651629515298</v>
      </c>
      <c r="J21" s="17">
        <f>SIN(J$2*$A21)</f>
        <v>2.1439013758728365E-15</v>
      </c>
      <c r="K21" s="17">
        <f>SIN(K$2*$A21)</f>
        <v>-0.95105651629515431</v>
      </c>
      <c r="L21" s="17">
        <f>SIN(L$2*$A21)</f>
        <v>0.58778525229246981</v>
      </c>
      <c r="M21" s="17">
        <f>SIN(M$2*$A21)</f>
        <v>0.58778525229247647</v>
      </c>
      <c r="N21" s="16">
        <f>SIN(N$2*$A21)</f>
        <v>-0.95105651629515231</v>
      </c>
      <c r="P21" s="4">
        <f>(B21-D21)^2</f>
        <v>7.6158866592316422E-15</v>
      </c>
    </row>
    <row r="22" spans="1:16" x14ac:dyDescent="0.25">
      <c r="A22" s="20">
        <f>A21+$B$2</f>
        <v>0.69999999999999984</v>
      </c>
      <c r="B22" s="20">
        <f>A22</f>
        <v>0.69999999999999984</v>
      </c>
      <c r="D22" s="30">
        <v>0.69999992270342593</v>
      </c>
      <c r="E22" s="17">
        <v>1</v>
      </c>
      <c r="F22" s="17">
        <f>SIN(F$2*$A22)</f>
        <v>0.80901699437494778</v>
      </c>
      <c r="G22" s="17">
        <f>SIN(G$2*$A22)</f>
        <v>-0.9510565162951532</v>
      </c>
      <c r="H22" s="17">
        <f>SIN(H$2*$A22)</f>
        <v>0.30901699437494551</v>
      </c>
      <c r="I22" s="17">
        <f>SIN(I$2*$A22)</f>
        <v>0.5877852522924748</v>
      </c>
      <c r="J22" s="17">
        <f>SIN(J$2*$A22)</f>
        <v>-1</v>
      </c>
      <c r="K22" s="17">
        <f>SIN(K$2*$A22)</f>
        <v>0.58778525229246981</v>
      </c>
      <c r="L22" s="17">
        <f>SIN(L$2*$A22)</f>
        <v>0.30901699437495139</v>
      </c>
      <c r="M22" s="17">
        <f>SIN(M$2*$A22)</f>
        <v>-0.95105651629515486</v>
      </c>
      <c r="N22" s="16">
        <f>SIN(N$2*$A22)</f>
        <v>0.80901699437494379</v>
      </c>
      <c r="P22" s="4">
        <f>(B22-D22)^2</f>
        <v>5.9747603396626508E-15</v>
      </c>
    </row>
    <row r="23" spans="1:16" x14ac:dyDescent="0.25">
      <c r="A23" s="20">
        <f>A22+$B$2</f>
        <v>0.79999999999999982</v>
      </c>
      <c r="B23" s="20">
        <f>A23</f>
        <v>0.79999999999999982</v>
      </c>
      <c r="D23" s="30">
        <v>0.79999999163860436</v>
      </c>
      <c r="E23" s="17">
        <v>1</v>
      </c>
      <c r="F23" s="17">
        <f>SIN(F$2*$A23)</f>
        <v>0.58778525229247358</v>
      </c>
      <c r="G23" s="17">
        <f>SIN(G$2*$A23)</f>
        <v>-0.95105651629515386</v>
      </c>
      <c r="H23" s="17">
        <f>SIN(H$2*$A23)</f>
        <v>0.95105651629515298</v>
      </c>
      <c r="I23" s="17">
        <f>SIN(I$2*$A23)</f>
        <v>-0.58778525229247136</v>
      </c>
      <c r="J23" s="17">
        <f>SIN(J$2*$A23)</f>
        <v>-4.0427730607639489E-15</v>
      </c>
      <c r="K23" s="17">
        <f>SIN(K$2*$A23)</f>
        <v>0.58778525229247647</v>
      </c>
      <c r="L23" s="17">
        <f>SIN(L$2*$A23)</f>
        <v>-0.95105651629515486</v>
      </c>
      <c r="M23" s="17">
        <f>SIN(M$2*$A23)</f>
        <v>0.9510565162951522</v>
      </c>
      <c r="N23" s="16">
        <f>SIN(N$2*$A23)</f>
        <v>-0.58778525229246958</v>
      </c>
      <c r="P23" s="4">
        <f>(B23-D23)^2</f>
        <v>6.9912934120372328E-17</v>
      </c>
    </row>
    <row r="24" spans="1:16" x14ac:dyDescent="0.25">
      <c r="A24" s="20">
        <f>A23+$B$2</f>
        <v>0.8999999999999998</v>
      </c>
      <c r="B24" s="20">
        <f>A24</f>
        <v>0.8999999999999998</v>
      </c>
      <c r="D24" s="30">
        <v>0.90000002721448669</v>
      </c>
      <c r="E24" s="17">
        <v>1</v>
      </c>
      <c r="F24" s="17">
        <f>SIN(F$2*$A24)</f>
        <v>0.30901699437494795</v>
      </c>
      <c r="G24" s="17">
        <f>SIN(G$2*$A24)</f>
        <v>-0.58778525229247403</v>
      </c>
      <c r="H24" s="17">
        <f>SIN(H$2*$A24)</f>
        <v>0.80901699437494867</v>
      </c>
      <c r="I24" s="17">
        <f>SIN(I$2*$A24)</f>
        <v>-0.95105651629515431</v>
      </c>
      <c r="J24" s="17">
        <f>SIN(J$2*$A24)</f>
        <v>1</v>
      </c>
      <c r="K24" s="17">
        <f>SIN(K$2*$A24)</f>
        <v>-0.95105651629515231</v>
      </c>
      <c r="L24" s="17">
        <f>SIN(L$2*$A24)</f>
        <v>0.80901699437494379</v>
      </c>
      <c r="M24" s="17">
        <f>SIN(M$2*$A24)</f>
        <v>-0.58778525229246958</v>
      </c>
      <c r="N24" s="16">
        <f>SIN(N$2*$A24)</f>
        <v>0.3090169943749414</v>
      </c>
      <c r="P24" s="4">
        <f>(B24-D24)^2</f>
        <v>7.4062829648193662E-16</v>
      </c>
    </row>
    <row r="25" spans="1:16" ht="15.75" thickBot="1" x14ac:dyDescent="0.3">
      <c r="A25" s="15">
        <f>A24+$B$2</f>
        <v>0.99999999999999978</v>
      </c>
      <c r="B25" s="15">
        <f>A25</f>
        <v>0.99999999999999978</v>
      </c>
      <c r="D25" s="29">
        <v>2.476446561735329E-13</v>
      </c>
      <c r="E25" s="12">
        <v>1</v>
      </c>
      <c r="F25" s="12">
        <f>SIN(F$2*$A25)</f>
        <v>1.0106932651909872E-15</v>
      </c>
      <c r="G25" s="12">
        <f>SIN(G$2*$A25)</f>
        <v>-2.0213865303819745E-15</v>
      </c>
      <c r="H25" s="12">
        <f>SIN(H$2*$A25)</f>
        <v>2.1439013758728365E-15</v>
      </c>
      <c r="I25" s="12">
        <f>SIN(I$2*$A25)</f>
        <v>-4.0427730607639489E-15</v>
      </c>
      <c r="J25" s="12">
        <f>SIN(J$2*$A25)</f>
        <v>4.1652879062548109E-15</v>
      </c>
      <c r="K25" s="12">
        <f>SIN(K$2*$A25)</f>
        <v>-4.2878027517456729E-15</v>
      </c>
      <c r="L25" s="12">
        <f>SIN(L$2*$A25)</f>
        <v>4.4103175972365349E-15</v>
      </c>
      <c r="M25" s="12">
        <f>SIN(M$2*$A25)</f>
        <v>-8.0855461215278979E-15</v>
      </c>
      <c r="N25" s="11">
        <f>SIN(N$2*$A25)</f>
        <v>8.2080609670187599E-15</v>
      </c>
      <c r="P25" s="4">
        <f>(B25-D25)^2</f>
        <v>0.99999999999950417</v>
      </c>
    </row>
    <row r="26" spans="1:16" ht="15.75" thickTop="1" x14ac:dyDescent="0.25">
      <c r="P26" s="4"/>
    </row>
    <row r="27" spans="1:16" x14ac:dyDescent="0.25">
      <c r="P27" s="10">
        <f>SUM(P5:P25)</f>
        <v>2.0000000000007931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O26"/>
  <sheetViews>
    <sheetView zoomScale="117" zoomScaleNormal="117" workbookViewId="0">
      <selection activeCell="O17" sqref="O17"/>
    </sheetView>
  </sheetViews>
  <sheetFormatPr defaultColWidth="9.28515625" defaultRowHeight="15" x14ac:dyDescent="0.25"/>
  <sheetData>
    <row r="1" spans="1:14" x14ac:dyDescent="0.25">
      <c r="A1" s="28" t="s">
        <v>5</v>
      </c>
      <c r="B1" s="2">
        <v>2</v>
      </c>
      <c r="D1" s="28" t="s">
        <v>16</v>
      </c>
      <c r="E1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</row>
    <row r="2" spans="1:14" ht="15.75" thickBot="1" x14ac:dyDescent="0.3">
      <c r="A2" s="28" t="s">
        <v>2</v>
      </c>
      <c r="B2" s="2">
        <v>0.1</v>
      </c>
      <c r="D2" s="28" t="s">
        <v>15</v>
      </c>
      <c r="E2" s="4">
        <f>2*PI()*E1/$B$1</f>
        <v>0</v>
      </c>
      <c r="F2" s="4">
        <f>2*PI()*F1/$B$1</f>
        <v>3.1415926535897931</v>
      </c>
      <c r="G2" s="4">
        <f>2*PI()*G1/$B$1</f>
        <v>6.2831853071795862</v>
      </c>
      <c r="H2" s="4">
        <f>2*PI()*H1/$B$1</f>
        <v>9.4247779607693793</v>
      </c>
      <c r="I2" s="4">
        <f>2*PI()*I1/$B$1</f>
        <v>12.566370614359172</v>
      </c>
      <c r="J2" s="4">
        <f>2*PI()*J1/$B$1</f>
        <v>15.707963267948966</v>
      </c>
      <c r="K2" s="4">
        <f>2*PI()*K1/$B$1</f>
        <v>18.849555921538759</v>
      </c>
      <c r="L2" s="4">
        <f>2*PI()*L1/$B$1</f>
        <v>21.991148575128552</v>
      </c>
      <c r="M2" s="4">
        <f>2*PI()*M1/$B$1</f>
        <v>25.132741228718345</v>
      </c>
      <c r="N2" s="4">
        <f>2*PI()*N1/$B$1</f>
        <v>28.274333882308138</v>
      </c>
    </row>
    <row r="3" spans="1:14" ht="16.5" thickTop="1" thickBot="1" x14ac:dyDescent="0.3">
      <c r="D3" s="28" t="s">
        <v>17</v>
      </c>
      <c r="E3" s="35">
        <f t="array" ref="E3:N3">TRANSPOSE(MMULT(MINVERSE(MMULT(TRANSPOSE(E5:N25),E5:N25)),MMULT(TRANSPOSE(E5:N25),B5:B25)))</f>
        <v>-2.2418328522276981E-16</v>
      </c>
      <c r="F3" s="34">
        <v>0.63137515146750423</v>
      </c>
      <c r="G3" s="34">
        <v>-0.30776835371752548</v>
      </c>
      <c r="H3" s="34">
        <v>0.19626105055051532</v>
      </c>
      <c r="I3" s="34">
        <v>-0.13763819204711769</v>
      </c>
      <c r="J3" s="34">
        <v>0.10000000000000044</v>
      </c>
      <c r="K3" s="34">
        <v>-7.2654252800536487E-2</v>
      </c>
      <c r="L3" s="34">
        <v>5.0952544949443283E-2</v>
      </c>
      <c r="M3" s="34">
        <v>-3.2491969623291463E-2</v>
      </c>
      <c r="N3" s="33">
        <v>1.583844403245448E-2</v>
      </c>
    </row>
    <row r="4" spans="1:14" ht="16.5" thickTop="1" thickBot="1" x14ac:dyDescent="0.3">
      <c r="A4" s="26" t="s">
        <v>0</v>
      </c>
      <c r="B4" s="26" t="s">
        <v>13</v>
      </c>
      <c r="C4" t="s">
        <v>12</v>
      </c>
      <c r="D4" s="32" t="s">
        <v>11</v>
      </c>
    </row>
    <row r="5" spans="1:14" ht="15.75" thickTop="1" x14ac:dyDescent="0.25">
      <c r="A5" s="25">
        <v>-1</v>
      </c>
      <c r="B5" s="25">
        <v>-1</v>
      </c>
      <c r="D5" s="31">
        <f t="array" ref="D5:D25">MMULT(E5:N25,TRANSPOSE(E3:N3))</f>
        <v>-7.242059252391583E-16</v>
      </c>
      <c r="E5" s="22">
        <v>1</v>
      </c>
      <c r="F5" s="22">
        <f>SIN(F$2*$A5)</f>
        <v>-1.22514845490862E-16</v>
      </c>
      <c r="G5" s="22">
        <f>SIN(G$2*$A5)</f>
        <v>2.45029690981724E-16</v>
      </c>
      <c r="H5" s="22">
        <f>SIN(H$2*$A5)</f>
        <v>-3.67544536472586E-16</v>
      </c>
      <c r="I5" s="22">
        <f>SIN(I$2*$A5)</f>
        <v>4.90059381963448E-16</v>
      </c>
      <c r="J5" s="22">
        <f>SIN(J$2*$A5)</f>
        <v>-6.1257422745431001E-16</v>
      </c>
      <c r="K5" s="22">
        <f>SIN(K$2*$A5)</f>
        <v>7.3508907294517201E-16</v>
      </c>
      <c r="L5" s="22">
        <f>SIN(L$2*$A5)</f>
        <v>-8.5760391843603401E-16</v>
      </c>
      <c r="M5" s="22">
        <f>SIN(M$2*$A5)</f>
        <v>9.8011876392689601E-16</v>
      </c>
      <c r="N5" s="21">
        <f>SIN(N$2*$A5)</f>
        <v>-1.102633609417758E-15</v>
      </c>
    </row>
    <row r="6" spans="1:14" x14ac:dyDescent="0.25">
      <c r="A6" s="20">
        <f>A5+$B$2</f>
        <v>-0.9</v>
      </c>
      <c r="B6" s="20">
        <f>A6</f>
        <v>-0.9</v>
      </c>
      <c r="D6" s="30">
        <v>-0.90000000000000291</v>
      </c>
      <c r="E6" s="17">
        <v>1</v>
      </c>
      <c r="F6" s="17">
        <f>SIN(F$2*$A6)</f>
        <v>-0.30901699437494751</v>
      </c>
      <c r="G6" s="17">
        <f>SIN(G$2*$A6)</f>
        <v>0.58778525229247336</v>
      </c>
      <c r="H6" s="17">
        <f>SIN(H$2*$A6)</f>
        <v>-0.80901699437494767</v>
      </c>
      <c r="I6" s="17">
        <f>SIN(I$2*$A6)</f>
        <v>0.95105651629515375</v>
      </c>
      <c r="J6" s="17">
        <f>SIN(J$2*$A6)</f>
        <v>-1</v>
      </c>
      <c r="K6" s="17">
        <f>SIN(K$2*$A6)</f>
        <v>0.95105651629515342</v>
      </c>
      <c r="L6" s="17">
        <f>SIN(L$2*$A6)</f>
        <v>-0.80901699437494801</v>
      </c>
      <c r="M6" s="17">
        <f>SIN(M$2*$A6)</f>
        <v>0.58778525229247247</v>
      </c>
      <c r="N6" s="16">
        <f>SIN(N$2*$A6)</f>
        <v>-0.30901699437494817</v>
      </c>
    </row>
    <row r="7" spans="1:14" x14ac:dyDescent="0.25">
      <c r="A7" s="20">
        <f>A6+$B$2</f>
        <v>-0.8</v>
      </c>
      <c r="B7" s="20">
        <f>A7</f>
        <v>-0.8</v>
      </c>
      <c r="D7" s="30">
        <v>-0.79999999999999882</v>
      </c>
      <c r="E7" s="17">
        <v>1</v>
      </c>
      <c r="F7" s="17">
        <f>SIN(F$2*$A7)</f>
        <v>-0.58778525229247325</v>
      </c>
      <c r="G7" s="17">
        <f>SIN(G$2*$A7)</f>
        <v>0.95105651629515364</v>
      </c>
      <c r="H7" s="17">
        <f>SIN(H$2*$A7)</f>
        <v>-0.95105651629515353</v>
      </c>
      <c r="I7" s="17">
        <f>SIN(I$2*$A7)</f>
        <v>0.5877852522924728</v>
      </c>
      <c r="J7" s="17">
        <f>SIN(J$2*$A7)</f>
        <v>4.90059381963448E-16</v>
      </c>
      <c r="K7" s="17">
        <f>SIN(K$2*$A7)</f>
        <v>-0.58778525229247358</v>
      </c>
      <c r="L7" s="17">
        <f>SIN(L$2*$A7)</f>
        <v>0.95105651629515375</v>
      </c>
      <c r="M7" s="17">
        <f>SIN(M$2*$A7)</f>
        <v>-0.95105651629515331</v>
      </c>
      <c r="N7" s="16">
        <f>SIN(N$2*$A7)</f>
        <v>0.58778525229247247</v>
      </c>
    </row>
    <row r="8" spans="1:14" x14ac:dyDescent="0.25">
      <c r="A8" s="20">
        <f>A7+$B$2</f>
        <v>-0.70000000000000007</v>
      </c>
      <c r="B8" s="20">
        <f>A8</f>
        <v>-0.70000000000000007</v>
      </c>
      <c r="D8" s="30">
        <v>-0.70000000000000107</v>
      </c>
      <c r="E8" s="17">
        <v>1</v>
      </c>
      <c r="F8" s="17">
        <f>SIN(F$2*$A8)</f>
        <v>-0.80901699437494745</v>
      </c>
      <c r="G8" s="17">
        <f>SIN(G$2*$A8)</f>
        <v>0.95105651629515353</v>
      </c>
      <c r="H8" s="17">
        <f>SIN(H$2*$A8)</f>
        <v>-0.30901699437494801</v>
      </c>
      <c r="I8" s="17">
        <f>SIN(I$2*$A8)</f>
        <v>-0.58778525229247336</v>
      </c>
      <c r="J8" s="17">
        <f>SIN(J$2*$A8)</f>
        <v>1</v>
      </c>
      <c r="K8" s="17">
        <f>SIN(K$2*$A8)</f>
        <v>-0.58778525229247414</v>
      </c>
      <c r="L8" s="17">
        <f>SIN(L$2*$A8)</f>
        <v>-0.30901699437494629</v>
      </c>
      <c r="M8" s="17">
        <f>SIN(M$2*$A8)</f>
        <v>0.95105651629515375</v>
      </c>
      <c r="N8" s="16">
        <f>SIN(N$2*$A8)</f>
        <v>-0.80901699437494801</v>
      </c>
    </row>
    <row r="9" spans="1:14" x14ac:dyDescent="0.25">
      <c r="A9" s="20">
        <f>A8+$B$2</f>
        <v>-0.60000000000000009</v>
      </c>
      <c r="B9" s="20">
        <f>A9</f>
        <v>-0.60000000000000009</v>
      </c>
      <c r="D9" s="30">
        <v>-0.5999999999999992</v>
      </c>
      <c r="E9" s="17">
        <v>1</v>
      </c>
      <c r="F9" s="17">
        <f>SIN(F$2*$A9)</f>
        <v>-0.95105651629515353</v>
      </c>
      <c r="G9" s="17">
        <f>SIN(G$2*$A9)</f>
        <v>0.58778525229247336</v>
      </c>
      <c r="H9" s="17">
        <f>SIN(H$2*$A9)</f>
        <v>0.58778525229247258</v>
      </c>
      <c r="I9" s="17">
        <f>SIN(I$2*$A9)</f>
        <v>-0.95105651629515375</v>
      </c>
      <c r="J9" s="17">
        <f>SIN(J$2*$A9)</f>
        <v>1.4088123029276645E-15</v>
      </c>
      <c r="K9" s="17">
        <f>SIN(K$2*$A9)</f>
        <v>0.9510565162951532</v>
      </c>
      <c r="L9" s="17">
        <f>SIN(L$2*$A9)</f>
        <v>-0.58778525229247414</v>
      </c>
      <c r="M9" s="17">
        <f>SIN(M$2*$A9)</f>
        <v>-0.58778525229247214</v>
      </c>
      <c r="N9" s="16">
        <f>SIN(N$2*$A9)</f>
        <v>0.95105651629515442</v>
      </c>
    </row>
    <row r="10" spans="1:14" x14ac:dyDescent="0.25">
      <c r="A10" s="20">
        <f>A9+$B$2</f>
        <v>-0.50000000000000011</v>
      </c>
      <c r="B10" s="20">
        <f>A10</f>
        <v>-0.50000000000000011</v>
      </c>
      <c r="D10" s="30">
        <v>-0.50000000000000067</v>
      </c>
      <c r="E10" s="17">
        <v>1</v>
      </c>
      <c r="F10" s="17">
        <f>SIN(F$2*$A10)</f>
        <v>-1</v>
      </c>
      <c r="G10" s="17">
        <f>SIN(G$2*$A10)</f>
        <v>7.6566357420926323E-16</v>
      </c>
      <c r="H10" s="17">
        <f>SIN(H$2*$A10)</f>
        <v>1</v>
      </c>
      <c r="I10" s="17">
        <f>SIN(I$2*$A10)</f>
        <v>-1.5313271484185265E-15</v>
      </c>
      <c r="J10" s="17">
        <f>SIN(J$2*$A10)</f>
        <v>-1</v>
      </c>
      <c r="K10" s="17">
        <f>SIN(K$2*$A10)</f>
        <v>1.4088123029276645E-15</v>
      </c>
      <c r="L10" s="17">
        <f>SIN(L$2*$A10)</f>
        <v>1</v>
      </c>
      <c r="M10" s="17">
        <f>SIN(M$2*$A10)</f>
        <v>-3.0626542968370529E-15</v>
      </c>
      <c r="N10" s="16">
        <f>SIN(N$2*$A10)</f>
        <v>-1</v>
      </c>
    </row>
    <row r="11" spans="1:14" x14ac:dyDescent="0.25">
      <c r="A11" s="20">
        <f>A10+$B$2</f>
        <v>-0.40000000000000013</v>
      </c>
      <c r="B11" s="20">
        <f>A11</f>
        <v>-0.40000000000000013</v>
      </c>
      <c r="D11" s="30">
        <v>-0.39999999999999991</v>
      </c>
      <c r="E11" s="17">
        <v>1</v>
      </c>
      <c r="F11" s="17">
        <f>SIN(F$2*$A11)</f>
        <v>-0.95105651629515364</v>
      </c>
      <c r="G11" s="17">
        <f>SIN(G$2*$A11)</f>
        <v>-0.58778525229247247</v>
      </c>
      <c r="H11" s="17">
        <f>SIN(H$2*$A11)</f>
        <v>0.58778525229247414</v>
      </c>
      <c r="I11" s="17">
        <f>SIN(I$2*$A11)</f>
        <v>0.95105651629515309</v>
      </c>
      <c r="J11" s="17">
        <f>SIN(J$2*$A11)</f>
        <v>-1.5313271484185265E-15</v>
      </c>
      <c r="K11" s="17">
        <f>SIN(K$2*$A11)</f>
        <v>-0.95105651629515431</v>
      </c>
      <c r="L11" s="17">
        <f>SIN(L$2*$A11)</f>
        <v>-0.58778525229247058</v>
      </c>
      <c r="M11" s="17">
        <f>SIN(M$2*$A11)</f>
        <v>0.58778525229247569</v>
      </c>
      <c r="N11" s="16">
        <f>SIN(N$2*$A11)</f>
        <v>0.95105651629515264</v>
      </c>
    </row>
    <row r="12" spans="1:14" x14ac:dyDescent="0.25">
      <c r="A12" s="20">
        <f>A11+$B$2</f>
        <v>-0.30000000000000016</v>
      </c>
      <c r="B12" s="20">
        <f>A12</f>
        <v>-0.30000000000000016</v>
      </c>
      <c r="D12" s="30">
        <v>-0.30000000000000032</v>
      </c>
      <c r="E12" s="17">
        <v>1</v>
      </c>
      <c r="F12" s="17">
        <f>SIN(F$2*$A12)</f>
        <v>-0.80901699437494767</v>
      </c>
      <c r="G12" s="17">
        <f>SIN(G$2*$A12)</f>
        <v>-0.95105651629515331</v>
      </c>
      <c r="H12" s="17">
        <f>SIN(H$2*$A12)</f>
        <v>-0.30901699437494629</v>
      </c>
      <c r="I12" s="17">
        <f>SIN(I$2*$A12)</f>
        <v>0.58778525229247447</v>
      </c>
      <c r="J12" s="17">
        <f>SIN(J$2*$A12)</f>
        <v>1</v>
      </c>
      <c r="K12" s="17">
        <f>SIN(K$2*$A12)</f>
        <v>0.58778525229247114</v>
      </c>
      <c r="L12" s="17">
        <f>SIN(L$2*$A12)</f>
        <v>-0.30901699437495056</v>
      </c>
      <c r="M12" s="17">
        <f>SIN(M$2*$A12)</f>
        <v>-0.95105651629515453</v>
      </c>
      <c r="N12" s="16">
        <f>SIN(N$2*$A12)</f>
        <v>-0.80901699437494556</v>
      </c>
    </row>
    <row r="13" spans="1:14" x14ac:dyDescent="0.25">
      <c r="A13" s="20">
        <f>A12+$B$2</f>
        <v>-0.20000000000000015</v>
      </c>
      <c r="B13" s="20">
        <f>A13</f>
        <v>-0.20000000000000015</v>
      </c>
      <c r="D13" s="30">
        <v>-0.20000000000000037</v>
      </c>
      <c r="E13" s="17">
        <v>1</v>
      </c>
      <c r="F13" s="17">
        <f>SIN(F$2*$A13)</f>
        <v>-0.58778525229247347</v>
      </c>
      <c r="G13" s="17">
        <f>SIN(G$2*$A13)</f>
        <v>-0.95105651629515386</v>
      </c>
      <c r="H13" s="17">
        <f>SIN(H$2*$A13)</f>
        <v>-0.9510565162951532</v>
      </c>
      <c r="I13" s="17">
        <f>SIN(I$2*$A13)</f>
        <v>-0.5877852522924718</v>
      </c>
      <c r="J13" s="17">
        <f>SIN(J$2*$A13)</f>
        <v>2.0979312037594511E-15</v>
      </c>
      <c r="K13" s="17">
        <f>SIN(K$2*$A13)</f>
        <v>0.58778525229247514</v>
      </c>
      <c r="L13" s="17">
        <f>SIN(L$2*$A13)</f>
        <v>0.95105651629515464</v>
      </c>
      <c r="M13" s="17">
        <f>SIN(M$2*$A13)</f>
        <v>0.95105651629515253</v>
      </c>
      <c r="N13" s="16">
        <f>SIN(N$2*$A13)</f>
        <v>0.5877852522924697</v>
      </c>
    </row>
    <row r="14" spans="1:14" x14ac:dyDescent="0.25">
      <c r="A14" s="20">
        <f>A13+$B$2</f>
        <v>-0.10000000000000014</v>
      </c>
      <c r="B14" s="20">
        <f>A14</f>
        <v>-0.10000000000000014</v>
      </c>
      <c r="D14" s="30">
        <v>-0.10000000000000031</v>
      </c>
      <c r="E14" s="17">
        <v>1</v>
      </c>
      <c r="F14" s="17">
        <f>SIN(F$2*$A14)</f>
        <v>-0.30901699437494784</v>
      </c>
      <c r="G14" s="17">
        <f>SIN(G$2*$A14)</f>
        <v>-0.5877852522924738</v>
      </c>
      <c r="H14" s="17">
        <f>SIN(H$2*$A14)</f>
        <v>-0.80901699437494823</v>
      </c>
      <c r="I14" s="17">
        <f>SIN(I$2*$A14)</f>
        <v>-0.95105651629515409</v>
      </c>
      <c r="J14" s="17">
        <f>SIN(J$2*$A14)</f>
        <v>-1</v>
      </c>
      <c r="K14" s="17">
        <f>SIN(K$2*$A14)</f>
        <v>-0.95105651629515275</v>
      </c>
      <c r="L14" s="17">
        <f>SIN(L$2*$A14)</f>
        <v>-0.80901699437494567</v>
      </c>
      <c r="M14" s="17">
        <f>SIN(M$2*$A14)</f>
        <v>-0.58778525229247036</v>
      </c>
      <c r="N14" s="16">
        <f>SIN(N$2*$A14)</f>
        <v>-0.30901699437494373</v>
      </c>
    </row>
    <row r="15" spans="1:14" x14ac:dyDescent="0.25">
      <c r="A15" s="20">
        <f>A14+$B$2</f>
        <v>-1.3877787807814457E-16</v>
      </c>
      <c r="B15" s="20">
        <f>A15</f>
        <v>-1.3877787807814457E-16</v>
      </c>
      <c r="D15" s="30">
        <v>-3.8001312500497827E-16</v>
      </c>
      <c r="E15" s="17">
        <v>1</v>
      </c>
      <c r="F15" s="17">
        <f>SIN(F$2*$A15)</f>
        <v>-4.3598356225107897E-16</v>
      </c>
      <c r="G15" s="17">
        <f>SIN(G$2*$A15)</f>
        <v>-8.7196712450215794E-16</v>
      </c>
      <c r="H15" s="17">
        <f>SIN(H$2*$A15)</f>
        <v>-1.3079506867532368E-15</v>
      </c>
      <c r="I15" s="17">
        <f>SIN(I$2*$A15)</f>
        <v>-1.7439342490043159E-15</v>
      </c>
      <c r="J15" s="17">
        <f>SIN(J$2*$A15)</f>
        <v>-2.179917811255395E-15</v>
      </c>
      <c r="K15" s="17">
        <f>SIN(K$2*$A15)</f>
        <v>-2.6159013735064736E-15</v>
      </c>
      <c r="L15" s="17">
        <f>SIN(L$2*$A15)</f>
        <v>-3.0518849357575527E-15</v>
      </c>
      <c r="M15" s="17">
        <f>SIN(M$2*$A15)</f>
        <v>-3.4878684980086318E-15</v>
      </c>
      <c r="N15" s="16">
        <f>SIN(N$2*$A15)</f>
        <v>-3.9238520602597108E-15</v>
      </c>
    </row>
    <row r="16" spans="1:14" x14ac:dyDescent="0.25">
      <c r="A16" s="20">
        <f>A15+$B$2</f>
        <v>9.9999999999999867E-2</v>
      </c>
      <c r="B16" s="20">
        <f>A16</f>
        <v>9.9999999999999867E-2</v>
      </c>
      <c r="D16" s="30">
        <v>9.9999999999999575E-2</v>
      </c>
      <c r="E16" s="17">
        <v>1</v>
      </c>
      <c r="F16" s="17">
        <f>SIN(F$2*$A16)</f>
        <v>0.30901699437494701</v>
      </c>
      <c r="G16" s="17">
        <f>SIN(G$2*$A16)</f>
        <v>0.58778525229247236</v>
      </c>
      <c r="H16" s="17">
        <f>SIN(H$2*$A16)</f>
        <v>0.80901699437494667</v>
      </c>
      <c r="I16" s="17">
        <f>SIN(I$2*$A16)</f>
        <v>0.95105651629515298</v>
      </c>
      <c r="J16" s="17">
        <f>SIN(J$2*$A16)</f>
        <v>1</v>
      </c>
      <c r="K16" s="17">
        <f>SIN(K$2*$A16)</f>
        <v>0.95105651629515431</v>
      </c>
      <c r="L16" s="17">
        <f>SIN(L$2*$A16)</f>
        <v>0.80901699437494934</v>
      </c>
      <c r="M16" s="17">
        <f>SIN(M$2*$A16)</f>
        <v>0.58778525229247613</v>
      </c>
      <c r="N16" s="16">
        <f>SIN(N$2*$A16)</f>
        <v>0.30901699437495089</v>
      </c>
    </row>
    <row r="17" spans="1:15" x14ac:dyDescent="0.25">
      <c r="A17" s="20">
        <f>A16+$B$2</f>
        <v>0.19999999999999987</v>
      </c>
      <c r="B17" s="20">
        <f>A17</f>
        <v>0.19999999999999987</v>
      </c>
      <c r="D17" s="30">
        <v>0.19999999999999968</v>
      </c>
      <c r="E17" s="17">
        <v>1</v>
      </c>
      <c r="F17" s="17">
        <f>SIN(F$2*$A17)</f>
        <v>0.5877852522924728</v>
      </c>
      <c r="G17" s="17">
        <f>SIN(G$2*$A17)</f>
        <v>0.95105651629515331</v>
      </c>
      <c r="H17" s="17">
        <f>SIN(H$2*$A17)</f>
        <v>0.95105651629515398</v>
      </c>
      <c r="I17" s="17">
        <f>SIN(I$2*$A17)</f>
        <v>0.58778525229247469</v>
      </c>
      <c r="J17" s="17">
        <f>SIN(J$2*$A17)</f>
        <v>2.3429608947411751E-15</v>
      </c>
      <c r="K17" s="17">
        <f>SIN(K$2*$A17)</f>
        <v>-0.58778525229247125</v>
      </c>
      <c r="L17" s="17">
        <f>SIN(L$2*$A17)</f>
        <v>-0.95105651629515264</v>
      </c>
      <c r="M17" s="17">
        <f>SIN(M$2*$A17)</f>
        <v>-0.95105651629515475</v>
      </c>
      <c r="N17" s="16">
        <f>SIN(N$2*$A17)</f>
        <v>-0.58778525229247613</v>
      </c>
      <c r="O17" t="s">
        <v>18</v>
      </c>
    </row>
    <row r="18" spans="1:15" x14ac:dyDescent="0.25">
      <c r="A18" s="20">
        <f>A17+$B$2</f>
        <v>0.29999999999999988</v>
      </c>
      <c r="B18" s="20">
        <f>A18</f>
        <v>0.29999999999999988</v>
      </c>
      <c r="D18" s="30">
        <v>0.2999999999999996</v>
      </c>
      <c r="E18" s="17">
        <v>1</v>
      </c>
      <c r="F18" s="17">
        <f>SIN(F$2*$A18)</f>
        <v>0.80901699437494723</v>
      </c>
      <c r="G18" s="17">
        <f>SIN(G$2*$A18)</f>
        <v>0.95105651629515375</v>
      </c>
      <c r="H18" s="17">
        <f>SIN(H$2*$A18)</f>
        <v>0.30901699437494878</v>
      </c>
      <c r="I18" s="17">
        <f>SIN(I$2*$A18)</f>
        <v>-0.58778525229247192</v>
      </c>
      <c r="J18" s="17">
        <f>SIN(J$2*$A18)</f>
        <v>-1</v>
      </c>
      <c r="K18" s="17">
        <f>SIN(K$2*$A18)</f>
        <v>-0.58778525229247547</v>
      </c>
      <c r="L18" s="17">
        <f>SIN(L$2*$A18)</f>
        <v>0.30901699437494462</v>
      </c>
      <c r="M18" s="17">
        <f>SIN(M$2*$A18)</f>
        <v>0.95105651629515264</v>
      </c>
      <c r="N18" s="16">
        <f>SIN(N$2*$A18)</f>
        <v>0.80901699437494967</v>
      </c>
    </row>
    <row r="19" spans="1:15" x14ac:dyDescent="0.25">
      <c r="A19" s="20">
        <f>A18+$B$2</f>
        <v>0.39999999999999991</v>
      </c>
      <c r="B19" s="20">
        <f>A19</f>
        <v>0.39999999999999991</v>
      </c>
      <c r="D19" s="30">
        <v>0.39999999999999919</v>
      </c>
      <c r="E19" s="17">
        <v>1</v>
      </c>
      <c r="F19" s="17">
        <f>SIN(F$2*$A19)</f>
        <v>0.95105651629515353</v>
      </c>
      <c r="G19" s="17">
        <f>SIN(G$2*$A19)</f>
        <v>0.58778525229247358</v>
      </c>
      <c r="H19" s="17">
        <f>SIN(H$2*$A19)</f>
        <v>-0.58778525229247225</v>
      </c>
      <c r="I19" s="17">
        <f>SIN(I$2*$A19)</f>
        <v>-0.95105651629515386</v>
      </c>
      <c r="J19" s="17">
        <f>SIN(J$2*$A19)</f>
        <v>-2.0213865303819745E-15</v>
      </c>
      <c r="K19" s="17">
        <f>SIN(K$2*$A19)</f>
        <v>0.95105651629515298</v>
      </c>
      <c r="L19" s="17">
        <f>SIN(L$2*$A19)</f>
        <v>0.5877852522924748</v>
      </c>
      <c r="M19" s="17">
        <f>SIN(M$2*$A19)</f>
        <v>-0.58778525229247136</v>
      </c>
      <c r="N19" s="16">
        <f>SIN(N$2*$A19)</f>
        <v>-0.95105651629515431</v>
      </c>
    </row>
    <row r="20" spans="1:15" x14ac:dyDescent="0.25">
      <c r="A20" s="20">
        <f>A19+$B$2</f>
        <v>0.49999999999999989</v>
      </c>
      <c r="B20" s="20">
        <f>A20</f>
        <v>0.49999999999999989</v>
      </c>
      <c r="D20" s="30">
        <v>0.50000000000000022</v>
      </c>
      <c r="E20" s="17">
        <v>1</v>
      </c>
      <c r="F20" s="17">
        <f>SIN(F$2*$A20)</f>
        <v>1</v>
      </c>
      <c r="G20" s="17">
        <f>SIN(G$2*$A20)</f>
        <v>1.0106932651909872E-15</v>
      </c>
      <c r="H20" s="17">
        <f>SIN(H$2*$A20)</f>
        <v>-1</v>
      </c>
      <c r="I20" s="17">
        <f>SIN(I$2*$A20)</f>
        <v>-2.0213865303819745E-15</v>
      </c>
      <c r="J20" s="17">
        <f>SIN(J$2*$A20)</f>
        <v>1</v>
      </c>
      <c r="K20" s="17">
        <f>SIN(K$2*$A20)</f>
        <v>2.1439013758728365E-15</v>
      </c>
      <c r="L20" s="17">
        <f>SIN(L$2*$A20)</f>
        <v>-1</v>
      </c>
      <c r="M20" s="17">
        <f>SIN(M$2*$A20)</f>
        <v>-4.0427730607639489E-15</v>
      </c>
      <c r="N20" s="16">
        <f>SIN(N$2*$A20)</f>
        <v>1</v>
      </c>
    </row>
    <row r="21" spans="1:15" x14ac:dyDescent="0.25">
      <c r="A21" s="20">
        <f>A20+$B$2</f>
        <v>0.59999999999999987</v>
      </c>
      <c r="B21" s="20">
        <f>A21</f>
        <v>0.59999999999999987</v>
      </c>
      <c r="D21" s="30">
        <v>0.59999999999999831</v>
      </c>
      <c r="E21" s="17">
        <v>1</v>
      </c>
      <c r="F21" s="17">
        <f>SIN(F$2*$A21)</f>
        <v>0.95105651629515375</v>
      </c>
      <c r="G21" s="17">
        <f>SIN(G$2*$A21)</f>
        <v>-0.58778525229247225</v>
      </c>
      <c r="H21" s="17">
        <f>SIN(H$2*$A21)</f>
        <v>-0.58778525229247403</v>
      </c>
      <c r="I21" s="17">
        <f>SIN(I$2*$A21)</f>
        <v>0.95105651629515298</v>
      </c>
      <c r="J21" s="17">
        <f>SIN(J$2*$A21)</f>
        <v>2.1439013758728365E-15</v>
      </c>
      <c r="K21" s="17">
        <f>SIN(K$2*$A21)</f>
        <v>-0.95105651629515431</v>
      </c>
      <c r="L21" s="17">
        <f>SIN(L$2*$A21)</f>
        <v>0.58778525229246981</v>
      </c>
      <c r="M21" s="17">
        <f>SIN(M$2*$A21)</f>
        <v>0.58778525229247647</v>
      </c>
      <c r="N21" s="16">
        <f>SIN(N$2*$A21)</f>
        <v>-0.95105651629515231</v>
      </c>
    </row>
    <row r="22" spans="1:15" x14ac:dyDescent="0.25">
      <c r="A22" s="20">
        <f>A21+$B$2</f>
        <v>0.69999999999999984</v>
      </c>
      <c r="B22" s="20">
        <f>A22</f>
        <v>0.69999999999999984</v>
      </c>
      <c r="D22" s="30">
        <v>0.70000000000000062</v>
      </c>
      <c r="E22" s="17">
        <v>1</v>
      </c>
      <c r="F22" s="17">
        <f>SIN(F$2*$A22)</f>
        <v>0.80901699437494778</v>
      </c>
      <c r="G22" s="17">
        <f>SIN(G$2*$A22)</f>
        <v>-0.9510565162951532</v>
      </c>
      <c r="H22" s="17">
        <f>SIN(H$2*$A22)</f>
        <v>0.30901699437494551</v>
      </c>
      <c r="I22" s="17">
        <f>SIN(I$2*$A22)</f>
        <v>0.5877852522924748</v>
      </c>
      <c r="J22" s="17">
        <f>SIN(J$2*$A22)</f>
        <v>-1</v>
      </c>
      <c r="K22" s="17">
        <f>SIN(K$2*$A22)</f>
        <v>0.58778525229246981</v>
      </c>
      <c r="L22" s="17">
        <f>SIN(L$2*$A22)</f>
        <v>0.30901699437495139</v>
      </c>
      <c r="M22" s="17">
        <f>SIN(M$2*$A22)</f>
        <v>-0.95105651629515486</v>
      </c>
      <c r="N22" s="16">
        <f>SIN(N$2*$A22)</f>
        <v>0.80901699437494379</v>
      </c>
    </row>
    <row r="23" spans="1:15" x14ac:dyDescent="0.25">
      <c r="A23" s="20">
        <f>A22+$B$2</f>
        <v>0.79999999999999982</v>
      </c>
      <c r="B23" s="20">
        <f>A23</f>
        <v>0.79999999999999982</v>
      </c>
      <c r="D23" s="30">
        <v>0.79999999999999771</v>
      </c>
      <c r="E23" s="17">
        <v>1</v>
      </c>
      <c r="F23" s="17">
        <f>SIN(F$2*$A23)</f>
        <v>0.58778525229247358</v>
      </c>
      <c r="G23" s="17">
        <f>SIN(G$2*$A23)</f>
        <v>-0.95105651629515386</v>
      </c>
      <c r="H23" s="17">
        <f>SIN(H$2*$A23)</f>
        <v>0.95105651629515298</v>
      </c>
      <c r="I23" s="17">
        <f>SIN(I$2*$A23)</f>
        <v>-0.58778525229247136</v>
      </c>
      <c r="J23" s="17">
        <f>SIN(J$2*$A23)</f>
        <v>-4.0427730607639489E-15</v>
      </c>
      <c r="K23" s="17">
        <f>SIN(K$2*$A23)</f>
        <v>0.58778525229247647</v>
      </c>
      <c r="L23" s="17">
        <f>SIN(L$2*$A23)</f>
        <v>-0.95105651629515486</v>
      </c>
      <c r="M23" s="17">
        <f>SIN(M$2*$A23)</f>
        <v>0.9510565162951522</v>
      </c>
      <c r="N23" s="16">
        <f>SIN(N$2*$A23)</f>
        <v>-0.58778525229246958</v>
      </c>
    </row>
    <row r="24" spans="1:15" x14ac:dyDescent="0.25">
      <c r="A24" s="20">
        <f>A23+$B$2</f>
        <v>0.8999999999999998</v>
      </c>
      <c r="B24" s="20">
        <f>A24</f>
        <v>0.8999999999999998</v>
      </c>
      <c r="D24" s="30">
        <v>0.9000000000000028</v>
      </c>
      <c r="E24" s="17">
        <v>1</v>
      </c>
      <c r="F24" s="17">
        <f>SIN(F$2*$A24)</f>
        <v>0.30901699437494795</v>
      </c>
      <c r="G24" s="17">
        <f>SIN(G$2*$A24)</f>
        <v>-0.58778525229247403</v>
      </c>
      <c r="H24" s="17">
        <f>SIN(H$2*$A24)</f>
        <v>0.80901699437494867</v>
      </c>
      <c r="I24" s="17">
        <f>SIN(I$2*$A24)</f>
        <v>-0.95105651629515431</v>
      </c>
      <c r="J24" s="17">
        <f>SIN(J$2*$A24)</f>
        <v>1</v>
      </c>
      <c r="K24" s="17">
        <f>SIN(K$2*$A24)</f>
        <v>-0.95105651629515231</v>
      </c>
      <c r="L24" s="17">
        <f>SIN(L$2*$A24)</f>
        <v>0.80901699437494379</v>
      </c>
      <c r="M24" s="17">
        <f>SIN(M$2*$A24)</f>
        <v>-0.58778525229246958</v>
      </c>
      <c r="N24" s="16">
        <f>SIN(N$2*$A24)</f>
        <v>0.3090169943749414</v>
      </c>
    </row>
    <row r="25" spans="1:15" ht="15.75" thickBot="1" x14ac:dyDescent="0.3">
      <c r="A25" s="15">
        <f>A24+$B$2</f>
        <v>0.99999999999999978</v>
      </c>
      <c r="B25" s="15">
        <f>A25</f>
        <v>0.99999999999999978</v>
      </c>
      <c r="D25" s="29">
        <v>3.3587574786363295E-15</v>
      </c>
      <c r="E25" s="12">
        <v>1</v>
      </c>
      <c r="F25" s="12">
        <f>SIN(F$2*$A25)</f>
        <v>1.0106932651909872E-15</v>
      </c>
      <c r="G25" s="12">
        <f>SIN(G$2*$A25)</f>
        <v>-2.0213865303819745E-15</v>
      </c>
      <c r="H25" s="12">
        <f>SIN(H$2*$A25)</f>
        <v>2.1439013758728365E-15</v>
      </c>
      <c r="I25" s="12">
        <f>SIN(I$2*$A25)</f>
        <v>-4.0427730607639489E-15</v>
      </c>
      <c r="J25" s="12">
        <f>SIN(J$2*$A25)</f>
        <v>4.1652879062548109E-15</v>
      </c>
      <c r="K25" s="12">
        <f>SIN(K$2*$A25)</f>
        <v>-4.2878027517456729E-15</v>
      </c>
      <c r="L25" s="12">
        <f>SIN(L$2*$A25)</f>
        <v>4.4103175972365349E-15</v>
      </c>
      <c r="M25" s="12">
        <f>SIN(M$2*$A25)</f>
        <v>-8.0855461215278979E-15</v>
      </c>
      <c r="N25" s="11">
        <f>SIN(N$2*$A25)</f>
        <v>8.2080609670187599E-15</v>
      </c>
    </row>
    <row r="26" spans="1:15" ht="15.75" thickTop="1" x14ac:dyDescent="0.25"/>
  </sheetData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U144"/>
  <sheetViews>
    <sheetView zoomScale="80" zoomScaleNormal="80" workbookViewId="0">
      <selection activeCell="C5" sqref="C5"/>
    </sheetView>
  </sheetViews>
  <sheetFormatPr defaultRowHeight="15" x14ac:dyDescent="0.25"/>
  <sheetData>
    <row r="1" spans="1:21" x14ac:dyDescent="0.25">
      <c r="A1" s="1" t="s">
        <v>2</v>
      </c>
      <c r="B1" s="2">
        <v>7.246376811594249E-3</v>
      </c>
      <c r="C1" s="1" t="s">
        <v>9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</row>
    <row r="2" spans="1:21" x14ac:dyDescent="0.25">
      <c r="A2" s="1" t="s">
        <v>5</v>
      </c>
      <c r="B2" s="2">
        <v>1</v>
      </c>
      <c r="D2" s="7">
        <v>0.49999989939344691</v>
      </c>
      <c r="E2" s="8">
        <v>-2.6758052802105258E-8</v>
      </c>
      <c r="F2" s="9">
        <v>-2.6770181040550513E-8</v>
      </c>
      <c r="G2" s="9">
        <v>-2.6765190636679904E-8</v>
      </c>
      <c r="H2" s="3">
        <v>-2.6763218114753757E-8</v>
      </c>
      <c r="I2" s="3">
        <v>-2.6762016953645256E-8</v>
      </c>
      <c r="J2" s="3">
        <v>-2.6778086837455027E-8</v>
      </c>
      <c r="K2" s="3">
        <v>-2.6749923274878454E-8</v>
      </c>
      <c r="L2" s="3">
        <v>-2.6753665429381318E-8</v>
      </c>
      <c r="M2" s="3">
        <v>-2.6756066592478926E-8</v>
      </c>
      <c r="N2" s="3">
        <v>-2.6744245124344215E-8</v>
      </c>
      <c r="O2" s="3">
        <v>-2.6763694534174227E-8</v>
      </c>
      <c r="P2" s="3">
        <v>-2.6757747038567282E-8</v>
      </c>
      <c r="Q2" s="3">
        <v>-2.6739527508089419E-8</v>
      </c>
      <c r="R2" s="3">
        <v>-2.6752425489507176E-8</v>
      </c>
      <c r="S2" s="3">
        <v>-2.6759952368269687E-8</v>
      </c>
      <c r="T2" s="3">
        <v>-2.6743839958883115E-8</v>
      </c>
      <c r="U2" s="3">
        <v>-2.67411069126236E-8</v>
      </c>
    </row>
    <row r="3" spans="1:21" x14ac:dyDescent="0.25">
      <c r="A3" s="1"/>
      <c r="B3" s="2"/>
      <c r="D3" s="3">
        <v>0</v>
      </c>
      <c r="E3" s="8">
        <v>-0.31825525267566318</v>
      </c>
      <c r="F3" s="9">
        <v>-0.15904516249675413</v>
      </c>
      <c r="G3" s="9">
        <v>-0.1059385637401523</v>
      </c>
      <c r="H3" s="3">
        <v>-7.9357735805694302E-2</v>
      </c>
      <c r="I3" s="3">
        <v>-6.3386708127759941E-2</v>
      </c>
      <c r="J3" s="3">
        <v>-5.2721286362792934E-2</v>
      </c>
      <c r="K3" s="3">
        <v>-4.5087336831907944E-2</v>
      </c>
      <c r="L3" s="3">
        <v>-3.9347972256589182E-2</v>
      </c>
      <c r="M3" s="3">
        <v>-3.4871636052304512E-2</v>
      </c>
      <c r="N3" s="3">
        <v>-3.1279387830709562E-2</v>
      </c>
      <c r="O3" s="3">
        <v>-2.8329793999485899E-2</v>
      </c>
      <c r="P3" s="3">
        <v>-2.5862657488809556E-2</v>
      </c>
      <c r="Q3" s="3">
        <v>-2.3766355868701142E-2</v>
      </c>
      <c r="R3" s="3">
        <v>-2.1961397218188499E-2</v>
      </c>
      <c r="S3" s="3">
        <v>-2.0389452538040486E-2</v>
      </c>
      <c r="T3" s="3">
        <v>-1.9006803998766836E-2</v>
      </c>
      <c r="U3" s="3">
        <v>-1.7779999892678991E-2</v>
      </c>
    </row>
    <row r="4" spans="1:21" x14ac:dyDescent="0.25">
      <c r="A4" t="s">
        <v>0</v>
      </c>
      <c r="B4" t="s">
        <v>1</v>
      </c>
      <c r="C4" t="s">
        <v>3</v>
      </c>
      <c r="D4" t="s">
        <v>7</v>
      </c>
    </row>
    <row r="5" spans="1:21" x14ac:dyDescent="0.25">
      <c r="A5" s="4">
        <v>0</v>
      </c>
      <c r="B5" s="4">
        <f>A5</f>
        <v>0</v>
      </c>
      <c r="C5" s="4">
        <f t="array" ref="C5">ffourier(A5,periodo,$D$2:$U$3)</f>
        <v>0.49999944453450623</v>
      </c>
      <c r="D5" s="4">
        <f>(B5-C5)^2</f>
        <v>0.24999944453481476</v>
      </c>
      <c r="F5" t="s">
        <v>4</v>
      </c>
    </row>
    <row r="6" spans="1:21" x14ac:dyDescent="0.25">
      <c r="A6" s="4">
        <f>A5+$B$1</f>
        <v>7.246376811594249E-3</v>
      </c>
      <c r="B6" s="4">
        <f>A6</f>
        <v>7.246376811594249E-3</v>
      </c>
      <c r="C6" s="4">
        <f t="array" ref="C6">ffourier(A6,periodo,$D$2:$U$3)</f>
        <v>0.26661060742018167</v>
      </c>
      <c r="D6" s="4">
        <f t="shared" ref="D6:D15" si="0">(B6-C6)^2</f>
        <v>6.7269804119184526E-2</v>
      </c>
      <c r="F6" t="s">
        <v>6</v>
      </c>
    </row>
    <row r="7" spans="1:21" x14ac:dyDescent="0.25">
      <c r="A7" s="4">
        <f t="shared" ref="A7:A13" si="1">A6+$B$1</f>
        <v>1.4492753623188498E-2</v>
      </c>
      <c r="B7" s="4">
        <f t="shared" ref="B7:B70" si="2">A7</f>
        <v>1.4492753623188498E-2</v>
      </c>
      <c r="C7" s="4">
        <f t="array" ref="C7">ffourier(A7,periodo,$D$2:$U$3)</f>
        <v>8.0449289695253848E-2</v>
      </c>
      <c r="D7" s="4">
        <f t="shared" si="0"/>
        <v>4.3502646506256579E-3</v>
      </c>
      <c r="F7" t="s">
        <v>10</v>
      </c>
    </row>
    <row r="8" spans="1:21" x14ac:dyDescent="0.25">
      <c r="A8" s="4">
        <f t="shared" si="1"/>
        <v>2.1739130434782747E-2</v>
      </c>
      <c r="B8" s="4">
        <f t="shared" si="2"/>
        <v>2.1739130434782747E-2</v>
      </c>
      <c r="C8" s="4">
        <f t="array" ref="C8">ffourier(A8,periodo,$D$2:$U$3)</f>
        <v>-2.8127385961405415E-2</v>
      </c>
      <c r="D8" s="4">
        <f t="shared" si="0"/>
        <v>2.486669457491303E-3</v>
      </c>
    </row>
    <row r="9" spans="1:21" x14ac:dyDescent="0.25">
      <c r="A9" s="4">
        <f t="shared" si="1"/>
        <v>2.8985507246376996E-2</v>
      </c>
      <c r="B9" s="4">
        <f t="shared" si="2"/>
        <v>2.8985507246376996E-2</v>
      </c>
      <c r="C9" s="4">
        <f t="array" ref="C9">ffourier(A9,periodo,$D$2:$U$3)</f>
        <v>-5.5305986147510901E-2</v>
      </c>
      <c r="D9" s="4">
        <f t="shared" si="0"/>
        <v>7.1050558585718454E-3</v>
      </c>
    </row>
    <row r="10" spans="1:21" x14ac:dyDescent="0.25">
      <c r="A10" s="4">
        <f t="shared" si="1"/>
        <v>3.6231884057971245E-2</v>
      </c>
      <c r="B10" s="4">
        <f t="shared" si="2"/>
        <v>3.6231884057971245E-2</v>
      </c>
      <c r="C10" s="4">
        <f t="array" ref="C10">ffourier(A10,periodo,$D$2:$U$3)</f>
        <v>-2.2442637765220944E-2</v>
      </c>
      <c r="D10" s="4">
        <f t="shared" si="0"/>
        <v>3.4426995111802566E-3</v>
      </c>
    </row>
    <row r="11" spans="1:21" x14ac:dyDescent="0.25">
      <c r="A11" s="4">
        <f t="shared" si="1"/>
        <v>4.3478260869565494E-2</v>
      </c>
      <c r="B11" s="4">
        <f t="shared" si="2"/>
        <v>4.3478260869565494E-2</v>
      </c>
      <c r="C11" s="4">
        <f t="array" ref="C11">ffourier(A11,periodo,$D$2:$U$3)</f>
        <v>3.5153592200392728E-2</v>
      </c>
      <c r="D11" s="4">
        <f t="shared" si="0"/>
        <v>6.9300108451506677E-5</v>
      </c>
    </row>
    <row r="12" spans="1:21" x14ac:dyDescent="0.25">
      <c r="A12" s="4">
        <f t="shared" si="1"/>
        <v>5.0724637681159743E-2</v>
      </c>
      <c r="B12" s="4">
        <f t="shared" si="2"/>
        <v>5.0724637681159743E-2</v>
      </c>
      <c r="C12" s="4">
        <f t="array" ref="C12">ffourier(A12,periodo,$D$2:$U$3)</f>
        <v>8.3755513932183709E-2</v>
      </c>
      <c r="D12" s="4">
        <f t="shared" si="0"/>
        <v>1.091038785910459E-3</v>
      </c>
    </row>
    <row r="13" spans="1:21" x14ac:dyDescent="0.25">
      <c r="A13" s="4">
        <f t="shared" si="1"/>
        <v>5.7971014492753992E-2</v>
      </c>
      <c r="B13" s="4">
        <f t="shared" si="2"/>
        <v>5.7971014492753992E-2</v>
      </c>
      <c r="C13" s="4">
        <f t="array" ref="C13">ffourier(A13,periodo,$D$2:$U$3)</f>
        <v>0.10399164842774389</v>
      </c>
      <c r="D13" s="4">
        <f t="shared" si="0"/>
        <v>2.1178987477783436E-3</v>
      </c>
    </row>
    <row r="14" spans="1:21" x14ac:dyDescent="0.25">
      <c r="A14" s="4">
        <f>A13+$B$1</f>
        <v>6.5217391304348241E-2</v>
      </c>
      <c r="B14" s="4">
        <f>A14</f>
        <v>6.5217391304348241E-2</v>
      </c>
      <c r="C14" s="4">
        <f t="array" ref="C14">ffourier(A14,periodo,$D$2:$U$3)</f>
        <v>9.560462810560956E-2</v>
      </c>
      <c r="D14" s="4">
        <f t="shared" si="0"/>
        <v>9.2338416041593029E-4</v>
      </c>
    </row>
    <row r="15" spans="1:21" hidden="1" x14ac:dyDescent="0.25">
      <c r="A15" s="4">
        <f>A14+$B$1</f>
        <v>7.246376811594249E-2</v>
      </c>
      <c r="B15" s="4">
        <f t="shared" si="2"/>
        <v>7.246376811594249E-2</v>
      </c>
      <c r="C15" s="4">
        <f t="array" ref="C15">ffourier(A15,periodo,$D$2:$U$3)</f>
        <v>7.3086883960468113E-2</v>
      </c>
      <c r="D15" s="4">
        <f t="shared" si="0"/>
        <v>3.8827335569888102E-7</v>
      </c>
    </row>
    <row r="16" spans="1:21" hidden="1" x14ac:dyDescent="0.25">
      <c r="A16" s="4">
        <f t="shared" ref="A16:A79" si="3">A15+$B$1</f>
        <v>7.9710144927536739E-2</v>
      </c>
      <c r="B16" s="4">
        <f t="shared" si="2"/>
        <v>7.9710144927536739E-2</v>
      </c>
      <c r="C16" s="4">
        <f t="array" ref="C16">ffourier(A16,periodo,$D$2:$U$3)</f>
        <v>5.5416783426069455E-2</v>
      </c>
      <c r="D16" s="4">
        <f t="shared" ref="D16:D79" si="4">(B16-C16)^2</f>
        <v>5.9016741304097279E-4</v>
      </c>
    </row>
    <row r="17" spans="1:4" hidden="1" x14ac:dyDescent="0.25">
      <c r="A17" s="4">
        <f t="shared" si="3"/>
        <v>8.6956521739130987E-2</v>
      </c>
      <c r="B17" s="4">
        <f t="shared" si="2"/>
        <v>8.6956521739130987E-2</v>
      </c>
      <c r="C17" s="4">
        <f t="array" ref="C17">ffourier(A17,periodo,$D$2:$U$3)</f>
        <v>5.5525387210915648E-2</v>
      </c>
      <c r="D17" s="4">
        <f t="shared" si="4"/>
        <v>9.879162177307704E-4</v>
      </c>
    </row>
    <row r="18" spans="1:4" hidden="1" x14ac:dyDescent="0.25">
      <c r="A18" s="4">
        <f t="shared" si="3"/>
        <v>9.4202898550725236E-2</v>
      </c>
      <c r="B18" s="4">
        <f t="shared" si="2"/>
        <v>9.4202898550725236E-2</v>
      </c>
      <c r="C18" s="4">
        <f t="array" ref="C18">ffourier(A18,periodo,$D$2:$U$3)</f>
        <v>7.458431818066355E-2</v>
      </c>
      <c r="D18" s="4">
        <f t="shared" si="4"/>
        <v>3.8488869573656971E-4</v>
      </c>
    </row>
    <row r="19" spans="1:4" hidden="1" x14ac:dyDescent="0.25">
      <c r="A19" s="4">
        <f t="shared" si="3"/>
        <v>0.10144927536231949</v>
      </c>
      <c r="B19" s="4">
        <f t="shared" si="2"/>
        <v>0.10144927536231949</v>
      </c>
      <c r="C19" s="4">
        <f t="array" ref="C19">ffourier(A19,periodo,$D$2:$U$3)</f>
        <v>0.10323102850046599</v>
      </c>
      <c r="D19" s="4">
        <f t="shared" si="4"/>
        <v>3.174644245294919E-6</v>
      </c>
    </row>
    <row r="20" spans="1:4" hidden="1" x14ac:dyDescent="0.25">
      <c r="A20" s="4">
        <f t="shared" si="3"/>
        <v>0.10869565217391373</v>
      </c>
      <c r="B20" s="4">
        <f t="shared" si="2"/>
        <v>0.10869565217391373</v>
      </c>
      <c r="C20" s="4">
        <f t="array" ref="C20">ffourier(A20,periodo,$D$2:$U$3)</f>
        <v>0.12813318956266728</v>
      </c>
      <c r="D20" s="4">
        <f t="shared" si="4"/>
        <v>3.7781785973919207E-4</v>
      </c>
    </row>
    <row r="21" spans="1:4" hidden="1" x14ac:dyDescent="0.25">
      <c r="A21" s="4">
        <f t="shared" si="3"/>
        <v>0.11594202898550798</v>
      </c>
      <c r="B21" s="4">
        <f t="shared" si="2"/>
        <v>0.11594202898550798</v>
      </c>
      <c r="C21" s="4">
        <f t="array" ref="C21">ffourier(A21,periodo,$D$2:$U$3)</f>
        <v>0.13977664187006497</v>
      </c>
      <c r="D21" s="4">
        <f t="shared" si="4"/>
        <v>5.6808877135669001E-4</v>
      </c>
    </row>
    <row r="22" spans="1:4" hidden="1" x14ac:dyDescent="0.25">
      <c r="A22" s="4">
        <f t="shared" si="3"/>
        <v>0.12318840579710223</v>
      </c>
      <c r="B22" s="4">
        <f t="shared" si="2"/>
        <v>0.12318840579710223</v>
      </c>
      <c r="C22" s="4">
        <f t="array" ref="C22">ffourier(A22,periodo,$D$2:$U$3)</f>
        <v>0.13721385043432008</v>
      </c>
      <c r="D22" s="4">
        <f t="shared" si="4"/>
        <v>1.9671309727166284E-4</v>
      </c>
    </row>
    <row r="23" spans="1:4" hidden="1" x14ac:dyDescent="0.25">
      <c r="A23" s="4">
        <f t="shared" si="3"/>
        <v>0.13043478260869648</v>
      </c>
      <c r="B23" s="4">
        <f t="shared" si="2"/>
        <v>0.13043478260869648</v>
      </c>
      <c r="C23" s="4">
        <f t="array" ref="C23">ffourier(A23,periodo,$D$2:$U$3)</f>
        <v>0.12758904256452613</v>
      </c>
      <c r="D23" s="4">
        <f t="shared" si="4"/>
        <v>8.0982363989946495E-6</v>
      </c>
    </row>
    <row r="24" spans="1:4" hidden="1" x14ac:dyDescent="0.25">
      <c r="A24" s="4">
        <f t="shared" si="3"/>
        <v>0.13768115942029074</v>
      </c>
      <c r="B24" s="4">
        <f t="shared" si="2"/>
        <v>0.13768115942029074</v>
      </c>
      <c r="C24" s="4">
        <f t="array" ref="C24">ffourier(A24,periodo,$D$2:$U$3)</f>
        <v>0.12127319371062049</v>
      </c>
      <c r="D24" s="4">
        <f t="shared" si="4"/>
        <v>2.6922133872971473E-4</v>
      </c>
    </row>
    <row r="25" spans="1:4" hidden="1" x14ac:dyDescent="0.25">
      <c r="A25" s="4">
        <f t="shared" si="3"/>
        <v>0.14492753623188498</v>
      </c>
      <c r="B25" s="4">
        <f t="shared" si="2"/>
        <v>0.14492753623188498</v>
      </c>
      <c r="C25" s="4">
        <f t="array" ref="C25">ffourier(A25,periodo,$D$2:$U$3)</f>
        <v>0.12572123547718567</v>
      </c>
      <c r="D25" s="4">
        <f t="shared" si="4"/>
        <v>3.6888198867996336E-4</v>
      </c>
    </row>
    <row r="26" spans="1:4" hidden="1" x14ac:dyDescent="0.25">
      <c r="A26" s="4">
        <f t="shared" si="3"/>
        <v>0.15217391304347921</v>
      </c>
      <c r="B26" s="4">
        <f t="shared" si="2"/>
        <v>0.15217391304347921</v>
      </c>
      <c r="C26" s="4">
        <f t="array" ref="C26">ffourier(A26,periodo,$D$2:$U$3)</f>
        <v>0.1415563490047187</v>
      </c>
      <c r="D26" s="4">
        <f t="shared" si="4"/>
        <v>1.1273266611718057E-4</v>
      </c>
    </row>
    <row r="27" spans="1:4" hidden="1" x14ac:dyDescent="0.25">
      <c r="A27" s="4">
        <f t="shared" si="3"/>
        <v>0.15942028985507345</v>
      </c>
      <c r="B27" s="4">
        <f t="shared" si="2"/>
        <v>0.15942028985507345</v>
      </c>
      <c r="C27" s="4">
        <f t="array" ref="C27">ffourier(A27,periodo,$D$2:$U$3)</f>
        <v>0.16284244496399802</v>
      </c>
      <c r="D27" s="4">
        <f t="shared" si="4"/>
        <v>1.1711145589538562E-5</v>
      </c>
    </row>
    <row r="28" spans="1:4" hidden="1" x14ac:dyDescent="0.25">
      <c r="A28" s="4">
        <f t="shared" si="3"/>
        <v>0.16666666666666768</v>
      </c>
      <c r="B28" s="4">
        <f t="shared" si="2"/>
        <v>0.16666666666666768</v>
      </c>
      <c r="C28" s="4">
        <f t="array" ref="C28">ffourier(A28,periodo,$D$2:$U$3)</f>
        <v>0.18102281004425824</v>
      </c>
      <c r="D28" s="4">
        <f t="shared" si="4"/>
        <v>2.0609885267793723E-4</v>
      </c>
    </row>
    <row r="29" spans="1:4" hidden="1" x14ac:dyDescent="0.25">
      <c r="A29" s="4">
        <f t="shared" si="3"/>
        <v>0.17391304347826192</v>
      </c>
      <c r="B29" s="4">
        <f t="shared" si="2"/>
        <v>0.17391304347826192</v>
      </c>
      <c r="C29" s="4">
        <f t="array" ref="C29">ffourier(A29,periodo,$D$2:$U$3)</f>
        <v>0.1900112213190065</v>
      </c>
      <c r="D29" s="4">
        <f t="shared" si="4"/>
        <v>2.5915132979223969E-4</v>
      </c>
    </row>
    <row r="30" spans="1:4" hidden="1" x14ac:dyDescent="0.25">
      <c r="A30" s="4">
        <f t="shared" si="3"/>
        <v>0.18115942028985615</v>
      </c>
      <c r="B30" s="4">
        <f t="shared" si="2"/>
        <v>0.18115942028985615</v>
      </c>
      <c r="C30" s="4">
        <f t="array" ref="C30">ffourier(A30,periodo,$D$2:$U$3)</f>
        <v>0.1894787436990655</v>
      </c>
      <c r="D30" s="4">
        <f t="shared" si="4"/>
        <v>6.9211141987018685E-5</v>
      </c>
    </row>
    <row r="31" spans="1:4" hidden="1" x14ac:dyDescent="0.25">
      <c r="A31" s="4">
        <f t="shared" si="3"/>
        <v>0.18840579710145039</v>
      </c>
      <c r="B31" s="4">
        <f t="shared" si="2"/>
        <v>0.18840579710145039</v>
      </c>
      <c r="C31" s="4">
        <f t="array" ref="C31">ffourier(A31,periodo,$D$2:$U$3)</f>
        <v>0.18461592913372041</v>
      </c>
      <c r="D31" s="4">
        <f t="shared" si="4"/>
        <v>1.4363099212825782E-5</v>
      </c>
    </row>
    <row r="32" spans="1:4" hidden="1" x14ac:dyDescent="0.25">
      <c r="A32" s="4">
        <f t="shared" si="3"/>
        <v>0.19565217391304462</v>
      </c>
      <c r="B32" s="4">
        <f t="shared" si="2"/>
        <v>0.19565217391304462</v>
      </c>
      <c r="C32" s="4">
        <f t="array" ref="C32">ffourier(A32,periodo,$D$2:$U$3)</f>
        <v>0.18276016593988906</v>
      </c>
      <c r="D32" s="4">
        <f t="shared" si="4"/>
        <v>1.6620386957990672E-4</v>
      </c>
    </row>
    <row r="33" spans="1:4" hidden="1" x14ac:dyDescent="0.25">
      <c r="A33" s="4">
        <f t="shared" si="3"/>
        <v>0.20289855072463886</v>
      </c>
      <c r="B33" s="4">
        <f t="shared" si="2"/>
        <v>0.20289855072463886</v>
      </c>
      <c r="C33" s="4">
        <f t="array" ref="C33">ffourier(A33,periodo,$D$2:$U$3)</f>
        <v>0.18902371078201333</v>
      </c>
      <c r="D33" s="4">
        <f t="shared" si="4"/>
        <v>1.925111834334769E-4</v>
      </c>
    </row>
    <row r="34" spans="1:4" hidden="1" x14ac:dyDescent="0.25">
      <c r="A34" s="4">
        <f t="shared" si="3"/>
        <v>0.21014492753623309</v>
      </c>
      <c r="B34" s="4">
        <f t="shared" si="2"/>
        <v>0.21014492753623309</v>
      </c>
      <c r="C34" s="4">
        <f t="array" ref="C34">ffourier(A34,periodo,$D$2:$U$3)</f>
        <v>0.20348393640451473</v>
      </c>
      <c r="D34" s="4">
        <f t="shared" si="4"/>
        <v>4.4368802856830686E-5</v>
      </c>
    </row>
    <row r="35" spans="1:4" hidden="1" x14ac:dyDescent="0.25">
      <c r="A35" s="4">
        <f t="shared" si="3"/>
        <v>0.21739130434782733</v>
      </c>
      <c r="B35" s="4">
        <f t="shared" si="2"/>
        <v>0.21739130434782733</v>
      </c>
      <c r="C35" s="4">
        <f t="array" ref="C35">ffourier(A35,periodo,$D$2:$U$3)</f>
        <v>0.22144616484383625</v>
      </c>
      <c r="D35" s="4">
        <f t="shared" si="4"/>
        <v>1.6441893642093719E-5</v>
      </c>
    </row>
    <row r="36" spans="1:4" hidden="1" x14ac:dyDescent="0.25">
      <c r="A36" s="4">
        <f t="shared" si="3"/>
        <v>0.22463768115942157</v>
      </c>
      <c r="B36" s="4">
        <f t="shared" si="2"/>
        <v>0.22463768115942157</v>
      </c>
      <c r="C36" s="4">
        <f t="array" ref="C36">ffourier(A36,periodo,$D$2:$U$3)</f>
        <v>0.236443839939597</v>
      </c>
      <c r="D36" s="4">
        <f t="shared" si="4"/>
        <v>1.3938538514271352E-4</v>
      </c>
    </row>
    <row r="37" spans="1:4" hidden="1" x14ac:dyDescent="0.25">
      <c r="A37" s="4">
        <f t="shared" si="3"/>
        <v>0.2318840579710158</v>
      </c>
      <c r="B37" s="4">
        <f t="shared" si="2"/>
        <v>0.2318840579710158</v>
      </c>
      <c r="C37" s="4">
        <f t="array" ref="C37">ffourier(A37,periodo,$D$2:$U$3)</f>
        <v>0.24409297145314302</v>
      </c>
      <c r="D37" s="4">
        <f t="shared" si="4"/>
        <v>1.4905756841406768E-4</v>
      </c>
    </row>
    <row r="38" spans="1:4" hidden="1" x14ac:dyDescent="0.25">
      <c r="A38" s="4">
        <f t="shared" si="3"/>
        <v>0.23913043478261004</v>
      </c>
      <c r="B38" s="4">
        <f t="shared" si="2"/>
        <v>0.23913043478261004</v>
      </c>
      <c r="C38" s="4">
        <f t="array" ref="C38">ffourier(A38,periodo,$D$2:$U$3)</f>
        <v>0.24453159494143301</v>
      </c>
      <c r="D38" s="4">
        <f t="shared" si="4"/>
        <v>2.917253106125658E-5</v>
      </c>
    </row>
    <row r="39" spans="1:4" hidden="1" x14ac:dyDescent="0.25">
      <c r="A39" s="4">
        <f t="shared" si="3"/>
        <v>0.24637681159420427</v>
      </c>
      <c r="B39" s="4">
        <f t="shared" si="2"/>
        <v>0.24637681159420427</v>
      </c>
      <c r="C39" s="4">
        <f t="array" ref="C39">ffourier(A39,periodo,$D$2:$U$3)</f>
        <v>0.24210908312689705</v>
      </c>
      <c r="D39" s="4">
        <f t="shared" si="4"/>
        <v>1.8213506270664426E-5</v>
      </c>
    </row>
    <row r="40" spans="1:4" hidden="1" x14ac:dyDescent="0.25">
      <c r="A40" s="4">
        <f t="shared" si="3"/>
        <v>0.25362318840579851</v>
      </c>
      <c r="B40" s="4">
        <f t="shared" si="2"/>
        <v>0.25362318840579851</v>
      </c>
      <c r="C40" s="4">
        <f t="array" ref="C40">ffourier(A40,periodo,$D$2:$U$3)</f>
        <v>0.24264322920518852</v>
      </c>
      <c r="D40" s="4">
        <f t="shared" si="4"/>
        <v>1.2055950404705985E-4</v>
      </c>
    </row>
    <row r="41" spans="1:4" hidden="1" x14ac:dyDescent="0.25">
      <c r="A41" s="4">
        <f t="shared" si="3"/>
        <v>0.26086956521739274</v>
      </c>
      <c r="B41" s="4">
        <f t="shared" si="2"/>
        <v>0.26086956521739274</v>
      </c>
      <c r="C41" s="4">
        <f t="array" ref="C41">ffourier(A41,periodo,$D$2:$U$3)</f>
        <v>0.24995252694132292</v>
      </c>
      <c r="D41" s="4">
        <f t="shared" si="4"/>
        <v>1.1918172472117359E-4</v>
      </c>
    </row>
    <row r="42" spans="1:4" hidden="1" x14ac:dyDescent="0.25">
      <c r="A42" s="4">
        <f t="shared" si="3"/>
        <v>0.26811594202898698</v>
      </c>
      <c r="B42" s="4">
        <f t="shared" si="2"/>
        <v>0.26811594202898698</v>
      </c>
      <c r="C42" s="4">
        <f t="array" ref="C42">ffourier(A42,periodo,$D$2:$U$3)</f>
        <v>0.26371118306347346</v>
      </c>
      <c r="D42" s="4">
        <f t="shared" si="4"/>
        <v>1.9401901544271656E-5</v>
      </c>
    </row>
    <row r="43" spans="1:4" hidden="1" x14ac:dyDescent="0.25">
      <c r="A43" s="4">
        <f t="shared" si="3"/>
        <v>0.27536231884058121</v>
      </c>
      <c r="B43" s="4">
        <f t="shared" si="2"/>
        <v>0.27536231884058121</v>
      </c>
      <c r="C43" s="4">
        <f t="array" ref="C43">ffourier(A43,periodo,$D$2:$U$3)</f>
        <v>0.27981650684031312</v>
      </c>
      <c r="D43" s="4">
        <f t="shared" si="4"/>
        <v>1.9839790736955726E-5</v>
      </c>
    </row>
    <row r="44" spans="1:4" hidden="1" x14ac:dyDescent="0.25">
      <c r="A44" s="4">
        <f t="shared" si="3"/>
        <v>0.28260869565217545</v>
      </c>
      <c r="B44" s="4">
        <f t="shared" si="2"/>
        <v>0.28260869565217545</v>
      </c>
      <c r="C44" s="4">
        <f t="array" ref="C44">ffourier(A44,periodo,$D$2:$U$3)</f>
        <v>0.29294884098261548</v>
      </c>
      <c r="D44" s="4">
        <f t="shared" si="4"/>
        <v>1.0691860545462079E-4</v>
      </c>
    </row>
    <row r="45" spans="1:4" hidden="1" x14ac:dyDescent="0.25">
      <c r="A45" s="4">
        <f t="shared" si="3"/>
        <v>0.28985507246376968</v>
      </c>
      <c r="B45" s="4">
        <f t="shared" si="2"/>
        <v>0.28985507246376968</v>
      </c>
      <c r="C45" s="4">
        <f t="array" ref="C45">ffourier(A45,periodo,$D$2:$U$3)</f>
        <v>0.29974219963892806</v>
      </c>
      <c r="D45" s="4">
        <f t="shared" si="4"/>
        <v>9.7755283777755392E-5</v>
      </c>
    </row>
    <row r="46" spans="1:4" hidden="1" x14ac:dyDescent="0.25">
      <c r="A46" s="4">
        <f t="shared" si="3"/>
        <v>0.29710144927536392</v>
      </c>
      <c r="B46" s="4">
        <f t="shared" si="2"/>
        <v>0.29710144927536392</v>
      </c>
      <c r="C46" s="4">
        <f t="array" ref="C46">ffourier(A46,periodo,$D$2:$U$3)</f>
        <v>0.30068985237337953</v>
      </c>
      <c r="D46" s="4">
        <f t="shared" si="4"/>
        <v>1.2876636793848052E-5</v>
      </c>
    </row>
    <row r="47" spans="1:4" hidden="1" x14ac:dyDescent="0.25">
      <c r="A47" s="4">
        <f t="shared" si="3"/>
        <v>0.30434782608695815</v>
      </c>
      <c r="B47" s="4">
        <f t="shared" si="2"/>
        <v>0.30434782608695815</v>
      </c>
      <c r="C47" s="4">
        <f t="array" ref="C47">ffourier(A47,periodo,$D$2:$U$3)</f>
        <v>0.29971687133412878</v>
      </c>
      <c r="D47" s="4">
        <f t="shared" si="4"/>
        <v>2.1445741922752976E-5</v>
      </c>
    </row>
    <row r="48" spans="1:4" hidden="1" x14ac:dyDescent="0.25">
      <c r="A48" s="4">
        <f t="shared" si="3"/>
        <v>0.31159420289855239</v>
      </c>
      <c r="B48" s="4">
        <f t="shared" si="2"/>
        <v>0.31159420289855239</v>
      </c>
      <c r="C48" s="4">
        <f t="array" ref="C48">ffourier(A48,periodo,$D$2:$U$3)</f>
        <v>0.30175211177351241</v>
      </c>
      <c r="D48" s="4">
        <f t="shared" si="4"/>
        <v>9.686675771359066E-5</v>
      </c>
    </row>
    <row r="49" spans="1:4" hidden="1" x14ac:dyDescent="0.25">
      <c r="A49" s="4">
        <f t="shared" si="3"/>
        <v>0.31884057971014662</v>
      </c>
      <c r="B49" s="4">
        <f t="shared" si="2"/>
        <v>0.31884057971014662</v>
      </c>
      <c r="C49" s="4">
        <f t="array" ref="C49">ffourier(A49,periodo,$D$2:$U$3)</f>
        <v>0.30979036942427735</v>
      </c>
      <c r="D49" s="4">
        <f t="shared" si="4"/>
        <v>8.1906306218454034E-5</v>
      </c>
    </row>
    <row r="50" spans="1:4" hidden="1" x14ac:dyDescent="0.25">
      <c r="A50" s="4">
        <f t="shared" si="3"/>
        <v>0.32608695652174086</v>
      </c>
      <c r="B50" s="4">
        <f t="shared" si="2"/>
        <v>0.32608695652174086</v>
      </c>
      <c r="C50" s="4">
        <f t="array" ref="C50">ffourier(A50,periodo,$D$2:$U$3)</f>
        <v>0.32318528019175979</v>
      </c>
      <c r="D50" s="4">
        <f t="shared" si="4"/>
        <v>8.4197255239723654E-6</v>
      </c>
    </row>
    <row r="51" spans="1:4" hidden="1" x14ac:dyDescent="0.25">
      <c r="A51" s="4">
        <f t="shared" si="3"/>
        <v>0.33333333333333509</v>
      </c>
      <c r="B51" s="4">
        <f t="shared" si="2"/>
        <v>0.33333333333333509</v>
      </c>
      <c r="C51" s="4">
        <f t="array" ref="C51">ffourier(A51,periodo,$D$2:$U$3)</f>
        <v>0.33813818549201752</v>
      </c>
      <c r="D51" s="4">
        <f t="shared" si="4"/>
        <v>2.3086604266795176E-5</v>
      </c>
    </row>
    <row r="52" spans="1:4" hidden="1" x14ac:dyDescent="0.25">
      <c r="A52" s="4">
        <f t="shared" si="3"/>
        <v>0.34057971014492933</v>
      </c>
      <c r="B52" s="4">
        <f t="shared" si="2"/>
        <v>0.34057971014492933</v>
      </c>
      <c r="C52" s="4">
        <f t="array" ref="C52">ffourier(A52,periodo,$D$2:$U$3)</f>
        <v>0.35003138603266548</v>
      </c>
      <c r="D52" s="4">
        <f t="shared" si="4"/>
        <v>8.9334177086813037E-5</v>
      </c>
    </row>
    <row r="53" spans="1:4" hidden="1" x14ac:dyDescent="0.25">
      <c r="A53" s="4">
        <f t="shared" si="3"/>
        <v>0.34782608695652356</v>
      </c>
      <c r="B53" s="4">
        <f t="shared" si="2"/>
        <v>0.34782608695652356</v>
      </c>
      <c r="C53" s="4">
        <f t="array" ref="C53">ffourier(A53,periodo,$D$2:$U$3)</f>
        <v>0.35618111636365396</v>
      </c>
      <c r="D53" s="4">
        <f t="shared" si="4"/>
        <v>6.9806516394013747E-5</v>
      </c>
    </row>
    <row r="54" spans="1:4" hidden="1" x14ac:dyDescent="0.25">
      <c r="A54" s="4">
        <f t="shared" si="3"/>
        <v>0.3550724637681178</v>
      </c>
      <c r="B54" s="4">
        <f t="shared" si="2"/>
        <v>0.3550724637681178</v>
      </c>
      <c r="C54" s="4">
        <f t="array" ref="C54">ffourier(A54,periodo,$D$2:$U$3)</f>
        <v>0.35737719515838295</v>
      </c>
      <c r="D54" s="4">
        <f t="shared" si="4"/>
        <v>5.311786781273567E-6</v>
      </c>
    </row>
    <row r="55" spans="1:4" hidden="1" x14ac:dyDescent="0.25">
      <c r="A55" s="4">
        <f t="shared" si="3"/>
        <v>0.36231884057971203</v>
      </c>
      <c r="B55" s="4">
        <f t="shared" si="2"/>
        <v>0.36231884057971203</v>
      </c>
      <c r="C55" s="4">
        <f t="array" ref="C55">ffourier(A55,periodo,$D$2:$U$3)</f>
        <v>0.35733188957325118</v>
      </c>
      <c r="D55" s="4">
        <f t="shared" si="4"/>
        <v>2.4869680340840876E-5</v>
      </c>
    </row>
    <row r="56" spans="1:4" hidden="1" x14ac:dyDescent="0.25">
      <c r="A56" s="4">
        <f t="shared" si="3"/>
        <v>0.36956521739130627</v>
      </c>
      <c r="B56" s="4">
        <f t="shared" si="2"/>
        <v>0.36956521739130627</v>
      </c>
      <c r="C56" s="4">
        <f t="array" ref="C56">ffourier(A56,periodo,$D$2:$U$3)</f>
        <v>0.36041299660429377</v>
      </c>
      <c r="D56" s="4">
        <f t="shared" si="4"/>
        <v>8.3763145334223691E-5</v>
      </c>
    </row>
    <row r="57" spans="1:4" hidden="1" x14ac:dyDescent="0.25">
      <c r="A57" s="4">
        <f t="shared" si="3"/>
        <v>0.3768115942029005</v>
      </c>
      <c r="B57" s="4">
        <f t="shared" si="2"/>
        <v>0.3768115942029005</v>
      </c>
      <c r="C57" s="4">
        <f t="array" ref="C57">ffourier(A57,periodo,$D$2:$U$3)</f>
        <v>0.36903874734034908</v>
      </c>
      <c r="D57" s="4">
        <f t="shared" si="4"/>
        <v>6.041714834867544E-5</v>
      </c>
    </row>
    <row r="58" spans="1:4" hidden="1" x14ac:dyDescent="0.25">
      <c r="A58" s="4">
        <f t="shared" si="3"/>
        <v>0.38405797101449474</v>
      </c>
      <c r="B58" s="4">
        <f t="shared" si="2"/>
        <v>0.38405797101449474</v>
      </c>
      <c r="C58" s="4">
        <f t="array" ref="C58">ffourier(A58,periodo,$D$2:$U$3)</f>
        <v>0.38228165749762455</v>
      </c>
      <c r="D58" s="4">
        <f t="shared" si="4"/>
        <v>3.1552897102157328E-6</v>
      </c>
    </row>
    <row r="59" spans="1:4" hidden="1" x14ac:dyDescent="0.25">
      <c r="A59" s="4">
        <f t="shared" si="3"/>
        <v>0.39130434782608897</v>
      </c>
      <c r="B59" s="4">
        <f t="shared" si="2"/>
        <v>0.39130434782608897</v>
      </c>
      <c r="C59" s="4">
        <f t="array" ref="C59">ffourier(A59,periodo,$D$2:$U$3)</f>
        <v>0.3964830062927176</v>
      </c>
      <c r="D59" s="4">
        <f t="shared" si="4"/>
        <v>2.6818503513984365E-5</v>
      </c>
    </row>
    <row r="60" spans="1:4" hidden="1" x14ac:dyDescent="0.25">
      <c r="A60" s="4">
        <f t="shared" si="3"/>
        <v>0.39855072463768321</v>
      </c>
      <c r="B60" s="4">
        <f t="shared" si="2"/>
        <v>0.39855072463768321</v>
      </c>
      <c r="C60" s="4">
        <f t="array" ref="C60">ffourier(A60,periodo,$D$2:$U$3)</f>
        <v>0.40747625803934018</v>
      </c>
      <c r="D60" s="4">
        <f t="shared" si="4"/>
        <v>7.966514650409426E-5</v>
      </c>
    </row>
    <row r="61" spans="1:4" hidden="1" x14ac:dyDescent="0.25">
      <c r="A61" s="4">
        <f t="shared" si="3"/>
        <v>0.40579710144927744</v>
      </c>
      <c r="B61" s="4">
        <f t="shared" si="2"/>
        <v>0.40579710144927744</v>
      </c>
      <c r="C61" s="4">
        <f t="array" ref="C61">ffourier(A61,periodo,$D$2:$U$3)</f>
        <v>0.41307375551108383</v>
      </c>
      <c r="D61" s="4">
        <f t="shared" si="4"/>
        <v>5.2949694335203391E-5</v>
      </c>
    </row>
    <row r="62" spans="1:4" hidden="1" x14ac:dyDescent="0.25">
      <c r="A62" s="4">
        <f t="shared" si="3"/>
        <v>0.41304347826087168</v>
      </c>
      <c r="B62" s="4">
        <f t="shared" si="2"/>
        <v>0.41304347826087168</v>
      </c>
      <c r="C62" s="4">
        <f t="array" ref="C62">ffourier(A62,periodo,$D$2:$U$3)</f>
        <v>0.41433810989121594</v>
      </c>
      <c r="D62" s="4">
        <f t="shared" si="4"/>
        <v>1.6760710582878556E-6</v>
      </c>
    </row>
    <row r="63" spans="1:4" hidden="1" x14ac:dyDescent="0.25">
      <c r="A63" s="4">
        <f t="shared" si="3"/>
        <v>0.42028985507246591</v>
      </c>
      <c r="B63" s="4">
        <f t="shared" si="2"/>
        <v>0.42028985507246591</v>
      </c>
      <c r="C63" s="4">
        <f t="array" ref="C63">ffourier(A63,periodo,$D$2:$U$3)</f>
        <v>0.41490272986401966</v>
      </c>
      <c r="D63" s="4">
        <f t="shared" si="4"/>
        <v>2.9021118011477085E-5</v>
      </c>
    </row>
    <row r="64" spans="1:4" hidden="1" x14ac:dyDescent="0.25">
      <c r="A64" s="4">
        <f t="shared" si="3"/>
        <v>0.42753623188406015</v>
      </c>
      <c r="B64" s="4">
        <f t="shared" si="2"/>
        <v>0.42753623188406015</v>
      </c>
      <c r="C64" s="4">
        <f t="array" ref="C64">ffourier(A64,periodo,$D$2:$U$3)</f>
        <v>0.41877266330610963</v>
      </c>
      <c r="D64" s="4">
        <f t="shared" si="4"/>
        <v>7.6800134220441697E-5</v>
      </c>
    </row>
    <row r="65" spans="1:4" hidden="1" x14ac:dyDescent="0.25">
      <c r="A65" s="4">
        <f t="shared" si="3"/>
        <v>0.43478260869565438</v>
      </c>
      <c r="B65" s="4">
        <f t="shared" si="2"/>
        <v>0.43478260869565438</v>
      </c>
      <c r="C65" s="4">
        <f t="array" ref="C65">ffourier(A65,periodo,$D$2:$U$3)</f>
        <v>0.42793208030939817</v>
      </c>
      <c r="D65" s="4">
        <f t="shared" si="4"/>
        <v>4.6929739170902198E-5</v>
      </c>
    </row>
    <row r="66" spans="1:4" hidden="1" x14ac:dyDescent="0.25">
      <c r="A66" s="4">
        <f t="shared" si="3"/>
        <v>0.44202898550724862</v>
      </c>
      <c r="B66" s="4">
        <f t="shared" si="2"/>
        <v>0.44202898550724862</v>
      </c>
      <c r="C66" s="4">
        <f t="array" ref="C66">ffourier(A66,periodo,$D$2:$U$3)</f>
        <v>0.44118283032335004</v>
      </c>
      <c r="D66" s="4">
        <f t="shared" si="4"/>
        <v>7.1597859523843657E-7</v>
      </c>
    </row>
    <row r="67" spans="1:4" hidden="1" x14ac:dyDescent="0.25">
      <c r="A67" s="4">
        <f t="shared" si="3"/>
        <v>0.44927536231884285</v>
      </c>
      <c r="B67" s="4">
        <f t="shared" si="2"/>
        <v>0.44927536231884285</v>
      </c>
      <c r="C67" s="4">
        <f t="array" ref="C67">ffourier(A67,periodo,$D$2:$U$3)</f>
        <v>0.45489135332097497</v>
      </c>
      <c r="D67" s="4">
        <f t="shared" si="4"/>
        <v>3.1539354936028875E-5</v>
      </c>
    </row>
    <row r="68" spans="1:4" hidden="1" x14ac:dyDescent="0.25">
      <c r="A68" s="4">
        <f t="shared" si="3"/>
        <v>0.45652173913043709</v>
      </c>
      <c r="B68" s="4">
        <f t="shared" si="2"/>
        <v>0.45652173913043709</v>
      </c>
      <c r="C68" s="4">
        <f t="array" ref="C68">ffourier(A68,periodo,$D$2:$U$3)</f>
        <v>0.46518056117774093</v>
      </c>
      <c r="D68" s="4">
        <f t="shared" si="4"/>
        <v>7.4975199246875027E-5</v>
      </c>
    </row>
    <row r="69" spans="1:4" hidden="1" x14ac:dyDescent="0.25">
      <c r="A69" s="4">
        <f t="shared" si="3"/>
        <v>0.46376811594203132</v>
      </c>
      <c r="B69" s="4">
        <f t="shared" si="2"/>
        <v>0.46376811594203132</v>
      </c>
      <c r="C69" s="4">
        <f t="array" ref="C69">ffourier(A69,periodo,$D$2:$U$3)</f>
        <v>0.47024872616419749</v>
      </c>
      <c r="D69" s="4">
        <f t="shared" si="4"/>
        <v>4.1998308851644685E-5</v>
      </c>
    </row>
    <row r="70" spans="1:4" hidden="1" x14ac:dyDescent="0.25">
      <c r="A70" s="4">
        <f t="shared" si="3"/>
        <v>0.47101449275362556</v>
      </c>
      <c r="B70" s="4">
        <f t="shared" si="2"/>
        <v>0.47101449275362556</v>
      </c>
      <c r="C70" s="4">
        <f t="array" ref="C70">ffourier(A70,periodo,$D$2:$U$3)</f>
        <v>0.4714327559820255</v>
      </c>
      <c r="D70" s="4">
        <f t="shared" si="4"/>
        <v>1.7494412823154029E-7</v>
      </c>
    </row>
    <row r="71" spans="1:4" hidden="1" x14ac:dyDescent="0.25">
      <c r="A71" s="4">
        <f t="shared" si="3"/>
        <v>0.47826086956521979</v>
      </c>
      <c r="B71" s="4">
        <f t="shared" ref="B71:B134" si="5">A71</f>
        <v>0.47826086956521979</v>
      </c>
      <c r="C71" s="4">
        <f t="array" ref="C71">ffourier(A71,periodo,$D$2:$U$3)</f>
        <v>0.4723904217491553</v>
      </c>
      <c r="D71" s="4">
        <f t="shared" si="4"/>
        <v>3.4462157561136396E-5</v>
      </c>
    </row>
    <row r="72" spans="1:4" hidden="1" x14ac:dyDescent="0.25">
      <c r="A72" s="4">
        <f t="shared" si="3"/>
        <v>0.48550724637681403</v>
      </c>
      <c r="B72" s="4">
        <f t="shared" si="5"/>
        <v>0.48550724637681403</v>
      </c>
      <c r="C72" s="4">
        <f t="array" ref="C72">ffourier(A72,periodo,$D$2:$U$3)</f>
        <v>0.47690002008889609</v>
      </c>
      <c r="D72" s="4">
        <f t="shared" si="4"/>
        <v>7.4084344371425559E-5</v>
      </c>
    </row>
    <row r="73" spans="1:4" hidden="1" x14ac:dyDescent="0.25">
      <c r="A73" s="4">
        <f t="shared" si="3"/>
        <v>0.49275362318840826</v>
      </c>
      <c r="B73" s="4">
        <f t="shared" si="5"/>
        <v>0.49275362318840826</v>
      </c>
      <c r="C73" s="4">
        <f t="array" ref="C73">ffourier(A73,periodo,$D$2:$U$3)</f>
        <v>0.48659709190208356</v>
      </c>
      <c r="D73" s="4">
        <f t="shared" si="4"/>
        <v>3.7902877479494946E-5</v>
      </c>
    </row>
    <row r="74" spans="1:4" hidden="1" x14ac:dyDescent="0.25">
      <c r="A74" s="4">
        <f t="shared" si="3"/>
        <v>0.50000000000000255</v>
      </c>
      <c r="B74" s="4">
        <f t="shared" si="5"/>
        <v>0.50000000000000255</v>
      </c>
      <c r="C74" s="4">
        <f t="array" ref="C74">ffourier(A74,periodo,$D$2:$U$3)</f>
        <v>0.49999992612557442</v>
      </c>
      <c r="D74" s="4">
        <f t="shared" si="4"/>
        <v>5.4574311315845169E-15</v>
      </c>
    </row>
    <row r="75" spans="1:4" hidden="1" x14ac:dyDescent="0.25">
      <c r="A75" s="4">
        <f t="shared" si="3"/>
        <v>0.50724637681159679</v>
      </c>
      <c r="B75" s="4">
        <f t="shared" si="5"/>
        <v>0.50724637681159679</v>
      </c>
      <c r="C75" s="4">
        <f t="array" ref="C75">ffourier(A75,periodo,$D$2:$U$3)</f>
        <v>0.51340275230345556</v>
      </c>
      <c r="D75" s="4">
        <f t="shared" si="4"/>
        <v>3.7900959196759285E-5</v>
      </c>
    </row>
    <row r="76" spans="1:4" hidden="1" x14ac:dyDescent="0.25">
      <c r="A76" s="4">
        <f t="shared" si="3"/>
        <v>0.51449275362319102</v>
      </c>
      <c r="B76" s="4">
        <f t="shared" si="5"/>
        <v>0.51449275362319102</v>
      </c>
      <c r="C76" s="4">
        <f t="array" ref="C76">ffourier(A76,periodo,$D$2:$U$3)</f>
        <v>0.5230998048060449</v>
      </c>
      <c r="D76" s="4">
        <f t="shared" si="4"/>
        <v>7.4081330064266294E-5</v>
      </c>
    </row>
    <row r="77" spans="1:4" hidden="1" x14ac:dyDescent="0.25">
      <c r="A77" s="4">
        <f t="shared" si="3"/>
        <v>0.52173913043478526</v>
      </c>
      <c r="B77" s="4">
        <f t="shared" si="5"/>
        <v>0.52173913043478526</v>
      </c>
      <c r="C77" s="4">
        <f t="array" ref="C77">ffourier(A77,periodo,$D$2:$U$3)</f>
        <v>0.52760938416250058</v>
      </c>
      <c r="D77" s="4">
        <f t="shared" si="4"/>
        <v>3.4459878827755662E-5</v>
      </c>
    </row>
    <row r="78" spans="1:4" hidden="1" x14ac:dyDescent="0.25">
      <c r="A78" s="4">
        <f t="shared" si="3"/>
        <v>0.52898550724637949</v>
      </c>
      <c r="B78" s="4">
        <f t="shared" si="5"/>
        <v>0.52898550724637949</v>
      </c>
      <c r="C78" s="4">
        <f t="array" ref="C78">ffourier(A78,periodo,$D$2:$U$3)</f>
        <v>0.52856704269407739</v>
      </c>
      <c r="D78" s="4">
        <f t="shared" si="4"/>
        <v>1.7511258153339716E-7</v>
      </c>
    </row>
    <row r="79" spans="1:4" hidden="1" x14ac:dyDescent="0.25">
      <c r="A79" s="4">
        <f t="shared" si="3"/>
        <v>0.53623188405797373</v>
      </c>
      <c r="B79" s="4">
        <f t="shared" si="5"/>
        <v>0.53623188405797373</v>
      </c>
      <c r="C79" s="4">
        <f t="array" ref="C79">ffourier(A79,periodo,$D$2:$U$3)</f>
        <v>0.52975108142331395</v>
      </c>
      <c r="D79" s="4">
        <f t="shared" si="4"/>
        <v>4.2000802789413109E-5</v>
      </c>
    </row>
    <row r="80" spans="1:4" hidden="1" x14ac:dyDescent="0.25">
      <c r="A80" s="4">
        <f t="shared" ref="A80:A143" si="6">A79+$B$1</f>
        <v>0.54347826086956796</v>
      </c>
      <c r="B80" s="4">
        <f t="shared" si="5"/>
        <v>0.54347826086956796</v>
      </c>
      <c r="C80" s="4">
        <f t="array" ref="C80">ffourier(A80,periodo,$D$2:$U$3)</f>
        <v>0.53481926618123443</v>
      </c>
      <c r="D80" s="4">
        <f t="shared" ref="D80:D143" si="7">(B80-C80)^2</f>
        <v>7.4978189012588322E-5</v>
      </c>
    </row>
    <row r="81" spans="1:4" hidden="1" x14ac:dyDescent="0.25">
      <c r="A81" s="4">
        <f t="shared" si="6"/>
        <v>0.5507246376811622</v>
      </c>
      <c r="B81" s="4">
        <f t="shared" si="5"/>
        <v>0.5507246376811622</v>
      </c>
      <c r="C81" s="4">
        <f t="array" ref="C81">ffourier(A81,periodo,$D$2:$U$3)</f>
        <v>0.54510849282515306</v>
      </c>
      <c r="D81" s="4">
        <f t="shared" si="7"/>
        <v>3.1541083043677947E-5</v>
      </c>
    </row>
    <row r="82" spans="1:4" hidden="1" x14ac:dyDescent="0.25">
      <c r="A82" s="4">
        <f t="shared" si="6"/>
        <v>0.55797101449275643</v>
      </c>
      <c r="B82" s="4">
        <f t="shared" si="5"/>
        <v>0.55797101449275643</v>
      </c>
      <c r="C82" s="4">
        <f t="array" ref="C82">ffourier(A82,periodo,$D$2:$U$3)</f>
        <v>0.55881702230025232</v>
      </c>
      <c r="D82" s="4">
        <f t="shared" si="7"/>
        <v>7.1572921034399518E-7</v>
      </c>
    </row>
    <row r="83" spans="1:4" hidden="1" x14ac:dyDescent="0.25">
      <c r="A83" s="4">
        <f t="shared" si="6"/>
        <v>0.56521739130435067</v>
      </c>
      <c r="B83" s="4">
        <f t="shared" si="5"/>
        <v>0.56521739130435067</v>
      </c>
      <c r="C83" s="4">
        <f t="array" ref="C83">ffourier(A83,periodo,$D$2:$U$3)</f>
        <v>0.57206776248470548</v>
      </c>
      <c r="D83" s="4">
        <f t="shared" si="7"/>
        <v>4.6927585308635733E-5</v>
      </c>
    </row>
    <row r="84" spans="1:4" hidden="1" x14ac:dyDescent="0.25">
      <c r="A84" s="4">
        <f t="shared" si="6"/>
        <v>0.5724637681159449</v>
      </c>
      <c r="B84" s="4">
        <f t="shared" si="5"/>
        <v>0.5724637681159449</v>
      </c>
      <c r="C84" s="4">
        <f t="array" ref="C84">ffourier(A84,periodo,$D$2:$U$3)</f>
        <v>0.58122715914282952</v>
      </c>
      <c r="D84" s="4">
        <f t="shared" si="7"/>
        <v>7.6797022290081785E-5</v>
      </c>
    </row>
    <row r="85" spans="1:4" hidden="1" x14ac:dyDescent="0.25">
      <c r="A85" s="4">
        <f t="shared" si="6"/>
        <v>0.57971014492753914</v>
      </c>
      <c r="B85" s="4">
        <f t="shared" si="5"/>
        <v>0.57971014492753914</v>
      </c>
      <c r="C85" s="4">
        <f t="array" ref="C85">ffourier(A85,periodo,$D$2:$U$3)</f>
        <v>0.58509707390735655</v>
      </c>
      <c r="D85" s="4">
        <f t="shared" si="7"/>
        <v>2.9019003833596609E-5</v>
      </c>
    </row>
    <row r="86" spans="1:4" hidden="1" x14ac:dyDescent="0.25">
      <c r="A86" s="4">
        <f t="shared" si="6"/>
        <v>0.58695652173913337</v>
      </c>
      <c r="B86" s="4">
        <f t="shared" si="5"/>
        <v>0.58695652173913337</v>
      </c>
      <c r="C86" s="4">
        <f t="array" ref="C86">ffourier(A86,periodo,$D$2:$U$3)</f>
        <v>0.58566168817669728</v>
      </c>
      <c r="D86" s="4">
        <f t="shared" si="7"/>
        <v>1.6765939544109434E-6</v>
      </c>
    </row>
    <row r="87" spans="1:4" hidden="1" x14ac:dyDescent="0.25">
      <c r="A87" s="4">
        <f t="shared" si="6"/>
        <v>0.59420289855072761</v>
      </c>
      <c r="B87" s="4">
        <f t="shared" si="5"/>
        <v>0.59420289855072761</v>
      </c>
      <c r="C87" s="4">
        <f t="array" ref="C87">ffourier(A87,periodo,$D$2:$U$3)</f>
        <v>0.58692605343880988</v>
      </c>
      <c r="D87" s="4">
        <f t="shared" si="7"/>
        <v>5.2952474782840949E-5</v>
      </c>
    </row>
    <row r="88" spans="1:4" hidden="1" x14ac:dyDescent="0.25">
      <c r="A88" s="4">
        <f t="shared" si="6"/>
        <v>0.60144927536232184</v>
      </c>
      <c r="B88" s="4">
        <f t="shared" si="5"/>
        <v>0.60144927536232184</v>
      </c>
      <c r="C88" s="4">
        <f t="array" ref="C88">ffourier(A88,periodo,$D$2:$U$3)</f>
        <v>0.59252357202363637</v>
      </c>
      <c r="D88" s="4">
        <f t="shared" si="7"/>
        <v>7.9668180090221039E-5</v>
      </c>
    </row>
    <row r="89" spans="1:4" hidden="1" x14ac:dyDescent="0.25">
      <c r="A89" s="4">
        <f t="shared" si="6"/>
        <v>0.60869565217391608</v>
      </c>
      <c r="B89" s="4">
        <f t="shared" si="5"/>
        <v>0.60869565217391608</v>
      </c>
      <c r="C89" s="4">
        <f t="array" ref="C89">ffourier(A89,periodo,$D$2:$U$3)</f>
        <v>0.60351684249029913</v>
      </c>
      <c r="D89" s="4">
        <f t="shared" si="7"/>
        <v>2.6820069739124666E-5</v>
      </c>
    </row>
    <row r="90" spans="1:4" hidden="1" x14ac:dyDescent="0.25">
      <c r="A90" s="4">
        <f t="shared" si="6"/>
        <v>0.61594202898551031</v>
      </c>
      <c r="B90" s="4">
        <f t="shared" si="5"/>
        <v>0.61594202898551031</v>
      </c>
      <c r="C90" s="4">
        <f t="array" ref="C90">ffourier(A90,periodo,$D$2:$U$3)</f>
        <v>0.61771819623941349</v>
      </c>
      <c r="D90" s="4">
        <f t="shared" si="7"/>
        <v>3.154770113837933E-6</v>
      </c>
    </row>
    <row r="91" spans="1:4" hidden="1" x14ac:dyDescent="0.25">
      <c r="A91" s="4">
        <f t="shared" si="6"/>
        <v>0.62318840579710455</v>
      </c>
      <c r="B91" s="4">
        <f t="shared" si="5"/>
        <v>0.62318840579710455</v>
      </c>
      <c r="C91" s="4">
        <f t="array" ref="C91">ffourier(A91,periodo,$D$2:$U$3)</f>
        <v>0.63096109434371639</v>
      </c>
      <c r="D91" s="4">
        <f t="shared" si="7"/>
        <v>6.041468724263086E-5</v>
      </c>
    </row>
    <row r="92" spans="1:4" hidden="1" x14ac:dyDescent="0.25">
      <c r="A92" s="4">
        <f t="shared" si="6"/>
        <v>0.63043478260869878</v>
      </c>
      <c r="B92" s="4">
        <f t="shared" si="5"/>
        <v>0.63043478260869878</v>
      </c>
      <c r="C92" s="4">
        <f t="array" ref="C92">ffourier(A92,periodo,$D$2:$U$3)</f>
        <v>0.63958682300447811</v>
      </c>
      <c r="D92" s="4">
        <f t="shared" si="7"/>
        <v>8.3759843405976605E-5</v>
      </c>
    </row>
    <row r="93" spans="1:4" hidden="1" x14ac:dyDescent="0.25">
      <c r="A93" s="4">
        <f t="shared" si="6"/>
        <v>0.63768115942029302</v>
      </c>
      <c r="B93" s="4">
        <f t="shared" si="5"/>
        <v>0.63768115942029302</v>
      </c>
      <c r="C93" s="4">
        <f t="array" ref="C93">ffourier(A93,periodo,$D$2:$U$3)</f>
        <v>0.6426679111156911</v>
      </c>
      <c r="D93" s="4">
        <f t="shared" si="7"/>
        <v>2.4867692471555663E-5</v>
      </c>
    </row>
    <row r="94" spans="1:4" hidden="1" x14ac:dyDescent="0.25">
      <c r="A94" s="4">
        <f t="shared" si="6"/>
        <v>0.64492753623188726</v>
      </c>
      <c r="B94" s="4">
        <f t="shared" si="5"/>
        <v>0.64492753623188726</v>
      </c>
      <c r="C94" s="4">
        <f t="array" ref="C94">ffourier(A94,periodo,$D$2:$U$3)</f>
        <v>0.64262260129598536</v>
      </c>
      <c r="D94" s="4">
        <f t="shared" si="7"/>
        <v>5.3127250587410598E-6</v>
      </c>
    </row>
    <row r="95" spans="1:4" hidden="1" x14ac:dyDescent="0.25">
      <c r="A95" s="4">
        <f t="shared" si="6"/>
        <v>0.65217391304348149</v>
      </c>
      <c r="B95" s="4">
        <f t="shared" si="5"/>
        <v>0.65217391304348149</v>
      </c>
      <c r="C95" s="4">
        <f t="array" ref="C95">ffourier(A95,periodo,$D$2:$U$3)</f>
        <v>0.64381869342177833</v>
      </c>
      <c r="D95" s="4">
        <f t="shared" si="7"/>
        <v>6.9809694926893464E-5</v>
      </c>
    </row>
    <row r="96" spans="1:4" hidden="1" x14ac:dyDescent="0.25">
      <c r="A96" s="4">
        <f t="shared" si="6"/>
        <v>0.65942028985507573</v>
      </c>
      <c r="B96" s="4">
        <f t="shared" si="5"/>
        <v>0.65942028985507573</v>
      </c>
      <c r="C96" s="4">
        <f t="array" ref="C96">ffourier(A96,periodo,$D$2:$U$3)</f>
        <v>0.64996844695244571</v>
      </c>
      <c r="D96" s="4">
        <f t="shared" si="7"/>
        <v>8.9337334255997381E-5</v>
      </c>
    </row>
    <row r="97" spans="1:4" hidden="1" x14ac:dyDescent="0.25">
      <c r="A97" s="4">
        <f t="shared" si="6"/>
        <v>0.66666666666666996</v>
      </c>
      <c r="B97" s="4">
        <f t="shared" si="5"/>
        <v>0.66666666666666996</v>
      </c>
      <c r="C97" s="4">
        <f t="array" ref="C97">ffourier(A97,periodo,$D$2:$U$3)</f>
        <v>0.66186166670269642</v>
      </c>
      <c r="D97" s="4">
        <f t="shared" si="7"/>
        <v>2.3088024653785761E-5</v>
      </c>
    </row>
    <row r="98" spans="1:4" hidden="1" x14ac:dyDescent="0.25">
      <c r="A98" s="4">
        <f t="shared" si="6"/>
        <v>0.6739130434782642</v>
      </c>
      <c r="B98" s="4">
        <f t="shared" si="5"/>
        <v>0.6739130434782642</v>
      </c>
      <c r="C98" s="4">
        <f t="array" ref="C98">ffourier(A98,periodo,$D$2:$U$3)</f>
        <v>0.67681457544345225</v>
      </c>
      <c r="D98" s="4">
        <f t="shared" si="7"/>
        <v>8.4188877450080467E-6</v>
      </c>
    </row>
    <row r="99" spans="1:4" hidden="1" x14ac:dyDescent="0.25">
      <c r="A99" s="4">
        <f t="shared" si="6"/>
        <v>0.68115942028985843</v>
      </c>
      <c r="B99" s="4">
        <f t="shared" si="5"/>
        <v>0.68115942028985843</v>
      </c>
      <c r="C99" s="4">
        <f t="array" ref="C99">ffourier(A99,periodo,$D$2:$U$3)</f>
        <v>0.6902094713712178</v>
      </c>
      <c r="D99" s="4">
        <f t="shared" si="7"/>
        <v>8.1903424575213845E-5</v>
      </c>
    </row>
    <row r="100" spans="1:4" hidden="1" x14ac:dyDescent="0.25">
      <c r="A100" s="4">
        <f t="shared" si="6"/>
        <v>0.68840579710145267</v>
      </c>
      <c r="B100" s="4">
        <f t="shared" si="5"/>
        <v>0.68840579710145267</v>
      </c>
      <c r="C100" s="4">
        <f t="array" ref="C100">ffourier(A100,periodo,$D$2:$U$3)</f>
        <v>0.69824770443008766</v>
      </c>
      <c r="D100" s="4">
        <f t="shared" si="7"/>
        <v>9.6863139865439147E-5</v>
      </c>
    </row>
    <row r="101" spans="1:4" hidden="1" x14ac:dyDescent="0.25">
      <c r="A101" s="4">
        <f t="shared" si="6"/>
        <v>0.6956521739130469</v>
      </c>
      <c r="B101" s="4">
        <f t="shared" si="5"/>
        <v>0.6956521739130469</v>
      </c>
      <c r="C101" s="4">
        <f t="array" ref="C101">ffourier(A101,periodo,$D$2:$U$3)</f>
        <v>0.700282925232938</v>
      </c>
      <c r="D101" s="4">
        <f t="shared" si="7"/>
        <v>2.1443857786673185E-5</v>
      </c>
    </row>
    <row r="102" spans="1:4" hidden="1" x14ac:dyDescent="0.25">
      <c r="A102" s="4">
        <f t="shared" si="6"/>
        <v>0.70289855072464114</v>
      </c>
      <c r="B102" s="4">
        <f t="shared" si="5"/>
        <v>0.70289855072464114</v>
      </c>
      <c r="C102" s="4">
        <f t="array" ref="C102">ffourier(A102,periodo,$D$2:$U$3)</f>
        <v>0.69930994165747351</v>
      </c>
      <c r="D102" s="4">
        <f t="shared" si="7"/>
        <v>1.2878115036957693E-5</v>
      </c>
    </row>
    <row r="103" spans="1:4" hidden="1" x14ac:dyDescent="0.25">
      <c r="A103" s="4">
        <f t="shared" si="6"/>
        <v>0.71014492753623537</v>
      </c>
      <c r="B103" s="4">
        <f t="shared" si="5"/>
        <v>0.71014492753623537</v>
      </c>
      <c r="C103" s="4">
        <f t="array" ref="C103">ffourier(A103,periodo,$D$2:$U$3)</f>
        <v>0.70025761108115259</v>
      </c>
      <c r="D103" s="4">
        <f t="shared" si="7"/>
        <v>9.7759026682950795E-5</v>
      </c>
    </row>
    <row r="104" spans="1:4" hidden="1" x14ac:dyDescent="0.25">
      <c r="A104" s="4">
        <f t="shared" si="6"/>
        <v>0.71739130434782961</v>
      </c>
      <c r="B104" s="4">
        <f t="shared" si="5"/>
        <v>0.71739130434782961</v>
      </c>
      <c r="C104" s="4">
        <f t="array" ref="C104">ffourier(A104,periodo,$D$2:$U$3)</f>
        <v>0.70705099613300304</v>
      </c>
      <c r="D104" s="4">
        <f t="shared" si="7"/>
        <v>1.0692197397760976E-4</v>
      </c>
    </row>
    <row r="105" spans="1:4" hidden="1" x14ac:dyDescent="0.25">
      <c r="A105" s="4">
        <f t="shared" si="6"/>
        <v>0.72463768115942384</v>
      </c>
      <c r="B105" s="4">
        <f t="shared" si="5"/>
        <v>0.72463768115942384</v>
      </c>
      <c r="C105" s="4">
        <f t="array" ref="C105">ffourier(A105,periodo,$D$2:$U$3)</f>
        <v>0.72018335059555505</v>
      </c>
      <c r="D105" s="4">
        <f t="shared" si="7"/>
        <v>1.9841060772215665E-5</v>
      </c>
    </row>
    <row r="106" spans="1:4" hidden="1" x14ac:dyDescent="0.25">
      <c r="A106" s="4">
        <f t="shared" si="6"/>
        <v>0.73188405797101808</v>
      </c>
      <c r="B106" s="4">
        <f t="shared" si="5"/>
        <v>0.73188405797101808</v>
      </c>
      <c r="C106" s="4">
        <f t="array" ref="C106">ffourier(A106,periodo,$D$2:$U$3)</f>
        <v>0.73628867594598524</v>
      </c>
      <c r="D106" s="4">
        <f t="shared" si="7"/>
        <v>1.9400659505403824E-5</v>
      </c>
    </row>
    <row r="107" spans="1:4" hidden="1" x14ac:dyDescent="0.25">
      <c r="A107" s="4">
        <f t="shared" si="6"/>
        <v>0.73913043478261231</v>
      </c>
      <c r="B107" s="4">
        <f t="shared" si="5"/>
        <v>0.73913043478261231</v>
      </c>
      <c r="C107" s="4">
        <f t="array" ref="C107">ffourier(A107,periodo,$D$2:$U$3)</f>
        <v>0.75004731316834627</v>
      </c>
      <c r="D107" s="4">
        <f t="shared" si="7"/>
        <v>1.1917823368890539E-4</v>
      </c>
    </row>
    <row r="108" spans="1:4" hidden="1" x14ac:dyDescent="0.25">
      <c r="A108" s="4">
        <f t="shared" si="6"/>
        <v>0.74637681159420655</v>
      </c>
      <c r="B108" s="4">
        <f t="shared" si="5"/>
        <v>0.74637681159420655</v>
      </c>
      <c r="C108" s="4">
        <f t="array" ref="C108">ffourier(A108,periodo,$D$2:$U$3)</f>
        <v>0.75735658224330382</v>
      </c>
      <c r="D108" s="4">
        <f t="shared" si="7"/>
        <v>1.2055536350677801E-4</v>
      </c>
    </row>
    <row r="109" spans="1:4" hidden="1" x14ac:dyDescent="0.25">
      <c r="A109" s="4">
        <f t="shared" si="6"/>
        <v>0.75362318840580078</v>
      </c>
      <c r="B109" s="4">
        <f t="shared" si="5"/>
        <v>0.75362318840580078</v>
      </c>
      <c r="C109" s="4">
        <f t="array" ref="C109">ffourier(A109,periodo,$D$2:$U$3)</f>
        <v>0.7578907070471248</v>
      </c>
      <c r="D109" s="4">
        <f t="shared" si="7"/>
        <v>1.8211715354048006E-5</v>
      </c>
    </row>
    <row r="110" spans="1:4" hidden="1" x14ac:dyDescent="0.25">
      <c r="A110" s="4">
        <f t="shared" si="6"/>
        <v>0.76086956521739502</v>
      </c>
      <c r="B110" s="4">
        <f t="shared" si="5"/>
        <v>0.76086956521739502</v>
      </c>
      <c r="C110" s="4">
        <f t="array" ref="C110">ffourier(A110,periodo,$D$2:$U$3)</f>
        <v>0.75546819475593041</v>
      </c>
      <c r="D110" s="4">
        <f t="shared" si="7"/>
        <v>2.9174802861982363E-5</v>
      </c>
    </row>
    <row r="111" spans="1:4" hidden="1" x14ac:dyDescent="0.25">
      <c r="A111" s="4">
        <f t="shared" si="6"/>
        <v>0.76811594202898925</v>
      </c>
      <c r="B111" s="4">
        <f t="shared" si="5"/>
        <v>0.76811594202898925</v>
      </c>
      <c r="C111" s="4">
        <f t="array" ref="C111">ffourier(A111,periodo,$D$2:$U$3)</f>
        <v>0.7559068398812997</v>
      </c>
      <c r="D111" s="4">
        <f t="shared" si="7"/>
        <v>1.4906217525271768E-4</v>
      </c>
    </row>
    <row r="112" spans="1:4" hidden="1" x14ac:dyDescent="0.25">
      <c r="A112" s="4">
        <f t="shared" si="6"/>
        <v>0.77536231884058349</v>
      </c>
      <c r="B112" s="4">
        <f t="shared" si="5"/>
        <v>0.77536231884058349</v>
      </c>
      <c r="C112" s="4">
        <f t="array" ref="C112">ffourier(A112,periodo,$D$2:$U$3)</f>
        <v>0.76355600297376303</v>
      </c>
      <c r="D112" s="4">
        <f t="shared" si="7"/>
        <v>1.3938909434713657E-4</v>
      </c>
    </row>
    <row r="113" spans="1:4" hidden="1" x14ac:dyDescent="0.25">
      <c r="A113" s="4">
        <f t="shared" si="6"/>
        <v>0.78260869565217772</v>
      </c>
      <c r="B113" s="4">
        <f t="shared" si="5"/>
        <v>0.78260869565217772</v>
      </c>
      <c r="C113" s="4">
        <f t="array" ref="C113">ffourier(A113,periodo,$D$2:$U$3)</f>
        <v>0.77855370067967899</v>
      </c>
      <c r="D113" s="4">
        <f t="shared" si="7"/>
        <v>1.644298422698995E-5</v>
      </c>
    </row>
    <row r="114" spans="1:4" hidden="1" x14ac:dyDescent="0.25">
      <c r="A114" s="4">
        <f t="shared" si="6"/>
        <v>0.78985507246377196</v>
      </c>
      <c r="B114" s="4">
        <f t="shared" si="5"/>
        <v>0.78985507246377196</v>
      </c>
      <c r="C114" s="4">
        <f t="array" ref="C114">ffourier(A114,periodo,$D$2:$U$3)</f>
        <v>0.79651592831270845</v>
      </c>
      <c r="D114" s="4">
        <f t="shared" si="7"/>
        <v>4.4367000640311552E-5</v>
      </c>
    </row>
    <row r="115" spans="1:4" hidden="1" x14ac:dyDescent="0.25">
      <c r="A115" s="4">
        <f t="shared" si="6"/>
        <v>0.79710144927536619</v>
      </c>
      <c r="B115" s="4">
        <f t="shared" si="5"/>
        <v>0.79710144927536619</v>
      </c>
      <c r="C115" s="4">
        <f t="array" ref="C115">ffourier(A115,periodo,$D$2:$U$3)</f>
        <v>0.81097612881617209</v>
      </c>
      <c r="D115" s="4">
        <f t="shared" si="7"/>
        <v>1.9250673236005785E-4</v>
      </c>
    </row>
    <row r="116" spans="1:4" hidden="1" x14ac:dyDescent="0.25">
      <c r="A116" s="4">
        <f t="shared" si="6"/>
        <v>0.80434782608696043</v>
      </c>
      <c r="B116" s="4">
        <f t="shared" si="5"/>
        <v>0.80434782608696043</v>
      </c>
      <c r="C116" s="4">
        <f t="array" ref="C116">ffourier(A116,periodo,$D$2:$U$3)</f>
        <v>0.81723963822533285</v>
      </c>
      <c r="D116" s="4">
        <f t="shared" si="7"/>
        <v>1.6619882021108665E-4</v>
      </c>
    </row>
    <row r="117" spans="1:4" hidden="1" x14ac:dyDescent="0.25">
      <c r="A117" s="4">
        <f t="shared" si="6"/>
        <v>0.81159420289855466</v>
      </c>
      <c r="B117" s="4">
        <f t="shared" si="5"/>
        <v>0.81159420289855466</v>
      </c>
      <c r="C117" s="4">
        <f t="array" ref="C117">ffourier(A117,periodo,$D$2:$U$3)</f>
        <v>0.815383850519943</v>
      </c>
      <c r="D117" s="4">
        <f t="shared" si="7"/>
        <v>1.4361429094294278E-5</v>
      </c>
    </row>
    <row r="118" spans="1:4" hidden="1" x14ac:dyDescent="0.25">
      <c r="A118" s="4">
        <f t="shared" si="6"/>
        <v>0.8188405797101489</v>
      </c>
      <c r="B118" s="4">
        <f t="shared" si="5"/>
        <v>0.8188405797101489</v>
      </c>
      <c r="C118" s="4">
        <f t="array" ref="C118">ffourier(A118,periodo,$D$2:$U$3)</f>
        <v>0.81052103828744204</v>
      </c>
      <c r="D118" s="4">
        <f t="shared" si="7"/>
        <v>6.9214769484135202E-5</v>
      </c>
    </row>
    <row r="119" spans="1:4" hidden="1" x14ac:dyDescent="0.25">
      <c r="A119" s="4">
        <f t="shared" si="6"/>
        <v>0.82608695652174313</v>
      </c>
      <c r="B119" s="4">
        <f t="shared" si="5"/>
        <v>0.82608695652174313</v>
      </c>
      <c r="C119" s="4">
        <f t="array" ref="C119">ffourier(A119,periodo,$D$2:$U$3)</f>
        <v>0.80998859032964543</v>
      </c>
      <c r="D119" s="4">
        <f t="shared" si="7"/>
        <v>2.5915739405487427E-4</v>
      </c>
    </row>
    <row r="120" spans="1:4" hidden="1" x14ac:dyDescent="0.25">
      <c r="A120" s="4">
        <f t="shared" si="6"/>
        <v>0.83333333333333737</v>
      </c>
      <c r="B120" s="4">
        <f t="shared" si="5"/>
        <v>0.83333333333333737</v>
      </c>
      <c r="C120" s="4">
        <f t="array" ref="C120">ffourier(A120,periodo,$D$2:$U$3)</f>
        <v>0.81897704224665024</v>
      </c>
      <c r="D120" s="4">
        <f t="shared" si="7"/>
        <v>2.0610309376569214E-4</v>
      </c>
    </row>
    <row r="121" spans="1:4" hidden="1" x14ac:dyDescent="0.25">
      <c r="A121" s="4">
        <f t="shared" si="6"/>
        <v>0.8405797101449316</v>
      </c>
      <c r="B121" s="4">
        <f t="shared" si="5"/>
        <v>0.8405797101449316</v>
      </c>
      <c r="C121" s="4">
        <f t="array" ref="C121">ffourier(A121,periodo,$D$2:$U$3)</f>
        <v>0.8371574345471644</v>
      </c>
      <c r="D121" s="4">
        <f t="shared" si="7"/>
        <v>1.1711970267072841E-5</v>
      </c>
    </row>
    <row r="122" spans="1:4" hidden="1" x14ac:dyDescent="0.25">
      <c r="A122" s="4">
        <f t="shared" si="6"/>
        <v>0.84782608695652584</v>
      </c>
      <c r="B122" s="4">
        <f t="shared" si="5"/>
        <v>0.84782608695652584</v>
      </c>
      <c r="C122" s="4">
        <f t="array" ref="C122">ffourier(A122,periodo,$D$2:$U$3)</f>
        <v>0.85844352621185704</v>
      </c>
      <c r="D122" s="4">
        <f t="shared" si="7"/>
        <v>1.127300163406481E-4</v>
      </c>
    </row>
    <row r="123" spans="1:4" hidden="1" x14ac:dyDescent="0.25">
      <c r="A123" s="4">
        <f t="shared" si="6"/>
        <v>0.85507246376812007</v>
      </c>
      <c r="B123" s="4">
        <f t="shared" si="5"/>
        <v>0.85507246376812007</v>
      </c>
      <c r="C123" s="4">
        <f t="array" ref="C123">ffourier(A123,periodo,$D$2:$U$3)</f>
        <v>0.87427860379792566</v>
      </c>
      <c r="D123" s="4">
        <f t="shared" si="7"/>
        <v>3.6887581484450048E-4</v>
      </c>
    </row>
    <row r="124" spans="1:4" hidden="1" x14ac:dyDescent="0.25">
      <c r="A124" s="4">
        <f t="shared" si="6"/>
        <v>0.86231884057971431</v>
      </c>
      <c r="B124" s="4">
        <f t="shared" si="5"/>
        <v>0.86231884057971431</v>
      </c>
      <c r="C124" s="4">
        <f t="array" ref="C124">ffourier(A124,periodo,$D$2:$U$3)</f>
        <v>0.87872659746437864</v>
      </c>
      <c r="D124" s="4">
        <f t="shared" si="7"/>
        <v>2.6921448598624998E-4</v>
      </c>
    </row>
    <row r="125" spans="1:4" hidden="1" x14ac:dyDescent="0.25">
      <c r="A125" s="4">
        <f t="shared" si="6"/>
        <v>0.86956521739130854</v>
      </c>
      <c r="B125" s="4">
        <f t="shared" si="5"/>
        <v>0.86956521739130854</v>
      </c>
      <c r="C125" s="4">
        <f t="array" ref="C125">ffourier(A125,periodo,$D$2:$U$3)</f>
        <v>0.87241071728598651</v>
      </c>
      <c r="D125" s="4">
        <f t="shared" si="7"/>
        <v>8.0968696506123499E-6</v>
      </c>
    </row>
    <row r="126" spans="1:4" hidden="1" x14ac:dyDescent="0.25">
      <c r="A126" s="4">
        <f t="shared" si="6"/>
        <v>0.87681159420290278</v>
      </c>
      <c r="B126" s="4">
        <f t="shared" si="5"/>
        <v>0.87681159420290278</v>
      </c>
      <c r="C126" s="4">
        <f t="array" ref="C126">ffourier(A126,periodo,$D$2:$U$3)</f>
        <v>0.86278591635619062</v>
      </c>
      <c r="D126" s="4">
        <f t="shared" si="7"/>
        <v>1.9671963905975223E-4</v>
      </c>
    </row>
    <row r="127" spans="1:4" hidden="1" x14ac:dyDescent="0.25">
      <c r="A127" s="4">
        <f t="shared" si="6"/>
        <v>0.88405797101449701</v>
      </c>
      <c r="B127" s="4">
        <f t="shared" si="5"/>
        <v>0.88405797101449701</v>
      </c>
      <c r="C127" s="4">
        <f t="array" ref="C127">ffourier(A127,periodo,$D$2:$U$3)</f>
        <v>0.86022317014678795</v>
      </c>
      <c r="D127" s="4">
        <f t="shared" si="7"/>
        <v>5.6809773240334462E-4</v>
      </c>
    </row>
    <row r="128" spans="1:4" hidden="1" x14ac:dyDescent="0.25">
      <c r="A128" s="4">
        <f t="shared" si="6"/>
        <v>0.89130434782609125</v>
      </c>
      <c r="B128" s="4">
        <f t="shared" si="5"/>
        <v>0.89130434782609125</v>
      </c>
      <c r="C128" s="4">
        <f t="array" ref="C128">ffourier(A128,periodo,$D$2:$U$3)</f>
        <v>0.87186668211095397</v>
      </c>
      <c r="D128" s="4">
        <f t="shared" si="7"/>
        <v>3.7782284845342312E-4</v>
      </c>
    </row>
    <row r="129" spans="1:4" hidden="1" x14ac:dyDescent="0.25">
      <c r="A129" s="4">
        <f t="shared" si="6"/>
        <v>0.89855072463768548</v>
      </c>
      <c r="B129" s="4">
        <f t="shared" si="5"/>
        <v>0.89855072463768548</v>
      </c>
      <c r="C129" s="4">
        <f t="array" ref="C129">ffourier(A129,periodo,$D$2:$U$3)</f>
        <v>0.89676888137747535</v>
      </c>
      <c r="D129" s="4">
        <f t="shared" si="7"/>
        <v>3.174965403956288E-6</v>
      </c>
    </row>
    <row r="130" spans="1:4" hidden="1" x14ac:dyDescent="0.25">
      <c r="A130" s="4">
        <f t="shared" si="6"/>
        <v>0.90579710144927972</v>
      </c>
      <c r="B130" s="4">
        <f t="shared" si="5"/>
        <v>0.90579710144927972</v>
      </c>
      <c r="C130" s="4">
        <f t="array" ref="C130">ffourier(A130,periodo,$D$2:$U$3)</f>
        <v>0.92541558109960009</v>
      </c>
      <c r="D130" s="4">
        <f t="shared" si="7"/>
        <v>3.8488474379003466E-4</v>
      </c>
    </row>
    <row r="131" spans="1:4" hidden="1" x14ac:dyDescent="0.25">
      <c r="A131" s="4">
        <f t="shared" si="6"/>
        <v>0.91304347826087395</v>
      </c>
      <c r="B131" s="4">
        <f t="shared" si="5"/>
        <v>0.91304347826087395</v>
      </c>
      <c r="C131" s="4">
        <f t="array" ref="C131">ffourier(A131,periodo,$D$2:$U$3)</f>
        <v>0.9444744518486432</v>
      </c>
      <c r="D131" s="4">
        <f t="shared" si="7"/>
        <v>9.8790610067504836E-4</v>
      </c>
    </row>
    <row r="132" spans="1:4" hidden="1" x14ac:dyDescent="0.25">
      <c r="A132" s="4">
        <f t="shared" si="6"/>
        <v>0.92028985507246819</v>
      </c>
      <c r="B132" s="4">
        <f t="shared" si="5"/>
        <v>0.92028985507246819</v>
      </c>
      <c r="C132" s="4">
        <f t="array" ref="C132">ffourier(A132,periodo,$D$2:$U$3)</f>
        <v>0.94458297593205875</v>
      </c>
      <c r="D132" s="4">
        <f t="shared" si="7"/>
        <v>5.9015572109867435E-4</v>
      </c>
    </row>
    <row r="133" spans="1:4" hidden="1" x14ac:dyDescent="0.25">
      <c r="A133" s="4">
        <f t="shared" si="6"/>
        <v>0.92753623188406242</v>
      </c>
      <c r="B133" s="4">
        <f t="shared" si="5"/>
        <v>0.92753623188406242</v>
      </c>
      <c r="C133" s="4">
        <f t="array" ref="C133">ffourier(A133,periodo,$D$2:$U$3)</f>
        <v>0.92691282384573548</v>
      </c>
      <c r="D133" s="4">
        <f t="shared" si="7"/>
        <v>3.8863758225064937E-7</v>
      </c>
    </row>
    <row r="134" spans="1:4" hidden="1" x14ac:dyDescent="0.25">
      <c r="A134" s="4">
        <f t="shared" si="6"/>
        <v>0.93478260869565666</v>
      </c>
      <c r="B134" s="4">
        <f t="shared" si="5"/>
        <v>0.93478260869565666</v>
      </c>
      <c r="C134" s="4">
        <f t="array" ref="C134">ffourier(A134,periodo,$D$2:$U$3)</f>
        <v>0.90439509547334251</v>
      </c>
      <c r="D134" s="4">
        <f t="shared" si="7"/>
        <v>9.2340095983631698E-4</v>
      </c>
    </row>
    <row r="135" spans="1:4" hidden="1" x14ac:dyDescent="0.25">
      <c r="A135" s="4">
        <f t="shared" si="6"/>
        <v>0.94202898550725089</v>
      </c>
      <c r="B135" s="4">
        <f t="shared" ref="B135:B143" si="8">A135</f>
        <v>0.94202898550725089</v>
      </c>
      <c r="C135" s="4">
        <f t="array" ref="C135">ffourier(A135,periodo,$D$2:$U$3)</f>
        <v>0.8960081637004399</v>
      </c>
      <c r="D135" s="4">
        <f t="shared" si="7"/>
        <v>2.1179160397742504E-3</v>
      </c>
    </row>
    <row r="136" spans="1:4" hidden="1" x14ac:dyDescent="0.25">
      <c r="A136" s="4">
        <f t="shared" si="6"/>
        <v>0.94927536231884513</v>
      </c>
      <c r="B136" s="4">
        <f t="shared" si="8"/>
        <v>0.94927536231884513</v>
      </c>
      <c r="C136" s="4">
        <f t="array" ref="C136">ffourier(A136,periodo,$D$2:$U$3)</f>
        <v>0.916244420934752</v>
      </c>
      <c r="D136" s="4">
        <f t="shared" si="7"/>
        <v>1.0910430887193959E-3</v>
      </c>
    </row>
    <row r="137" spans="1:4" hidden="1" x14ac:dyDescent="0.25">
      <c r="A137" s="4">
        <f t="shared" si="6"/>
        <v>0.95652173913043936</v>
      </c>
      <c r="B137" s="4">
        <f t="shared" si="8"/>
        <v>0.95652173913043936</v>
      </c>
      <c r="C137" s="4">
        <f t="array" ref="C137">ffourier(A137,periodo,$D$2:$U$3)</f>
        <v>0.96484642928127839</v>
      </c>
      <c r="D137" s="4">
        <f t="shared" si="7"/>
        <v>6.9300466107476377E-5</v>
      </c>
    </row>
    <row r="138" spans="1:4" hidden="1" x14ac:dyDescent="0.25">
      <c r="A138" s="4">
        <f t="shared" si="6"/>
        <v>0.9637681159420336</v>
      </c>
      <c r="B138" s="4">
        <f t="shared" si="8"/>
        <v>0.9637681159420336</v>
      </c>
      <c r="C138" s="4">
        <f t="array" ref="C138">ffourier(A138,periodo,$D$2:$U$3)</f>
        <v>1.0224426389429315</v>
      </c>
      <c r="D138" s="4">
        <f t="shared" si="7"/>
        <v>3.4426996493828999E-3</v>
      </c>
    </row>
    <row r="139" spans="1:4" hidden="1" x14ac:dyDescent="0.25">
      <c r="A139" s="4">
        <f t="shared" si="6"/>
        <v>0.97101449275362783</v>
      </c>
      <c r="B139" s="4">
        <f t="shared" si="8"/>
        <v>0.97101449275362783</v>
      </c>
      <c r="C139" s="4">
        <f t="array" ref="C139">ffourier(A139,periodo,$D$2:$U$3)</f>
        <v>1.0553058249286034</v>
      </c>
      <c r="D139" s="4">
        <f t="shared" si="7"/>
        <v>7.105028679832065E-3</v>
      </c>
    </row>
    <row r="140" spans="1:4" hidden="1" x14ac:dyDescent="0.25">
      <c r="A140" s="4">
        <f t="shared" si="6"/>
        <v>0.97826086956522207</v>
      </c>
      <c r="B140" s="4">
        <f t="shared" si="8"/>
        <v>0.97826086956522207</v>
      </c>
      <c r="C140" s="4">
        <f t="array" ref="C140">ffourier(A140,periodo,$D$2:$U$3)</f>
        <v>1.0281269437668843</v>
      </c>
      <c r="D140" s="4">
        <f t="shared" si="7"/>
        <v>2.4866253562856829E-3</v>
      </c>
    </row>
    <row r="141" spans="1:4" x14ac:dyDescent="0.25">
      <c r="A141" s="4">
        <f t="shared" si="6"/>
        <v>0.9855072463768163</v>
      </c>
      <c r="B141" s="4">
        <f t="shared" si="8"/>
        <v>0.9855072463768163</v>
      </c>
      <c r="C141" s="4">
        <f t="array" ref="C141">ffourier(A141,periodo,$D$2:$U$3)</f>
        <v>0.91954994806683377</v>
      </c>
      <c r="D141" s="4">
        <f t="shared" si="7"/>
        <v>4.350365200352025E-3</v>
      </c>
    </row>
    <row r="142" spans="1:4" x14ac:dyDescent="0.25">
      <c r="A142" s="4">
        <f t="shared" si="6"/>
        <v>0.99275362318841054</v>
      </c>
      <c r="B142" s="4">
        <f t="shared" si="8"/>
        <v>0.99275362318841054</v>
      </c>
      <c r="C142" s="4">
        <f t="array" ref="C142">ffourier(A142,periodo,$D$2:$U$3)</f>
        <v>0.73338837754635211</v>
      </c>
      <c r="D142" s="4">
        <f t="shared" si="7"/>
        <v>6.7270330646965304E-2</v>
      </c>
    </row>
    <row r="143" spans="1:4" ht="15.75" thickBot="1" x14ac:dyDescent="0.3">
      <c r="A143" s="4">
        <f t="shared" si="6"/>
        <v>1.0000000000000049</v>
      </c>
      <c r="B143" s="4">
        <f t="shared" si="8"/>
        <v>1.0000000000000049</v>
      </c>
      <c r="C143" s="4">
        <f t="array" ref="C143">ffourier(A143,periodo,$D$2:$U$3)</f>
        <v>0.49999944453434392</v>
      </c>
      <c r="D143" s="4">
        <f t="shared" si="7"/>
        <v>0.25000055546596955</v>
      </c>
    </row>
    <row r="144" spans="1:4" x14ac:dyDescent="0.25">
      <c r="A144" s="4"/>
      <c r="B144" s="4"/>
      <c r="C144" s="5" t="s">
        <v>8</v>
      </c>
      <c r="D144" s="6">
        <f>SUM(D5:D143)</f>
        <v>0.69143002698562661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4</vt:i4>
      </vt:variant>
      <vt:variant>
        <vt:lpstr>Gráficos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dente de serra - Coef_Integral</vt:lpstr>
      <vt:lpstr>dente de serra - Coef_Solver</vt:lpstr>
      <vt:lpstr>dente de serra - Coef_Matrizes</vt:lpstr>
      <vt:lpstr>dente de serra - vba - dados</vt:lpstr>
      <vt:lpstr>dente de serra - Gráf1</vt:lpstr>
      <vt:lpstr>dente de serra - Gráf2</vt:lpstr>
      <vt:lpstr>dente de serra - Gráf3</vt:lpstr>
      <vt:lpstr>dente de serra - Gráf4</vt:lpstr>
      <vt:lpstr>dente de serra - Gráf5</vt:lpstr>
      <vt:lpstr>dente de serra - Gráf6</vt:lpstr>
      <vt:lpstr>dente de serra - vba - Gráf1</vt:lpstr>
      <vt:lpstr>a0</vt:lpstr>
      <vt:lpstr>n_</vt:lpstr>
      <vt:lpstr>periodo</vt:lpstr>
    </vt:vector>
  </TitlesOfParts>
  <Company>FAAP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FAAP</dc:creator>
  <cp:lastModifiedBy>Gustavo</cp:lastModifiedBy>
  <dcterms:created xsi:type="dcterms:W3CDTF">2011-09-20T14:36:38Z</dcterms:created>
  <dcterms:modified xsi:type="dcterms:W3CDTF">2017-09-28T12:23:12Z</dcterms:modified>
</cp:coreProperties>
</file>