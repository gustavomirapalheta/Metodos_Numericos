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527" codeName="{B6124F1A-AFFB-F854-7757-9A1D4C6FC43C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Z:\Google Drive\Disciplinas\Matemática II\cálculo, abordagem computacional\planilhas\"/>
    </mc:Choice>
  </mc:AlternateContent>
  <xr:revisionPtr revIDLastSave="0" documentId="8_{567049BD-97F0-4110-B76C-EE539B7326B2}" xr6:coauthVersionLast="47" xr6:coauthVersionMax="47" xr10:uidLastSave="{00000000-0000-0000-0000-000000000000}"/>
  <bookViews>
    <workbookView xWindow="-120" yWindow="-120" windowWidth="27960" windowHeight="14220" activeTab="1"/>
  </bookViews>
  <sheets>
    <sheet name="Plan1" sheetId="1" r:id="rId1"/>
    <sheet name="Plan2" sheetId="2" r:id="rId2"/>
    <sheet name="Plan2 (2)" sheetId="4" r:id="rId3"/>
    <sheet name="Plan2 (3)" sheetId="5" r:id="rId4"/>
    <sheet name="Plan3" sheetId="3" r:id="rId5"/>
  </sheets>
  <functionGroups builtInGroupCount="19"/>
  <definedNames>
    <definedName name="solver_adj" localSheetId="2" hidden="1">'Plan2 (2)'!$O$13:$O$14</definedName>
    <definedName name="solver_adj" localSheetId="3" hidden="1">'Plan2 (3)'!$G$5:$G$6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100</definedName>
    <definedName name="solver_lin" localSheetId="2" hidden="1">2</definedName>
    <definedName name="solver_lin" localSheetId="3" hidden="1">2</definedName>
    <definedName name="solver_neg" localSheetId="2" hidden="1">2</definedName>
    <definedName name="solver_neg" localSheetId="3" hidden="1">2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'Plan2 (2)'!$O$16</definedName>
    <definedName name="solver_opt" localSheetId="3" hidden="1">'Plan2 (3)'!$M$3</definedName>
    <definedName name="solver_pre" localSheetId="2" hidden="1">0.000001</definedName>
    <definedName name="solver_pre" localSheetId="3" hidden="1">0.000001</definedName>
    <definedName name="solver_scl" localSheetId="2" hidden="1">2</definedName>
    <definedName name="solver_scl" localSheetId="3" hidden="1">2</definedName>
    <definedName name="solver_sho" localSheetId="2" hidden="1">2</definedName>
    <definedName name="solver_sho" localSheetId="3" hidden="1">2</definedName>
    <definedName name="solver_tim" localSheetId="2" hidden="1">100</definedName>
    <definedName name="solver_tim" localSheetId="3" hidden="1">100</definedName>
    <definedName name="solver_tol" localSheetId="2" hidden="1">0.05</definedName>
    <definedName name="solver_tol" localSheetId="3" hidden="1">0.05</definedName>
    <definedName name="solver_typ" localSheetId="2" hidden="1">2</definedName>
    <definedName name="solver_typ" localSheetId="3" hidden="1">2</definedName>
    <definedName name="solver_val" localSheetId="2" hidden="1">0</definedName>
    <definedName name="solver_val" localSheetId="3" hidden="1">0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" i="5" l="1"/>
  <c r="G4" i="5"/>
  <c r="G3" i="5"/>
  <c r="C3" i="5"/>
  <c r="B3" i="5"/>
  <c r="C3" i="4"/>
  <c r="J3" i="4"/>
  <c r="B3" i="4"/>
  <c r="I3" i="4"/>
  <c r="B3" i="2"/>
  <c r="C3" i="2"/>
  <c r="A127" i="1"/>
  <c r="A128" i="1"/>
  <c r="A129" i="1"/>
  <c r="A130" i="1"/>
  <c r="A131" i="1"/>
  <c r="A132" i="1"/>
  <c r="A133" i="1"/>
  <c r="A134" i="1"/>
  <c r="A135" i="1"/>
  <c r="A136" i="1"/>
  <c r="A137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01" i="1"/>
  <c r="A102" i="1"/>
  <c r="A103" i="1"/>
  <c r="A104" i="1"/>
  <c r="A105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" i="1"/>
  <c r="C11" i="1"/>
  <c r="B4" i="5" s="1"/>
  <c r="B4" i="2"/>
  <c r="C12" i="1"/>
  <c r="B5" i="5" s="1"/>
  <c r="B5" i="2"/>
  <c r="D11" i="1" a="1"/>
  <c r="D11" i="1"/>
  <c r="C4" i="5" s="1"/>
  <c r="O5" i="1" a="1"/>
  <c r="O5" i="1"/>
  <c r="D2" i="1"/>
  <c r="D3" i="1"/>
  <c r="D4" i="1"/>
  <c r="D5" i="1"/>
  <c r="O6" i="1"/>
  <c r="E11" i="1"/>
  <c r="O7" i="1"/>
  <c r="F11" i="1"/>
  <c r="C4" i="2"/>
  <c r="D12" i="1" a="1"/>
  <c r="C13" i="1"/>
  <c r="B6" i="5" s="1"/>
  <c r="B6" i="2"/>
  <c r="C14" i="1"/>
  <c r="B7" i="5" s="1"/>
  <c r="D12" i="1"/>
  <c r="C5" i="5" s="1"/>
  <c r="E12" i="1"/>
  <c r="F12" i="1"/>
  <c r="C5" i="2"/>
  <c r="D13" i="1" a="1"/>
  <c r="B7" i="2"/>
  <c r="C15" i="1"/>
  <c r="B8" i="5" s="1"/>
  <c r="B8" i="2"/>
  <c r="C16" i="1"/>
  <c r="B9" i="5" s="1"/>
  <c r="E13" i="1"/>
  <c r="D13" i="1"/>
  <c r="C6" i="5" s="1"/>
  <c r="F13" i="1"/>
  <c r="C6" i="2"/>
  <c r="D14" i="1" a="1"/>
  <c r="B9" i="2"/>
  <c r="C17" i="1"/>
  <c r="B10" i="5" s="1"/>
  <c r="B10" i="2"/>
  <c r="C18" i="1"/>
  <c r="B11" i="5" s="1"/>
  <c r="D14" i="1"/>
  <c r="C7" i="5" s="1"/>
  <c r="F14" i="1"/>
  <c r="E14" i="1"/>
  <c r="C7" i="2"/>
  <c r="D15" i="1" a="1"/>
  <c r="B11" i="2"/>
  <c r="C19" i="1"/>
  <c r="B12" i="5" s="1"/>
  <c r="B12" i="2"/>
  <c r="C20" i="1"/>
  <c r="B13" i="5" s="1"/>
  <c r="E15" i="1"/>
  <c r="D15" i="1"/>
  <c r="C8" i="5" s="1"/>
  <c r="F15" i="1"/>
  <c r="C8" i="2"/>
  <c r="D16" i="1" a="1"/>
  <c r="B13" i="2"/>
  <c r="C21" i="1"/>
  <c r="B14" i="5" s="1"/>
  <c r="B14" i="2"/>
  <c r="C22" i="1"/>
  <c r="B15" i="5" s="1"/>
  <c r="F16" i="1"/>
  <c r="D16" i="1"/>
  <c r="C9" i="5" s="1"/>
  <c r="E16" i="1"/>
  <c r="C9" i="2"/>
  <c r="D17" i="1" a="1"/>
  <c r="B15" i="2"/>
  <c r="C23" i="1"/>
  <c r="B16" i="5" s="1"/>
  <c r="B16" i="2"/>
  <c r="C24" i="1"/>
  <c r="B17" i="5" s="1"/>
  <c r="D17" i="1"/>
  <c r="C10" i="5" s="1"/>
  <c r="F17" i="1"/>
  <c r="E17" i="1"/>
  <c r="C10" i="2"/>
  <c r="D18" i="1" a="1"/>
  <c r="B17" i="2"/>
  <c r="C25" i="1"/>
  <c r="B18" i="5" s="1"/>
  <c r="B18" i="2"/>
  <c r="C26" i="1"/>
  <c r="B19" i="5" s="1"/>
  <c r="D18" i="1"/>
  <c r="C11" i="5" s="1"/>
  <c r="F18" i="1"/>
  <c r="E18" i="1"/>
  <c r="C11" i="2"/>
  <c r="D19" i="1" a="1"/>
  <c r="B19" i="2"/>
  <c r="C27" i="1"/>
  <c r="B20" i="5" s="1"/>
  <c r="B20" i="2"/>
  <c r="C28" i="1"/>
  <c r="B21" i="5" s="1"/>
  <c r="D19" i="1"/>
  <c r="C12" i="5" s="1"/>
  <c r="F19" i="1"/>
  <c r="E19" i="1"/>
  <c r="C12" i="2"/>
  <c r="D20" i="1" a="1"/>
  <c r="B21" i="2"/>
  <c r="C29" i="1"/>
  <c r="B22" i="5" s="1"/>
  <c r="B22" i="2"/>
  <c r="C30" i="1"/>
  <c r="B23" i="5" s="1"/>
  <c r="D20" i="1"/>
  <c r="C13" i="5" s="1"/>
  <c r="F20" i="1"/>
  <c r="E20" i="1"/>
  <c r="C13" i="2"/>
  <c r="D21" i="1" a="1"/>
  <c r="B23" i="2"/>
  <c r="C31" i="1"/>
  <c r="B24" i="5" s="1"/>
  <c r="B24" i="2"/>
  <c r="C32" i="1"/>
  <c r="B25" i="5" s="1"/>
  <c r="D21" i="1"/>
  <c r="C14" i="5" s="1"/>
  <c r="E21" i="1"/>
  <c r="F21" i="1"/>
  <c r="C14" i="2"/>
  <c r="D22" i="1" a="1"/>
  <c r="B25" i="2"/>
  <c r="C33" i="1"/>
  <c r="B26" i="5" s="1"/>
  <c r="B26" i="2"/>
  <c r="C34" i="1"/>
  <c r="B27" i="5" s="1"/>
  <c r="D22" i="1"/>
  <c r="C15" i="5" s="1"/>
  <c r="E22" i="1"/>
  <c r="F22" i="1"/>
  <c r="C15" i="2"/>
  <c r="D23" i="1" a="1"/>
  <c r="B27" i="2"/>
  <c r="C35" i="1"/>
  <c r="B28" i="5" s="1"/>
  <c r="B28" i="2"/>
  <c r="C36" i="1"/>
  <c r="B29" i="5" s="1"/>
  <c r="E23" i="1"/>
  <c r="F23" i="1"/>
  <c r="D23" i="1"/>
  <c r="C16" i="5" s="1"/>
  <c r="C16" i="2"/>
  <c r="D24" i="1" a="1"/>
  <c r="B29" i="2"/>
  <c r="C37" i="1"/>
  <c r="B30" i="5" s="1"/>
  <c r="B30" i="2"/>
  <c r="C38" i="1"/>
  <c r="B31" i="5" s="1"/>
  <c r="E24" i="1"/>
  <c r="F24" i="1"/>
  <c r="D24" i="1"/>
  <c r="C17" i="5" s="1"/>
  <c r="C17" i="2"/>
  <c r="D25" i="1" a="1"/>
  <c r="B31" i="2"/>
  <c r="C39" i="1"/>
  <c r="B32" i="5" s="1"/>
  <c r="B32" i="2"/>
  <c r="C40" i="1"/>
  <c r="B33" i="5" s="1"/>
  <c r="F25" i="1"/>
  <c r="D25" i="1"/>
  <c r="C18" i="5" s="1"/>
  <c r="E25" i="1"/>
  <c r="C18" i="2"/>
  <c r="D26" i="1" a="1"/>
  <c r="B33" i="2"/>
  <c r="C41" i="1"/>
  <c r="B34" i="5" s="1"/>
  <c r="B34" i="2"/>
  <c r="C42" i="1"/>
  <c r="B35" i="5" s="1"/>
  <c r="D26" i="1"/>
  <c r="C19" i="5" s="1"/>
  <c r="F26" i="1"/>
  <c r="E26" i="1"/>
  <c r="C19" i="2"/>
  <c r="D27" i="1" a="1"/>
  <c r="B35" i="2"/>
  <c r="C43" i="1"/>
  <c r="B36" i="5" s="1"/>
  <c r="B36" i="2"/>
  <c r="C44" i="1"/>
  <c r="B37" i="5" s="1"/>
  <c r="F27" i="1"/>
  <c r="D27" i="1"/>
  <c r="C20" i="5" s="1"/>
  <c r="E27" i="1"/>
  <c r="C20" i="2"/>
  <c r="D28" i="1" a="1"/>
  <c r="B37" i="2"/>
  <c r="C45" i="1"/>
  <c r="B38" i="5" s="1"/>
  <c r="B38" i="2"/>
  <c r="C46" i="1"/>
  <c r="B39" i="5" s="1"/>
  <c r="D28" i="1"/>
  <c r="C21" i="5" s="1"/>
  <c r="F28" i="1"/>
  <c r="E28" i="1"/>
  <c r="C21" i="2"/>
  <c r="D29" i="1" a="1"/>
  <c r="B39" i="2"/>
  <c r="C47" i="1"/>
  <c r="B40" i="5" s="1"/>
  <c r="B40" i="2"/>
  <c r="C48" i="1"/>
  <c r="B41" i="5" s="1"/>
  <c r="D29" i="1"/>
  <c r="C22" i="5" s="1"/>
  <c r="F29" i="1"/>
  <c r="E29" i="1"/>
  <c r="C22" i="2"/>
  <c r="D30" i="1" a="1"/>
  <c r="B41" i="2"/>
  <c r="C49" i="1"/>
  <c r="B42" i="5" s="1"/>
  <c r="B42" i="2"/>
  <c r="C50" i="1"/>
  <c r="B43" i="5" s="1"/>
  <c r="E30" i="1"/>
  <c r="F30" i="1"/>
  <c r="D30" i="1"/>
  <c r="C23" i="5" s="1"/>
  <c r="C23" i="2"/>
  <c r="D31" i="1" a="1"/>
  <c r="B43" i="2"/>
  <c r="C51" i="1"/>
  <c r="B44" i="5" s="1"/>
  <c r="B44" i="2"/>
  <c r="C52" i="1"/>
  <c r="B45" i="5" s="1"/>
  <c r="F31" i="1"/>
  <c r="E31" i="1"/>
  <c r="D31" i="1"/>
  <c r="C24" i="5" s="1"/>
  <c r="C24" i="2"/>
  <c r="D32" i="1" a="1"/>
  <c r="B45" i="2"/>
  <c r="C53" i="1"/>
  <c r="B46" i="5" s="1"/>
  <c r="B46" i="2"/>
  <c r="C54" i="1"/>
  <c r="B47" i="5" s="1"/>
  <c r="D32" i="1"/>
  <c r="C25" i="5" s="1"/>
  <c r="E32" i="1"/>
  <c r="F32" i="1"/>
  <c r="C25" i="2"/>
  <c r="D33" i="1" a="1"/>
  <c r="B47" i="2"/>
  <c r="C55" i="1"/>
  <c r="B48" i="5" s="1"/>
  <c r="B48" i="2"/>
  <c r="C56" i="1"/>
  <c r="B49" i="5" s="1"/>
  <c r="F33" i="1"/>
  <c r="D33" i="1"/>
  <c r="C26" i="5" s="1"/>
  <c r="E33" i="1"/>
  <c r="C26" i="2"/>
  <c r="D34" i="1" a="1"/>
  <c r="B49" i="2"/>
  <c r="C57" i="1"/>
  <c r="B50" i="5" s="1"/>
  <c r="B50" i="2"/>
  <c r="C58" i="1"/>
  <c r="B51" i="5" s="1"/>
  <c r="D34" i="1"/>
  <c r="C27" i="5" s="1"/>
  <c r="E34" i="1"/>
  <c r="F34" i="1"/>
  <c r="C27" i="2"/>
  <c r="D35" i="1" a="1"/>
  <c r="B51" i="2"/>
  <c r="C59" i="1"/>
  <c r="B52" i="2"/>
  <c r="C60" i="1"/>
  <c r="F35" i="1"/>
  <c r="D35" i="1"/>
  <c r="C28" i="5" s="1"/>
  <c r="E35" i="1"/>
  <c r="C28" i="2"/>
  <c r="D36" i="1" a="1"/>
  <c r="B53" i="2"/>
  <c r="C61" i="1"/>
  <c r="B54" i="2"/>
  <c r="C62" i="1"/>
  <c r="D36" i="1"/>
  <c r="C29" i="5" s="1"/>
  <c r="E36" i="1"/>
  <c r="F36" i="1"/>
  <c r="C29" i="2"/>
  <c r="D37" i="1" a="1"/>
  <c r="B55" i="2"/>
  <c r="C63" i="1"/>
  <c r="B56" i="2"/>
  <c r="C64" i="1"/>
  <c r="F37" i="1"/>
  <c r="D37" i="1"/>
  <c r="C30" i="5" s="1"/>
  <c r="E37" i="1"/>
  <c r="C30" i="2"/>
  <c r="D38" i="1" a="1"/>
  <c r="B57" i="2"/>
  <c r="C65" i="1"/>
  <c r="B58" i="2"/>
  <c r="C66" i="1"/>
  <c r="D38" i="1"/>
  <c r="C31" i="5" s="1"/>
  <c r="E38" i="1"/>
  <c r="F38" i="1"/>
  <c r="B59" i="2"/>
  <c r="C67" i="1"/>
  <c r="C31" i="2"/>
  <c r="D39" i="1" a="1"/>
  <c r="F39" i="1"/>
  <c r="E39" i="1"/>
  <c r="D39" i="1"/>
  <c r="C32" i="5" s="1"/>
  <c r="B60" i="2"/>
  <c r="C68" i="1"/>
  <c r="B61" i="2"/>
  <c r="C69" i="1"/>
  <c r="C32" i="2"/>
  <c r="D40" i="1" a="1"/>
  <c r="F40" i="1"/>
  <c r="E40" i="1"/>
  <c r="D40" i="1"/>
  <c r="C33" i="5" s="1"/>
  <c r="B62" i="2"/>
  <c r="C70" i="1"/>
  <c r="B63" i="2"/>
  <c r="C71" i="1"/>
  <c r="C33" i="2"/>
  <c r="D41" i="1" a="1"/>
  <c r="F41" i="1"/>
  <c r="D41" i="1"/>
  <c r="C34" i="5" s="1"/>
  <c r="E41" i="1"/>
  <c r="B64" i="2"/>
  <c r="C72" i="1"/>
  <c r="B65" i="2"/>
  <c r="C73" i="1"/>
  <c r="C34" i="2"/>
  <c r="D42" i="1" a="1"/>
  <c r="D42" i="1"/>
  <c r="C35" i="5" s="1"/>
  <c r="E42" i="1"/>
  <c r="F42" i="1"/>
  <c r="B66" i="2"/>
  <c r="C74" i="1"/>
  <c r="B67" i="2"/>
  <c r="C75" i="1"/>
  <c r="C35" i="2"/>
  <c r="D43" i="1" a="1"/>
  <c r="F43" i="1"/>
  <c r="D43" i="1"/>
  <c r="C36" i="5" s="1"/>
  <c r="E43" i="1"/>
  <c r="B68" i="2"/>
  <c r="C76" i="1"/>
  <c r="B69" i="2"/>
  <c r="C77" i="1"/>
  <c r="C36" i="2"/>
  <c r="D44" i="1" a="1"/>
  <c r="D44" i="1"/>
  <c r="C37" i="5" s="1"/>
  <c r="F44" i="1"/>
  <c r="E44" i="1"/>
  <c r="B70" i="2"/>
  <c r="C78" i="1"/>
  <c r="B71" i="2"/>
  <c r="C79" i="1"/>
  <c r="C37" i="2"/>
  <c r="D45" i="1" a="1"/>
  <c r="E45" i="1"/>
  <c r="F45" i="1"/>
  <c r="D45" i="1"/>
  <c r="C38" i="5" s="1"/>
  <c r="B72" i="2"/>
  <c r="C80" i="1"/>
  <c r="B73" i="2"/>
  <c r="C81" i="1"/>
  <c r="C38" i="2"/>
  <c r="D46" i="1" a="1"/>
  <c r="F46" i="1"/>
  <c r="D46" i="1"/>
  <c r="C39" i="5" s="1"/>
  <c r="E46" i="1"/>
  <c r="B74" i="2"/>
  <c r="C82" i="1"/>
  <c r="B75" i="2"/>
  <c r="C83" i="1"/>
  <c r="C39" i="2"/>
  <c r="D47" i="1" a="1"/>
  <c r="F47" i="1"/>
  <c r="D47" i="1"/>
  <c r="C40" i="5" s="1"/>
  <c r="E47" i="1"/>
  <c r="B76" i="2"/>
  <c r="C84" i="1"/>
  <c r="C85" i="1"/>
  <c r="B77" i="2"/>
  <c r="C40" i="2"/>
  <c r="D48" i="1" a="1"/>
  <c r="B78" i="2"/>
  <c r="C86" i="1"/>
  <c r="D48" i="1"/>
  <c r="C41" i="5" s="1"/>
  <c r="E48" i="1"/>
  <c r="F48" i="1"/>
  <c r="C41" i="2"/>
  <c r="D49" i="1" a="1"/>
  <c r="C87" i="1"/>
  <c r="B79" i="2"/>
  <c r="B80" i="2"/>
  <c r="C88" i="1"/>
  <c r="E49" i="1"/>
  <c r="F49" i="1"/>
  <c r="D49" i="1"/>
  <c r="C42" i="5" s="1"/>
  <c r="C42" i="2"/>
  <c r="D50" i="1" a="1"/>
  <c r="C89" i="1"/>
  <c r="B81" i="2"/>
  <c r="B82" i="2"/>
  <c r="C90" i="1"/>
  <c r="E50" i="1"/>
  <c r="F50" i="1"/>
  <c r="D50" i="1"/>
  <c r="C43" i="5" s="1"/>
  <c r="C91" i="1"/>
  <c r="B83" i="2"/>
  <c r="C43" i="2"/>
  <c r="D51" i="1" a="1"/>
  <c r="B84" i="2"/>
  <c r="C92" i="1"/>
  <c r="F51" i="1"/>
  <c r="D51" i="1"/>
  <c r="C44" i="5" s="1"/>
  <c r="E51" i="1"/>
  <c r="C44" i="2"/>
  <c r="D52" i="1" a="1"/>
  <c r="C93" i="1"/>
  <c r="B85" i="2"/>
  <c r="B86" i="2"/>
  <c r="C94" i="1"/>
  <c r="D52" i="1"/>
  <c r="C45" i="5" s="1"/>
  <c r="E52" i="1"/>
  <c r="F52" i="1"/>
  <c r="C45" i="2"/>
  <c r="D53" i="1" a="1"/>
  <c r="C95" i="1"/>
  <c r="B87" i="2"/>
  <c r="B88" i="2"/>
  <c r="C96" i="1"/>
  <c r="F53" i="1"/>
  <c r="D53" i="1"/>
  <c r="C46" i="5" s="1"/>
  <c r="E53" i="1"/>
  <c r="C46" i="2"/>
  <c r="D54" i="1" a="1"/>
  <c r="C97" i="1"/>
  <c r="B89" i="2"/>
  <c r="B90" i="2"/>
  <c r="C98" i="1"/>
  <c r="D54" i="1"/>
  <c r="C47" i="5" s="1"/>
  <c r="E54" i="1"/>
  <c r="F54" i="1"/>
  <c r="C47" i="2"/>
  <c r="D55" i="1" a="1"/>
  <c r="C99" i="1"/>
  <c r="B91" i="2"/>
  <c r="B92" i="2"/>
  <c r="C100" i="1"/>
  <c r="D55" i="1"/>
  <c r="C48" i="5" s="1"/>
  <c r="E55" i="1"/>
  <c r="F55" i="1"/>
  <c r="C48" i="2"/>
  <c r="D56" i="1" a="1"/>
  <c r="C101" i="1"/>
  <c r="B93" i="2"/>
  <c r="B94" i="2"/>
  <c r="C102" i="1"/>
  <c r="D56" i="1"/>
  <c r="C49" i="5" s="1"/>
  <c r="E56" i="1"/>
  <c r="F56" i="1"/>
  <c r="C49" i="2"/>
  <c r="D57" i="1" a="1"/>
  <c r="C103" i="1"/>
  <c r="B95" i="2"/>
  <c r="B96" i="2"/>
  <c r="C104" i="1"/>
  <c r="D57" i="1"/>
  <c r="C50" i="5" s="1"/>
  <c r="E57" i="1"/>
  <c r="F57" i="1"/>
  <c r="C50" i="2"/>
  <c r="D58" i="1" a="1"/>
  <c r="C105" i="1"/>
  <c r="B97" i="2"/>
  <c r="B98" i="2"/>
  <c r="C106" i="1"/>
  <c r="D58" i="1"/>
  <c r="E58" i="1"/>
  <c r="F58" i="1"/>
  <c r="C51" i="2"/>
  <c r="D59" i="1" a="1"/>
  <c r="C107" i="1"/>
  <c r="B99" i="2"/>
  <c r="B100" i="2"/>
  <c r="C108" i="1"/>
  <c r="D59" i="1"/>
  <c r="F59" i="1"/>
  <c r="E59" i="1"/>
  <c r="C52" i="2"/>
  <c r="D60" i="1" a="1"/>
  <c r="C109" i="1"/>
  <c r="B101" i="2"/>
  <c r="B102" i="2"/>
  <c r="C110" i="1"/>
  <c r="E60" i="1"/>
  <c r="F60" i="1"/>
  <c r="D60" i="1"/>
  <c r="C53" i="2"/>
  <c r="D61" i="1" a="1"/>
  <c r="C111" i="1"/>
  <c r="B103" i="2"/>
  <c r="B104" i="2"/>
  <c r="C112" i="1"/>
  <c r="F61" i="1"/>
  <c r="D61" i="1"/>
  <c r="E61" i="1"/>
  <c r="C54" i="2"/>
  <c r="D62" i="1" a="1"/>
  <c r="C113" i="1"/>
  <c r="B105" i="2"/>
  <c r="B106" i="2"/>
  <c r="C114" i="1"/>
  <c r="F62" i="1"/>
  <c r="D62" i="1"/>
  <c r="E62" i="1"/>
  <c r="C55" i="2"/>
  <c r="D63" i="1" a="1"/>
  <c r="C115" i="1"/>
  <c r="B107" i="2"/>
  <c r="B108" i="2"/>
  <c r="C116" i="1"/>
  <c r="D63" i="1"/>
  <c r="E63" i="1"/>
  <c r="F63" i="1"/>
  <c r="C56" i="2"/>
  <c r="D64" i="1" a="1"/>
  <c r="C117" i="1"/>
  <c r="B109" i="2"/>
  <c r="B110" i="2"/>
  <c r="C118" i="1"/>
  <c r="F64" i="1"/>
  <c r="D64" i="1"/>
  <c r="E64" i="1"/>
  <c r="C57" i="2"/>
  <c r="D65" i="1" a="1"/>
  <c r="C119" i="1"/>
  <c r="B111" i="2"/>
  <c r="B112" i="2"/>
  <c r="C120" i="1"/>
  <c r="D65" i="1"/>
  <c r="E65" i="1"/>
  <c r="F65" i="1"/>
  <c r="C58" i="2"/>
  <c r="D66" i="1" a="1"/>
  <c r="C121" i="1"/>
  <c r="B113" i="2"/>
  <c r="B114" i="2"/>
  <c r="C122" i="1"/>
  <c r="E66" i="1"/>
  <c r="F66" i="1"/>
  <c r="D66" i="1"/>
  <c r="C59" i="2"/>
  <c r="D67" i="1" a="1"/>
  <c r="C123" i="1"/>
  <c r="B115" i="2"/>
  <c r="B116" i="2"/>
  <c r="C124" i="1"/>
  <c r="F67" i="1"/>
  <c r="D67" i="1"/>
  <c r="E67" i="1"/>
  <c r="C60" i="2"/>
  <c r="D68" i="1" a="1"/>
  <c r="C125" i="1"/>
  <c r="B117" i="2"/>
  <c r="B118" i="2"/>
  <c r="C126" i="1"/>
  <c r="E68" i="1"/>
  <c r="F68" i="1"/>
  <c r="D68" i="1"/>
  <c r="C61" i="2"/>
  <c r="D69" i="1" a="1"/>
  <c r="C127" i="1"/>
  <c r="B119" i="2"/>
  <c r="B120" i="2"/>
  <c r="C128" i="1"/>
  <c r="F69" i="1"/>
  <c r="D69" i="1"/>
  <c r="E69" i="1"/>
  <c r="C62" i="2"/>
  <c r="D70" i="1" a="1"/>
  <c r="C129" i="1"/>
  <c r="B121" i="2"/>
  <c r="B122" i="2"/>
  <c r="C130" i="1"/>
  <c r="E70" i="1"/>
  <c r="F70" i="1"/>
  <c r="D70" i="1"/>
  <c r="C63" i="2"/>
  <c r="D71" i="1" a="1"/>
  <c r="C131" i="1"/>
  <c r="B123" i="2"/>
  <c r="B124" i="2"/>
  <c r="C132" i="1"/>
  <c r="F71" i="1"/>
  <c r="D71" i="1"/>
  <c r="E71" i="1"/>
  <c r="C64" i="2"/>
  <c r="D72" i="1" a="1"/>
  <c r="C133" i="1"/>
  <c r="B125" i="2"/>
  <c r="B126" i="2"/>
  <c r="C134" i="1"/>
  <c r="E72" i="1"/>
  <c r="F72" i="1"/>
  <c r="D72" i="1"/>
  <c r="C65" i="2"/>
  <c r="D73" i="1" a="1"/>
  <c r="C135" i="1"/>
  <c r="B127" i="2"/>
  <c r="F73" i="1"/>
  <c r="D73" i="1"/>
  <c r="E73" i="1"/>
  <c r="B128" i="2"/>
  <c r="C136" i="1"/>
  <c r="C137" i="1"/>
  <c r="B130" i="2"/>
  <c r="B129" i="2"/>
  <c r="C66" i="2"/>
  <c r="D74" i="1" a="1"/>
  <c r="E74" i="1"/>
  <c r="F74" i="1"/>
  <c r="D74" i="1"/>
  <c r="C67" i="2"/>
  <c r="D75" i="1" a="1"/>
  <c r="F75" i="1"/>
  <c r="D75" i="1"/>
  <c r="E75" i="1"/>
  <c r="C68" i="2"/>
  <c r="D76" i="1" a="1"/>
  <c r="F76" i="1"/>
  <c r="D76" i="1"/>
  <c r="E76" i="1"/>
  <c r="C69" i="2"/>
  <c r="D77" i="1" a="1"/>
  <c r="F77" i="1"/>
  <c r="D77" i="1"/>
  <c r="E77" i="1"/>
  <c r="C70" i="2"/>
  <c r="D78" i="1" a="1"/>
  <c r="F78" i="1"/>
  <c r="E78" i="1"/>
  <c r="D78" i="1"/>
  <c r="C71" i="2"/>
  <c r="D79" i="1" a="1"/>
  <c r="F79" i="1"/>
  <c r="D79" i="1"/>
  <c r="E79" i="1"/>
  <c r="C72" i="2"/>
  <c r="D80" i="1" a="1"/>
  <c r="E80" i="1"/>
  <c r="F80" i="1"/>
  <c r="D80" i="1"/>
  <c r="C73" i="2"/>
  <c r="D81" i="1" a="1"/>
  <c r="F81" i="1"/>
  <c r="D81" i="1"/>
  <c r="E81" i="1"/>
  <c r="C74" i="2"/>
  <c r="D82" i="1" a="1"/>
  <c r="E82" i="1"/>
  <c r="F82" i="1"/>
  <c r="D82" i="1"/>
  <c r="C75" i="2"/>
  <c r="D83" i="1" a="1"/>
  <c r="F83" i="1"/>
  <c r="D83" i="1"/>
  <c r="E83" i="1"/>
  <c r="C76" i="2"/>
  <c r="D84" i="1" a="1"/>
  <c r="D84" i="1"/>
  <c r="F84" i="1"/>
  <c r="E84" i="1"/>
  <c r="C77" i="2"/>
  <c r="D85" i="1" a="1"/>
  <c r="F85" i="1"/>
  <c r="D85" i="1"/>
  <c r="E85" i="1"/>
  <c r="C78" i="2"/>
  <c r="D86" i="1" a="1"/>
  <c r="F86" i="1"/>
  <c r="E86" i="1"/>
  <c r="D86" i="1"/>
  <c r="C79" i="2"/>
  <c r="D87" i="1" a="1"/>
  <c r="F87" i="1"/>
  <c r="D87" i="1"/>
  <c r="E87" i="1"/>
  <c r="C80" i="2"/>
  <c r="D88" i="1" a="1"/>
  <c r="F88" i="1"/>
  <c r="E88" i="1"/>
  <c r="D88" i="1"/>
  <c r="C81" i="2"/>
  <c r="D89" i="1" a="1"/>
  <c r="F89" i="1"/>
  <c r="D89" i="1"/>
  <c r="E89" i="1"/>
  <c r="C82" i="2"/>
  <c r="D90" i="1" a="1"/>
  <c r="F90" i="1"/>
  <c r="E90" i="1"/>
  <c r="D90" i="1"/>
  <c r="C83" i="2"/>
  <c r="D91" i="1" a="1"/>
  <c r="D91" i="1"/>
  <c r="E91" i="1"/>
  <c r="F91" i="1"/>
  <c r="C84" i="2"/>
  <c r="D92" i="1" a="1"/>
  <c r="F92" i="1"/>
  <c r="E92" i="1"/>
  <c r="D92" i="1"/>
  <c r="C85" i="2"/>
  <c r="D93" i="1" a="1"/>
  <c r="F93" i="1"/>
  <c r="D93" i="1"/>
  <c r="E93" i="1"/>
  <c r="C86" i="2"/>
  <c r="D94" i="1" a="1"/>
  <c r="F94" i="1"/>
  <c r="E94" i="1"/>
  <c r="D94" i="1"/>
  <c r="C87" i="2"/>
  <c r="D95" i="1" a="1"/>
  <c r="F95" i="1"/>
  <c r="E95" i="1"/>
  <c r="D95" i="1"/>
  <c r="C88" i="2"/>
  <c r="D96" i="1" a="1"/>
  <c r="D96" i="1"/>
  <c r="E96" i="1"/>
  <c r="F96" i="1"/>
  <c r="C89" i="2"/>
  <c r="D97" i="1" a="1"/>
  <c r="D97" i="1"/>
  <c r="F97" i="1"/>
  <c r="E97" i="1"/>
  <c r="C90" i="2"/>
  <c r="D98" i="1" a="1"/>
  <c r="F98" i="1"/>
  <c r="D98" i="1"/>
  <c r="E98" i="1"/>
  <c r="C91" i="2"/>
  <c r="D99" i="1" a="1"/>
  <c r="D99" i="1"/>
  <c r="F99" i="1"/>
  <c r="E99" i="1"/>
  <c r="C92" i="2"/>
  <c r="D100" i="1" a="1"/>
  <c r="D100" i="1"/>
  <c r="E100" i="1"/>
  <c r="F100" i="1"/>
  <c r="C93" i="2"/>
  <c r="D101" i="1" a="1"/>
  <c r="D101" i="1"/>
  <c r="F101" i="1"/>
  <c r="E101" i="1"/>
  <c r="C94" i="2"/>
  <c r="D102" i="1" a="1"/>
  <c r="F102" i="1"/>
  <c r="E102" i="1"/>
  <c r="D102" i="1"/>
  <c r="C95" i="2"/>
  <c r="D103" i="1" a="1"/>
  <c r="F103" i="1"/>
  <c r="E103" i="1"/>
  <c r="D103" i="1"/>
  <c r="C96" i="2"/>
  <c r="D104" i="1" a="1"/>
  <c r="F104" i="1"/>
  <c r="E104" i="1"/>
  <c r="D104" i="1"/>
  <c r="C97" i="2"/>
  <c r="D105" i="1" a="1"/>
  <c r="D105" i="1"/>
  <c r="F105" i="1"/>
  <c r="E105" i="1"/>
  <c r="C98" i="2"/>
  <c r="D106" i="1" a="1"/>
  <c r="E106" i="1"/>
  <c r="F106" i="1"/>
  <c r="D106" i="1"/>
  <c r="C99" i="2"/>
  <c r="D107" i="1" a="1"/>
  <c r="D107" i="1"/>
  <c r="F107" i="1"/>
  <c r="E107" i="1"/>
  <c r="C100" i="2"/>
  <c r="D108" i="1" a="1"/>
  <c r="D108" i="1"/>
  <c r="F108" i="1"/>
  <c r="E108" i="1"/>
  <c r="C101" i="2"/>
  <c r="D109" i="1" a="1"/>
  <c r="D109" i="1"/>
  <c r="F109" i="1"/>
  <c r="E109" i="1"/>
  <c r="C102" i="2"/>
  <c r="D110" i="1" a="1"/>
  <c r="F110" i="1"/>
  <c r="E110" i="1"/>
  <c r="D110" i="1"/>
  <c r="C103" i="2"/>
  <c r="D111" i="1" a="1"/>
  <c r="F111" i="1"/>
  <c r="E111" i="1"/>
  <c r="D111" i="1"/>
  <c r="C104" i="2"/>
  <c r="D112" i="1" a="1"/>
  <c r="D112" i="1"/>
  <c r="F112" i="1"/>
  <c r="E112" i="1"/>
  <c r="C105" i="2"/>
  <c r="D113" i="1" a="1"/>
  <c r="D113" i="1"/>
  <c r="F113" i="1"/>
  <c r="E113" i="1"/>
  <c r="C106" i="2"/>
  <c r="D114" i="1" a="1"/>
  <c r="D114" i="1"/>
  <c r="F114" i="1"/>
  <c r="E114" i="1"/>
  <c r="C107" i="2"/>
  <c r="D115" i="1" a="1"/>
  <c r="D115" i="1"/>
  <c r="F115" i="1"/>
  <c r="E115" i="1"/>
  <c r="C108" i="2"/>
  <c r="D116" i="1" a="1"/>
  <c r="D116" i="1"/>
  <c r="F116" i="1"/>
  <c r="E116" i="1"/>
  <c r="C109" i="2"/>
  <c r="D117" i="1" a="1"/>
  <c r="D117" i="1"/>
  <c r="F117" i="1"/>
  <c r="E117" i="1"/>
  <c r="C110" i="2"/>
  <c r="D118" i="1" a="1"/>
  <c r="D118" i="1"/>
  <c r="F118" i="1"/>
  <c r="E118" i="1"/>
  <c r="C111" i="2"/>
  <c r="D119" i="1" a="1"/>
  <c r="D119" i="1"/>
  <c r="F119" i="1"/>
  <c r="E119" i="1"/>
  <c r="C112" i="2"/>
  <c r="D120" i="1" a="1"/>
  <c r="D120" i="1"/>
  <c r="F120" i="1"/>
  <c r="E120" i="1"/>
  <c r="C113" i="2"/>
  <c r="D121" i="1" a="1"/>
  <c r="D121" i="1"/>
  <c r="F121" i="1"/>
  <c r="E121" i="1"/>
  <c r="C114" i="2"/>
  <c r="D122" i="1" a="1"/>
  <c r="F122" i="1"/>
  <c r="E122" i="1"/>
  <c r="D122" i="1"/>
  <c r="C115" i="2"/>
  <c r="D123" i="1" a="1"/>
  <c r="F123" i="1"/>
  <c r="E123" i="1"/>
  <c r="D123" i="1"/>
  <c r="C116" i="2"/>
  <c r="D124" i="1" a="1"/>
  <c r="F124" i="1"/>
  <c r="E124" i="1"/>
  <c r="D124" i="1"/>
  <c r="C117" i="2"/>
  <c r="D125" i="1" a="1"/>
  <c r="D125" i="1"/>
  <c r="F125" i="1"/>
  <c r="E125" i="1"/>
  <c r="C118" i="2"/>
  <c r="D126" i="1" a="1"/>
  <c r="D126" i="1"/>
  <c r="F126" i="1"/>
  <c r="E126" i="1"/>
  <c r="C119" i="2"/>
  <c r="D127" i="1" a="1"/>
  <c r="D127" i="1"/>
  <c r="F127" i="1"/>
  <c r="E127" i="1"/>
  <c r="C120" i="2"/>
  <c r="D128" i="1" a="1"/>
  <c r="F128" i="1"/>
  <c r="E128" i="1"/>
  <c r="D128" i="1"/>
  <c r="C121" i="2"/>
  <c r="D129" i="1" a="1"/>
  <c r="F129" i="1"/>
  <c r="E129" i="1"/>
  <c r="D129" i="1"/>
  <c r="C122" i="2"/>
  <c r="D130" i="1" a="1"/>
  <c r="F130" i="1"/>
  <c r="E130" i="1"/>
  <c r="D130" i="1"/>
  <c r="C123" i="2"/>
  <c r="D131" i="1" a="1"/>
  <c r="D131" i="1"/>
  <c r="F131" i="1"/>
  <c r="E131" i="1"/>
  <c r="C124" i="2"/>
  <c r="D132" i="1" a="1"/>
  <c r="D132" i="1"/>
  <c r="F132" i="1"/>
  <c r="E132" i="1"/>
  <c r="C125" i="2"/>
  <c r="D133" i="1" a="1"/>
  <c r="F133" i="1"/>
  <c r="E133" i="1"/>
  <c r="D133" i="1"/>
  <c r="C126" i="2"/>
  <c r="D134" i="1" a="1"/>
  <c r="F134" i="1"/>
  <c r="E134" i="1"/>
  <c r="D134" i="1"/>
  <c r="C127" i="2"/>
  <c r="D135" i="1" a="1"/>
  <c r="F135" i="1"/>
  <c r="E135" i="1"/>
  <c r="D135" i="1"/>
  <c r="C128" i="2"/>
  <c r="D136" i="1" a="1"/>
  <c r="F136" i="1"/>
  <c r="E136" i="1"/>
  <c r="D136" i="1"/>
  <c r="C129" i="2"/>
  <c r="D137" i="1" a="1"/>
  <c r="F137" i="1"/>
  <c r="E137" i="1"/>
  <c r="D137" i="1"/>
  <c r="C130" i="2"/>
  <c r="D3" i="5"/>
  <c r="D50" i="5"/>
  <c r="D48" i="5"/>
  <c r="D46" i="5"/>
  <c r="D44" i="5"/>
  <c r="D42" i="5"/>
  <c r="D40" i="5"/>
  <c r="D38" i="5"/>
  <c r="D36" i="5"/>
  <c r="D34" i="5"/>
  <c r="D32" i="5"/>
  <c r="D30" i="5"/>
  <c r="D28" i="5"/>
  <c r="D26" i="5"/>
  <c r="D24" i="5"/>
  <c r="D22" i="5"/>
  <c r="D20" i="5"/>
  <c r="D18" i="5"/>
  <c r="D16" i="5"/>
  <c r="D14" i="5"/>
  <c r="D12" i="5"/>
  <c r="D10" i="5"/>
  <c r="D8" i="5"/>
  <c r="D6" i="5"/>
  <c r="D4" i="5"/>
  <c r="D51" i="5"/>
  <c r="D49" i="5"/>
  <c r="D47" i="5"/>
  <c r="D45" i="5"/>
  <c r="D43" i="5"/>
  <c r="D41" i="5"/>
  <c r="D39" i="5"/>
  <c r="D37" i="5"/>
  <c r="D35" i="5"/>
  <c r="D33" i="5"/>
  <c r="D31" i="5"/>
  <c r="D29" i="5"/>
  <c r="D27" i="5"/>
  <c r="D25" i="5"/>
  <c r="D23" i="5"/>
  <c r="D21" i="5"/>
  <c r="D19" i="5"/>
  <c r="D17" i="5"/>
  <c r="D15" i="5"/>
  <c r="D13" i="5"/>
  <c r="D11" i="5"/>
  <c r="D9" i="5"/>
  <c r="D7" i="5"/>
  <c r="F3" i="2" a="1"/>
  <c r="G3" i="2" l="1"/>
  <c r="G5" i="2"/>
  <c r="G7" i="2"/>
  <c r="G9" i="2"/>
  <c r="G11" i="2"/>
  <c r="G13" i="2"/>
  <c r="G15" i="2"/>
  <c r="G17" i="2"/>
  <c r="G19" i="2"/>
  <c r="G21" i="2"/>
  <c r="G23" i="2"/>
  <c r="G25" i="2"/>
  <c r="G27" i="2"/>
  <c r="G29" i="2"/>
  <c r="G31" i="2"/>
  <c r="G33" i="2"/>
  <c r="G35" i="2"/>
  <c r="G37" i="2"/>
  <c r="G39" i="2"/>
  <c r="G41" i="2"/>
  <c r="G43" i="2"/>
  <c r="G45" i="2"/>
  <c r="G47" i="2"/>
  <c r="G49" i="2"/>
  <c r="G51" i="2"/>
  <c r="G53" i="2"/>
  <c r="G55" i="2"/>
  <c r="G57" i="2"/>
  <c r="G59" i="2"/>
  <c r="G61" i="2"/>
  <c r="G63" i="2"/>
  <c r="G65" i="2"/>
  <c r="G67" i="2"/>
  <c r="G69" i="2"/>
  <c r="G71" i="2"/>
  <c r="G73" i="2"/>
  <c r="G75" i="2"/>
  <c r="G4" i="2"/>
  <c r="F5" i="2"/>
  <c r="K5" i="2" s="1"/>
  <c r="H5" i="2"/>
  <c r="G8" i="2"/>
  <c r="F9" i="2"/>
  <c r="K9" i="2" s="1"/>
  <c r="H9" i="2"/>
  <c r="G12" i="2"/>
  <c r="F13" i="2"/>
  <c r="K13" i="2" s="1"/>
  <c r="H13" i="2"/>
  <c r="G16" i="2"/>
  <c r="F17" i="2"/>
  <c r="K17" i="2" s="1"/>
  <c r="H17" i="2"/>
  <c r="G20" i="2"/>
  <c r="F21" i="2"/>
  <c r="K21" i="2" s="1"/>
  <c r="H21" i="2"/>
  <c r="G24" i="2"/>
  <c r="F25" i="2"/>
  <c r="K25" i="2" s="1"/>
  <c r="H25" i="2"/>
  <c r="G28" i="2"/>
  <c r="F29" i="2"/>
  <c r="K29" i="2" s="1"/>
  <c r="H29" i="2"/>
  <c r="G32" i="2"/>
  <c r="F33" i="2"/>
  <c r="K33" i="2" s="1"/>
  <c r="H33" i="2"/>
  <c r="G36" i="2"/>
  <c r="F37" i="2"/>
  <c r="K37" i="2" s="1"/>
  <c r="H37" i="2"/>
  <c r="G40" i="2"/>
  <c r="F41" i="2"/>
  <c r="K41" i="2" s="1"/>
  <c r="H41" i="2"/>
  <c r="G44" i="2"/>
  <c r="F45" i="2"/>
  <c r="K45" i="2" s="1"/>
  <c r="H45" i="2"/>
  <c r="G48" i="2"/>
  <c r="F49" i="2"/>
  <c r="K49" i="2" s="1"/>
  <c r="H49" i="2"/>
  <c r="G52" i="2"/>
  <c r="F53" i="2"/>
  <c r="K53" i="2" s="1"/>
  <c r="H53" i="2"/>
  <c r="G56" i="2"/>
  <c r="F57" i="2"/>
  <c r="K57" i="2" s="1"/>
  <c r="H57" i="2"/>
  <c r="G60" i="2"/>
  <c r="F61" i="2"/>
  <c r="K61" i="2" s="1"/>
  <c r="H61" i="2"/>
  <c r="G64" i="2"/>
  <c r="F65" i="2"/>
  <c r="K65" i="2" s="1"/>
  <c r="H65" i="2"/>
  <c r="G68" i="2"/>
  <c r="F4" i="2"/>
  <c r="K4" i="2" s="1"/>
  <c r="H4" i="2"/>
  <c r="F6" i="2"/>
  <c r="K6" i="2" s="1"/>
  <c r="H6" i="2"/>
  <c r="F8" i="2"/>
  <c r="K8" i="2" s="1"/>
  <c r="H8" i="2"/>
  <c r="F10" i="2"/>
  <c r="K10" i="2" s="1"/>
  <c r="H10" i="2"/>
  <c r="F12" i="2"/>
  <c r="K12" i="2" s="1"/>
  <c r="H12" i="2"/>
  <c r="F14" i="2"/>
  <c r="K14" i="2" s="1"/>
  <c r="H14" i="2"/>
  <c r="F16" i="2"/>
  <c r="K16" i="2" s="1"/>
  <c r="H16" i="2"/>
  <c r="F18" i="2"/>
  <c r="K18" i="2" s="1"/>
  <c r="H18" i="2"/>
  <c r="F20" i="2"/>
  <c r="K20" i="2" s="1"/>
  <c r="H20" i="2"/>
  <c r="F22" i="2"/>
  <c r="K22" i="2" s="1"/>
  <c r="H22" i="2"/>
  <c r="F24" i="2"/>
  <c r="K24" i="2" s="1"/>
  <c r="H24" i="2"/>
  <c r="F26" i="2"/>
  <c r="K26" i="2" s="1"/>
  <c r="H26" i="2"/>
  <c r="F28" i="2"/>
  <c r="K28" i="2" s="1"/>
  <c r="H28" i="2"/>
  <c r="F30" i="2"/>
  <c r="K30" i="2" s="1"/>
  <c r="H30" i="2"/>
  <c r="F32" i="2"/>
  <c r="K32" i="2" s="1"/>
  <c r="H32" i="2"/>
  <c r="F34" i="2"/>
  <c r="K34" i="2" s="1"/>
  <c r="H34" i="2"/>
  <c r="F36" i="2"/>
  <c r="K36" i="2" s="1"/>
  <c r="H36" i="2"/>
  <c r="F38" i="2"/>
  <c r="K38" i="2" s="1"/>
  <c r="H38" i="2"/>
  <c r="F40" i="2"/>
  <c r="K40" i="2" s="1"/>
  <c r="H40" i="2"/>
  <c r="F42" i="2"/>
  <c r="K42" i="2" s="1"/>
  <c r="H42" i="2"/>
  <c r="F44" i="2"/>
  <c r="K44" i="2" s="1"/>
  <c r="H44" i="2"/>
  <c r="F46" i="2"/>
  <c r="K46" i="2" s="1"/>
  <c r="H46" i="2"/>
  <c r="F48" i="2"/>
  <c r="K48" i="2" s="1"/>
  <c r="H48" i="2"/>
  <c r="F50" i="2"/>
  <c r="K50" i="2" s="1"/>
  <c r="H50" i="2"/>
  <c r="F52" i="2"/>
  <c r="K52" i="2" s="1"/>
  <c r="H52" i="2"/>
  <c r="F54" i="2"/>
  <c r="K54" i="2" s="1"/>
  <c r="H54" i="2"/>
  <c r="F56" i="2"/>
  <c r="K56" i="2" s="1"/>
  <c r="H56" i="2"/>
  <c r="F58" i="2"/>
  <c r="K58" i="2" s="1"/>
  <c r="H58" i="2"/>
  <c r="F60" i="2"/>
  <c r="K60" i="2" s="1"/>
  <c r="H60" i="2"/>
  <c r="F62" i="2"/>
  <c r="K62" i="2" s="1"/>
  <c r="H62" i="2"/>
  <c r="F64" i="2"/>
  <c r="K64" i="2" s="1"/>
  <c r="H64" i="2"/>
  <c r="F66" i="2"/>
  <c r="K66" i="2" s="1"/>
  <c r="H66" i="2"/>
  <c r="F68" i="2"/>
  <c r="K68" i="2" s="1"/>
  <c r="H68" i="2"/>
  <c r="F70" i="2"/>
  <c r="K70" i="2" s="1"/>
  <c r="H70" i="2"/>
  <c r="F72" i="2"/>
  <c r="K72" i="2" s="1"/>
  <c r="H72" i="2"/>
  <c r="F74" i="2"/>
  <c r="K74" i="2" s="1"/>
  <c r="H74" i="2"/>
  <c r="F76" i="2"/>
  <c r="K76" i="2" s="1"/>
  <c r="F3" i="2"/>
  <c r="K3" i="2" s="1"/>
  <c r="H3" i="2"/>
  <c r="G6" i="2"/>
  <c r="J6" i="2" s="1"/>
  <c r="F7" i="2"/>
  <c r="K7" i="2" s="1"/>
  <c r="H7" i="2"/>
  <c r="G10" i="2"/>
  <c r="J10" i="2" s="1"/>
  <c r="F11" i="2"/>
  <c r="K11" i="2" s="1"/>
  <c r="H11" i="2"/>
  <c r="G14" i="2"/>
  <c r="J14" i="2" s="1"/>
  <c r="F15" i="2"/>
  <c r="K15" i="2" s="1"/>
  <c r="H15" i="2"/>
  <c r="G18" i="2"/>
  <c r="J18" i="2" s="1"/>
  <c r="F19" i="2"/>
  <c r="K19" i="2" s="1"/>
  <c r="H19" i="2"/>
  <c r="G22" i="2"/>
  <c r="J22" i="2" s="1"/>
  <c r="F23" i="2"/>
  <c r="K23" i="2" s="1"/>
  <c r="H23" i="2"/>
  <c r="G26" i="2"/>
  <c r="J26" i="2" s="1"/>
  <c r="F27" i="2"/>
  <c r="K27" i="2" s="1"/>
  <c r="H27" i="2"/>
  <c r="G30" i="2"/>
  <c r="J30" i="2" s="1"/>
  <c r="F31" i="2"/>
  <c r="K31" i="2" s="1"/>
  <c r="H31" i="2"/>
  <c r="G34" i="2"/>
  <c r="J34" i="2" s="1"/>
  <c r="F35" i="2"/>
  <c r="K35" i="2" s="1"/>
  <c r="H35" i="2"/>
  <c r="G38" i="2"/>
  <c r="J38" i="2" s="1"/>
  <c r="F39" i="2"/>
  <c r="K39" i="2" s="1"/>
  <c r="H39" i="2"/>
  <c r="G42" i="2"/>
  <c r="J42" i="2" s="1"/>
  <c r="F43" i="2"/>
  <c r="K43" i="2" s="1"/>
  <c r="H43" i="2"/>
  <c r="G46" i="2"/>
  <c r="J46" i="2" s="1"/>
  <c r="F47" i="2"/>
  <c r="K47" i="2" s="1"/>
  <c r="H47" i="2"/>
  <c r="G50" i="2"/>
  <c r="J50" i="2" s="1"/>
  <c r="F51" i="2"/>
  <c r="K51" i="2" s="1"/>
  <c r="H51" i="2"/>
  <c r="G54" i="2"/>
  <c r="J54" i="2" s="1"/>
  <c r="F55" i="2"/>
  <c r="K55" i="2" s="1"/>
  <c r="H55" i="2"/>
  <c r="G58" i="2"/>
  <c r="J58" i="2" s="1"/>
  <c r="F59" i="2"/>
  <c r="K59" i="2" s="1"/>
  <c r="H59" i="2"/>
  <c r="G62" i="2"/>
  <c r="J62" i="2" s="1"/>
  <c r="F63" i="2"/>
  <c r="K63" i="2" s="1"/>
  <c r="H63" i="2"/>
  <c r="G66" i="2"/>
  <c r="J66" i="2" s="1"/>
  <c r="F67" i="2"/>
  <c r="K67" i="2" s="1"/>
  <c r="H67" i="2"/>
  <c r="G70" i="2"/>
  <c r="J70" i="2" s="1"/>
  <c r="F71" i="2"/>
  <c r="K71" i="2" s="1"/>
  <c r="H71" i="2"/>
  <c r="G74" i="2"/>
  <c r="J74" i="2" s="1"/>
  <c r="F75" i="2"/>
  <c r="K75" i="2" s="1"/>
  <c r="H75" i="2"/>
  <c r="G77" i="2"/>
  <c r="G79" i="2"/>
  <c r="G81" i="2"/>
  <c r="G83" i="2"/>
  <c r="G85" i="2"/>
  <c r="G87" i="2"/>
  <c r="G89" i="2"/>
  <c r="G91" i="2"/>
  <c r="G93" i="2"/>
  <c r="G95" i="2"/>
  <c r="G97" i="2"/>
  <c r="F69" i="2"/>
  <c r="K69" i="2" s="1"/>
  <c r="G72" i="2"/>
  <c r="J72" i="2" s="1"/>
  <c r="H73" i="2"/>
  <c r="F78" i="2"/>
  <c r="K78" i="2" s="1"/>
  <c r="F80" i="2"/>
  <c r="K80" i="2" s="1"/>
  <c r="F82" i="2"/>
  <c r="K82" i="2" s="1"/>
  <c r="F84" i="2"/>
  <c r="K84" i="2" s="1"/>
  <c r="F86" i="2"/>
  <c r="K86" i="2" s="1"/>
  <c r="F88" i="2"/>
  <c r="K88" i="2" s="1"/>
  <c r="F90" i="2"/>
  <c r="K90" i="2" s="1"/>
  <c r="F92" i="2"/>
  <c r="K92" i="2" s="1"/>
  <c r="F94" i="2"/>
  <c r="K94" i="2" s="1"/>
  <c r="F96" i="2"/>
  <c r="K96" i="2" s="1"/>
  <c r="F98" i="2"/>
  <c r="K98" i="2" s="1"/>
  <c r="G99" i="2"/>
  <c r="G101" i="2"/>
  <c r="G103" i="2"/>
  <c r="G105" i="2"/>
  <c r="G107" i="2"/>
  <c r="G109" i="2"/>
  <c r="G111" i="2"/>
  <c r="G113" i="2"/>
  <c r="G115" i="2"/>
  <c r="G117" i="2"/>
  <c r="G119" i="2"/>
  <c r="G121" i="2"/>
  <c r="G123" i="2"/>
  <c r="G125" i="2"/>
  <c r="G127" i="2"/>
  <c r="G129" i="2"/>
  <c r="G76" i="2"/>
  <c r="F77" i="2"/>
  <c r="K77" i="2" s="1"/>
  <c r="H77" i="2"/>
  <c r="G80" i="2"/>
  <c r="F81" i="2"/>
  <c r="K81" i="2" s="1"/>
  <c r="H81" i="2"/>
  <c r="G84" i="2"/>
  <c r="F85" i="2"/>
  <c r="K85" i="2" s="1"/>
  <c r="H85" i="2"/>
  <c r="G88" i="2"/>
  <c r="F89" i="2"/>
  <c r="K89" i="2" s="1"/>
  <c r="H89" i="2"/>
  <c r="G92" i="2"/>
  <c r="F93" i="2"/>
  <c r="K93" i="2" s="1"/>
  <c r="H93" i="2"/>
  <c r="G96" i="2"/>
  <c r="F97" i="2"/>
  <c r="K97" i="2" s="1"/>
  <c r="H97" i="2"/>
  <c r="G100" i="2"/>
  <c r="F101" i="2"/>
  <c r="K101" i="2" s="1"/>
  <c r="H101" i="2"/>
  <c r="G104" i="2"/>
  <c r="F105" i="2"/>
  <c r="K105" i="2" s="1"/>
  <c r="H105" i="2"/>
  <c r="G108" i="2"/>
  <c r="F109" i="2"/>
  <c r="K109" i="2" s="1"/>
  <c r="H109" i="2"/>
  <c r="G112" i="2"/>
  <c r="F113" i="2"/>
  <c r="K113" i="2" s="1"/>
  <c r="H113" i="2"/>
  <c r="G116" i="2"/>
  <c r="F117" i="2"/>
  <c r="K117" i="2" s="1"/>
  <c r="H117" i="2"/>
  <c r="G120" i="2"/>
  <c r="F121" i="2"/>
  <c r="K121" i="2" s="1"/>
  <c r="H121" i="2"/>
  <c r="G124" i="2"/>
  <c r="F125" i="2"/>
  <c r="K125" i="2" s="1"/>
  <c r="H125" i="2"/>
  <c r="G128" i="2"/>
  <c r="F129" i="2"/>
  <c r="K129" i="2" s="1"/>
  <c r="H129" i="2"/>
  <c r="H69" i="2"/>
  <c r="F73" i="2"/>
  <c r="K73" i="2" s="1"/>
  <c r="H76" i="2"/>
  <c r="H78" i="2"/>
  <c r="H80" i="2"/>
  <c r="H82" i="2"/>
  <c r="H84" i="2"/>
  <c r="H86" i="2"/>
  <c r="H88" i="2"/>
  <c r="H90" i="2"/>
  <c r="H92" i="2"/>
  <c r="H94" i="2"/>
  <c r="H96" i="2"/>
  <c r="H98" i="2"/>
  <c r="F100" i="2"/>
  <c r="K100" i="2" s="1"/>
  <c r="H100" i="2"/>
  <c r="F102" i="2"/>
  <c r="K102" i="2" s="1"/>
  <c r="H102" i="2"/>
  <c r="F104" i="2"/>
  <c r="K104" i="2" s="1"/>
  <c r="H104" i="2"/>
  <c r="F106" i="2"/>
  <c r="K106" i="2" s="1"/>
  <c r="H106" i="2"/>
  <c r="F108" i="2"/>
  <c r="K108" i="2" s="1"/>
  <c r="H108" i="2"/>
  <c r="F110" i="2"/>
  <c r="K110" i="2" s="1"/>
  <c r="H110" i="2"/>
  <c r="F112" i="2"/>
  <c r="K112" i="2" s="1"/>
  <c r="H112" i="2"/>
  <c r="F114" i="2"/>
  <c r="K114" i="2" s="1"/>
  <c r="H114" i="2"/>
  <c r="F116" i="2"/>
  <c r="K116" i="2" s="1"/>
  <c r="H116" i="2"/>
  <c r="F118" i="2"/>
  <c r="K118" i="2" s="1"/>
  <c r="H118" i="2"/>
  <c r="F120" i="2"/>
  <c r="K120" i="2" s="1"/>
  <c r="H120" i="2"/>
  <c r="F122" i="2"/>
  <c r="K122" i="2" s="1"/>
  <c r="H122" i="2"/>
  <c r="F124" i="2"/>
  <c r="K124" i="2" s="1"/>
  <c r="H124" i="2"/>
  <c r="F126" i="2"/>
  <c r="K126" i="2" s="1"/>
  <c r="H126" i="2"/>
  <c r="F128" i="2"/>
  <c r="K128" i="2" s="1"/>
  <c r="H128" i="2"/>
  <c r="F130" i="2"/>
  <c r="K130" i="2" s="1"/>
  <c r="H130" i="2"/>
  <c r="G78" i="2"/>
  <c r="J78" i="2" s="1"/>
  <c r="F79" i="2"/>
  <c r="K79" i="2" s="1"/>
  <c r="H79" i="2"/>
  <c r="G82" i="2"/>
  <c r="J82" i="2" s="1"/>
  <c r="F83" i="2"/>
  <c r="K83" i="2" s="1"/>
  <c r="H83" i="2"/>
  <c r="G86" i="2"/>
  <c r="J86" i="2" s="1"/>
  <c r="F87" i="2"/>
  <c r="K87" i="2" s="1"/>
  <c r="H87" i="2"/>
  <c r="G90" i="2"/>
  <c r="J90" i="2" s="1"/>
  <c r="F91" i="2"/>
  <c r="K91" i="2" s="1"/>
  <c r="H91" i="2"/>
  <c r="G94" i="2"/>
  <c r="J94" i="2" s="1"/>
  <c r="F95" i="2"/>
  <c r="K95" i="2" s="1"/>
  <c r="H95" i="2"/>
  <c r="G98" i="2"/>
  <c r="J98" i="2" s="1"/>
  <c r="F99" i="2"/>
  <c r="K99" i="2" s="1"/>
  <c r="H99" i="2"/>
  <c r="G102" i="2"/>
  <c r="J102" i="2" s="1"/>
  <c r="F103" i="2"/>
  <c r="K103" i="2" s="1"/>
  <c r="H103" i="2"/>
  <c r="G106" i="2"/>
  <c r="J106" i="2" s="1"/>
  <c r="F107" i="2"/>
  <c r="K107" i="2" s="1"/>
  <c r="H107" i="2"/>
  <c r="G110" i="2"/>
  <c r="J110" i="2" s="1"/>
  <c r="F111" i="2"/>
  <c r="K111" i="2" s="1"/>
  <c r="H111" i="2"/>
  <c r="G114" i="2"/>
  <c r="J114" i="2" s="1"/>
  <c r="F115" i="2"/>
  <c r="K115" i="2" s="1"/>
  <c r="H115" i="2"/>
  <c r="G118" i="2"/>
  <c r="J118" i="2" s="1"/>
  <c r="F119" i="2"/>
  <c r="K119" i="2" s="1"/>
  <c r="H119" i="2"/>
  <c r="G122" i="2"/>
  <c r="J122" i="2" s="1"/>
  <c r="F123" i="2"/>
  <c r="K123" i="2" s="1"/>
  <c r="H123" i="2"/>
  <c r="G126" i="2"/>
  <c r="J126" i="2" s="1"/>
  <c r="F127" i="2"/>
  <c r="K127" i="2" s="1"/>
  <c r="H127" i="2"/>
  <c r="G130" i="2"/>
  <c r="J130" i="2" s="1"/>
  <c r="C130" i="5"/>
  <c r="C130" i="4"/>
  <c r="C129" i="5"/>
  <c r="C129" i="4"/>
  <c r="C128" i="5"/>
  <c r="C128" i="4"/>
  <c r="C127" i="5"/>
  <c r="C127" i="4"/>
  <c r="C126" i="5"/>
  <c r="C126" i="4"/>
  <c r="C125" i="5"/>
  <c r="C125" i="4"/>
  <c r="C124" i="5"/>
  <c r="C124" i="4"/>
  <c r="C123" i="5"/>
  <c r="C123" i="4"/>
  <c r="C122" i="5"/>
  <c r="C122" i="4"/>
  <c r="C121" i="5"/>
  <c r="C121" i="4"/>
  <c r="C120" i="5"/>
  <c r="C120" i="4"/>
  <c r="C119" i="5"/>
  <c r="C119" i="4"/>
  <c r="C118" i="5"/>
  <c r="C118" i="4"/>
  <c r="C117" i="5"/>
  <c r="C117" i="4"/>
  <c r="C116" i="5"/>
  <c r="C116" i="4"/>
  <c r="C115" i="5"/>
  <c r="C115" i="4"/>
  <c r="C114" i="5"/>
  <c r="C114" i="4"/>
  <c r="C113" i="5"/>
  <c r="C113" i="4"/>
  <c r="C112" i="5"/>
  <c r="C112" i="4"/>
  <c r="C111" i="5"/>
  <c r="C111" i="4"/>
  <c r="C110" i="5"/>
  <c r="C110" i="4"/>
  <c r="C109" i="5"/>
  <c r="C109" i="4"/>
  <c r="C108" i="5"/>
  <c r="C108" i="4"/>
  <c r="C107" i="5"/>
  <c r="C107" i="4"/>
  <c r="C106" i="5"/>
  <c r="C106" i="4"/>
  <c r="C105" i="5"/>
  <c r="C105" i="4"/>
  <c r="C104" i="5"/>
  <c r="C104" i="4"/>
  <c r="C103" i="5"/>
  <c r="C103" i="4"/>
  <c r="C102" i="5"/>
  <c r="C102" i="4"/>
  <c r="C101" i="5"/>
  <c r="C101" i="4"/>
  <c r="C100" i="5"/>
  <c r="C100" i="4"/>
  <c r="C99" i="5"/>
  <c r="C99" i="4"/>
  <c r="C98" i="5"/>
  <c r="C98" i="4"/>
  <c r="C97" i="5"/>
  <c r="C97" i="4"/>
  <c r="C96" i="5"/>
  <c r="C96" i="4"/>
  <c r="C95" i="5"/>
  <c r="C95" i="4"/>
  <c r="C94" i="5"/>
  <c r="C94" i="4"/>
  <c r="C93" i="5"/>
  <c r="C93" i="4"/>
  <c r="C92" i="5"/>
  <c r="C92" i="4"/>
  <c r="C91" i="5"/>
  <c r="C91" i="4"/>
  <c r="C90" i="5"/>
  <c r="C90" i="4"/>
  <c r="C89" i="5"/>
  <c r="C89" i="4"/>
  <c r="C88" i="5"/>
  <c r="C88" i="4"/>
  <c r="C87" i="5"/>
  <c r="C87" i="4"/>
  <c r="C86" i="5"/>
  <c r="C86" i="4"/>
  <c r="C85" i="5"/>
  <c r="C85" i="4"/>
  <c r="C84" i="5"/>
  <c r="C84" i="4"/>
  <c r="C83" i="5"/>
  <c r="C83" i="4"/>
  <c r="C82" i="5"/>
  <c r="C82" i="4"/>
  <c r="C81" i="5"/>
  <c r="C81" i="4"/>
  <c r="C80" i="5"/>
  <c r="C80" i="4"/>
  <c r="C79" i="5"/>
  <c r="C79" i="4"/>
  <c r="C78" i="5"/>
  <c r="C78" i="4"/>
  <c r="C77" i="5"/>
  <c r="C77" i="4"/>
  <c r="C76" i="5"/>
  <c r="C76" i="4"/>
  <c r="C75" i="5"/>
  <c r="C75" i="4"/>
  <c r="C74" i="5"/>
  <c r="C74" i="4"/>
  <c r="C73" i="5"/>
  <c r="C73" i="4"/>
  <c r="C72" i="5"/>
  <c r="C72" i="4"/>
  <c r="C71" i="5"/>
  <c r="C71" i="4"/>
  <c r="C70" i="5"/>
  <c r="C70" i="4"/>
  <c r="C69" i="5"/>
  <c r="C69" i="4"/>
  <c r="C68" i="5"/>
  <c r="C68" i="4"/>
  <c r="C67" i="5"/>
  <c r="C67" i="4"/>
  <c r="B130" i="5"/>
  <c r="D130" i="5" s="1"/>
  <c r="B130" i="4"/>
  <c r="I130" i="4" s="1"/>
  <c r="B129" i="5"/>
  <c r="D129" i="5" s="1"/>
  <c r="B129" i="4"/>
  <c r="I129" i="4" s="1"/>
  <c r="C66" i="5"/>
  <c r="C66" i="4"/>
  <c r="B128" i="5"/>
  <c r="D128" i="5" s="1"/>
  <c r="B128" i="4"/>
  <c r="I128" i="4" s="1"/>
  <c r="C65" i="5"/>
  <c r="C65" i="4"/>
  <c r="B127" i="5"/>
  <c r="D127" i="5" s="1"/>
  <c r="B127" i="4"/>
  <c r="I127" i="4" s="1"/>
  <c r="B126" i="5"/>
  <c r="D126" i="5" s="1"/>
  <c r="B126" i="4"/>
  <c r="I126" i="4" s="1"/>
  <c r="C64" i="5"/>
  <c r="C64" i="4"/>
  <c r="B125" i="5"/>
  <c r="D125" i="5" s="1"/>
  <c r="B125" i="4"/>
  <c r="I125" i="4" s="1"/>
  <c r="B124" i="5"/>
  <c r="D124" i="5" s="1"/>
  <c r="B124" i="4"/>
  <c r="I124" i="4" s="1"/>
  <c r="C63" i="5"/>
  <c r="C63" i="4"/>
  <c r="B123" i="5"/>
  <c r="D123" i="5" s="1"/>
  <c r="B123" i="4"/>
  <c r="I123" i="4" s="1"/>
  <c r="B122" i="5"/>
  <c r="D122" i="5" s="1"/>
  <c r="B122" i="4"/>
  <c r="I122" i="4" s="1"/>
  <c r="C62" i="5"/>
  <c r="C62" i="4"/>
  <c r="B121" i="5"/>
  <c r="D121" i="5" s="1"/>
  <c r="B121" i="4"/>
  <c r="I121" i="4" s="1"/>
  <c r="B120" i="5"/>
  <c r="D120" i="5" s="1"/>
  <c r="B120" i="4"/>
  <c r="I120" i="4" s="1"/>
  <c r="C61" i="5"/>
  <c r="C61" i="4"/>
  <c r="B119" i="5"/>
  <c r="D119" i="5" s="1"/>
  <c r="B119" i="4"/>
  <c r="I119" i="4" s="1"/>
  <c r="B118" i="5"/>
  <c r="D118" i="5" s="1"/>
  <c r="B118" i="4"/>
  <c r="I118" i="4" s="1"/>
  <c r="C60" i="5"/>
  <c r="C60" i="4"/>
  <c r="B117" i="5"/>
  <c r="D117" i="5" s="1"/>
  <c r="B117" i="4"/>
  <c r="I117" i="4" s="1"/>
  <c r="B116" i="5"/>
  <c r="D116" i="5" s="1"/>
  <c r="B116" i="4"/>
  <c r="I116" i="4" s="1"/>
  <c r="C59" i="5"/>
  <c r="C59" i="4"/>
  <c r="B115" i="5"/>
  <c r="D115" i="5" s="1"/>
  <c r="B115" i="4"/>
  <c r="I115" i="4" s="1"/>
  <c r="B114" i="5"/>
  <c r="D114" i="5" s="1"/>
  <c r="B114" i="4"/>
  <c r="I114" i="4" s="1"/>
  <c r="C58" i="5"/>
  <c r="C58" i="4"/>
  <c r="B113" i="5"/>
  <c r="D113" i="5" s="1"/>
  <c r="B113" i="4"/>
  <c r="I113" i="4" s="1"/>
  <c r="B112" i="5"/>
  <c r="D112" i="5" s="1"/>
  <c r="B112" i="4"/>
  <c r="I112" i="4" s="1"/>
  <c r="C57" i="5"/>
  <c r="C57" i="4"/>
  <c r="B111" i="5"/>
  <c r="D111" i="5" s="1"/>
  <c r="B111" i="4"/>
  <c r="I111" i="4" s="1"/>
  <c r="B110" i="5"/>
  <c r="D110" i="5" s="1"/>
  <c r="B110" i="4"/>
  <c r="I110" i="4" s="1"/>
  <c r="C56" i="5"/>
  <c r="C56" i="4"/>
  <c r="B109" i="5"/>
  <c r="D109" i="5" s="1"/>
  <c r="B109" i="4"/>
  <c r="I109" i="4" s="1"/>
  <c r="B108" i="5"/>
  <c r="D108" i="5" s="1"/>
  <c r="B108" i="4"/>
  <c r="I108" i="4" s="1"/>
  <c r="C55" i="5"/>
  <c r="C55" i="4"/>
  <c r="B107" i="5"/>
  <c r="D107" i="5" s="1"/>
  <c r="B107" i="4"/>
  <c r="I107" i="4" s="1"/>
  <c r="B106" i="5"/>
  <c r="D106" i="5" s="1"/>
  <c r="B106" i="4"/>
  <c r="I106" i="4" s="1"/>
  <c r="C54" i="5"/>
  <c r="C54" i="4"/>
  <c r="B105" i="5"/>
  <c r="D105" i="5" s="1"/>
  <c r="B105" i="4"/>
  <c r="I105" i="4" s="1"/>
  <c r="B104" i="5"/>
  <c r="D104" i="5" s="1"/>
  <c r="B104" i="4"/>
  <c r="I104" i="4" s="1"/>
  <c r="C53" i="5"/>
  <c r="C53" i="4"/>
  <c r="B103" i="5"/>
  <c r="D103" i="5" s="1"/>
  <c r="B103" i="4"/>
  <c r="I103" i="4" s="1"/>
  <c r="B102" i="5"/>
  <c r="D102" i="5" s="1"/>
  <c r="B102" i="4"/>
  <c r="I102" i="4" s="1"/>
  <c r="C52" i="5"/>
  <c r="C52" i="4"/>
  <c r="B101" i="5"/>
  <c r="D101" i="5" s="1"/>
  <c r="B101" i="4"/>
  <c r="I101" i="4" s="1"/>
  <c r="B100" i="5"/>
  <c r="D100" i="5" s="1"/>
  <c r="B100" i="4"/>
  <c r="I100" i="4" s="1"/>
  <c r="C51" i="5"/>
  <c r="C51" i="4"/>
  <c r="B99" i="5"/>
  <c r="D99" i="5" s="1"/>
  <c r="B99" i="4"/>
  <c r="I99" i="4" s="1"/>
  <c r="B98" i="5"/>
  <c r="D98" i="5" s="1"/>
  <c r="B98" i="4"/>
  <c r="I98" i="4" s="1"/>
  <c r="B97" i="5"/>
  <c r="D97" i="5" s="1"/>
  <c r="B97" i="4"/>
  <c r="I97" i="4" s="1"/>
  <c r="B96" i="5"/>
  <c r="D96" i="5" s="1"/>
  <c r="B96" i="4"/>
  <c r="I96" i="4" s="1"/>
  <c r="B95" i="5"/>
  <c r="D95" i="5" s="1"/>
  <c r="B95" i="4"/>
  <c r="I95" i="4" s="1"/>
  <c r="B94" i="5"/>
  <c r="D94" i="5" s="1"/>
  <c r="B94" i="4"/>
  <c r="I94" i="4" s="1"/>
  <c r="B93" i="5"/>
  <c r="D93" i="5" s="1"/>
  <c r="B93" i="4"/>
  <c r="I93" i="4" s="1"/>
  <c r="B92" i="5"/>
  <c r="D92" i="5" s="1"/>
  <c r="B92" i="4"/>
  <c r="I92" i="4" s="1"/>
  <c r="B91" i="5"/>
  <c r="D91" i="5" s="1"/>
  <c r="B91" i="4"/>
  <c r="I91" i="4" s="1"/>
  <c r="B90" i="5"/>
  <c r="D90" i="5" s="1"/>
  <c r="B90" i="4"/>
  <c r="I90" i="4" s="1"/>
  <c r="B89" i="5"/>
  <c r="D89" i="5" s="1"/>
  <c r="B89" i="4"/>
  <c r="I89" i="4" s="1"/>
  <c r="B88" i="5"/>
  <c r="D88" i="5" s="1"/>
  <c r="B88" i="4"/>
  <c r="I88" i="4" s="1"/>
  <c r="B87" i="5"/>
  <c r="D87" i="5" s="1"/>
  <c r="B87" i="4"/>
  <c r="I87" i="4" s="1"/>
  <c r="B86" i="5"/>
  <c r="D86" i="5" s="1"/>
  <c r="B86" i="4"/>
  <c r="I86" i="4" s="1"/>
  <c r="B85" i="5"/>
  <c r="D85" i="5" s="1"/>
  <c r="B85" i="4"/>
  <c r="I85" i="4" s="1"/>
  <c r="B84" i="5"/>
  <c r="D84" i="5" s="1"/>
  <c r="B84" i="4"/>
  <c r="I84" i="4" s="1"/>
  <c r="B83" i="5"/>
  <c r="D83" i="5" s="1"/>
  <c r="B83" i="4"/>
  <c r="I83" i="4" s="1"/>
  <c r="B82" i="5"/>
  <c r="D82" i="5" s="1"/>
  <c r="B82" i="4"/>
  <c r="I82" i="4" s="1"/>
  <c r="B81" i="5"/>
  <c r="D81" i="5" s="1"/>
  <c r="B81" i="4"/>
  <c r="I81" i="4" s="1"/>
  <c r="B80" i="5"/>
  <c r="D80" i="5" s="1"/>
  <c r="B80" i="4"/>
  <c r="I80" i="4" s="1"/>
  <c r="B79" i="5"/>
  <c r="D79" i="5" s="1"/>
  <c r="B79" i="4"/>
  <c r="I79" i="4" s="1"/>
  <c r="B78" i="5"/>
  <c r="D78" i="5" s="1"/>
  <c r="B78" i="4"/>
  <c r="I78" i="4" s="1"/>
  <c r="B77" i="5"/>
  <c r="D77" i="5" s="1"/>
  <c r="B77" i="4"/>
  <c r="I77" i="4" s="1"/>
  <c r="B76" i="5"/>
  <c r="D76" i="5" s="1"/>
  <c r="B76" i="4"/>
  <c r="I76" i="4" s="1"/>
  <c r="B75" i="5"/>
  <c r="D75" i="5" s="1"/>
  <c r="B75" i="4"/>
  <c r="I75" i="4" s="1"/>
  <c r="B74" i="5"/>
  <c r="D74" i="5" s="1"/>
  <c r="B74" i="4"/>
  <c r="I74" i="4" s="1"/>
  <c r="B73" i="5"/>
  <c r="D73" i="5" s="1"/>
  <c r="B73" i="4"/>
  <c r="I73" i="4" s="1"/>
  <c r="B72" i="5"/>
  <c r="D72" i="5" s="1"/>
  <c r="B72" i="4"/>
  <c r="I72" i="4" s="1"/>
  <c r="B71" i="5"/>
  <c r="D71" i="5" s="1"/>
  <c r="B71" i="4"/>
  <c r="I71" i="4" s="1"/>
  <c r="B70" i="5"/>
  <c r="D70" i="5" s="1"/>
  <c r="B70" i="4"/>
  <c r="I70" i="4" s="1"/>
  <c r="B69" i="5"/>
  <c r="D69" i="5" s="1"/>
  <c r="B69" i="4"/>
  <c r="I69" i="4" s="1"/>
  <c r="B68" i="5"/>
  <c r="D68" i="5" s="1"/>
  <c r="B68" i="4"/>
  <c r="I68" i="4" s="1"/>
  <c r="B67" i="5"/>
  <c r="D67" i="5" s="1"/>
  <c r="B67" i="4"/>
  <c r="I67" i="4" s="1"/>
  <c r="B66" i="5"/>
  <c r="D66" i="5" s="1"/>
  <c r="B66" i="4"/>
  <c r="I66" i="4" s="1"/>
  <c r="B65" i="5"/>
  <c r="D65" i="5" s="1"/>
  <c r="B65" i="4"/>
  <c r="I65" i="4" s="1"/>
  <c r="B64" i="5"/>
  <c r="D64" i="5" s="1"/>
  <c r="B64" i="4"/>
  <c r="I64" i="4" s="1"/>
  <c r="B63" i="5"/>
  <c r="D63" i="5" s="1"/>
  <c r="B63" i="4"/>
  <c r="I63" i="4" s="1"/>
  <c r="B62" i="5"/>
  <c r="D62" i="5" s="1"/>
  <c r="B62" i="4"/>
  <c r="I62" i="4" s="1"/>
  <c r="B61" i="5"/>
  <c r="D61" i="5" s="1"/>
  <c r="B61" i="4"/>
  <c r="I61" i="4" s="1"/>
  <c r="B60" i="5"/>
  <c r="D60" i="5" s="1"/>
  <c r="B60" i="4"/>
  <c r="I60" i="4" s="1"/>
  <c r="B59" i="5"/>
  <c r="D59" i="5" s="1"/>
  <c r="B59" i="4"/>
  <c r="I59" i="4" s="1"/>
  <c r="B58" i="5"/>
  <c r="D58" i="5" s="1"/>
  <c r="B58" i="4"/>
  <c r="I58" i="4" s="1"/>
  <c r="B57" i="5"/>
  <c r="D57" i="5" s="1"/>
  <c r="B57" i="4"/>
  <c r="I57" i="4" s="1"/>
  <c r="B56" i="5"/>
  <c r="D56" i="5" s="1"/>
  <c r="B56" i="4"/>
  <c r="I56" i="4" s="1"/>
  <c r="B55" i="5"/>
  <c r="D55" i="5" s="1"/>
  <c r="B55" i="4"/>
  <c r="I55" i="4" s="1"/>
  <c r="B54" i="5"/>
  <c r="D54" i="5" s="1"/>
  <c r="B54" i="4"/>
  <c r="I54" i="4" s="1"/>
  <c r="B53" i="5"/>
  <c r="D53" i="5" s="1"/>
  <c r="B53" i="4"/>
  <c r="I53" i="4" s="1"/>
  <c r="B52" i="5"/>
  <c r="D52" i="5" s="1"/>
  <c r="B52" i="4"/>
  <c r="I52" i="4" s="1"/>
  <c r="B4" i="4"/>
  <c r="I4" i="4" s="1"/>
  <c r="C4" i="4"/>
  <c r="J4" i="4" s="1"/>
  <c r="B5" i="4"/>
  <c r="I5" i="4" s="1"/>
  <c r="C5" i="4"/>
  <c r="B6" i="4"/>
  <c r="I6" i="4" s="1"/>
  <c r="C6" i="4"/>
  <c r="B7" i="4"/>
  <c r="I7" i="4" s="1"/>
  <c r="C7" i="4"/>
  <c r="B8" i="4"/>
  <c r="I8" i="4" s="1"/>
  <c r="C8" i="4"/>
  <c r="B9" i="4"/>
  <c r="I9" i="4" s="1"/>
  <c r="C9" i="4"/>
  <c r="B10" i="4"/>
  <c r="I10" i="4" s="1"/>
  <c r="C10" i="4"/>
  <c r="B11" i="4"/>
  <c r="I11" i="4" s="1"/>
  <c r="C11" i="4"/>
  <c r="B12" i="4"/>
  <c r="I12" i="4" s="1"/>
  <c r="C12" i="4"/>
  <c r="B13" i="4"/>
  <c r="I13" i="4" s="1"/>
  <c r="C13" i="4"/>
  <c r="B14" i="4"/>
  <c r="I14" i="4" s="1"/>
  <c r="C14" i="4"/>
  <c r="B15" i="4"/>
  <c r="I15" i="4" s="1"/>
  <c r="C15" i="4"/>
  <c r="B16" i="4"/>
  <c r="I16" i="4" s="1"/>
  <c r="C16" i="4"/>
  <c r="B17" i="4"/>
  <c r="I17" i="4" s="1"/>
  <c r="C17" i="4"/>
  <c r="B18" i="4"/>
  <c r="I18" i="4" s="1"/>
  <c r="C18" i="4"/>
  <c r="B19" i="4"/>
  <c r="I19" i="4" s="1"/>
  <c r="C19" i="4"/>
  <c r="B20" i="4"/>
  <c r="I20" i="4" s="1"/>
  <c r="C20" i="4"/>
  <c r="B21" i="4"/>
  <c r="I21" i="4" s="1"/>
  <c r="C21" i="4"/>
  <c r="B22" i="4"/>
  <c r="I22" i="4" s="1"/>
  <c r="C22" i="4"/>
  <c r="B23" i="4"/>
  <c r="I23" i="4" s="1"/>
  <c r="C23" i="4"/>
  <c r="B24" i="4"/>
  <c r="I24" i="4" s="1"/>
  <c r="C24" i="4"/>
  <c r="B25" i="4"/>
  <c r="I25" i="4" s="1"/>
  <c r="C25" i="4"/>
  <c r="B26" i="4"/>
  <c r="I26" i="4" s="1"/>
  <c r="C26" i="4"/>
  <c r="B27" i="4"/>
  <c r="I27" i="4" s="1"/>
  <c r="C27" i="4"/>
  <c r="B28" i="4"/>
  <c r="I28" i="4" s="1"/>
  <c r="C28" i="4"/>
  <c r="B29" i="4"/>
  <c r="I29" i="4" s="1"/>
  <c r="C29" i="4"/>
  <c r="B30" i="4"/>
  <c r="I30" i="4" s="1"/>
  <c r="C30" i="4"/>
  <c r="B31" i="4"/>
  <c r="I31" i="4" s="1"/>
  <c r="C31" i="4"/>
  <c r="B32" i="4"/>
  <c r="I32" i="4" s="1"/>
  <c r="C32" i="4"/>
  <c r="B33" i="4"/>
  <c r="I33" i="4" s="1"/>
  <c r="C33" i="4"/>
  <c r="B34" i="4"/>
  <c r="I34" i="4" s="1"/>
  <c r="C34" i="4"/>
  <c r="B35" i="4"/>
  <c r="I35" i="4" s="1"/>
  <c r="C35" i="4"/>
  <c r="B36" i="4"/>
  <c r="I36" i="4" s="1"/>
  <c r="C36" i="4"/>
  <c r="B37" i="4"/>
  <c r="I37" i="4" s="1"/>
  <c r="C37" i="4"/>
  <c r="B38" i="4"/>
  <c r="I38" i="4" s="1"/>
  <c r="C38" i="4"/>
  <c r="B39" i="4"/>
  <c r="I39" i="4" s="1"/>
  <c r="C39" i="4"/>
  <c r="B40" i="4"/>
  <c r="I40" i="4" s="1"/>
  <c r="C40" i="4"/>
  <c r="B41" i="4"/>
  <c r="I41" i="4" s="1"/>
  <c r="C41" i="4"/>
  <c r="B42" i="4"/>
  <c r="I42" i="4" s="1"/>
  <c r="C42" i="4"/>
  <c r="B43" i="4"/>
  <c r="I43" i="4" s="1"/>
  <c r="C43" i="4"/>
  <c r="B44" i="4"/>
  <c r="I44" i="4" s="1"/>
  <c r="C44" i="4"/>
  <c r="B45" i="4"/>
  <c r="I45" i="4" s="1"/>
  <c r="C45" i="4"/>
  <c r="B46" i="4"/>
  <c r="I46" i="4" s="1"/>
  <c r="C46" i="4"/>
  <c r="B47" i="4"/>
  <c r="I47" i="4" s="1"/>
  <c r="C47" i="4"/>
  <c r="B48" i="4"/>
  <c r="I48" i="4" s="1"/>
  <c r="C48" i="4"/>
  <c r="B49" i="4"/>
  <c r="I49" i="4" s="1"/>
  <c r="C49" i="4"/>
  <c r="B50" i="4"/>
  <c r="I50" i="4" s="1"/>
  <c r="C50" i="4"/>
  <c r="B51" i="4"/>
  <c r="I51" i="4" s="1"/>
  <c r="D5" i="5"/>
  <c r="M3" i="5" s="1" a="1"/>
  <c r="M3" i="5" s="1"/>
  <c r="J128" i="2" l="1"/>
  <c r="J124" i="2"/>
  <c r="J120" i="2"/>
  <c r="J116" i="2"/>
  <c r="J112" i="2"/>
  <c r="J108" i="2"/>
  <c r="J104" i="2"/>
  <c r="J100" i="2"/>
  <c r="J96" i="2"/>
  <c r="J92" i="2"/>
  <c r="J88" i="2"/>
  <c r="J84" i="2"/>
  <c r="J80" i="2"/>
  <c r="J76" i="2"/>
  <c r="J129" i="2"/>
  <c r="J127" i="2"/>
  <c r="J125" i="2"/>
  <c r="J123" i="2"/>
  <c r="J121" i="2"/>
  <c r="J119" i="2"/>
  <c r="J117" i="2"/>
  <c r="J115" i="2"/>
  <c r="J113" i="2"/>
  <c r="J111" i="2"/>
  <c r="J109" i="2"/>
  <c r="J107" i="2"/>
  <c r="J105" i="2"/>
  <c r="J103" i="2"/>
  <c r="J101" i="2"/>
  <c r="J99" i="2"/>
  <c r="J97" i="2"/>
  <c r="J95" i="2"/>
  <c r="J93" i="2"/>
  <c r="J91" i="2"/>
  <c r="J89" i="2"/>
  <c r="J87" i="2"/>
  <c r="J85" i="2"/>
  <c r="J83" i="2"/>
  <c r="J81" i="2"/>
  <c r="J79" i="2"/>
  <c r="J77" i="2"/>
  <c r="J68" i="2"/>
  <c r="J64" i="2"/>
  <c r="J60" i="2"/>
  <c r="J56" i="2"/>
  <c r="J52" i="2"/>
  <c r="J48" i="2"/>
  <c r="J44" i="2"/>
  <c r="J40" i="2"/>
  <c r="J36" i="2"/>
  <c r="J32" i="2"/>
  <c r="J28" i="2"/>
  <c r="J24" i="2"/>
  <c r="J20" i="2"/>
  <c r="J16" i="2"/>
  <c r="J12" i="2"/>
  <c r="J8" i="2"/>
  <c r="J4" i="2"/>
  <c r="J75" i="2"/>
  <c r="J73" i="2"/>
  <c r="J71" i="2"/>
  <c r="J69" i="2"/>
  <c r="J67" i="2"/>
  <c r="J65" i="2"/>
  <c r="J63" i="2"/>
  <c r="J61" i="2"/>
  <c r="J59" i="2"/>
  <c r="J57" i="2"/>
  <c r="J55" i="2"/>
  <c r="J53" i="2"/>
  <c r="J51" i="2"/>
  <c r="J49" i="2"/>
  <c r="J47" i="2"/>
  <c r="J45" i="2"/>
  <c r="J43" i="2"/>
  <c r="J41" i="2"/>
  <c r="J39" i="2"/>
  <c r="J37" i="2"/>
  <c r="J35" i="2"/>
  <c r="J33" i="2"/>
  <c r="J31" i="2"/>
  <c r="J29" i="2"/>
  <c r="J27" i="2"/>
  <c r="J25" i="2"/>
  <c r="J23" i="2"/>
  <c r="J21" i="2"/>
  <c r="J19" i="2"/>
  <c r="J17" i="2"/>
  <c r="J15" i="2"/>
  <c r="J13" i="2"/>
  <c r="J11" i="2"/>
  <c r="J9" i="2"/>
  <c r="J7" i="2"/>
  <c r="J5" i="2"/>
  <c r="J3" i="2"/>
  <c r="O21" i="2" s="1"/>
  <c r="O23" i="4" s="1"/>
  <c r="J50" i="4"/>
  <c r="E49" i="4"/>
  <c r="J49" i="4"/>
  <c r="E48" i="4"/>
  <c r="J48" i="4"/>
  <c r="E47" i="4"/>
  <c r="J47" i="4"/>
  <c r="E46" i="4"/>
  <c r="J46" i="4"/>
  <c r="E45" i="4"/>
  <c r="J45" i="4"/>
  <c r="E44" i="4"/>
  <c r="J44" i="4"/>
  <c r="E43" i="4"/>
  <c r="J43" i="4"/>
  <c r="E42" i="4"/>
  <c r="J42" i="4"/>
  <c r="E41" i="4"/>
  <c r="J41" i="4"/>
  <c r="E40" i="4"/>
  <c r="J40" i="4"/>
  <c r="E39" i="4"/>
  <c r="J39" i="4"/>
  <c r="E38" i="4"/>
  <c r="J38" i="4"/>
  <c r="E37" i="4"/>
  <c r="J37" i="4"/>
  <c r="E36" i="4"/>
  <c r="J36" i="4"/>
  <c r="E35" i="4"/>
  <c r="J35" i="4"/>
  <c r="E34" i="4"/>
  <c r="J34" i="4"/>
  <c r="E33" i="4"/>
  <c r="J33" i="4"/>
  <c r="E32" i="4"/>
  <c r="J32" i="4"/>
  <c r="E31" i="4"/>
  <c r="J31" i="4"/>
  <c r="E30" i="4"/>
  <c r="J30" i="4"/>
  <c r="E29" i="4"/>
  <c r="J29" i="4"/>
  <c r="E28" i="4"/>
  <c r="J28" i="4"/>
  <c r="E27" i="4"/>
  <c r="J27" i="4"/>
  <c r="E26" i="4"/>
  <c r="J26" i="4"/>
  <c r="E25" i="4"/>
  <c r="J25" i="4"/>
  <c r="E24" i="4"/>
  <c r="J24" i="4"/>
  <c r="E23" i="4"/>
  <c r="J23" i="4"/>
  <c r="E22" i="4"/>
  <c r="J22" i="4"/>
  <c r="E21" i="4"/>
  <c r="J21" i="4"/>
  <c r="E20" i="4"/>
  <c r="J20" i="4"/>
  <c r="E19" i="4"/>
  <c r="J19" i="4"/>
  <c r="E18" i="4"/>
  <c r="J18" i="4"/>
  <c r="E17" i="4"/>
  <c r="J17" i="4"/>
  <c r="E16" i="4"/>
  <c r="J16" i="4"/>
  <c r="E15" i="4"/>
  <c r="J15" i="4"/>
  <c r="E14" i="4"/>
  <c r="J14" i="4"/>
  <c r="E13" i="4"/>
  <c r="J13" i="4"/>
  <c r="E12" i="4"/>
  <c r="J12" i="4"/>
  <c r="E11" i="4"/>
  <c r="J11" i="4"/>
  <c r="E10" i="4"/>
  <c r="J10" i="4"/>
  <c r="E9" i="4"/>
  <c r="J9" i="4"/>
  <c r="E8" i="4"/>
  <c r="J8" i="4"/>
  <c r="E7" i="4"/>
  <c r="J7" i="4"/>
  <c r="E6" i="4"/>
  <c r="J6" i="4"/>
  <c r="E5" i="4"/>
  <c r="J5" i="4"/>
  <c r="E4" i="4"/>
  <c r="J51" i="4"/>
  <c r="E50" i="4"/>
  <c r="F49" i="4" s="1"/>
  <c r="J52" i="4"/>
  <c r="E51" i="4"/>
  <c r="F50" i="4" s="1"/>
  <c r="J53" i="4"/>
  <c r="E52" i="4"/>
  <c r="F51" i="4" s="1"/>
  <c r="J54" i="4"/>
  <c r="E53" i="4"/>
  <c r="F52" i="4" s="1"/>
  <c r="J55" i="4"/>
  <c r="E54" i="4"/>
  <c r="F53" i="4" s="1"/>
  <c r="J56" i="4"/>
  <c r="E55" i="4"/>
  <c r="F54" i="4" s="1"/>
  <c r="J57" i="4"/>
  <c r="E56" i="4"/>
  <c r="F55" i="4" s="1"/>
  <c r="J58" i="4"/>
  <c r="E57" i="4"/>
  <c r="F56" i="4" s="1"/>
  <c r="J59" i="4"/>
  <c r="E58" i="4"/>
  <c r="F57" i="4" s="1"/>
  <c r="J60" i="4"/>
  <c r="E59" i="4"/>
  <c r="F58" i="4" s="1"/>
  <c r="J61" i="4"/>
  <c r="E60" i="4"/>
  <c r="F59" i="4" s="1"/>
  <c r="J62" i="4"/>
  <c r="E61" i="4"/>
  <c r="F60" i="4" s="1"/>
  <c r="J63" i="4"/>
  <c r="E62" i="4"/>
  <c r="F61" i="4" s="1"/>
  <c r="J64" i="4"/>
  <c r="E63" i="4"/>
  <c r="F62" i="4" s="1"/>
  <c r="J65" i="4"/>
  <c r="E64" i="4"/>
  <c r="F63" i="4" s="1"/>
  <c r="J66" i="4"/>
  <c r="E65" i="4"/>
  <c r="F64" i="4" s="1"/>
  <c r="J67" i="4"/>
  <c r="E66" i="4"/>
  <c r="F65" i="4" s="1"/>
  <c r="J68" i="4"/>
  <c r="E67" i="4"/>
  <c r="F66" i="4" s="1"/>
  <c r="J69" i="4"/>
  <c r="E68" i="4"/>
  <c r="F67" i="4" s="1"/>
  <c r="J70" i="4"/>
  <c r="E69" i="4"/>
  <c r="F68" i="4" s="1"/>
  <c r="J71" i="4"/>
  <c r="E70" i="4"/>
  <c r="F69" i="4" s="1"/>
  <c r="J72" i="4"/>
  <c r="E71" i="4"/>
  <c r="F70" i="4" s="1"/>
  <c r="J73" i="4"/>
  <c r="E72" i="4"/>
  <c r="F71" i="4" s="1"/>
  <c r="J74" i="4"/>
  <c r="E73" i="4"/>
  <c r="F72" i="4" s="1"/>
  <c r="J75" i="4"/>
  <c r="E74" i="4"/>
  <c r="F73" i="4" s="1"/>
  <c r="J76" i="4"/>
  <c r="E75" i="4"/>
  <c r="F74" i="4" s="1"/>
  <c r="J77" i="4"/>
  <c r="E76" i="4"/>
  <c r="F75" i="4" s="1"/>
  <c r="J78" i="4"/>
  <c r="E77" i="4"/>
  <c r="F76" i="4" s="1"/>
  <c r="J79" i="4"/>
  <c r="E78" i="4"/>
  <c r="F77" i="4" s="1"/>
  <c r="J80" i="4"/>
  <c r="E79" i="4"/>
  <c r="F78" i="4" s="1"/>
  <c r="J81" i="4"/>
  <c r="E80" i="4"/>
  <c r="F79" i="4" s="1"/>
  <c r="J82" i="4"/>
  <c r="E81" i="4"/>
  <c r="F80" i="4" s="1"/>
  <c r="J83" i="4"/>
  <c r="E82" i="4"/>
  <c r="F81" i="4" s="1"/>
  <c r="J84" i="4"/>
  <c r="E83" i="4"/>
  <c r="F82" i="4" s="1"/>
  <c r="J85" i="4"/>
  <c r="E84" i="4"/>
  <c r="F83" i="4" s="1"/>
  <c r="J86" i="4"/>
  <c r="E85" i="4"/>
  <c r="F84" i="4" s="1"/>
  <c r="J87" i="4"/>
  <c r="E86" i="4"/>
  <c r="F85" i="4" s="1"/>
  <c r="J88" i="4"/>
  <c r="E87" i="4"/>
  <c r="F86" i="4" s="1"/>
  <c r="J89" i="4"/>
  <c r="E88" i="4"/>
  <c r="F87" i="4" s="1"/>
  <c r="J90" i="4"/>
  <c r="E89" i="4"/>
  <c r="F88" i="4" s="1"/>
  <c r="J91" i="4"/>
  <c r="E90" i="4"/>
  <c r="F89" i="4" s="1"/>
  <c r="J92" i="4"/>
  <c r="E91" i="4"/>
  <c r="F90" i="4" s="1"/>
  <c r="J93" i="4"/>
  <c r="E92" i="4"/>
  <c r="F91" i="4" s="1"/>
  <c r="J94" i="4"/>
  <c r="E93" i="4"/>
  <c r="F92" i="4" s="1"/>
  <c r="J95" i="4"/>
  <c r="E94" i="4"/>
  <c r="F93" i="4" s="1"/>
  <c r="J96" i="4"/>
  <c r="E95" i="4"/>
  <c r="F94" i="4" s="1"/>
  <c r="J97" i="4"/>
  <c r="E96" i="4"/>
  <c r="F95" i="4" s="1"/>
  <c r="J98" i="4"/>
  <c r="E97" i="4"/>
  <c r="F96" i="4" s="1"/>
  <c r="J99" i="4"/>
  <c r="E98" i="4"/>
  <c r="F97" i="4" s="1"/>
  <c r="J100" i="4"/>
  <c r="E99" i="4"/>
  <c r="F98" i="4" s="1"/>
  <c r="J101" i="4"/>
  <c r="E100" i="4"/>
  <c r="F99" i="4" s="1"/>
  <c r="J102" i="4"/>
  <c r="E101" i="4"/>
  <c r="F100" i="4" s="1"/>
  <c r="J103" i="4"/>
  <c r="E102" i="4"/>
  <c r="F101" i="4" s="1"/>
  <c r="J104" i="4"/>
  <c r="E103" i="4"/>
  <c r="F102" i="4" s="1"/>
  <c r="J105" i="4"/>
  <c r="E104" i="4"/>
  <c r="F103" i="4" s="1"/>
  <c r="J106" i="4"/>
  <c r="E105" i="4"/>
  <c r="F104" i="4" s="1"/>
  <c r="J107" i="4"/>
  <c r="E106" i="4"/>
  <c r="F105" i="4" s="1"/>
  <c r="J108" i="4"/>
  <c r="E107" i="4"/>
  <c r="F106" i="4" s="1"/>
  <c r="J109" i="4"/>
  <c r="E108" i="4"/>
  <c r="F107" i="4" s="1"/>
  <c r="J110" i="4"/>
  <c r="E109" i="4"/>
  <c r="F108" i="4" s="1"/>
  <c r="J111" i="4"/>
  <c r="E110" i="4"/>
  <c r="F109" i="4" s="1"/>
  <c r="J112" i="4"/>
  <c r="E111" i="4"/>
  <c r="F110" i="4" s="1"/>
  <c r="J113" i="4"/>
  <c r="E112" i="4"/>
  <c r="F111" i="4" s="1"/>
  <c r="J114" i="4"/>
  <c r="E113" i="4"/>
  <c r="F112" i="4" s="1"/>
  <c r="J115" i="4"/>
  <c r="E114" i="4"/>
  <c r="F113" i="4" s="1"/>
  <c r="J116" i="4"/>
  <c r="E115" i="4"/>
  <c r="F114" i="4" s="1"/>
  <c r="J117" i="4"/>
  <c r="E116" i="4"/>
  <c r="F115" i="4" s="1"/>
  <c r="J118" i="4"/>
  <c r="E117" i="4"/>
  <c r="F116" i="4" s="1"/>
  <c r="J119" i="4"/>
  <c r="E118" i="4"/>
  <c r="F117" i="4" s="1"/>
  <c r="J120" i="4"/>
  <c r="E119" i="4"/>
  <c r="F118" i="4" s="1"/>
  <c r="J121" i="4"/>
  <c r="E120" i="4"/>
  <c r="F119" i="4" s="1"/>
  <c r="J122" i="4"/>
  <c r="E121" i="4"/>
  <c r="F120" i="4" s="1"/>
  <c r="J123" i="4"/>
  <c r="E122" i="4"/>
  <c r="F121" i="4" s="1"/>
  <c r="J124" i="4"/>
  <c r="E123" i="4"/>
  <c r="F122" i="4" s="1"/>
  <c r="J125" i="4"/>
  <c r="E124" i="4"/>
  <c r="F123" i="4" s="1"/>
  <c r="J126" i="4"/>
  <c r="E125" i="4"/>
  <c r="F124" i="4" s="1"/>
  <c r="J127" i="4"/>
  <c r="E126" i="4"/>
  <c r="F125" i="4" s="1"/>
  <c r="J128" i="4"/>
  <c r="E127" i="4"/>
  <c r="F126" i="4" s="1"/>
  <c r="J129" i="4"/>
  <c r="E128" i="4"/>
  <c r="F127" i="4" s="1"/>
  <c r="E130" i="4"/>
  <c r="J130" i="4"/>
  <c r="E129" i="4"/>
  <c r="F128" i="4" s="1"/>
  <c r="F129" i="4" l="1"/>
  <c r="F130" i="4"/>
  <c r="F4" i="4"/>
  <c r="H4" i="4" s="1"/>
  <c r="F5" i="4"/>
  <c r="H5" i="4" s="1"/>
  <c r="F6" i="4"/>
  <c r="H6" i="4" s="1"/>
  <c r="F7" i="4"/>
  <c r="H7" i="4" s="1"/>
  <c r="F8" i="4"/>
  <c r="H8" i="4" s="1"/>
  <c r="F9" i="4"/>
  <c r="H9" i="4" s="1"/>
  <c r="F10" i="4"/>
  <c r="H10" i="4" s="1"/>
  <c r="F11" i="4"/>
  <c r="H11" i="4" s="1"/>
  <c r="F12" i="4"/>
  <c r="H12" i="4" s="1"/>
  <c r="F13" i="4"/>
  <c r="H13" i="4" s="1"/>
  <c r="F14" i="4"/>
  <c r="H14" i="4" s="1"/>
  <c r="F15" i="4"/>
  <c r="H15" i="4" s="1"/>
  <c r="F16" i="4"/>
  <c r="H16" i="4" s="1"/>
  <c r="F17" i="4"/>
  <c r="H17" i="4" s="1"/>
  <c r="F18" i="4"/>
  <c r="H18" i="4" s="1"/>
  <c r="F19" i="4"/>
  <c r="H19" i="4" s="1"/>
  <c r="F20" i="4"/>
  <c r="H20" i="4" s="1"/>
  <c r="F21" i="4"/>
  <c r="H21" i="4" s="1"/>
  <c r="F22" i="4"/>
  <c r="H22" i="4" s="1"/>
  <c r="F23" i="4"/>
  <c r="H23" i="4" s="1"/>
  <c r="F24" i="4"/>
  <c r="H24" i="4" s="1"/>
  <c r="F25" i="4"/>
  <c r="H25" i="4" s="1"/>
  <c r="F26" i="4"/>
  <c r="H26" i="4" s="1"/>
  <c r="F27" i="4"/>
  <c r="H27" i="4" s="1"/>
  <c r="F28" i="4"/>
  <c r="H28" i="4" s="1"/>
  <c r="F29" i="4"/>
  <c r="H29" i="4" s="1"/>
  <c r="F30" i="4"/>
  <c r="H30" i="4" s="1"/>
  <c r="F31" i="4"/>
  <c r="H31" i="4" s="1"/>
  <c r="F32" i="4"/>
  <c r="H32" i="4" s="1"/>
  <c r="F33" i="4"/>
  <c r="H33" i="4" s="1"/>
  <c r="F34" i="4"/>
  <c r="H34" i="4" s="1"/>
  <c r="F35" i="4"/>
  <c r="H35" i="4" s="1"/>
  <c r="F36" i="4"/>
  <c r="H36" i="4" s="1"/>
  <c r="F37" i="4"/>
  <c r="H37" i="4" s="1"/>
  <c r="F38" i="4"/>
  <c r="H38" i="4" s="1"/>
  <c r="F39" i="4"/>
  <c r="H39" i="4" s="1"/>
  <c r="F40" i="4"/>
  <c r="H40" i="4" s="1"/>
  <c r="F41" i="4"/>
  <c r="H41" i="4" s="1"/>
  <c r="F42" i="4"/>
  <c r="H42" i="4" s="1"/>
  <c r="F43" i="4"/>
  <c r="H43" i="4" s="1"/>
  <c r="F44" i="4"/>
  <c r="H44" i="4" s="1"/>
  <c r="F45" i="4"/>
  <c r="H45" i="4" s="1"/>
  <c r="F46" i="4"/>
  <c r="H46" i="4" s="1"/>
  <c r="F47" i="4"/>
  <c r="H47" i="4" s="1"/>
  <c r="F48" i="4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M5" i="4" l="1"/>
  <c r="N5" i="4"/>
  <c r="M6" i="4"/>
  <c r="O6" i="4" s="1"/>
  <c r="N6" i="4"/>
  <c r="M7" i="4"/>
  <c r="O7" i="4" s="1"/>
  <c r="N7" i="4"/>
  <c r="M8" i="4"/>
  <c r="O8" i="4" s="1"/>
  <c r="N8" i="4"/>
  <c r="M9" i="4"/>
  <c r="O9" i="4" s="1"/>
  <c r="N9" i="4"/>
  <c r="N4" i="4"/>
  <c r="M4" i="4"/>
  <c r="O4" i="4" s="1"/>
  <c r="H129" i="4"/>
  <c r="H130" i="4" s="1"/>
  <c r="O21" i="4" l="1"/>
  <c r="O25" i="4" s="1"/>
  <c r="O5" i="4"/>
  <c r="O16" i="4" s="1" a="1"/>
  <c r="O16" i="4" s="1"/>
</calcChain>
</file>

<file path=xl/sharedStrings.xml><?xml version="1.0" encoding="utf-8"?>
<sst xmlns="http://schemas.openxmlformats.org/spreadsheetml/2006/main" count="60" uniqueCount="45">
  <si>
    <t>X</t>
  </si>
  <si>
    <t>A</t>
  </si>
  <si>
    <t>X'</t>
  </si>
  <si>
    <t>X(t+h)</t>
  </si>
  <si>
    <t>h=</t>
  </si>
  <si>
    <t>t</t>
  </si>
  <si>
    <t>X1</t>
  </si>
  <si>
    <t>X2</t>
  </si>
  <si>
    <t>X3</t>
  </si>
  <si>
    <t xml:space="preserve">Básico : </t>
  </si>
  <si>
    <t>Definir como vetores coluna</t>
  </si>
  <si>
    <t>Passar para a tabela transpondo ( como vetores linha )</t>
  </si>
  <si>
    <t>n</t>
  </si>
  <si>
    <t>lg(n)/lg(2)</t>
  </si>
  <si>
    <t>X1(real)</t>
  </si>
  <si>
    <t>X1(imag)</t>
  </si>
  <si>
    <t>|F(w)|</t>
  </si>
  <si>
    <t>w</t>
  </si>
  <si>
    <t>re(F(w))</t>
  </si>
  <si>
    <t>im(F(w))</t>
  </si>
  <si>
    <t>Isto indica que a frequência de oscilação do sistema é :</t>
  </si>
  <si>
    <t>O espectro é bem definido e concentrado em uma frequência</t>
  </si>
  <si>
    <t>X1'(real)</t>
  </si>
  <si>
    <t>w=</t>
  </si>
  <si>
    <t>p=</t>
  </si>
  <si>
    <t>X1(calc)</t>
  </si>
  <si>
    <t>Ocor.no?</t>
  </si>
  <si>
    <t>Picos positivos</t>
  </si>
  <si>
    <t>no?</t>
  </si>
  <si>
    <t>X1max</t>
  </si>
  <si>
    <t>X1calc</t>
  </si>
  <si>
    <t>A=</t>
  </si>
  <si>
    <t>k=</t>
  </si>
  <si>
    <t>S.erro^2=</t>
  </si>
  <si>
    <t>X1max.calc. = A.e^(-k.t)</t>
  </si>
  <si>
    <t>O período T será o tempo entre dois picos</t>
  </si>
  <si>
    <t>hertz</t>
  </si>
  <si>
    <t>f = 1/T -&gt;</t>
  </si>
  <si>
    <t>Esta planilha permite também estimar a frequência f</t>
  </si>
  <si>
    <t>f =</t>
  </si>
  <si>
    <t>f=</t>
  </si>
  <si>
    <t>Pela FFT =</t>
  </si>
  <si>
    <t>Dif%=</t>
  </si>
  <si>
    <t>X1 = A.exp(-k.t).[cos(wt+p)]</t>
  </si>
  <si>
    <t>S.e^2=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</si>
</sst>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2" formatCode="#,##0.0"/>
    <numFmt numFmtId="173" formatCode="0.0"/>
    <numFmt numFmtId="175" formatCode="0.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5">
    <xf numFmtId="0" fontId="0" fillId="0" borderId="0" xfId="0"/>
    <xf numFmtId="0" fontId="0" fillId="0" borderId="0" xfId="0" applyAlignment="1">
      <alignment horizontal="center"/>
    </xf>
    <xf numFmtId="172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173" fontId="0" fillId="0" borderId="0" xfId="0" applyNumberFormat="1"/>
    <xf numFmtId="2" fontId="0" fillId="0" borderId="0" xfId="0" applyNumberFormat="1" applyAlignment="1">
      <alignment horizontal="center"/>
    </xf>
    <xf numFmtId="2" fontId="0" fillId="0" borderId="0" xfId="0" applyNumberFormat="1"/>
    <xf numFmtId="172" fontId="0" fillId="0" borderId="0" xfId="0" applyNumberFormat="1" applyAlignment="1">
      <alignment horizontal="center"/>
    </xf>
    <xf numFmtId="0" fontId="0" fillId="2" borderId="1" xfId="0" applyFill="1" applyBorder="1"/>
    <xf numFmtId="0" fontId="0" fillId="3" borderId="0" xfId="0" applyFill="1"/>
    <xf numFmtId="3" fontId="0" fillId="3" borderId="1" xfId="0" applyNumberFormat="1" applyFill="1" applyBorder="1"/>
    <xf numFmtId="0" fontId="2" fillId="0" borderId="0" xfId="0" applyFont="1"/>
    <xf numFmtId="175" fontId="1" fillId="0" borderId="0" xfId="1" applyNumberFormat="1" applyFont="1" applyAlignment="1">
      <alignment horizontal="left"/>
    </xf>
    <xf numFmtId="2" fontId="0" fillId="0" borderId="0" xfId="0" applyNumberFormat="1" applyAlignment="1">
      <alignment horizontal="left"/>
    </xf>
  </cellXfs>
  <cellStyles count="2">
    <cellStyle name="Normal" xfId="0" builtinId="0"/>
    <cellStyle name="Porcentagem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Análise</a:t>
            </a:r>
            <a:r>
              <a:rPr lang="pt-BR" baseline="0"/>
              <a:t> Temporal</a:t>
            </a:r>
            <a:endParaRPr lang="pt-BR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708336105874091"/>
          <c:y val="0.11210320932105709"/>
          <c:w val="0.81458333333333333"/>
          <c:h val="0.7847222222222222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Plan1!$D$9</c:f>
              <c:strCache>
                <c:ptCount val="1"/>
                <c:pt idx="0">
                  <c:v>X1</c:v>
                </c:pt>
              </c:strCache>
            </c:strRef>
          </c:tx>
          <c:marker>
            <c:symbol val="none"/>
          </c:marker>
          <c:xVal>
            <c:numRef>
              <c:f>Plan1!$C$10:$C$100</c:f>
              <c:numCache>
                <c:formatCode>#,##0.0</c:formatCode>
                <c:ptCount val="9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</c:numCache>
            </c:numRef>
          </c:xVal>
          <c:yVal>
            <c:numRef>
              <c:f>Plan1!$D$10:$D$100</c:f>
              <c:numCache>
                <c:formatCode>#,##0.0</c:formatCode>
                <c:ptCount val="91"/>
                <c:pt idx="0">
                  <c:v>-10</c:v>
                </c:pt>
                <c:pt idx="1">
                  <c:v>5.5</c:v>
                </c:pt>
                <c:pt idx="2">
                  <c:v>39.412500000000001</c:v>
                </c:pt>
                <c:pt idx="3">
                  <c:v>75.957719999999995</c:v>
                </c:pt>
                <c:pt idx="4">
                  <c:v>107.21082712499999</c:v>
                </c:pt>
                <c:pt idx="5">
                  <c:v>128.72383061624998</c:v>
                </c:pt>
                <c:pt idx="6">
                  <c:v>138.07386508125373</c:v>
                </c:pt>
                <c:pt idx="7">
                  <c:v>134.39845031939322</c:v>
                </c:pt>
                <c:pt idx="8">
                  <c:v>118.20995185158617</c:v>
                </c:pt>
                <c:pt idx="9">
                  <c:v>91.235624003926034</c:v>
                </c:pt>
                <c:pt idx="10">
                  <c:v>56.201378414818933</c:v>
                </c:pt>
                <c:pt idx="11">
                  <c:v>16.54568199384159</c:v>
                </c:pt>
                <c:pt idx="12">
                  <c:v>-23.92091020907187</c:v>
                </c:pt>
                <c:pt idx="13">
                  <c:v>-61.382183604144409</c:v>
                </c:pt>
                <c:pt idx="14">
                  <c:v>-92.375412711959086</c:v>
                </c:pt>
                <c:pt idx="15">
                  <c:v>-114.11023194668849</c:v>
                </c:pt>
                <c:pt idx="16">
                  <c:v>-124.71824689177895</c:v>
                </c:pt>
                <c:pt idx="17">
                  <c:v>-123.41131376641286</c:v>
                </c:pt>
                <c:pt idx="18">
                  <c:v>-110.53535733917175</c:v>
                </c:pt>
                <c:pt idx="19">
                  <c:v>-87.516638374086739</c:v>
                </c:pt>
                <c:pt idx="20">
                  <c:v>-56.707536374533284</c:v>
                </c:pt>
                <c:pt idx="21">
                  <c:v>-21.148218370214671</c:v>
                </c:pt>
                <c:pt idx="22">
                  <c:v>15.731841151602566</c:v>
                </c:pt>
                <c:pt idx="23">
                  <c:v>50.443322711394707</c:v>
                </c:pt>
                <c:pt idx="24">
                  <c:v>79.765976045200858</c:v>
                </c:pt>
                <c:pt idx="25">
                  <c:v>101.04609746054622</c:v>
                </c:pt>
                <c:pt idx="26">
                  <c:v>112.43521348882139</c:v>
                </c:pt>
                <c:pt idx="27">
                  <c:v>113.04864952795725</c:v>
                </c:pt>
                <c:pt idx="28">
                  <c:v>103.03058764096386</c:v>
                </c:pt>
                <c:pt idx="29">
                  <c:v>83.521253146948652</c:v>
                </c:pt>
                <c:pt idx="30">
                  <c:v>56.531145514409303</c:v>
                </c:pt>
                <c:pt idx="31">
                  <c:v>24.73586944638215</c:v>
                </c:pt>
                <c:pt idx="32">
                  <c:v>-8.78767285883767</c:v>
                </c:pt>
                <c:pt idx="33">
                  <c:v>-40.857847459318862</c:v>
                </c:pt>
                <c:pt idx="34">
                  <c:v>-68.489138972019006</c:v>
                </c:pt>
                <c:pt idx="35">
                  <c:v>-89.168942723339811</c:v>
                </c:pt>
                <c:pt idx="36">
                  <c:v>-101.08474692300138</c:v>
                </c:pt>
                <c:pt idx="37">
                  <c:v>-103.281292034434</c:v>
                </c:pt>
                <c:pt idx="38">
                  <c:v>-95.734254888983685</c:v>
                </c:pt>
                <c:pt idx="39">
                  <c:v>-79.335098859318734</c:v>
                </c:pt>
                <c:pt idx="40">
                  <c:v>-55.790176998772878</c:v>
                </c:pt>
                <c:pt idx="41">
                  <c:v>-27.445172483710532</c:v>
                </c:pt>
                <c:pt idx="42">
                  <c:v>2.9472329355005904</c:v>
                </c:pt>
                <c:pt idx="43">
                  <c:v>32.493573559647857</c:v>
                </c:pt>
                <c:pt idx="44">
                  <c:v>58.434054153739631</c:v>
                </c:pt>
                <c:pt idx="45">
                  <c:v>78.399307051550835</c:v>
                </c:pt>
                <c:pt idx="46">
                  <c:v>90.625663130657941</c:v>
                </c:pt>
                <c:pt idx="47">
                  <c:v>94.109490646984128</c:v>
                </c:pt>
                <c:pt idx="48">
                  <c:v>88.687244190712619</c:v>
                </c:pt>
                <c:pt idx="49">
                  <c:v>75.035095127501876</c:v>
                </c:pt>
                <c:pt idx="50">
                  <c:v>54.589684338667091</c:v>
                </c:pt>
                <c:pt idx="51">
                  <c:v>29.398919141467125</c:v>
                </c:pt>
                <c:pt idx="52">
                  <c:v>1.9181409649514407</c:v>
                </c:pt>
                <c:pt idx="53">
                  <c:v>-25.228164705681959</c:v>
                </c:pt>
                <c:pt idx="54">
                  <c:v>-49.496085353925231</c:v>
                </c:pt>
                <c:pt idx="55">
                  <c:v>-68.659752517517063</c:v>
                </c:pt>
                <c:pt idx="56">
                  <c:v>-81.014487785241116</c:v>
                </c:pt>
                <c:pt idx="57">
                  <c:v>-85.527182624322663</c:v>
                </c:pt>
                <c:pt idx="58">
                  <c:v>-81.920773282889542</c:v>
                </c:pt>
                <c:pt idx="59">
                  <c:v>-70.686109314072041</c:v>
                </c:pt>
                <c:pt idx="60">
                  <c:v>-53.021460558667528</c:v>
                </c:pt>
                <c:pt idx="61">
                  <c:v>-30.706700621454601</c:v>
                </c:pt>
                <c:pt idx="62">
                  <c:v>-5.9252096831457521</c:v>
                </c:pt>
                <c:pt idx="63">
                  <c:v>18.948793432412579</c:v>
                </c:pt>
                <c:pt idx="64">
                  <c:v>41.576864048866319</c:v>
                </c:pt>
                <c:pt idx="65">
                  <c:v>59.875339678289421</c:v>
                </c:pt>
                <c:pt idx="66">
                  <c:v>72.206311695892254</c:v>
                </c:pt>
                <c:pt idx="67">
                  <c:v>77.523145470629416</c:v>
                </c:pt>
                <c:pt idx="68">
                  <c:v>75.457729735513936</c:v>
                </c:pt>
                <c:pt idx="69">
                  <c:v>66.342350130916159</c:v>
                </c:pt>
                <c:pt idx="70">
                  <c:v>51.165356451425673</c:v>
                </c:pt>
                <c:pt idx="71">
                  <c:v>31.466028227949401</c:v>
                </c:pt>
                <c:pt idx="72">
                  <c:v>9.1796538838140194</c:v>
                </c:pt>
                <c:pt idx="73">
                  <c:v>-13.551690558904706</c:v>
                </c:pt>
                <c:pt idx="74">
                  <c:v>-34.584245020792608</c:v>
                </c:pt>
                <c:pt idx="75">
                  <c:v>-51.973985883423893</c:v>
                </c:pt>
                <c:pt idx="76">
                  <c:v>-64.155510627040357</c:v>
                </c:pt>
                <c:pt idx="77">
                  <c:v>-70.082003875037088</c:v>
                </c:pt>
                <c:pt idx="78">
                  <c:v>-69.313865040062097</c:v>
                </c:pt>
                <c:pt idx="79">
                  <c:v>-62.048633196226561</c:v>
                </c:pt>
                <c:pt idx="80">
                  <c:v>-49.090497376066772</c:v>
                </c:pt>
                <c:pt idx="81">
                  <c:v>-31.763388012263061</c:v>
                </c:pt>
                <c:pt idx="82">
                  <c:v>-11.776870508015378</c:v>
                </c:pt>
                <c:pt idx="83">
                  <c:v>8.9416769131927012</c:v>
                </c:pt>
                <c:pt idx="84">
                  <c:v>28.432204104382041</c:v>
                </c:pt>
                <c:pt idx="85">
                  <c:v>44.886731794057354</c:v>
                </c:pt>
                <c:pt idx="86">
                  <c:v>56.816348646267855</c:v>
                </c:pt>
                <c:pt idx="87">
                  <c:v>63.185106900410901</c:v>
                </c:pt>
                <c:pt idx="88">
                  <c:v>63.498858105809397</c:v>
                </c:pt>
                <c:pt idx="89">
                  <c:v>57.841527442248193</c:v>
                </c:pt>
                <c:pt idx="90">
                  <c:v>46.856403328810863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704-40CC-8CC8-B221B8C7FB7D}"/>
            </c:ext>
          </c:extLst>
        </c:ser>
        <c:ser>
          <c:idx val="1"/>
          <c:order val="1"/>
          <c:tx>
            <c:strRef>
              <c:f>Plan1!$E$9</c:f>
              <c:strCache>
                <c:ptCount val="1"/>
                <c:pt idx="0">
                  <c:v>X2</c:v>
                </c:pt>
              </c:strCache>
            </c:strRef>
          </c:tx>
          <c:marker>
            <c:symbol val="none"/>
          </c:marker>
          <c:xVal>
            <c:numRef>
              <c:f>Plan1!$C$10:$C$100</c:f>
              <c:numCache>
                <c:formatCode>#,##0.0</c:formatCode>
                <c:ptCount val="9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</c:numCache>
            </c:numRef>
          </c:xVal>
          <c:yVal>
            <c:numRef>
              <c:f>Plan1!$E$10:$E$100</c:f>
              <c:numCache>
                <c:formatCode>#,##0.0</c:formatCode>
                <c:ptCount val="91"/>
                <c:pt idx="0">
                  <c:v>-10</c:v>
                </c:pt>
                <c:pt idx="1">
                  <c:v>-58.015000000000001</c:v>
                </c:pt>
                <c:pt idx="2">
                  <c:v>-72.303749999999994</c:v>
                </c:pt>
                <c:pt idx="3">
                  <c:v>-69.603731249999996</c:v>
                </c:pt>
                <c:pt idx="4">
                  <c:v>-56.814685919999995</c:v>
                </c:pt>
                <c:pt idx="5">
                  <c:v>-37.62194193281249</c:v>
                </c:pt>
                <c:pt idx="6">
                  <c:v>-14.780742947375614</c:v>
                </c:pt>
                <c:pt idx="7">
                  <c:v>9.1929813471495159</c:v>
                </c:pt>
                <c:pt idx="8">
                  <c:v>31.916409144511896</c:v>
                </c:pt>
                <c:pt idx="9">
                  <c:v>51.238570657511318</c:v>
                </c:pt>
                <c:pt idx="10">
                  <c:v>65.393605262790658</c:v>
                </c:pt>
                <c:pt idx="11">
                  <c:v>73.143310622060099</c:v>
                </c:pt>
                <c:pt idx="12">
                  <c:v>73.877730981595505</c:v>
                </c:pt>
                <c:pt idx="13">
                  <c:v>67.658570493604685</c:v>
                </c:pt>
                <c:pt idx="14">
                  <c:v>55.200048325575331</c:v>
                </c:pt>
                <c:pt idx="15">
                  <c:v>37.789304079090741</c:v>
                </c:pt>
                <c:pt idx="16">
                  <c:v>17.154650429750106</c:v>
                </c:pt>
                <c:pt idx="17">
                  <c:v>-4.7050870047985676</c:v>
                </c:pt>
                <c:pt idx="18">
                  <c:v>-25.71342275709436</c:v>
                </c:pt>
                <c:pt idx="19">
                  <c:v>-43.912739839580496</c:v>
                </c:pt>
                <c:pt idx="20">
                  <c:v>-57.645967634519877</c:v>
                </c:pt>
                <c:pt idx="21">
                  <c:v>-65.70662225383775</c:v>
                </c:pt>
                <c:pt idx="22">
                  <c:v>-67.443707512563677</c:v>
                </c:pt>
                <c:pt idx="23">
                  <c:v>-62.812467553775704</c:v>
                </c:pt>
                <c:pt idx="24">
                  <c:v>-52.367237521393662</c:v>
                </c:pt>
                <c:pt idx="25">
                  <c:v>-37.198148337589998</c:v>
                </c:pt>
                <c:pt idx="26">
                  <c:v>-18.818683186418589</c:v>
                </c:pt>
                <c:pt idx="27">
                  <c:v>0.98443066926017764</c:v>
                </c:pt>
                <c:pt idx="28">
                  <c:v>20.324187889527312</c:v>
                </c:pt>
                <c:pt idx="29">
                  <c:v>37.392452029100035</c:v>
                </c:pt>
                <c:pt idx="30">
                  <c:v>50.628338306209933</c:v>
                </c:pt>
                <c:pt idx="31">
                  <c:v>58.860215559248168</c:v>
                </c:pt>
                <c:pt idx="32">
                  <c:v>61.408481517951245</c:v>
                </c:pt>
                <c:pt idx="33">
                  <c:v>58.14019112731004</c:v>
                </c:pt>
                <c:pt idx="34">
                  <c:v>49.471307740714423</c:v>
                </c:pt>
                <c:pt idx="35">
                  <c:v>36.317346631936203</c:v>
                </c:pt>
                <c:pt idx="36">
                  <c:v>19.998013990766257</c:v>
                </c:pt>
                <c:pt idx="37">
                  <c:v>2.1056613832263125</c:v>
                </c:pt>
                <c:pt idx="38">
                  <c:v>-15.649409008179497</c:v>
                </c:pt>
                <c:pt idx="39">
                  <c:v>-31.601822494507182</c:v>
                </c:pt>
                <c:pt idx="40">
                  <c:v>-44.286738995526356</c:v>
                </c:pt>
                <c:pt idx="41">
                  <c:v>-52.573707298721857</c:v>
                </c:pt>
                <c:pt idx="42">
                  <c:v>-55.76659932602638</c:v>
                </c:pt>
                <c:pt idx="43">
                  <c:v>-53.660871650963358</c:v>
                </c:pt>
                <c:pt idx="44">
                  <c:v>-46.553574193393644</c:v>
                </c:pt>
                <c:pt idx="45">
                  <c:v>-35.206050817491104</c:v>
                </c:pt>
                <c:pt idx="46">
                  <c:v>-20.763721808111054</c:v>
                </c:pt>
                <c:pt idx="47">
                  <c:v>-4.6412877958106122</c:v>
                </c:pt>
                <c:pt idx="48">
                  <c:v>11.615213108460015</c:v>
                </c:pt>
                <c:pt idx="49">
                  <c:v>26.476102850279613</c:v>
                </c:pt>
                <c:pt idx="50">
                  <c:v>38.571457959514376</c:v>
                </c:pt>
                <c:pt idx="51">
                  <c:v>46.81681089666661</c:v>
                </c:pt>
                <c:pt idx="52">
                  <c:v>50.50968095159061</c:v>
                </c:pt>
                <c:pt idx="53">
                  <c:v>49.388412705672522</c:v>
                </c:pt>
                <c:pt idx="54">
                  <c:v>43.648500570935035</c:v>
                </c:pt>
                <c:pt idx="55">
                  <c:v>33.915662057819986</c:v>
                </c:pt>
                <c:pt idx="56">
                  <c:v>21.178999340929266</c:v>
                </c:pt>
                <c:pt idx="57">
                  <c:v>6.6912755304604215</c:v>
                </c:pt>
                <c:pt idx="58">
                  <c:v>-8.1537102268041171</c:v>
                </c:pt>
                <c:pt idx="59">
                  <c:v>-21.954700297722482</c:v>
                </c:pt>
                <c:pt idx="60">
                  <c:v>-33.434755106347438</c:v>
                </c:pt>
                <c:pt idx="61">
                  <c:v>-41.558883056445097</c:v>
                </c:pt>
                <c:pt idx="62">
                  <c:v>-45.626738391156117</c:v>
                </c:pt>
                <c:pt idx="63">
                  <c:v>-45.332145706564546</c:v>
                </c:pt>
                <c:pt idx="64">
                  <c:v>-40.784480549063503</c:v>
                </c:pt>
                <c:pt idx="65">
                  <c:v>-32.490611929850843</c:v>
                </c:pt>
                <c:pt idx="66">
                  <c:v>-21.299841717322643</c:v>
                </c:pt>
                <c:pt idx="67">
                  <c:v>-8.3177064106665259</c:v>
                </c:pt>
                <c:pt idx="68">
                  <c:v>5.2026779242590511</c:v>
                </c:pt>
                <c:pt idx="69">
                  <c:v>17.981099712473281</c:v>
                </c:pt>
                <c:pt idx="70">
                  <c:v>28.831024878715187</c:v>
                </c:pt>
                <c:pt idx="71">
                  <c:v>36.769307745386264</c:v>
                </c:pt>
                <c:pt idx="72">
                  <c:v>41.104740538874836</c:v>
                </c:pt>
                <c:pt idx="73">
                  <c:v>41.497519307378617</c:v>
                </c:pt>
                <c:pt idx="74">
                  <c:v>37.984584590783705</c:v>
                </c:pt>
                <c:pt idx="75">
                  <c:v>30.969095396491102</c:v>
                </c:pt>
                <c:pt idx="76">
                  <c:v>21.175697036078311</c:v>
                </c:pt>
                <c:pt idx="77">
                  <c:v>9.5764256694700691</c:v>
                </c:pt>
                <c:pt idx="78">
                  <c:v>-2.7052398500273291</c:v>
                </c:pt>
                <c:pt idx="79">
                  <c:v>-14.502756011675782</c:v>
                </c:pt>
                <c:pt idx="80">
                  <c:v>-24.716908531687814</c:v>
                </c:pt>
                <c:pt idx="81">
                  <c:v>-32.417813717196672</c:v>
                </c:pt>
                <c:pt idx="82">
                  <c:v>-36.929102280956691</c:v>
                </c:pt>
                <c:pt idx="83">
                  <c:v>-37.886710907172194</c:v>
                </c:pt>
                <c:pt idx="84">
                  <c:v>-35.267234126682347</c:v>
                </c:pt>
                <c:pt idx="85">
                  <c:v>-29.383743152955503</c:v>
                </c:pt>
                <c:pt idx="86">
                  <c:v>-20.850073751851387</c:v>
                </c:pt>
                <c:pt idx="87">
                  <c:v>-10.517528531165452</c:v>
                </c:pt>
                <c:pt idx="88">
                  <c:v>0.60954341123668243</c:v>
                </c:pt>
                <c:pt idx="89">
                  <c:v>11.470963279410018</c:v>
                </c:pt>
                <c:pt idx="90">
                  <c:v>21.051363422790942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704-40CC-8CC8-B221B8C7FB7D}"/>
            </c:ext>
          </c:extLst>
        </c:ser>
        <c:ser>
          <c:idx val="2"/>
          <c:order val="2"/>
          <c:tx>
            <c:strRef>
              <c:f>Plan1!$F$9</c:f>
              <c:strCache>
                <c:ptCount val="1"/>
                <c:pt idx="0">
                  <c:v>X3</c:v>
                </c:pt>
              </c:strCache>
            </c:strRef>
          </c:tx>
          <c:marker>
            <c:symbol val="none"/>
          </c:marker>
          <c:xVal>
            <c:numRef>
              <c:f>Plan1!$C$10:$C$100</c:f>
              <c:numCache>
                <c:formatCode>#,##0.0</c:formatCode>
                <c:ptCount val="9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</c:numCache>
            </c:numRef>
          </c:xVal>
          <c:yVal>
            <c:numRef>
              <c:f>Plan1!$F$10:$F$100</c:f>
              <c:numCache>
                <c:formatCode>#,##0.0</c:formatCode>
                <c:ptCount val="91"/>
                <c:pt idx="0">
                  <c:v>-50</c:v>
                </c:pt>
                <c:pt idx="1">
                  <c:v>-25.9</c:v>
                </c:pt>
                <c:pt idx="2">
                  <c:v>-11.819849999999999</c:v>
                </c:pt>
                <c:pt idx="3">
                  <c:v>-1.2456374999999991</c:v>
                </c:pt>
                <c:pt idx="4">
                  <c:v>7.6689905625000012</c:v>
                </c:pt>
                <c:pt idx="5">
                  <c:v>15.123724852950001</c:v>
                </c:pt>
                <c:pt idx="6">
                  <c:v>20.810464907428127</c:v>
                </c:pt>
                <c:pt idx="7">
                  <c:v>24.360426391313194</c:v>
                </c:pt>
                <c:pt idx="8">
                  <c:v>25.528128414124424</c:v>
                </c:pt>
                <c:pt idx="9">
                  <c:v>24.265895300775711</c:v>
                </c:pt>
                <c:pt idx="10">
                  <c:v>20.744124344205346</c:v>
                </c:pt>
                <c:pt idx="11">
                  <c:v>15.33826396095666</c:v>
                </c:pt>
                <c:pt idx="12">
                  <c:v>8.5922670736418887</c:v>
                </c:pt>
                <c:pt idx="13">
                  <c:v>1.1652652060978017</c:v>
                </c:pt>
                <c:pt idx="14">
                  <c:v>-6.2321714623015874</c:v>
                </c:pt>
                <c:pt idx="15">
                  <c:v>-12.905627485602455</c:v>
                </c:pt>
                <c:pt idx="16">
                  <c:v>-18.241729978260985</c:v>
                </c:pt>
                <c:pt idx="17">
                  <c:v>-21.764236182605888</c:v>
                </c:pt>
                <c:pt idx="18">
                  <c:v>-23.176198597896246</c:v>
                </c:pt>
                <c:pt idx="19">
                  <c:v>-22.384500805294355</c:v>
                </c:pt>
                <c:pt idx="20">
                  <c:v>-19.504786841660049</c:v>
                </c:pt>
                <c:pt idx="21">
                  <c:v>-14.846687381938155</c:v>
                </c:pt>
                <c:pt idx="22">
                  <c:v>-8.8810993054521674</c:v>
                </c:pt>
                <c:pt idx="23">
                  <c:v>-2.1929284624401904</c:v>
                </c:pt>
                <c:pt idx="24">
                  <c:v>4.575992715457132</c:v>
                </c:pt>
                <c:pt idx="25">
                  <c:v>10.788266337462588</c:v>
                </c:pt>
                <c:pt idx="26">
                  <c:v>15.870724398161816</c:v>
                </c:pt>
                <c:pt idx="27">
                  <c:v>19.367070379827233</c:v>
                </c:pt>
                <c:pt idx="28">
                  <c:v>20.978555836016739</c:v>
                </c:pt>
                <c:pt idx="29">
                  <c:v>20.589094803209484</c:v>
                </c:pt>
                <c:pt idx="30">
                  <c:v>18.272748196008607</c:v>
                </c:pt>
                <c:pt idx="31">
                  <c:v>14.283205266383135</c:v>
                </c:pt>
                <c:pt idx="32">
                  <c:v>9.0265874222373004</c:v>
                </c:pt>
                <c:pt idx="33">
                  <c:v>3.0204416100553706</c:v>
                </c:pt>
                <c:pt idx="34">
                  <c:v>-3.1569658521773016</c:v>
                </c:pt>
                <c:pt idx="35">
                  <c:v>-8.9221099006976949</c:v>
                </c:pt>
                <c:pt idx="36">
                  <c:v>-13.741122689002191</c:v>
                </c:pt>
                <c:pt idx="37">
                  <c:v>-17.179016176708895</c:v>
                </c:pt>
                <c:pt idx="38">
                  <c:v>-18.93869390563011</c:v>
                </c:pt>
                <c:pt idx="39">
                  <c:v>-18.886278351631631</c:v>
                </c:pt>
                <c:pt idx="40">
                  <c:v>-17.060630836802616</c:v>
                </c:pt>
                <c:pt idx="41">
                  <c:v>-13.666465728323333</c:v>
                </c:pt>
                <c:pt idx="42">
                  <c:v>-9.0520130395455016</c:v>
                </c:pt>
                <c:pt idx="43">
                  <c:v>-3.6736172329624281</c:v>
                </c:pt>
                <c:pt idx="44">
                  <c:v>1.9491574559932054</c:v>
                </c:pt>
                <c:pt idx="45">
                  <c:v>7.2835198853045027</c:v>
                </c:pt>
                <c:pt idx="46">
                  <c:v>11.833751155982245</c:v>
                </c:pt>
                <c:pt idx="47">
                  <c:v>15.187079109138027</c:v>
                </c:pt>
                <c:pt idx="48">
                  <c:v>17.050901497225532</c:v>
                </c:pt>
                <c:pt idx="49">
                  <c:v>17.278023036599429</c:v>
                </c:pt>
                <c:pt idx="50">
                  <c:v>15.877760002547106</c:v>
                </c:pt>
                <c:pt idx="51">
                  <c:v>13.01213385554512</c:v>
                </c:pt>
                <c:pt idx="52">
                  <c:v>8.9777907329526059</c:v>
                </c:pt>
                <c:pt idx="53">
                  <c:v>4.1756126534555413</c:v>
                </c:pt>
                <c:pt idx="54">
                  <c:v>-0.9288942708971506</c:v>
                </c:pt>
                <c:pt idx="55">
                  <c:v>-5.8505406765504491</c:v>
                </c:pt>
                <c:pt idx="56">
                  <c:v>-10.13040221060513</c:v>
                </c:pt>
                <c:pt idx="57">
                  <c:v>-13.378439877235969</c:v>
                </c:pt>
                <c:pt idx="58">
                  <c:v>-15.308850956354856</c:v>
                </c:pt>
                <c:pt idx="59">
                  <c:v>-15.764965704198341</c:v>
                </c:pt>
                <c:pt idx="60">
                  <c:v>-14.73154678052915</c:v>
                </c:pt>
                <c:pt idx="61">
                  <c:v>-12.333571895067855</c:v>
                </c:pt>
                <c:pt idx="62">
                  <c:v>-8.8218671791149372</c:v>
                </c:pt>
                <c:pt idx="63">
                  <c:v>-4.5471871739604826</c:v>
                </c:pt>
                <c:pt idx="64">
                  <c:v>7.4607213326662425E-2</c:v>
                </c:pt>
                <c:pt idx="65">
                  <c:v>4.6028348170405975</c:v>
                </c:pt>
                <c:pt idx="66">
                  <c:v>8.6138574956477498</c:v>
                </c:pt>
                <c:pt idx="67">
                  <c:v>11.740558334586327</c:v>
                </c:pt>
                <c:pt idx="68">
                  <c:v>13.705770778462771</c:v>
                </c:pt>
                <c:pt idx="69">
                  <c:v>14.346631583540189</c:v>
                </c:pt>
                <c:pt idx="70">
                  <c:v>13.627739807736978</c:v>
                </c:pt>
                <c:pt idx="71">
                  <c:v>11.642095300223904</c:v>
                </c:pt>
                <c:pt idx="72">
                  <c:v>8.5999573954530302</c:v>
                </c:pt>
                <c:pt idx="73">
                  <c:v>4.8068966807191682</c:v>
                </c:pt>
                <c:pt idx="74">
                  <c:v>0.63330409139532762</c:v>
                </c:pt>
                <c:pt idx="75">
                  <c:v>-3.5216183022894345</c:v>
                </c:pt>
                <c:pt idx="76">
                  <c:v>-7.2678986934520182</c:v>
                </c:pt>
                <c:pt idx="77">
                  <c:v>-10.261257379790829</c:v>
                </c:pt>
                <c:pt idx="78">
                  <c:v>-12.234593334093825</c:v>
                </c:pt>
                <c:pt idx="79">
                  <c:v>-13.02163077255285</c:v>
                </c:pt>
                <c:pt idx="80">
                  <c:v>-12.570651145782325</c:v>
                </c:pt>
                <c:pt idx="81">
                  <c:v>-10.947206225180961</c:v>
                </c:pt>
                <c:pt idx="82">
                  <c:v>-8.3257637766448198</c:v>
                </c:pt>
                <c:pt idx="83">
                  <c:v>-4.9712779163143805</c:v>
                </c:pt>
                <c:pt idx="84">
                  <c:v>-1.2126041577661981</c:v>
                </c:pt>
                <c:pt idx="85">
                  <c:v>2.5895906728219287</c:v>
                </c:pt>
                <c:pt idx="86">
                  <c:v>6.0773059473462556</c:v>
                </c:pt>
                <c:pt idx="87">
                  <c:v>8.9287885758184267</c:v>
                </c:pt>
                <c:pt idx="88">
                  <c:v>10.888080263261958</c:v>
                </c:pt>
                <c:pt idx="89">
                  <c:v>11.787830508099553</c:v>
                </c:pt>
                <c:pt idx="90">
                  <c:v>11.563358365480497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704-40CC-8CC8-B221B8C7F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4931216"/>
        <c:axId val="1"/>
      </c:scatterChart>
      <c:valAx>
        <c:axId val="424931216"/>
        <c:scaling>
          <c:orientation val="minMax"/>
        </c:scaling>
        <c:delete val="0"/>
        <c:axPos val="b"/>
        <c:numFmt formatCode="#,##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#,##0.0" sourceLinked="1"/>
        <c:majorTickMark val="out"/>
        <c:minorTickMark val="none"/>
        <c:tickLblPos val="nextTo"/>
        <c:crossAx val="424931216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38419149014823856"/>
          <c:y val="0.92563354041176504"/>
          <c:w val="0.23161687183468266"/>
          <c:h val="6.3784437017315287E-2"/>
        </c:manualLayout>
      </c:layout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Plan2!$J$2</c:f>
              <c:strCache>
                <c:ptCount val="1"/>
                <c:pt idx="0">
                  <c:v>|F(w)|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Plan2!$F$3:$F$130</c:f>
              <c:numCache>
                <c:formatCode>0.00</c:formatCode>
                <c:ptCount val="128"/>
                <c:pt idx="0">
                  <c:v>0</c:v>
                </c:pt>
                <c:pt idx="1">
                  <c:v>1.5625E-2</c:v>
                </c:pt>
                <c:pt idx="2">
                  <c:v>3.125E-2</c:v>
                </c:pt>
                <c:pt idx="3">
                  <c:v>4.6875E-2</c:v>
                </c:pt>
                <c:pt idx="4">
                  <c:v>6.25E-2</c:v>
                </c:pt>
                <c:pt idx="5">
                  <c:v>7.8125E-2</c:v>
                </c:pt>
                <c:pt idx="6">
                  <c:v>9.375E-2</c:v>
                </c:pt>
                <c:pt idx="7">
                  <c:v>0.109375</c:v>
                </c:pt>
                <c:pt idx="8">
                  <c:v>0.125</c:v>
                </c:pt>
                <c:pt idx="9">
                  <c:v>0.140625</c:v>
                </c:pt>
                <c:pt idx="10">
                  <c:v>0.15625</c:v>
                </c:pt>
                <c:pt idx="11">
                  <c:v>0.171875</c:v>
                </c:pt>
                <c:pt idx="12">
                  <c:v>0.1875</c:v>
                </c:pt>
                <c:pt idx="13">
                  <c:v>0.203125</c:v>
                </c:pt>
                <c:pt idx="14">
                  <c:v>0.21875</c:v>
                </c:pt>
                <c:pt idx="15">
                  <c:v>0.234375</c:v>
                </c:pt>
                <c:pt idx="16">
                  <c:v>0.25</c:v>
                </c:pt>
                <c:pt idx="17">
                  <c:v>0.265625</c:v>
                </c:pt>
                <c:pt idx="18">
                  <c:v>0.28125</c:v>
                </c:pt>
                <c:pt idx="19">
                  <c:v>0.296875</c:v>
                </c:pt>
                <c:pt idx="20">
                  <c:v>0.3125</c:v>
                </c:pt>
                <c:pt idx="21">
                  <c:v>0.328125</c:v>
                </c:pt>
                <c:pt idx="22">
                  <c:v>0.34375</c:v>
                </c:pt>
                <c:pt idx="23">
                  <c:v>0.359375</c:v>
                </c:pt>
                <c:pt idx="24">
                  <c:v>0.375</c:v>
                </c:pt>
                <c:pt idx="25">
                  <c:v>0.390625</c:v>
                </c:pt>
                <c:pt idx="26">
                  <c:v>0.40625</c:v>
                </c:pt>
                <c:pt idx="27">
                  <c:v>0.421875</c:v>
                </c:pt>
                <c:pt idx="28">
                  <c:v>0.4375</c:v>
                </c:pt>
                <c:pt idx="29">
                  <c:v>0.453125</c:v>
                </c:pt>
                <c:pt idx="30">
                  <c:v>0.46875</c:v>
                </c:pt>
                <c:pt idx="31">
                  <c:v>0.484375</c:v>
                </c:pt>
                <c:pt idx="32">
                  <c:v>0.5</c:v>
                </c:pt>
                <c:pt idx="33">
                  <c:v>0.515625</c:v>
                </c:pt>
                <c:pt idx="34">
                  <c:v>0.53125</c:v>
                </c:pt>
                <c:pt idx="35">
                  <c:v>0.546875</c:v>
                </c:pt>
                <c:pt idx="36">
                  <c:v>0.5625</c:v>
                </c:pt>
                <c:pt idx="37">
                  <c:v>0.578125</c:v>
                </c:pt>
                <c:pt idx="38">
                  <c:v>0.59375</c:v>
                </c:pt>
                <c:pt idx="39">
                  <c:v>0.609375</c:v>
                </c:pt>
                <c:pt idx="40">
                  <c:v>0.625</c:v>
                </c:pt>
                <c:pt idx="41">
                  <c:v>0.640625</c:v>
                </c:pt>
                <c:pt idx="42">
                  <c:v>0.65625</c:v>
                </c:pt>
                <c:pt idx="43">
                  <c:v>0.671875</c:v>
                </c:pt>
                <c:pt idx="44">
                  <c:v>0.6875</c:v>
                </c:pt>
                <c:pt idx="45">
                  <c:v>0.703125</c:v>
                </c:pt>
                <c:pt idx="46">
                  <c:v>0.71875</c:v>
                </c:pt>
                <c:pt idx="47">
                  <c:v>0.734375</c:v>
                </c:pt>
                <c:pt idx="48">
                  <c:v>0.75</c:v>
                </c:pt>
                <c:pt idx="49">
                  <c:v>0.765625</c:v>
                </c:pt>
                <c:pt idx="50">
                  <c:v>0.78125</c:v>
                </c:pt>
                <c:pt idx="51">
                  <c:v>0.796875</c:v>
                </c:pt>
                <c:pt idx="52">
                  <c:v>0.8125</c:v>
                </c:pt>
                <c:pt idx="53">
                  <c:v>0.828125</c:v>
                </c:pt>
                <c:pt idx="54">
                  <c:v>0.84375</c:v>
                </c:pt>
                <c:pt idx="55">
                  <c:v>0.859375</c:v>
                </c:pt>
                <c:pt idx="56">
                  <c:v>0.875</c:v>
                </c:pt>
                <c:pt idx="57">
                  <c:v>0.890625</c:v>
                </c:pt>
                <c:pt idx="58">
                  <c:v>0.90625</c:v>
                </c:pt>
                <c:pt idx="59">
                  <c:v>0.921875</c:v>
                </c:pt>
                <c:pt idx="60">
                  <c:v>0.9375</c:v>
                </c:pt>
                <c:pt idx="61">
                  <c:v>0.953125</c:v>
                </c:pt>
                <c:pt idx="62">
                  <c:v>0.96875</c:v>
                </c:pt>
                <c:pt idx="63">
                  <c:v>0.984375</c:v>
                </c:pt>
                <c:pt idx="64">
                  <c:v>-1</c:v>
                </c:pt>
                <c:pt idx="65">
                  <c:v>-0.984375</c:v>
                </c:pt>
                <c:pt idx="66">
                  <c:v>-0.96875</c:v>
                </c:pt>
                <c:pt idx="67">
                  <c:v>-0.953125</c:v>
                </c:pt>
                <c:pt idx="68">
                  <c:v>-0.9375</c:v>
                </c:pt>
                <c:pt idx="69">
                  <c:v>-0.921875</c:v>
                </c:pt>
                <c:pt idx="70">
                  <c:v>-0.90625</c:v>
                </c:pt>
                <c:pt idx="71">
                  <c:v>-0.890625</c:v>
                </c:pt>
                <c:pt idx="72">
                  <c:v>-0.875</c:v>
                </c:pt>
                <c:pt idx="73">
                  <c:v>-0.859375</c:v>
                </c:pt>
                <c:pt idx="74">
                  <c:v>-0.84375</c:v>
                </c:pt>
                <c:pt idx="75">
                  <c:v>-0.828125</c:v>
                </c:pt>
                <c:pt idx="76">
                  <c:v>-0.8125</c:v>
                </c:pt>
                <c:pt idx="77">
                  <c:v>-0.796875</c:v>
                </c:pt>
                <c:pt idx="78">
                  <c:v>-0.78125</c:v>
                </c:pt>
                <c:pt idx="79">
                  <c:v>-0.765625</c:v>
                </c:pt>
                <c:pt idx="80">
                  <c:v>-0.75</c:v>
                </c:pt>
                <c:pt idx="81">
                  <c:v>-0.734375</c:v>
                </c:pt>
                <c:pt idx="82">
                  <c:v>-0.71875</c:v>
                </c:pt>
                <c:pt idx="83">
                  <c:v>-0.703125</c:v>
                </c:pt>
                <c:pt idx="84">
                  <c:v>-0.6875</c:v>
                </c:pt>
                <c:pt idx="85">
                  <c:v>-0.671875</c:v>
                </c:pt>
                <c:pt idx="86">
                  <c:v>-0.65625</c:v>
                </c:pt>
                <c:pt idx="87">
                  <c:v>-0.640625</c:v>
                </c:pt>
                <c:pt idx="88">
                  <c:v>-0.625</c:v>
                </c:pt>
                <c:pt idx="89">
                  <c:v>-0.609375</c:v>
                </c:pt>
                <c:pt idx="90">
                  <c:v>-0.59375</c:v>
                </c:pt>
                <c:pt idx="91">
                  <c:v>-0.578125</c:v>
                </c:pt>
                <c:pt idx="92">
                  <c:v>-0.5625</c:v>
                </c:pt>
                <c:pt idx="93">
                  <c:v>-0.546875</c:v>
                </c:pt>
                <c:pt idx="94">
                  <c:v>-0.53125</c:v>
                </c:pt>
                <c:pt idx="95">
                  <c:v>-0.515625</c:v>
                </c:pt>
                <c:pt idx="96">
                  <c:v>-0.5</c:v>
                </c:pt>
                <c:pt idx="97">
                  <c:v>-0.484375</c:v>
                </c:pt>
                <c:pt idx="98">
                  <c:v>-0.46875</c:v>
                </c:pt>
                <c:pt idx="99">
                  <c:v>-0.453125</c:v>
                </c:pt>
                <c:pt idx="100">
                  <c:v>-0.4375</c:v>
                </c:pt>
                <c:pt idx="101">
                  <c:v>-0.421875</c:v>
                </c:pt>
                <c:pt idx="102">
                  <c:v>-0.40625</c:v>
                </c:pt>
                <c:pt idx="103">
                  <c:v>-0.390625</c:v>
                </c:pt>
                <c:pt idx="104">
                  <c:v>-0.375</c:v>
                </c:pt>
                <c:pt idx="105">
                  <c:v>-0.359375</c:v>
                </c:pt>
                <c:pt idx="106">
                  <c:v>-0.34375</c:v>
                </c:pt>
                <c:pt idx="107">
                  <c:v>-0.328125</c:v>
                </c:pt>
                <c:pt idx="108">
                  <c:v>-0.3125</c:v>
                </c:pt>
                <c:pt idx="109">
                  <c:v>-0.296875</c:v>
                </c:pt>
                <c:pt idx="110">
                  <c:v>-0.28125</c:v>
                </c:pt>
                <c:pt idx="111">
                  <c:v>-0.265625</c:v>
                </c:pt>
                <c:pt idx="112">
                  <c:v>-0.25</c:v>
                </c:pt>
                <c:pt idx="113">
                  <c:v>-0.234375</c:v>
                </c:pt>
                <c:pt idx="114">
                  <c:v>-0.21875</c:v>
                </c:pt>
                <c:pt idx="115">
                  <c:v>-0.203125</c:v>
                </c:pt>
                <c:pt idx="116">
                  <c:v>-0.1875</c:v>
                </c:pt>
                <c:pt idx="117">
                  <c:v>-0.171875</c:v>
                </c:pt>
                <c:pt idx="118">
                  <c:v>-0.15625</c:v>
                </c:pt>
                <c:pt idx="119">
                  <c:v>-0.140625</c:v>
                </c:pt>
                <c:pt idx="120">
                  <c:v>-0.125</c:v>
                </c:pt>
                <c:pt idx="121">
                  <c:v>-0.109375</c:v>
                </c:pt>
                <c:pt idx="122">
                  <c:v>-9.375E-2</c:v>
                </c:pt>
                <c:pt idx="123">
                  <c:v>-7.8125E-2</c:v>
                </c:pt>
                <c:pt idx="124">
                  <c:v>-6.25E-2</c:v>
                </c:pt>
                <c:pt idx="125">
                  <c:v>-4.6875E-2</c:v>
                </c:pt>
                <c:pt idx="126">
                  <c:v>-3.125E-2</c:v>
                </c:pt>
                <c:pt idx="127">
                  <c:v>-1.5625E-2</c:v>
                </c:pt>
              </c:numCache>
            </c:numRef>
          </c:xVal>
          <c:yVal>
            <c:numRef>
              <c:f>Plan2!$J$3:$J$130</c:f>
              <c:numCache>
                <c:formatCode>0.00</c:formatCode>
                <c:ptCount val="128"/>
                <c:pt idx="0">
                  <c:v>3.3933035831626643</c:v>
                </c:pt>
                <c:pt idx="1">
                  <c:v>3.5022160027319771</c:v>
                </c:pt>
                <c:pt idx="2">
                  <c:v>3.8641488405924895</c:v>
                </c:pt>
                <c:pt idx="3">
                  <c:v>4.6191313828691012</c:v>
                </c:pt>
                <c:pt idx="4">
                  <c:v>6.1954151086364044</c:v>
                </c:pt>
                <c:pt idx="5">
                  <c:v>10.354391436936119</c:v>
                </c:pt>
                <c:pt idx="6">
                  <c:v>36.951883882665449</c:v>
                </c:pt>
                <c:pt idx="7">
                  <c:v>17.304857433309078</c:v>
                </c:pt>
                <c:pt idx="8">
                  <c:v>7.1849563958339724</c:v>
                </c:pt>
                <c:pt idx="9">
                  <c:v>4.452122981676319</c:v>
                </c:pt>
                <c:pt idx="10">
                  <c:v>3.1969532911655008</c:v>
                </c:pt>
                <c:pt idx="11">
                  <c:v>2.4796886933210329</c:v>
                </c:pt>
                <c:pt idx="12">
                  <c:v>2.0168644617589435</c:v>
                </c:pt>
                <c:pt idx="13">
                  <c:v>1.6940253198556217</c:v>
                </c:pt>
                <c:pt idx="14">
                  <c:v>1.4562641652725841</c:v>
                </c:pt>
                <c:pt idx="15">
                  <c:v>1.2740196106160309</c:v>
                </c:pt>
                <c:pt idx="16">
                  <c:v>1.1299938652380528</c:v>
                </c:pt>
                <c:pt idx="17">
                  <c:v>1.0134035896091513</c:v>
                </c:pt>
                <c:pt idx="18">
                  <c:v>0.91718197951203972</c:v>
                </c:pt>
                <c:pt idx="19">
                  <c:v>0.83650596059220195</c:v>
                </c:pt>
                <c:pt idx="20">
                  <c:v>0.7679709678986798</c:v>
                </c:pt>
                <c:pt idx="21">
                  <c:v>0.70910437935069948</c:v>
                </c:pt>
                <c:pt idx="22">
                  <c:v>0.65806615441021254</c:v>
                </c:pt>
                <c:pt idx="23">
                  <c:v>0.61345787221915038</c:v>
                </c:pt>
                <c:pt idx="24">
                  <c:v>0.57419706176400165</c:v>
                </c:pt>
                <c:pt idx="25">
                  <c:v>0.5394322190150711</c:v>
                </c:pt>
                <c:pt idx="26">
                  <c:v>0.50848394175840406</c:v>
                </c:pt>
                <c:pt idx="27">
                  <c:v>0.4808032744325787</c:v>
                </c:pt>
                <c:pt idx="28">
                  <c:v>0.45594166077191522</c:v>
                </c:pt>
                <c:pt idx="29">
                  <c:v>0.4335288912723399</c:v>
                </c:pt>
                <c:pt idx="30">
                  <c:v>0.41325666226189506</c:v>
                </c:pt>
                <c:pt idx="31">
                  <c:v>0.39486614219304345</c:v>
                </c:pt>
                <c:pt idx="32">
                  <c:v>0.37813844488900555</c:v>
                </c:pt>
                <c:pt idx="33">
                  <c:v>0.36288724229624136</c:v>
                </c:pt>
                <c:pt idx="34">
                  <c:v>0.34895297303497386</c:v>
                </c:pt>
                <c:pt idx="35">
                  <c:v>0.33619825596961878</c:v>
                </c:pt>
                <c:pt idx="36">
                  <c:v>0.3245042241671367</c:v>
                </c:pt>
                <c:pt idx="37">
                  <c:v>0.31376756934051286</c:v>
                </c:pt>
                <c:pt idx="38">
                  <c:v>0.30389814018660849</c:v>
                </c:pt>
                <c:pt idx="39">
                  <c:v>0.29481697653338312</c:v>
                </c:pt>
                <c:pt idx="40">
                  <c:v>0.28645468934678281</c:v>
                </c:pt>
                <c:pt idx="41">
                  <c:v>0.27875011742983097</c:v>
                </c:pt>
                <c:pt idx="42">
                  <c:v>0.27164920715534135</c:v>
                </c:pt>
                <c:pt idx="43">
                  <c:v>0.26510407325879931</c:v>
                </c:pt>
                <c:pt idx="44">
                  <c:v>0.25907220760291133</c:v>
                </c:pt>
                <c:pt idx="45">
                  <c:v>0.25351580963945519</c:v>
                </c:pt>
                <c:pt idx="46">
                  <c:v>0.24840121756253258</c:v>
                </c:pt>
                <c:pt idx="47">
                  <c:v>0.2436984232527856</c:v>
                </c:pt>
                <c:pt idx="48">
                  <c:v>0.23938065733468522</c:v>
                </c:pt>
                <c:pt idx="49">
                  <c:v>0.23542403321658265</c:v>
                </c:pt>
                <c:pt idx="50">
                  <c:v>0.23180724101074296</c:v>
                </c:pt>
                <c:pt idx="51">
                  <c:v>0.22851128385480826</c:v>
                </c:pt>
                <c:pt idx="52">
                  <c:v>0.22551925046562035</c:v>
                </c:pt>
                <c:pt idx="53">
                  <c:v>0.22281611881852276</c:v>
                </c:pt>
                <c:pt idx="54">
                  <c:v>0.22038858671234857</c:v>
                </c:pt>
                <c:pt idx="55">
                  <c:v>0.21822492569246862</c:v>
                </c:pt>
                <c:pt idx="56">
                  <c:v>0.21631485539308534</c:v>
                </c:pt>
                <c:pt idx="57">
                  <c:v>0.21464943584999494</c:v>
                </c:pt>
                <c:pt idx="58">
                  <c:v>0.21322097574605148</c:v>
                </c:pt>
                <c:pt idx="59">
                  <c:v>0.21202295489892917</c:v>
                </c:pt>
                <c:pt idx="60">
                  <c:v>0.2110499595972733</c:v>
                </c:pt>
                <c:pt idx="61">
                  <c:v>0.21029762964700063</c:v>
                </c:pt>
                <c:pt idx="62">
                  <c:v>0.20976261621270723</c:v>
                </c:pt>
                <c:pt idx="63">
                  <c:v>0.20944254973705084</c:v>
                </c:pt>
                <c:pt idx="64">
                  <c:v>0.20933601739916807</c:v>
                </c:pt>
                <c:pt idx="65">
                  <c:v>0.20944254973705109</c:v>
                </c:pt>
                <c:pt idx="66">
                  <c:v>0.20976261621270828</c:v>
                </c:pt>
                <c:pt idx="67">
                  <c:v>0.21029762964700241</c:v>
                </c:pt>
                <c:pt idx="68">
                  <c:v>0.2110499595972746</c:v>
                </c:pt>
                <c:pt idx="69">
                  <c:v>0.21202295489892917</c:v>
                </c:pt>
                <c:pt idx="70">
                  <c:v>0.21322097574605323</c:v>
                </c:pt>
                <c:pt idx="71">
                  <c:v>0.21464943584999388</c:v>
                </c:pt>
                <c:pt idx="72">
                  <c:v>0.21631485539308568</c:v>
                </c:pt>
                <c:pt idx="73">
                  <c:v>0.21822492569246876</c:v>
                </c:pt>
                <c:pt idx="74">
                  <c:v>0.22038858671234726</c:v>
                </c:pt>
                <c:pt idx="75">
                  <c:v>0.22281611881852198</c:v>
                </c:pt>
                <c:pt idx="76">
                  <c:v>0.2255192504656198</c:v>
                </c:pt>
                <c:pt idx="77">
                  <c:v>0.2285112838548076</c:v>
                </c:pt>
                <c:pt idx="78">
                  <c:v>0.23180724101074227</c:v>
                </c:pt>
                <c:pt idx="79">
                  <c:v>0.23542403321658317</c:v>
                </c:pt>
                <c:pt idx="80">
                  <c:v>0.23938065733468519</c:v>
                </c:pt>
                <c:pt idx="81">
                  <c:v>0.24369842325278496</c:v>
                </c:pt>
                <c:pt idx="82">
                  <c:v>0.24840121756253333</c:v>
                </c:pt>
                <c:pt idx="83">
                  <c:v>0.25351580963945591</c:v>
                </c:pt>
                <c:pt idx="84">
                  <c:v>0.25907220760291189</c:v>
                </c:pt>
                <c:pt idx="85">
                  <c:v>0.26510407325880031</c:v>
                </c:pt>
                <c:pt idx="86">
                  <c:v>0.27164920715534463</c:v>
                </c:pt>
                <c:pt idx="87">
                  <c:v>0.27875011742983058</c:v>
                </c:pt>
                <c:pt idx="88">
                  <c:v>0.28645468934678281</c:v>
                </c:pt>
                <c:pt idx="89">
                  <c:v>0.29481697653338246</c:v>
                </c:pt>
                <c:pt idx="90">
                  <c:v>0.30389814018660494</c:v>
                </c:pt>
                <c:pt idx="91">
                  <c:v>0.3137675693405117</c:v>
                </c:pt>
                <c:pt idx="92">
                  <c:v>0.32450422416713637</c:v>
                </c:pt>
                <c:pt idx="93">
                  <c:v>0.33619825596961822</c:v>
                </c:pt>
                <c:pt idx="94">
                  <c:v>0.34895297303497208</c:v>
                </c:pt>
                <c:pt idx="95">
                  <c:v>0.36288724229624164</c:v>
                </c:pt>
                <c:pt idx="96">
                  <c:v>0.37813844488900555</c:v>
                </c:pt>
                <c:pt idx="97">
                  <c:v>0.39486614219304406</c:v>
                </c:pt>
                <c:pt idx="98">
                  <c:v>0.41325666226189539</c:v>
                </c:pt>
                <c:pt idx="99">
                  <c:v>0.43352889127234118</c:v>
                </c:pt>
                <c:pt idx="100">
                  <c:v>0.45594166077191578</c:v>
                </c:pt>
                <c:pt idx="101">
                  <c:v>0.48080327443257992</c:v>
                </c:pt>
                <c:pt idx="102">
                  <c:v>0.5084839417584065</c:v>
                </c:pt>
                <c:pt idx="103">
                  <c:v>0.53943221901507232</c:v>
                </c:pt>
                <c:pt idx="104">
                  <c:v>0.57419706176400198</c:v>
                </c:pt>
                <c:pt idx="105">
                  <c:v>0.61345787221915016</c:v>
                </c:pt>
                <c:pt idx="106">
                  <c:v>0.65806615441020744</c:v>
                </c:pt>
                <c:pt idx="107">
                  <c:v>0.70910437935069859</c:v>
                </c:pt>
                <c:pt idx="108">
                  <c:v>0.76797096789867925</c:v>
                </c:pt>
                <c:pt idx="109">
                  <c:v>0.83650596059220061</c:v>
                </c:pt>
                <c:pt idx="110">
                  <c:v>0.91718197951203773</c:v>
                </c:pt>
                <c:pt idx="111">
                  <c:v>1.0134035896091507</c:v>
                </c:pt>
                <c:pt idx="112">
                  <c:v>1.1299938652380528</c:v>
                </c:pt>
                <c:pt idx="113">
                  <c:v>1.2740196106160302</c:v>
                </c:pt>
                <c:pt idx="114">
                  <c:v>1.4562641652725872</c:v>
                </c:pt>
                <c:pt idx="115">
                  <c:v>1.6940253198556228</c:v>
                </c:pt>
                <c:pt idx="116">
                  <c:v>2.0168644617589448</c:v>
                </c:pt>
                <c:pt idx="117">
                  <c:v>2.4796886933210347</c:v>
                </c:pt>
                <c:pt idx="118">
                  <c:v>3.1969532911655056</c:v>
                </c:pt>
                <c:pt idx="119">
                  <c:v>4.4521229816763208</c:v>
                </c:pt>
                <c:pt idx="120">
                  <c:v>7.1849563958339724</c:v>
                </c:pt>
                <c:pt idx="121">
                  <c:v>17.304857433309078</c:v>
                </c:pt>
                <c:pt idx="122">
                  <c:v>36.951883882665442</c:v>
                </c:pt>
                <c:pt idx="123">
                  <c:v>10.354391436936119</c:v>
                </c:pt>
                <c:pt idx="124">
                  <c:v>6.1954151086364035</c:v>
                </c:pt>
                <c:pt idx="125">
                  <c:v>4.6191313828691003</c:v>
                </c:pt>
                <c:pt idx="126">
                  <c:v>3.8641488405924878</c:v>
                </c:pt>
                <c:pt idx="127">
                  <c:v>3.5022160027319784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4E-4153-9389-BC97C98110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4935152"/>
        <c:axId val="1"/>
      </c:scatterChart>
      <c:valAx>
        <c:axId val="424935152"/>
        <c:scaling>
          <c:orientation val="minMax"/>
          <c:max val="1"/>
          <c:min val="-1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424935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36" footer="0.31496062000000036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'Plan2 (2)'!$N$3</c:f>
              <c:strCache>
                <c:ptCount val="1"/>
                <c:pt idx="0">
                  <c:v>X1max</c:v>
                </c:pt>
              </c:strCache>
            </c:strRef>
          </c:tx>
          <c:spPr>
            <a:ln w="28575">
              <a:noFill/>
            </a:ln>
          </c:spPr>
          <c:xVal>
            <c:numRef>
              <c:f>'Plan2 (2)'!$M$4:$M$9</c:f>
              <c:numCache>
                <c:formatCode>General</c:formatCode>
                <c:ptCount val="6"/>
                <c:pt idx="0">
                  <c:v>3</c:v>
                </c:pt>
                <c:pt idx="1">
                  <c:v>13</c:v>
                </c:pt>
                <c:pt idx="2">
                  <c:v>23</c:v>
                </c:pt>
                <c:pt idx="3">
                  <c:v>33.5</c:v>
                </c:pt>
                <c:pt idx="4">
                  <c:v>43.5</c:v>
                </c:pt>
                <c:pt idx="5">
                  <c:v>53.5</c:v>
                </c:pt>
              </c:numCache>
            </c:numRef>
          </c:xVal>
          <c:yVal>
            <c:numRef>
              <c:f>'Plan2 (2)'!$N$4:$N$9</c:f>
              <c:numCache>
                <c:formatCode>0.0</c:formatCode>
                <c:ptCount val="6"/>
                <c:pt idx="0">
                  <c:v>138.07386508125373</c:v>
                </c:pt>
                <c:pt idx="1">
                  <c:v>112.43521348882139</c:v>
                </c:pt>
                <c:pt idx="2">
                  <c:v>90.625663130657941</c:v>
                </c:pt>
                <c:pt idx="3">
                  <c:v>77.523145470629416</c:v>
                </c:pt>
                <c:pt idx="4">
                  <c:v>63.185106900410901</c:v>
                </c:pt>
                <c:pt idx="5">
                  <c:v>50.937523731883232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AC-49D3-89A2-958CEA3D66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4440200"/>
        <c:axId val="1"/>
      </c:scatterChart>
      <c:scatterChart>
        <c:scatterStyle val="smoothMarker"/>
        <c:varyColors val="0"/>
        <c:ser>
          <c:idx val="1"/>
          <c:order val="1"/>
          <c:tx>
            <c:strRef>
              <c:f>'Plan2 (2)'!$O$3</c:f>
              <c:strCache>
                <c:ptCount val="1"/>
                <c:pt idx="0">
                  <c:v>X1calc</c:v>
                </c:pt>
              </c:strCache>
            </c:strRef>
          </c:tx>
          <c:marker>
            <c:symbol val="none"/>
          </c:marker>
          <c:xVal>
            <c:numRef>
              <c:f>'Plan2 (2)'!$M$4:$M$9</c:f>
              <c:numCache>
                <c:formatCode>General</c:formatCode>
                <c:ptCount val="6"/>
                <c:pt idx="0">
                  <c:v>3</c:v>
                </c:pt>
                <c:pt idx="1">
                  <c:v>13</c:v>
                </c:pt>
                <c:pt idx="2">
                  <c:v>23</c:v>
                </c:pt>
                <c:pt idx="3">
                  <c:v>33.5</c:v>
                </c:pt>
                <c:pt idx="4">
                  <c:v>43.5</c:v>
                </c:pt>
                <c:pt idx="5">
                  <c:v>53.5</c:v>
                </c:pt>
              </c:numCache>
            </c:numRef>
          </c:xVal>
          <c:yVal>
            <c:numRef>
              <c:f>'Plan2 (2)'!$O$4:$O$9</c:f>
              <c:numCache>
                <c:formatCode>General</c:formatCode>
                <c:ptCount val="6"/>
                <c:pt idx="0">
                  <c:v>137.22193589584163</c:v>
                </c:pt>
                <c:pt idx="1">
                  <c:v>112.95226897893964</c:v>
                </c:pt>
                <c:pt idx="2">
                  <c:v>92.975040646379298</c:v>
                </c:pt>
                <c:pt idx="3">
                  <c:v>75.789905443289328</c:v>
                </c:pt>
                <c:pt idx="4">
                  <c:v>62.385373953744363</c:v>
                </c:pt>
                <c:pt idx="5">
                  <c:v>51.351626058706614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7AC-49D3-89A2-958CEA3D66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4440200"/>
        <c:axId val="1"/>
      </c:scatterChart>
      <c:valAx>
        <c:axId val="424440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424440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'Plan2 (3)'!$C$2</c:f>
              <c:strCache>
                <c:ptCount val="1"/>
                <c:pt idx="0">
                  <c:v>X1(real)</c:v>
                </c:pt>
              </c:strCache>
            </c:strRef>
          </c:tx>
          <c:marker>
            <c:symbol val="none"/>
          </c:marker>
          <c:xVal>
            <c:numRef>
              <c:f>'Plan2 (3)'!$B$3:$B$130</c:f>
              <c:numCache>
                <c:formatCode>0.00</c:formatCode>
                <c:ptCount val="128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</c:numCache>
            </c:numRef>
          </c:xVal>
          <c:yVal>
            <c:numRef>
              <c:f>'Plan2 (3)'!$C$3:$C$130</c:f>
              <c:numCache>
                <c:formatCode>0.00</c:formatCode>
                <c:ptCount val="128"/>
                <c:pt idx="0">
                  <c:v>-10</c:v>
                </c:pt>
                <c:pt idx="1">
                  <c:v>5.5</c:v>
                </c:pt>
                <c:pt idx="2">
                  <c:v>39.412500000000001</c:v>
                </c:pt>
                <c:pt idx="3">
                  <c:v>75.957719999999995</c:v>
                </c:pt>
                <c:pt idx="4">
                  <c:v>107.21082712499999</c:v>
                </c:pt>
                <c:pt idx="5">
                  <c:v>128.72383061624998</c:v>
                </c:pt>
                <c:pt idx="6">
                  <c:v>138.07386508125373</c:v>
                </c:pt>
                <c:pt idx="7">
                  <c:v>134.39845031939322</c:v>
                </c:pt>
                <c:pt idx="8">
                  <c:v>118.20995185158617</c:v>
                </c:pt>
                <c:pt idx="9">
                  <c:v>91.235624003926034</c:v>
                </c:pt>
                <c:pt idx="10">
                  <c:v>56.201378414818933</c:v>
                </c:pt>
                <c:pt idx="11">
                  <c:v>16.54568199384159</c:v>
                </c:pt>
                <c:pt idx="12">
                  <c:v>-23.92091020907187</c:v>
                </c:pt>
                <c:pt idx="13">
                  <c:v>-61.382183604144409</c:v>
                </c:pt>
                <c:pt idx="14">
                  <c:v>-92.375412711959086</c:v>
                </c:pt>
                <c:pt idx="15">
                  <c:v>-114.11023194668849</c:v>
                </c:pt>
                <c:pt idx="16">
                  <c:v>-124.71824689177895</c:v>
                </c:pt>
                <c:pt idx="17">
                  <c:v>-123.41131376641286</c:v>
                </c:pt>
                <c:pt idx="18">
                  <c:v>-110.53535733917175</c:v>
                </c:pt>
                <c:pt idx="19">
                  <c:v>-87.516638374086739</c:v>
                </c:pt>
                <c:pt idx="20">
                  <c:v>-56.707536374533284</c:v>
                </c:pt>
                <c:pt idx="21">
                  <c:v>-21.148218370214671</c:v>
                </c:pt>
                <c:pt idx="22">
                  <c:v>15.731841151602566</c:v>
                </c:pt>
                <c:pt idx="23">
                  <c:v>50.443322711394707</c:v>
                </c:pt>
                <c:pt idx="24">
                  <c:v>79.765976045200858</c:v>
                </c:pt>
                <c:pt idx="25">
                  <c:v>101.04609746054622</c:v>
                </c:pt>
                <c:pt idx="26">
                  <c:v>112.43521348882139</c:v>
                </c:pt>
                <c:pt idx="27">
                  <c:v>113.04864952795725</c:v>
                </c:pt>
                <c:pt idx="28">
                  <c:v>103.03058764096386</c:v>
                </c:pt>
                <c:pt idx="29">
                  <c:v>83.521253146948652</c:v>
                </c:pt>
                <c:pt idx="30">
                  <c:v>56.531145514409303</c:v>
                </c:pt>
                <c:pt idx="31">
                  <c:v>24.73586944638215</c:v>
                </c:pt>
                <c:pt idx="32">
                  <c:v>-8.78767285883767</c:v>
                </c:pt>
                <c:pt idx="33">
                  <c:v>-40.857847459318862</c:v>
                </c:pt>
                <c:pt idx="34">
                  <c:v>-68.489138972019006</c:v>
                </c:pt>
                <c:pt idx="35">
                  <c:v>-89.168942723339811</c:v>
                </c:pt>
                <c:pt idx="36">
                  <c:v>-101.08474692300138</c:v>
                </c:pt>
                <c:pt idx="37">
                  <c:v>-103.281292034434</c:v>
                </c:pt>
                <c:pt idx="38">
                  <c:v>-95.734254888983685</c:v>
                </c:pt>
                <c:pt idx="39">
                  <c:v>-79.335098859318734</c:v>
                </c:pt>
                <c:pt idx="40">
                  <c:v>-55.790176998772878</c:v>
                </c:pt>
                <c:pt idx="41">
                  <c:v>-27.445172483710532</c:v>
                </c:pt>
                <c:pt idx="42">
                  <c:v>2.9472329355005904</c:v>
                </c:pt>
                <c:pt idx="43">
                  <c:v>32.493573559647857</c:v>
                </c:pt>
                <c:pt idx="44">
                  <c:v>58.434054153739631</c:v>
                </c:pt>
                <c:pt idx="45">
                  <c:v>78.399307051550835</c:v>
                </c:pt>
                <c:pt idx="46">
                  <c:v>90.625663130657941</c:v>
                </c:pt>
                <c:pt idx="47">
                  <c:v>94.109490646984128</c:v>
                </c:pt>
                <c:pt idx="48">
                  <c:v>88.687244190712619</c:v>
                </c:pt>
                <c:pt idx="49">
                  <c:v>75.035095127501876</c:v>
                </c:pt>
                <c:pt idx="50">
                  <c:v>54.589684338667091</c:v>
                </c:pt>
                <c:pt idx="51">
                  <c:v>29.398919141467125</c:v>
                </c:pt>
                <c:pt idx="52">
                  <c:v>1.9181409649514407</c:v>
                </c:pt>
                <c:pt idx="53">
                  <c:v>-25.228164705681959</c:v>
                </c:pt>
                <c:pt idx="54">
                  <c:v>-49.496085353925231</c:v>
                </c:pt>
                <c:pt idx="55">
                  <c:v>-68.659752517517063</c:v>
                </c:pt>
                <c:pt idx="56">
                  <c:v>-81.014487785241116</c:v>
                </c:pt>
                <c:pt idx="57">
                  <c:v>-85.527182624322663</c:v>
                </c:pt>
                <c:pt idx="58">
                  <c:v>-81.920773282889542</c:v>
                </c:pt>
                <c:pt idx="59">
                  <c:v>-70.686109314072041</c:v>
                </c:pt>
                <c:pt idx="60">
                  <c:v>-53.021460558667528</c:v>
                </c:pt>
                <c:pt idx="61">
                  <c:v>-30.706700621454601</c:v>
                </c:pt>
                <c:pt idx="62">
                  <c:v>-5.9252096831457521</c:v>
                </c:pt>
                <c:pt idx="63">
                  <c:v>18.948793432412579</c:v>
                </c:pt>
                <c:pt idx="64">
                  <c:v>41.576864048866319</c:v>
                </c:pt>
                <c:pt idx="65">
                  <c:v>59.875339678289421</c:v>
                </c:pt>
                <c:pt idx="66">
                  <c:v>72.206311695892254</c:v>
                </c:pt>
                <c:pt idx="67">
                  <c:v>77.523145470629416</c:v>
                </c:pt>
                <c:pt idx="68">
                  <c:v>75.457729735513936</c:v>
                </c:pt>
                <c:pt idx="69">
                  <c:v>66.342350130916159</c:v>
                </c:pt>
                <c:pt idx="70">
                  <c:v>51.165356451425673</c:v>
                </c:pt>
                <c:pt idx="71">
                  <c:v>31.466028227949401</c:v>
                </c:pt>
                <c:pt idx="72">
                  <c:v>9.1796538838140194</c:v>
                </c:pt>
                <c:pt idx="73">
                  <c:v>-13.551690558904706</c:v>
                </c:pt>
                <c:pt idx="74">
                  <c:v>-34.584245020792608</c:v>
                </c:pt>
                <c:pt idx="75">
                  <c:v>-51.973985883423893</c:v>
                </c:pt>
                <c:pt idx="76">
                  <c:v>-64.155510627040357</c:v>
                </c:pt>
                <c:pt idx="77">
                  <c:v>-70.082003875037088</c:v>
                </c:pt>
                <c:pt idx="78">
                  <c:v>-69.313865040062097</c:v>
                </c:pt>
                <c:pt idx="79">
                  <c:v>-62.048633196226561</c:v>
                </c:pt>
                <c:pt idx="80">
                  <c:v>-49.090497376066772</c:v>
                </c:pt>
                <c:pt idx="81">
                  <c:v>-31.763388012263061</c:v>
                </c:pt>
                <c:pt idx="82">
                  <c:v>-11.776870508015378</c:v>
                </c:pt>
                <c:pt idx="83">
                  <c:v>8.9416769131927012</c:v>
                </c:pt>
                <c:pt idx="84">
                  <c:v>28.432204104382041</c:v>
                </c:pt>
                <c:pt idx="85">
                  <c:v>44.886731794057354</c:v>
                </c:pt>
                <c:pt idx="86">
                  <c:v>56.816348646267855</c:v>
                </c:pt>
                <c:pt idx="87">
                  <c:v>63.185106900410901</c:v>
                </c:pt>
                <c:pt idx="88">
                  <c:v>63.498858105809397</c:v>
                </c:pt>
                <c:pt idx="89">
                  <c:v>57.841527442248193</c:v>
                </c:pt>
                <c:pt idx="90">
                  <c:v>46.856403328810863</c:v>
                </c:pt>
                <c:pt idx="91">
                  <c:v>31.675229777878748</c:v>
                </c:pt>
                <c:pt idx="92">
                  <c:v>13.802740258352891</c:v>
                </c:pt>
                <c:pt idx="93">
                  <c:v>-5.0316853173569669</c:v>
                </c:pt>
                <c:pt idx="94">
                  <c:v>-23.040689126512568</c:v>
                </c:pt>
                <c:pt idx="95">
                  <c:v>-38.547929119603801</c:v>
                </c:pt>
                <c:pt idx="96">
                  <c:v>-50.143478713990604</c:v>
                </c:pt>
                <c:pt idx="97">
                  <c:v>-56.81128854046387</c:v>
                </c:pt>
                <c:pt idx="98">
                  <c:v>-58.017259467440219</c:v>
                </c:pt>
                <c:pt idx="99">
                  <c:v>-53.750390833240346</c:v>
                </c:pt>
                <c:pt idx="100">
                  <c:v>-44.514017160105439</c:v>
                </c:pt>
                <c:pt idx="101">
                  <c:v>-31.268891344520821</c:v>
                </c:pt>
                <c:pt idx="102">
                  <c:v>-15.334363029678119</c:v>
                </c:pt>
                <c:pt idx="103">
                  <c:v>1.7422795414557832</c:v>
                </c:pt>
                <c:pt idx="104">
                  <c:v>18.33543367105646</c:v>
                </c:pt>
                <c:pt idx="105">
                  <c:v>32.895361167421278</c:v>
                </c:pt>
                <c:pt idx="106">
                  <c:v>44.092352947789777</c:v>
                </c:pt>
                <c:pt idx="107">
                  <c:v>50.937523731883232</c:v>
                </c:pt>
                <c:pt idx="108">
                  <c:v>52.869326815496002</c:v>
                </c:pt>
                <c:pt idx="109">
                  <c:v>49.798303560835038</c:v>
                </c:pt>
                <c:pt idx="110">
                  <c:v>42.106645939621515</c:v>
                </c:pt>
                <c:pt idx="111">
                  <c:v>30.60345949613253</c:v>
                </c:pt>
                <c:pt idx="112">
                  <c:v>16.440759066996502</c:v>
                </c:pt>
                <c:pt idx="113">
                  <c:v>0.9988241887599969</c:v>
                </c:pt>
                <c:pt idx="114">
                  <c:v>-14.247742032574779</c:v>
                </c:pt>
                <c:pt idx="115">
                  <c:v>-27.870306510475636</c:v>
                </c:pt>
                <c:pt idx="116">
                  <c:v>-38.61955380316121</c:v>
                </c:pt>
                <c:pt idx="117">
                  <c:v>-45.539490926356585</c:v>
                </c:pt>
                <c:pt idx="118">
                  <c:v>-48.051761777021575</c:v>
                </c:pt>
                <c:pt idx="119">
                  <c:v>-46.00290655608147</c:v>
                </c:pt>
                <c:pt idx="120">
                  <c:v>-39.670820522999549</c:v>
                </c:pt>
                <c:pt idx="121">
                  <c:v>-29.730569458639156</c:v>
                </c:pt>
                <c:pt idx="122">
                  <c:v>-17.183534375116764</c:v>
                </c:pt>
                <c:pt idx="123">
                  <c:v>-3.257228534368581</c:v>
                </c:pt>
                <c:pt idx="124">
                  <c:v>10.714252585219857</c:v>
                </c:pt>
                <c:pt idx="125">
                  <c:v>23.417554901521338</c:v>
                </c:pt>
                <c:pt idx="126">
                  <c:v>33.683056308239017</c:v>
                </c:pt>
                <c:pt idx="127">
                  <c:v>40.592051397851485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8A4-409E-BDA0-721E727E1788}"/>
            </c:ext>
          </c:extLst>
        </c:ser>
        <c:ser>
          <c:idx val="1"/>
          <c:order val="1"/>
          <c:tx>
            <c:strRef>
              <c:f>'Plan2 (3)'!$D$2</c:f>
              <c:strCache>
                <c:ptCount val="1"/>
                <c:pt idx="0">
                  <c:v>X1(calc)</c:v>
                </c:pt>
              </c:strCache>
            </c:strRef>
          </c:tx>
          <c:marker>
            <c:symbol val="none"/>
          </c:marker>
          <c:xVal>
            <c:numRef>
              <c:f>'Plan2 (3)'!$B$3:$B$130</c:f>
              <c:numCache>
                <c:formatCode>0.00</c:formatCode>
                <c:ptCount val="128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</c:numCache>
            </c:numRef>
          </c:xVal>
          <c:yVal>
            <c:numRef>
              <c:f>'Plan2 (3)'!$D$3:$D$130</c:f>
              <c:numCache>
                <c:formatCode>0.00</c:formatCode>
                <c:ptCount val="128"/>
                <c:pt idx="0">
                  <c:v>-48.47494106478436</c:v>
                </c:pt>
                <c:pt idx="1">
                  <c:v>-4.5134084850820662</c:v>
                </c:pt>
                <c:pt idx="2">
                  <c:v>39.022896589134383</c:v>
                </c:pt>
                <c:pt idx="3">
                  <c:v>78.070197640978364</c:v>
                </c:pt>
                <c:pt idx="4">
                  <c:v>109.06290724621891</c:v>
                </c:pt>
                <c:pt idx="5">
                  <c:v>129.25751557618909</c:v>
                </c:pt>
                <c:pt idx="6">
                  <c:v>136.97334653549908</c:v>
                </c:pt>
                <c:pt idx="7">
                  <c:v>131.72926588582075</c:v>
                </c:pt>
                <c:pt idx="8">
                  <c:v>114.26556052502575</c:v>
                </c:pt>
                <c:pt idx="9">
                  <c:v>86.451155894573787</c:v>
                </c:pt>
                <c:pt idx="10">
                  <c:v>51.087059653108476</c:v>
                </c:pt>
                <c:pt idx="11">
                  <c:v>11.626415893178459</c:v>
                </c:pt>
                <c:pt idx="12">
                  <c:v>-28.161039275195524</c:v>
                </c:pt>
                <c:pt idx="13">
                  <c:v>-64.547665456480161</c:v>
                </c:pt>
                <c:pt idx="14">
                  <c:v>-94.195754677253049</c:v>
                </c:pt>
                <c:pt idx="15">
                  <c:v>-114.4621928804015</c:v>
                </c:pt>
                <c:pt idx="16">
                  <c:v>-123.63228327296646</c:v>
                </c:pt>
                <c:pt idx="17">
                  <c:v>-121.06222733231452</c:v>
                </c:pt>
                <c:pt idx="18">
                  <c:v>-107.21869779444684</c:v>
                </c:pt>
                <c:pt idx="19">
                  <c:v>-83.61378591892759</c:v>
                </c:pt>
                <c:pt idx="20">
                  <c:v>-52.643424131505434</c:v>
                </c:pt>
                <c:pt idx="21">
                  <c:v>-17.346256992152959</c:v>
                </c:pt>
                <c:pt idx="22">
                  <c:v>18.89295321251733</c:v>
                </c:pt>
                <c:pt idx="23">
                  <c:v>52.666576517648316</c:v>
                </c:pt>
                <c:pt idx="24">
                  <c:v>80.863273433248878</c:v>
                </c:pt>
                <c:pt idx="25">
                  <c:v>100.95328904899583</c:v>
                </c:pt>
                <c:pt idx="26">
                  <c:v>111.21385212472688</c:v>
                </c:pt>
                <c:pt idx="27">
                  <c:v>110.87475196495386</c:v>
                </c:pt>
                <c:pt idx="28">
                  <c:v>100.17201578991668</c:v>
                </c:pt>
                <c:pt idx="29">
                  <c:v>80.306437515818232</c:v>
                </c:pt>
                <c:pt idx="30">
                  <c:v>53.312670780162556</c:v>
                </c:pt>
                <c:pt idx="31">
                  <c:v>21.852853903748752</c:v>
                </c:pt>
                <c:pt idx="32">
                  <c:v>-11.04447618311476</c:v>
                </c:pt>
                <c:pt idx="33">
                  <c:v>-42.274706968064116</c:v>
                </c:pt>
                <c:pt idx="34">
                  <c:v>-68.948992727395833</c:v>
                </c:pt>
                <c:pt idx="35">
                  <c:v>-88.660290788172219</c:v>
                </c:pt>
                <c:pt idx="36">
                  <c:v>-99.699206592902542</c:v>
                </c:pt>
                <c:pt idx="37">
                  <c:v>-101.2004269146896</c:v>
                </c:pt>
                <c:pt idx="38">
                  <c:v>-93.207383179118438</c:v>
                </c:pt>
                <c:pt idx="39">
                  <c:v>-76.65067303329873</c:v>
                </c:pt>
                <c:pt idx="40">
                  <c:v>-53.243920733872585</c:v>
                </c:pt>
                <c:pt idx="41">
                  <c:v>-25.308407971389144</c:v>
                </c:pt>
                <c:pt idx="42">
                  <c:v>4.455749533638385</c:v>
                </c:pt>
                <c:pt idx="43">
                  <c:v>33.229447350144873</c:v>
                </c:pt>
                <c:pt idx="44">
                  <c:v>58.34055815105733</c:v>
                </c:pt>
                <c:pt idx="45">
                  <c:v>77.511024130331762</c:v>
                </c:pt>
                <c:pt idx="46">
                  <c:v>89.062329131551934</c:v>
                </c:pt>
                <c:pt idx="47">
                  <c:v>92.060934815701245</c:v>
                </c:pt>
                <c:pt idx="48">
                  <c:v>86.391235356267174</c:v>
                </c:pt>
                <c:pt idx="49">
                  <c:v>72.750604269219494</c:v>
                </c:pt>
                <c:pt idx="50">
                  <c:v>52.568498342861211</c:v>
                </c:pt>
                <c:pt idx="51">
                  <c:v>27.858648735675441</c:v>
                </c:pt>
                <c:pt idx="52">
                  <c:v>1.0194536449916127</c:v>
                </c:pt>
                <c:pt idx="53">
                  <c:v>-25.397759650812162</c:v>
                </c:pt>
                <c:pt idx="54">
                  <c:v>-48.930309481471618</c:v>
                </c:pt>
                <c:pt idx="55">
                  <c:v>-67.432786995826035</c:v>
                </c:pt>
                <c:pt idx="56">
                  <c:v>-79.271601840374899</c:v>
                </c:pt>
                <c:pt idx="57">
                  <c:v>-83.467907278173243</c:v>
                </c:pt>
                <c:pt idx="58">
                  <c:v>-79.776531887068089</c:v>
                </c:pt>
                <c:pt idx="59">
                  <c:v>-68.694768803453314</c:v>
                </c:pt>
                <c:pt idx="60">
                  <c:v>-51.40155246143199</c:v>
                </c:pt>
                <c:pt idx="61">
                  <c:v>-29.634053455522849</c:v>
                </c:pt>
                <c:pt idx="62">
                  <c:v>-5.5144399529370149</c:v>
                </c:pt>
                <c:pt idx="63">
                  <c:v>18.656030699360961</c:v>
                </c:pt>
                <c:pt idx="64">
                  <c:v>40.615701737321302</c:v>
                </c:pt>
                <c:pt idx="65">
                  <c:v>58.353287582948155</c:v>
                </c:pt>
                <c:pt idx="66">
                  <c:v>70.291164449284977</c:v>
                </c:pt>
                <c:pt idx="67">
                  <c:v>75.424567366674651</c:v>
                </c:pt>
                <c:pt idx="68">
                  <c:v>73.404524375374635</c:v>
                </c:pt>
                <c:pt idx="69">
                  <c:v>64.557855486470103</c:v>
                </c:pt>
                <c:pt idx="70">
                  <c:v>49.843578989477329</c:v>
                </c:pt>
                <c:pt idx="71">
                  <c:v>30.75102821037283</c:v>
                </c:pt>
                <c:pt idx="72">
                  <c:v>9.1503314565866702</c:v>
                </c:pt>
                <c:pt idx="73">
                  <c:v>-12.889841953024957</c:v>
                </c:pt>
                <c:pt idx="74">
                  <c:v>-33.299592312280424</c:v>
                </c:pt>
                <c:pt idx="75">
                  <c:v>-50.201412021709743</c:v>
                </c:pt>
                <c:pt idx="76">
                  <c:v>-62.082081431225809</c:v>
                </c:pt>
                <c:pt idx="77">
                  <c:v>-67.92717931168815</c:v>
                </c:pt>
                <c:pt idx="78">
                  <c:v>-67.306347734013244</c:v>
                </c:pt>
                <c:pt idx="79">
                  <c:v>-60.402285708494801</c:v>
                </c:pt>
                <c:pt idx="80">
                  <c:v>-47.981844435840507</c:v>
                </c:pt>
                <c:pt idx="81">
                  <c:v>-31.313043650966975</c:v>
                </c:pt>
                <c:pt idx="82">
                  <c:v>-12.036812947046657</c:v>
                </c:pt>
                <c:pt idx="83">
                  <c:v>7.9936731339583726</c:v>
                </c:pt>
                <c:pt idx="84">
                  <c:v>26.890414535336177</c:v>
                </c:pt>
                <c:pt idx="85">
                  <c:v>42.907842566433757</c:v>
                </c:pt>
                <c:pt idx="86">
                  <c:v>54.603338436773839</c:v>
                </c:pt>
                <c:pt idx="87">
                  <c:v>60.96632269848098</c:v>
                </c:pt>
                <c:pt idx="88">
                  <c:v>61.504447598606355</c:v>
                </c:pt>
                <c:pt idx="89">
                  <c:v>56.279657578090465</c:v>
                </c:pt>
                <c:pt idx="90">
                  <c:v>45.891711463753154</c:v>
                </c:pt>
                <c:pt idx="91">
                  <c:v>31.411720219377877</c:v>
                </c:pt>
                <c:pt idx="92">
                  <c:v>14.272879965908087</c:v>
                </c:pt>
                <c:pt idx="93">
                  <c:v>-3.8705548614628684</c:v>
                </c:pt>
                <c:pt idx="94">
                  <c:v>-21.30225572772007</c:v>
                </c:pt>
                <c:pt idx="95">
                  <c:v>-36.40554557652338</c:v>
                </c:pt>
                <c:pt idx="96">
                  <c:v>-47.812686656275297</c:v>
                </c:pt>
                <c:pt idx="97">
                  <c:v>-54.528007367652506</c:v>
                </c:pt>
                <c:pt idx="98">
                  <c:v>-56.013856274620892</c:v>
                </c:pt>
                <c:pt idx="99">
                  <c:v>-52.232060471518587</c:v>
                </c:pt>
                <c:pt idx="100">
                  <c:v>-43.637868347964464</c:v>
                </c:pt>
                <c:pt idx="101">
                  <c:v>-31.127859162326082</c:v>
                </c:pt>
                <c:pt idx="102">
                  <c:v>-15.947578768601819</c:v>
                </c:pt>
                <c:pt idx="103">
                  <c:v>0.43168333769301309</c:v>
                </c:pt>
                <c:pt idx="104">
                  <c:v>16.454855740369172</c:v>
                </c:pt>
                <c:pt idx="105">
                  <c:v>30.630146643638806</c:v>
                </c:pt>
                <c:pt idx="106">
                  <c:v>41.667352192046337</c:v>
                </c:pt>
                <c:pt idx="107">
                  <c:v>48.594644241761536</c:v>
                </c:pt>
                <c:pt idx="108">
                  <c:v>50.843329176915979</c:v>
                </c:pt>
                <c:pt idx="109">
                  <c:v>48.293267601206693</c:v>
                </c:pt>
                <c:pt idx="110">
                  <c:v>41.275465048692261</c:v>
                </c:pt>
                <c:pt idx="111">
                  <c:v>30.532416941982213</c:v>
                </c:pt>
                <c:pt idx="112">
                  <c:v>17.140731051005186</c:v>
                </c:pt>
                <c:pt idx="113">
                  <c:v>2.4039917234295967</c:v>
                </c:pt>
                <c:pt idx="114">
                  <c:v>-12.273540053074571</c:v>
                </c:pt>
                <c:pt idx="115">
                  <c:v>-25.520208465112148</c:v>
                </c:pt>
                <c:pt idx="116">
                  <c:v>-36.124626070806414</c:v>
                </c:pt>
                <c:pt idx="117">
                  <c:v>-43.145886276060288</c:v>
                </c:pt>
                <c:pt idx="118">
                  <c:v>-45.996353227330268</c:v>
                </c:pt>
                <c:pt idx="119">
                  <c:v>-44.489814316669708</c:v>
                </c:pt>
                <c:pt idx="120">
                  <c:v>-38.851159214438155</c:v>
                </c:pt>
                <c:pt idx="121">
                  <c:v>-29.687421730051295</c:v>
                </c:pt>
                <c:pt idx="122">
                  <c:v>-17.923637710946863</c:v>
                </c:pt>
                <c:pt idx="123">
                  <c:v>-4.7101964024388536</c:v>
                </c:pt>
                <c:pt idx="124">
                  <c:v>8.6890997865814548</c:v>
                </c:pt>
                <c:pt idx="125">
                  <c:v>21.017425434716213</c:v>
                </c:pt>
                <c:pt idx="126">
                  <c:v>31.142349149363717</c:v>
                </c:pt>
                <c:pt idx="127">
                  <c:v>38.159352729731275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8A4-409E-BDA0-721E727E1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4441512"/>
        <c:axId val="1"/>
      </c:scatterChart>
      <c:valAx>
        <c:axId val="424441512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42444151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28575</xdr:colOff>
      <xdr:row>9</xdr:row>
      <xdr:rowOff>38100</xdr:rowOff>
    </xdr:from>
    <xdr:to>
      <xdr:col>19</xdr:col>
      <xdr:colOff>85725</xdr:colOff>
      <xdr:row>30</xdr:row>
      <xdr:rowOff>9525</xdr:rowOff>
    </xdr:to>
    <xdr:graphicFrame macro="">
      <xdr:nvGraphicFramePr>
        <xdr:cNvPr id="1036" name="Gráfico 1">
          <a:extLst>
            <a:ext uri="{FF2B5EF4-FFF2-40B4-BE49-F238E27FC236}">
              <a16:creationId xmlns:a16="http://schemas.microsoft.com/office/drawing/2014/main" id="{02AC8582-5FC2-4240-8850-03CE23841B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219075</xdr:colOff>
      <xdr:row>1</xdr:row>
      <xdr:rowOff>180975</xdr:rowOff>
    </xdr:from>
    <xdr:to>
      <xdr:col>19</xdr:col>
      <xdr:colOff>85725</xdr:colOff>
      <xdr:row>16</xdr:row>
      <xdr:rowOff>66675</xdr:rowOff>
    </xdr:to>
    <xdr:graphicFrame macro="">
      <xdr:nvGraphicFramePr>
        <xdr:cNvPr id="7176" name="Gráfico 4">
          <a:extLst>
            <a:ext uri="{FF2B5EF4-FFF2-40B4-BE49-F238E27FC236}">
              <a16:creationId xmlns:a16="http://schemas.microsoft.com/office/drawing/2014/main" id="{AC41D425-4440-4E9C-B62B-B082BE255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1</xdr:row>
      <xdr:rowOff>66675</xdr:rowOff>
    </xdr:from>
    <xdr:to>
      <xdr:col>23</xdr:col>
      <xdr:colOff>304800</xdr:colOff>
      <xdr:row>15</xdr:row>
      <xdr:rowOff>142875</xdr:rowOff>
    </xdr:to>
    <xdr:graphicFrame macro="">
      <xdr:nvGraphicFramePr>
        <xdr:cNvPr id="11269" name="Gráfico 2">
          <a:extLst>
            <a:ext uri="{FF2B5EF4-FFF2-40B4-BE49-F238E27FC236}">
              <a16:creationId xmlns:a16="http://schemas.microsoft.com/office/drawing/2014/main" id="{3564917C-0481-4B43-AF23-4510CCFDB7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6</xdr:row>
      <xdr:rowOff>123825</xdr:rowOff>
    </xdr:from>
    <xdr:to>
      <xdr:col>17</xdr:col>
      <xdr:colOff>485775</xdr:colOff>
      <xdr:row>24</xdr:row>
      <xdr:rowOff>152400</xdr:rowOff>
    </xdr:to>
    <xdr:graphicFrame macro="">
      <xdr:nvGraphicFramePr>
        <xdr:cNvPr id="26626" name="Gráfico 2">
          <a:extLst>
            <a:ext uri="{FF2B5EF4-FFF2-40B4-BE49-F238E27FC236}">
              <a16:creationId xmlns:a16="http://schemas.microsoft.com/office/drawing/2014/main" id="{A44707A3-F2E2-449C-B04F-935F39E159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Q163"/>
  <sheetViews>
    <sheetView workbookViewId="0">
      <selection activeCell="C9" sqref="C9"/>
    </sheetView>
  </sheetViews>
  <sheetFormatPr defaultRowHeight="15" x14ac:dyDescent="0.25"/>
  <cols>
    <col min="4" max="5" width="9.85546875" bestFit="1" customWidth="1"/>
    <col min="6" max="6" width="11.42578125" bestFit="1" customWidth="1"/>
  </cols>
  <sheetData>
    <row r="1" spans="1:17" x14ac:dyDescent="0.25">
      <c r="H1" t="s">
        <v>9</v>
      </c>
      <c r="I1" t="s">
        <v>10</v>
      </c>
    </row>
    <row r="2" spans="1:17" x14ac:dyDescent="0.25">
      <c r="D2">
        <f>PI()</f>
        <v>3.1415926535897931</v>
      </c>
      <c r="I2" t="s">
        <v>11</v>
      </c>
      <c r="P2" s="3" t="s">
        <v>4</v>
      </c>
      <c r="Q2" s="4">
        <v>0.5</v>
      </c>
    </row>
    <row r="3" spans="1:17" x14ac:dyDescent="0.25">
      <c r="D3" t="str">
        <f>CONCATENATE(D2,"j")</f>
        <v>3,14159265358979j</v>
      </c>
    </row>
    <row r="4" spans="1:17" x14ac:dyDescent="0.25">
      <c r="D4" t="str">
        <f>IMEXP(D3)</f>
        <v>-1+3,2311393144413E-15j</v>
      </c>
      <c r="I4" s="1" t="s">
        <v>0</v>
      </c>
      <c r="L4" s="1" t="s">
        <v>1</v>
      </c>
      <c r="O4" s="1" t="s">
        <v>2</v>
      </c>
      <c r="Q4" s="1" t="s">
        <v>3</v>
      </c>
    </row>
    <row r="5" spans="1:17" x14ac:dyDescent="0.25">
      <c r="D5">
        <f>IMABS(D4)</f>
        <v>1</v>
      </c>
      <c r="I5" s="1">
        <v>1</v>
      </c>
      <c r="K5">
        <v>-0.1</v>
      </c>
      <c r="L5">
        <v>-1</v>
      </c>
      <c r="M5">
        <v>-0.4</v>
      </c>
      <c r="O5" s="1">
        <f t="array" ref="O5:O7">MMULT(K5:M7,I5:I7)</f>
        <v>-3.3000000000000003</v>
      </c>
    </row>
    <row r="6" spans="1:17" x14ac:dyDescent="0.25">
      <c r="I6" s="1">
        <v>2</v>
      </c>
      <c r="K6">
        <v>3.0000000000000001E-3</v>
      </c>
      <c r="L6">
        <v>-0.4</v>
      </c>
      <c r="M6">
        <v>2</v>
      </c>
      <c r="O6" s="1">
        <v>5.2030000000000003</v>
      </c>
    </row>
    <row r="7" spans="1:17" x14ac:dyDescent="0.25">
      <c r="I7" s="1">
        <v>3</v>
      </c>
      <c r="K7">
        <v>0.2</v>
      </c>
      <c r="L7">
        <v>-0.02</v>
      </c>
      <c r="M7">
        <v>-1</v>
      </c>
      <c r="O7" s="1">
        <v>-2.84</v>
      </c>
    </row>
    <row r="9" spans="1:17" x14ac:dyDescent="0.25">
      <c r="A9" s="2" t="s">
        <v>13</v>
      </c>
      <c r="B9" s="2" t="s">
        <v>12</v>
      </c>
      <c r="C9" s="8" t="s">
        <v>5</v>
      </c>
      <c r="D9" s="8" t="s">
        <v>6</v>
      </c>
      <c r="E9" s="8" t="s">
        <v>7</v>
      </c>
      <c r="F9" s="8" t="s">
        <v>8</v>
      </c>
      <c r="Q9" s="6"/>
    </row>
    <row r="10" spans="1:17" x14ac:dyDescent="0.25">
      <c r="A10" s="2">
        <f>LOG(B10)/LOG(2)</f>
        <v>0</v>
      </c>
      <c r="B10" s="2">
        <v>1</v>
      </c>
      <c r="C10" s="2">
        <v>0</v>
      </c>
      <c r="D10" s="2">
        <v>-10</v>
      </c>
      <c r="E10" s="2">
        <v>-10</v>
      </c>
      <c r="F10" s="2">
        <v>-50</v>
      </c>
    </row>
    <row r="11" spans="1:17" x14ac:dyDescent="0.25">
      <c r="A11" s="2">
        <f t="shared" ref="A11:A74" si="0">LOG(B11)/LOG(2)</f>
        <v>1</v>
      </c>
      <c r="B11" s="2">
        <v>2</v>
      </c>
      <c r="C11" s="2">
        <f>C10+$Q$2</f>
        <v>0.5</v>
      </c>
      <c r="D11" s="2">
        <f t="array" ref="D11:F11">TRANSPOSE(MMULT($K$5:$M$7,TRANSPOSE(D10:F10)))*$Q$2+D10:F10</f>
        <v>5.5</v>
      </c>
      <c r="E11" s="2">
        <v>-58.015000000000001</v>
      </c>
      <c r="F11" s="2">
        <v>-25.9</v>
      </c>
      <c r="Q11" s="7"/>
    </row>
    <row r="12" spans="1:17" x14ac:dyDescent="0.25">
      <c r="A12" s="2">
        <f t="shared" si="0"/>
        <v>1.5849625007211561</v>
      </c>
      <c r="B12" s="2">
        <v>3</v>
      </c>
      <c r="C12" s="2">
        <f t="shared" ref="C12:C20" si="1">C11+$Q$2</f>
        <v>1</v>
      </c>
      <c r="D12" s="2">
        <f t="array" ref="D12:F12">TRANSPOSE(MMULT($K$5:$M$7,TRANSPOSE(D11:F11)))*$Q$2+D11:F11</f>
        <v>39.412500000000001</v>
      </c>
      <c r="E12" s="2">
        <v>-72.303749999999994</v>
      </c>
      <c r="F12" s="2">
        <v>-11.819849999999999</v>
      </c>
      <c r="Q12" s="7"/>
    </row>
    <row r="13" spans="1:17" x14ac:dyDescent="0.25">
      <c r="A13" s="2">
        <f t="shared" si="0"/>
        <v>2</v>
      </c>
      <c r="B13" s="2">
        <v>4</v>
      </c>
      <c r="C13" s="2">
        <f t="shared" si="1"/>
        <v>1.5</v>
      </c>
      <c r="D13" s="2">
        <f t="array" ref="D13:F13">TRANSPOSE(MMULT($K$5:$M$7,TRANSPOSE(D12:F12)))*$Q$2+D12:F12</f>
        <v>75.957719999999995</v>
      </c>
      <c r="E13" s="2">
        <v>-69.603731249999996</v>
      </c>
      <c r="F13" s="2">
        <v>-1.2456374999999991</v>
      </c>
      <c r="Q13" s="7"/>
    </row>
    <row r="14" spans="1:17" x14ac:dyDescent="0.25">
      <c r="A14" s="2">
        <f t="shared" si="0"/>
        <v>2.3219280948873626</v>
      </c>
      <c r="B14" s="2">
        <v>5</v>
      </c>
      <c r="C14" s="2">
        <f t="shared" si="1"/>
        <v>2</v>
      </c>
      <c r="D14" s="2">
        <f t="array" ref="D14:F14">TRANSPOSE(MMULT($K$5:$M$7,TRANSPOSE(D13:F13)))*$Q$2+D13:F13</f>
        <v>107.21082712499999</v>
      </c>
      <c r="E14" s="2">
        <v>-56.814685919999995</v>
      </c>
      <c r="F14" s="2">
        <v>7.6689905625000012</v>
      </c>
      <c r="Q14" s="7"/>
    </row>
    <row r="15" spans="1:17" x14ac:dyDescent="0.25">
      <c r="A15" s="2">
        <f t="shared" si="0"/>
        <v>2.5849625007211561</v>
      </c>
      <c r="B15" s="2">
        <v>6</v>
      </c>
      <c r="C15" s="2">
        <f t="shared" si="1"/>
        <v>2.5</v>
      </c>
      <c r="D15" s="2">
        <f t="array" ref="D15:F15">TRANSPOSE(MMULT($K$5:$M$7,TRANSPOSE(D14:F14)))*$Q$2+D14:F14</f>
        <v>128.72383061624998</v>
      </c>
      <c r="E15" s="2">
        <v>-37.62194193281249</v>
      </c>
      <c r="F15" s="2">
        <v>15.123724852950001</v>
      </c>
      <c r="Q15" s="7"/>
    </row>
    <row r="16" spans="1:17" x14ac:dyDescent="0.25">
      <c r="A16" s="2">
        <f t="shared" si="0"/>
        <v>2.8073549220576042</v>
      </c>
      <c r="B16" s="2">
        <v>7</v>
      </c>
      <c r="C16" s="2">
        <f t="shared" si="1"/>
        <v>3</v>
      </c>
      <c r="D16" s="2">
        <f t="array" ref="D16:F16">TRANSPOSE(MMULT($K$5:$M$7,TRANSPOSE(D15:F15)))*$Q$2+D15:F15</f>
        <v>138.07386508125373</v>
      </c>
      <c r="E16" s="2">
        <v>-14.780742947375614</v>
      </c>
      <c r="F16" s="2">
        <v>20.810464907428127</v>
      </c>
      <c r="Q16" s="7"/>
    </row>
    <row r="17" spans="1:17" x14ac:dyDescent="0.25">
      <c r="A17" s="2">
        <f t="shared" si="0"/>
        <v>3</v>
      </c>
      <c r="B17" s="2">
        <v>8</v>
      </c>
      <c r="C17" s="2">
        <f t="shared" si="1"/>
        <v>3.5</v>
      </c>
      <c r="D17" s="2">
        <f t="array" ref="D17:F17">TRANSPOSE(MMULT($K$5:$M$7,TRANSPOSE(D16:F16)))*$Q$2+D16:F16</f>
        <v>134.39845031939322</v>
      </c>
      <c r="E17" s="2">
        <v>9.1929813471495159</v>
      </c>
      <c r="F17" s="2">
        <v>24.360426391313194</v>
      </c>
      <c r="Q17" s="7"/>
    </row>
    <row r="18" spans="1:17" x14ac:dyDescent="0.25">
      <c r="A18" s="2">
        <f t="shared" si="0"/>
        <v>3.1699250014423122</v>
      </c>
      <c r="B18" s="2">
        <v>9</v>
      </c>
      <c r="C18" s="2">
        <f t="shared" si="1"/>
        <v>4</v>
      </c>
      <c r="D18" s="2">
        <f t="array" ref="D18:F18">TRANSPOSE(MMULT($K$5:$M$7,TRANSPOSE(D17:F17)))*$Q$2+D17:F17</f>
        <v>118.20995185158617</v>
      </c>
      <c r="E18" s="2">
        <v>31.916409144511896</v>
      </c>
      <c r="F18" s="2">
        <v>25.528128414124424</v>
      </c>
      <c r="Q18" s="7"/>
    </row>
    <row r="19" spans="1:17" x14ac:dyDescent="0.25">
      <c r="A19" s="2">
        <f t="shared" si="0"/>
        <v>3.3219280948873622</v>
      </c>
      <c r="B19" s="2">
        <v>10</v>
      </c>
      <c r="C19" s="2">
        <f t="shared" si="1"/>
        <v>4.5</v>
      </c>
      <c r="D19" s="2">
        <f t="array" ref="D19:F19">TRANSPOSE(MMULT($K$5:$M$7,TRANSPOSE(D18:F18)))*$Q$2+D18:F18</f>
        <v>91.235624003926034</v>
      </c>
      <c r="E19" s="2">
        <v>51.238570657511318</v>
      </c>
      <c r="F19" s="2">
        <v>24.265895300775711</v>
      </c>
      <c r="Q19" s="7"/>
    </row>
    <row r="20" spans="1:17" x14ac:dyDescent="0.25">
      <c r="A20" s="2">
        <f t="shared" si="0"/>
        <v>3.4594316186372978</v>
      </c>
      <c r="B20" s="2">
        <v>11</v>
      </c>
      <c r="C20" s="2">
        <f t="shared" si="1"/>
        <v>5</v>
      </c>
      <c r="D20" s="2">
        <f t="array" ref="D20:F20">TRANSPOSE(MMULT($K$5:$M$7,TRANSPOSE(D19:F19)))*$Q$2+D19:F19</f>
        <v>56.201378414818933</v>
      </c>
      <c r="E20" s="2">
        <v>65.393605262790658</v>
      </c>
      <c r="F20" s="2">
        <v>20.744124344205346</v>
      </c>
      <c r="Q20" s="7"/>
    </row>
    <row r="21" spans="1:17" x14ac:dyDescent="0.25">
      <c r="A21" s="2">
        <f t="shared" si="0"/>
        <v>3.5849625007211565</v>
      </c>
      <c r="B21" s="2">
        <v>12</v>
      </c>
      <c r="C21" s="2">
        <f t="shared" ref="C21:C54" si="2">C20+$Q$2</f>
        <v>5.5</v>
      </c>
      <c r="D21" s="2">
        <f t="array" ref="D21:F21">TRANSPOSE(MMULT($K$5:$M$7,TRANSPOSE(D20:F20)))*$Q$2+D20:F20</f>
        <v>16.54568199384159</v>
      </c>
      <c r="E21" s="2">
        <v>73.143310622060099</v>
      </c>
      <c r="F21" s="2">
        <v>15.33826396095666</v>
      </c>
      <c r="Q21" s="7"/>
    </row>
    <row r="22" spans="1:17" x14ac:dyDescent="0.25">
      <c r="A22" s="2">
        <f t="shared" si="0"/>
        <v>3.7004397181410922</v>
      </c>
      <c r="B22" s="2">
        <v>13</v>
      </c>
      <c r="C22" s="2">
        <f t="shared" si="2"/>
        <v>6</v>
      </c>
      <c r="D22" s="2">
        <f t="array" ref="D22:F22">TRANSPOSE(MMULT($K$5:$M$7,TRANSPOSE(D21:F21)))*$Q$2+D21:F21</f>
        <v>-23.92091020907187</v>
      </c>
      <c r="E22" s="2">
        <v>73.877730981595505</v>
      </c>
      <c r="F22" s="2">
        <v>8.5922670736418887</v>
      </c>
      <c r="Q22" s="7"/>
    </row>
    <row r="23" spans="1:17" x14ac:dyDescent="0.25">
      <c r="A23" s="2">
        <f t="shared" si="0"/>
        <v>3.8073549220576037</v>
      </c>
      <c r="B23" s="2">
        <v>14</v>
      </c>
      <c r="C23" s="2">
        <f t="shared" si="2"/>
        <v>6.5</v>
      </c>
      <c r="D23" s="2">
        <f t="array" ref="D23:F23">TRANSPOSE(MMULT($K$5:$M$7,TRANSPOSE(D22:F22)))*$Q$2+D22:F22</f>
        <v>-61.382183604144409</v>
      </c>
      <c r="E23" s="2">
        <v>67.658570493604685</v>
      </c>
      <c r="F23" s="2">
        <v>1.1652652060978017</v>
      </c>
      <c r="Q23" s="7"/>
    </row>
    <row r="24" spans="1:17" x14ac:dyDescent="0.25">
      <c r="A24" s="2">
        <f t="shared" si="0"/>
        <v>3.9068905956085187</v>
      </c>
      <c r="B24" s="2">
        <v>15</v>
      </c>
      <c r="C24" s="2">
        <f t="shared" si="2"/>
        <v>7</v>
      </c>
      <c r="D24" s="2">
        <f t="array" ref="D24:F24">TRANSPOSE(MMULT($K$5:$M$7,TRANSPOSE(D23:F23)))*$Q$2+D23:F23</f>
        <v>-92.375412711959086</v>
      </c>
      <c r="E24" s="2">
        <v>55.200048325575331</v>
      </c>
      <c r="F24" s="2">
        <v>-6.2321714623015874</v>
      </c>
      <c r="Q24" s="7"/>
    </row>
    <row r="25" spans="1:17" x14ac:dyDescent="0.25">
      <c r="A25" s="2">
        <f t="shared" si="0"/>
        <v>4</v>
      </c>
      <c r="B25" s="2">
        <v>16</v>
      </c>
      <c r="C25" s="2">
        <f t="shared" si="2"/>
        <v>7.5</v>
      </c>
      <c r="D25" s="2">
        <f t="array" ref="D25:F25">TRANSPOSE(MMULT($K$5:$M$7,TRANSPOSE(D24:F24)))*$Q$2+D24:F24</f>
        <v>-114.11023194668849</v>
      </c>
      <c r="E25" s="2">
        <v>37.789304079090741</v>
      </c>
      <c r="F25" s="2">
        <v>-12.905627485602455</v>
      </c>
      <c r="Q25" s="7"/>
    </row>
    <row r="26" spans="1:17" x14ac:dyDescent="0.25">
      <c r="A26" s="2">
        <f t="shared" si="0"/>
        <v>4.0874628412503391</v>
      </c>
      <c r="B26" s="2">
        <v>17</v>
      </c>
      <c r="C26" s="2">
        <f t="shared" si="2"/>
        <v>8</v>
      </c>
      <c r="D26" s="2">
        <f t="array" ref="D26:F26">TRANSPOSE(MMULT($K$5:$M$7,TRANSPOSE(D25:F25)))*$Q$2+D25:F25</f>
        <v>-124.71824689177895</v>
      </c>
      <c r="E26" s="2">
        <v>17.154650429750106</v>
      </c>
      <c r="F26" s="2">
        <v>-18.241729978260985</v>
      </c>
      <c r="Q26" s="7"/>
    </row>
    <row r="27" spans="1:17" x14ac:dyDescent="0.25">
      <c r="A27" s="2">
        <f t="shared" si="0"/>
        <v>4.1699250014423122</v>
      </c>
      <c r="B27" s="2">
        <v>18</v>
      </c>
      <c r="C27" s="2">
        <f t="shared" si="2"/>
        <v>8.5</v>
      </c>
      <c r="D27" s="2">
        <f t="array" ref="D27:F27">TRANSPOSE(MMULT($K$5:$M$7,TRANSPOSE(D26:F26)))*$Q$2+D26:F26</f>
        <v>-123.41131376641286</v>
      </c>
      <c r="E27" s="2">
        <v>-4.7050870047985676</v>
      </c>
      <c r="F27" s="2">
        <v>-21.764236182605888</v>
      </c>
      <c r="Q27" s="7"/>
    </row>
    <row r="28" spans="1:17" x14ac:dyDescent="0.25">
      <c r="A28" s="2">
        <f t="shared" si="0"/>
        <v>4.2479275134435852</v>
      </c>
      <c r="B28" s="2">
        <v>19</v>
      </c>
      <c r="C28" s="2">
        <f t="shared" si="2"/>
        <v>9</v>
      </c>
      <c r="D28" s="2">
        <f t="array" ref="D28:F28">TRANSPOSE(MMULT($K$5:$M$7,TRANSPOSE(D27:F27)))*$Q$2+D27:F27</f>
        <v>-110.53535733917175</v>
      </c>
      <c r="E28" s="2">
        <v>-25.71342275709436</v>
      </c>
      <c r="F28" s="2">
        <v>-23.176198597896246</v>
      </c>
      <c r="Q28" s="7"/>
    </row>
    <row r="29" spans="1:17" x14ac:dyDescent="0.25">
      <c r="A29" s="2">
        <f t="shared" si="0"/>
        <v>4.3219280948873626</v>
      </c>
      <c r="B29" s="2">
        <v>20</v>
      </c>
      <c r="C29" s="2">
        <f t="shared" si="2"/>
        <v>9.5</v>
      </c>
      <c r="D29" s="2">
        <f t="array" ref="D29:F29">TRANSPOSE(MMULT($K$5:$M$7,TRANSPOSE(D28:F28)))*$Q$2+D28:F28</f>
        <v>-87.516638374086739</v>
      </c>
      <c r="E29" s="2">
        <v>-43.912739839580496</v>
      </c>
      <c r="F29" s="2">
        <v>-22.384500805294355</v>
      </c>
      <c r="Q29" s="7"/>
    </row>
    <row r="30" spans="1:17" x14ac:dyDescent="0.25">
      <c r="A30" s="2">
        <f t="shared" si="0"/>
        <v>4.3923174227787607</v>
      </c>
      <c r="B30" s="2">
        <v>21</v>
      </c>
      <c r="C30" s="2">
        <f t="shared" si="2"/>
        <v>10</v>
      </c>
      <c r="D30" s="2">
        <f t="array" ref="D30:F30">TRANSPOSE(MMULT($K$5:$M$7,TRANSPOSE(D29:F29)))*$Q$2+D29:F29</f>
        <v>-56.707536374533284</v>
      </c>
      <c r="E30" s="2">
        <v>-57.645967634519877</v>
      </c>
      <c r="F30" s="2">
        <v>-19.504786841660049</v>
      </c>
      <c r="Q30" s="7"/>
    </row>
    <row r="31" spans="1:17" x14ac:dyDescent="0.25">
      <c r="A31" s="2">
        <f t="shared" si="0"/>
        <v>4.4594316186372973</v>
      </c>
      <c r="B31" s="2">
        <v>22</v>
      </c>
      <c r="C31" s="2">
        <f t="shared" si="2"/>
        <v>10.5</v>
      </c>
      <c r="D31" s="2">
        <f t="array" ref="D31:F31">TRANSPOSE(MMULT($K$5:$M$7,TRANSPOSE(D30:F30)))*$Q$2+D30:F30</f>
        <v>-21.148218370214671</v>
      </c>
      <c r="E31" s="2">
        <v>-65.70662225383775</v>
      </c>
      <c r="F31" s="2">
        <v>-14.846687381938155</v>
      </c>
      <c r="Q31" s="7"/>
    </row>
    <row r="32" spans="1:17" x14ac:dyDescent="0.25">
      <c r="A32" s="2">
        <f t="shared" si="0"/>
        <v>4.5235619560570131</v>
      </c>
      <c r="B32" s="2">
        <v>23</v>
      </c>
      <c r="C32" s="2">
        <f t="shared" si="2"/>
        <v>11</v>
      </c>
      <c r="D32" s="2">
        <f t="array" ref="D32:F32">TRANSPOSE(MMULT($K$5:$M$7,TRANSPOSE(D31:F31)))*$Q$2+D31:F31</f>
        <v>15.731841151602566</v>
      </c>
      <c r="E32" s="2">
        <v>-67.443707512563677</v>
      </c>
      <c r="F32" s="2">
        <v>-8.8810993054521674</v>
      </c>
      <c r="Q32" s="7"/>
    </row>
    <row r="33" spans="1:17" x14ac:dyDescent="0.25">
      <c r="A33" s="2">
        <f t="shared" si="0"/>
        <v>4.5849625007211561</v>
      </c>
      <c r="B33" s="2">
        <v>24</v>
      </c>
      <c r="C33" s="2">
        <f t="shared" si="2"/>
        <v>11.5</v>
      </c>
      <c r="D33" s="2">
        <f t="array" ref="D33:F33">TRANSPOSE(MMULT($K$5:$M$7,TRANSPOSE(D32:F32)))*$Q$2+D32:F32</f>
        <v>50.443322711394707</v>
      </c>
      <c r="E33" s="2">
        <v>-62.812467553775704</v>
      </c>
      <c r="F33" s="2">
        <v>-2.1929284624401904</v>
      </c>
      <c r="Q33" s="7"/>
    </row>
    <row r="34" spans="1:17" x14ac:dyDescent="0.25">
      <c r="A34" s="2">
        <f t="shared" si="0"/>
        <v>4.6438561897747253</v>
      </c>
      <c r="B34" s="2">
        <v>25</v>
      </c>
      <c r="C34" s="2">
        <f t="shared" si="2"/>
        <v>12</v>
      </c>
      <c r="D34" s="2">
        <f t="array" ref="D34:F34">TRANSPOSE(MMULT($K$5:$M$7,TRANSPOSE(D33:F33)))*$Q$2+D33:F33</f>
        <v>79.765976045200858</v>
      </c>
      <c r="E34" s="2">
        <v>-52.367237521393662</v>
      </c>
      <c r="F34" s="2">
        <v>4.575992715457132</v>
      </c>
      <c r="Q34" s="7"/>
    </row>
    <row r="35" spans="1:17" x14ac:dyDescent="0.25">
      <c r="A35" s="2">
        <f t="shared" si="0"/>
        <v>4.7004397181410917</v>
      </c>
      <c r="B35" s="2">
        <v>26</v>
      </c>
      <c r="C35" s="2">
        <f t="shared" si="2"/>
        <v>12.5</v>
      </c>
      <c r="D35" s="2">
        <f t="array" ref="D35:F35">TRANSPOSE(MMULT($K$5:$M$7,TRANSPOSE(D34:F34)))*$Q$2+D34:F34</f>
        <v>101.04609746054622</v>
      </c>
      <c r="E35" s="2">
        <v>-37.198148337589998</v>
      </c>
      <c r="F35" s="2">
        <v>10.788266337462588</v>
      </c>
      <c r="Q35" s="7"/>
    </row>
    <row r="36" spans="1:17" x14ac:dyDescent="0.25">
      <c r="A36" s="2">
        <f t="shared" si="0"/>
        <v>4.7548875021634682</v>
      </c>
      <c r="B36" s="2">
        <v>27</v>
      </c>
      <c r="C36" s="2">
        <f t="shared" si="2"/>
        <v>13</v>
      </c>
      <c r="D36" s="2">
        <f t="array" ref="D36:F36">TRANSPOSE(MMULT($K$5:$M$7,TRANSPOSE(D35:F35)))*$Q$2+D35:F35</f>
        <v>112.43521348882139</v>
      </c>
      <c r="E36" s="2">
        <v>-18.818683186418589</v>
      </c>
      <c r="F36" s="2">
        <v>15.870724398161816</v>
      </c>
      <c r="Q36" s="7"/>
    </row>
    <row r="37" spans="1:17" x14ac:dyDescent="0.25">
      <c r="A37" s="2">
        <f t="shared" si="0"/>
        <v>4.8073549220576037</v>
      </c>
      <c r="B37" s="2">
        <v>28</v>
      </c>
      <c r="C37" s="2">
        <f t="shared" si="2"/>
        <v>13.5</v>
      </c>
      <c r="D37" s="2">
        <f t="array" ref="D37:F37">TRANSPOSE(MMULT($K$5:$M$7,TRANSPOSE(D36:F36)))*$Q$2+D36:F36</f>
        <v>113.04864952795725</v>
      </c>
      <c r="E37" s="2">
        <v>0.98443066926017764</v>
      </c>
      <c r="F37" s="2">
        <v>19.367070379827233</v>
      </c>
      <c r="Q37" s="7"/>
    </row>
    <row r="38" spans="1:17" x14ac:dyDescent="0.25">
      <c r="A38" s="2">
        <f t="shared" si="0"/>
        <v>4.8579809951275719</v>
      </c>
      <c r="B38" s="2">
        <v>29</v>
      </c>
      <c r="C38" s="2">
        <f t="shared" si="2"/>
        <v>14</v>
      </c>
      <c r="D38" s="2">
        <f t="array" ref="D38:F38">TRANSPOSE(MMULT($K$5:$M$7,TRANSPOSE(D37:F37)))*$Q$2+D37:F37</f>
        <v>103.03058764096386</v>
      </c>
      <c r="E38" s="2">
        <v>20.324187889527312</v>
      </c>
      <c r="F38" s="2">
        <v>20.978555836016739</v>
      </c>
      <c r="Q38" s="7"/>
    </row>
    <row r="39" spans="1:17" x14ac:dyDescent="0.25">
      <c r="A39" s="2">
        <f t="shared" si="0"/>
        <v>4.9068905956085187</v>
      </c>
      <c r="B39" s="2">
        <v>30</v>
      </c>
      <c r="C39" s="2">
        <f t="shared" si="2"/>
        <v>14.5</v>
      </c>
      <c r="D39" s="2">
        <f t="array" ref="D39:F39">TRANSPOSE(MMULT($K$5:$M$7,TRANSPOSE(D38:F38)))*$Q$2+D38:F38</f>
        <v>83.521253146948652</v>
      </c>
      <c r="E39" s="2">
        <v>37.392452029100035</v>
      </c>
      <c r="F39" s="2">
        <v>20.589094803209484</v>
      </c>
      <c r="Q39" s="7"/>
    </row>
    <row r="40" spans="1:17" x14ac:dyDescent="0.25">
      <c r="A40" s="2">
        <f t="shared" si="0"/>
        <v>4.9541963103868749</v>
      </c>
      <c r="B40" s="2">
        <v>31</v>
      </c>
      <c r="C40" s="2">
        <f t="shared" si="2"/>
        <v>15</v>
      </c>
      <c r="D40" s="2">
        <f t="array" ref="D40:F40">TRANSPOSE(MMULT($K$5:$M$7,TRANSPOSE(D39:F39)))*$Q$2+D39:F39</f>
        <v>56.531145514409303</v>
      </c>
      <c r="E40" s="2">
        <v>50.628338306209933</v>
      </c>
      <c r="F40" s="2">
        <v>18.272748196008607</v>
      </c>
      <c r="Q40" s="7"/>
    </row>
    <row r="41" spans="1:17" x14ac:dyDescent="0.25">
      <c r="A41" s="2">
        <f t="shared" si="0"/>
        <v>5</v>
      </c>
      <c r="B41" s="2">
        <v>32</v>
      </c>
      <c r="C41" s="2">
        <f t="shared" si="2"/>
        <v>15.5</v>
      </c>
      <c r="D41" s="2">
        <f t="array" ref="D41:F41">TRANSPOSE(MMULT($K$5:$M$7,TRANSPOSE(D40:F40)))*$Q$2+D40:F40</f>
        <v>24.73586944638215</v>
      </c>
      <c r="E41" s="2">
        <v>58.860215559248168</v>
      </c>
      <c r="F41" s="2">
        <v>14.283205266383135</v>
      </c>
      <c r="Q41" s="7"/>
    </row>
    <row r="42" spans="1:17" x14ac:dyDescent="0.25">
      <c r="A42" s="2">
        <f t="shared" si="0"/>
        <v>5.0443941193584534</v>
      </c>
      <c r="B42" s="2">
        <v>33</v>
      </c>
      <c r="C42" s="2">
        <f t="shared" si="2"/>
        <v>16</v>
      </c>
      <c r="D42" s="2">
        <f t="array" ref="D42:F42">TRANSPOSE(MMULT($K$5:$M$7,TRANSPOSE(D41:F41)))*$Q$2+D41:F41</f>
        <v>-8.78767285883767</v>
      </c>
      <c r="E42" s="2">
        <v>61.408481517951245</v>
      </c>
      <c r="F42" s="2">
        <v>9.0265874222373004</v>
      </c>
      <c r="Q42" s="7"/>
    </row>
    <row r="43" spans="1:17" x14ac:dyDescent="0.25">
      <c r="A43" s="2">
        <f t="shared" si="0"/>
        <v>5.0874628412503391</v>
      </c>
      <c r="B43" s="2">
        <v>34</v>
      </c>
      <c r="C43" s="2">
        <f t="shared" si="2"/>
        <v>16.5</v>
      </c>
      <c r="D43" s="2">
        <f t="array" ref="D43:F43">TRANSPOSE(MMULT($K$5:$M$7,TRANSPOSE(D42:F42)))*$Q$2+D42:F42</f>
        <v>-40.857847459318862</v>
      </c>
      <c r="E43" s="2">
        <v>58.14019112731004</v>
      </c>
      <c r="F43" s="2">
        <v>3.0204416100553706</v>
      </c>
      <c r="Q43" s="7"/>
    </row>
    <row r="44" spans="1:17" x14ac:dyDescent="0.25">
      <c r="A44" s="2">
        <f t="shared" si="0"/>
        <v>5.1292830169449664</v>
      </c>
      <c r="B44" s="2">
        <v>35</v>
      </c>
      <c r="C44" s="2">
        <f t="shared" si="2"/>
        <v>17</v>
      </c>
      <c r="D44" s="2">
        <f t="array" ref="D44:F44">TRANSPOSE(MMULT($K$5:$M$7,TRANSPOSE(D43:F43)))*$Q$2+D43:F43</f>
        <v>-68.489138972019006</v>
      </c>
      <c r="E44" s="2">
        <v>49.471307740714423</v>
      </c>
      <c r="F44" s="2">
        <v>-3.1569658521773016</v>
      </c>
      <c r="Q44" s="7"/>
    </row>
    <row r="45" spans="1:17" x14ac:dyDescent="0.25">
      <c r="A45" s="2">
        <f t="shared" si="0"/>
        <v>5.1699250014423122</v>
      </c>
      <c r="B45" s="2">
        <v>36</v>
      </c>
      <c r="C45" s="2">
        <f t="shared" si="2"/>
        <v>17.5</v>
      </c>
      <c r="D45" s="2">
        <f t="array" ref="D45:F45">TRANSPOSE(MMULT($K$5:$M$7,TRANSPOSE(D44:F44)))*$Q$2+D44:F44</f>
        <v>-89.168942723339811</v>
      </c>
      <c r="E45" s="2">
        <v>36.317346631936203</v>
      </c>
      <c r="F45" s="2">
        <v>-8.9221099006976949</v>
      </c>
      <c r="Q45" s="7"/>
    </row>
    <row r="46" spans="1:17" x14ac:dyDescent="0.25">
      <c r="A46" s="2">
        <f t="shared" si="0"/>
        <v>5.2094533656289501</v>
      </c>
      <c r="B46" s="2">
        <v>37</v>
      </c>
      <c r="C46" s="2">
        <f t="shared" si="2"/>
        <v>18</v>
      </c>
      <c r="D46" s="2">
        <f t="array" ref="D46:F46">TRANSPOSE(MMULT($K$5:$M$7,TRANSPOSE(D45:F45)))*$Q$2+D45:F45</f>
        <v>-101.08474692300138</v>
      </c>
      <c r="E46" s="2">
        <v>19.998013990766257</v>
      </c>
      <c r="F46" s="2">
        <v>-13.741122689002191</v>
      </c>
      <c r="Q46" s="7"/>
    </row>
    <row r="47" spans="1:17" x14ac:dyDescent="0.25">
      <c r="A47" s="2">
        <f t="shared" si="0"/>
        <v>5.2479275134435852</v>
      </c>
      <c r="B47" s="2">
        <v>38</v>
      </c>
      <c r="C47" s="2">
        <f t="shared" si="2"/>
        <v>18.5</v>
      </c>
      <c r="D47" s="2">
        <f t="array" ref="D47:F47">TRANSPOSE(MMULT($K$5:$M$7,TRANSPOSE(D46:F46)))*$Q$2+D46:F46</f>
        <v>-103.281292034434</v>
      </c>
      <c r="E47" s="2">
        <v>2.1056613832263125</v>
      </c>
      <c r="F47" s="2">
        <v>-17.179016176708895</v>
      </c>
      <c r="Q47" s="7"/>
    </row>
    <row r="48" spans="1:17" x14ac:dyDescent="0.25">
      <c r="A48" s="2">
        <f t="shared" si="0"/>
        <v>5.2854022188622478</v>
      </c>
      <c r="B48" s="2">
        <v>39</v>
      </c>
      <c r="C48" s="2">
        <f t="shared" si="2"/>
        <v>19</v>
      </c>
      <c r="D48" s="2">
        <f t="array" ref="D48:F48">TRANSPOSE(MMULT($K$5:$M$7,TRANSPOSE(D47:F47)))*$Q$2+D47:F47</f>
        <v>-95.734254888983685</v>
      </c>
      <c r="E48" s="2">
        <v>-15.649409008179497</v>
      </c>
      <c r="F48" s="2">
        <v>-18.93869390563011</v>
      </c>
      <c r="Q48" s="7"/>
    </row>
    <row r="49" spans="1:17" x14ac:dyDescent="0.25">
      <c r="A49" s="2">
        <f t="shared" si="0"/>
        <v>5.3219280948873617</v>
      </c>
      <c r="B49" s="2">
        <v>40</v>
      </c>
      <c r="C49" s="2">
        <f t="shared" si="2"/>
        <v>19.5</v>
      </c>
      <c r="D49" s="2">
        <f t="array" ref="D49:F49">TRANSPOSE(MMULT($K$5:$M$7,TRANSPOSE(D48:F48)))*$Q$2+D48:F48</f>
        <v>-79.335098859318734</v>
      </c>
      <c r="E49" s="2">
        <v>-31.601822494507182</v>
      </c>
      <c r="F49" s="2">
        <v>-18.886278351631631</v>
      </c>
      <c r="Q49" s="7"/>
    </row>
    <row r="50" spans="1:17" x14ac:dyDescent="0.25">
      <c r="A50" s="2">
        <f t="shared" si="0"/>
        <v>5.3575520046180838</v>
      </c>
      <c r="B50" s="2">
        <v>41</v>
      </c>
      <c r="C50" s="2">
        <f t="shared" si="2"/>
        <v>20</v>
      </c>
      <c r="D50" s="2">
        <f t="array" ref="D50:F50">TRANSPOSE(MMULT($K$5:$M$7,TRANSPOSE(D49:F49)))*$Q$2+D49:F49</f>
        <v>-55.790176998772878</v>
      </c>
      <c r="E50" s="2">
        <v>-44.286738995526356</v>
      </c>
      <c r="F50" s="2">
        <v>-17.060630836802616</v>
      </c>
      <c r="Q50" s="7"/>
    </row>
    <row r="51" spans="1:17" x14ac:dyDescent="0.25">
      <c r="A51" s="2">
        <f t="shared" si="0"/>
        <v>5.3923174227787607</v>
      </c>
      <c r="B51" s="2">
        <v>42</v>
      </c>
      <c r="C51" s="2">
        <f t="shared" si="2"/>
        <v>20.5</v>
      </c>
      <c r="D51" s="2">
        <f t="array" ref="D51:F51">TRANSPOSE(MMULT($K$5:$M$7,TRANSPOSE(D50:F50)))*$Q$2+D50:F50</f>
        <v>-27.445172483710532</v>
      </c>
      <c r="E51" s="2">
        <v>-52.573707298721857</v>
      </c>
      <c r="F51" s="2">
        <v>-13.666465728323333</v>
      </c>
      <c r="Q51" s="7"/>
    </row>
    <row r="52" spans="1:17" x14ac:dyDescent="0.25">
      <c r="A52" s="2">
        <f t="shared" si="0"/>
        <v>5.4262647547020979</v>
      </c>
      <c r="B52" s="2">
        <v>43</v>
      </c>
      <c r="C52" s="2">
        <f t="shared" si="2"/>
        <v>21</v>
      </c>
      <c r="D52" s="2">
        <f t="array" ref="D52:F52">TRANSPOSE(MMULT($K$5:$M$7,TRANSPOSE(D51:F51)))*$Q$2+D51:F51</f>
        <v>2.9472329355005904</v>
      </c>
      <c r="E52" s="2">
        <v>-55.76659932602638</v>
      </c>
      <c r="F52" s="2">
        <v>-9.0520130395455016</v>
      </c>
      <c r="Q52" s="7"/>
    </row>
    <row r="53" spans="1:17" x14ac:dyDescent="0.25">
      <c r="A53" s="2">
        <f t="shared" si="0"/>
        <v>5.4594316186372973</v>
      </c>
      <c r="B53" s="2">
        <v>44</v>
      </c>
      <c r="C53" s="2">
        <f t="shared" si="2"/>
        <v>21.5</v>
      </c>
      <c r="D53" s="2">
        <f t="array" ref="D53:F53">TRANSPOSE(MMULT($K$5:$M$7,TRANSPOSE(D52:F52)))*$Q$2+D52:F52</f>
        <v>32.493573559647857</v>
      </c>
      <c r="E53" s="2">
        <v>-53.660871650963358</v>
      </c>
      <c r="F53" s="2">
        <v>-3.6736172329624281</v>
      </c>
      <c r="Q53" s="7"/>
    </row>
    <row r="54" spans="1:17" x14ac:dyDescent="0.25">
      <c r="A54" s="2">
        <f t="shared" si="0"/>
        <v>5.4918530963296748</v>
      </c>
      <c r="B54" s="2">
        <v>45</v>
      </c>
      <c r="C54" s="2">
        <f t="shared" si="2"/>
        <v>22</v>
      </c>
      <c r="D54" s="2">
        <f t="array" ref="D54:F54">TRANSPOSE(MMULT($K$5:$M$7,TRANSPOSE(D53:F53)))*$Q$2+D53:F53</f>
        <v>58.434054153739631</v>
      </c>
      <c r="E54" s="2">
        <v>-46.553574193393644</v>
      </c>
      <c r="F54" s="2">
        <v>1.9491574559932054</v>
      </c>
      <c r="Q54" s="7"/>
    </row>
    <row r="55" spans="1:17" x14ac:dyDescent="0.25">
      <c r="A55" s="2">
        <f t="shared" si="0"/>
        <v>5.5235619560570131</v>
      </c>
      <c r="B55" s="2">
        <v>46</v>
      </c>
      <c r="C55" s="2">
        <f t="shared" ref="C55:C100" si="3">C54+$Q$2</f>
        <v>22.5</v>
      </c>
      <c r="D55" s="2">
        <f t="array" ref="D55:F55">TRANSPOSE(MMULT($K$5:$M$7,TRANSPOSE(D54:F54)))*$Q$2+D54:F54</f>
        <v>78.399307051550835</v>
      </c>
      <c r="E55" s="2">
        <v>-35.206050817491104</v>
      </c>
      <c r="F55" s="2">
        <v>7.2835198853045027</v>
      </c>
      <c r="Q55" s="7"/>
    </row>
    <row r="56" spans="1:17" x14ac:dyDescent="0.25">
      <c r="A56" s="2">
        <f t="shared" si="0"/>
        <v>5.5545888516776376</v>
      </c>
      <c r="B56" s="2">
        <v>47</v>
      </c>
      <c r="C56" s="2">
        <f t="shared" si="3"/>
        <v>23</v>
      </c>
      <c r="D56" s="2">
        <f t="array" ref="D56:F56">TRANSPOSE(MMULT($K$5:$M$7,TRANSPOSE(D55:F55)))*$Q$2+D55:F55</f>
        <v>90.625663130657941</v>
      </c>
      <c r="E56" s="2">
        <v>-20.763721808111054</v>
      </c>
      <c r="F56" s="2">
        <v>11.833751155982245</v>
      </c>
      <c r="Q56" s="7"/>
    </row>
    <row r="57" spans="1:17" x14ac:dyDescent="0.25">
      <c r="A57" s="2">
        <f t="shared" si="0"/>
        <v>5.5849625007211561</v>
      </c>
      <c r="B57" s="2">
        <v>48</v>
      </c>
      <c r="C57" s="2">
        <f t="shared" si="3"/>
        <v>23.5</v>
      </c>
      <c r="D57" s="2">
        <f t="array" ref="D57:F57">TRANSPOSE(MMULT($K$5:$M$7,TRANSPOSE(D56:F56)))*$Q$2+D56:F56</f>
        <v>94.109490646984128</v>
      </c>
      <c r="E57" s="2">
        <v>-4.6412877958106122</v>
      </c>
      <c r="F57" s="2">
        <v>15.187079109138027</v>
      </c>
      <c r="Q57" s="7"/>
    </row>
    <row r="58" spans="1:17" x14ac:dyDescent="0.25">
      <c r="A58" s="2">
        <f t="shared" si="0"/>
        <v>5.6147098441152083</v>
      </c>
      <c r="B58" s="2">
        <v>49</v>
      </c>
      <c r="C58" s="2">
        <f t="shared" si="3"/>
        <v>24</v>
      </c>
      <c r="D58" s="2">
        <f t="array" ref="D58:F58">TRANSPOSE(MMULT($K$5:$M$7,TRANSPOSE(D57:F57)))*$Q$2+D57:F57</f>
        <v>88.687244190712619</v>
      </c>
      <c r="E58" s="2">
        <v>11.615213108460015</v>
      </c>
      <c r="F58" s="2">
        <v>17.050901497225532</v>
      </c>
      <c r="Q58" s="7"/>
    </row>
    <row r="59" spans="1:17" x14ac:dyDescent="0.25">
      <c r="A59" s="2">
        <f t="shared" si="0"/>
        <v>5.6438561897747244</v>
      </c>
      <c r="B59" s="2">
        <v>50</v>
      </c>
      <c r="C59" s="2">
        <f t="shared" si="3"/>
        <v>24.5</v>
      </c>
      <c r="D59" s="2">
        <f t="array" ref="D59:F59">TRANSPOSE(MMULT($K$5:$M$7,TRANSPOSE(D58:F58)))*$Q$2+D58:F58</f>
        <v>75.035095127501876</v>
      </c>
      <c r="E59" s="2">
        <v>26.476102850279613</v>
      </c>
      <c r="F59" s="2">
        <v>17.278023036599429</v>
      </c>
      <c r="Q59" s="7"/>
    </row>
    <row r="60" spans="1:17" x14ac:dyDescent="0.25">
      <c r="A60" s="2">
        <f t="shared" si="0"/>
        <v>5.6724253419714952</v>
      </c>
      <c r="B60" s="2">
        <v>51</v>
      </c>
      <c r="C60" s="2">
        <f t="shared" si="3"/>
        <v>25</v>
      </c>
      <c r="D60" s="2">
        <f t="array" ref="D60:F60">TRANSPOSE(MMULT($K$5:$M$7,TRANSPOSE(D59:F59)))*$Q$2+D59:F59</f>
        <v>54.589684338667091</v>
      </c>
      <c r="E60" s="2">
        <v>38.571457959514376</v>
      </c>
      <c r="F60" s="2">
        <v>15.877760002547106</v>
      </c>
      <c r="Q60" s="7"/>
    </row>
    <row r="61" spans="1:17" x14ac:dyDescent="0.25">
      <c r="A61" s="2">
        <f t="shared" si="0"/>
        <v>5.7004397181410926</v>
      </c>
      <c r="B61" s="2">
        <v>52</v>
      </c>
      <c r="C61" s="2">
        <f t="shared" si="3"/>
        <v>25.5</v>
      </c>
      <c r="D61" s="2">
        <f t="array" ref="D61:F61">TRANSPOSE(MMULT($K$5:$M$7,TRANSPOSE(D60:F60)))*$Q$2+D60:F60</f>
        <v>29.398919141467125</v>
      </c>
      <c r="E61" s="2">
        <v>46.81681089666661</v>
      </c>
      <c r="F61" s="2">
        <v>13.01213385554512</v>
      </c>
      <c r="Q61" s="7"/>
    </row>
    <row r="62" spans="1:17" x14ac:dyDescent="0.25">
      <c r="A62" s="2">
        <f t="shared" si="0"/>
        <v>5.7279204545631988</v>
      </c>
      <c r="B62" s="2">
        <v>53</v>
      </c>
      <c r="C62" s="2">
        <f t="shared" si="3"/>
        <v>26</v>
      </c>
      <c r="D62" s="2">
        <f t="array" ref="D62:F62">TRANSPOSE(MMULT($K$5:$M$7,TRANSPOSE(D61:F61)))*$Q$2+D61:F61</f>
        <v>1.9181409649514407</v>
      </c>
      <c r="E62" s="2">
        <v>50.50968095159061</v>
      </c>
      <c r="F62" s="2">
        <v>8.9777907329526059</v>
      </c>
      <c r="Q62" s="7"/>
    </row>
    <row r="63" spans="1:17" x14ac:dyDescent="0.25">
      <c r="A63" s="2">
        <f t="shared" si="0"/>
        <v>5.7548875021634691</v>
      </c>
      <c r="B63" s="2">
        <v>54</v>
      </c>
      <c r="C63" s="2">
        <f t="shared" si="3"/>
        <v>26.5</v>
      </c>
      <c r="D63" s="2">
        <f t="array" ref="D63:F63">TRANSPOSE(MMULT($K$5:$M$7,TRANSPOSE(D62:F62)))*$Q$2+D62:F62</f>
        <v>-25.228164705681959</v>
      </c>
      <c r="E63" s="2">
        <v>49.388412705672522</v>
      </c>
      <c r="F63" s="2">
        <v>4.1756126534555413</v>
      </c>
      <c r="Q63" s="7"/>
    </row>
    <row r="64" spans="1:17" x14ac:dyDescent="0.25">
      <c r="A64" s="2">
        <f t="shared" si="0"/>
        <v>5.7813597135246599</v>
      </c>
      <c r="B64" s="2">
        <v>55</v>
      </c>
      <c r="C64" s="2">
        <f t="shared" si="3"/>
        <v>27</v>
      </c>
      <c r="D64" s="2">
        <f t="array" ref="D64:F64">TRANSPOSE(MMULT($K$5:$M$7,TRANSPOSE(D63:F63)))*$Q$2+D63:F63</f>
        <v>-49.496085353925231</v>
      </c>
      <c r="E64" s="2">
        <v>43.648500570935035</v>
      </c>
      <c r="F64" s="2">
        <v>-0.9288942708971506</v>
      </c>
      <c r="Q64" s="7"/>
    </row>
    <row r="65" spans="1:17" x14ac:dyDescent="0.25">
      <c r="A65" s="2">
        <f t="shared" si="0"/>
        <v>5.8073549220576046</v>
      </c>
      <c r="B65" s="2">
        <v>56</v>
      </c>
      <c r="C65" s="2">
        <f t="shared" si="3"/>
        <v>27.5</v>
      </c>
      <c r="D65" s="2">
        <f t="array" ref="D65:F65">TRANSPOSE(MMULT($K$5:$M$7,TRANSPOSE(D64:F64)))*$Q$2+D64:F64</f>
        <v>-68.659752517517063</v>
      </c>
      <c r="E65" s="2">
        <v>33.915662057819986</v>
      </c>
      <c r="F65" s="2">
        <v>-5.8505406765504491</v>
      </c>
      <c r="Q65" s="7"/>
    </row>
    <row r="66" spans="1:17" x14ac:dyDescent="0.25">
      <c r="A66" s="2">
        <f t="shared" si="0"/>
        <v>5.8328900141647422</v>
      </c>
      <c r="B66" s="2">
        <v>57</v>
      </c>
      <c r="C66" s="2">
        <f t="shared" si="3"/>
        <v>28</v>
      </c>
      <c r="D66" s="2">
        <f t="array" ref="D66:F66">TRANSPOSE(MMULT($K$5:$M$7,TRANSPOSE(D65:F65)))*$Q$2+D65:F65</f>
        <v>-81.014487785241116</v>
      </c>
      <c r="E66" s="2">
        <v>21.178999340929266</v>
      </c>
      <c r="F66" s="2">
        <v>-10.13040221060513</v>
      </c>
      <c r="Q66" s="7"/>
    </row>
    <row r="67" spans="1:17" x14ac:dyDescent="0.25">
      <c r="A67" s="2">
        <f t="shared" si="0"/>
        <v>5.8579809951275719</v>
      </c>
      <c r="B67" s="2">
        <v>58</v>
      </c>
      <c r="C67" s="2">
        <f t="shared" si="3"/>
        <v>28.5</v>
      </c>
      <c r="D67" s="2">
        <f t="array" ref="D67:F67">TRANSPOSE(MMULT($K$5:$M$7,TRANSPOSE(D66:F66)))*$Q$2+D66:F66</f>
        <v>-85.527182624322663</v>
      </c>
      <c r="E67" s="2">
        <v>6.6912755304604215</v>
      </c>
      <c r="F67" s="2">
        <v>-13.378439877235969</v>
      </c>
      <c r="Q67" s="7"/>
    </row>
    <row r="68" spans="1:17" x14ac:dyDescent="0.25">
      <c r="A68" s="2">
        <f t="shared" si="0"/>
        <v>5.8826430493618416</v>
      </c>
      <c r="B68" s="2">
        <v>59</v>
      </c>
      <c r="C68" s="2">
        <f t="shared" si="3"/>
        <v>29</v>
      </c>
      <c r="D68" s="2">
        <f t="array" ref="D68:F68">TRANSPOSE(MMULT($K$5:$M$7,TRANSPOSE(D67:F67)))*$Q$2+D67:F67</f>
        <v>-81.920773282889542</v>
      </c>
      <c r="E68" s="2">
        <v>-8.1537102268041171</v>
      </c>
      <c r="F68" s="2">
        <v>-15.308850956354856</v>
      </c>
      <c r="Q68" s="7"/>
    </row>
    <row r="69" spans="1:17" x14ac:dyDescent="0.25">
      <c r="A69" s="2">
        <f t="shared" si="0"/>
        <v>5.9068905956085187</v>
      </c>
      <c r="B69" s="2">
        <v>60</v>
      </c>
      <c r="C69" s="2">
        <f t="shared" si="3"/>
        <v>29.5</v>
      </c>
      <c r="D69" s="2">
        <f t="array" ref="D69:F69">TRANSPOSE(MMULT($K$5:$M$7,TRANSPOSE(D68:F68)))*$Q$2+D68:F68</f>
        <v>-70.686109314072041</v>
      </c>
      <c r="E69" s="2">
        <v>-21.954700297722482</v>
      </c>
      <c r="F69" s="2">
        <v>-15.764965704198341</v>
      </c>
      <c r="Q69" s="7"/>
    </row>
    <row r="70" spans="1:17" x14ac:dyDescent="0.25">
      <c r="A70" s="2">
        <f t="shared" si="0"/>
        <v>5.9307373375628867</v>
      </c>
      <c r="B70" s="2">
        <v>61</v>
      </c>
      <c r="C70" s="2">
        <f t="shared" si="3"/>
        <v>30</v>
      </c>
      <c r="D70" s="2">
        <f t="array" ref="D70:F70">TRANSPOSE(MMULT($K$5:$M$7,TRANSPOSE(D69:F69)))*$Q$2+D69:F69</f>
        <v>-53.021460558667528</v>
      </c>
      <c r="E70" s="2">
        <v>-33.434755106347438</v>
      </c>
      <c r="F70" s="2">
        <v>-14.73154678052915</v>
      </c>
      <c r="Q70" s="7"/>
    </row>
    <row r="71" spans="1:17" x14ac:dyDescent="0.25">
      <c r="A71" s="2">
        <f t="shared" si="0"/>
        <v>5.9541963103868749</v>
      </c>
      <c r="B71" s="2">
        <v>62</v>
      </c>
      <c r="C71" s="2">
        <f t="shared" si="3"/>
        <v>30.5</v>
      </c>
      <c r="D71" s="2">
        <f t="array" ref="D71:F71">TRANSPOSE(MMULT($K$5:$M$7,TRANSPOSE(D70:F70)))*$Q$2+D70:F70</f>
        <v>-30.706700621454601</v>
      </c>
      <c r="E71" s="2">
        <v>-41.558883056445097</v>
      </c>
      <c r="F71" s="2">
        <v>-12.333571895067855</v>
      </c>
      <c r="Q71" s="7"/>
    </row>
    <row r="72" spans="1:17" x14ac:dyDescent="0.25">
      <c r="A72" s="2">
        <f t="shared" si="0"/>
        <v>5.9772799234999168</v>
      </c>
      <c r="B72" s="2">
        <v>63</v>
      </c>
      <c r="C72" s="2">
        <f t="shared" si="3"/>
        <v>31</v>
      </c>
      <c r="D72" s="2">
        <f t="array" ref="D72:F72">TRANSPOSE(MMULT($K$5:$M$7,TRANSPOSE(D71:F71)))*$Q$2+D71:F71</f>
        <v>-5.9252096831457521</v>
      </c>
      <c r="E72" s="2">
        <v>-45.626738391156117</v>
      </c>
      <c r="F72" s="2">
        <v>-8.8218671791149372</v>
      </c>
      <c r="Q72" s="7"/>
    </row>
    <row r="73" spans="1:17" x14ac:dyDescent="0.25">
      <c r="A73" s="2">
        <f t="shared" si="0"/>
        <v>6</v>
      </c>
      <c r="B73" s="2">
        <v>64</v>
      </c>
      <c r="C73" s="2">
        <f t="shared" si="3"/>
        <v>31.5</v>
      </c>
      <c r="D73" s="2">
        <f t="array" ref="D73:F73">TRANSPOSE(MMULT($K$5:$M$7,TRANSPOSE(D72:F72)))*$Q$2+D72:F72</f>
        <v>18.948793432412579</v>
      </c>
      <c r="E73" s="2">
        <v>-45.332145706564546</v>
      </c>
      <c r="F73" s="2">
        <v>-4.5471871739604826</v>
      </c>
      <c r="Q73" s="7"/>
    </row>
    <row r="74" spans="1:17" x14ac:dyDescent="0.25">
      <c r="A74" s="2">
        <f t="shared" si="0"/>
        <v>6.0223678130284544</v>
      </c>
      <c r="B74" s="2">
        <v>65</v>
      </c>
      <c r="C74" s="2">
        <f t="shared" si="3"/>
        <v>32</v>
      </c>
      <c r="D74" s="2">
        <f t="array" ref="D74:F74">TRANSPOSE(MMULT($K$5:$M$7,TRANSPOSE(D73:F73)))*$Q$2+D73:F73</f>
        <v>41.576864048866319</v>
      </c>
      <c r="E74" s="2">
        <v>-40.784480549063503</v>
      </c>
      <c r="F74" s="2">
        <v>7.4607213326662425E-2</v>
      </c>
      <c r="Q74" s="7"/>
    </row>
    <row r="75" spans="1:17" x14ac:dyDescent="0.25">
      <c r="A75" s="2">
        <f t="shared" ref="A75:A137" si="4">LOG(B75)/LOG(2)</f>
        <v>6.0443941193584534</v>
      </c>
      <c r="B75" s="2">
        <v>66</v>
      </c>
      <c r="C75" s="2">
        <f t="shared" si="3"/>
        <v>32.5</v>
      </c>
      <c r="D75" s="2">
        <f t="array" ref="D75:F75">TRANSPOSE(MMULT($K$5:$M$7,TRANSPOSE(D74:F74)))*$Q$2+D74:F74</f>
        <v>59.875339678289421</v>
      </c>
      <c r="E75" s="2">
        <v>-32.490611929850843</v>
      </c>
      <c r="F75" s="2">
        <v>4.6028348170405975</v>
      </c>
      <c r="Q75" s="7"/>
    </row>
    <row r="76" spans="1:17" x14ac:dyDescent="0.25">
      <c r="A76" s="2">
        <f t="shared" si="4"/>
        <v>6.0660891904577721</v>
      </c>
      <c r="B76" s="2">
        <v>67</v>
      </c>
      <c r="C76" s="2">
        <f t="shared" si="3"/>
        <v>33</v>
      </c>
      <c r="D76" s="2">
        <f t="array" ref="D76:F76">TRANSPOSE(MMULT($K$5:$M$7,TRANSPOSE(D75:F75)))*$Q$2+D75:F75</f>
        <v>72.206311695892254</v>
      </c>
      <c r="E76" s="2">
        <v>-21.299841717322643</v>
      </c>
      <c r="F76" s="2">
        <v>8.6138574956477498</v>
      </c>
      <c r="Q76" s="7"/>
    </row>
    <row r="77" spans="1:17" x14ac:dyDescent="0.25">
      <c r="A77" s="2">
        <f t="shared" si="4"/>
        <v>6.08746284125034</v>
      </c>
      <c r="B77" s="2">
        <v>68</v>
      </c>
      <c r="C77" s="2">
        <f t="shared" si="3"/>
        <v>33.5</v>
      </c>
      <c r="D77" s="2">
        <f t="array" ref="D77:F77">TRANSPOSE(MMULT($K$5:$M$7,TRANSPOSE(D76:F76)))*$Q$2+D76:F76</f>
        <v>77.523145470629416</v>
      </c>
      <c r="E77" s="2">
        <v>-8.3177064106665259</v>
      </c>
      <c r="F77" s="2">
        <v>11.740558334586327</v>
      </c>
      <c r="Q77" s="7"/>
    </row>
    <row r="78" spans="1:17" x14ac:dyDescent="0.25">
      <c r="A78" s="2">
        <f t="shared" si="4"/>
        <v>6.1085244567781682</v>
      </c>
      <c r="B78" s="2">
        <v>69</v>
      </c>
      <c r="C78" s="2">
        <f t="shared" si="3"/>
        <v>34</v>
      </c>
      <c r="D78" s="2">
        <f t="array" ref="D78:F78">TRANSPOSE(MMULT($K$5:$M$7,TRANSPOSE(D77:F77)))*$Q$2+D77:F77</f>
        <v>75.457729735513936</v>
      </c>
      <c r="E78" s="2">
        <v>5.2026779242590511</v>
      </c>
      <c r="F78" s="2">
        <v>13.705770778462771</v>
      </c>
      <c r="Q78" s="7"/>
    </row>
    <row r="79" spans="1:17" x14ac:dyDescent="0.25">
      <c r="A79" s="2">
        <f t="shared" si="4"/>
        <v>6.1292830169449664</v>
      </c>
      <c r="B79" s="2">
        <v>70</v>
      </c>
      <c r="C79" s="2">
        <f t="shared" si="3"/>
        <v>34.5</v>
      </c>
      <c r="D79" s="2">
        <f t="array" ref="D79:F79">TRANSPOSE(MMULT($K$5:$M$7,TRANSPOSE(D78:F78)))*$Q$2+D78:F78</f>
        <v>66.342350130916159</v>
      </c>
      <c r="E79" s="2">
        <v>17.981099712473281</v>
      </c>
      <c r="F79" s="2">
        <v>14.346631583540189</v>
      </c>
      <c r="Q79" s="7"/>
    </row>
    <row r="80" spans="1:17" x14ac:dyDescent="0.25">
      <c r="A80" s="2">
        <f t="shared" si="4"/>
        <v>6.1497471195046822</v>
      </c>
      <c r="B80" s="2">
        <v>71</v>
      </c>
      <c r="C80" s="2">
        <f t="shared" si="3"/>
        <v>35</v>
      </c>
      <c r="D80" s="2">
        <f t="array" ref="D80:F80">TRANSPOSE(MMULT($K$5:$M$7,TRANSPOSE(D79:F79)))*$Q$2+D79:F79</f>
        <v>51.165356451425673</v>
      </c>
      <c r="E80" s="2">
        <v>28.831024878715187</v>
      </c>
      <c r="F80" s="2">
        <v>13.627739807736978</v>
      </c>
      <c r="Q80" s="7"/>
    </row>
    <row r="81" spans="1:17" x14ac:dyDescent="0.25">
      <c r="A81" s="2">
        <f t="shared" si="4"/>
        <v>6.1699250014423122</v>
      </c>
      <c r="B81" s="2">
        <v>72</v>
      </c>
      <c r="C81" s="2">
        <f t="shared" si="3"/>
        <v>35.5</v>
      </c>
      <c r="D81" s="2">
        <f t="array" ref="D81:F81">TRANSPOSE(MMULT($K$5:$M$7,TRANSPOSE(D80:F80)))*$Q$2+D80:F80</f>
        <v>31.466028227949401</v>
      </c>
      <c r="E81" s="2">
        <v>36.769307745386264</v>
      </c>
      <c r="F81" s="2">
        <v>11.642095300223904</v>
      </c>
      <c r="Q81" s="7"/>
    </row>
    <row r="82" spans="1:17" x14ac:dyDescent="0.25">
      <c r="A82" s="2">
        <f t="shared" si="4"/>
        <v>6.1898245588800167</v>
      </c>
      <c r="B82" s="2">
        <v>73</v>
      </c>
      <c r="C82" s="2">
        <f t="shared" si="3"/>
        <v>36</v>
      </c>
      <c r="D82" s="2">
        <f t="array" ref="D82:F82">TRANSPOSE(MMULT($K$5:$M$7,TRANSPOSE(D81:F81)))*$Q$2+D81:F81</f>
        <v>9.1796538838140194</v>
      </c>
      <c r="E82" s="2">
        <v>41.104740538874836</v>
      </c>
      <c r="F82" s="2">
        <v>8.5999573954530302</v>
      </c>
      <c r="Q82" s="7"/>
    </row>
    <row r="83" spans="1:17" x14ac:dyDescent="0.25">
      <c r="A83" s="2">
        <f t="shared" si="4"/>
        <v>6.2094533656289501</v>
      </c>
      <c r="B83" s="2">
        <v>74</v>
      </c>
      <c r="C83" s="2">
        <f t="shared" si="3"/>
        <v>36.5</v>
      </c>
      <c r="D83" s="2">
        <f t="array" ref="D83:F83">TRANSPOSE(MMULT($K$5:$M$7,TRANSPOSE(D82:F82)))*$Q$2+D82:F82</f>
        <v>-13.551690558904706</v>
      </c>
      <c r="E83" s="2">
        <v>41.497519307378617</v>
      </c>
      <c r="F83" s="2">
        <v>4.8068966807191682</v>
      </c>
      <c r="Q83" s="7"/>
    </row>
    <row r="84" spans="1:17" x14ac:dyDescent="0.25">
      <c r="A84" s="2">
        <f t="shared" si="4"/>
        <v>6.2288186904958813</v>
      </c>
      <c r="B84" s="2">
        <v>75</v>
      </c>
      <c r="C84" s="2">
        <f t="shared" si="3"/>
        <v>37</v>
      </c>
      <c r="D84" s="2">
        <f t="array" ref="D84:F84">TRANSPOSE(MMULT($K$5:$M$7,TRANSPOSE(D83:F83)))*$Q$2+D83:F83</f>
        <v>-34.584245020792608</v>
      </c>
      <c r="E84" s="2">
        <v>37.984584590783705</v>
      </c>
      <c r="F84" s="2">
        <v>0.63330409139532762</v>
      </c>
      <c r="Q84" s="7"/>
    </row>
    <row r="85" spans="1:17" x14ac:dyDescent="0.25">
      <c r="A85" s="2">
        <f t="shared" si="4"/>
        <v>6.2479275134435852</v>
      </c>
      <c r="B85" s="2">
        <v>76</v>
      </c>
      <c r="C85" s="2">
        <f t="shared" si="3"/>
        <v>37.5</v>
      </c>
      <c r="D85" s="2">
        <f t="array" ref="D85:F85">TRANSPOSE(MMULT($K$5:$M$7,TRANSPOSE(D84:F84)))*$Q$2+D84:F84</f>
        <v>-51.973985883423893</v>
      </c>
      <c r="E85" s="2">
        <v>30.969095396491102</v>
      </c>
      <c r="F85" s="2">
        <v>-3.5216183022894345</v>
      </c>
      <c r="Q85" s="7"/>
    </row>
    <row r="86" spans="1:17" x14ac:dyDescent="0.25">
      <c r="A86" s="2">
        <f t="shared" si="4"/>
        <v>6.266786540694901</v>
      </c>
      <c r="B86" s="2">
        <v>77</v>
      </c>
      <c r="C86" s="2">
        <f t="shared" si="3"/>
        <v>38</v>
      </c>
      <c r="D86" s="2">
        <f t="array" ref="D86:F86">TRANSPOSE(MMULT($K$5:$M$7,TRANSPOSE(D85:F85)))*$Q$2+D85:F85</f>
        <v>-64.155510627040357</v>
      </c>
      <c r="E86" s="2">
        <v>21.175697036078311</v>
      </c>
      <c r="F86" s="2">
        <v>-7.2678986934520182</v>
      </c>
      <c r="Q86" s="7"/>
    </row>
    <row r="87" spans="1:17" x14ac:dyDescent="0.25">
      <c r="A87" s="2">
        <f t="shared" si="4"/>
        <v>6.2854022188622478</v>
      </c>
      <c r="B87" s="2">
        <v>78</v>
      </c>
      <c r="C87" s="2">
        <f t="shared" si="3"/>
        <v>38.5</v>
      </c>
      <c r="D87" s="2">
        <f t="array" ref="D87:F87">TRANSPOSE(MMULT($K$5:$M$7,TRANSPOSE(D86:F86)))*$Q$2+D86:F86</f>
        <v>-70.082003875037088</v>
      </c>
      <c r="E87" s="2">
        <v>9.5764256694700691</v>
      </c>
      <c r="F87" s="2">
        <v>-10.261257379790829</v>
      </c>
      <c r="Q87" s="7"/>
    </row>
    <row r="88" spans="1:17" x14ac:dyDescent="0.25">
      <c r="A88" s="2">
        <f t="shared" si="4"/>
        <v>6.3037807481771031</v>
      </c>
      <c r="B88" s="2">
        <v>79</v>
      </c>
      <c r="C88" s="2">
        <f t="shared" si="3"/>
        <v>39</v>
      </c>
      <c r="D88" s="2">
        <f t="array" ref="D88:F88">TRANSPOSE(MMULT($K$5:$M$7,TRANSPOSE(D87:F87)))*$Q$2+D87:F87</f>
        <v>-69.313865040062097</v>
      </c>
      <c r="E88" s="2">
        <v>-2.7052398500273291</v>
      </c>
      <c r="F88" s="2">
        <v>-12.234593334093825</v>
      </c>
      <c r="Q88" s="7"/>
    </row>
    <row r="89" spans="1:17" x14ac:dyDescent="0.25">
      <c r="A89" s="2">
        <f t="shared" si="4"/>
        <v>6.3219280948873617</v>
      </c>
      <c r="B89" s="2">
        <v>80</v>
      </c>
      <c r="C89" s="2">
        <f t="shared" si="3"/>
        <v>39.5</v>
      </c>
      <c r="D89" s="2">
        <f t="array" ref="D89:F89">TRANSPOSE(MMULT($K$5:$M$7,TRANSPOSE(D88:F88)))*$Q$2+D88:F88</f>
        <v>-62.048633196226561</v>
      </c>
      <c r="E89" s="2">
        <v>-14.502756011675782</v>
      </c>
      <c r="F89" s="2">
        <v>-13.02163077255285</v>
      </c>
      <c r="Q89" s="7"/>
    </row>
    <row r="90" spans="1:17" x14ac:dyDescent="0.25">
      <c r="A90" s="2">
        <f t="shared" si="4"/>
        <v>6.3398500028846243</v>
      </c>
      <c r="B90" s="2">
        <v>81</v>
      </c>
      <c r="C90" s="2">
        <f t="shared" si="3"/>
        <v>40</v>
      </c>
      <c r="D90" s="2">
        <f t="array" ref="D90:F90">TRANSPOSE(MMULT($K$5:$M$7,TRANSPOSE(D89:F89)))*$Q$2+D89:F89</f>
        <v>-49.090497376066772</v>
      </c>
      <c r="E90" s="2">
        <v>-24.716908531687814</v>
      </c>
      <c r="F90" s="2">
        <v>-12.570651145782325</v>
      </c>
      <c r="Q90" s="7"/>
    </row>
    <row r="91" spans="1:17" x14ac:dyDescent="0.25">
      <c r="A91" s="2">
        <f t="shared" si="4"/>
        <v>6.3575520046180838</v>
      </c>
      <c r="B91" s="2">
        <v>82</v>
      </c>
      <c r="C91" s="2">
        <f t="shared" si="3"/>
        <v>40.5</v>
      </c>
      <c r="D91" s="2">
        <f t="array" ref="D91:F91">TRANSPOSE(MMULT($K$5:$M$7,TRANSPOSE(D90:F90)))*$Q$2+D90:F90</f>
        <v>-31.763388012263061</v>
      </c>
      <c r="E91" s="2">
        <v>-32.417813717196672</v>
      </c>
      <c r="F91" s="2">
        <v>-10.947206225180961</v>
      </c>
      <c r="Q91" s="7"/>
    </row>
    <row r="92" spans="1:17" x14ac:dyDescent="0.25">
      <c r="A92" s="2">
        <f t="shared" si="4"/>
        <v>6.3750394313469245</v>
      </c>
      <c r="B92" s="2">
        <v>83</v>
      </c>
      <c r="C92" s="2">
        <f t="shared" si="3"/>
        <v>41</v>
      </c>
      <c r="D92" s="2">
        <f t="array" ref="D92:F92">TRANSPOSE(MMULT($K$5:$M$7,TRANSPOSE(D91:F91)))*$Q$2+D91:F91</f>
        <v>-11.776870508015378</v>
      </c>
      <c r="E92" s="2">
        <v>-36.929102280956691</v>
      </c>
      <c r="F92" s="2">
        <v>-8.3257637766448198</v>
      </c>
      <c r="Q92" s="7"/>
    </row>
    <row r="93" spans="1:17" x14ac:dyDescent="0.25">
      <c r="A93" s="2">
        <f t="shared" si="4"/>
        <v>6.3923174227787598</v>
      </c>
      <c r="B93" s="2">
        <v>84</v>
      </c>
      <c r="C93" s="2">
        <f t="shared" si="3"/>
        <v>41.5</v>
      </c>
      <c r="D93" s="2">
        <f t="array" ref="D93:F93">TRANSPOSE(MMULT($K$5:$M$7,TRANSPOSE(D92:F92)))*$Q$2+D92:F92</f>
        <v>8.9416769131927012</v>
      </c>
      <c r="E93" s="2">
        <v>-37.886710907172194</v>
      </c>
      <c r="F93" s="2">
        <v>-4.9712779163143805</v>
      </c>
      <c r="Q93" s="7"/>
    </row>
    <row r="94" spans="1:17" x14ac:dyDescent="0.25">
      <c r="A94" s="2">
        <f t="shared" si="4"/>
        <v>6.4093909361377017</v>
      </c>
      <c r="B94" s="2">
        <v>85</v>
      </c>
      <c r="C94" s="2">
        <f t="shared" si="3"/>
        <v>42</v>
      </c>
      <c r="D94" s="2">
        <f t="array" ref="D94:F94">TRANSPOSE(MMULT($K$5:$M$7,TRANSPOSE(D93:F93)))*$Q$2+D93:F93</f>
        <v>28.432204104382041</v>
      </c>
      <c r="E94" s="2">
        <v>-35.267234126682347</v>
      </c>
      <c r="F94" s="2">
        <v>-1.2126041577661981</v>
      </c>
      <c r="Q94" s="7"/>
    </row>
    <row r="95" spans="1:17" x14ac:dyDescent="0.25">
      <c r="A95" s="2">
        <f t="shared" si="4"/>
        <v>6.4262647547020979</v>
      </c>
      <c r="B95" s="2">
        <v>86</v>
      </c>
      <c r="C95" s="2">
        <f t="shared" si="3"/>
        <v>42.5</v>
      </c>
      <c r="D95" s="2">
        <f t="array" ref="D95:F95">TRANSPOSE(MMULT($K$5:$M$7,TRANSPOSE(D94:F94)))*$Q$2+D94:F94</f>
        <v>44.886731794057354</v>
      </c>
      <c r="E95" s="2">
        <v>-29.383743152955503</v>
      </c>
      <c r="F95" s="2">
        <v>2.5895906728219287</v>
      </c>
      <c r="Q95" s="7"/>
    </row>
    <row r="96" spans="1:17" x14ac:dyDescent="0.25">
      <c r="A96" s="2">
        <f t="shared" si="4"/>
        <v>6.4429434958487279</v>
      </c>
      <c r="B96" s="2">
        <v>87</v>
      </c>
      <c r="C96" s="2">
        <f t="shared" si="3"/>
        <v>43</v>
      </c>
      <c r="D96" s="2">
        <f t="array" ref="D96:F96">TRANSPOSE(MMULT($K$5:$M$7,TRANSPOSE(D95:F95)))*$Q$2+D95:F95</f>
        <v>56.816348646267855</v>
      </c>
      <c r="E96" s="2">
        <v>-20.850073751851387</v>
      </c>
      <c r="F96" s="2">
        <v>6.0773059473462556</v>
      </c>
      <c r="Q96" s="7"/>
    </row>
    <row r="97" spans="1:17" x14ac:dyDescent="0.25">
      <c r="A97" s="2">
        <f t="shared" si="4"/>
        <v>6.4594316186372973</v>
      </c>
      <c r="B97" s="2">
        <v>88</v>
      </c>
      <c r="C97" s="2">
        <f t="shared" si="3"/>
        <v>43.5</v>
      </c>
      <c r="D97" s="2">
        <f t="array" ref="D97:F97">TRANSPOSE(MMULT($K$5:$M$7,TRANSPOSE(D96:F96)))*$Q$2+D96:F96</f>
        <v>63.185106900410901</v>
      </c>
      <c r="E97" s="2">
        <v>-10.517528531165452</v>
      </c>
      <c r="F97" s="2">
        <v>8.9287885758184267</v>
      </c>
      <c r="Q97" s="7"/>
    </row>
    <row r="98" spans="1:17" x14ac:dyDescent="0.25">
      <c r="A98" s="2">
        <f t="shared" si="4"/>
        <v>6.4757334309663976</v>
      </c>
      <c r="B98" s="2">
        <v>89</v>
      </c>
      <c r="C98" s="2">
        <f t="shared" si="3"/>
        <v>44</v>
      </c>
      <c r="D98" s="2">
        <f t="array" ref="D98:F98">TRANSPOSE(MMULT($K$5:$M$7,TRANSPOSE(D97:F97)))*$Q$2+D97:F97</f>
        <v>63.498858105809397</v>
      </c>
      <c r="E98" s="2">
        <v>0.60954341123668243</v>
      </c>
      <c r="F98" s="2">
        <v>10.888080263261958</v>
      </c>
      <c r="Q98" s="7"/>
    </row>
    <row r="99" spans="1:17" x14ac:dyDescent="0.25">
      <c r="A99" s="2">
        <f t="shared" si="4"/>
        <v>6.4918530963296748</v>
      </c>
      <c r="B99" s="2">
        <v>90</v>
      </c>
      <c r="C99" s="2">
        <f t="shared" si="3"/>
        <v>44.5</v>
      </c>
      <c r="D99" s="2">
        <f t="array" ref="D99:F99">TRANSPOSE(MMULT($K$5:$M$7,TRANSPOSE(D98:F98)))*$Q$2+D98:F98</f>
        <v>57.841527442248193</v>
      </c>
      <c r="E99" s="2">
        <v>11.470963279410018</v>
      </c>
      <c r="F99" s="2">
        <v>11.787830508099553</v>
      </c>
      <c r="Q99" s="7"/>
    </row>
    <row r="100" spans="1:17" x14ac:dyDescent="0.25">
      <c r="A100" s="2">
        <f t="shared" si="4"/>
        <v>6.5077946401986964</v>
      </c>
      <c r="B100" s="2">
        <v>91</v>
      </c>
      <c r="C100" s="2">
        <f t="shared" si="3"/>
        <v>45</v>
      </c>
      <c r="D100" s="2">
        <f t="array" ref="D100:F100">TRANSPOSE(MMULT($K$5:$M$7,TRANSPOSE(D99:F99)))*$Q$2+D99:F99</f>
        <v>46.856403328810863</v>
      </c>
      <c r="E100" s="2">
        <v>21.051363422790942</v>
      </c>
      <c r="F100" s="2">
        <v>11.563358365480497</v>
      </c>
      <c r="Q100" s="7"/>
    </row>
    <row r="101" spans="1:17" x14ac:dyDescent="0.25">
      <c r="A101" s="2">
        <f t="shared" si="4"/>
        <v>6.5235619560570131</v>
      </c>
      <c r="B101" s="2">
        <v>92</v>
      </c>
      <c r="C101" s="2">
        <f t="shared" ref="C101:C106" si="5">C100+$Q$2</f>
        <v>45.5</v>
      </c>
      <c r="D101" s="2">
        <f t="array" ref="D101:F101">TRANSPOSE(MMULT($K$5:$M$7,TRANSPOSE(D100:F100)))*$Q$2+D100:F100</f>
        <v>31.675229777878748</v>
      </c>
      <c r="E101" s="2">
        <v>28.474733708706466</v>
      </c>
      <c r="F101" s="2">
        <v>10.256805881393426</v>
      </c>
      <c r="Q101" s="7"/>
    </row>
    <row r="102" spans="1:17" x14ac:dyDescent="0.25">
      <c r="A102" s="2">
        <f t="shared" si="4"/>
        <v>6.539158811108031</v>
      </c>
      <c r="B102" s="2">
        <v>93</v>
      </c>
      <c r="C102" s="2">
        <f t="shared" si="5"/>
        <v>46</v>
      </c>
      <c r="D102" s="2">
        <f t="array" ref="D102:F102">TRANSPOSE(MMULT($K$5:$M$7,TRANSPOSE(D101:F101)))*$Q$2+D101:F101</f>
        <v>13.802740258352891</v>
      </c>
      <c r="E102" s="2">
        <v>33.084105693025414</v>
      </c>
      <c r="F102" s="2">
        <v>8.0111785813975231</v>
      </c>
      <c r="Q102" s="7"/>
    </row>
    <row r="103" spans="1:17" x14ac:dyDescent="0.25">
      <c r="A103" s="2">
        <f t="shared" si="4"/>
        <v>6.5545888516776367</v>
      </c>
      <c r="B103" s="2">
        <v>94</v>
      </c>
      <c r="C103" s="2">
        <f t="shared" si="5"/>
        <v>46.5</v>
      </c>
      <c r="D103" s="2">
        <f t="array" ref="D103:F103">TRANSPOSE(MMULT($K$5:$M$7,TRANSPOSE(D102:F102)))*$Q$2+D102:F102</f>
        <v>-5.0316853173569669</v>
      </c>
      <c r="E103" s="2">
        <v>34.499167246205381</v>
      </c>
      <c r="F103" s="2">
        <v>5.0550222596037964</v>
      </c>
      <c r="Q103" s="7"/>
    </row>
    <row r="104" spans="1:17" x14ac:dyDescent="0.25">
      <c r="A104" s="2">
        <f t="shared" si="4"/>
        <v>6.5698556083309478</v>
      </c>
      <c r="B104" s="2">
        <v>95</v>
      </c>
      <c r="C104" s="2">
        <f t="shared" si="5"/>
        <v>47</v>
      </c>
      <c r="D104" s="2">
        <f t="array" ref="D104:F104">TRANSPOSE(MMULT($K$5:$M$7,TRANSPOSE(D103:F103)))*$Q$2+D103:F103</f>
        <v>-23.040689126512568</v>
      </c>
      <c r="E104" s="2">
        <v>32.646808528592068</v>
      </c>
      <c r="F104" s="2">
        <v>1.6793509256041474</v>
      </c>
      <c r="Q104" s="7"/>
    </row>
    <row r="105" spans="1:17" x14ac:dyDescent="0.25">
      <c r="A105" s="2">
        <f t="shared" si="4"/>
        <v>6.5849625007211561</v>
      </c>
      <c r="B105" s="2">
        <v>96</v>
      </c>
      <c r="C105" s="2">
        <f t="shared" si="5"/>
        <v>47.5</v>
      </c>
      <c r="D105" s="2">
        <f t="array" ref="D105:F105">TRANSPOSE(MMULT($K$5:$M$7,TRANSPOSE(D104:F104)))*$Q$2+D104:F104</f>
        <v>-38.547929119603801</v>
      </c>
      <c r="E105" s="2">
        <v>27.762236714788031</v>
      </c>
      <c r="F105" s="2">
        <v>-1.7908615351351038</v>
      </c>
      <c r="Q105" s="7"/>
    </row>
    <row r="106" spans="1:17" x14ac:dyDescent="0.25">
      <c r="A106" s="2">
        <f t="shared" si="4"/>
        <v>6.5999128421871269</v>
      </c>
      <c r="B106" s="2">
        <v>97</v>
      </c>
      <c r="C106" s="2">
        <f t="shared" si="5"/>
        <v>48</v>
      </c>
      <c r="D106" s="2">
        <f t="array" ref="D106:F106">TRANSPOSE(MMULT($K$5:$M$7,TRANSPOSE(D105:F105)))*$Q$2+D105:F105</f>
        <v>-50.143478713990604</v>
      </c>
      <c r="E106" s="2">
        <v>20.361105943015914</v>
      </c>
      <c r="F106" s="2">
        <v>-5.0278460466758128</v>
      </c>
      <c r="Q106" s="7"/>
    </row>
    <row r="107" spans="1:17" x14ac:dyDescent="0.25">
      <c r="A107" s="2">
        <f t="shared" si="4"/>
        <v>6.6147098441152083</v>
      </c>
      <c r="B107" s="2">
        <v>98</v>
      </c>
      <c r="C107" s="2">
        <f t="shared" ref="C107:C133" si="6">C106+$Q$2</f>
        <v>48.5</v>
      </c>
      <c r="D107" s="2">
        <f t="array" ref="D107:F107">TRANSPOSE(MMULT($K$5:$M$7,TRANSPOSE(D106:F106)))*$Q$2+D106:F106</f>
        <v>-56.81128854046387</v>
      </c>
      <c r="E107" s="2">
        <v>11.185823489665932</v>
      </c>
      <c r="F107" s="2">
        <v>-7.7318819541671253</v>
      </c>
      <c r="Q107" s="7"/>
    </row>
    <row r="108" spans="1:17" x14ac:dyDescent="0.25">
      <c r="A108" s="2">
        <f t="shared" si="4"/>
        <v>6.6293566200796095</v>
      </c>
      <c r="B108" s="2">
        <v>99</v>
      </c>
      <c r="C108" s="2">
        <f t="shared" si="6"/>
        <v>49</v>
      </c>
      <c r="D108" s="2">
        <f t="array" ref="D108:F108">TRANSPOSE(MMULT($K$5:$M$7,TRANSPOSE(D107:F107)))*$Q$2+D107:F107</f>
        <v>-58.017259467440219</v>
      </c>
      <c r="E108" s="2">
        <v>1.1315599047549245</v>
      </c>
      <c r="F108" s="2">
        <v>-9.6589280660266095</v>
      </c>
      <c r="Q108" s="7"/>
    </row>
    <row r="109" spans="1:17" x14ac:dyDescent="0.25">
      <c r="A109" s="2">
        <f t="shared" si="4"/>
        <v>6.6438561897747244</v>
      </c>
      <c r="B109" s="2">
        <v>100</v>
      </c>
      <c r="C109" s="2">
        <f t="shared" si="6"/>
        <v>49.5</v>
      </c>
      <c r="D109" s="2">
        <f t="array" ref="D109:F109">TRANSPOSE(MMULT($K$5:$M$7,TRANSPOSE(D108:F108)))*$Q$2+D108:F108</f>
        <v>-53.750390833240346</v>
      </c>
      <c r="E109" s="2">
        <v>-8.8407060314238297</v>
      </c>
      <c r="F109" s="2">
        <v>-10.642505578804876</v>
      </c>
      <c r="Q109" s="7"/>
    </row>
    <row r="110" spans="1:17" x14ac:dyDescent="0.25">
      <c r="A110" s="2">
        <f t="shared" si="4"/>
        <v>6.6582114827517946</v>
      </c>
      <c r="B110" s="2">
        <v>101</v>
      </c>
      <c r="C110" s="2">
        <f t="shared" si="6"/>
        <v>50</v>
      </c>
      <c r="D110" s="2">
        <f t="array" ref="D110:F110">TRANSPOSE(MMULT($K$5:$M$7,TRANSPOSE(D109:F109)))*$Q$2+D109:F109</f>
        <v>-44.514017160105439</v>
      </c>
      <c r="E110" s="2">
        <v>-17.795695990193799</v>
      </c>
      <c r="F110" s="2">
        <v>-10.607884812412234</v>
      </c>
      <c r="Q110" s="7"/>
    </row>
    <row r="111" spans="1:17" x14ac:dyDescent="0.25">
      <c r="A111" s="2">
        <f t="shared" si="4"/>
        <v>6.6724253419714952</v>
      </c>
      <c r="B111" s="2">
        <v>102</v>
      </c>
      <c r="C111" s="2">
        <f t="shared" si="6"/>
        <v>50.5</v>
      </c>
      <c r="D111" s="2">
        <f t="array" ref="D111:F111">TRANSPOSE(MMULT($K$5:$M$7,TRANSPOSE(D110:F110)))*$Q$2+D110:F110</f>
        <v>-31.268891344520821</v>
      </c>
      <c r="E111" s="2">
        <v>-24.911212630307432</v>
      </c>
      <c r="F111" s="2">
        <v>-9.5773871623147215</v>
      </c>
      <c r="Q111" s="7"/>
    </row>
    <row r="112" spans="1:17" x14ac:dyDescent="0.25">
      <c r="A112" s="2">
        <f t="shared" si="4"/>
        <v>6.6865005271832176</v>
      </c>
      <c r="B112" s="2">
        <v>103</v>
      </c>
      <c r="C112" s="2">
        <f t="shared" si="6"/>
        <v>51</v>
      </c>
      <c r="D112" s="2">
        <f t="array" ref="D112:F112">TRANSPOSE(MMULT($K$5:$M$7,TRANSPOSE(D111:F111)))*$Q$2+D111:F111</f>
        <v>-15.334363029678119</v>
      </c>
      <c r="E112" s="2">
        <v>-29.553260603577449</v>
      </c>
      <c r="F112" s="2">
        <v>-7.6664705893063685</v>
      </c>
      <c r="Q112" s="7"/>
    </row>
    <row r="113" spans="1:17" x14ac:dyDescent="0.25">
      <c r="A113" s="2">
        <f t="shared" si="4"/>
        <v>6.7004397181410917</v>
      </c>
      <c r="B113" s="2">
        <v>104</v>
      </c>
      <c r="C113" s="2">
        <f t="shared" si="6"/>
        <v>51.5</v>
      </c>
      <c r="D113" s="2">
        <f t="array" ref="D113:F113">TRANSPOSE(MMULT($K$5:$M$7,TRANSPOSE(D112:F112)))*$Q$2+D112:F112</f>
        <v>1.7422795414557832</v>
      </c>
      <c r="E113" s="2">
        <v>-31.332080616712844</v>
      </c>
      <c r="F113" s="2">
        <v>-5.0711389915852214</v>
      </c>
      <c r="Q113" s="7"/>
    </row>
    <row r="114" spans="1:17" x14ac:dyDescent="0.25">
      <c r="A114" s="2">
        <f t="shared" si="4"/>
        <v>6.7142455176661233</v>
      </c>
      <c r="B114" s="2">
        <v>105</v>
      </c>
      <c r="C114" s="2">
        <f t="shared" si="6"/>
        <v>52</v>
      </c>
      <c r="D114" s="2">
        <f t="array" ref="D114:F114">TRANSPOSE(MMULT($K$5:$M$7,TRANSPOSE(D113:F113)))*$Q$2+D113:F113</f>
        <v>18.33543367105646</v>
      </c>
      <c r="E114" s="2">
        <v>-30.134190065643313</v>
      </c>
      <c r="F114" s="2">
        <v>-2.0480207354799038</v>
      </c>
      <c r="Q114" s="7"/>
    </row>
    <row r="115" spans="1:17" x14ac:dyDescent="0.25">
      <c r="A115" s="2">
        <f t="shared" si="4"/>
        <v>6.7279204545631996</v>
      </c>
      <c r="B115" s="2">
        <v>106</v>
      </c>
      <c r="C115" s="2">
        <f t="shared" si="6"/>
        <v>52.5</v>
      </c>
      <c r="D115" s="2">
        <f t="array" ref="D115:F115">TRANSPOSE(MMULT($K$5:$M$7,TRANSPOSE(D114:F114)))*$Q$2+D114:F114</f>
        <v>32.895361167421278</v>
      </c>
      <c r="E115" s="2">
        <v>-26.127869637487969</v>
      </c>
      <c r="F115" s="2">
        <v>1.1108749000221274</v>
      </c>
      <c r="Q115" s="7"/>
    </row>
    <row r="116" spans="1:17" x14ac:dyDescent="0.25">
      <c r="A116" s="2">
        <f t="shared" si="4"/>
        <v>6.7414669864011474</v>
      </c>
      <c r="B116" s="2">
        <v>107</v>
      </c>
      <c r="C116" s="2">
        <f t="shared" si="6"/>
        <v>53</v>
      </c>
      <c r="D116" s="2">
        <f t="array" ref="D116:F116">TRANSPOSE(MMULT($K$5:$M$7,TRANSPOSE(D115:F115)))*$Q$2+D115:F115</f>
        <v>44.092352947789777</v>
      </c>
      <c r="E116" s="2">
        <v>-19.742077768217115</v>
      </c>
      <c r="F116" s="2">
        <v>4.1062522631280718</v>
      </c>
      <c r="Q116" s="7"/>
    </row>
    <row r="117" spans="1:17" x14ac:dyDescent="0.25">
      <c r="A117" s="2">
        <f t="shared" si="4"/>
        <v>6.7548875021634691</v>
      </c>
      <c r="B117" s="2">
        <v>108</v>
      </c>
      <c r="C117" s="2">
        <f t="shared" si="6"/>
        <v>53.5</v>
      </c>
      <c r="D117" s="2">
        <f t="array" ref="D117:F117">TRANSPOSE(MMULT($K$5:$M$7,TRANSPOSE(D116:F116)))*$Q$2+D116:F116</f>
        <v>50.937523731883232</v>
      </c>
      <c r="E117" s="2">
        <v>-11.621271422023934</v>
      </c>
      <c r="F117" s="2">
        <v>6.6597822040251851</v>
      </c>
      <c r="Q117" s="7"/>
    </row>
    <row r="118" spans="1:17" x14ac:dyDescent="0.25">
      <c r="A118" s="2">
        <f t="shared" si="4"/>
        <v>6.7681843247769269</v>
      </c>
      <c r="B118" s="2">
        <v>109</v>
      </c>
      <c r="C118" s="2">
        <f t="shared" si="6"/>
        <v>54</v>
      </c>
      <c r="D118" s="2">
        <f t="array" ref="D118:F118">TRANSPOSE(MMULT($K$5:$M$7,TRANSPOSE(D117:F117)))*$Q$2+D117:F117</f>
        <v>52.869326815496002</v>
      </c>
      <c r="E118" s="2">
        <v>-2.5608286479961375</v>
      </c>
      <c r="F118" s="2">
        <v>8.5398561894211547</v>
      </c>
      <c r="Q118" s="7"/>
    </row>
    <row r="119" spans="1:17" x14ac:dyDescent="0.25">
      <c r="A119" s="2">
        <f t="shared" si="4"/>
        <v>6.781359713524659</v>
      </c>
      <c r="B119" s="2">
        <v>110</v>
      </c>
      <c r="C119" s="2">
        <f t="shared" si="6"/>
        <v>54.5</v>
      </c>
      <c r="D119" s="2">
        <f t="array" ref="D119:F119">TRANSPOSE(MMULT($K$5:$M$7,TRANSPOSE(D118:F118)))*$Q$2+D118:F118</f>
        <v>49.798303560835038</v>
      </c>
      <c r="E119" s="2">
        <v>6.570497261247489</v>
      </c>
      <c r="F119" s="2">
        <v>9.5824690627401399</v>
      </c>
      <c r="Q119" s="7"/>
    </row>
    <row r="120" spans="1:17" x14ac:dyDescent="0.25">
      <c r="A120" s="2">
        <f t="shared" si="4"/>
        <v>6.7944158663501062</v>
      </c>
      <c r="B120" s="2">
        <v>111</v>
      </c>
      <c r="C120" s="2">
        <f t="shared" si="6"/>
        <v>55</v>
      </c>
      <c r="D120" s="2">
        <f t="array" ref="D120:F120">TRANSPOSE(MMULT($K$5:$M$7,TRANSPOSE(D119:F119)))*$Q$2+D119:F119</f>
        <v>42.106645939621515</v>
      </c>
      <c r="E120" s="2">
        <v>14.913564327079383</v>
      </c>
      <c r="F120" s="2">
        <v>9.7053599148410985</v>
      </c>
      <c r="Q120" s="7"/>
    </row>
    <row r="121" spans="1:17" x14ac:dyDescent="0.25">
      <c r="A121" s="2">
        <f t="shared" si="4"/>
        <v>6.8073549220576037</v>
      </c>
      <c r="B121" s="2">
        <v>112</v>
      </c>
      <c r="C121" s="2">
        <f t="shared" si="6"/>
        <v>55.5</v>
      </c>
      <c r="D121" s="2">
        <f t="array" ref="D121:F121">TRANSPOSE(MMULT($K$5:$M$7,TRANSPOSE(D120:F120)))*$Q$2+D120:F120</f>
        <v>30.60345949613253</v>
      </c>
      <c r="E121" s="2">
        <v>21.699371345414036</v>
      </c>
      <c r="F121" s="2">
        <v>8.914208908111906</v>
      </c>
      <c r="Q121" s="7"/>
    </row>
    <row r="122" spans="1:17" x14ac:dyDescent="0.25">
      <c r="A122" s="2">
        <f t="shared" si="4"/>
        <v>6.820178962415187</v>
      </c>
      <c r="B122" s="2">
        <v>113</v>
      </c>
      <c r="C122" s="2">
        <f t="shared" si="6"/>
        <v>56</v>
      </c>
      <c r="D122" s="2">
        <f t="array" ref="D122:F122">TRANSPOSE(MMULT($K$5:$M$7,TRANSPOSE(D121:F121)))*$Q$2+D121:F121</f>
        <v>16.440759066996502</v>
      </c>
      <c r="E122" s="2">
        <v>26.319611173687335</v>
      </c>
      <c r="F122" s="2">
        <v>7.300456690215066</v>
      </c>
      <c r="Q122" s="7"/>
    </row>
    <row r="123" spans="1:17" x14ac:dyDescent="0.25">
      <c r="A123" s="2">
        <f t="shared" si="4"/>
        <v>6.8328900141647422</v>
      </c>
      <c r="B123" s="2">
        <v>114</v>
      </c>
      <c r="C123" s="2">
        <f t="shared" si="6"/>
        <v>56.5</v>
      </c>
      <c r="D123" s="2">
        <f t="array" ref="D123:F123">TRANSPOSE(MMULT($K$5:$M$7,TRANSPOSE(D122:F122)))*$Q$2+D122:F122</f>
        <v>0.9988241887599969</v>
      </c>
      <c r="E123" s="2">
        <v>28.380806767765428</v>
      </c>
      <c r="F123" s="2">
        <v>5.0311081400703106</v>
      </c>
      <c r="Q123" s="7"/>
    </row>
    <row r="124" spans="1:17" x14ac:dyDescent="0.25">
      <c r="A124" s="2">
        <f t="shared" si="4"/>
        <v>6.8454900509443757</v>
      </c>
      <c r="B124" s="2">
        <v>115</v>
      </c>
      <c r="C124" s="2">
        <f t="shared" si="6"/>
        <v>57</v>
      </c>
      <c r="D124" s="2">
        <f t="array" ref="D124:F124">TRANSPOSE(MMULT($K$5:$M$7,TRANSPOSE(D123:F123)))*$Q$2+D123:F123</f>
        <v>-14.247742032574779</v>
      </c>
      <c r="E124" s="2">
        <v>27.737251790565793</v>
      </c>
      <c r="F124" s="2">
        <v>2.3316284212335008</v>
      </c>
      <c r="Q124" s="7"/>
    </row>
    <row r="125" spans="1:17" x14ac:dyDescent="0.25">
      <c r="A125" s="2">
        <f t="shared" si="4"/>
        <v>6.8579809951275728</v>
      </c>
      <c r="B125" s="2">
        <v>116</v>
      </c>
      <c r="C125" s="2">
        <f t="shared" si="6"/>
        <v>57.5</v>
      </c>
      <c r="D125" s="2">
        <f t="array" ref="D125:F125">TRANSPOSE(MMULT($K$5:$M$7,TRANSPOSE(D124:F124)))*$Q$2+D124:F124</f>
        <v>-27.870306510475636</v>
      </c>
      <c r="E125" s="2">
        <v>24.500058240637273</v>
      </c>
      <c r="F125" s="2">
        <v>-0.53633251054638542</v>
      </c>
      <c r="Q125" s="7"/>
    </row>
    <row r="126" spans="1:17" x14ac:dyDescent="0.25">
      <c r="A126" s="2">
        <f t="shared" si="4"/>
        <v>6.8703647195834048</v>
      </c>
      <c r="B126" s="2">
        <v>117</v>
      </c>
      <c r="C126" s="2">
        <f t="shared" si="6"/>
        <v>58</v>
      </c>
      <c r="D126" s="2">
        <f t="array" ref="D126:F126">TRANSPOSE(MMULT($K$5:$M$7,TRANSPOSE(D125:F125)))*$Q$2+D125:F125</f>
        <v>-38.61955380316121</v>
      </c>
      <c r="E126" s="2">
        <v>19.021908622197721</v>
      </c>
      <c r="F126" s="2">
        <v>-3.3001974887271293</v>
      </c>
      <c r="Q126" s="7"/>
    </row>
    <row r="127" spans="1:17" x14ac:dyDescent="0.25">
      <c r="A127" s="2">
        <f t="shared" si="4"/>
        <v>6.8826430493618416</v>
      </c>
      <c r="B127" s="2">
        <v>118</v>
      </c>
      <c r="C127" s="2">
        <f t="shared" si="6"/>
        <v>58.5</v>
      </c>
      <c r="D127" s="2">
        <f t="array" ref="D127:F127">TRANSPOSE(MMULT($K$5:$M$7,TRANSPOSE(D126:F126)))*$Q$2+D126:F126</f>
        <v>-45.539490926356585</v>
      </c>
      <c r="E127" s="2">
        <v>11.859400078326306</v>
      </c>
      <c r="F127" s="2">
        <v>-5.7022732109016641</v>
      </c>
      <c r="Q127" s="7"/>
    </row>
    <row r="128" spans="1:17" x14ac:dyDescent="0.25">
      <c r="A128" s="2">
        <f t="shared" si="4"/>
        <v>6.8948177633079428</v>
      </c>
      <c r="B128" s="2">
        <v>119</v>
      </c>
      <c r="C128" s="2">
        <f t="shared" si="6"/>
        <v>59</v>
      </c>
      <c r="D128" s="2">
        <f t="array" ref="D128:F128">TRANSPOSE(MMULT($K$5:$M$7,TRANSPOSE(D127:F127)))*$Q$2+D127:F127</f>
        <v>-48.051761777021575</v>
      </c>
      <c r="E128" s="2">
        <v>3.7169376153698455</v>
      </c>
      <c r="F128" s="2">
        <v>-7.5236796988697536</v>
      </c>
      <c r="Q128" s="7"/>
    </row>
    <row r="129" spans="1:17" x14ac:dyDescent="0.25">
      <c r="A129" s="2">
        <f t="shared" si="4"/>
        <v>6.9068905956085178</v>
      </c>
      <c r="B129" s="2">
        <v>120</v>
      </c>
      <c r="C129" s="2">
        <f t="shared" si="6"/>
        <v>59.5</v>
      </c>
      <c r="D129" s="2">
        <f t="array" ref="D129:F129">TRANSPOSE(MMULT($K$5:$M$7,TRANSPOSE(D128:F128)))*$Q$2+D128:F128</f>
        <v>-46.00290655608147</v>
      </c>
      <c r="E129" s="2">
        <v>-4.6222072492394091</v>
      </c>
      <c r="F129" s="2">
        <v>-8.6041854032907334</v>
      </c>
      <c r="Q129" s="7"/>
    </row>
    <row r="130" spans="1:17" x14ac:dyDescent="0.25">
      <c r="A130" s="2">
        <f t="shared" si="4"/>
        <v>6.9188632372745955</v>
      </c>
      <c r="B130" s="2">
        <v>121</v>
      </c>
      <c r="C130" s="2">
        <f t="shared" si="6"/>
        <v>60</v>
      </c>
      <c r="D130" s="2">
        <f t="array" ref="D130:F130">TRANSPOSE(MMULT($K$5:$M$7,TRANSPOSE(D129:F129)))*$Q$2+D129:F129</f>
        <v>-39.670820522999549</v>
      </c>
      <c r="E130" s="2">
        <v>-12.370955562516382</v>
      </c>
      <c r="F130" s="2">
        <v>-8.8561612847611197</v>
      </c>
      <c r="Q130" s="7"/>
    </row>
    <row r="131" spans="1:17" x14ac:dyDescent="0.25">
      <c r="A131" s="2">
        <f t="shared" si="4"/>
        <v>6.9307373375628867</v>
      </c>
      <c r="B131" s="2">
        <v>122</v>
      </c>
      <c r="C131" s="2">
        <f t="shared" si="6"/>
        <v>60.5</v>
      </c>
      <c r="D131" s="2">
        <f t="array" ref="D131:F131">TRANSPOSE(MMULT($K$5:$M$7,TRANSPOSE(D130:F130)))*$Q$2+D130:F130</f>
        <v>-29.730569458639156</v>
      </c>
      <c r="E131" s="2">
        <v>-18.812431965558723</v>
      </c>
      <c r="F131" s="2">
        <v>-8.2714531390553514</v>
      </c>
      <c r="Q131" s="7"/>
    </row>
    <row r="132" spans="1:17" x14ac:dyDescent="0.25">
      <c r="A132" s="2">
        <f t="shared" si="4"/>
        <v>6.9425145053392399</v>
      </c>
      <c r="B132" s="2">
        <v>123</v>
      </c>
      <c r="C132" s="2">
        <f t="shared" si="6"/>
        <v>61</v>
      </c>
      <c r="D132" s="2">
        <f t="array" ref="D132:F132">TRANSPOSE(MMULT($K$5:$M$7,TRANSPOSE(D131:F131)))*$Q$2+D131:F131</f>
        <v>-17.183534375116764</v>
      </c>
      <c r="E132" s="2">
        <v>-23.365994565690286</v>
      </c>
      <c r="F132" s="2">
        <v>-6.920659195736004</v>
      </c>
      <c r="Q132" s="7"/>
    </row>
    <row r="133" spans="1:17" x14ac:dyDescent="0.25">
      <c r="A133" s="2">
        <f t="shared" si="4"/>
        <v>6.9541963103868758</v>
      </c>
      <c r="B133" s="2">
        <v>124</v>
      </c>
      <c r="C133" s="2">
        <f t="shared" si="6"/>
        <v>61.5</v>
      </c>
      <c r="D133" s="2">
        <f t="array" ref="D133:F133">TRANSPOSE(MMULT($K$5:$M$7,TRANSPOSE(D132:F132)))*$Q$2+D132:F132</f>
        <v>-3.257228534368581</v>
      </c>
      <c r="E133" s="2">
        <v>-25.639230149850906</v>
      </c>
      <c r="F133" s="2">
        <v>-4.9450230897227758</v>
      </c>
      <c r="Q133" s="7"/>
    </row>
    <row r="134" spans="1:17" x14ac:dyDescent="0.25">
      <c r="A134" s="2">
        <f t="shared" si="4"/>
        <v>6.9657842846620861</v>
      </c>
      <c r="B134" s="2">
        <v>125</v>
      </c>
      <c r="C134" s="2">
        <f>C133+$Q$2</f>
        <v>62</v>
      </c>
      <c r="D134" s="2">
        <f t="array" ref="D134:F134">TRANSPOSE(MMULT($K$5:$M$7,TRANSPOSE(D133:F133)))*$Q$2+D133:F133</f>
        <v>10.714252585219857</v>
      </c>
      <c r="E134" s="2">
        <v>-25.461293052405054</v>
      </c>
      <c r="F134" s="2">
        <v>-2.541842096799737</v>
      </c>
      <c r="Q134" s="7"/>
    </row>
    <row r="135" spans="1:17" x14ac:dyDescent="0.25">
      <c r="A135" s="2">
        <f t="shared" si="4"/>
        <v>6.9772799234999168</v>
      </c>
      <c r="B135" s="2">
        <v>126</v>
      </c>
      <c r="C135" s="2">
        <f>C134+$Q$2</f>
        <v>62.5</v>
      </c>
      <c r="D135" s="2">
        <f t="array" ref="D135:F135">TRANSPOSE(MMULT($K$5:$M$7,TRANSPOSE(D134:F134)))*$Q$2+D134:F134</f>
        <v>23.417554901521338</v>
      </c>
      <c r="E135" s="2">
        <v>-22.894805159845951</v>
      </c>
      <c r="F135" s="2">
        <v>5.5117140646167684E-2</v>
      </c>
      <c r="Q135" s="7"/>
    </row>
    <row r="136" spans="1:17" x14ac:dyDescent="0.25">
      <c r="A136" s="2">
        <f t="shared" si="4"/>
        <v>6.9886846867721655</v>
      </c>
      <c r="B136" s="2">
        <v>127</v>
      </c>
      <c r="C136" s="2">
        <f>C135+$Q$2</f>
        <v>63</v>
      </c>
      <c r="D136" s="2">
        <f t="array" ref="D136:F136">TRANSPOSE(MMULT($K$5:$M$7,TRANSPOSE(D135:F135)))*$Q$2+D135:F135</f>
        <v>33.683056308239017</v>
      </c>
      <c r="E136" s="2">
        <v>-18.225600654878313</v>
      </c>
      <c r="F136" s="2">
        <v>2.5982621120736775</v>
      </c>
      <c r="Q136" s="7"/>
    </row>
    <row r="137" spans="1:17" x14ac:dyDescent="0.25">
      <c r="A137" s="2">
        <f t="shared" si="4"/>
        <v>7</v>
      </c>
      <c r="B137" s="2">
        <v>128</v>
      </c>
      <c r="C137" s="2">
        <f>C136+$Q$2</f>
        <v>63.5</v>
      </c>
      <c r="D137" s="2">
        <f t="array" ref="D137:F137">TRANSPOSE(MMULT($K$5:$M$7,TRANSPOSE(D136:F136)))*$Q$2+D136:F136</f>
        <v>40.592051397851485</v>
      </c>
      <c r="E137" s="2">
        <v>-11.931693827366615</v>
      </c>
      <c r="F137" s="2">
        <v>4.8496926934095237</v>
      </c>
      <c r="Q137" s="7"/>
    </row>
    <row r="138" spans="1:17" x14ac:dyDescent="0.25">
      <c r="C138" s="5"/>
      <c r="D138" s="2"/>
      <c r="E138" s="2"/>
      <c r="F138" s="2"/>
    </row>
    <row r="139" spans="1:17" x14ac:dyDescent="0.25">
      <c r="C139" s="5"/>
      <c r="D139" s="2"/>
      <c r="E139" s="2"/>
      <c r="F139" s="2"/>
    </row>
    <row r="140" spans="1:17" x14ac:dyDescent="0.25">
      <c r="C140" s="5"/>
      <c r="D140" s="2"/>
      <c r="E140" s="2"/>
      <c r="F140" s="2"/>
    </row>
    <row r="141" spans="1:17" x14ac:dyDescent="0.25">
      <c r="C141" s="5"/>
      <c r="D141" s="2"/>
      <c r="E141" s="2"/>
      <c r="F141" s="2"/>
    </row>
    <row r="142" spans="1:17" x14ac:dyDescent="0.25">
      <c r="C142" s="5"/>
      <c r="D142" s="2"/>
      <c r="E142" s="2"/>
      <c r="F142" s="2"/>
    </row>
    <row r="143" spans="1:17" x14ac:dyDescent="0.25">
      <c r="C143" s="5"/>
      <c r="D143" s="2"/>
      <c r="E143" s="2"/>
      <c r="F143" s="2"/>
    </row>
    <row r="144" spans="1:17" x14ac:dyDescent="0.25">
      <c r="C144" s="5"/>
      <c r="D144" s="2"/>
      <c r="E144" s="2"/>
      <c r="F144" s="2"/>
    </row>
    <row r="145" spans="3:6" x14ac:dyDescent="0.25">
      <c r="C145" s="5"/>
      <c r="D145" s="2"/>
      <c r="E145" s="2"/>
      <c r="F145" s="2"/>
    </row>
    <row r="146" spans="3:6" x14ac:dyDescent="0.25">
      <c r="C146" s="5"/>
      <c r="D146" s="2"/>
      <c r="E146" s="2"/>
      <c r="F146" s="2"/>
    </row>
    <row r="147" spans="3:6" x14ac:dyDescent="0.25">
      <c r="C147" s="5"/>
      <c r="D147" s="2"/>
      <c r="E147" s="2"/>
      <c r="F147" s="2"/>
    </row>
    <row r="148" spans="3:6" x14ac:dyDescent="0.25">
      <c r="C148" s="5"/>
      <c r="D148" s="2"/>
      <c r="E148" s="2"/>
      <c r="F148" s="2"/>
    </row>
    <row r="149" spans="3:6" x14ac:dyDescent="0.25">
      <c r="C149" s="5"/>
      <c r="D149" s="2"/>
      <c r="E149" s="2"/>
      <c r="F149" s="2"/>
    </row>
    <row r="150" spans="3:6" x14ac:dyDescent="0.25">
      <c r="C150" s="5"/>
      <c r="D150" s="2"/>
      <c r="E150" s="2"/>
      <c r="F150" s="2"/>
    </row>
    <row r="151" spans="3:6" x14ac:dyDescent="0.25">
      <c r="C151" s="5"/>
      <c r="D151" s="2"/>
      <c r="E151" s="2"/>
      <c r="F151" s="2"/>
    </row>
    <row r="152" spans="3:6" x14ac:dyDescent="0.25">
      <c r="C152" s="5"/>
      <c r="D152" s="2"/>
      <c r="E152" s="2"/>
      <c r="F152" s="2"/>
    </row>
    <row r="153" spans="3:6" x14ac:dyDescent="0.25">
      <c r="C153" s="5"/>
      <c r="D153" s="2"/>
      <c r="E153" s="2"/>
      <c r="F153" s="2"/>
    </row>
    <row r="154" spans="3:6" x14ac:dyDescent="0.25">
      <c r="C154" s="5"/>
      <c r="D154" s="2"/>
      <c r="E154" s="2"/>
      <c r="F154" s="2"/>
    </row>
    <row r="155" spans="3:6" x14ac:dyDescent="0.25">
      <c r="C155" s="5"/>
      <c r="D155" s="2"/>
      <c r="E155" s="2"/>
      <c r="F155" s="2"/>
    </row>
    <row r="156" spans="3:6" x14ac:dyDescent="0.25">
      <c r="C156" s="5"/>
      <c r="D156" s="2"/>
      <c r="E156" s="2"/>
      <c r="F156" s="2"/>
    </row>
    <row r="157" spans="3:6" x14ac:dyDescent="0.25">
      <c r="C157" s="5"/>
      <c r="D157" s="2"/>
      <c r="E157" s="2"/>
      <c r="F157" s="2"/>
    </row>
    <row r="158" spans="3:6" x14ac:dyDescent="0.25">
      <c r="C158" s="5"/>
      <c r="D158" s="2"/>
      <c r="E158" s="2"/>
      <c r="F158" s="2"/>
    </row>
    <row r="159" spans="3:6" x14ac:dyDescent="0.25">
      <c r="C159" s="5"/>
      <c r="D159" s="2"/>
      <c r="E159" s="2"/>
      <c r="F159" s="2"/>
    </row>
    <row r="160" spans="3:6" x14ac:dyDescent="0.25">
      <c r="C160" s="5"/>
      <c r="D160" s="2"/>
      <c r="E160" s="2"/>
      <c r="F160" s="2"/>
    </row>
    <row r="161" spans="3:6" x14ac:dyDescent="0.25">
      <c r="C161" s="5"/>
      <c r="D161" s="2"/>
      <c r="E161" s="2"/>
      <c r="F161" s="2"/>
    </row>
    <row r="162" spans="3:6" x14ac:dyDescent="0.25">
      <c r="C162" s="5"/>
      <c r="D162" s="2"/>
      <c r="E162" s="2"/>
      <c r="F162" s="2"/>
    </row>
    <row r="163" spans="3:6" x14ac:dyDescent="0.25">
      <c r="C163" s="5"/>
      <c r="D163" s="2"/>
      <c r="E163" s="2"/>
      <c r="F163" s="2"/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B2:P130"/>
  <sheetViews>
    <sheetView tabSelected="1" topLeftCell="A2" workbookViewId="0">
      <selection activeCell="J7" sqref="J7"/>
    </sheetView>
  </sheetViews>
  <sheetFormatPr defaultRowHeight="15" x14ac:dyDescent="0.25"/>
  <sheetData>
    <row r="2" spans="2:11" x14ac:dyDescent="0.25">
      <c r="B2" s="6" t="s">
        <v>5</v>
      </c>
      <c r="C2" s="6" t="s">
        <v>14</v>
      </c>
      <c r="D2" s="6" t="s">
        <v>15</v>
      </c>
      <c r="E2" s="7"/>
      <c r="F2" s="6" t="s">
        <v>17</v>
      </c>
      <c r="G2" s="6" t="s">
        <v>18</v>
      </c>
      <c r="H2" s="6" t="s">
        <v>19</v>
      </c>
      <c r="I2" s="7"/>
      <c r="J2" s="7" t="s">
        <v>16</v>
      </c>
      <c r="K2" s="6" t="s">
        <v>17</v>
      </c>
    </row>
    <row r="3" spans="2:11" x14ac:dyDescent="0.25">
      <c r="B3" s="7">
        <f>Plan1!C10</f>
        <v>0</v>
      </c>
      <c r="C3" s="7">
        <f>Plan1!D10</f>
        <v>-10</v>
      </c>
      <c r="D3" s="7">
        <v>0</v>
      </c>
      <c r="E3" s="7"/>
      <c r="F3" s="7">
        <f t="array" ref="F3:H130">fourier(B3:D130,1)</f>
        <v>0</v>
      </c>
      <c r="G3" s="7">
        <v>3.3933035831626643</v>
      </c>
      <c r="H3" s="7">
        <v>0</v>
      </c>
      <c r="I3" s="7"/>
      <c r="J3" s="7">
        <f>SQRT($G3^2+$H3^2)</f>
        <v>3.3933035831626643</v>
      </c>
      <c r="K3" s="7">
        <f>F3</f>
        <v>0</v>
      </c>
    </row>
    <row r="4" spans="2:11" x14ac:dyDescent="0.25">
      <c r="B4" s="7">
        <f>Plan1!C11</f>
        <v>0.5</v>
      </c>
      <c r="C4" s="7">
        <f>Plan1!D11</f>
        <v>5.5</v>
      </c>
      <c r="D4" s="7">
        <v>0</v>
      </c>
      <c r="E4" s="7"/>
      <c r="F4" s="7">
        <v>1.5625E-2</v>
      </c>
      <c r="G4" s="7">
        <v>3.4722991478602947</v>
      </c>
      <c r="H4" s="7">
        <v>-0.45678830716275765</v>
      </c>
      <c r="I4" s="7"/>
      <c r="J4" s="7">
        <f t="shared" ref="J4:J67" si="0">SQRT($G4^2+$H4^2)</f>
        <v>3.5022160027319771</v>
      </c>
      <c r="K4" s="7">
        <f t="shared" ref="K4:K67" si="1">F4</f>
        <v>1.5625E-2</v>
      </c>
    </row>
    <row r="5" spans="2:11" x14ac:dyDescent="0.25">
      <c r="B5" s="7">
        <f>Plan1!C12</f>
        <v>1</v>
      </c>
      <c r="C5" s="7">
        <f>Plan1!D12</f>
        <v>39.412500000000001</v>
      </c>
      <c r="D5" s="7">
        <v>0</v>
      </c>
      <c r="E5" s="7"/>
      <c r="F5" s="7">
        <v>3.125E-2</v>
      </c>
      <c r="G5" s="7">
        <v>3.7344389011503405</v>
      </c>
      <c r="H5" s="7">
        <v>-0.99278011454063564</v>
      </c>
      <c r="I5" s="7"/>
      <c r="J5" s="7">
        <f t="shared" si="0"/>
        <v>3.8641488405924895</v>
      </c>
      <c r="K5" s="7">
        <f t="shared" si="1"/>
        <v>3.125E-2</v>
      </c>
    </row>
    <row r="6" spans="2:11" x14ac:dyDescent="0.25">
      <c r="B6" s="7">
        <f>Plan1!C13</f>
        <v>1.5</v>
      </c>
      <c r="C6" s="7">
        <f>Plan1!D13</f>
        <v>75.957719999999995</v>
      </c>
      <c r="D6" s="7">
        <v>0</v>
      </c>
      <c r="E6" s="7"/>
      <c r="F6" s="7">
        <v>4.6875E-2</v>
      </c>
      <c r="G6" s="7">
        <v>4.2776586470434976</v>
      </c>
      <c r="H6" s="7">
        <v>-1.7429891656519876</v>
      </c>
      <c r="I6" s="7"/>
      <c r="J6" s="7">
        <f t="shared" si="0"/>
        <v>4.6191313828691012</v>
      </c>
      <c r="K6" s="7">
        <f t="shared" si="1"/>
        <v>4.6875E-2</v>
      </c>
    </row>
    <row r="7" spans="2:11" x14ac:dyDescent="0.25">
      <c r="B7" s="7">
        <f>Plan1!C14</f>
        <v>2</v>
      </c>
      <c r="C7" s="7">
        <f>Plan1!D14</f>
        <v>107.21082712499999</v>
      </c>
      <c r="D7" s="7">
        <v>0</v>
      </c>
      <c r="E7" s="7"/>
      <c r="F7" s="7">
        <v>6.25E-2</v>
      </c>
      <c r="G7" s="7">
        <v>5.3863112638282864</v>
      </c>
      <c r="H7" s="7">
        <v>-3.0611794030204709</v>
      </c>
      <c r="I7" s="7"/>
      <c r="J7" s="7">
        <f t="shared" si="0"/>
        <v>6.1954151086364044</v>
      </c>
      <c r="K7" s="7">
        <f t="shared" si="1"/>
        <v>6.25E-2</v>
      </c>
    </row>
    <row r="8" spans="2:11" x14ac:dyDescent="0.25">
      <c r="B8" s="7">
        <f>Plan1!C15</f>
        <v>2.5</v>
      </c>
      <c r="C8" s="7">
        <f>Plan1!D15</f>
        <v>128.72383061624998</v>
      </c>
      <c r="D8" s="7">
        <v>0</v>
      </c>
      <c r="E8" s="7"/>
      <c r="F8" s="7">
        <v>7.8125E-2</v>
      </c>
      <c r="G8" s="7">
        <v>8.0825470997414612</v>
      </c>
      <c r="H8" s="7">
        <v>-6.4719281832972255</v>
      </c>
      <c r="I8" s="7"/>
      <c r="J8" s="7">
        <f t="shared" si="0"/>
        <v>10.354391436936119</v>
      </c>
      <c r="K8" s="7">
        <f t="shared" si="1"/>
        <v>7.8125E-2</v>
      </c>
    </row>
    <row r="9" spans="2:11" x14ac:dyDescent="0.25">
      <c r="B9" s="7">
        <f>Plan1!C16</f>
        <v>3</v>
      </c>
      <c r="C9" s="7">
        <f>Plan1!D16</f>
        <v>138.07386508125373</v>
      </c>
      <c r="D9" s="7">
        <v>0</v>
      </c>
      <c r="E9" s="7"/>
      <c r="F9" s="7">
        <v>9.375E-2</v>
      </c>
      <c r="G9" s="7">
        <v>13.761575882125076</v>
      </c>
      <c r="H9" s="7">
        <v>-34.293742165568688</v>
      </c>
      <c r="I9" s="7"/>
      <c r="J9" s="7">
        <f t="shared" si="0"/>
        <v>36.951883882665449</v>
      </c>
      <c r="K9" s="7">
        <f t="shared" si="1"/>
        <v>9.375E-2</v>
      </c>
    </row>
    <row r="10" spans="2:11" x14ac:dyDescent="0.25">
      <c r="B10" s="7">
        <f>Plan1!C17</f>
        <v>3.5</v>
      </c>
      <c r="C10" s="7">
        <f>Plan1!D17</f>
        <v>134.39845031939322</v>
      </c>
      <c r="D10" s="7">
        <v>0</v>
      </c>
      <c r="E10" s="7"/>
      <c r="F10" s="7">
        <v>0.109375</v>
      </c>
      <c r="G10" s="7">
        <v>-15.808421622007483</v>
      </c>
      <c r="H10" s="7">
        <v>7.0393108049011985</v>
      </c>
      <c r="I10" s="7"/>
      <c r="J10" s="7">
        <f t="shared" si="0"/>
        <v>17.304857433309078</v>
      </c>
      <c r="K10" s="7">
        <f t="shared" si="1"/>
        <v>0.109375</v>
      </c>
    </row>
    <row r="11" spans="2:11" x14ac:dyDescent="0.25">
      <c r="B11" s="7">
        <f>Plan1!C18</f>
        <v>4</v>
      </c>
      <c r="C11" s="7">
        <f>Plan1!D18</f>
        <v>118.20995185158617</v>
      </c>
      <c r="D11" s="7">
        <v>0</v>
      </c>
      <c r="E11" s="7"/>
      <c r="F11" s="7">
        <v>0.125</v>
      </c>
      <c r="G11" s="7">
        <v>-5.772793513395154</v>
      </c>
      <c r="H11" s="7">
        <v>4.2776691622586185</v>
      </c>
      <c r="I11" s="7"/>
      <c r="J11" s="7">
        <f t="shared" si="0"/>
        <v>7.1849563958339724</v>
      </c>
      <c r="K11" s="7">
        <f t="shared" si="1"/>
        <v>0.125</v>
      </c>
    </row>
    <row r="12" spans="2:11" x14ac:dyDescent="0.25">
      <c r="B12" s="7">
        <f>Plan1!C19</f>
        <v>4.5</v>
      </c>
      <c r="C12" s="7">
        <f>Plan1!D19</f>
        <v>91.235624003926034</v>
      </c>
      <c r="D12" s="7">
        <v>0</v>
      </c>
      <c r="E12" s="7"/>
      <c r="F12" s="7">
        <v>0.140625</v>
      </c>
      <c r="G12" s="7">
        <v>-3.3035271653993989</v>
      </c>
      <c r="H12" s="7">
        <v>2.984645257218796</v>
      </c>
      <c r="I12" s="7"/>
      <c r="J12" s="7">
        <f t="shared" si="0"/>
        <v>4.452122981676319</v>
      </c>
      <c r="K12" s="7">
        <f t="shared" si="1"/>
        <v>0.140625</v>
      </c>
    </row>
    <row r="13" spans="2:11" x14ac:dyDescent="0.25">
      <c r="B13" s="7">
        <f>Plan1!C20</f>
        <v>5</v>
      </c>
      <c r="C13" s="7">
        <f>Plan1!D20</f>
        <v>56.201378414818933</v>
      </c>
      <c r="D13" s="7">
        <v>0</v>
      </c>
      <c r="E13" s="7"/>
      <c r="F13" s="7">
        <v>0.15625</v>
      </c>
      <c r="G13" s="7">
        <v>-2.224084399196137</v>
      </c>
      <c r="H13" s="7">
        <v>2.2965101635190481</v>
      </c>
      <c r="I13" s="7"/>
      <c r="J13" s="7">
        <f t="shared" si="0"/>
        <v>3.1969532911655008</v>
      </c>
      <c r="K13" s="7">
        <f t="shared" si="1"/>
        <v>0.15625</v>
      </c>
    </row>
    <row r="14" spans="2:11" x14ac:dyDescent="0.25">
      <c r="B14" s="7">
        <f>Plan1!C21</f>
        <v>5.5</v>
      </c>
      <c r="C14" s="7">
        <f>Plan1!D21</f>
        <v>16.54568199384159</v>
      </c>
      <c r="D14" s="7">
        <v>0</v>
      </c>
      <c r="E14" s="7"/>
      <c r="F14" s="7">
        <v>0.171875</v>
      </c>
      <c r="G14" s="7">
        <v>-1.6314912311960679</v>
      </c>
      <c r="H14" s="7">
        <v>1.8673757999702447</v>
      </c>
      <c r="I14" s="7"/>
      <c r="J14" s="7">
        <f t="shared" si="0"/>
        <v>2.4796886933210329</v>
      </c>
      <c r="K14" s="7">
        <f t="shared" si="1"/>
        <v>0.171875</v>
      </c>
    </row>
    <row r="15" spans="2:11" x14ac:dyDescent="0.25">
      <c r="B15" s="7">
        <f>Plan1!C22</f>
        <v>6</v>
      </c>
      <c r="C15" s="7">
        <f>Plan1!D22</f>
        <v>-23.92091020907187</v>
      </c>
      <c r="D15" s="7">
        <v>0</v>
      </c>
      <c r="E15" s="7"/>
      <c r="F15" s="7">
        <v>0.1875</v>
      </c>
      <c r="G15" s="7">
        <v>-1.2637708568333459</v>
      </c>
      <c r="H15" s="7">
        <v>1.5718223431816027</v>
      </c>
      <c r="I15" s="7"/>
      <c r="J15" s="7">
        <f t="shared" si="0"/>
        <v>2.0168644617589435</v>
      </c>
      <c r="K15" s="7">
        <f t="shared" si="1"/>
        <v>0.1875</v>
      </c>
    </row>
    <row r="16" spans="2:11" x14ac:dyDescent="0.25">
      <c r="B16" s="7">
        <f>Plan1!C23</f>
        <v>6.5</v>
      </c>
      <c r="C16" s="7">
        <f>Plan1!D23</f>
        <v>-61.382183604144409</v>
      </c>
      <c r="D16" s="7">
        <v>0</v>
      </c>
      <c r="E16" s="7"/>
      <c r="F16" s="7">
        <v>0.203125</v>
      </c>
      <c r="G16" s="7">
        <v>-1.017490118234049</v>
      </c>
      <c r="H16" s="7">
        <v>1.3544133946502455</v>
      </c>
      <c r="I16" s="7"/>
      <c r="J16" s="7">
        <f t="shared" si="0"/>
        <v>1.6940253198556217</v>
      </c>
      <c r="K16" s="7">
        <f t="shared" si="1"/>
        <v>0.203125</v>
      </c>
    </row>
    <row r="17" spans="2:16" x14ac:dyDescent="0.25">
      <c r="B17" s="7">
        <f>Plan1!C24</f>
        <v>7</v>
      </c>
      <c r="C17" s="7">
        <f>Plan1!D24</f>
        <v>-92.375412711959086</v>
      </c>
      <c r="D17" s="7">
        <v>0</v>
      </c>
      <c r="E17" s="7"/>
      <c r="F17" s="7">
        <v>0.21875</v>
      </c>
      <c r="G17" s="7">
        <v>-0.84374799817356416</v>
      </c>
      <c r="H17" s="7">
        <v>1.1869265498063304</v>
      </c>
      <c r="I17" s="7"/>
      <c r="J17" s="7">
        <f t="shared" si="0"/>
        <v>1.4562641652725841</v>
      </c>
      <c r="K17" s="7">
        <f t="shared" si="1"/>
        <v>0.21875</v>
      </c>
    </row>
    <row r="18" spans="2:16" x14ac:dyDescent="0.25">
      <c r="B18" s="7">
        <f>Plan1!C25</f>
        <v>7.5</v>
      </c>
      <c r="C18" s="7">
        <f>Plan1!D25</f>
        <v>-114.11023194668849</v>
      </c>
      <c r="D18" s="7">
        <v>0</v>
      </c>
      <c r="E18" s="7"/>
      <c r="F18" s="7">
        <v>0.234375</v>
      </c>
      <c r="G18" s="7">
        <v>-0.71649157272160136</v>
      </c>
      <c r="H18" s="7">
        <v>1.0534542203879336</v>
      </c>
      <c r="I18" s="7"/>
      <c r="J18" s="7">
        <f t="shared" si="0"/>
        <v>1.2740196106160309</v>
      </c>
      <c r="K18" s="7">
        <f t="shared" si="1"/>
        <v>0.234375</v>
      </c>
    </row>
    <row r="19" spans="2:16" x14ac:dyDescent="0.25">
      <c r="B19" s="7">
        <f>Plan1!C26</f>
        <v>8</v>
      </c>
      <c r="C19" s="7">
        <f>Plan1!D26</f>
        <v>-124.71824689177895</v>
      </c>
      <c r="D19" s="7">
        <v>0</v>
      </c>
      <c r="E19" s="7"/>
      <c r="F19" s="7">
        <v>0.25</v>
      </c>
      <c r="G19" s="7">
        <v>-0.62060502403458084</v>
      </c>
      <c r="H19" s="7">
        <v>0.94431749937119769</v>
      </c>
      <c r="I19" s="7"/>
      <c r="J19" s="7">
        <f t="shared" si="0"/>
        <v>1.1299938652380528</v>
      </c>
      <c r="K19" s="7">
        <f t="shared" si="1"/>
        <v>0.25</v>
      </c>
      <c r="M19" t="s">
        <v>21</v>
      </c>
    </row>
    <row r="20" spans="2:16" x14ac:dyDescent="0.25">
      <c r="B20" s="7">
        <f>Plan1!C27</f>
        <v>8.5</v>
      </c>
      <c r="C20" s="7">
        <f>Plan1!D27</f>
        <v>-123.41131376641286</v>
      </c>
      <c r="D20" s="7">
        <v>0</v>
      </c>
      <c r="E20" s="7"/>
      <c r="F20" s="7">
        <v>0.265625</v>
      </c>
      <c r="G20" s="7">
        <v>-0.54673913099759741</v>
      </c>
      <c r="H20" s="7">
        <v>0.85326617070449085</v>
      </c>
      <c r="I20" s="7"/>
      <c r="J20" s="7">
        <f t="shared" si="0"/>
        <v>1.0134035896091513</v>
      </c>
      <c r="K20" s="7">
        <f t="shared" si="1"/>
        <v>0.265625</v>
      </c>
      <c r="M20" t="s">
        <v>20</v>
      </c>
    </row>
    <row r="21" spans="2:16" x14ac:dyDescent="0.25">
      <c r="B21" s="7">
        <f>Plan1!C28</f>
        <v>9</v>
      </c>
      <c r="C21" s="7">
        <f>Plan1!D28</f>
        <v>-110.53535733917175</v>
      </c>
      <c r="D21" s="7">
        <v>0</v>
      </c>
      <c r="E21" s="7"/>
      <c r="F21" s="7">
        <v>0.28125</v>
      </c>
      <c r="G21" s="7">
        <v>-0.48881710356099256</v>
      </c>
      <c r="H21" s="7">
        <v>0.77606740867521662</v>
      </c>
      <c r="I21" s="7"/>
      <c r="J21" s="7">
        <f t="shared" si="0"/>
        <v>0.91718197951203972</v>
      </c>
      <c r="K21" s="7">
        <f t="shared" si="1"/>
        <v>0.28125</v>
      </c>
      <c r="N21" s="3" t="s">
        <v>39</v>
      </c>
      <c r="O21" s="9">
        <f>VLOOKUP(MAX(J3:J130),J3:K130,2,0)</f>
        <v>9.375E-2</v>
      </c>
      <c r="P21" t="s">
        <v>36</v>
      </c>
    </row>
    <row r="22" spans="2:16" x14ac:dyDescent="0.25">
      <c r="B22" s="7">
        <f>Plan1!C29</f>
        <v>9.5</v>
      </c>
      <c r="C22" s="7">
        <f>Plan1!D29</f>
        <v>-87.516638374086739</v>
      </c>
      <c r="D22" s="7">
        <v>0</v>
      </c>
      <c r="E22" s="7"/>
      <c r="F22" s="7">
        <v>0.296875</v>
      </c>
      <c r="G22" s="7">
        <v>-0.4427298900928498</v>
      </c>
      <c r="H22" s="7">
        <v>0.70974112641487508</v>
      </c>
      <c r="I22" s="7"/>
      <c r="J22" s="7">
        <f t="shared" si="0"/>
        <v>0.83650596059220195</v>
      </c>
      <c r="K22" s="7">
        <f t="shared" si="1"/>
        <v>0.296875</v>
      </c>
    </row>
    <row r="23" spans="2:16" x14ac:dyDescent="0.25">
      <c r="B23" s="7">
        <f>Plan1!C30</f>
        <v>10</v>
      </c>
      <c r="C23" s="7">
        <f>Plan1!D30</f>
        <v>-56.707536374533284</v>
      </c>
      <c r="D23" s="7">
        <v>0</v>
      </c>
      <c r="E23" s="7"/>
      <c r="F23" s="7">
        <v>0.3125</v>
      </c>
      <c r="G23" s="7">
        <v>-0.40560830051736757</v>
      </c>
      <c r="H23" s="7">
        <v>0.65212062847808139</v>
      </c>
      <c r="I23" s="7"/>
      <c r="J23" s="7">
        <f t="shared" si="0"/>
        <v>0.7679709678986798</v>
      </c>
      <c r="K23" s="7">
        <f t="shared" si="1"/>
        <v>0.3125</v>
      </c>
    </row>
    <row r="24" spans="2:16" x14ac:dyDescent="0.25">
      <c r="B24" s="7">
        <f>Plan1!C31</f>
        <v>10.5</v>
      </c>
      <c r="C24" s="7">
        <f>Plan1!D31</f>
        <v>-21.148218370214671</v>
      </c>
      <c r="D24" s="7">
        <v>0</v>
      </c>
      <c r="E24" s="7"/>
      <c r="F24" s="7">
        <v>0.328125</v>
      </c>
      <c r="G24" s="7">
        <v>-0.37539504079149377</v>
      </c>
      <c r="H24" s="7">
        <v>0.60158755319861246</v>
      </c>
      <c r="I24" s="7"/>
      <c r="J24" s="7">
        <f t="shared" si="0"/>
        <v>0.70910437935069948</v>
      </c>
      <c r="K24" s="7">
        <f t="shared" si="1"/>
        <v>0.328125</v>
      </c>
    </row>
    <row r="25" spans="2:16" x14ac:dyDescent="0.25">
      <c r="B25" s="7">
        <f>Plan1!C32</f>
        <v>11</v>
      </c>
      <c r="C25" s="7">
        <f>Plan1!D32</f>
        <v>15.731841151602566</v>
      </c>
      <c r="D25" s="7">
        <v>0</v>
      </c>
      <c r="E25" s="7"/>
      <c r="F25" s="7">
        <v>0.34375</v>
      </c>
      <c r="G25" s="7">
        <v>-0.35058185572729195</v>
      </c>
      <c r="H25" s="7">
        <v>0.55690522175236779</v>
      </c>
      <c r="I25" s="7"/>
      <c r="J25" s="7">
        <f t="shared" si="0"/>
        <v>0.65806615441021254</v>
      </c>
      <c r="K25" s="7">
        <f t="shared" si="1"/>
        <v>0.34375</v>
      </c>
    </row>
    <row r="26" spans="2:16" x14ac:dyDescent="0.25">
      <c r="B26" s="7">
        <f>Plan1!C33</f>
        <v>11.5</v>
      </c>
      <c r="C26" s="7">
        <f>Plan1!D33</f>
        <v>50.443322711394707</v>
      </c>
      <c r="D26" s="7">
        <v>0</v>
      </c>
      <c r="E26" s="7"/>
      <c r="F26" s="7">
        <v>0.359375</v>
      </c>
      <c r="G26" s="7">
        <v>-0.33004201855435938</v>
      </c>
      <c r="H26" s="7">
        <v>0.51711007239872187</v>
      </c>
      <c r="I26" s="7"/>
      <c r="J26" s="7">
        <f t="shared" si="0"/>
        <v>0.61345787221915038</v>
      </c>
      <c r="K26" s="7">
        <f t="shared" si="1"/>
        <v>0.359375</v>
      </c>
    </row>
    <row r="27" spans="2:16" x14ac:dyDescent="0.25">
      <c r="B27" s="7">
        <f>Plan1!C34</f>
        <v>12</v>
      </c>
      <c r="C27" s="7">
        <f>Plan1!D34</f>
        <v>79.765976045200858</v>
      </c>
      <c r="D27" s="7">
        <v>0</v>
      </c>
      <c r="E27" s="7"/>
      <c r="F27" s="7">
        <v>0.375</v>
      </c>
      <c r="G27" s="7">
        <v>-0.31292016452070143</v>
      </c>
      <c r="H27" s="7">
        <v>0.48143871507674768</v>
      </c>
      <c r="I27" s="7"/>
      <c r="J27" s="7">
        <f t="shared" si="0"/>
        <v>0.57419706176400165</v>
      </c>
      <c r="K27" s="7">
        <f t="shared" si="1"/>
        <v>0.375</v>
      </c>
    </row>
    <row r="28" spans="2:16" x14ac:dyDescent="0.25">
      <c r="B28" s="7">
        <f>Plan1!C35</f>
        <v>12.5</v>
      </c>
      <c r="C28" s="7">
        <f>Plan1!D35</f>
        <v>101.04609746054622</v>
      </c>
      <c r="D28" s="7">
        <v>0</v>
      </c>
      <c r="E28" s="7"/>
      <c r="F28" s="7">
        <v>0.390625</v>
      </c>
      <c r="G28" s="7">
        <v>-0.29855784053221629</v>
      </c>
      <c r="H28" s="7">
        <v>0.44927756984770939</v>
      </c>
      <c r="I28" s="7"/>
      <c r="J28" s="7">
        <f t="shared" si="0"/>
        <v>0.5394322190150711</v>
      </c>
      <c r="K28" s="7">
        <f t="shared" si="1"/>
        <v>0.390625</v>
      </c>
    </row>
    <row r="29" spans="2:16" x14ac:dyDescent="0.25">
      <c r="B29" s="7">
        <f>Plan1!C36</f>
        <v>13</v>
      </c>
      <c r="C29" s="7">
        <f>Plan1!D36</f>
        <v>112.43521348882139</v>
      </c>
      <c r="D29" s="7">
        <v>0</v>
      </c>
      <c r="E29" s="7"/>
      <c r="F29" s="7">
        <v>0.40625</v>
      </c>
      <c r="G29" s="7">
        <v>-0.28644198747418276</v>
      </c>
      <c r="H29" s="7">
        <v>0.42012725076815027</v>
      </c>
      <c r="I29" s="7"/>
      <c r="J29" s="7">
        <f t="shared" si="0"/>
        <v>0.50848394175840406</v>
      </c>
      <c r="K29" s="7">
        <f t="shared" si="1"/>
        <v>0.40625</v>
      </c>
    </row>
    <row r="30" spans="2:16" x14ac:dyDescent="0.25">
      <c r="B30" s="7">
        <f>Plan1!C37</f>
        <v>13.5</v>
      </c>
      <c r="C30" s="7">
        <f>Plan1!D37</f>
        <v>113.04864952795725</v>
      </c>
      <c r="D30" s="7">
        <v>0</v>
      </c>
      <c r="E30" s="7"/>
      <c r="F30" s="7">
        <v>0.421875</v>
      </c>
      <c r="G30" s="7">
        <v>-0.27616854558207948</v>
      </c>
      <c r="H30" s="7">
        <v>0.39357683257042514</v>
      </c>
      <c r="I30" s="7"/>
      <c r="J30" s="7">
        <f t="shared" si="0"/>
        <v>0.4808032744325787</v>
      </c>
      <c r="K30" s="7">
        <f t="shared" si="1"/>
        <v>0.421875</v>
      </c>
    </row>
    <row r="31" spans="2:16" x14ac:dyDescent="0.25">
      <c r="B31" s="7">
        <f>Plan1!C38</f>
        <v>14</v>
      </c>
      <c r="C31" s="7">
        <f>Plan1!D38</f>
        <v>103.03058764096386</v>
      </c>
      <c r="D31" s="7">
        <v>0</v>
      </c>
      <c r="E31" s="7"/>
      <c r="F31" s="7">
        <v>0.4375</v>
      </c>
      <c r="G31" s="7">
        <v>-0.26741627062049822</v>
      </c>
      <c r="H31" s="7">
        <v>0.36928489846577356</v>
      </c>
      <c r="I31" s="7"/>
      <c r="J31" s="7">
        <f t="shared" si="0"/>
        <v>0.45594166077191522</v>
      </c>
      <c r="K31" s="7">
        <f t="shared" si="1"/>
        <v>0.4375</v>
      </c>
    </row>
    <row r="32" spans="2:16" x14ac:dyDescent="0.25">
      <c r="B32" s="7">
        <f>Plan1!C39</f>
        <v>14.5</v>
      </c>
      <c r="C32" s="7">
        <f>Plan1!D39</f>
        <v>83.521253146948652</v>
      </c>
      <c r="D32" s="7">
        <v>0</v>
      </c>
      <c r="E32" s="7"/>
      <c r="F32" s="7">
        <v>0.453125</v>
      </c>
      <c r="G32" s="7">
        <v>-0.25992758997862608</v>
      </c>
      <c r="H32" s="7">
        <v>0.34696534053955236</v>
      </c>
      <c r="I32" s="7"/>
      <c r="J32" s="7">
        <f t="shared" si="0"/>
        <v>0.4335288912723399</v>
      </c>
      <c r="K32" s="7">
        <f t="shared" si="1"/>
        <v>0.453125</v>
      </c>
    </row>
    <row r="33" spans="2:11" x14ac:dyDescent="0.25">
      <c r="B33" s="7">
        <f>Plan1!C40</f>
        <v>15</v>
      </c>
      <c r="C33" s="7">
        <f>Plan1!D40</f>
        <v>56.531145514409303</v>
      </c>
      <c r="D33" s="7">
        <v>0</v>
      </c>
      <c r="E33" s="7"/>
      <c r="F33" s="7">
        <v>0.46875</v>
      </c>
      <c r="G33" s="7">
        <v>-0.25349440388525102</v>
      </c>
      <c r="H33" s="7">
        <v>0.32637655568790969</v>
      </c>
      <c r="I33" s="7"/>
      <c r="J33" s="7">
        <f t="shared" si="0"/>
        <v>0.41325666226189506</v>
      </c>
      <c r="K33" s="7">
        <f t="shared" si="1"/>
        <v>0.46875</v>
      </c>
    </row>
    <row r="34" spans="2:11" x14ac:dyDescent="0.25">
      <c r="B34" s="7">
        <f>Plan1!C41</f>
        <v>15.5</v>
      </c>
      <c r="C34" s="7">
        <f>Plan1!D41</f>
        <v>24.73586944638215</v>
      </c>
      <c r="D34" s="7">
        <v>0</v>
      </c>
      <c r="E34" s="7"/>
      <c r="F34" s="7">
        <v>0.484375</v>
      </c>
      <c r="G34" s="7">
        <v>-0.24794741875925336</v>
      </c>
      <c r="H34" s="7">
        <v>0.30731311033055564</v>
      </c>
      <c r="I34" s="7"/>
      <c r="J34" s="7">
        <f t="shared" si="0"/>
        <v>0.39486614219304345</v>
      </c>
      <c r="K34" s="7">
        <f t="shared" si="1"/>
        <v>0.484375</v>
      </c>
    </row>
    <row r="35" spans="2:11" x14ac:dyDescent="0.25">
      <c r="B35" s="7">
        <f>Plan1!C42</f>
        <v>16</v>
      </c>
      <c r="C35" s="7">
        <f>Plan1!D42</f>
        <v>-8.78767285883767</v>
      </c>
      <c r="D35" s="7">
        <v>0</v>
      </c>
      <c r="E35" s="7"/>
      <c r="F35" s="7">
        <v>0.5</v>
      </c>
      <c r="G35" s="7">
        <v>-0.24314804156310088</v>
      </c>
      <c r="H35" s="7">
        <v>0.28959922891317247</v>
      </c>
      <c r="I35" s="7"/>
      <c r="J35" s="7">
        <f t="shared" si="0"/>
        <v>0.37813844488900555</v>
      </c>
      <c r="K35" s="7">
        <f t="shared" si="1"/>
        <v>0.5</v>
      </c>
    </row>
    <row r="36" spans="2:11" x14ac:dyDescent="0.25">
      <c r="B36" s="7">
        <f>Plan1!C43</f>
        <v>16.5</v>
      </c>
      <c r="C36" s="7">
        <f>Plan1!D43</f>
        <v>-40.857847459318862</v>
      </c>
      <c r="D36" s="7">
        <v>0</v>
      </c>
      <c r="E36" s="7"/>
      <c r="F36" s="7">
        <v>0.515625</v>
      </c>
      <c r="G36" s="7">
        <v>-0.23898215628849193</v>
      </c>
      <c r="H36" s="7">
        <v>0.27308364945026242</v>
      </c>
      <c r="I36" s="7"/>
      <c r="J36" s="7">
        <f t="shared" si="0"/>
        <v>0.36288724229624136</v>
      </c>
      <c r="K36" s="7">
        <f t="shared" si="1"/>
        <v>0.515625</v>
      </c>
    </row>
    <row r="37" spans="2:11" x14ac:dyDescent="0.25">
      <c r="B37" s="7">
        <f>Plan1!C44</f>
        <v>17</v>
      </c>
      <c r="C37" s="7">
        <f>Plan1!D44</f>
        <v>-68.489138972019006</v>
      </c>
      <c r="D37" s="7">
        <v>0</v>
      </c>
      <c r="E37" s="7"/>
      <c r="F37" s="7">
        <v>0.53125</v>
      </c>
      <c r="G37" s="7">
        <v>-0.23535530065209126</v>
      </c>
      <c r="H37" s="7">
        <v>0.25763551743676749</v>
      </c>
      <c r="I37" s="7"/>
      <c r="J37" s="7">
        <f t="shared" si="0"/>
        <v>0.34895297303497386</v>
      </c>
      <c r="K37" s="7">
        <f t="shared" si="1"/>
        <v>0.53125</v>
      </c>
    </row>
    <row r="38" spans="2:11" x14ac:dyDescent="0.25">
      <c r="B38" s="7">
        <f>Plan1!C45</f>
        <v>17.5</v>
      </c>
      <c r="C38" s="7">
        <f>Plan1!D45</f>
        <v>-89.168942723339811</v>
      </c>
      <c r="D38" s="7">
        <v>0</v>
      </c>
      <c r="E38" s="7"/>
      <c r="F38" s="7">
        <v>0.546875</v>
      </c>
      <c r="G38" s="7">
        <v>-0.23218889607360421</v>
      </c>
      <c r="H38" s="7">
        <v>0.24314107809486724</v>
      </c>
      <c r="I38" s="7"/>
      <c r="J38" s="7">
        <f t="shared" si="0"/>
        <v>0.33619825596961878</v>
      </c>
      <c r="K38" s="7">
        <f t="shared" si="1"/>
        <v>0.546875</v>
      </c>
    </row>
    <row r="39" spans="2:11" x14ac:dyDescent="0.25">
      <c r="B39" s="7">
        <f>Plan1!C46</f>
        <v>18</v>
      </c>
      <c r="C39" s="7">
        <f>Plan1!D46</f>
        <v>-101.08474692300138</v>
      </c>
      <c r="D39" s="7">
        <v>0</v>
      </c>
      <c r="E39" s="7"/>
      <c r="F39" s="7">
        <v>0.5625</v>
      </c>
      <c r="G39" s="7">
        <v>-0.22941727798722417</v>
      </c>
      <c r="H39" s="7">
        <v>0.22950098924241702</v>
      </c>
      <c r="I39" s="7"/>
      <c r="J39" s="7">
        <f t="shared" si="0"/>
        <v>0.3245042241671367</v>
      </c>
      <c r="K39" s="7">
        <f t="shared" si="1"/>
        <v>0.5625</v>
      </c>
    </row>
    <row r="40" spans="2:11" x14ac:dyDescent="0.25">
      <c r="B40" s="7">
        <f>Plan1!C47</f>
        <v>18.5</v>
      </c>
      <c r="C40" s="7">
        <f>Plan1!D47</f>
        <v>-103.281292034434</v>
      </c>
      <c r="D40" s="7">
        <v>0</v>
      </c>
      <c r="E40" s="7"/>
      <c r="F40" s="7">
        <v>0.578125</v>
      </c>
      <c r="G40" s="7">
        <v>-0.2269853399014663</v>
      </c>
      <c r="H40" s="7">
        <v>0.21662812153473832</v>
      </c>
      <c r="I40" s="7"/>
      <c r="J40" s="7">
        <f t="shared" si="0"/>
        <v>0.31376756934051286</v>
      </c>
      <c r="K40" s="7">
        <f t="shared" si="1"/>
        <v>0.578125</v>
      </c>
    </row>
    <row r="41" spans="2:11" x14ac:dyDescent="0.25">
      <c r="B41" s="7">
        <f>Plan1!C48</f>
        <v>19</v>
      </c>
      <c r="C41" s="7">
        <f>Plan1!D48</f>
        <v>-95.734254888983685</v>
      </c>
      <c r="D41" s="7">
        <v>0</v>
      </c>
      <c r="E41" s="7"/>
      <c r="F41" s="7">
        <v>0.59375</v>
      </c>
      <c r="G41" s="7">
        <v>-0.22484665210313071</v>
      </c>
      <c r="H41" s="7">
        <v>0.20444574499581364</v>
      </c>
      <c r="I41" s="7"/>
      <c r="J41" s="7">
        <f t="shared" si="0"/>
        <v>0.30389814018660849</v>
      </c>
      <c r="K41" s="7">
        <f t="shared" si="1"/>
        <v>0.59375</v>
      </c>
    </row>
    <row r="42" spans="2:11" x14ac:dyDescent="0.25">
      <c r="B42" s="7">
        <f>Plan1!C49</f>
        <v>19.5</v>
      </c>
      <c r="C42" s="7">
        <f>Plan1!D49</f>
        <v>-79.335098859318734</v>
      </c>
      <c r="D42" s="7">
        <v>0</v>
      </c>
      <c r="E42" s="7"/>
      <c r="F42" s="7">
        <v>0.609375</v>
      </c>
      <c r="G42" s="7">
        <v>-0.22296195028280466</v>
      </c>
      <c r="H42" s="7">
        <v>0.19288602432103147</v>
      </c>
      <c r="I42" s="7"/>
      <c r="J42" s="7">
        <f t="shared" si="0"/>
        <v>0.29481697653338312</v>
      </c>
      <c r="K42" s="7">
        <f t="shared" si="1"/>
        <v>0.609375</v>
      </c>
    </row>
    <row r="43" spans="2:11" x14ac:dyDescent="0.25">
      <c r="B43" s="7">
        <f>Plan1!C50</f>
        <v>20</v>
      </c>
      <c r="C43" s="7">
        <f>Plan1!D50</f>
        <v>-55.790176998772878</v>
      </c>
      <c r="D43" s="7">
        <v>0</v>
      </c>
      <c r="E43" s="7"/>
      <c r="F43" s="7">
        <v>0.625</v>
      </c>
      <c r="G43" s="7">
        <v>-0.22129791453306225</v>
      </c>
      <c r="H43" s="7">
        <v>0.18188876290766098</v>
      </c>
      <c r="I43" s="7"/>
      <c r="J43" s="7">
        <f t="shared" si="0"/>
        <v>0.28645468934678281</v>
      </c>
      <c r="K43" s="7">
        <f t="shared" si="1"/>
        <v>0.625</v>
      </c>
    </row>
    <row r="44" spans="2:11" x14ac:dyDescent="0.25">
      <c r="B44" s="7">
        <f>Plan1!C51</f>
        <v>20.5</v>
      </c>
      <c r="C44" s="7">
        <f>Plan1!D51</f>
        <v>-27.445172483710532</v>
      </c>
      <c r="D44" s="7">
        <v>0</v>
      </c>
      <c r="E44" s="7"/>
      <c r="F44" s="7">
        <v>0.640625</v>
      </c>
      <c r="G44" s="7">
        <v>-0.21982617779164976</v>
      </c>
      <c r="H44" s="7">
        <v>0.17140034867134468</v>
      </c>
      <c r="I44" s="7"/>
      <c r="J44" s="7">
        <f t="shared" si="0"/>
        <v>0.27875011742983097</v>
      </c>
      <c r="K44" s="7">
        <f t="shared" si="1"/>
        <v>0.640625</v>
      </c>
    </row>
    <row r="45" spans="2:11" x14ac:dyDescent="0.25">
      <c r="B45" s="7">
        <f>Plan1!C52</f>
        <v>21</v>
      </c>
      <c r="C45" s="7">
        <f>Plan1!D52</f>
        <v>2.9472329355005904</v>
      </c>
      <c r="D45" s="7">
        <v>0</v>
      </c>
      <c r="E45" s="7"/>
      <c r="F45" s="7">
        <v>0.65625</v>
      </c>
      <c r="G45" s="7">
        <v>-0.21852251670707523</v>
      </c>
      <c r="H45" s="7">
        <v>0.16137286463383982</v>
      </c>
      <c r="I45" s="7"/>
      <c r="J45" s="7">
        <f t="shared" si="0"/>
        <v>0.27164920715534135</v>
      </c>
      <c r="K45" s="7">
        <f t="shared" si="1"/>
        <v>0.65625</v>
      </c>
    </row>
    <row r="46" spans="2:11" x14ac:dyDescent="0.25">
      <c r="B46" s="7">
        <f>Plan1!C53</f>
        <v>21.5</v>
      </c>
      <c r="C46" s="7">
        <f>Plan1!D53</f>
        <v>32.493573559647857</v>
      </c>
      <c r="D46" s="7">
        <v>0</v>
      </c>
      <c r="E46" s="7"/>
      <c r="F46" s="7">
        <v>0.671875</v>
      </c>
      <c r="G46" s="7">
        <v>-0.21736618837831362</v>
      </c>
      <c r="H46" s="7">
        <v>0.15176333486152149</v>
      </c>
      <c r="I46" s="7"/>
      <c r="J46" s="7">
        <f t="shared" si="0"/>
        <v>0.26510407325879931</v>
      </c>
      <c r="K46" s="7">
        <f t="shared" si="1"/>
        <v>0.671875</v>
      </c>
    </row>
    <row r="47" spans="2:11" x14ac:dyDescent="0.25">
      <c r="B47" s="7">
        <f>Plan1!C54</f>
        <v>22</v>
      </c>
      <c r="C47" s="7">
        <f>Plan1!D54</f>
        <v>58.434054153739631</v>
      </c>
      <c r="D47" s="7">
        <v>0</v>
      </c>
      <c r="E47" s="7"/>
      <c r="F47" s="7">
        <v>0.6875</v>
      </c>
      <c r="G47" s="7">
        <v>-0.21633938437499739</v>
      </c>
      <c r="H47" s="7">
        <v>0.14253308219670657</v>
      </c>
      <c r="I47" s="7"/>
      <c r="J47" s="7">
        <f t="shared" si="0"/>
        <v>0.25907220760291133</v>
      </c>
      <c r="K47" s="7">
        <f t="shared" si="1"/>
        <v>0.6875</v>
      </c>
    </row>
    <row r="48" spans="2:11" x14ac:dyDescent="0.25">
      <c r="B48" s="7">
        <f>Plan1!C55</f>
        <v>22.5</v>
      </c>
      <c r="C48" s="7">
        <f>Plan1!D55</f>
        <v>78.399307051550835</v>
      </c>
      <c r="D48" s="7">
        <v>0</v>
      </c>
      <c r="E48" s="7"/>
      <c r="F48" s="7">
        <v>0.703125</v>
      </c>
      <c r="G48" s="7">
        <v>-0.21542677953121711</v>
      </c>
      <c r="H48" s="7">
        <v>0.13364717878786986</v>
      </c>
      <c r="I48" s="7"/>
      <c r="J48" s="7">
        <f t="shared" si="0"/>
        <v>0.25351580963945519</v>
      </c>
      <c r="K48" s="7">
        <f t="shared" si="1"/>
        <v>0.703125</v>
      </c>
    </row>
    <row r="49" spans="2:11" x14ac:dyDescent="0.25">
      <c r="B49" s="7">
        <f>Plan1!C56</f>
        <v>23</v>
      </c>
      <c r="C49" s="7">
        <f>Plan1!D56</f>
        <v>90.625663130657941</v>
      </c>
      <c r="D49" s="7">
        <v>0</v>
      </c>
      <c r="E49" s="7"/>
      <c r="F49" s="7">
        <v>0.71875</v>
      </c>
      <c r="G49" s="7">
        <v>-0.21461515769641504</v>
      </c>
      <c r="H49" s="7">
        <v>0.12507397400535236</v>
      </c>
      <c r="I49" s="7"/>
      <c r="J49" s="7">
        <f t="shared" si="0"/>
        <v>0.24840121756253258</v>
      </c>
      <c r="K49" s="7">
        <f t="shared" si="1"/>
        <v>0.71875</v>
      </c>
    </row>
    <row r="50" spans="2:11" x14ac:dyDescent="0.25">
      <c r="B50" s="7">
        <f>Plan1!C57</f>
        <v>23.5</v>
      </c>
      <c r="C50" s="7">
        <f>Plan1!D57</f>
        <v>94.109490646984128</v>
      </c>
      <c r="D50" s="7">
        <v>0</v>
      </c>
      <c r="E50" s="7"/>
      <c r="F50" s="7">
        <v>0.734375</v>
      </c>
      <c r="G50" s="7">
        <v>-0.21389310026523647</v>
      </c>
      <c r="H50" s="7">
        <v>0.11678468715897361</v>
      </c>
      <c r="I50" s="7"/>
      <c r="J50" s="7">
        <f t="shared" si="0"/>
        <v>0.2436984232527856</v>
      </c>
      <c r="K50" s="7">
        <f t="shared" si="1"/>
        <v>0.734375</v>
      </c>
    </row>
    <row r="51" spans="2:11" x14ac:dyDescent="0.25">
      <c r="B51" s="7">
        <f>Plan1!C58</f>
        <v>24</v>
      </c>
      <c r="C51" s="7">
        <f>Plan1!D58</f>
        <v>88.687244190712619</v>
      </c>
      <c r="D51" s="7">
        <v>0</v>
      </c>
      <c r="E51" s="7"/>
      <c r="F51" s="7">
        <v>0.75</v>
      </c>
      <c r="G51" s="7">
        <v>-0.21325072614797863</v>
      </c>
      <c r="H51" s="7">
        <v>0.10875305468512508</v>
      </c>
      <c r="I51" s="7"/>
      <c r="J51" s="7">
        <f t="shared" si="0"/>
        <v>0.23938065733468522</v>
      </c>
      <c r="K51" s="7">
        <f t="shared" si="1"/>
        <v>0.75</v>
      </c>
    </row>
    <row r="52" spans="2:11" x14ac:dyDescent="0.25">
      <c r="B52" s="7">
        <f>Plan1!C59</f>
        <v>24.5</v>
      </c>
      <c r="C52" s="7">
        <f>Plan1!D59</f>
        <v>75.035095127501876</v>
      </c>
      <c r="D52" s="7">
        <v>0</v>
      </c>
      <c r="E52" s="7"/>
      <c r="F52" s="7">
        <v>0.765625</v>
      </c>
      <c r="G52" s="7">
        <v>-0.21267947407284304</v>
      </c>
      <c r="H52" s="7">
        <v>0.10095502327304717</v>
      </c>
      <c r="I52" s="7"/>
      <c r="J52" s="7">
        <f t="shared" si="0"/>
        <v>0.23542403321658265</v>
      </c>
      <c r="K52" s="7">
        <f t="shared" si="1"/>
        <v>0.765625</v>
      </c>
    </row>
    <row r="53" spans="2:11" x14ac:dyDescent="0.25">
      <c r="B53" s="7">
        <f>Plan1!C60</f>
        <v>25</v>
      </c>
      <c r="C53" s="7">
        <f>Plan1!D60</f>
        <v>54.589684338667091</v>
      </c>
      <c r="D53" s="7">
        <v>0</v>
      </c>
      <c r="E53" s="7"/>
      <c r="F53" s="7">
        <v>0.78125</v>
      </c>
      <c r="G53" s="7">
        <v>-0.21217191987131578</v>
      </c>
      <c r="H53" s="7">
        <v>9.3368481850850671E-2</v>
      </c>
      <c r="I53" s="7"/>
      <c r="J53" s="7">
        <f t="shared" si="0"/>
        <v>0.23180724101074296</v>
      </c>
      <c r="K53" s="7">
        <f t="shared" si="1"/>
        <v>0.78125</v>
      </c>
    </row>
    <row r="54" spans="2:11" x14ac:dyDescent="0.25">
      <c r="B54" s="7">
        <f>Plan1!C61</f>
        <v>25.5</v>
      </c>
      <c r="C54" s="7">
        <f>Plan1!D61</f>
        <v>29.398919141467125</v>
      </c>
      <c r="D54" s="7">
        <v>0</v>
      </c>
      <c r="E54" s="7"/>
      <c r="F54" s="7">
        <v>0.796875</v>
      </c>
      <c r="G54" s="7">
        <v>-0.2117216227950261</v>
      </c>
      <c r="H54" s="7">
        <v>8.5973026525843821E-2</v>
      </c>
      <c r="I54" s="7"/>
      <c r="J54" s="7">
        <f t="shared" si="0"/>
        <v>0.22851128385480826</v>
      </c>
      <c r="K54" s="7">
        <f t="shared" si="1"/>
        <v>0.796875</v>
      </c>
    </row>
    <row r="55" spans="2:11" x14ac:dyDescent="0.25">
      <c r="B55" s="7">
        <f>Plan1!C62</f>
        <v>26</v>
      </c>
      <c r="C55" s="7">
        <f>Plan1!D62</f>
        <v>1.9181409649514407</v>
      </c>
      <c r="D55" s="7">
        <v>0</v>
      </c>
      <c r="E55" s="7"/>
      <c r="F55" s="7">
        <v>0.8125</v>
      </c>
      <c r="G55" s="7">
        <v>-0.21132299602693538</v>
      </c>
      <c r="H55" s="7">
        <v>7.874975352834479E-2</v>
      </c>
      <c r="I55" s="7"/>
      <c r="J55" s="7">
        <f t="shared" si="0"/>
        <v>0.22551925046562035</v>
      </c>
      <c r="K55" s="7">
        <f t="shared" si="1"/>
        <v>0.8125</v>
      </c>
    </row>
    <row r="56" spans="2:11" x14ac:dyDescent="0.25">
      <c r="B56" s="7">
        <f>Plan1!C63</f>
        <v>26.5</v>
      </c>
      <c r="C56" s="7">
        <f>Plan1!D63</f>
        <v>-25.228164705681959</v>
      </c>
      <c r="D56" s="7">
        <v>0</v>
      </c>
      <c r="E56" s="7"/>
      <c r="F56" s="7">
        <v>0.828125</v>
      </c>
      <c r="G56" s="7">
        <v>-0.21097119744323911</v>
      </c>
      <c r="H56" s="7">
        <v>7.168107598743112E-2</v>
      </c>
      <c r="I56" s="7"/>
      <c r="J56" s="7">
        <f t="shared" si="0"/>
        <v>0.22281611881852276</v>
      </c>
      <c r="K56" s="7">
        <f t="shared" si="1"/>
        <v>0.828125</v>
      </c>
    </row>
    <row r="57" spans="2:11" x14ac:dyDescent="0.25">
      <c r="B57" s="7">
        <f>Plan1!C64</f>
        <v>27</v>
      </c>
      <c r="C57" s="7">
        <f>Plan1!D64</f>
        <v>-49.496085353925231</v>
      </c>
      <c r="D57" s="7">
        <v>0</v>
      </c>
      <c r="E57" s="7"/>
      <c r="F57" s="7">
        <v>0.84375</v>
      </c>
      <c r="G57" s="7">
        <v>-0.21066203740237444</v>
      </c>
      <c r="H57" s="7">
        <v>6.4750561005654461E-2</v>
      </c>
      <c r="I57" s="7"/>
      <c r="J57" s="7">
        <f t="shared" si="0"/>
        <v>0.22038858671234857</v>
      </c>
      <c r="K57" s="7">
        <f t="shared" si="1"/>
        <v>0.84375</v>
      </c>
    </row>
    <row r="58" spans="2:11" x14ac:dyDescent="0.25">
      <c r="B58" s="7">
        <f>Plan1!C65</f>
        <v>27.5</v>
      </c>
      <c r="C58" s="7">
        <f>Plan1!D65</f>
        <v>-68.659752517517063</v>
      </c>
      <c r="D58" s="7">
        <v>0</v>
      </c>
      <c r="E58" s="7"/>
      <c r="F58" s="7">
        <v>0.859375</v>
      </c>
      <c r="G58" s="7">
        <v>-0.21039190092060478</v>
      </c>
      <c r="H58" s="7">
        <v>5.7942784024396676E-2</v>
      </c>
      <c r="I58" s="7"/>
      <c r="J58" s="7">
        <f t="shared" si="0"/>
        <v>0.21822492569246862</v>
      </c>
      <c r="K58" s="7">
        <f t="shared" si="1"/>
        <v>0.859375</v>
      </c>
    </row>
    <row r="59" spans="2:11" x14ac:dyDescent="0.25">
      <c r="B59" s="7">
        <f>Plan1!C66</f>
        <v>28</v>
      </c>
      <c r="C59" s="7">
        <f>Plan1!D66</f>
        <v>-81.014487785241116</v>
      </c>
      <c r="D59" s="7">
        <v>0</v>
      </c>
      <c r="E59" s="7"/>
      <c r="F59" s="7">
        <v>0.875</v>
      </c>
      <c r="G59" s="7">
        <v>-0.21015768206832863</v>
      </c>
      <c r="H59" s="7">
        <v>5.1243197903709348E-2</v>
      </c>
      <c r="I59" s="7"/>
      <c r="J59" s="7">
        <f t="shared" si="0"/>
        <v>0.21631485539308534</v>
      </c>
      <c r="K59" s="7">
        <f t="shared" si="1"/>
        <v>0.875</v>
      </c>
    </row>
    <row r="60" spans="2:11" x14ac:dyDescent="0.25">
      <c r="B60" s="7">
        <f>Plan1!C67</f>
        <v>28.5</v>
      </c>
      <c r="C60" s="7">
        <f>Plan1!D67</f>
        <v>-85.527182624322663</v>
      </c>
      <c r="D60" s="7">
        <v>0</v>
      </c>
      <c r="E60" s="7"/>
      <c r="F60" s="7">
        <v>0.890625</v>
      </c>
      <c r="G60" s="7">
        <v>-0.20995672880979033</v>
      </c>
      <c r="H60" s="7">
        <v>4.4638014496763301E-2</v>
      </c>
      <c r="I60" s="7"/>
      <c r="J60" s="7">
        <f t="shared" si="0"/>
        <v>0.21464943584999494</v>
      </c>
      <c r="K60" s="7">
        <f t="shared" si="1"/>
        <v>0.890625</v>
      </c>
    </row>
    <row r="61" spans="2:11" x14ac:dyDescent="0.25">
      <c r="B61" s="7">
        <f>Plan1!C68</f>
        <v>29</v>
      </c>
      <c r="C61" s="7">
        <f>Plan1!D68</f>
        <v>-81.920773282889542</v>
      </c>
      <c r="D61" s="7">
        <v>0</v>
      </c>
      <c r="E61" s="7"/>
      <c r="F61" s="7">
        <v>0.90625</v>
      </c>
      <c r="G61" s="7">
        <v>-0.2097867968289977</v>
      </c>
      <c r="H61" s="7">
        <v>3.8114096792750018E-2</v>
      </c>
      <c r="I61" s="7"/>
      <c r="J61" s="7">
        <f t="shared" si="0"/>
        <v>0.21322097574605148</v>
      </c>
      <c r="K61" s="7">
        <f t="shared" si="1"/>
        <v>0.90625</v>
      </c>
    </row>
    <row r="62" spans="2:11" x14ac:dyDescent="0.25">
      <c r="B62" s="7">
        <f>Plan1!C69</f>
        <v>29.5</v>
      </c>
      <c r="C62" s="7">
        <f>Plan1!D69</f>
        <v>-70.686109314072041</v>
      </c>
      <c r="D62" s="7">
        <v>0</v>
      </c>
      <c r="E62" s="7"/>
      <c r="F62" s="7">
        <v>0.921875</v>
      </c>
      <c r="G62" s="7">
        <v>-0.20964601115003223</v>
      </c>
      <c r="H62" s="7">
        <v>3.1658859944001527E-2</v>
      </c>
      <c r="I62" s="7"/>
      <c r="J62" s="7">
        <f t="shared" si="0"/>
        <v>0.21202295489892917</v>
      </c>
      <c r="K62" s="7">
        <f t="shared" si="1"/>
        <v>0.921875</v>
      </c>
    </row>
    <row r="63" spans="2:11" x14ac:dyDescent="0.25">
      <c r="B63" s="7">
        <f>Plan1!C70</f>
        <v>30</v>
      </c>
      <c r="C63" s="7">
        <f>Plan1!D70</f>
        <v>-53.021460558667528</v>
      </c>
      <c r="D63" s="7">
        <v>0</v>
      </c>
      <c r="E63" s="7"/>
      <c r="F63" s="7">
        <v>0.9375</v>
      </c>
      <c r="G63" s="7">
        <v>-0.20953283458199978</v>
      </c>
      <c r="H63" s="7">
        <v>2.5260179691423579E-2</v>
      </c>
      <c r="I63" s="7"/>
      <c r="J63" s="7">
        <f t="shared" si="0"/>
        <v>0.2110499595972733</v>
      </c>
      <c r="K63" s="7">
        <f t="shared" si="1"/>
        <v>0.9375</v>
      </c>
    </row>
    <row r="64" spans="2:11" x14ac:dyDescent="0.25">
      <c r="B64" s="7">
        <f>Plan1!C71</f>
        <v>30.5</v>
      </c>
      <c r="C64" s="7">
        <f>Plan1!D71</f>
        <v>-30.706700621454601</v>
      </c>
      <c r="D64" s="7">
        <v>0</v>
      </c>
      <c r="E64" s="7"/>
      <c r="F64" s="7">
        <v>0.953125</v>
      </c>
      <c r="G64" s="7">
        <v>-0.20944604220638308</v>
      </c>
      <c r="H64" s="7">
        <v>1.8906306863823108E-2</v>
      </c>
      <c r="I64" s="7"/>
      <c r="J64" s="7">
        <f t="shared" si="0"/>
        <v>0.21029762964700063</v>
      </c>
      <c r="K64" s="7">
        <f t="shared" si="1"/>
        <v>0.953125</v>
      </c>
    </row>
    <row r="65" spans="2:11" x14ac:dyDescent="0.25">
      <c r="B65" s="7">
        <f>Plan1!C72</f>
        <v>31</v>
      </c>
      <c r="C65" s="7">
        <f>Plan1!D72</f>
        <v>-5.9252096831457521</v>
      </c>
      <c r="D65" s="7">
        <v>0</v>
      </c>
      <c r="E65" s="7"/>
      <c r="F65" s="7">
        <v>0.96875</v>
      </c>
      <c r="G65" s="7">
        <v>-0.2093847012847625</v>
      </c>
      <c r="H65" s="7">
        <v>1.2585786756904804E-2</v>
      </c>
      <c r="I65" s="7"/>
      <c r="J65" s="7">
        <f t="shared" si="0"/>
        <v>0.20976261621270723</v>
      </c>
      <c r="K65" s="7">
        <f t="shared" si="1"/>
        <v>0.96875</v>
      </c>
    </row>
    <row r="66" spans="2:11" x14ac:dyDescent="0.25">
      <c r="B66" s="7">
        <f>Plan1!C73</f>
        <v>31.5</v>
      </c>
      <c r="C66" s="7">
        <f>Plan1!D73</f>
        <v>18.948793432412579</v>
      </c>
      <c r="D66" s="7">
        <v>0</v>
      </c>
      <c r="E66" s="7"/>
      <c r="F66" s="7">
        <v>0.984375</v>
      </c>
      <c r="G66" s="7">
        <v>-0.209348156104052</v>
      </c>
      <c r="H66" s="7">
        <v>6.287382300329547E-3</v>
      </c>
      <c r="I66" s="7"/>
      <c r="J66" s="7">
        <f t="shared" si="0"/>
        <v>0.20944254973705084</v>
      </c>
      <c r="K66" s="7">
        <f t="shared" si="1"/>
        <v>0.984375</v>
      </c>
    </row>
    <row r="67" spans="2:11" x14ac:dyDescent="0.25">
      <c r="B67" s="7">
        <f>Plan1!C74</f>
        <v>32</v>
      </c>
      <c r="C67" s="7">
        <f>Plan1!D74</f>
        <v>41.576864048866319</v>
      </c>
      <c r="D67" s="7">
        <v>0</v>
      </c>
      <c r="E67" s="7"/>
      <c r="F67" s="7">
        <v>-1</v>
      </c>
      <c r="G67" s="7">
        <v>-0.20933601739916807</v>
      </c>
      <c r="H67" s="7">
        <v>0</v>
      </c>
      <c r="I67" s="7"/>
      <c r="J67" s="7">
        <f t="shared" si="0"/>
        <v>0.20933601739916807</v>
      </c>
      <c r="K67" s="7">
        <f t="shared" si="1"/>
        <v>-1</v>
      </c>
    </row>
    <row r="68" spans="2:11" x14ac:dyDescent="0.25">
      <c r="B68" s="7">
        <f>Plan1!C75</f>
        <v>32.5</v>
      </c>
      <c r="C68" s="7">
        <f>Plan1!D75</f>
        <v>59.875339678289421</v>
      </c>
      <c r="D68" s="7">
        <v>0</v>
      </c>
      <c r="E68" s="7"/>
      <c r="F68" s="7">
        <v>-0.984375</v>
      </c>
      <c r="G68" s="7">
        <v>-0.20934815610405222</v>
      </c>
      <c r="H68" s="7">
        <v>-6.2873823003296858E-3</v>
      </c>
      <c r="I68" s="7"/>
      <c r="J68" s="7">
        <f t="shared" ref="J68:J130" si="2">SQRT($G68^2+$H68^2)</f>
        <v>0.20944254973705109</v>
      </c>
      <c r="K68" s="7">
        <f t="shared" ref="K68:K130" si="3">F68</f>
        <v>-0.984375</v>
      </c>
    </row>
    <row r="69" spans="2:11" x14ac:dyDescent="0.25">
      <c r="B69" s="7">
        <f>Plan1!C76</f>
        <v>33</v>
      </c>
      <c r="C69" s="7">
        <f>Plan1!D76</f>
        <v>72.206311695892254</v>
      </c>
      <c r="D69" s="7">
        <v>0</v>
      </c>
      <c r="E69" s="7"/>
      <c r="F69" s="7">
        <v>-0.96875</v>
      </c>
      <c r="G69" s="7">
        <v>-0.20938470128476361</v>
      </c>
      <c r="H69" s="7">
        <v>-1.2585786756903694E-2</v>
      </c>
      <c r="I69" s="7"/>
      <c r="J69" s="7">
        <f t="shared" si="2"/>
        <v>0.20976261621270828</v>
      </c>
      <c r="K69" s="7">
        <f t="shared" si="3"/>
        <v>-0.96875</v>
      </c>
    </row>
    <row r="70" spans="2:11" x14ac:dyDescent="0.25">
      <c r="B70" s="7">
        <f>Plan1!C77</f>
        <v>33.5</v>
      </c>
      <c r="C70" s="7">
        <f>Plan1!D77</f>
        <v>77.523145470629416</v>
      </c>
      <c r="D70" s="7">
        <v>0</v>
      </c>
      <c r="E70" s="7"/>
      <c r="F70" s="7">
        <v>-0.953125</v>
      </c>
      <c r="G70" s="7">
        <v>-0.20944604220638485</v>
      </c>
      <c r="H70" s="7">
        <v>-1.8906306863823108E-2</v>
      </c>
      <c r="I70" s="7"/>
      <c r="J70" s="7">
        <f t="shared" si="2"/>
        <v>0.21029762964700241</v>
      </c>
      <c r="K70" s="7">
        <f t="shared" si="3"/>
        <v>-0.953125</v>
      </c>
    </row>
    <row r="71" spans="2:11" x14ac:dyDescent="0.25">
      <c r="B71" s="7">
        <f>Plan1!C78</f>
        <v>34</v>
      </c>
      <c r="C71" s="7">
        <f>Plan1!D78</f>
        <v>75.457729735513936</v>
      </c>
      <c r="D71" s="7">
        <v>0</v>
      </c>
      <c r="E71" s="7"/>
      <c r="F71" s="7">
        <v>-0.9375</v>
      </c>
      <c r="G71" s="7">
        <v>-0.20953283458200112</v>
      </c>
      <c r="H71" s="7">
        <v>-2.5260179691423357E-2</v>
      </c>
      <c r="I71" s="7"/>
      <c r="J71" s="7">
        <f t="shared" si="2"/>
        <v>0.2110499595972746</v>
      </c>
      <c r="K71" s="7">
        <f t="shared" si="3"/>
        <v>-0.9375</v>
      </c>
    </row>
    <row r="72" spans="2:11" x14ac:dyDescent="0.25">
      <c r="B72" s="7">
        <f>Plan1!C79</f>
        <v>34.5</v>
      </c>
      <c r="C72" s="7">
        <f>Plan1!D79</f>
        <v>66.342350130916159</v>
      </c>
      <c r="D72" s="7">
        <v>0</v>
      </c>
      <c r="E72" s="7"/>
      <c r="F72" s="7">
        <v>-0.921875</v>
      </c>
      <c r="G72" s="7">
        <v>-0.20964601115003223</v>
      </c>
      <c r="H72" s="7">
        <v>-3.1658859944001527E-2</v>
      </c>
      <c r="I72" s="7"/>
      <c r="J72" s="7">
        <f t="shared" si="2"/>
        <v>0.21202295489892917</v>
      </c>
      <c r="K72" s="7">
        <f t="shared" si="3"/>
        <v>-0.921875</v>
      </c>
    </row>
    <row r="73" spans="2:11" x14ac:dyDescent="0.25">
      <c r="B73" s="7">
        <f>Plan1!C80</f>
        <v>35</v>
      </c>
      <c r="C73" s="7">
        <f>Plan1!D80</f>
        <v>51.165356451425673</v>
      </c>
      <c r="D73" s="7">
        <v>0</v>
      </c>
      <c r="E73" s="7"/>
      <c r="F73" s="7">
        <v>-0.90625</v>
      </c>
      <c r="G73" s="7">
        <v>-0.20978679682899948</v>
      </c>
      <c r="H73" s="7">
        <v>-3.8114096792750018E-2</v>
      </c>
      <c r="I73" s="7"/>
      <c r="J73" s="7">
        <f t="shared" si="2"/>
        <v>0.21322097574605323</v>
      </c>
      <c r="K73" s="7">
        <f t="shared" si="3"/>
        <v>-0.90625</v>
      </c>
    </row>
    <row r="74" spans="2:11" x14ac:dyDescent="0.25">
      <c r="B74" s="7">
        <f>Plan1!C81</f>
        <v>35.5</v>
      </c>
      <c r="C74" s="7">
        <f>Plan1!D81</f>
        <v>31.466028227949401</v>
      </c>
      <c r="D74" s="7">
        <v>0</v>
      </c>
      <c r="E74" s="7"/>
      <c r="F74" s="7">
        <v>-0.890625</v>
      </c>
      <c r="G74" s="7">
        <v>-0.20995672880978944</v>
      </c>
      <c r="H74" s="7">
        <v>-4.4638014496762413E-2</v>
      </c>
      <c r="I74" s="7"/>
      <c r="J74" s="7">
        <f t="shared" si="2"/>
        <v>0.21464943584999388</v>
      </c>
      <c r="K74" s="7">
        <f t="shared" si="3"/>
        <v>-0.890625</v>
      </c>
    </row>
    <row r="75" spans="2:11" x14ac:dyDescent="0.25">
      <c r="B75" s="7">
        <f>Plan1!C82</f>
        <v>36</v>
      </c>
      <c r="C75" s="7">
        <f>Plan1!D82</f>
        <v>9.1796538838140194</v>
      </c>
      <c r="D75" s="7">
        <v>0</v>
      </c>
      <c r="E75" s="7"/>
      <c r="F75" s="7">
        <v>-0.875</v>
      </c>
      <c r="G75" s="7">
        <v>-0.21015768206832908</v>
      </c>
      <c r="H75" s="7">
        <v>-5.1243197903708904E-2</v>
      </c>
      <c r="I75" s="7"/>
      <c r="J75" s="7">
        <f t="shared" si="2"/>
        <v>0.21631485539308568</v>
      </c>
      <c r="K75" s="7">
        <f t="shared" si="3"/>
        <v>-0.875</v>
      </c>
    </row>
    <row r="76" spans="2:11" x14ac:dyDescent="0.25">
      <c r="B76" s="7">
        <f>Plan1!C83</f>
        <v>36.5</v>
      </c>
      <c r="C76" s="7">
        <f>Plan1!D83</f>
        <v>-13.551690558904706</v>
      </c>
      <c r="D76" s="7">
        <v>0</v>
      </c>
      <c r="E76" s="7"/>
      <c r="F76" s="7">
        <v>-0.859375</v>
      </c>
      <c r="G76" s="7">
        <v>-0.21039190092060522</v>
      </c>
      <c r="H76" s="7">
        <v>-5.7942784024395566E-2</v>
      </c>
      <c r="I76" s="7"/>
      <c r="J76" s="7">
        <f t="shared" si="2"/>
        <v>0.21822492569246876</v>
      </c>
      <c r="K76" s="7">
        <f t="shared" si="3"/>
        <v>-0.859375</v>
      </c>
    </row>
    <row r="77" spans="2:11" x14ac:dyDescent="0.25">
      <c r="B77" s="7">
        <f>Plan1!C84</f>
        <v>37</v>
      </c>
      <c r="C77" s="7">
        <f>Plan1!D84</f>
        <v>-34.584245020792608</v>
      </c>
      <c r="D77" s="7">
        <v>0</v>
      </c>
      <c r="E77" s="7"/>
      <c r="F77" s="7">
        <v>-0.84375</v>
      </c>
      <c r="G77" s="7">
        <v>-0.21066203740237266</v>
      </c>
      <c r="H77" s="7">
        <v>-6.4750561005655793E-2</v>
      </c>
      <c r="I77" s="7"/>
      <c r="J77" s="7">
        <f t="shared" si="2"/>
        <v>0.22038858671234726</v>
      </c>
      <c r="K77" s="7">
        <f t="shared" si="3"/>
        <v>-0.84375</v>
      </c>
    </row>
    <row r="78" spans="2:11" x14ac:dyDescent="0.25">
      <c r="B78" s="7">
        <f>Plan1!C85</f>
        <v>37.5</v>
      </c>
      <c r="C78" s="7">
        <f>Plan1!D85</f>
        <v>-51.973985883423893</v>
      </c>
      <c r="D78" s="7">
        <v>0</v>
      </c>
      <c r="E78" s="7"/>
      <c r="F78" s="7">
        <v>-0.828125</v>
      </c>
      <c r="G78" s="7">
        <v>-0.21097119744323822</v>
      </c>
      <c r="H78" s="7">
        <v>-7.1681075987431231E-2</v>
      </c>
      <c r="I78" s="7"/>
      <c r="J78" s="7">
        <f t="shared" si="2"/>
        <v>0.22281611881852198</v>
      </c>
      <c r="K78" s="7">
        <f t="shared" si="3"/>
        <v>-0.828125</v>
      </c>
    </row>
    <row r="79" spans="2:11" x14ac:dyDescent="0.25">
      <c r="B79" s="7">
        <f>Plan1!C86</f>
        <v>38</v>
      </c>
      <c r="C79" s="7">
        <f>Plan1!D86</f>
        <v>-64.155510627040357</v>
      </c>
      <c r="D79" s="7">
        <v>0</v>
      </c>
      <c r="E79" s="7"/>
      <c r="F79" s="7">
        <v>-0.8125</v>
      </c>
      <c r="G79" s="7">
        <v>-0.21132299602693494</v>
      </c>
      <c r="H79" s="7">
        <v>-7.8749753528344457E-2</v>
      </c>
      <c r="I79" s="7"/>
      <c r="J79" s="7">
        <f t="shared" si="2"/>
        <v>0.2255192504656198</v>
      </c>
      <c r="K79" s="7">
        <f t="shared" si="3"/>
        <v>-0.8125</v>
      </c>
    </row>
    <row r="80" spans="2:11" x14ac:dyDescent="0.25">
      <c r="B80" s="7">
        <f>Plan1!C87</f>
        <v>38.5</v>
      </c>
      <c r="C80" s="7">
        <f>Plan1!D87</f>
        <v>-70.082003875037088</v>
      </c>
      <c r="D80" s="7">
        <v>0</v>
      </c>
      <c r="E80" s="7"/>
      <c r="F80" s="7">
        <v>-0.796875</v>
      </c>
      <c r="G80" s="7">
        <v>-0.21172162279502538</v>
      </c>
      <c r="H80" s="7">
        <v>-8.5973026525843821E-2</v>
      </c>
      <c r="I80" s="7"/>
      <c r="J80" s="7">
        <f t="shared" si="2"/>
        <v>0.2285112838548076</v>
      </c>
      <c r="K80" s="7">
        <f t="shared" si="3"/>
        <v>-0.796875</v>
      </c>
    </row>
    <row r="81" spans="2:11" x14ac:dyDescent="0.25">
      <c r="B81" s="7">
        <f>Plan1!C88</f>
        <v>39</v>
      </c>
      <c r="C81" s="7">
        <f>Plan1!D88</f>
        <v>-69.313865040062097</v>
      </c>
      <c r="D81" s="7">
        <v>0</v>
      </c>
      <c r="E81" s="7"/>
      <c r="F81" s="7">
        <v>-0.78125</v>
      </c>
      <c r="G81" s="7">
        <v>-0.21217191987131534</v>
      </c>
      <c r="H81" s="7">
        <v>-9.3368481850849894E-2</v>
      </c>
      <c r="I81" s="7"/>
      <c r="J81" s="7">
        <f t="shared" si="2"/>
        <v>0.23180724101074227</v>
      </c>
      <c r="K81" s="7">
        <f t="shared" si="3"/>
        <v>-0.78125</v>
      </c>
    </row>
    <row r="82" spans="2:11" x14ac:dyDescent="0.25">
      <c r="B82" s="7">
        <f>Plan1!C89</f>
        <v>39.5</v>
      </c>
      <c r="C82" s="7">
        <f>Plan1!D89</f>
        <v>-62.048633196226561</v>
      </c>
      <c r="D82" s="7">
        <v>0</v>
      </c>
      <c r="E82" s="7"/>
      <c r="F82" s="7">
        <v>-0.765625</v>
      </c>
      <c r="G82" s="7">
        <v>-0.21267947407284327</v>
      </c>
      <c r="H82" s="7">
        <v>-0.10095502327304795</v>
      </c>
      <c r="I82" s="7"/>
      <c r="J82" s="7">
        <f t="shared" si="2"/>
        <v>0.23542403321658317</v>
      </c>
      <c r="K82" s="7">
        <f t="shared" si="3"/>
        <v>-0.765625</v>
      </c>
    </row>
    <row r="83" spans="2:11" x14ac:dyDescent="0.25">
      <c r="B83" s="7">
        <f>Plan1!C90</f>
        <v>40</v>
      </c>
      <c r="C83" s="7">
        <f>Plan1!D90</f>
        <v>-49.090497376066772</v>
      </c>
      <c r="D83" s="7">
        <v>0</v>
      </c>
      <c r="E83" s="7"/>
      <c r="F83" s="7">
        <v>-0.75</v>
      </c>
      <c r="G83" s="7">
        <v>-0.21325072614797858</v>
      </c>
      <c r="H83" s="7">
        <v>-0.10875305468512508</v>
      </c>
      <c r="I83" s="7"/>
      <c r="J83" s="7">
        <f t="shared" si="2"/>
        <v>0.23938065733468519</v>
      </c>
      <c r="K83" s="7">
        <f t="shared" si="3"/>
        <v>-0.75</v>
      </c>
    </row>
    <row r="84" spans="2:11" x14ac:dyDescent="0.25">
      <c r="B84" s="7">
        <f>Plan1!C91</f>
        <v>40.5</v>
      </c>
      <c r="C84" s="7">
        <f>Plan1!D91</f>
        <v>-31.763388012263061</v>
      </c>
      <c r="D84" s="7">
        <v>0</v>
      </c>
      <c r="E84" s="7"/>
      <c r="F84" s="7">
        <v>-0.734375</v>
      </c>
      <c r="G84" s="7">
        <v>-0.21389310026523564</v>
      </c>
      <c r="H84" s="7">
        <v>-0.11678468715897378</v>
      </c>
      <c r="I84" s="7"/>
      <c r="J84" s="7">
        <f t="shared" si="2"/>
        <v>0.24369842325278496</v>
      </c>
      <c r="K84" s="7">
        <f t="shared" si="3"/>
        <v>-0.734375</v>
      </c>
    </row>
    <row r="85" spans="2:11" x14ac:dyDescent="0.25">
      <c r="B85" s="7">
        <f>Plan1!C92</f>
        <v>41</v>
      </c>
      <c r="C85" s="7">
        <f>Plan1!D92</f>
        <v>-11.776870508015378</v>
      </c>
      <c r="D85" s="7">
        <v>0</v>
      </c>
      <c r="E85" s="7"/>
      <c r="F85" s="7">
        <v>-0.71875</v>
      </c>
      <c r="G85" s="7">
        <v>-0.2146151576964162</v>
      </c>
      <c r="H85" s="7">
        <v>-0.12507397400535181</v>
      </c>
      <c r="I85" s="7"/>
      <c r="J85" s="7">
        <f t="shared" si="2"/>
        <v>0.24840121756253333</v>
      </c>
      <c r="K85" s="7">
        <f t="shared" si="3"/>
        <v>-0.71875</v>
      </c>
    </row>
    <row r="86" spans="2:11" x14ac:dyDescent="0.25">
      <c r="B86" s="7">
        <f>Plan1!C93</f>
        <v>41.5</v>
      </c>
      <c r="C86" s="7">
        <f>Plan1!D93</f>
        <v>8.9416769131927012</v>
      </c>
      <c r="D86" s="7">
        <v>0</v>
      </c>
      <c r="E86" s="7"/>
      <c r="F86" s="7">
        <v>-0.703125</v>
      </c>
      <c r="G86" s="7">
        <v>-0.21542677953121814</v>
      </c>
      <c r="H86" s="7">
        <v>-0.13364717878786958</v>
      </c>
      <c r="I86" s="7"/>
      <c r="J86" s="7">
        <f t="shared" si="2"/>
        <v>0.25351580963945591</v>
      </c>
      <c r="K86" s="7">
        <f t="shared" si="3"/>
        <v>-0.703125</v>
      </c>
    </row>
    <row r="87" spans="2:11" x14ac:dyDescent="0.25">
      <c r="B87" s="7">
        <f>Plan1!C94</f>
        <v>42</v>
      </c>
      <c r="C87" s="7">
        <f>Plan1!D94</f>
        <v>28.432204104382041</v>
      </c>
      <c r="D87" s="7">
        <v>0</v>
      </c>
      <c r="E87" s="7"/>
      <c r="F87" s="7">
        <v>-0.6875</v>
      </c>
      <c r="G87" s="7">
        <v>-0.21633938437499783</v>
      </c>
      <c r="H87" s="7">
        <v>-0.14253308219670696</v>
      </c>
      <c r="I87" s="7"/>
      <c r="J87" s="7">
        <f t="shared" si="2"/>
        <v>0.25907220760291189</v>
      </c>
      <c r="K87" s="7">
        <f t="shared" si="3"/>
        <v>-0.6875</v>
      </c>
    </row>
    <row r="88" spans="2:11" x14ac:dyDescent="0.25">
      <c r="B88" s="7">
        <f>Plan1!C95</f>
        <v>42.5</v>
      </c>
      <c r="C88" s="7">
        <f>Plan1!D95</f>
        <v>44.886731794057354</v>
      </c>
      <c r="D88" s="7">
        <v>0</v>
      </c>
      <c r="E88" s="7"/>
      <c r="F88" s="7">
        <v>-0.671875</v>
      </c>
      <c r="G88" s="7">
        <v>-0.21736618837831445</v>
      </c>
      <c r="H88" s="7">
        <v>-0.15176333486152205</v>
      </c>
      <c r="I88" s="7"/>
      <c r="J88" s="7">
        <f t="shared" si="2"/>
        <v>0.26510407325880031</v>
      </c>
      <c r="K88" s="7">
        <f t="shared" si="3"/>
        <v>-0.671875</v>
      </c>
    </row>
    <row r="89" spans="2:11" x14ac:dyDescent="0.25">
      <c r="B89" s="7">
        <f>Plan1!C96</f>
        <v>43</v>
      </c>
      <c r="C89" s="7">
        <f>Plan1!D96</f>
        <v>56.816348646267855</v>
      </c>
      <c r="D89" s="7">
        <v>0</v>
      </c>
      <c r="E89" s="7"/>
      <c r="F89" s="7">
        <v>-0.65625</v>
      </c>
      <c r="G89" s="7">
        <v>-0.21852251670707709</v>
      </c>
      <c r="H89" s="7">
        <v>-0.16137286463384282</v>
      </c>
      <c r="I89" s="7"/>
      <c r="J89" s="7">
        <f t="shared" si="2"/>
        <v>0.27164920715534463</v>
      </c>
      <c r="K89" s="7">
        <f t="shared" si="3"/>
        <v>-0.65625</v>
      </c>
    </row>
    <row r="90" spans="2:11" x14ac:dyDescent="0.25">
      <c r="B90" s="7">
        <f>Plan1!C97</f>
        <v>43.5</v>
      </c>
      <c r="C90" s="7">
        <f>Plan1!D97</f>
        <v>63.185106900410901</v>
      </c>
      <c r="D90" s="7">
        <v>0</v>
      </c>
      <c r="E90" s="7"/>
      <c r="F90" s="7">
        <v>-0.640625</v>
      </c>
      <c r="G90" s="7">
        <v>-0.21982617779164965</v>
      </c>
      <c r="H90" s="7">
        <v>-0.17140034867134424</v>
      </c>
      <c r="I90" s="7"/>
      <c r="J90" s="7">
        <f t="shared" si="2"/>
        <v>0.27875011742983058</v>
      </c>
      <c r="K90" s="7">
        <f t="shared" si="3"/>
        <v>-0.640625</v>
      </c>
    </row>
    <row r="91" spans="2:11" x14ac:dyDescent="0.25">
      <c r="B91" s="7">
        <f>Plan1!C98</f>
        <v>44</v>
      </c>
      <c r="C91" s="7">
        <f>Plan1!D98</f>
        <v>63.498858105809397</v>
      </c>
      <c r="D91" s="7">
        <v>0</v>
      </c>
      <c r="E91" s="7"/>
      <c r="F91" s="7">
        <v>-0.625</v>
      </c>
      <c r="G91" s="7">
        <v>-0.22129791453306219</v>
      </c>
      <c r="H91" s="7">
        <v>-0.18188876290766115</v>
      </c>
      <c r="I91" s="7"/>
      <c r="J91" s="7">
        <f t="shared" si="2"/>
        <v>0.28645468934678281</v>
      </c>
      <c r="K91" s="7">
        <f t="shared" si="3"/>
        <v>-0.625</v>
      </c>
    </row>
    <row r="92" spans="2:11" x14ac:dyDescent="0.25">
      <c r="B92" s="7">
        <f>Plan1!C99</f>
        <v>44.5</v>
      </c>
      <c r="C92" s="7">
        <f>Plan1!D99</f>
        <v>57.841527442248193</v>
      </c>
      <c r="D92" s="7">
        <v>0</v>
      </c>
      <c r="E92" s="7"/>
      <c r="F92" s="7">
        <v>-0.609375</v>
      </c>
      <c r="G92" s="7">
        <v>-0.2229619502828048</v>
      </c>
      <c r="H92" s="7">
        <v>-0.19288602432103019</v>
      </c>
      <c r="I92" s="7"/>
      <c r="J92" s="7">
        <f t="shared" si="2"/>
        <v>0.29481697653338246</v>
      </c>
      <c r="K92" s="7">
        <f t="shared" si="3"/>
        <v>-0.609375</v>
      </c>
    </row>
    <row r="93" spans="2:11" x14ac:dyDescent="0.25">
      <c r="B93" s="7">
        <f>Plan1!C100</f>
        <v>45</v>
      </c>
      <c r="C93" s="7">
        <f>Plan1!D100</f>
        <v>46.856403328810863</v>
      </c>
      <c r="D93" s="7">
        <v>0</v>
      </c>
      <c r="E93" s="7"/>
      <c r="F93" s="7">
        <v>-0.59375</v>
      </c>
      <c r="G93" s="7">
        <v>-0.22484665210312699</v>
      </c>
      <c r="H93" s="7">
        <v>-0.20444574499581247</v>
      </c>
      <c r="I93" s="7"/>
      <c r="J93" s="7">
        <f t="shared" si="2"/>
        <v>0.30389814018660494</v>
      </c>
      <c r="K93" s="7">
        <f t="shared" si="3"/>
        <v>-0.59375</v>
      </c>
    </row>
    <row r="94" spans="2:11" x14ac:dyDescent="0.25">
      <c r="B94" s="7">
        <f>Plan1!C101</f>
        <v>45.5</v>
      </c>
      <c r="C94" s="7">
        <f>Plan1!D101</f>
        <v>31.675229777878748</v>
      </c>
      <c r="D94" s="7">
        <v>0</v>
      </c>
      <c r="E94" s="7"/>
      <c r="F94" s="7">
        <v>-0.578125</v>
      </c>
      <c r="G94" s="7">
        <v>-0.22698533990146583</v>
      </c>
      <c r="H94" s="7">
        <v>-0.21662812153473715</v>
      </c>
      <c r="I94" s="7"/>
      <c r="J94" s="7">
        <f t="shared" si="2"/>
        <v>0.3137675693405117</v>
      </c>
      <c r="K94" s="7">
        <f t="shared" si="3"/>
        <v>-0.578125</v>
      </c>
    </row>
    <row r="95" spans="2:11" x14ac:dyDescent="0.25">
      <c r="B95" s="7">
        <f>Plan1!C102</f>
        <v>46</v>
      </c>
      <c r="C95" s="7">
        <f>Plan1!D102</f>
        <v>13.802740258352891</v>
      </c>
      <c r="D95" s="7">
        <v>0</v>
      </c>
      <c r="E95" s="7"/>
      <c r="F95" s="7">
        <v>-0.5625</v>
      </c>
      <c r="G95" s="7">
        <v>-0.22941727798722422</v>
      </c>
      <c r="H95" s="7">
        <v>-0.22950098924241652</v>
      </c>
      <c r="I95" s="7"/>
      <c r="J95" s="7">
        <f t="shared" si="2"/>
        <v>0.32450422416713637</v>
      </c>
      <c r="K95" s="7">
        <f t="shared" si="3"/>
        <v>-0.5625</v>
      </c>
    </row>
    <row r="96" spans="2:11" x14ac:dyDescent="0.25">
      <c r="B96" s="7">
        <f>Plan1!C103</f>
        <v>46.5</v>
      </c>
      <c r="C96" s="7">
        <f>Plan1!D103</f>
        <v>-5.0316853173569669</v>
      </c>
      <c r="D96" s="7">
        <v>0</v>
      </c>
      <c r="E96" s="7"/>
      <c r="F96" s="7">
        <v>-0.546875</v>
      </c>
      <c r="G96" s="7">
        <v>-0.23218889607360413</v>
      </c>
      <c r="H96" s="7">
        <v>-0.24314107809486657</v>
      </c>
      <c r="I96" s="7"/>
      <c r="J96" s="7">
        <f t="shared" si="2"/>
        <v>0.33619825596961822</v>
      </c>
      <c r="K96" s="7">
        <f t="shared" si="3"/>
        <v>-0.546875</v>
      </c>
    </row>
    <row r="97" spans="2:11" x14ac:dyDescent="0.25">
      <c r="B97" s="7">
        <f>Plan1!C104</f>
        <v>47</v>
      </c>
      <c r="C97" s="7">
        <f>Plan1!D104</f>
        <v>-23.040689126512568</v>
      </c>
      <c r="D97" s="7">
        <v>0</v>
      </c>
      <c r="E97" s="7"/>
      <c r="F97" s="7">
        <v>-0.53125</v>
      </c>
      <c r="G97" s="7">
        <v>-0.23535530065209043</v>
      </c>
      <c r="H97" s="7">
        <v>-0.25763551743676583</v>
      </c>
      <c r="I97" s="7"/>
      <c r="J97" s="7">
        <f t="shared" si="2"/>
        <v>0.34895297303497208</v>
      </c>
      <c r="K97" s="7">
        <f t="shared" si="3"/>
        <v>-0.53125</v>
      </c>
    </row>
    <row r="98" spans="2:11" x14ac:dyDescent="0.25">
      <c r="B98" s="7">
        <f>Plan1!C105</f>
        <v>47.5</v>
      </c>
      <c r="C98" s="7">
        <f>Plan1!D105</f>
        <v>-38.547929119603801</v>
      </c>
      <c r="D98" s="7">
        <v>0</v>
      </c>
      <c r="E98" s="7"/>
      <c r="F98" s="7">
        <v>-0.515625</v>
      </c>
      <c r="G98" s="7">
        <v>-0.23898215628849201</v>
      </c>
      <c r="H98" s="7">
        <v>-0.27308364945026276</v>
      </c>
      <c r="I98" s="7"/>
      <c r="J98" s="7">
        <f t="shared" si="2"/>
        <v>0.36288724229624164</v>
      </c>
      <c r="K98" s="7">
        <f t="shared" si="3"/>
        <v>-0.515625</v>
      </c>
    </row>
    <row r="99" spans="2:11" x14ac:dyDescent="0.25">
      <c r="B99" s="7">
        <f>Plan1!C106</f>
        <v>48</v>
      </c>
      <c r="C99" s="7">
        <f>Plan1!D106</f>
        <v>-50.143478713990604</v>
      </c>
      <c r="D99" s="7">
        <v>0</v>
      </c>
      <c r="E99" s="7"/>
      <c r="F99" s="7">
        <v>-0.5</v>
      </c>
      <c r="G99" s="7">
        <v>-0.24314804156310088</v>
      </c>
      <c r="H99" s="7">
        <v>-0.28959922891317247</v>
      </c>
      <c r="I99" s="7"/>
      <c r="J99" s="7">
        <f t="shared" si="2"/>
        <v>0.37813844488900555</v>
      </c>
      <c r="K99" s="7">
        <f t="shared" si="3"/>
        <v>-0.5</v>
      </c>
    </row>
    <row r="100" spans="2:11" x14ac:dyDescent="0.25">
      <c r="B100" s="7">
        <f>Plan1!C107</f>
        <v>48.5</v>
      </c>
      <c r="C100" s="7">
        <f>Plan1!D107</f>
        <v>-56.81128854046387</v>
      </c>
      <c r="D100" s="7">
        <v>0</v>
      </c>
      <c r="E100" s="7"/>
      <c r="F100" s="7">
        <v>-0.484375</v>
      </c>
      <c r="G100" s="7">
        <v>-0.24794741875925366</v>
      </c>
      <c r="H100" s="7">
        <v>-0.30731311033055619</v>
      </c>
      <c r="I100" s="7"/>
      <c r="J100" s="7">
        <f t="shared" si="2"/>
        <v>0.39486614219304406</v>
      </c>
      <c r="K100" s="7">
        <f t="shared" si="3"/>
        <v>-0.484375</v>
      </c>
    </row>
    <row r="101" spans="2:11" x14ac:dyDescent="0.25">
      <c r="B101" s="7">
        <f>Plan1!C108</f>
        <v>49</v>
      </c>
      <c r="C101" s="7">
        <f>Plan1!D108</f>
        <v>-58.017259467440219</v>
      </c>
      <c r="D101" s="7">
        <v>0</v>
      </c>
      <c r="E101" s="7"/>
      <c r="F101" s="7">
        <v>-0.46875</v>
      </c>
      <c r="G101" s="7">
        <v>-0.25349440388525241</v>
      </c>
      <c r="H101" s="7">
        <v>-0.32637655568790902</v>
      </c>
      <c r="I101" s="7"/>
      <c r="J101" s="7">
        <f t="shared" si="2"/>
        <v>0.41325666226189539</v>
      </c>
      <c r="K101" s="7">
        <f t="shared" si="3"/>
        <v>-0.46875</v>
      </c>
    </row>
    <row r="102" spans="2:11" x14ac:dyDescent="0.25">
      <c r="B102" s="7">
        <f>Plan1!C109</f>
        <v>49.5</v>
      </c>
      <c r="C102" s="7">
        <f>Plan1!D109</f>
        <v>-53.750390833240346</v>
      </c>
      <c r="D102" s="7">
        <v>0</v>
      </c>
      <c r="E102" s="7"/>
      <c r="F102" s="7">
        <v>-0.453125</v>
      </c>
      <c r="G102" s="7">
        <v>-0.25992758997862692</v>
      </c>
      <c r="H102" s="7">
        <v>-0.34696534053955336</v>
      </c>
      <c r="I102" s="7"/>
      <c r="J102" s="7">
        <f t="shared" si="2"/>
        <v>0.43352889127234118</v>
      </c>
      <c r="K102" s="7">
        <f t="shared" si="3"/>
        <v>-0.453125</v>
      </c>
    </row>
    <row r="103" spans="2:11" x14ac:dyDescent="0.25">
      <c r="B103" s="7">
        <f>Plan1!C110</f>
        <v>50</v>
      </c>
      <c r="C103" s="7">
        <f>Plan1!D110</f>
        <v>-44.514017160105439</v>
      </c>
      <c r="D103" s="7">
        <v>0</v>
      </c>
      <c r="E103" s="7"/>
      <c r="F103" s="7">
        <v>-0.4375</v>
      </c>
      <c r="G103" s="7">
        <v>-0.26741627062049872</v>
      </c>
      <c r="H103" s="7">
        <v>-0.36928489846577384</v>
      </c>
      <c r="I103" s="7"/>
      <c r="J103" s="7">
        <f t="shared" si="2"/>
        <v>0.45594166077191578</v>
      </c>
      <c r="K103" s="7">
        <f t="shared" si="3"/>
        <v>-0.4375</v>
      </c>
    </row>
    <row r="104" spans="2:11" x14ac:dyDescent="0.25">
      <c r="B104" s="7">
        <f>Plan1!C111</f>
        <v>50.5</v>
      </c>
      <c r="C104" s="7">
        <f>Plan1!D111</f>
        <v>-31.268891344520821</v>
      </c>
      <c r="D104" s="7">
        <v>0</v>
      </c>
      <c r="E104" s="7"/>
      <c r="F104" s="7">
        <v>-0.421875</v>
      </c>
      <c r="G104" s="7">
        <v>-0.27616854558208126</v>
      </c>
      <c r="H104" s="7">
        <v>-0.39357683257042542</v>
      </c>
      <c r="I104" s="7"/>
      <c r="J104" s="7">
        <f t="shared" si="2"/>
        <v>0.48080327443257992</v>
      </c>
      <c r="K104" s="7">
        <f t="shared" si="3"/>
        <v>-0.421875</v>
      </c>
    </row>
    <row r="105" spans="2:11" x14ac:dyDescent="0.25">
      <c r="B105" s="7">
        <f>Plan1!C112</f>
        <v>51</v>
      </c>
      <c r="C105" s="7">
        <f>Plan1!D112</f>
        <v>-15.334363029678119</v>
      </c>
      <c r="D105" s="7">
        <v>0</v>
      </c>
      <c r="E105" s="7"/>
      <c r="F105" s="7">
        <v>-0.40625</v>
      </c>
      <c r="G105" s="7">
        <v>-0.28644198747418526</v>
      </c>
      <c r="H105" s="7">
        <v>-0.42012725076815144</v>
      </c>
      <c r="I105" s="7"/>
      <c r="J105" s="7">
        <f t="shared" si="2"/>
        <v>0.5084839417584065</v>
      </c>
      <c r="K105" s="7">
        <f t="shared" si="3"/>
        <v>-0.40625</v>
      </c>
    </row>
    <row r="106" spans="2:11" x14ac:dyDescent="0.25">
      <c r="B106" s="7">
        <f>Plan1!C113</f>
        <v>51.5</v>
      </c>
      <c r="C106" s="7">
        <f>Plan1!D113</f>
        <v>1.7422795414557832</v>
      </c>
      <c r="D106" s="7">
        <v>0</v>
      </c>
      <c r="E106" s="7"/>
      <c r="F106" s="7">
        <v>-0.390625</v>
      </c>
      <c r="G106" s="7">
        <v>-0.29855784053221912</v>
      </c>
      <c r="H106" s="7">
        <v>-0.44927756984770889</v>
      </c>
      <c r="I106" s="7"/>
      <c r="J106" s="7">
        <f t="shared" si="2"/>
        <v>0.53943221901507232</v>
      </c>
      <c r="K106" s="7">
        <f t="shared" si="3"/>
        <v>-0.390625</v>
      </c>
    </row>
    <row r="107" spans="2:11" x14ac:dyDescent="0.25">
      <c r="B107" s="7">
        <f>Plan1!C114</f>
        <v>52</v>
      </c>
      <c r="C107" s="7">
        <f>Plan1!D114</f>
        <v>18.33543367105646</v>
      </c>
      <c r="D107" s="7">
        <v>0</v>
      </c>
      <c r="E107" s="7"/>
      <c r="F107" s="7">
        <v>-0.375</v>
      </c>
      <c r="G107" s="7">
        <v>-0.31292016452070226</v>
      </c>
      <c r="H107" s="7">
        <v>-0.48143871507674751</v>
      </c>
      <c r="I107" s="7"/>
      <c r="J107" s="7">
        <f t="shared" si="2"/>
        <v>0.57419706176400198</v>
      </c>
      <c r="K107" s="7">
        <f t="shared" si="3"/>
        <v>-0.375</v>
      </c>
    </row>
    <row r="108" spans="2:11" x14ac:dyDescent="0.25">
      <c r="B108" s="7">
        <f>Plan1!C115</f>
        <v>52.5</v>
      </c>
      <c r="C108" s="7">
        <f>Plan1!D115</f>
        <v>32.895361167421278</v>
      </c>
      <c r="D108" s="7">
        <v>0</v>
      </c>
      <c r="E108" s="7"/>
      <c r="F108" s="7">
        <v>-0.359375</v>
      </c>
      <c r="G108" s="7">
        <v>-0.33004201855435994</v>
      </c>
      <c r="H108" s="7">
        <v>-0.5171100723987212</v>
      </c>
      <c r="I108" s="7"/>
      <c r="J108" s="7">
        <f t="shared" si="2"/>
        <v>0.61345787221915016</v>
      </c>
      <c r="K108" s="7">
        <f t="shared" si="3"/>
        <v>-0.359375</v>
      </c>
    </row>
    <row r="109" spans="2:11" x14ac:dyDescent="0.25">
      <c r="B109" s="7">
        <f>Plan1!C116</f>
        <v>53</v>
      </c>
      <c r="C109" s="7">
        <f>Plan1!D116</f>
        <v>44.092352947789777</v>
      </c>
      <c r="D109" s="7">
        <v>0</v>
      </c>
      <c r="E109" s="7"/>
      <c r="F109" s="7">
        <v>-0.34375</v>
      </c>
      <c r="G109" s="7">
        <v>-0.35058185572729106</v>
      </c>
      <c r="H109" s="7">
        <v>-0.55690522175236234</v>
      </c>
      <c r="I109" s="7"/>
      <c r="J109" s="7">
        <f t="shared" si="2"/>
        <v>0.65806615441020744</v>
      </c>
      <c r="K109" s="7">
        <f t="shared" si="3"/>
        <v>-0.34375</v>
      </c>
    </row>
    <row r="110" spans="2:11" x14ac:dyDescent="0.25">
      <c r="B110" s="7">
        <f>Plan1!C117</f>
        <v>53.5</v>
      </c>
      <c r="C110" s="7">
        <f>Plan1!D117</f>
        <v>50.937523731883232</v>
      </c>
      <c r="D110" s="7">
        <v>0</v>
      </c>
      <c r="E110" s="7"/>
      <c r="F110" s="7">
        <v>-0.328125</v>
      </c>
      <c r="G110" s="7">
        <v>-0.37539504079149305</v>
      </c>
      <c r="H110" s="7">
        <v>-0.6015875531986119</v>
      </c>
      <c r="I110" s="7"/>
      <c r="J110" s="7">
        <f t="shared" si="2"/>
        <v>0.70910437935069859</v>
      </c>
      <c r="K110" s="7">
        <f t="shared" si="3"/>
        <v>-0.328125</v>
      </c>
    </row>
    <row r="111" spans="2:11" x14ac:dyDescent="0.25">
      <c r="B111" s="7">
        <f>Plan1!C118</f>
        <v>54</v>
      </c>
      <c r="C111" s="7">
        <f>Plan1!D118</f>
        <v>52.869326815496002</v>
      </c>
      <c r="D111" s="7">
        <v>0</v>
      </c>
      <c r="E111" s="7"/>
      <c r="F111" s="7">
        <v>-0.3125</v>
      </c>
      <c r="G111" s="7">
        <v>-0.40560830051736713</v>
      </c>
      <c r="H111" s="7">
        <v>-0.65212062847808105</v>
      </c>
      <c r="I111" s="7"/>
      <c r="J111" s="7">
        <f t="shared" si="2"/>
        <v>0.76797096789867925</v>
      </c>
      <c r="K111" s="7">
        <f t="shared" si="3"/>
        <v>-0.3125</v>
      </c>
    </row>
    <row r="112" spans="2:11" x14ac:dyDescent="0.25">
      <c r="B112" s="7">
        <f>Plan1!C119</f>
        <v>54.5</v>
      </c>
      <c r="C112" s="7">
        <f>Plan1!D119</f>
        <v>49.798303560835038</v>
      </c>
      <c r="D112" s="7">
        <v>0</v>
      </c>
      <c r="E112" s="7"/>
      <c r="F112" s="7">
        <v>-0.296875</v>
      </c>
      <c r="G112" s="7">
        <v>-0.44272989009284891</v>
      </c>
      <c r="H112" s="7">
        <v>-0.70974112641487408</v>
      </c>
      <c r="I112" s="7"/>
      <c r="J112" s="7">
        <f t="shared" si="2"/>
        <v>0.83650596059220061</v>
      </c>
      <c r="K112" s="7">
        <f t="shared" si="3"/>
        <v>-0.296875</v>
      </c>
    </row>
    <row r="113" spans="2:11" x14ac:dyDescent="0.25">
      <c r="B113" s="7">
        <f>Plan1!C120</f>
        <v>55</v>
      </c>
      <c r="C113" s="7">
        <f>Plan1!D120</f>
        <v>42.106645939621515</v>
      </c>
      <c r="D113" s="7">
        <v>0</v>
      </c>
      <c r="E113" s="7"/>
      <c r="F113" s="7">
        <v>-0.28125</v>
      </c>
      <c r="G113" s="7">
        <v>-0.48881710356099128</v>
      </c>
      <c r="H113" s="7">
        <v>-0.77606740867521495</v>
      </c>
      <c r="I113" s="7"/>
      <c r="J113" s="7">
        <f t="shared" si="2"/>
        <v>0.91718197951203773</v>
      </c>
      <c r="K113" s="7">
        <f t="shared" si="3"/>
        <v>-0.28125</v>
      </c>
    </row>
    <row r="114" spans="2:11" x14ac:dyDescent="0.25">
      <c r="B114" s="7">
        <f>Plan1!C121</f>
        <v>55.5</v>
      </c>
      <c r="C114" s="7">
        <f>Plan1!D121</f>
        <v>30.60345949613253</v>
      </c>
      <c r="D114" s="7">
        <v>0</v>
      </c>
      <c r="E114" s="7"/>
      <c r="F114" s="7">
        <v>-0.265625</v>
      </c>
      <c r="G114" s="7">
        <v>-0.54673913099759652</v>
      </c>
      <c r="H114" s="7">
        <v>-0.85326617070449073</v>
      </c>
      <c r="I114" s="7"/>
      <c r="J114" s="7">
        <f t="shared" si="2"/>
        <v>1.0134035896091507</v>
      </c>
      <c r="K114" s="7">
        <f t="shared" si="3"/>
        <v>-0.265625</v>
      </c>
    </row>
    <row r="115" spans="2:11" x14ac:dyDescent="0.25">
      <c r="B115" s="7">
        <f>Plan1!C122</f>
        <v>56</v>
      </c>
      <c r="C115" s="7">
        <f>Plan1!D122</f>
        <v>16.440759066996502</v>
      </c>
      <c r="D115" s="7">
        <v>0</v>
      </c>
      <c r="E115" s="7"/>
      <c r="F115" s="7">
        <v>-0.25</v>
      </c>
      <c r="G115" s="7">
        <v>-0.62060502403458084</v>
      </c>
      <c r="H115" s="7">
        <v>-0.94431749937119769</v>
      </c>
      <c r="I115" s="7"/>
      <c r="J115" s="7">
        <f t="shared" si="2"/>
        <v>1.1299938652380528</v>
      </c>
      <c r="K115" s="7">
        <f t="shared" si="3"/>
        <v>-0.25</v>
      </c>
    </row>
    <row r="116" spans="2:11" x14ac:dyDescent="0.25">
      <c r="B116" s="7">
        <f>Plan1!C123</f>
        <v>56.5</v>
      </c>
      <c r="C116" s="7">
        <f>Plan1!D123</f>
        <v>0.9988241887599969</v>
      </c>
      <c r="D116" s="7">
        <v>0</v>
      </c>
      <c r="E116" s="7"/>
      <c r="F116" s="7">
        <v>-0.234375</v>
      </c>
      <c r="G116" s="7">
        <v>-0.71649157272160013</v>
      </c>
      <c r="H116" s="7">
        <v>-1.0534542203879338</v>
      </c>
      <c r="I116" s="7"/>
      <c r="J116" s="7">
        <f t="shared" si="2"/>
        <v>1.2740196106160302</v>
      </c>
      <c r="K116" s="7">
        <f t="shared" si="3"/>
        <v>-0.234375</v>
      </c>
    </row>
    <row r="117" spans="2:11" x14ac:dyDescent="0.25">
      <c r="B117" s="7">
        <f>Plan1!C124</f>
        <v>57</v>
      </c>
      <c r="C117" s="7">
        <f>Plan1!D124</f>
        <v>-14.247742032574779</v>
      </c>
      <c r="D117" s="7">
        <v>0</v>
      </c>
      <c r="E117" s="7"/>
      <c r="F117" s="7">
        <v>-0.21875</v>
      </c>
      <c r="G117" s="7">
        <v>-0.84374799817356638</v>
      </c>
      <c r="H117" s="7">
        <v>-1.1869265498063326</v>
      </c>
      <c r="I117" s="7"/>
      <c r="J117" s="7">
        <f t="shared" si="2"/>
        <v>1.4562641652725872</v>
      </c>
      <c r="K117" s="7">
        <f t="shared" si="3"/>
        <v>-0.21875</v>
      </c>
    </row>
    <row r="118" spans="2:11" x14ac:dyDescent="0.25">
      <c r="B118" s="7">
        <f>Plan1!C125</f>
        <v>57.5</v>
      </c>
      <c r="C118" s="7">
        <f>Plan1!D125</f>
        <v>-27.870306510475636</v>
      </c>
      <c r="D118" s="7">
        <v>0</v>
      </c>
      <c r="E118" s="7"/>
      <c r="F118" s="7">
        <v>-0.203125</v>
      </c>
      <c r="G118" s="7">
        <v>-1.0174901182340497</v>
      </c>
      <c r="H118" s="7">
        <v>-1.3544133946502468</v>
      </c>
      <c r="I118" s="7"/>
      <c r="J118" s="7">
        <f t="shared" si="2"/>
        <v>1.6940253198556228</v>
      </c>
      <c r="K118" s="7">
        <f t="shared" si="3"/>
        <v>-0.203125</v>
      </c>
    </row>
    <row r="119" spans="2:11" x14ac:dyDescent="0.25">
      <c r="B119" s="7">
        <f>Plan1!C126</f>
        <v>58</v>
      </c>
      <c r="C119" s="7">
        <f>Plan1!D126</f>
        <v>-38.61955380316121</v>
      </c>
      <c r="D119" s="7">
        <v>0</v>
      </c>
      <c r="E119" s="7"/>
      <c r="F119" s="7">
        <v>-0.1875</v>
      </c>
      <c r="G119" s="7">
        <v>-1.2637708568333459</v>
      </c>
      <c r="H119" s="7">
        <v>-1.5718223431816041</v>
      </c>
      <c r="I119" s="7"/>
      <c r="J119" s="7">
        <f t="shared" si="2"/>
        <v>2.0168644617589448</v>
      </c>
      <c r="K119" s="7">
        <f t="shared" si="3"/>
        <v>-0.1875</v>
      </c>
    </row>
    <row r="120" spans="2:11" x14ac:dyDescent="0.25">
      <c r="B120" s="7">
        <f>Plan1!C127</f>
        <v>58.5</v>
      </c>
      <c r="C120" s="7">
        <f>Plan1!D127</f>
        <v>-45.539490926356585</v>
      </c>
      <c r="D120" s="7">
        <v>0</v>
      </c>
      <c r="E120" s="7"/>
      <c r="F120" s="7">
        <v>-0.171875</v>
      </c>
      <c r="G120" s="7">
        <v>-1.6314912311960679</v>
      </c>
      <c r="H120" s="7">
        <v>-1.8673757999702465</v>
      </c>
      <c r="I120" s="7"/>
      <c r="J120" s="7">
        <f t="shared" si="2"/>
        <v>2.4796886933210347</v>
      </c>
      <c r="K120" s="7">
        <f t="shared" si="3"/>
        <v>-0.171875</v>
      </c>
    </row>
    <row r="121" spans="2:11" x14ac:dyDescent="0.25">
      <c r="B121" s="7">
        <f>Plan1!C128</f>
        <v>59</v>
      </c>
      <c r="C121" s="7">
        <f>Plan1!D128</f>
        <v>-48.051761777021575</v>
      </c>
      <c r="D121" s="7">
        <v>0</v>
      </c>
      <c r="E121" s="7"/>
      <c r="F121" s="7">
        <v>-0.15625</v>
      </c>
      <c r="G121" s="7">
        <v>-2.2240843991961388</v>
      </c>
      <c r="H121" s="7">
        <v>-2.296510163519053</v>
      </c>
      <c r="I121" s="7"/>
      <c r="J121" s="7">
        <f t="shared" si="2"/>
        <v>3.1969532911655056</v>
      </c>
      <c r="K121" s="7">
        <f t="shared" si="3"/>
        <v>-0.15625</v>
      </c>
    </row>
    <row r="122" spans="2:11" x14ac:dyDescent="0.25">
      <c r="B122" s="7">
        <f>Plan1!C129</f>
        <v>59.5</v>
      </c>
      <c r="C122" s="7">
        <f>Plan1!D129</f>
        <v>-46.00290655608147</v>
      </c>
      <c r="D122" s="7">
        <v>0</v>
      </c>
      <c r="E122" s="7"/>
      <c r="F122" s="7">
        <v>-0.140625</v>
      </c>
      <c r="G122" s="7">
        <v>-3.3035271653994012</v>
      </c>
      <c r="H122" s="7">
        <v>-2.9846452572187956</v>
      </c>
      <c r="I122" s="7"/>
      <c r="J122" s="7">
        <f t="shared" si="2"/>
        <v>4.4521229816763208</v>
      </c>
      <c r="K122" s="7">
        <f t="shared" si="3"/>
        <v>-0.140625</v>
      </c>
    </row>
    <row r="123" spans="2:11" x14ac:dyDescent="0.25">
      <c r="B123" s="7">
        <f>Plan1!C130</f>
        <v>60</v>
      </c>
      <c r="C123" s="7">
        <f>Plan1!D130</f>
        <v>-39.670820522999549</v>
      </c>
      <c r="D123" s="7">
        <v>0</v>
      </c>
      <c r="E123" s="7"/>
      <c r="F123" s="7">
        <v>-0.125</v>
      </c>
      <c r="G123" s="7">
        <v>-5.772793513395154</v>
      </c>
      <c r="H123" s="7">
        <v>-4.2776691622586185</v>
      </c>
      <c r="I123" s="7"/>
      <c r="J123" s="7">
        <f t="shared" si="2"/>
        <v>7.1849563958339724</v>
      </c>
      <c r="K123" s="7">
        <f t="shared" si="3"/>
        <v>-0.125</v>
      </c>
    </row>
    <row r="124" spans="2:11" x14ac:dyDescent="0.25">
      <c r="B124" s="7">
        <f>Plan1!C131</f>
        <v>60.5</v>
      </c>
      <c r="C124" s="7">
        <f>Plan1!D131</f>
        <v>-29.730569458639156</v>
      </c>
      <c r="D124" s="7">
        <v>0</v>
      </c>
      <c r="E124" s="7"/>
      <c r="F124" s="7">
        <v>-0.109375</v>
      </c>
      <c r="G124" s="7">
        <v>-15.808421622007479</v>
      </c>
      <c r="H124" s="7">
        <v>-7.0393108049012056</v>
      </c>
      <c r="I124" s="7"/>
      <c r="J124" s="7">
        <f t="shared" si="2"/>
        <v>17.304857433309078</v>
      </c>
      <c r="K124" s="7">
        <f t="shared" si="3"/>
        <v>-0.109375</v>
      </c>
    </row>
    <row r="125" spans="2:11" x14ac:dyDescent="0.25">
      <c r="B125" s="7">
        <f>Plan1!C132</f>
        <v>61</v>
      </c>
      <c r="C125" s="7">
        <f>Plan1!D132</f>
        <v>-17.183534375116764</v>
      </c>
      <c r="D125" s="7">
        <v>0</v>
      </c>
      <c r="E125" s="7"/>
      <c r="F125" s="7">
        <v>-9.375E-2</v>
      </c>
      <c r="G125" s="7">
        <v>13.761575882125062</v>
      </c>
      <c r="H125" s="7">
        <v>34.293742165568688</v>
      </c>
      <c r="I125" s="7"/>
      <c r="J125" s="7">
        <f t="shared" si="2"/>
        <v>36.951883882665442</v>
      </c>
      <c r="K125" s="7">
        <f t="shared" si="3"/>
        <v>-9.375E-2</v>
      </c>
    </row>
    <row r="126" spans="2:11" x14ac:dyDescent="0.25">
      <c r="B126" s="7">
        <f>Plan1!C133</f>
        <v>61.5</v>
      </c>
      <c r="C126" s="7">
        <f>Plan1!D133</f>
        <v>-3.257228534368581</v>
      </c>
      <c r="D126" s="7">
        <v>0</v>
      </c>
      <c r="E126" s="7"/>
      <c r="F126" s="7">
        <v>-7.8125E-2</v>
      </c>
      <c r="G126" s="7">
        <v>8.0825470997414577</v>
      </c>
      <c r="H126" s="7">
        <v>6.4719281832972291</v>
      </c>
      <c r="I126" s="7"/>
      <c r="J126" s="7">
        <f t="shared" si="2"/>
        <v>10.354391436936119</v>
      </c>
      <c r="K126" s="7">
        <f t="shared" si="3"/>
        <v>-7.8125E-2</v>
      </c>
    </row>
    <row r="127" spans="2:11" x14ac:dyDescent="0.25">
      <c r="B127" s="7">
        <f>Plan1!C134</f>
        <v>62</v>
      </c>
      <c r="C127" s="7">
        <f>Plan1!D134</f>
        <v>10.714252585219857</v>
      </c>
      <c r="D127" s="7">
        <v>0</v>
      </c>
      <c r="E127" s="7"/>
      <c r="F127" s="7">
        <v>-6.25E-2</v>
      </c>
      <c r="G127" s="7">
        <v>5.3863112638282846</v>
      </c>
      <c r="H127" s="7">
        <v>3.0611794030204713</v>
      </c>
      <c r="I127" s="7"/>
      <c r="J127" s="7">
        <f t="shared" si="2"/>
        <v>6.1954151086364035</v>
      </c>
      <c r="K127" s="7">
        <f t="shared" si="3"/>
        <v>-6.25E-2</v>
      </c>
    </row>
    <row r="128" spans="2:11" x14ac:dyDescent="0.25">
      <c r="B128" s="7">
        <f>Plan1!C135</f>
        <v>62.5</v>
      </c>
      <c r="C128" s="7">
        <f>Plan1!D135</f>
        <v>23.417554901521338</v>
      </c>
      <c r="D128" s="7">
        <v>0</v>
      </c>
      <c r="E128" s="7"/>
      <c r="F128" s="7">
        <v>-4.6875E-2</v>
      </c>
      <c r="G128" s="7">
        <v>4.2776586470434959</v>
      </c>
      <c r="H128" s="7">
        <v>1.7429891656519891</v>
      </c>
      <c r="I128" s="7"/>
      <c r="J128" s="7">
        <f t="shared" si="2"/>
        <v>4.6191313828691003</v>
      </c>
      <c r="K128" s="7">
        <f t="shared" si="3"/>
        <v>-4.6875E-2</v>
      </c>
    </row>
    <row r="129" spans="2:11" x14ac:dyDescent="0.25">
      <c r="B129" s="7">
        <f>Plan1!C136</f>
        <v>63</v>
      </c>
      <c r="C129" s="7">
        <f>Plan1!D136</f>
        <v>33.683056308239017</v>
      </c>
      <c r="D129" s="7">
        <v>0</v>
      </c>
      <c r="E129" s="7"/>
      <c r="F129" s="7">
        <v>-3.125E-2</v>
      </c>
      <c r="G129" s="7">
        <v>3.7344389011503383</v>
      </c>
      <c r="H129" s="7">
        <v>0.9927801145406383</v>
      </c>
      <c r="I129" s="7"/>
      <c r="J129" s="7">
        <f t="shared" si="2"/>
        <v>3.8641488405924878</v>
      </c>
      <c r="K129" s="7">
        <f t="shared" si="3"/>
        <v>-3.125E-2</v>
      </c>
    </row>
    <row r="130" spans="2:11" x14ac:dyDescent="0.25">
      <c r="B130" s="7">
        <f>Plan1!C137</f>
        <v>63.5</v>
      </c>
      <c r="C130" s="7">
        <f>Plan1!D137</f>
        <v>40.592051397851485</v>
      </c>
      <c r="D130" s="7">
        <v>0</v>
      </c>
      <c r="E130" s="7"/>
      <c r="F130" s="7">
        <v>-1.5625E-2</v>
      </c>
      <c r="G130" s="7">
        <v>3.472299147860296</v>
      </c>
      <c r="H130" s="7">
        <v>0.45678830716275864</v>
      </c>
      <c r="I130" s="7"/>
      <c r="J130" s="7">
        <f t="shared" si="2"/>
        <v>3.5022160027319784</v>
      </c>
      <c r="K130" s="7">
        <f t="shared" si="3"/>
        <v>-1.5625E-2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2:P130"/>
  <sheetViews>
    <sheetView topLeftCell="F1" workbookViewId="0">
      <selection activeCell="O25" sqref="O25"/>
    </sheetView>
  </sheetViews>
  <sheetFormatPr defaultRowHeight="15" x14ac:dyDescent="0.25"/>
  <sheetData>
    <row r="2" spans="2:15" x14ac:dyDescent="0.25">
      <c r="B2" s="6" t="s">
        <v>5</v>
      </c>
      <c r="C2" s="6" t="s">
        <v>14</v>
      </c>
      <c r="D2" s="6"/>
      <c r="F2" s="7"/>
      <c r="G2" s="7"/>
      <c r="H2" t="s">
        <v>26</v>
      </c>
      <c r="I2" s="6" t="s">
        <v>5</v>
      </c>
      <c r="J2" s="6" t="s">
        <v>14</v>
      </c>
      <c r="M2" t="s">
        <v>27</v>
      </c>
    </row>
    <row r="3" spans="2:15" x14ac:dyDescent="0.25">
      <c r="B3" s="7">
        <f>Plan1!C10</f>
        <v>0</v>
      </c>
      <c r="C3" s="7">
        <f>Plan1!D10</f>
        <v>-10</v>
      </c>
      <c r="D3" s="7"/>
      <c r="E3" s="6" t="s">
        <v>22</v>
      </c>
      <c r="F3" s="7"/>
      <c r="G3" s="7"/>
      <c r="H3">
        <v>0</v>
      </c>
      <c r="I3" s="7">
        <f>B3</f>
        <v>0</v>
      </c>
      <c r="J3" s="7">
        <f>C3</f>
        <v>-10</v>
      </c>
      <c r="L3" t="s">
        <v>28</v>
      </c>
      <c r="M3" s="1" t="s">
        <v>5</v>
      </c>
      <c r="N3" s="1" t="s">
        <v>29</v>
      </c>
      <c r="O3" s="1" t="s">
        <v>30</v>
      </c>
    </row>
    <row r="4" spans="2:15" x14ac:dyDescent="0.25">
      <c r="B4" s="7">
        <f>Plan1!C11</f>
        <v>0.5</v>
      </c>
      <c r="C4" s="7">
        <f>Plan1!D11</f>
        <v>5.5</v>
      </c>
      <c r="D4" s="7"/>
      <c r="E4" s="7">
        <f>(C5-C3)/(B5-B3)</f>
        <v>49.412500000000001</v>
      </c>
      <c r="F4" s="7">
        <f>SIGN(E5*E4)</f>
        <v>1</v>
      </c>
      <c r="G4" s="7"/>
      <c r="H4">
        <f>(F4=-1)+H3</f>
        <v>0</v>
      </c>
      <c r="I4" s="7">
        <f t="shared" ref="I4:I67" si="0">B4</f>
        <v>0.5</v>
      </c>
      <c r="J4" s="7">
        <f t="shared" ref="J4:J67" si="1">C4</f>
        <v>5.5</v>
      </c>
      <c r="L4">
        <v>1</v>
      </c>
      <c r="M4">
        <f t="shared" ref="M4:M9" si="2">VLOOKUP($L4,$H$3:$J$130,2,0)</f>
        <v>3</v>
      </c>
      <c r="N4" s="5">
        <f t="shared" ref="N4:N9" si="3">VLOOKUP($L4,$H$3:$J$130,3,0)</f>
        <v>138.07386508125373</v>
      </c>
      <c r="O4">
        <f t="shared" ref="O4:O9" si="4">$O$13*EXP(-$O$14*M4)</f>
        <v>137.22193589584163</v>
      </c>
    </row>
    <row r="5" spans="2:15" x14ac:dyDescent="0.25">
      <c r="B5" s="7">
        <f>Plan1!C12</f>
        <v>1</v>
      </c>
      <c r="C5" s="7">
        <f>Plan1!D12</f>
        <v>39.412500000000001</v>
      </c>
      <c r="D5" s="7"/>
      <c r="E5" s="7">
        <f t="shared" ref="E5:E68" si="5">(C6-C4)/(B6-B4)</f>
        <v>70.457719999999995</v>
      </c>
      <c r="F5" s="7">
        <f t="shared" ref="F5:F68" si="6">SIGN(E6*E5)</f>
        <v>1</v>
      </c>
      <c r="G5" s="7"/>
      <c r="H5">
        <f t="shared" ref="H5:H68" si="7">(F5=-1)+H4</f>
        <v>0</v>
      </c>
      <c r="I5" s="7">
        <f t="shared" si="0"/>
        <v>1</v>
      </c>
      <c r="J5" s="7">
        <f t="shared" si="1"/>
        <v>39.412500000000001</v>
      </c>
      <c r="L5">
        <v>3</v>
      </c>
      <c r="M5">
        <f t="shared" si="2"/>
        <v>13</v>
      </c>
      <c r="N5" s="5">
        <f t="shared" si="3"/>
        <v>112.43521348882139</v>
      </c>
      <c r="O5">
        <f t="shared" si="4"/>
        <v>112.95226897893964</v>
      </c>
    </row>
    <row r="6" spans="2:15" x14ac:dyDescent="0.25">
      <c r="B6" s="7">
        <f>Plan1!C13</f>
        <v>1.5</v>
      </c>
      <c r="C6" s="7">
        <f>Plan1!D13</f>
        <v>75.957719999999995</v>
      </c>
      <c r="D6" s="7"/>
      <c r="E6" s="7">
        <f t="shared" si="5"/>
        <v>67.798327124999986</v>
      </c>
      <c r="F6" s="7">
        <f t="shared" si="6"/>
        <v>1</v>
      </c>
      <c r="G6" s="7"/>
      <c r="H6">
        <f t="shared" si="7"/>
        <v>0</v>
      </c>
      <c r="I6" s="7">
        <f t="shared" si="0"/>
        <v>1.5</v>
      </c>
      <c r="J6" s="7">
        <f t="shared" si="1"/>
        <v>75.957719999999995</v>
      </c>
      <c r="L6">
        <v>5</v>
      </c>
      <c r="M6">
        <f t="shared" si="2"/>
        <v>23</v>
      </c>
      <c r="N6" s="5">
        <f t="shared" si="3"/>
        <v>90.625663130657941</v>
      </c>
      <c r="O6">
        <f t="shared" si="4"/>
        <v>92.975040646379298</v>
      </c>
    </row>
    <row r="7" spans="2:15" x14ac:dyDescent="0.25">
      <c r="B7" s="7">
        <f>Plan1!C14</f>
        <v>2</v>
      </c>
      <c r="C7" s="7">
        <f>Plan1!D14</f>
        <v>107.21082712499999</v>
      </c>
      <c r="D7" s="7"/>
      <c r="E7" s="7">
        <f t="shared" si="5"/>
        <v>52.766110616249989</v>
      </c>
      <c r="F7" s="7">
        <f t="shared" si="6"/>
        <v>1</v>
      </c>
      <c r="G7" s="7"/>
      <c r="H7">
        <f t="shared" si="7"/>
        <v>0</v>
      </c>
      <c r="I7" s="7">
        <f t="shared" si="0"/>
        <v>2</v>
      </c>
      <c r="J7" s="7">
        <f t="shared" si="1"/>
        <v>107.21082712499999</v>
      </c>
      <c r="L7">
        <v>7</v>
      </c>
      <c r="M7">
        <f t="shared" si="2"/>
        <v>33.5</v>
      </c>
      <c r="N7" s="5">
        <f t="shared" si="3"/>
        <v>77.523145470629416</v>
      </c>
      <c r="O7">
        <f t="shared" si="4"/>
        <v>75.789905443289328</v>
      </c>
    </row>
    <row r="8" spans="2:15" x14ac:dyDescent="0.25">
      <c r="B8" s="7">
        <f>Plan1!C15</f>
        <v>2.5</v>
      </c>
      <c r="C8" s="7">
        <f>Plan1!D15</f>
        <v>128.72383061624998</v>
      </c>
      <c r="D8" s="7"/>
      <c r="E8" s="7">
        <f t="shared" si="5"/>
        <v>30.863037956253734</v>
      </c>
      <c r="F8" s="7">
        <f t="shared" si="6"/>
        <v>1</v>
      </c>
      <c r="G8" s="7"/>
      <c r="H8">
        <f t="shared" si="7"/>
        <v>0</v>
      </c>
      <c r="I8" s="7">
        <f t="shared" si="0"/>
        <v>2.5</v>
      </c>
      <c r="J8" s="7">
        <f t="shared" si="1"/>
        <v>128.72383061624998</v>
      </c>
      <c r="L8">
        <v>9</v>
      </c>
      <c r="M8">
        <f t="shared" si="2"/>
        <v>43.5</v>
      </c>
      <c r="N8" s="5">
        <f t="shared" si="3"/>
        <v>63.185106900410901</v>
      </c>
      <c r="O8">
        <f t="shared" si="4"/>
        <v>62.385373953744363</v>
      </c>
    </row>
    <row r="9" spans="2:15" x14ac:dyDescent="0.25">
      <c r="B9" s="7">
        <f>Plan1!C16</f>
        <v>3</v>
      </c>
      <c r="C9" s="7">
        <f>Plan1!D16</f>
        <v>138.07386508125373</v>
      </c>
      <c r="D9" s="7"/>
      <c r="E9" s="7">
        <f t="shared" si="5"/>
        <v>5.6746197031432359</v>
      </c>
      <c r="F9" s="7">
        <f t="shared" si="6"/>
        <v>-1</v>
      </c>
      <c r="G9" s="7"/>
      <c r="H9">
        <f t="shared" si="7"/>
        <v>1</v>
      </c>
      <c r="I9" s="7">
        <f t="shared" si="0"/>
        <v>3</v>
      </c>
      <c r="J9" s="7">
        <f t="shared" si="1"/>
        <v>138.07386508125373</v>
      </c>
      <c r="L9">
        <v>11</v>
      </c>
      <c r="M9">
        <f t="shared" si="2"/>
        <v>53.5</v>
      </c>
      <c r="N9" s="5">
        <f t="shared" si="3"/>
        <v>50.937523731883232</v>
      </c>
      <c r="O9">
        <f t="shared" si="4"/>
        <v>51.351626058706614</v>
      </c>
    </row>
    <row r="10" spans="2:15" x14ac:dyDescent="0.25">
      <c r="B10" s="7">
        <f>Plan1!C17</f>
        <v>3.5</v>
      </c>
      <c r="C10" s="7">
        <f>Plan1!D17</f>
        <v>134.39845031939322</v>
      </c>
      <c r="D10" s="7"/>
      <c r="E10" s="7">
        <f t="shared" si="5"/>
        <v>-19.86391322966756</v>
      </c>
      <c r="F10" s="7">
        <f t="shared" si="6"/>
        <v>1</v>
      </c>
      <c r="G10" s="7"/>
      <c r="H10">
        <f t="shared" si="7"/>
        <v>1</v>
      </c>
      <c r="I10" s="7">
        <f t="shared" si="0"/>
        <v>3.5</v>
      </c>
      <c r="J10" s="7">
        <f t="shared" si="1"/>
        <v>134.39845031939322</v>
      </c>
    </row>
    <row r="11" spans="2:15" x14ac:dyDescent="0.25">
      <c r="B11" s="7">
        <f>Plan1!C18</f>
        <v>4</v>
      </c>
      <c r="C11" s="7">
        <f>Plan1!D18</f>
        <v>118.20995185158617</v>
      </c>
      <c r="D11" s="7"/>
      <c r="E11" s="7">
        <f t="shared" si="5"/>
        <v>-43.162826315467186</v>
      </c>
      <c r="F11" s="7">
        <f t="shared" si="6"/>
        <v>1</v>
      </c>
      <c r="G11" s="7"/>
      <c r="H11">
        <f t="shared" si="7"/>
        <v>1</v>
      </c>
      <c r="I11" s="7">
        <f t="shared" si="0"/>
        <v>4</v>
      </c>
      <c r="J11" s="7">
        <f t="shared" si="1"/>
        <v>118.20995185158617</v>
      </c>
    </row>
    <row r="12" spans="2:15" x14ac:dyDescent="0.25">
      <c r="B12" s="7">
        <f>Plan1!C19</f>
        <v>4.5</v>
      </c>
      <c r="C12" s="7">
        <f>Plan1!D19</f>
        <v>91.235624003926034</v>
      </c>
      <c r="D12" s="7"/>
      <c r="E12" s="7">
        <f t="shared" si="5"/>
        <v>-62.008573436767236</v>
      </c>
      <c r="F12" s="7">
        <f t="shared" si="6"/>
        <v>1</v>
      </c>
      <c r="G12" s="7"/>
      <c r="H12">
        <f t="shared" si="7"/>
        <v>1</v>
      </c>
      <c r="I12" s="7">
        <f t="shared" si="0"/>
        <v>4.5</v>
      </c>
      <c r="J12" s="7">
        <f t="shared" si="1"/>
        <v>91.235624003926034</v>
      </c>
      <c r="N12" s="12" t="s">
        <v>34</v>
      </c>
    </row>
    <row r="13" spans="2:15" x14ac:dyDescent="0.25">
      <c r="B13" s="7">
        <f>Plan1!C20</f>
        <v>5</v>
      </c>
      <c r="C13" s="7">
        <f>Plan1!D20</f>
        <v>56.201378414818933</v>
      </c>
      <c r="D13" s="7"/>
      <c r="E13" s="7">
        <f t="shared" si="5"/>
        <v>-74.689942010084451</v>
      </c>
      <c r="F13" s="7">
        <f t="shared" si="6"/>
        <v>1</v>
      </c>
      <c r="G13" s="7"/>
      <c r="H13">
        <f t="shared" si="7"/>
        <v>1</v>
      </c>
      <c r="I13" s="7">
        <f t="shared" si="0"/>
        <v>5</v>
      </c>
      <c r="J13" s="7">
        <f t="shared" si="1"/>
        <v>56.201378414818933</v>
      </c>
      <c r="N13" s="3" t="s">
        <v>31</v>
      </c>
      <c r="O13" s="9">
        <v>145.47290674825297</v>
      </c>
    </row>
    <row r="14" spans="2:15" x14ac:dyDescent="0.25">
      <c r="B14" s="7">
        <f>Plan1!C21</f>
        <v>5.5</v>
      </c>
      <c r="C14" s="7">
        <f>Plan1!D21</f>
        <v>16.54568199384159</v>
      </c>
      <c r="D14" s="7"/>
      <c r="E14" s="7">
        <f t="shared" si="5"/>
        <v>-80.122288623890796</v>
      </c>
      <c r="F14" s="7">
        <f t="shared" si="6"/>
        <v>1</v>
      </c>
      <c r="G14" s="7"/>
      <c r="H14">
        <f t="shared" si="7"/>
        <v>1</v>
      </c>
      <c r="I14" s="7">
        <f t="shared" si="0"/>
        <v>5.5</v>
      </c>
      <c r="J14" s="7">
        <f t="shared" si="1"/>
        <v>16.54568199384159</v>
      </c>
      <c r="N14" s="3" t="s">
        <v>32</v>
      </c>
      <c r="O14" s="9">
        <v>1.9463425407413616E-2</v>
      </c>
    </row>
    <row r="15" spans="2:15" x14ac:dyDescent="0.25">
      <c r="B15" s="7">
        <f>Plan1!C22</f>
        <v>6</v>
      </c>
      <c r="C15" s="7">
        <f>Plan1!D22</f>
        <v>-23.92091020907187</v>
      </c>
      <c r="D15" s="7"/>
      <c r="E15" s="7">
        <f t="shared" si="5"/>
        <v>-77.927865597985999</v>
      </c>
      <c r="F15" s="7">
        <f t="shared" si="6"/>
        <v>1</v>
      </c>
      <c r="G15" s="7"/>
      <c r="H15">
        <f t="shared" si="7"/>
        <v>1</v>
      </c>
      <c r="I15" s="7">
        <f t="shared" si="0"/>
        <v>6</v>
      </c>
      <c r="J15" s="7">
        <f t="shared" si="1"/>
        <v>-23.92091020907187</v>
      </c>
    </row>
    <row r="16" spans="2:15" x14ac:dyDescent="0.25">
      <c r="B16" s="7">
        <f>Plan1!C23</f>
        <v>6.5</v>
      </c>
      <c r="C16" s="7">
        <f>Plan1!D23</f>
        <v>-61.382183604144409</v>
      </c>
      <c r="D16" s="7"/>
      <c r="E16" s="7">
        <f t="shared" si="5"/>
        <v>-68.454502502887209</v>
      </c>
      <c r="F16" s="7">
        <f t="shared" si="6"/>
        <v>1</v>
      </c>
      <c r="G16" s="7"/>
      <c r="H16">
        <f t="shared" si="7"/>
        <v>1</v>
      </c>
      <c r="I16" s="7">
        <f t="shared" si="0"/>
        <v>6.5</v>
      </c>
      <c r="J16" s="7">
        <f t="shared" si="1"/>
        <v>-61.382183604144409</v>
      </c>
      <c r="N16" t="s">
        <v>33</v>
      </c>
      <c r="O16" s="11">
        <f t="array" ref="O16">SUM((O4:O9-N4:N9)^2)</f>
        <v>10.327878943633767</v>
      </c>
    </row>
    <row r="17" spans="2:16" x14ac:dyDescent="0.25">
      <c r="B17" s="7">
        <f>Plan1!C24</f>
        <v>7</v>
      </c>
      <c r="C17" s="7">
        <f>Plan1!D24</f>
        <v>-92.375412711959086</v>
      </c>
      <c r="D17" s="7"/>
      <c r="E17" s="7">
        <f t="shared" si="5"/>
        <v>-52.728048342544078</v>
      </c>
      <c r="F17" s="7">
        <f t="shared" si="6"/>
        <v>1</v>
      </c>
      <c r="G17" s="7"/>
      <c r="H17">
        <f t="shared" si="7"/>
        <v>1</v>
      </c>
      <c r="I17" s="7">
        <f t="shared" si="0"/>
        <v>7</v>
      </c>
      <c r="J17" s="7">
        <f t="shared" si="1"/>
        <v>-92.375412711959086</v>
      </c>
    </row>
    <row r="18" spans="2:16" x14ac:dyDescent="0.25">
      <c r="B18" s="7">
        <f>Plan1!C25</f>
        <v>7.5</v>
      </c>
      <c r="C18" s="7">
        <f>Plan1!D25</f>
        <v>-114.11023194668849</v>
      </c>
      <c r="D18" s="7"/>
      <c r="E18" s="7">
        <f t="shared" si="5"/>
        <v>-32.34283417981986</v>
      </c>
      <c r="F18" s="7">
        <f t="shared" si="6"/>
        <v>1</v>
      </c>
      <c r="G18" s="7"/>
      <c r="H18">
        <f t="shared" si="7"/>
        <v>1</v>
      </c>
      <c r="I18" s="7">
        <f t="shared" si="0"/>
        <v>7.5</v>
      </c>
      <c r="J18" s="7">
        <f t="shared" si="1"/>
        <v>-114.11023194668849</v>
      </c>
    </row>
    <row r="19" spans="2:16" x14ac:dyDescent="0.25">
      <c r="B19" s="7">
        <f>Plan1!C26</f>
        <v>8</v>
      </c>
      <c r="C19" s="7">
        <f>Plan1!D26</f>
        <v>-124.71824689177895</v>
      </c>
      <c r="D19" s="7"/>
      <c r="E19" s="7">
        <f t="shared" si="5"/>
        <v>-9.3010818197243736</v>
      </c>
      <c r="F19" s="7">
        <f t="shared" si="6"/>
        <v>-1</v>
      </c>
      <c r="G19" s="7"/>
      <c r="H19">
        <f t="shared" si="7"/>
        <v>2</v>
      </c>
      <c r="I19" s="7">
        <f t="shared" si="0"/>
        <v>8</v>
      </c>
      <c r="J19" s="7">
        <f t="shared" si="1"/>
        <v>-124.71824689177895</v>
      </c>
      <c r="L19" t="s">
        <v>38</v>
      </c>
    </row>
    <row r="20" spans="2:16" x14ac:dyDescent="0.25">
      <c r="B20" s="7">
        <f>Plan1!C27</f>
        <v>8.5</v>
      </c>
      <c r="C20" s="7">
        <f>Plan1!D27</f>
        <v>-123.41131376641286</v>
      </c>
      <c r="D20" s="7"/>
      <c r="E20" s="7">
        <f t="shared" si="5"/>
        <v>14.182889552607193</v>
      </c>
      <c r="F20" s="7">
        <f t="shared" si="6"/>
        <v>1</v>
      </c>
      <c r="G20" s="7"/>
      <c r="H20">
        <f t="shared" si="7"/>
        <v>2</v>
      </c>
      <c r="I20" s="7">
        <f t="shared" si="0"/>
        <v>8.5</v>
      </c>
      <c r="J20" s="7">
        <f t="shared" si="1"/>
        <v>-123.41131376641286</v>
      </c>
      <c r="L20" t="s">
        <v>35</v>
      </c>
      <c r="M20" s="3"/>
    </row>
    <row r="21" spans="2:16" x14ac:dyDescent="0.25">
      <c r="B21" s="7">
        <f>Plan1!C28</f>
        <v>9</v>
      </c>
      <c r="C21" s="7">
        <f>Plan1!D28</f>
        <v>-110.53535733917175</v>
      </c>
      <c r="D21" s="7"/>
      <c r="E21" s="7">
        <f t="shared" si="5"/>
        <v>35.894675392326121</v>
      </c>
      <c r="F21" s="7">
        <f t="shared" si="6"/>
        <v>1</v>
      </c>
      <c r="G21" s="7"/>
      <c r="H21">
        <f t="shared" si="7"/>
        <v>2</v>
      </c>
      <c r="I21" s="7">
        <f t="shared" si="0"/>
        <v>9</v>
      </c>
      <c r="J21" s="7">
        <f t="shared" si="1"/>
        <v>-110.53535733917175</v>
      </c>
      <c r="M21" t="s">
        <v>37</v>
      </c>
      <c r="N21" s="3" t="s">
        <v>40</v>
      </c>
      <c r="O21" s="4">
        <f>1/(M5-M4)</f>
        <v>0.1</v>
      </c>
      <c r="P21" t="s">
        <v>36</v>
      </c>
    </row>
    <row r="22" spans="2:16" x14ac:dyDescent="0.25">
      <c r="B22" s="7">
        <f>Plan1!C29</f>
        <v>9.5</v>
      </c>
      <c r="C22" s="7">
        <f>Plan1!D29</f>
        <v>-87.516638374086739</v>
      </c>
      <c r="D22" s="7"/>
      <c r="E22" s="7">
        <f t="shared" si="5"/>
        <v>53.82782096463847</v>
      </c>
      <c r="F22" s="7">
        <f t="shared" si="6"/>
        <v>1</v>
      </c>
      <c r="G22" s="7"/>
      <c r="H22">
        <f t="shared" si="7"/>
        <v>2</v>
      </c>
      <c r="I22" s="7">
        <f t="shared" si="0"/>
        <v>9.5</v>
      </c>
      <c r="J22" s="7">
        <f t="shared" si="1"/>
        <v>-87.516638374086739</v>
      </c>
    </row>
    <row r="23" spans="2:16" x14ac:dyDescent="0.25">
      <c r="B23" s="7">
        <f>Plan1!C30</f>
        <v>10</v>
      </c>
      <c r="C23" s="7">
        <f>Plan1!D30</f>
        <v>-56.707536374533284</v>
      </c>
      <c r="D23" s="7"/>
      <c r="E23" s="7">
        <f t="shared" si="5"/>
        <v>66.368420003872075</v>
      </c>
      <c r="F23" s="7">
        <f t="shared" si="6"/>
        <v>1</v>
      </c>
      <c r="G23" s="7"/>
      <c r="H23">
        <f t="shared" si="7"/>
        <v>2</v>
      </c>
      <c r="I23" s="7">
        <f t="shared" si="0"/>
        <v>10</v>
      </c>
      <c r="J23" s="7">
        <f t="shared" si="1"/>
        <v>-56.707536374533284</v>
      </c>
      <c r="M23" t="s">
        <v>41</v>
      </c>
      <c r="N23" s="3" t="s">
        <v>40</v>
      </c>
      <c r="O23" s="4">
        <f>Plan2!O21</f>
        <v>9.375E-2</v>
      </c>
      <c r="P23" t="s">
        <v>36</v>
      </c>
    </row>
    <row r="24" spans="2:16" x14ac:dyDescent="0.25">
      <c r="B24" s="7">
        <f>Plan1!C31</f>
        <v>10.5</v>
      </c>
      <c r="C24" s="7">
        <f>Plan1!D31</f>
        <v>-21.148218370214671</v>
      </c>
      <c r="D24" s="7"/>
      <c r="E24" s="7">
        <f t="shared" si="5"/>
        <v>72.439377526135843</v>
      </c>
      <c r="F24" s="7">
        <f t="shared" si="6"/>
        <v>1</v>
      </c>
      <c r="G24" s="7"/>
      <c r="H24">
        <f t="shared" si="7"/>
        <v>2</v>
      </c>
      <c r="I24" s="7">
        <f t="shared" si="0"/>
        <v>10.5</v>
      </c>
      <c r="J24" s="7">
        <f t="shared" si="1"/>
        <v>-21.148218370214671</v>
      </c>
    </row>
    <row r="25" spans="2:16" x14ac:dyDescent="0.25">
      <c r="B25" s="7">
        <f>Plan1!C32</f>
        <v>11</v>
      </c>
      <c r="C25" s="7">
        <f>Plan1!D32</f>
        <v>15.731841151602566</v>
      </c>
      <c r="D25" s="7"/>
      <c r="E25" s="7">
        <f t="shared" si="5"/>
        <v>71.591541081609378</v>
      </c>
      <c r="F25" s="7">
        <f t="shared" si="6"/>
        <v>1</v>
      </c>
      <c r="G25" s="7"/>
      <c r="H25">
        <f t="shared" si="7"/>
        <v>2</v>
      </c>
      <c r="I25" s="7">
        <f t="shared" si="0"/>
        <v>11</v>
      </c>
      <c r="J25" s="7">
        <f t="shared" si="1"/>
        <v>15.731841151602566</v>
      </c>
      <c r="N25" s="3" t="s">
        <v>42</v>
      </c>
      <c r="O25" s="13">
        <f>(O21/O23)-1</f>
        <v>6.6666666666666652E-2</v>
      </c>
    </row>
    <row r="26" spans="2:16" x14ac:dyDescent="0.25">
      <c r="B26" s="7">
        <f>Plan1!C33</f>
        <v>11.5</v>
      </c>
      <c r="C26" s="7">
        <f>Plan1!D33</f>
        <v>50.443322711394707</v>
      </c>
      <c r="D26" s="7"/>
      <c r="E26" s="7">
        <f t="shared" si="5"/>
        <v>64.034134893598292</v>
      </c>
      <c r="F26" s="7">
        <f t="shared" si="6"/>
        <v>1</v>
      </c>
      <c r="G26" s="7"/>
      <c r="H26">
        <f t="shared" si="7"/>
        <v>2</v>
      </c>
      <c r="I26" s="7">
        <f t="shared" si="0"/>
        <v>11.5</v>
      </c>
      <c r="J26" s="7">
        <f t="shared" si="1"/>
        <v>50.443322711394707</v>
      </c>
    </row>
    <row r="27" spans="2:16" x14ac:dyDescent="0.25">
      <c r="B27" s="7">
        <f>Plan1!C34</f>
        <v>12</v>
      </c>
      <c r="C27" s="7">
        <f>Plan1!D34</f>
        <v>79.765976045200858</v>
      </c>
      <c r="D27" s="7"/>
      <c r="E27" s="7">
        <f t="shared" si="5"/>
        <v>50.602774749151514</v>
      </c>
      <c r="F27" s="7">
        <f t="shared" si="6"/>
        <v>1</v>
      </c>
      <c r="G27" s="7"/>
      <c r="H27">
        <f t="shared" si="7"/>
        <v>2</v>
      </c>
      <c r="I27" s="7">
        <f t="shared" si="0"/>
        <v>12</v>
      </c>
      <c r="J27" s="7">
        <f t="shared" si="1"/>
        <v>79.765976045200858</v>
      </c>
    </row>
    <row r="28" spans="2:16" x14ac:dyDescent="0.25">
      <c r="B28" s="7">
        <f>Plan1!C35</f>
        <v>12.5</v>
      </c>
      <c r="C28" s="7">
        <f>Plan1!D35</f>
        <v>101.04609746054622</v>
      </c>
      <c r="D28" s="7"/>
      <c r="E28" s="7">
        <f t="shared" si="5"/>
        <v>32.669237443620531</v>
      </c>
      <c r="F28" s="7">
        <f t="shared" si="6"/>
        <v>1</v>
      </c>
      <c r="G28" s="7"/>
      <c r="H28">
        <f t="shared" si="7"/>
        <v>2</v>
      </c>
      <c r="I28" s="7">
        <f t="shared" si="0"/>
        <v>12.5</v>
      </c>
      <c r="J28" s="7">
        <f t="shared" si="1"/>
        <v>101.04609746054622</v>
      </c>
    </row>
    <row r="29" spans="2:16" x14ac:dyDescent="0.25">
      <c r="B29" s="7">
        <f>Plan1!C36</f>
        <v>13</v>
      </c>
      <c r="C29" s="7">
        <f>Plan1!D36</f>
        <v>112.43521348882139</v>
      </c>
      <c r="D29" s="7"/>
      <c r="E29" s="7">
        <f t="shared" si="5"/>
        <v>12.002552067411031</v>
      </c>
      <c r="F29" s="7">
        <f t="shared" si="6"/>
        <v>-1</v>
      </c>
      <c r="G29" s="7"/>
      <c r="H29">
        <f t="shared" si="7"/>
        <v>3</v>
      </c>
      <c r="I29" s="7">
        <f t="shared" si="0"/>
        <v>13</v>
      </c>
      <c r="J29" s="7">
        <f t="shared" si="1"/>
        <v>112.43521348882139</v>
      </c>
    </row>
    <row r="30" spans="2:16" x14ac:dyDescent="0.25">
      <c r="B30" s="7">
        <f>Plan1!C37</f>
        <v>13.5</v>
      </c>
      <c r="C30" s="7">
        <f>Plan1!D37</f>
        <v>113.04864952795725</v>
      </c>
      <c r="D30" s="7"/>
      <c r="E30" s="7">
        <f t="shared" si="5"/>
        <v>-9.4046258478575311</v>
      </c>
      <c r="F30" s="7">
        <f t="shared" si="6"/>
        <v>1</v>
      </c>
      <c r="G30" s="7"/>
      <c r="H30">
        <f t="shared" si="7"/>
        <v>3</v>
      </c>
      <c r="I30" s="7">
        <f t="shared" si="0"/>
        <v>13.5</v>
      </c>
      <c r="J30" s="7">
        <f t="shared" si="1"/>
        <v>113.04864952795725</v>
      </c>
    </row>
    <row r="31" spans="2:16" x14ac:dyDescent="0.25">
      <c r="B31" s="7">
        <f>Plan1!C38</f>
        <v>14</v>
      </c>
      <c r="C31" s="7">
        <f>Plan1!D38</f>
        <v>103.03058764096386</v>
      </c>
      <c r="D31" s="7"/>
      <c r="E31" s="7">
        <f t="shared" si="5"/>
        <v>-29.5273963810086</v>
      </c>
      <c r="F31" s="7">
        <f t="shared" si="6"/>
        <v>1</v>
      </c>
      <c r="G31" s="7"/>
      <c r="H31">
        <f t="shared" si="7"/>
        <v>3</v>
      </c>
      <c r="I31" s="7">
        <f t="shared" si="0"/>
        <v>14</v>
      </c>
      <c r="J31" s="7">
        <f t="shared" si="1"/>
        <v>103.03058764096386</v>
      </c>
    </row>
    <row r="32" spans="2:16" x14ac:dyDescent="0.25">
      <c r="B32" s="7">
        <f>Plan1!C39</f>
        <v>14.5</v>
      </c>
      <c r="C32" s="7">
        <f>Plan1!D39</f>
        <v>83.521253146948652</v>
      </c>
      <c r="D32" s="7"/>
      <c r="E32" s="7">
        <f t="shared" si="5"/>
        <v>-46.499442126554555</v>
      </c>
      <c r="F32" s="7">
        <f t="shared" si="6"/>
        <v>1</v>
      </c>
      <c r="G32" s="7"/>
      <c r="H32">
        <f t="shared" si="7"/>
        <v>3</v>
      </c>
      <c r="I32" s="7">
        <f t="shared" si="0"/>
        <v>14.5</v>
      </c>
      <c r="J32" s="7">
        <f t="shared" si="1"/>
        <v>83.521253146948652</v>
      </c>
    </row>
    <row r="33" spans="2:10" x14ac:dyDescent="0.25">
      <c r="B33" s="7">
        <f>Plan1!C40</f>
        <v>15</v>
      </c>
      <c r="C33" s="7">
        <f>Plan1!D40</f>
        <v>56.531145514409303</v>
      </c>
      <c r="D33" s="7"/>
      <c r="E33" s="7">
        <f t="shared" si="5"/>
        <v>-58.785383700566499</v>
      </c>
      <c r="F33" s="7">
        <f t="shared" si="6"/>
        <v>1</v>
      </c>
      <c r="G33" s="7"/>
      <c r="H33">
        <f t="shared" si="7"/>
        <v>3</v>
      </c>
      <c r="I33" s="7">
        <f t="shared" si="0"/>
        <v>15</v>
      </c>
      <c r="J33" s="7">
        <f t="shared" si="1"/>
        <v>56.531145514409303</v>
      </c>
    </row>
    <row r="34" spans="2:10" x14ac:dyDescent="0.25">
      <c r="B34" s="7">
        <f>Plan1!C41</f>
        <v>15.5</v>
      </c>
      <c r="C34" s="7">
        <f>Plan1!D41</f>
        <v>24.73586944638215</v>
      </c>
      <c r="D34" s="7"/>
      <c r="E34" s="7">
        <f t="shared" si="5"/>
        <v>-65.31881837324697</v>
      </c>
      <c r="F34" s="7">
        <f t="shared" si="6"/>
        <v>1</v>
      </c>
      <c r="G34" s="7"/>
      <c r="H34">
        <f t="shared" si="7"/>
        <v>3</v>
      </c>
      <c r="I34" s="7">
        <f t="shared" si="0"/>
        <v>15.5</v>
      </c>
      <c r="J34" s="7">
        <f t="shared" si="1"/>
        <v>24.73586944638215</v>
      </c>
    </row>
    <row r="35" spans="2:10" x14ac:dyDescent="0.25">
      <c r="B35" s="7">
        <f>Plan1!C42</f>
        <v>16</v>
      </c>
      <c r="C35" s="7">
        <f>Plan1!D42</f>
        <v>-8.78767285883767</v>
      </c>
      <c r="D35" s="7"/>
      <c r="E35" s="7">
        <f t="shared" si="5"/>
        <v>-65.593716905701015</v>
      </c>
      <c r="F35" s="7">
        <f t="shared" si="6"/>
        <v>1</v>
      </c>
      <c r="G35" s="7"/>
      <c r="H35">
        <f t="shared" si="7"/>
        <v>3</v>
      </c>
      <c r="I35" s="7">
        <f t="shared" si="0"/>
        <v>16</v>
      </c>
      <c r="J35" s="7">
        <f t="shared" si="1"/>
        <v>-8.78767285883767</v>
      </c>
    </row>
    <row r="36" spans="2:10" x14ac:dyDescent="0.25">
      <c r="B36" s="7">
        <f>Plan1!C43</f>
        <v>16.5</v>
      </c>
      <c r="C36" s="7">
        <f>Plan1!D43</f>
        <v>-40.857847459318862</v>
      </c>
      <c r="D36" s="7"/>
      <c r="E36" s="7">
        <f t="shared" si="5"/>
        <v>-59.70146611318134</v>
      </c>
      <c r="F36" s="7">
        <f t="shared" si="6"/>
        <v>1</v>
      </c>
      <c r="G36" s="7"/>
      <c r="H36">
        <f t="shared" si="7"/>
        <v>3</v>
      </c>
      <c r="I36" s="7">
        <f t="shared" si="0"/>
        <v>16.5</v>
      </c>
      <c r="J36" s="7">
        <f t="shared" si="1"/>
        <v>-40.857847459318862</v>
      </c>
    </row>
    <row r="37" spans="2:10" x14ac:dyDescent="0.25">
      <c r="B37" s="7">
        <f>Plan1!C44</f>
        <v>17</v>
      </c>
      <c r="C37" s="7">
        <f>Plan1!D44</f>
        <v>-68.489138972019006</v>
      </c>
      <c r="D37" s="7"/>
      <c r="E37" s="7">
        <f t="shared" si="5"/>
        <v>-48.311095264020949</v>
      </c>
      <c r="F37" s="7">
        <f t="shared" si="6"/>
        <v>1</v>
      </c>
      <c r="G37" s="7"/>
      <c r="H37">
        <f t="shared" si="7"/>
        <v>3</v>
      </c>
      <c r="I37" s="7">
        <f t="shared" si="0"/>
        <v>17</v>
      </c>
      <c r="J37" s="7">
        <f t="shared" si="1"/>
        <v>-68.489138972019006</v>
      </c>
    </row>
    <row r="38" spans="2:10" x14ac:dyDescent="0.25">
      <c r="B38" s="7">
        <f>Plan1!C45</f>
        <v>17.5</v>
      </c>
      <c r="C38" s="7">
        <f>Plan1!D45</f>
        <v>-89.168942723339811</v>
      </c>
      <c r="D38" s="7"/>
      <c r="E38" s="7">
        <f t="shared" si="5"/>
        <v>-32.59560795098237</v>
      </c>
      <c r="F38" s="7">
        <f t="shared" si="6"/>
        <v>1</v>
      </c>
      <c r="G38" s="7"/>
      <c r="H38">
        <f t="shared" si="7"/>
        <v>3</v>
      </c>
      <c r="I38" s="7">
        <f t="shared" si="0"/>
        <v>17.5</v>
      </c>
      <c r="J38" s="7">
        <f t="shared" si="1"/>
        <v>-89.168942723339811</v>
      </c>
    </row>
    <row r="39" spans="2:10" x14ac:dyDescent="0.25">
      <c r="B39" s="7">
        <f>Plan1!C46</f>
        <v>18</v>
      </c>
      <c r="C39" s="7">
        <f>Plan1!D46</f>
        <v>-101.08474692300138</v>
      </c>
      <c r="D39" s="7"/>
      <c r="E39" s="7">
        <f t="shared" si="5"/>
        <v>-14.112349311094192</v>
      </c>
      <c r="F39" s="7">
        <f t="shared" si="6"/>
        <v>-1</v>
      </c>
      <c r="G39" s="7"/>
      <c r="H39">
        <f t="shared" si="7"/>
        <v>4</v>
      </c>
      <c r="I39" s="7">
        <f t="shared" si="0"/>
        <v>18</v>
      </c>
      <c r="J39" s="7">
        <f t="shared" si="1"/>
        <v>-101.08474692300138</v>
      </c>
    </row>
    <row r="40" spans="2:10" x14ac:dyDescent="0.25">
      <c r="B40" s="7">
        <f>Plan1!C47</f>
        <v>18.5</v>
      </c>
      <c r="C40" s="7">
        <f>Plan1!D47</f>
        <v>-103.281292034434</v>
      </c>
      <c r="D40" s="7"/>
      <c r="E40" s="7">
        <f t="shared" si="5"/>
        <v>5.3504920340176909</v>
      </c>
      <c r="F40" s="7">
        <f t="shared" si="6"/>
        <v>1</v>
      </c>
      <c r="G40" s="7"/>
      <c r="H40">
        <f t="shared" si="7"/>
        <v>4</v>
      </c>
      <c r="I40" s="7">
        <f t="shared" si="0"/>
        <v>18.5</v>
      </c>
      <c r="J40" s="7">
        <f t="shared" si="1"/>
        <v>-103.281292034434</v>
      </c>
    </row>
    <row r="41" spans="2:10" x14ac:dyDescent="0.25">
      <c r="B41" s="7">
        <f>Plan1!C48</f>
        <v>19</v>
      </c>
      <c r="C41" s="7">
        <f>Plan1!D48</f>
        <v>-95.734254888983685</v>
      </c>
      <c r="D41" s="7"/>
      <c r="E41" s="7">
        <f t="shared" si="5"/>
        <v>23.946193175115269</v>
      </c>
      <c r="F41" s="7">
        <f t="shared" si="6"/>
        <v>1</v>
      </c>
      <c r="G41" s="7"/>
      <c r="H41">
        <f t="shared" si="7"/>
        <v>4</v>
      </c>
      <c r="I41" s="7">
        <f t="shared" si="0"/>
        <v>19</v>
      </c>
      <c r="J41" s="7">
        <f t="shared" si="1"/>
        <v>-95.734254888983685</v>
      </c>
    </row>
    <row r="42" spans="2:10" x14ac:dyDescent="0.25">
      <c r="B42" s="7">
        <f>Plan1!C49</f>
        <v>19.5</v>
      </c>
      <c r="C42" s="7">
        <f>Plan1!D49</f>
        <v>-79.335098859318734</v>
      </c>
      <c r="D42" s="7"/>
      <c r="E42" s="7">
        <f t="shared" si="5"/>
        <v>39.944077890210806</v>
      </c>
      <c r="F42" s="7">
        <f t="shared" si="6"/>
        <v>1</v>
      </c>
      <c r="G42" s="7"/>
      <c r="H42">
        <f t="shared" si="7"/>
        <v>4</v>
      </c>
      <c r="I42" s="7">
        <f t="shared" si="0"/>
        <v>19.5</v>
      </c>
      <c r="J42" s="7">
        <f t="shared" si="1"/>
        <v>-79.335098859318734</v>
      </c>
    </row>
    <row r="43" spans="2:10" x14ac:dyDescent="0.25">
      <c r="B43" s="7">
        <f>Plan1!C50</f>
        <v>20</v>
      </c>
      <c r="C43" s="7">
        <f>Plan1!D50</f>
        <v>-55.790176998772878</v>
      </c>
      <c r="D43" s="7"/>
      <c r="E43" s="7">
        <f t="shared" si="5"/>
        <v>51.889926375608198</v>
      </c>
      <c r="F43" s="7">
        <f t="shared" si="6"/>
        <v>1</v>
      </c>
      <c r="G43" s="7"/>
      <c r="H43">
        <f t="shared" si="7"/>
        <v>4</v>
      </c>
      <c r="I43" s="7">
        <f t="shared" si="0"/>
        <v>20</v>
      </c>
      <c r="J43" s="7">
        <f t="shared" si="1"/>
        <v>-55.790176998772878</v>
      </c>
    </row>
    <row r="44" spans="2:10" x14ac:dyDescent="0.25">
      <c r="B44" s="7">
        <f>Plan1!C51</f>
        <v>20.5</v>
      </c>
      <c r="C44" s="7">
        <f>Plan1!D51</f>
        <v>-27.445172483710532</v>
      </c>
      <c r="D44" s="7"/>
      <c r="E44" s="7">
        <f t="shared" si="5"/>
        <v>58.737409934273472</v>
      </c>
      <c r="F44" s="7">
        <f t="shared" si="6"/>
        <v>1</v>
      </c>
      <c r="G44" s="7"/>
      <c r="H44">
        <f t="shared" si="7"/>
        <v>4</v>
      </c>
      <c r="I44" s="7">
        <f t="shared" si="0"/>
        <v>20.5</v>
      </c>
      <c r="J44" s="7">
        <f t="shared" si="1"/>
        <v>-27.445172483710532</v>
      </c>
    </row>
    <row r="45" spans="2:10" x14ac:dyDescent="0.25">
      <c r="B45" s="7">
        <f>Plan1!C52</f>
        <v>21</v>
      </c>
      <c r="C45" s="7">
        <f>Plan1!D52</f>
        <v>2.9472329355005904</v>
      </c>
      <c r="D45" s="7"/>
      <c r="E45" s="7">
        <f t="shared" si="5"/>
        <v>59.938746043358393</v>
      </c>
      <c r="F45" s="7">
        <f t="shared" si="6"/>
        <v>1</v>
      </c>
      <c r="G45" s="7"/>
      <c r="H45">
        <f t="shared" si="7"/>
        <v>4</v>
      </c>
      <c r="I45" s="7">
        <f t="shared" si="0"/>
        <v>21</v>
      </c>
      <c r="J45" s="7">
        <f t="shared" si="1"/>
        <v>2.9472329355005904</v>
      </c>
    </row>
    <row r="46" spans="2:10" x14ac:dyDescent="0.25">
      <c r="B46" s="7">
        <f>Plan1!C53</f>
        <v>21.5</v>
      </c>
      <c r="C46" s="7">
        <f>Plan1!D53</f>
        <v>32.493573559647857</v>
      </c>
      <c r="D46" s="7"/>
      <c r="E46" s="7">
        <f t="shared" si="5"/>
        <v>55.486821218239044</v>
      </c>
      <c r="F46" s="7">
        <f t="shared" si="6"/>
        <v>1</v>
      </c>
      <c r="G46" s="7"/>
      <c r="H46">
        <f t="shared" si="7"/>
        <v>4</v>
      </c>
      <c r="I46" s="7">
        <f t="shared" si="0"/>
        <v>21.5</v>
      </c>
      <c r="J46" s="7">
        <f t="shared" si="1"/>
        <v>32.493573559647857</v>
      </c>
    </row>
    <row r="47" spans="2:10" x14ac:dyDescent="0.25">
      <c r="B47" s="7">
        <f>Plan1!C54</f>
        <v>22</v>
      </c>
      <c r="C47" s="7">
        <f>Plan1!D54</f>
        <v>58.434054153739631</v>
      </c>
      <c r="D47" s="7"/>
      <c r="E47" s="7">
        <f t="shared" si="5"/>
        <v>45.905733491902978</v>
      </c>
      <c r="F47" s="7">
        <f t="shared" si="6"/>
        <v>1</v>
      </c>
      <c r="G47" s="7"/>
      <c r="H47">
        <f t="shared" si="7"/>
        <v>4</v>
      </c>
      <c r="I47" s="7">
        <f t="shared" si="0"/>
        <v>22</v>
      </c>
      <c r="J47" s="7">
        <f t="shared" si="1"/>
        <v>58.434054153739631</v>
      </c>
    </row>
    <row r="48" spans="2:10" x14ac:dyDescent="0.25">
      <c r="B48" s="7">
        <f>Plan1!C55</f>
        <v>22.5</v>
      </c>
      <c r="C48" s="7">
        <f>Plan1!D55</f>
        <v>78.399307051550835</v>
      </c>
      <c r="D48" s="7"/>
      <c r="E48" s="7">
        <f t="shared" si="5"/>
        <v>32.19160897691831</v>
      </c>
      <c r="F48" s="7">
        <f t="shared" si="6"/>
        <v>1</v>
      </c>
      <c r="G48" s="7"/>
      <c r="H48">
        <f t="shared" si="7"/>
        <v>4</v>
      </c>
      <c r="I48" s="7">
        <f t="shared" si="0"/>
        <v>22.5</v>
      </c>
      <c r="J48" s="7">
        <f t="shared" si="1"/>
        <v>78.399307051550835</v>
      </c>
    </row>
    <row r="49" spans="2:10" x14ac:dyDescent="0.25">
      <c r="B49" s="7">
        <f>Plan1!C56</f>
        <v>23</v>
      </c>
      <c r="C49" s="7">
        <f>Plan1!D56</f>
        <v>90.625663130657941</v>
      </c>
      <c r="D49" s="7"/>
      <c r="E49" s="7">
        <f t="shared" si="5"/>
        <v>15.710183595433293</v>
      </c>
      <c r="F49" s="7">
        <f t="shared" si="6"/>
        <v>-1</v>
      </c>
      <c r="G49" s="7"/>
      <c r="H49">
        <f t="shared" si="7"/>
        <v>5</v>
      </c>
      <c r="I49" s="7">
        <f t="shared" si="0"/>
        <v>23</v>
      </c>
      <c r="J49" s="7">
        <f t="shared" si="1"/>
        <v>90.625663130657941</v>
      </c>
    </row>
    <row r="50" spans="2:10" x14ac:dyDescent="0.25">
      <c r="B50" s="7">
        <f>Plan1!C57</f>
        <v>23.5</v>
      </c>
      <c r="C50" s="7">
        <f>Plan1!D57</f>
        <v>94.109490646984128</v>
      </c>
      <c r="D50" s="7"/>
      <c r="E50" s="7">
        <f t="shared" si="5"/>
        <v>-1.938418939945322</v>
      </c>
      <c r="F50" s="7">
        <f t="shared" si="6"/>
        <v>1</v>
      </c>
      <c r="G50" s="7"/>
      <c r="H50">
        <f t="shared" si="7"/>
        <v>5</v>
      </c>
      <c r="I50" s="7">
        <f t="shared" si="0"/>
        <v>23.5</v>
      </c>
      <c r="J50" s="7">
        <f t="shared" si="1"/>
        <v>94.109490646984128</v>
      </c>
    </row>
    <row r="51" spans="2:10" x14ac:dyDescent="0.25">
      <c r="B51" s="7">
        <f>Plan1!C58</f>
        <v>24</v>
      </c>
      <c r="C51" s="7">
        <f>Plan1!D58</f>
        <v>88.687244190712619</v>
      </c>
      <c r="D51" s="7"/>
      <c r="E51" s="7">
        <f t="shared" si="5"/>
        <v>-19.074395519482252</v>
      </c>
      <c r="F51" s="7">
        <f t="shared" si="6"/>
        <v>1</v>
      </c>
      <c r="G51" s="7"/>
      <c r="H51">
        <f t="shared" si="7"/>
        <v>5</v>
      </c>
      <c r="I51" s="7">
        <f t="shared" si="0"/>
        <v>24</v>
      </c>
      <c r="J51" s="7">
        <f t="shared" si="1"/>
        <v>88.687244190712619</v>
      </c>
    </row>
    <row r="52" spans="2:10" x14ac:dyDescent="0.25">
      <c r="B52" s="7">
        <f>Plan1!C59</f>
        <v>24.5</v>
      </c>
      <c r="C52" s="7">
        <f>Plan1!D59</f>
        <v>75.035095127501876</v>
      </c>
      <c r="D52" s="7"/>
      <c r="E52" s="7">
        <f t="shared" si="5"/>
        <v>-34.097559852045528</v>
      </c>
      <c r="F52" s="7">
        <f t="shared" si="6"/>
        <v>1</v>
      </c>
      <c r="G52" s="7"/>
      <c r="H52">
        <f t="shared" si="7"/>
        <v>5</v>
      </c>
      <c r="I52" s="7">
        <f t="shared" si="0"/>
        <v>24.5</v>
      </c>
      <c r="J52" s="7">
        <f t="shared" si="1"/>
        <v>75.035095127501876</v>
      </c>
    </row>
    <row r="53" spans="2:10" x14ac:dyDescent="0.25">
      <c r="B53" s="7">
        <f>Plan1!C60</f>
        <v>25</v>
      </c>
      <c r="C53" s="7">
        <f>Plan1!D60</f>
        <v>54.589684338667091</v>
      </c>
      <c r="D53" s="7"/>
      <c r="E53" s="7">
        <f t="shared" si="5"/>
        <v>-45.63617598603475</v>
      </c>
      <c r="F53" s="7">
        <f t="shared" si="6"/>
        <v>1</v>
      </c>
      <c r="G53" s="7"/>
      <c r="H53">
        <f t="shared" si="7"/>
        <v>5</v>
      </c>
      <c r="I53" s="7">
        <f t="shared" si="0"/>
        <v>25</v>
      </c>
      <c r="J53" s="7">
        <f t="shared" si="1"/>
        <v>54.589684338667091</v>
      </c>
    </row>
    <row r="54" spans="2:10" x14ac:dyDescent="0.25">
      <c r="B54" s="7">
        <f>Plan1!C61</f>
        <v>25.5</v>
      </c>
      <c r="C54" s="7">
        <f>Plan1!D61</f>
        <v>29.398919141467125</v>
      </c>
      <c r="D54" s="7"/>
      <c r="E54" s="7">
        <f t="shared" si="5"/>
        <v>-52.67154337371565</v>
      </c>
      <c r="F54" s="7">
        <f t="shared" si="6"/>
        <v>1</v>
      </c>
      <c r="G54" s="7"/>
      <c r="H54">
        <f t="shared" si="7"/>
        <v>5</v>
      </c>
      <c r="I54" s="7">
        <f t="shared" si="0"/>
        <v>25.5</v>
      </c>
      <c r="J54" s="7">
        <f t="shared" si="1"/>
        <v>29.398919141467125</v>
      </c>
    </row>
    <row r="55" spans="2:10" x14ac:dyDescent="0.25">
      <c r="B55" s="7">
        <f>Plan1!C62</f>
        <v>26</v>
      </c>
      <c r="C55" s="7">
        <f>Plan1!D62</f>
        <v>1.9181409649514407</v>
      </c>
      <c r="D55" s="7"/>
      <c r="E55" s="7">
        <f t="shared" si="5"/>
        <v>-54.62708384714908</v>
      </c>
      <c r="F55" s="7">
        <f t="shared" si="6"/>
        <v>1</v>
      </c>
      <c r="G55" s="7"/>
      <c r="H55">
        <f t="shared" si="7"/>
        <v>5</v>
      </c>
      <c r="I55" s="7">
        <f t="shared" si="0"/>
        <v>26</v>
      </c>
      <c r="J55" s="7">
        <f t="shared" si="1"/>
        <v>1.9181409649514407</v>
      </c>
    </row>
    <row r="56" spans="2:10" x14ac:dyDescent="0.25">
      <c r="B56" s="7">
        <f>Plan1!C63</f>
        <v>26.5</v>
      </c>
      <c r="C56" s="7">
        <f>Plan1!D63</f>
        <v>-25.228164705681959</v>
      </c>
      <c r="D56" s="7"/>
      <c r="E56" s="7">
        <f t="shared" si="5"/>
        <v>-51.414226318876672</v>
      </c>
      <c r="F56" s="7">
        <f t="shared" si="6"/>
        <v>1</v>
      </c>
      <c r="G56" s="7"/>
      <c r="H56">
        <f t="shared" si="7"/>
        <v>5</v>
      </c>
      <c r="I56" s="7">
        <f t="shared" si="0"/>
        <v>26.5</v>
      </c>
      <c r="J56" s="7">
        <f t="shared" si="1"/>
        <v>-25.228164705681959</v>
      </c>
    </row>
    <row r="57" spans="2:10" x14ac:dyDescent="0.25">
      <c r="B57" s="7">
        <f>Plan1!C64</f>
        <v>27</v>
      </c>
      <c r="C57" s="7">
        <f>Plan1!D64</f>
        <v>-49.496085353925231</v>
      </c>
      <c r="D57" s="7"/>
      <c r="E57" s="7">
        <f t="shared" si="5"/>
        <v>-43.431587811835101</v>
      </c>
      <c r="F57" s="7">
        <f t="shared" si="6"/>
        <v>1</v>
      </c>
      <c r="G57" s="7"/>
      <c r="H57">
        <f t="shared" si="7"/>
        <v>5</v>
      </c>
      <c r="I57" s="7">
        <f t="shared" si="0"/>
        <v>27</v>
      </c>
      <c r="J57" s="7">
        <f t="shared" si="1"/>
        <v>-49.496085353925231</v>
      </c>
    </row>
    <row r="58" spans="2:10" x14ac:dyDescent="0.25">
      <c r="B58" s="7">
        <f>Plan1!C65</f>
        <v>27.5</v>
      </c>
      <c r="C58" s="7">
        <f>Plan1!D65</f>
        <v>-68.659752517517063</v>
      </c>
      <c r="D58" s="7"/>
      <c r="E58" s="7">
        <f t="shared" si="5"/>
        <v>-31.518402431315884</v>
      </c>
      <c r="F58" s="7">
        <f t="shared" si="6"/>
        <v>1</v>
      </c>
      <c r="G58" s="7"/>
      <c r="H58">
        <f t="shared" si="7"/>
        <v>5</v>
      </c>
      <c r="I58" s="7">
        <f t="shared" si="0"/>
        <v>27.5</v>
      </c>
      <c r="J58" s="7">
        <f t="shared" si="1"/>
        <v>-68.659752517517063</v>
      </c>
    </row>
    <row r="59" spans="2:10" x14ac:dyDescent="0.25">
      <c r="B59" s="7">
        <f>Plan1!C66</f>
        <v>28</v>
      </c>
      <c r="C59" s="7">
        <f>Plan1!D66</f>
        <v>-81.014487785241116</v>
      </c>
      <c r="D59" s="7"/>
      <c r="E59" s="7">
        <f t="shared" si="5"/>
        <v>-16.8674301068056</v>
      </c>
      <c r="F59" s="7">
        <f t="shared" si="6"/>
        <v>1</v>
      </c>
      <c r="G59" s="7"/>
      <c r="H59">
        <f t="shared" si="7"/>
        <v>5</v>
      </c>
      <c r="I59" s="7">
        <f t="shared" si="0"/>
        <v>28</v>
      </c>
      <c r="J59" s="7">
        <f t="shared" si="1"/>
        <v>-81.014487785241116</v>
      </c>
    </row>
    <row r="60" spans="2:10" x14ac:dyDescent="0.25">
      <c r="B60" s="7">
        <f>Plan1!C67</f>
        <v>28.5</v>
      </c>
      <c r="C60" s="7">
        <f>Plan1!D67</f>
        <v>-85.527182624322663</v>
      </c>
      <c r="D60" s="7"/>
      <c r="E60" s="7">
        <f t="shared" si="5"/>
        <v>-0.90628549764842603</v>
      </c>
      <c r="F60" s="7">
        <f t="shared" si="6"/>
        <v>-1</v>
      </c>
      <c r="G60" s="7"/>
      <c r="H60">
        <f t="shared" si="7"/>
        <v>6</v>
      </c>
      <c r="I60" s="7">
        <f t="shared" si="0"/>
        <v>28.5</v>
      </c>
      <c r="J60" s="7">
        <f t="shared" si="1"/>
        <v>-85.527182624322663</v>
      </c>
    </row>
    <row r="61" spans="2:10" x14ac:dyDescent="0.25">
      <c r="B61" s="7">
        <f>Plan1!C68</f>
        <v>29</v>
      </c>
      <c r="C61" s="7">
        <f>Plan1!D68</f>
        <v>-81.920773282889542</v>
      </c>
      <c r="D61" s="7"/>
      <c r="E61" s="7">
        <f t="shared" si="5"/>
        <v>14.841073310250621</v>
      </c>
      <c r="F61" s="7">
        <f t="shared" si="6"/>
        <v>1</v>
      </c>
      <c r="G61" s="7"/>
      <c r="H61">
        <f t="shared" si="7"/>
        <v>6</v>
      </c>
      <c r="I61" s="7">
        <f t="shared" si="0"/>
        <v>29</v>
      </c>
      <c r="J61" s="7">
        <f t="shared" si="1"/>
        <v>-81.920773282889542</v>
      </c>
    </row>
    <row r="62" spans="2:10" x14ac:dyDescent="0.25">
      <c r="B62" s="7">
        <f>Plan1!C69</f>
        <v>29.5</v>
      </c>
      <c r="C62" s="7">
        <f>Plan1!D69</f>
        <v>-70.686109314072041</v>
      </c>
      <c r="D62" s="7"/>
      <c r="E62" s="7">
        <f t="shared" si="5"/>
        <v>28.899312724222014</v>
      </c>
      <c r="F62" s="7">
        <f t="shared" si="6"/>
        <v>1</v>
      </c>
      <c r="G62" s="7"/>
      <c r="H62">
        <f t="shared" si="7"/>
        <v>6</v>
      </c>
      <c r="I62" s="7">
        <f t="shared" si="0"/>
        <v>29.5</v>
      </c>
      <c r="J62" s="7">
        <f t="shared" si="1"/>
        <v>-70.686109314072041</v>
      </c>
    </row>
    <row r="63" spans="2:10" x14ac:dyDescent="0.25">
      <c r="B63" s="7">
        <f>Plan1!C70</f>
        <v>30</v>
      </c>
      <c r="C63" s="7">
        <f>Plan1!D70</f>
        <v>-53.021460558667528</v>
      </c>
      <c r="D63" s="7"/>
      <c r="E63" s="7">
        <f t="shared" si="5"/>
        <v>39.97940869261744</v>
      </c>
      <c r="F63" s="7">
        <f t="shared" si="6"/>
        <v>1</v>
      </c>
      <c r="G63" s="7"/>
      <c r="H63">
        <f t="shared" si="7"/>
        <v>6</v>
      </c>
      <c r="I63" s="7">
        <f t="shared" si="0"/>
        <v>30</v>
      </c>
      <c r="J63" s="7">
        <f t="shared" si="1"/>
        <v>-53.021460558667528</v>
      </c>
    </row>
    <row r="64" spans="2:10" x14ac:dyDescent="0.25">
      <c r="B64" s="7">
        <f>Plan1!C71</f>
        <v>30.5</v>
      </c>
      <c r="C64" s="7">
        <f>Plan1!D71</f>
        <v>-30.706700621454601</v>
      </c>
      <c r="D64" s="7"/>
      <c r="E64" s="7">
        <f t="shared" si="5"/>
        <v>47.096250875521775</v>
      </c>
      <c r="F64" s="7">
        <f t="shared" si="6"/>
        <v>1</v>
      </c>
      <c r="G64" s="7"/>
      <c r="H64">
        <f t="shared" si="7"/>
        <v>6</v>
      </c>
      <c r="I64" s="7">
        <f t="shared" si="0"/>
        <v>30.5</v>
      </c>
      <c r="J64" s="7">
        <f t="shared" si="1"/>
        <v>-30.706700621454601</v>
      </c>
    </row>
    <row r="65" spans="2:10" x14ac:dyDescent="0.25">
      <c r="B65" s="7">
        <f>Plan1!C72</f>
        <v>31</v>
      </c>
      <c r="C65" s="7">
        <f>Plan1!D72</f>
        <v>-5.9252096831457521</v>
      </c>
      <c r="D65" s="7"/>
      <c r="E65" s="7">
        <f t="shared" si="5"/>
        <v>49.65549405386718</v>
      </c>
      <c r="F65" s="7">
        <f t="shared" si="6"/>
        <v>1</v>
      </c>
      <c r="G65" s="7"/>
      <c r="H65">
        <f t="shared" si="7"/>
        <v>6</v>
      </c>
      <c r="I65" s="7">
        <f t="shared" si="0"/>
        <v>31</v>
      </c>
      <c r="J65" s="7">
        <f t="shared" si="1"/>
        <v>-5.9252096831457521</v>
      </c>
    </row>
    <row r="66" spans="2:10" x14ac:dyDescent="0.25">
      <c r="B66" s="7">
        <f>Plan1!C73</f>
        <v>31.5</v>
      </c>
      <c r="C66" s="7">
        <f>Plan1!D73</f>
        <v>18.948793432412579</v>
      </c>
      <c r="D66" s="7"/>
      <c r="E66" s="7">
        <f t="shared" si="5"/>
        <v>47.502073732012072</v>
      </c>
      <c r="F66" s="7">
        <f t="shared" si="6"/>
        <v>1</v>
      </c>
      <c r="G66" s="7"/>
      <c r="H66">
        <f t="shared" si="7"/>
        <v>6</v>
      </c>
      <c r="I66" s="7">
        <f t="shared" si="0"/>
        <v>31.5</v>
      </c>
      <c r="J66" s="7">
        <f t="shared" si="1"/>
        <v>18.948793432412579</v>
      </c>
    </row>
    <row r="67" spans="2:10" x14ac:dyDescent="0.25">
      <c r="B67" s="7">
        <f>Plan1!C74</f>
        <v>32</v>
      </c>
      <c r="C67" s="7">
        <f>Plan1!D74</f>
        <v>41.576864048866319</v>
      </c>
      <c r="D67" s="7"/>
      <c r="E67" s="7">
        <f t="shared" si="5"/>
        <v>40.926546245876843</v>
      </c>
      <c r="F67" s="7">
        <f t="shared" si="6"/>
        <v>1</v>
      </c>
      <c r="G67" s="7"/>
      <c r="H67">
        <f t="shared" si="7"/>
        <v>6</v>
      </c>
      <c r="I67" s="7">
        <f t="shared" si="0"/>
        <v>32</v>
      </c>
      <c r="J67" s="7">
        <f t="shared" si="1"/>
        <v>41.576864048866319</v>
      </c>
    </row>
    <row r="68" spans="2:10" x14ac:dyDescent="0.25">
      <c r="B68" s="7">
        <f>Plan1!C75</f>
        <v>32.5</v>
      </c>
      <c r="C68" s="7">
        <f>Plan1!D75</f>
        <v>59.875339678289421</v>
      </c>
      <c r="D68" s="7"/>
      <c r="E68" s="7">
        <f t="shared" si="5"/>
        <v>30.629447647025934</v>
      </c>
      <c r="F68" s="7">
        <f t="shared" si="6"/>
        <v>1</v>
      </c>
      <c r="G68" s="7"/>
      <c r="H68">
        <f t="shared" si="7"/>
        <v>6</v>
      </c>
      <c r="I68" s="7">
        <f t="shared" ref="I68:I130" si="8">B68</f>
        <v>32.5</v>
      </c>
      <c r="J68" s="7">
        <f t="shared" ref="J68:J130" si="9">C68</f>
        <v>59.875339678289421</v>
      </c>
    </row>
    <row r="69" spans="2:10" x14ac:dyDescent="0.25">
      <c r="B69" s="7">
        <f>Plan1!C76</f>
        <v>33</v>
      </c>
      <c r="C69" s="7">
        <f>Plan1!D76</f>
        <v>72.206311695892254</v>
      </c>
      <c r="D69" s="7"/>
      <c r="E69" s="7">
        <f t="shared" ref="E69:E130" si="10">(C70-C68)/(B70-B68)</f>
        <v>17.647805792339994</v>
      </c>
      <c r="F69" s="7">
        <f t="shared" ref="F69:F130" si="11">SIGN(E70*E69)</f>
        <v>1</v>
      </c>
      <c r="G69" s="7"/>
      <c r="H69">
        <f t="shared" ref="H69:H130" si="12">(F69=-1)+H68</f>
        <v>6</v>
      </c>
      <c r="I69" s="7">
        <f t="shared" si="8"/>
        <v>33</v>
      </c>
      <c r="J69" s="7">
        <f t="shared" si="9"/>
        <v>72.206311695892254</v>
      </c>
    </row>
    <row r="70" spans="2:10" x14ac:dyDescent="0.25">
      <c r="B70" s="7">
        <f>Plan1!C77</f>
        <v>33.5</v>
      </c>
      <c r="C70" s="7">
        <f>Plan1!D77</f>
        <v>77.523145470629416</v>
      </c>
      <c r="D70" s="7"/>
      <c r="E70" s="7">
        <f t="shared" si="10"/>
        <v>3.251418039621683</v>
      </c>
      <c r="F70" s="7">
        <f t="shared" si="11"/>
        <v>-1</v>
      </c>
      <c r="G70" s="7"/>
      <c r="H70">
        <f t="shared" si="12"/>
        <v>7</v>
      </c>
      <c r="I70" s="7">
        <f t="shared" si="8"/>
        <v>33.5</v>
      </c>
      <c r="J70" s="7">
        <f t="shared" si="9"/>
        <v>77.523145470629416</v>
      </c>
    </row>
    <row r="71" spans="2:10" x14ac:dyDescent="0.25">
      <c r="B71" s="7">
        <f>Plan1!C78</f>
        <v>34</v>
      </c>
      <c r="C71" s="7">
        <f>Plan1!D78</f>
        <v>75.457729735513936</v>
      </c>
      <c r="D71" s="7"/>
      <c r="E71" s="7">
        <f t="shared" si="10"/>
        <v>-11.180795339713256</v>
      </c>
      <c r="F71" s="7">
        <f t="shared" si="11"/>
        <v>1</v>
      </c>
      <c r="G71" s="7"/>
      <c r="H71">
        <f t="shared" si="12"/>
        <v>7</v>
      </c>
      <c r="I71" s="7">
        <f t="shared" si="8"/>
        <v>34</v>
      </c>
      <c r="J71" s="7">
        <f t="shared" si="9"/>
        <v>75.457729735513936</v>
      </c>
    </row>
    <row r="72" spans="2:10" x14ac:dyDescent="0.25">
      <c r="B72" s="7">
        <f>Plan1!C79</f>
        <v>34.5</v>
      </c>
      <c r="C72" s="7">
        <f>Plan1!D79</f>
        <v>66.342350130916159</v>
      </c>
      <c r="D72" s="7"/>
      <c r="E72" s="7">
        <f t="shared" si="10"/>
        <v>-24.292373284088264</v>
      </c>
      <c r="F72" s="7">
        <f t="shared" si="11"/>
        <v>1</v>
      </c>
      <c r="G72" s="7"/>
      <c r="H72">
        <f t="shared" si="12"/>
        <v>7</v>
      </c>
      <c r="I72" s="7">
        <f t="shared" si="8"/>
        <v>34.5</v>
      </c>
      <c r="J72" s="7">
        <f t="shared" si="9"/>
        <v>66.342350130916159</v>
      </c>
    </row>
    <row r="73" spans="2:10" x14ac:dyDescent="0.25">
      <c r="B73" s="7">
        <f>Plan1!C80</f>
        <v>35</v>
      </c>
      <c r="C73" s="7">
        <f>Plan1!D80</f>
        <v>51.165356451425673</v>
      </c>
      <c r="D73" s="7"/>
      <c r="E73" s="7">
        <f t="shared" si="10"/>
        <v>-34.876321902966758</v>
      </c>
      <c r="F73" s="7">
        <f t="shared" si="11"/>
        <v>1</v>
      </c>
      <c r="G73" s="7"/>
      <c r="H73">
        <f t="shared" si="12"/>
        <v>7</v>
      </c>
      <c r="I73" s="7">
        <f t="shared" si="8"/>
        <v>35</v>
      </c>
      <c r="J73" s="7">
        <f t="shared" si="9"/>
        <v>51.165356451425673</v>
      </c>
    </row>
    <row r="74" spans="2:10" x14ac:dyDescent="0.25">
      <c r="B74" s="7">
        <f>Plan1!C81</f>
        <v>35.5</v>
      </c>
      <c r="C74" s="7">
        <f>Plan1!D81</f>
        <v>31.466028227949401</v>
      </c>
      <c r="D74" s="7"/>
      <c r="E74" s="7">
        <f t="shared" si="10"/>
        <v>-41.985702567611654</v>
      </c>
      <c r="F74" s="7">
        <f t="shared" si="11"/>
        <v>1</v>
      </c>
      <c r="G74" s="7"/>
      <c r="H74">
        <f t="shared" si="12"/>
        <v>7</v>
      </c>
      <c r="I74" s="7">
        <f t="shared" si="8"/>
        <v>35.5</v>
      </c>
      <c r="J74" s="7">
        <f t="shared" si="9"/>
        <v>31.466028227949401</v>
      </c>
    </row>
    <row r="75" spans="2:10" x14ac:dyDescent="0.25">
      <c r="B75" s="7">
        <f>Plan1!C82</f>
        <v>36</v>
      </c>
      <c r="C75" s="7">
        <f>Plan1!D82</f>
        <v>9.1796538838140194</v>
      </c>
      <c r="D75" s="7"/>
      <c r="E75" s="7">
        <f t="shared" si="10"/>
        <v>-45.017718786854104</v>
      </c>
      <c r="F75" s="7">
        <f t="shared" si="11"/>
        <v>1</v>
      </c>
      <c r="G75" s="7"/>
      <c r="H75">
        <f t="shared" si="12"/>
        <v>7</v>
      </c>
      <c r="I75" s="7">
        <f t="shared" si="8"/>
        <v>36</v>
      </c>
      <c r="J75" s="7">
        <f t="shared" si="9"/>
        <v>9.1796538838140194</v>
      </c>
    </row>
    <row r="76" spans="2:10" x14ac:dyDescent="0.25">
      <c r="B76" s="7">
        <f>Plan1!C83</f>
        <v>36.5</v>
      </c>
      <c r="C76" s="7">
        <f>Plan1!D83</f>
        <v>-13.551690558904706</v>
      </c>
      <c r="D76" s="7"/>
      <c r="E76" s="7">
        <f t="shared" si="10"/>
        <v>-43.763898904606627</v>
      </c>
      <c r="F76" s="7">
        <f t="shared" si="11"/>
        <v>1</v>
      </c>
      <c r="G76" s="7"/>
      <c r="H76">
        <f t="shared" si="12"/>
        <v>7</v>
      </c>
      <c r="I76" s="7">
        <f t="shared" si="8"/>
        <v>36.5</v>
      </c>
      <c r="J76" s="7">
        <f t="shared" si="9"/>
        <v>-13.551690558904706</v>
      </c>
    </row>
    <row r="77" spans="2:10" x14ac:dyDescent="0.25">
      <c r="B77" s="7">
        <f>Plan1!C84</f>
        <v>37</v>
      </c>
      <c r="C77" s="7">
        <f>Plan1!D84</f>
        <v>-34.584245020792608</v>
      </c>
      <c r="D77" s="7"/>
      <c r="E77" s="7">
        <f t="shared" si="10"/>
        <v>-38.422295324519183</v>
      </c>
      <c r="F77" s="7">
        <f t="shared" si="11"/>
        <v>1</v>
      </c>
      <c r="G77" s="7"/>
      <c r="H77">
        <f t="shared" si="12"/>
        <v>7</v>
      </c>
      <c r="I77" s="7">
        <f t="shared" si="8"/>
        <v>37</v>
      </c>
      <c r="J77" s="7">
        <f t="shared" si="9"/>
        <v>-34.584245020792608</v>
      </c>
    </row>
    <row r="78" spans="2:10" x14ac:dyDescent="0.25">
      <c r="B78" s="7">
        <f>Plan1!C85</f>
        <v>37.5</v>
      </c>
      <c r="C78" s="7">
        <f>Plan1!D85</f>
        <v>-51.973985883423893</v>
      </c>
      <c r="D78" s="7"/>
      <c r="E78" s="7">
        <f t="shared" si="10"/>
        <v>-29.571265606247749</v>
      </c>
      <c r="F78" s="7">
        <f t="shared" si="11"/>
        <v>1</v>
      </c>
      <c r="G78" s="7"/>
      <c r="H78">
        <f t="shared" si="12"/>
        <v>7</v>
      </c>
      <c r="I78" s="7">
        <f t="shared" si="8"/>
        <v>37.5</v>
      </c>
      <c r="J78" s="7">
        <f t="shared" si="9"/>
        <v>-51.973985883423893</v>
      </c>
    </row>
    <row r="79" spans="2:10" x14ac:dyDescent="0.25">
      <c r="B79" s="7">
        <f>Plan1!C86</f>
        <v>38</v>
      </c>
      <c r="C79" s="7">
        <f>Plan1!D86</f>
        <v>-64.155510627040357</v>
      </c>
      <c r="D79" s="7"/>
      <c r="E79" s="7">
        <f t="shared" si="10"/>
        <v>-18.108017991613195</v>
      </c>
      <c r="F79" s="7">
        <f t="shared" si="11"/>
        <v>1</v>
      </c>
      <c r="G79" s="7"/>
      <c r="H79">
        <f t="shared" si="12"/>
        <v>7</v>
      </c>
      <c r="I79" s="7">
        <f t="shared" si="8"/>
        <v>38</v>
      </c>
      <c r="J79" s="7">
        <f t="shared" si="9"/>
        <v>-64.155510627040357</v>
      </c>
    </row>
    <row r="80" spans="2:10" x14ac:dyDescent="0.25">
      <c r="B80" s="7">
        <f>Plan1!C87</f>
        <v>38.5</v>
      </c>
      <c r="C80" s="7">
        <f>Plan1!D87</f>
        <v>-70.082003875037088</v>
      </c>
      <c r="D80" s="7"/>
      <c r="E80" s="7">
        <f t="shared" si="10"/>
        <v>-5.1583544130217405</v>
      </c>
      <c r="F80" s="7">
        <f t="shared" si="11"/>
        <v>-1</v>
      </c>
      <c r="G80" s="7"/>
      <c r="H80">
        <f t="shared" si="12"/>
        <v>8</v>
      </c>
      <c r="I80" s="7">
        <f t="shared" si="8"/>
        <v>38.5</v>
      </c>
      <c r="J80" s="7">
        <f t="shared" si="9"/>
        <v>-70.082003875037088</v>
      </c>
    </row>
    <row r="81" spans="2:10" x14ac:dyDescent="0.25">
      <c r="B81" s="7">
        <f>Plan1!C88</f>
        <v>39</v>
      </c>
      <c r="C81" s="7">
        <f>Plan1!D88</f>
        <v>-69.313865040062097</v>
      </c>
      <c r="D81" s="7"/>
      <c r="E81" s="7">
        <f t="shared" si="10"/>
        <v>8.0333706788105275</v>
      </c>
      <c r="F81" s="7">
        <f t="shared" si="11"/>
        <v>1</v>
      </c>
      <c r="G81" s="7"/>
      <c r="H81">
        <f t="shared" si="12"/>
        <v>8</v>
      </c>
      <c r="I81" s="7">
        <f t="shared" si="8"/>
        <v>39</v>
      </c>
      <c r="J81" s="7">
        <f t="shared" si="9"/>
        <v>-69.313865040062097</v>
      </c>
    </row>
    <row r="82" spans="2:10" x14ac:dyDescent="0.25">
      <c r="B82" s="7">
        <f>Plan1!C89</f>
        <v>39.5</v>
      </c>
      <c r="C82" s="7">
        <f>Plan1!D89</f>
        <v>-62.048633196226561</v>
      </c>
      <c r="D82" s="7"/>
      <c r="E82" s="7">
        <f t="shared" si="10"/>
        <v>20.223367663995326</v>
      </c>
      <c r="F82" s="7">
        <f t="shared" si="11"/>
        <v>1</v>
      </c>
      <c r="G82" s="7"/>
      <c r="H82">
        <f t="shared" si="12"/>
        <v>8</v>
      </c>
      <c r="I82" s="7">
        <f t="shared" si="8"/>
        <v>39.5</v>
      </c>
      <c r="J82" s="7">
        <f t="shared" si="9"/>
        <v>-62.048633196226561</v>
      </c>
    </row>
    <row r="83" spans="2:10" x14ac:dyDescent="0.25">
      <c r="B83" s="7">
        <f>Plan1!C90</f>
        <v>40</v>
      </c>
      <c r="C83" s="7">
        <f>Plan1!D90</f>
        <v>-49.090497376066772</v>
      </c>
      <c r="D83" s="7"/>
      <c r="E83" s="7">
        <f t="shared" si="10"/>
        <v>30.2852451839635</v>
      </c>
      <c r="F83" s="7">
        <f t="shared" si="11"/>
        <v>1</v>
      </c>
      <c r="G83" s="7"/>
      <c r="H83">
        <f t="shared" si="12"/>
        <v>8</v>
      </c>
      <c r="I83" s="7">
        <f t="shared" si="8"/>
        <v>40</v>
      </c>
      <c r="J83" s="7">
        <f t="shared" si="9"/>
        <v>-49.090497376066772</v>
      </c>
    </row>
    <row r="84" spans="2:10" x14ac:dyDescent="0.25">
      <c r="B84" s="7">
        <f>Plan1!C91</f>
        <v>40.5</v>
      </c>
      <c r="C84" s="7">
        <f>Plan1!D91</f>
        <v>-31.763388012263061</v>
      </c>
      <c r="D84" s="7"/>
      <c r="E84" s="7">
        <f t="shared" si="10"/>
        <v>37.313626868051394</v>
      </c>
      <c r="F84" s="7">
        <f t="shared" si="11"/>
        <v>1</v>
      </c>
      <c r="G84" s="7"/>
      <c r="H84">
        <f t="shared" si="12"/>
        <v>8</v>
      </c>
      <c r="I84" s="7">
        <f t="shared" si="8"/>
        <v>40.5</v>
      </c>
      <c r="J84" s="7">
        <f t="shared" si="9"/>
        <v>-31.763388012263061</v>
      </c>
    </row>
    <row r="85" spans="2:10" x14ac:dyDescent="0.25">
      <c r="B85" s="7">
        <f>Plan1!C92</f>
        <v>41</v>
      </c>
      <c r="C85" s="7">
        <f>Plan1!D92</f>
        <v>-11.776870508015378</v>
      </c>
      <c r="D85" s="7"/>
      <c r="E85" s="7">
        <f t="shared" si="10"/>
        <v>40.705064925455758</v>
      </c>
      <c r="F85" s="7">
        <f t="shared" si="11"/>
        <v>1</v>
      </c>
      <c r="G85" s="7"/>
      <c r="H85">
        <f t="shared" si="12"/>
        <v>8</v>
      </c>
      <c r="I85" s="7">
        <f t="shared" si="8"/>
        <v>41</v>
      </c>
      <c r="J85" s="7">
        <f t="shared" si="9"/>
        <v>-11.776870508015378</v>
      </c>
    </row>
    <row r="86" spans="2:10" x14ac:dyDescent="0.25">
      <c r="B86" s="7">
        <f>Plan1!C93</f>
        <v>41.5</v>
      </c>
      <c r="C86" s="7">
        <f>Plan1!D93</f>
        <v>8.9416769131927012</v>
      </c>
      <c r="D86" s="7"/>
      <c r="E86" s="7">
        <f t="shared" si="10"/>
        <v>40.209074612397416</v>
      </c>
      <c r="F86" s="7">
        <f t="shared" si="11"/>
        <v>1</v>
      </c>
      <c r="G86" s="7"/>
      <c r="H86">
        <f t="shared" si="12"/>
        <v>8</v>
      </c>
      <c r="I86" s="7">
        <f t="shared" si="8"/>
        <v>41.5</v>
      </c>
      <c r="J86" s="7">
        <f t="shared" si="9"/>
        <v>8.9416769131927012</v>
      </c>
    </row>
    <row r="87" spans="2:10" x14ac:dyDescent="0.25">
      <c r="B87" s="7">
        <f>Plan1!C94</f>
        <v>42</v>
      </c>
      <c r="C87" s="7">
        <f>Plan1!D94</f>
        <v>28.432204104382041</v>
      </c>
      <c r="D87" s="7"/>
      <c r="E87" s="7">
        <f t="shared" si="10"/>
        <v>35.945054880864653</v>
      </c>
      <c r="F87" s="7">
        <f t="shared" si="11"/>
        <v>1</v>
      </c>
      <c r="G87" s="7"/>
      <c r="H87">
        <f t="shared" si="12"/>
        <v>8</v>
      </c>
      <c r="I87" s="7">
        <f t="shared" si="8"/>
        <v>42</v>
      </c>
      <c r="J87" s="7">
        <f t="shared" si="9"/>
        <v>28.432204104382041</v>
      </c>
    </row>
    <row r="88" spans="2:10" x14ac:dyDescent="0.25">
      <c r="B88" s="7">
        <f>Plan1!C95</f>
        <v>42.5</v>
      </c>
      <c r="C88" s="7">
        <f>Plan1!D95</f>
        <v>44.886731794057354</v>
      </c>
      <c r="D88" s="7"/>
      <c r="E88" s="7">
        <f t="shared" si="10"/>
        <v>28.384144541885814</v>
      </c>
      <c r="F88" s="7">
        <f t="shared" si="11"/>
        <v>1</v>
      </c>
      <c r="G88" s="7"/>
      <c r="H88">
        <f t="shared" si="12"/>
        <v>8</v>
      </c>
      <c r="I88" s="7">
        <f t="shared" si="8"/>
        <v>42.5</v>
      </c>
      <c r="J88" s="7">
        <f t="shared" si="9"/>
        <v>44.886731794057354</v>
      </c>
    </row>
    <row r="89" spans="2:10" x14ac:dyDescent="0.25">
      <c r="B89" s="7">
        <f>Plan1!C96</f>
        <v>43</v>
      </c>
      <c r="C89" s="7">
        <f>Plan1!D96</f>
        <v>56.816348646267855</v>
      </c>
      <c r="D89" s="7"/>
      <c r="E89" s="7">
        <f t="shared" si="10"/>
        <v>18.298375106353546</v>
      </c>
      <c r="F89" s="7">
        <f t="shared" si="11"/>
        <v>1</v>
      </c>
      <c r="G89" s="7"/>
      <c r="H89">
        <f t="shared" si="12"/>
        <v>8</v>
      </c>
      <c r="I89" s="7">
        <f t="shared" si="8"/>
        <v>43</v>
      </c>
      <c r="J89" s="7">
        <f t="shared" si="9"/>
        <v>56.816348646267855</v>
      </c>
    </row>
    <row r="90" spans="2:10" x14ac:dyDescent="0.25">
      <c r="B90" s="7">
        <f>Plan1!C97</f>
        <v>43.5</v>
      </c>
      <c r="C90" s="7">
        <f>Plan1!D97</f>
        <v>63.185106900410901</v>
      </c>
      <c r="D90" s="7"/>
      <c r="E90" s="7">
        <f t="shared" si="10"/>
        <v>6.6825094595415422</v>
      </c>
      <c r="F90" s="7">
        <f t="shared" si="11"/>
        <v>-1</v>
      </c>
      <c r="G90" s="7"/>
      <c r="H90">
        <f t="shared" si="12"/>
        <v>9</v>
      </c>
      <c r="I90" s="7">
        <f t="shared" si="8"/>
        <v>43.5</v>
      </c>
      <c r="J90" s="7">
        <f t="shared" si="9"/>
        <v>63.185106900410901</v>
      </c>
    </row>
    <row r="91" spans="2:10" x14ac:dyDescent="0.25">
      <c r="B91" s="7">
        <f>Plan1!C98</f>
        <v>44</v>
      </c>
      <c r="C91" s="7">
        <f>Plan1!D98</f>
        <v>63.498858105809397</v>
      </c>
      <c r="D91" s="7"/>
      <c r="E91" s="7">
        <f t="shared" si="10"/>
        <v>-5.3435794581627079</v>
      </c>
      <c r="F91" s="7">
        <f t="shared" si="11"/>
        <v>1</v>
      </c>
      <c r="G91" s="7"/>
      <c r="H91">
        <f t="shared" si="12"/>
        <v>9</v>
      </c>
      <c r="I91" s="7">
        <f t="shared" si="8"/>
        <v>44</v>
      </c>
      <c r="J91" s="7">
        <f t="shared" si="9"/>
        <v>63.498858105809397</v>
      </c>
    </row>
    <row r="92" spans="2:10" x14ac:dyDescent="0.25">
      <c r="B92" s="7">
        <f>Plan1!C99</f>
        <v>44.5</v>
      </c>
      <c r="C92" s="7">
        <f>Plan1!D99</f>
        <v>57.841527442248193</v>
      </c>
      <c r="D92" s="7"/>
      <c r="E92" s="7">
        <f t="shared" si="10"/>
        <v>-16.642454776998534</v>
      </c>
      <c r="F92" s="7">
        <f t="shared" si="11"/>
        <v>1</v>
      </c>
      <c r="G92" s="7"/>
      <c r="H92">
        <f t="shared" si="12"/>
        <v>9</v>
      </c>
      <c r="I92" s="7">
        <f t="shared" si="8"/>
        <v>44.5</v>
      </c>
      <c r="J92" s="7">
        <f t="shared" si="9"/>
        <v>57.841527442248193</v>
      </c>
    </row>
    <row r="93" spans="2:10" x14ac:dyDescent="0.25">
      <c r="B93" s="7">
        <f>Plan1!C100</f>
        <v>45</v>
      </c>
      <c r="C93" s="7">
        <f>Plan1!D100</f>
        <v>46.856403328810863</v>
      </c>
      <c r="D93" s="7"/>
      <c r="E93" s="7">
        <f t="shared" si="10"/>
        <v>-26.166297664369445</v>
      </c>
      <c r="F93" s="7">
        <f t="shared" si="11"/>
        <v>1</v>
      </c>
      <c r="G93" s="7"/>
      <c r="H93">
        <f t="shared" si="12"/>
        <v>9</v>
      </c>
      <c r="I93" s="7">
        <f t="shared" si="8"/>
        <v>45</v>
      </c>
      <c r="J93" s="7">
        <f t="shared" si="9"/>
        <v>46.856403328810863</v>
      </c>
    </row>
    <row r="94" spans="2:10" x14ac:dyDescent="0.25">
      <c r="B94" s="7">
        <f>Plan1!C101</f>
        <v>45.5</v>
      </c>
      <c r="C94" s="7">
        <f>Plan1!D101</f>
        <v>31.675229777878748</v>
      </c>
      <c r="D94" s="7"/>
      <c r="E94" s="7">
        <f t="shared" si="10"/>
        <v>-33.053663070457972</v>
      </c>
      <c r="F94" s="7">
        <f t="shared" si="11"/>
        <v>1</v>
      </c>
      <c r="G94" s="7"/>
      <c r="H94">
        <f t="shared" si="12"/>
        <v>9</v>
      </c>
      <c r="I94" s="7">
        <f t="shared" si="8"/>
        <v>45.5</v>
      </c>
      <c r="J94" s="7">
        <f t="shared" si="9"/>
        <v>31.675229777878748</v>
      </c>
    </row>
    <row r="95" spans="2:10" x14ac:dyDescent="0.25">
      <c r="B95" s="7">
        <f>Plan1!C102</f>
        <v>46</v>
      </c>
      <c r="C95" s="7">
        <f>Plan1!D102</f>
        <v>13.802740258352891</v>
      </c>
      <c r="D95" s="7"/>
      <c r="E95" s="7">
        <f t="shared" si="10"/>
        <v>-36.706915095235715</v>
      </c>
      <c r="F95" s="7">
        <f t="shared" si="11"/>
        <v>1</v>
      </c>
      <c r="G95" s="7"/>
      <c r="H95">
        <f t="shared" si="12"/>
        <v>9</v>
      </c>
      <c r="I95" s="7">
        <f t="shared" si="8"/>
        <v>46</v>
      </c>
      <c r="J95" s="7">
        <f t="shared" si="9"/>
        <v>13.802740258352891</v>
      </c>
    </row>
    <row r="96" spans="2:10" x14ac:dyDescent="0.25">
      <c r="B96" s="7">
        <f>Plan1!C103</f>
        <v>46.5</v>
      </c>
      <c r="C96" s="7">
        <f>Plan1!D103</f>
        <v>-5.0316853173569669</v>
      </c>
      <c r="D96" s="7"/>
      <c r="E96" s="7">
        <f t="shared" si="10"/>
        <v>-36.843429384865459</v>
      </c>
      <c r="F96" s="7">
        <f t="shared" si="11"/>
        <v>1</v>
      </c>
      <c r="G96" s="7"/>
      <c r="H96">
        <f t="shared" si="12"/>
        <v>9</v>
      </c>
      <c r="I96" s="7">
        <f t="shared" si="8"/>
        <v>46.5</v>
      </c>
      <c r="J96" s="7">
        <f t="shared" si="9"/>
        <v>-5.0316853173569669</v>
      </c>
    </row>
    <row r="97" spans="2:10" x14ac:dyDescent="0.25">
      <c r="B97" s="7">
        <f>Plan1!C104</f>
        <v>47</v>
      </c>
      <c r="C97" s="7">
        <f>Plan1!D104</f>
        <v>-23.040689126512568</v>
      </c>
      <c r="D97" s="7"/>
      <c r="E97" s="7">
        <f t="shared" si="10"/>
        <v>-33.516243802246834</v>
      </c>
      <c r="F97" s="7">
        <f t="shared" si="11"/>
        <v>1</v>
      </c>
      <c r="G97" s="7"/>
      <c r="H97">
        <f t="shared" si="12"/>
        <v>9</v>
      </c>
      <c r="I97" s="7">
        <f t="shared" si="8"/>
        <v>47</v>
      </c>
      <c r="J97" s="7">
        <f t="shared" si="9"/>
        <v>-23.040689126512568</v>
      </c>
    </row>
    <row r="98" spans="2:10" x14ac:dyDescent="0.25">
      <c r="B98" s="7">
        <f>Plan1!C105</f>
        <v>47.5</v>
      </c>
      <c r="C98" s="7">
        <f>Plan1!D105</f>
        <v>-38.547929119603801</v>
      </c>
      <c r="D98" s="7"/>
      <c r="E98" s="7">
        <f t="shared" si="10"/>
        <v>-27.102789587478036</v>
      </c>
      <c r="F98" s="7">
        <f t="shared" si="11"/>
        <v>1</v>
      </c>
      <c r="G98" s="7"/>
      <c r="H98">
        <f t="shared" si="12"/>
        <v>9</v>
      </c>
      <c r="I98" s="7">
        <f t="shared" si="8"/>
        <v>47.5</v>
      </c>
      <c r="J98" s="7">
        <f t="shared" si="9"/>
        <v>-38.547929119603801</v>
      </c>
    </row>
    <row r="99" spans="2:10" x14ac:dyDescent="0.25">
      <c r="B99" s="7">
        <f>Plan1!C106</f>
        <v>48</v>
      </c>
      <c r="C99" s="7">
        <f>Plan1!D106</f>
        <v>-50.143478713990604</v>
      </c>
      <c r="D99" s="7"/>
      <c r="E99" s="7">
        <f t="shared" si="10"/>
        <v>-18.26335942086007</v>
      </c>
      <c r="F99" s="7">
        <f t="shared" si="11"/>
        <v>1</v>
      </c>
      <c r="G99" s="7"/>
      <c r="H99">
        <f t="shared" si="12"/>
        <v>9</v>
      </c>
      <c r="I99" s="7">
        <f t="shared" si="8"/>
        <v>48</v>
      </c>
      <c r="J99" s="7">
        <f t="shared" si="9"/>
        <v>-50.143478713990604</v>
      </c>
    </row>
    <row r="100" spans="2:10" x14ac:dyDescent="0.25">
      <c r="B100" s="7">
        <f>Plan1!C107</f>
        <v>48.5</v>
      </c>
      <c r="C100" s="7">
        <f>Plan1!D107</f>
        <v>-56.81128854046387</v>
      </c>
      <c r="D100" s="7"/>
      <c r="E100" s="7">
        <f t="shared" si="10"/>
        <v>-7.8737807534496156</v>
      </c>
      <c r="F100" s="7">
        <f t="shared" si="11"/>
        <v>-1</v>
      </c>
      <c r="G100" s="7"/>
      <c r="H100">
        <f t="shared" si="12"/>
        <v>10</v>
      </c>
      <c r="I100" s="7">
        <f t="shared" si="8"/>
        <v>48.5</v>
      </c>
      <c r="J100" s="7">
        <f t="shared" si="9"/>
        <v>-56.81128854046387</v>
      </c>
    </row>
    <row r="101" spans="2:10" x14ac:dyDescent="0.25">
      <c r="B101" s="7">
        <f>Plan1!C108</f>
        <v>49</v>
      </c>
      <c r="C101" s="7">
        <f>Plan1!D108</f>
        <v>-58.017259467440219</v>
      </c>
      <c r="D101" s="7"/>
      <c r="E101" s="7">
        <f t="shared" si="10"/>
        <v>3.0608977072235248</v>
      </c>
      <c r="F101" s="7">
        <f t="shared" si="11"/>
        <v>1</v>
      </c>
      <c r="G101" s="7"/>
      <c r="H101">
        <f t="shared" si="12"/>
        <v>10</v>
      </c>
      <c r="I101" s="7">
        <f t="shared" si="8"/>
        <v>49</v>
      </c>
      <c r="J101" s="7">
        <f t="shared" si="9"/>
        <v>-58.017259467440219</v>
      </c>
    </row>
    <row r="102" spans="2:10" x14ac:dyDescent="0.25">
      <c r="B102" s="7">
        <f>Plan1!C109</f>
        <v>49.5</v>
      </c>
      <c r="C102" s="7">
        <f>Plan1!D109</f>
        <v>-53.750390833240346</v>
      </c>
      <c r="D102" s="7"/>
      <c r="E102" s="7">
        <f t="shared" si="10"/>
        <v>13.50324230733478</v>
      </c>
      <c r="F102" s="7">
        <f t="shared" si="11"/>
        <v>1</v>
      </c>
      <c r="G102" s="7"/>
      <c r="H102">
        <f t="shared" si="12"/>
        <v>10</v>
      </c>
      <c r="I102" s="7">
        <f t="shared" si="8"/>
        <v>49.5</v>
      </c>
      <c r="J102" s="7">
        <f t="shared" si="9"/>
        <v>-53.750390833240346</v>
      </c>
    </row>
    <row r="103" spans="2:10" x14ac:dyDescent="0.25">
      <c r="B103" s="7">
        <f>Plan1!C110</f>
        <v>50</v>
      </c>
      <c r="C103" s="7">
        <f>Plan1!D110</f>
        <v>-44.514017160105439</v>
      </c>
      <c r="D103" s="7"/>
      <c r="E103" s="7">
        <f t="shared" si="10"/>
        <v>22.481499488719525</v>
      </c>
      <c r="F103" s="7">
        <f t="shared" si="11"/>
        <v>1</v>
      </c>
      <c r="G103" s="7"/>
      <c r="H103">
        <f t="shared" si="12"/>
        <v>10</v>
      </c>
      <c r="I103" s="7">
        <f t="shared" si="8"/>
        <v>50</v>
      </c>
      <c r="J103" s="7">
        <f t="shared" si="9"/>
        <v>-44.514017160105439</v>
      </c>
    </row>
    <row r="104" spans="2:10" x14ac:dyDescent="0.25">
      <c r="B104" s="7">
        <f>Plan1!C111</f>
        <v>50.5</v>
      </c>
      <c r="C104" s="7">
        <f>Plan1!D111</f>
        <v>-31.268891344520821</v>
      </c>
      <c r="D104" s="7"/>
      <c r="E104" s="7">
        <f t="shared" si="10"/>
        <v>29.17965413042732</v>
      </c>
      <c r="F104" s="7">
        <f t="shared" si="11"/>
        <v>1</v>
      </c>
      <c r="G104" s="7"/>
      <c r="H104">
        <f t="shared" si="12"/>
        <v>10</v>
      </c>
      <c r="I104" s="7">
        <f t="shared" si="8"/>
        <v>50.5</v>
      </c>
      <c r="J104" s="7">
        <f t="shared" si="9"/>
        <v>-31.268891344520821</v>
      </c>
    </row>
    <row r="105" spans="2:10" x14ac:dyDescent="0.25">
      <c r="B105" s="7">
        <f>Plan1!C112</f>
        <v>51</v>
      </c>
      <c r="C105" s="7">
        <f>Plan1!D112</f>
        <v>-15.334363029678119</v>
      </c>
      <c r="D105" s="7"/>
      <c r="E105" s="7">
        <f t="shared" si="10"/>
        <v>33.011170885976604</v>
      </c>
      <c r="F105" s="7">
        <f t="shared" si="11"/>
        <v>1</v>
      </c>
      <c r="G105" s="7"/>
      <c r="H105">
        <f t="shared" si="12"/>
        <v>10</v>
      </c>
      <c r="I105" s="7">
        <f t="shared" si="8"/>
        <v>51</v>
      </c>
      <c r="J105" s="7">
        <f t="shared" si="9"/>
        <v>-15.334363029678119</v>
      </c>
    </row>
    <row r="106" spans="2:10" x14ac:dyDescent="0.25">
      <c r="B106" s="7">
        <f>Plan1!C113</f>
        <v>51.5</v>
      </c>
      <c r="C106" s="7">
        <f>Plan1!D113</f>
        <v>1.7422795414557832</v>
      </c>
      <c r="D106" s="7"/>
      <c r="E106" s="7">
        <f t="shared" si="10"/>
        <v>33.66979670073458</v>
      </c>
      <c r="F106" s="7">
        <f t="shared" si="11"/>
        <v>1</v>
      </c>
      <c r="G106" s="7"/>
      <c r="H106">
        <f t="shared" si="12"/>
        <v>10</v>
      </c>
      <c r="I106" s="7">
        <f t="shared" si="8"/>
        <v>51.5</v>
      </c>
      <c r="J106" s="7">
        <f t="shared" si="9"/>
        <v>1.7422795414557832</v>
      </c>
    </row>
    <row r="107" spans="2:10" x14ac:dyDescent="0.25">
      <c r="B107" s="7">
        <f>Plan1!C114</f>
        <v>52</v>
      </c>
      <c r="C107" s="7">
        <f>Plan1!D114</f>
        <v>18.33543367105646</v>
      </c>
      <c r="D107" s="7"/>
      <c r="E107" s="7">
        <f t="shared" si="10"/>
        <v>31.153081625965495</v>
      </c>
      <c r="F107" s="7">
        <f t="shared" si="11"/>
        <v>1</v>
      </c>
      <c r="G107" s="7"/>
      <c r="H107">
        <f t="shared" si="12"/>
        <v>10</v>
      </c>
      <c r="I107" s="7">
        <f t="shared" si="8"/>
        <v>52</v>
      </c>
      <c r="J107" s="7">
        <f t="shared" si="9"/>
        <v>18.33543367105646</v>
      </c>
    </row>
    <row r="108" spans="2:10" x14ac:dyDescent="0.25">
      <c r="B108" s="7">
        <f>Plan1!C115</f>
        <v>52.5</v>
      </c>
      <c r="C108" s="7">
        <f>Plan1!D115</f>
        <v>32.895361167421278</v>
      </c>
      <c r="D108" s="7"/>
      <c r="E108" s="7">
        <f t="shared" si="10"/>
        <v>25.756919276733317</v>
      </c>
      <c r="F108" s="7">
        <f t="shared" si="11"/>
        <v>1</v>
      </c>
      <c r="G108" s="7"/>
      <c r="H108">
        <f t="shared" si="12"/>
        <v>10</v>
      </c>
      <c r="I108" s="7">
        <f t="shared" si="8"/>
        <v>52.5</v>
      </c>
      <c r="J108" s="7">
        <f t="shared" si="9"/>
        <v>32.895361167421278</v>
      </c>
    </row>
    <row r="109" spans="2:10" x14ac:dyDescent="0.25">
      <c r="B109" s="7">
        <f>Plan1!C116</f>
        <v>53</v>
      </c>
      <c r="C109" s="7">
        <f>Plan1!D116</f>
        <v>44.092352947789777</v>
      </c>
      <c r="D109" s="7"/>
      <c r="E109" s="7">
        <f t="shared" si="10"/>
        <v>18.042162564461954</v>
      </c>
      <c r="F109" s="7">
        <f t="shared" si="11"/>
        <v>1</v>
      </c>
      <c r="G109" s="7"/>
      <c r="H109">
        <f t="shared" si="12"/>
        <v>10</v>
      </c>
      <c r="I109" s="7">
        <f t="shared" si="8"/>
        <v>53</v>
      </c>
      <c r="J109" s="7">
        <f t="shared" si="9"/>
        <v>44.092352947789777</v>
      </c>
    </row>
    <row r="110" spans="2:10" x14ac:dyDescent="0.25">
      <c r="B110" s="7">
        <f>Plan1!C117</f>
        <v>53.5</v>
      </c>
      <c r="C110" s="7">
        <f>Plan1!D117</f>
        <v>50.937523731883232</v>
      </c>
      <c r="D110" s="7"/>
      <c r="E110" s="7">
        <f t="shared" si="10"/>
        <v>8.776973867706225</v>
      </c>
      <c r="F110" s="7">
        <f t="shared" si="11"/>
        <v>-1</v>
      </c>
      <c r="G110" s="7"/>
      <c r="H110">
        <f t="shared" si="12"/>
        <v>11</v>
      </c>
      <c r="I110" s="7">
        <f t="shared" si="8"/>
        <v>53.5</v>
      </c>
      <c r="J110" s="7">
        <f t="shared" si="9"/>
        <v>50.937523731883232</v>
      </c>
    </row>
    <row r="111" spans="2:10" x14ac:dyDescent="0.25">
      <c r="B111" s="7">
        <f>Plan1!C118</f>
        <v>54</v>
      </c>
      <c r="C111" s="7">
        <f>Plan1!D118</f>
        <v>52.869326815496002</v>
      </c>
      <c r="D111" s="7"/>
      <c r="E111" s="7">
        <f t="shared" si="10"/>
        <v>-1.1392201710481942</v>
      </c>
      <c r="F111" s="7">
        <f t="shared" si="11"/>
        <v>1</v>
      </c>
      <c r="G111" s="7"/>
      <c r="H111">
        <f t="shared" si="12"/>
        <v>11</v>
      </c>
      <c r="I111" s="7">
        <f t="shared" si="8"/>
        <v>54</v>
      </c>
      <c r="J111" s="7">
        <f t="shared" si="9"/>
        <v>52.869326815496002</v>
      </c>
    </row>
    <row r="112" spans="2:10" x14ac:dyDescent="0.25">
      <c r="B112" s="7">
        <f>Plan1!C119</f>
        <v>54.5</v>
      </c>
      <c r="C112" s="7">
        <f>Plan1!D119</f>
        <v>49.798303560835038</v>
      </c>
      <c r="D112" s="7"/>
      <c r="E112" s="7">
        <f t="shared" si="10"/>
        <v>-10.762680875874487</v>
      </c>
      <c r="F112" s="7">
        <f t="shared" si="11"/>
        <v>1</v>
      </c>
      <c r="G112" s="7"/>
      <c r="H112">
        <f t="shared" si="12"/>
        <v>11</v>
      </c>
      <c r="I112" s="7">
        <f t="shared" si="8"/>
        <v>54.5</v>
      </c>
      <c r="J112" s="7">
        <f t="shared" si="9"/>
        <v>49.798303560835038</v>
      </c>
    </row>
    <row r="113" spans="2:10" x14ac:dyDescent="0.25">
      <c r="B113" s="7">
        <f>Plan1!C120</f>
        <v>55</v>
      </c>
      <c r="C113" s="7">
        <f>Plan1!D120</f>
        <v>42.106645939621515</v>
      </c>
      <c r="D113" s="7"/>
      <c r="E113" s="7">
        <f t="shared" si="10"/>
        <v>-19.194844064702508</v>
      </c>
      <c r="F113" s="7">
        <f t="shared" si="11"/>
        <v>1</v>
      </c>
      <c r="G113" s="7"/>
      <c r="H113">
        <f t="shared" si="12"/>
        <v>11</v>
      </c>
      <c r="I113" s="7">
        <f t="shared" si="8"/>
        <v>55</v>
      </c>
      <c r="J113" s="7">
        <f t="shared" si="9"/>
        <v>42.106645939621515</v>
      </c>
    </row>
    <row r="114" spans="2:10" x14ac:dyDescent="0.25">
      <c r="B114" s="7">
        <f>Plan1!C121</f>
        <v>55.5</v>
      </c>
      <c r="C114" s="7">
        <f>Plan1!D121</f>
        <v>30.60345949613253</v>
      </c>
      <c r="D114" s="7"/>
      <c r="E114" s="7">
        <f t="shared" si="10"/>
        <v>-25.665886872625013</v>
      </c>
      <c r="F114" s="7">
        <f t="shared" si="11"/>
        <v>1</v>
      </c>
      <c r="G114" s="7"/>
      <c r="H114">
        <f t="shared" si="12"/>
        <v>11</v>
      </c>
      <c r="I114" s="7">
        <f t="shared" si="8"/>
        <v>55.5</v>
      </c>
      <c r="J114" s="7">
        <f t="shared" si="9"/>
        <v>30.60345949613253</v>
      </c>
    </row>
    <row r="115" spans="2:10" x14ac:dyDescent="0.25">
      <c r="B115" s="7">
        <f>Plan1!C122</f>
        <v>56</v>
      </c>
      <c r="C115" s="7">
        <f>Plan1!D122</f>
        <v>16.440759066996502</v>
      </c>
      <c r="D115" s="7"/>
      <c r="E115" s="7">
        <f t="shared" si="10"/>
        <v>-29.604635307372533</v>
      </c>
      <c r="F115" s="7">
        <f t="shared" si="11"/>
        <v>1</v>
      </c>
      <c r="G115" s="7"/>
      <c r="H115">
        <f t="shared" si="12"/>
        <v>11</v>
      </c>
      <c r="I115" s="7">
        <f t="shared" si="8"/>
        <v>56</v>
      </c>
      <c r="J115" s="7">
        <f t="shared" si="9"/>
        <v>16.440759066996502</v>
      </c>
    </row>
    <row r="116" spans="2:10" x14ac:dyDescent="0.25">
      <c r="B116" s="7">
        <f>Plan1!C123</f>
        <v>56.5</v>
      </c>
      <c r="C116" s="7">
        <f>Plan1!D123</f>
        <v>0.9988241887599969</v>
      </c>
      <c r="D116" s="7"/>
      <c r="E116" s="7">
        <f t="shared" si="10"/>
        <v>-30.688501099571283</v>
      </c>
      <c r="F116" s="7">
        <f t="shared" si="11"/>
        <v>1</v>
      </c>
      <c r="G116" s="7"/>
      <c r="H116">
        <f t="shared" si="12"/>
        <v>11</v>
      </c>
      <c r="I116" s="7">
        <f t="shared" si="8"/>
        <v>56.5</v>
      </c>
      <c r="J116" s="7">
        <f t="shared" si="9"/>
        <v>0.9988241887599969</v>
      </c>
    </row>
    <row r="117" spans="2:10" x14ac:dyDescent="0.25">
      <c r="B117" s="7">
        <f>Plan1!C124</f>
        <v>57</v>
      </c>
      <c r="C117" s="7">
        <f>Plan1!D124</f>
        <v>-14.247742032574779</v>
      </c>
      <c r="D117" s="7"/>
      <c r="E117" s="7">
        <f t="shared" si="10"/>
        <v>-28.869130699235633</v>
      </c>
      <c r="F117" s="7">
        <f t="shared" si="11"/>
        <v>1</v>
      </c>
      <c r="G117" s="7"/>
      <c r="H117">
        <f t="shared" si="12"/>
        <v>11</v>
      </c>
      <c r="I117" s="7">
        <f t="shared" si="8"/>
        <v>57</v>
      </c>
      <c r="J117" s="7">
        <f t="shared" si="9"/>
        <v>-14.247742032574779</v>
      </c>
    </row>
    <row r="118" spans="2:10" x14ac:dyDescent="0.25">
      <c r="B118" s="7">
        <f>Plan1!C125</f>
        <v>57.5</v>
      </c>
      <c r="C118" s="7">
        <f>Plan1!D125</f>
        <v>-27.870306510475636</v>
      </c>
      <c r="D118" s="7"/>
      <c r="E118" s="7">
        <f t="shared" si="10"/>
        <v>-24.371811770586433</v>
      </c>
      <c r="F118" s="7">
        <f t="shared" si="11"/>
        <v>1</v>
      </c>
      <c r="G118" s="7"/>
      <c r="H118">
        <f t="shared" si="12"/>
        <v>11</v>
      </c>
      <c r="I118" s="7">
        <f t="shared" si="8"/>
        <v>57.5</v>
      </c>
      <c r="J118" s="7">
        <f t="shared" si="9"/>
        <v>-27.870306510475636</v>
      </c>
    </row>
    <row r="119" spans="2:10" x14ac:dyDescent="0.25">
      <c r="B119" s="7">
        <f>Plan1!C126</f>
        <v>58</v>
      </c>
      <c r="C119" s="7">
        <f>Plan1!D126</f>
        <v>-38.61955380316121</v>
      </c>
      <c r="D119" s="7"/>
      <c r="E119" s="7">
        <f t="shared" si="10"/>
        <v>-17.669184415880949</v>
      </c>
      <c r="F119" s="7">
        <f t="shared" si="11"/>
        <v>1</v>
      </c>
      <c r="G119" s="7"/>
      <c r="H119">
        <f t="shared" si="12"/>
        <v>11</v>
      </c>
      <c r="I119" s="7">
        <f t="shared" si="8"/>
        <v>58</v>
      </c>
      <c r="J119" s="7">
        <f t="shared" si="9"/>
        <v>-38.61955380316121</v>
      </c>
    </row>
    <row r="120" spans="2:10" x14ac:dyDescent="0.25">
      <c r="B120" s="7">
        <f>Plan1!C127</f>
        <v>58.5</v>
      </c>
      <c r="C120" s="7">
        <f>Plan1!D127</f>
        <v>-45.539490926356585</v>
      </c>
      <c r="D120" s="7"/>
      <c r="E120" s="7">
        <f t="shared" si="10"/>
        <v>-9.4322079738603648</v>
      </c>
      <c r="F120" s="7">
        <f t="shared" si="11"/>
        <v>1</v>
      </c>
      <c r="G120" s="7"/>
      <c r="H120">
        <f t="shared" si="12"/>
        <v>11</v>
      </c>
      <c r="I120" s="7">
        <f t="shared" si="8"/>
        <v>58.5</v>
      </c>
      <c r="J120" s="7">
        <f t="shared" si="9"/>
        <v>-45.539490926356585</v>
      </c>
    </row>
    <row r="121" spans="2:10" x14ac:dyDescent="0.25">
      <c r="B121" s="7">
        <f>Plan1!C128</f>
        <v>59</v>
      </c>
      <c r="C121" s="7">
        <f>Plan1!D128</f>
        <v>-48.051761777021575</v>
      </c>
      <c r="D121" s="7"/>
      <c r="E121" s="7">
        <f t="shared" si="10"/>
        <v>-0.46341562972488504</v>
      </c>
      <c r="F121" s="7">
        <f t="shared" si="11"/>
        <v>-1</v>
      </c>
      <c r="G121" s="7"/>
      <c r="H121">
        <f t="shared" si="12"/>
        <v>12</v>
      </c>
      <c r="I121" s="7">
        <f t="shared" si="8"/>
        <v>59</v>
      </c>
      <c r="J121" s="7">
        <f t="shared" si="9"/>
        <v>-48.051761777021575</v>
      </c>
    </row>
    <row r="122" spans="2:10" x14ac:dyDescent="0.25">
      <c r="B122" s="7">
        <f>Plan1!C129</f>
        <v>59.5</v>
      </c>
      <c r="C122" s="7">
        <f>Plan1!D129</f>
        <v>-46.00290655608147</v>
      </c>
      <c r="D122" s="7"/>
      <c r="E122" s="7">
        <f t="shared" si="10"/>
        <v>8.3809412540220265</v>
      </c>
      <c r="F122" s="7">
        <f t="shared" si="11"/>
        <v>1</v>
      </c>
      <c r="G122" s="7"/>
      <c r="H122">
        <f t="shared" si="12"/>
        <v>12</v>
      </c>
      <c r="I122" s="7">
        <f t="shared" si="8"/>
        <v>59.5</v>
      </c>
      <c r="J122" s="7">
        <f t="shared" si="9"/>
        <v>-46.00290655608147</v>
      </c>
    </row>
    <row r="123" spans="2:10" x14ac:dyDescent="0.25">
      <c r="B123" s="7">
        <f>Plan1!C130</f>
        <v>60</v>
      </c>
      <c r="C123" s="7">
        <f>Plan1!D130</f>
        <v>-39.670820522999549</v>
      </c>
      <c r="D123" s="7"/>
      <c r="E123" s="7">
        <f t="shared" si="10"/>
        <v>16.272337097442314</v>
      </c>
      <c r="F123" s="7">
        <f t="shared" si="11"/>
        <v>1</v>
      </c>
      <c r="G123" s="7"/>
      <c r="H123">
        <f t="shared" si="12"/>
        <v>12</v>
      </c>
      <c r="I123" s="7">
        <f t="shared" si="8"/>
        <v>60</v>
      </c>
      <c r="J123" s="7">
        <f t="shared" si="9"/>
        <v>-39.670820522999549</v>
      </c>
    </row>
    <row r="124" spans="2:10" x14ac:dyDescent="0.25">
      <c r="B124" s="7">
        <f>Plan1!C131</f>
        <v>60.5</v>
      </c>
      <c r="C124" s="7">
        <f>Plan1!D131</f>
        <v>-29.730569458639156</v>
      </c>
      <c r="D124" s="7"/>
      <c r="E124" s="7">
        <f t="shared" si="10"/>
        <v>22.487286147882784</v>
      </c>
      <c r="F124" s="7">
        <f t="shared" si="11"/>
        <v>1</v>
      </c>
      <c r="G124" s="7"/>
      <c r="H124">
        <f t="shared" si="12"/>
        <v>12</v>
      </c>
      <c r="I124" s="7">
        <f t="shared" si="8"/>
        <v>60.5</v>
      </c>
      <c r="J124" s="7">
        <f t="shared" si="9"/>
        <v>-29.730569458639156</v>
      </c>
    </row>
    <row r="125" spans="2:10" x14ac:dyDescent="0.25">
      <c r="B125" s="7">
        <f>Plan1!C132</f>
        <v>61</v>
      </c>
      <c r="C125" s="7">
        <f>Plan1!D132</f>
        <v>-17.183534375116764</v>
      </c>
      <c r="D125" s="7"/>
      <c r="E125" s="7">
        <f t="shared" si="10"/>
        <v>26.473340924270573</v>
      </c>
      <c r="F125" s="7">
        <f t="shared" si="11"/>
        <v>1</v>
      </c>
      <c r="G125" s="7"/>
      <c r="H125">
        <f t="shared" si="12"/>
        <v>12</v>
      </c>
      <c r="I125" s="7">
        <f t="shared" si="8"/>
        <v>61</v>
      </c>
      <c r="J125" s="7">
        <f t="shared" si="9"/>
        <v>-17.183534375116764</v>
      </c>
    </row>
    <row r="126" spans="2:10" x14ac:dyDescent="0.25">
      <c r="B126" s="7">
        <f>Plan1!C133</f>
        <v>61.5</v>
      </c>
      <c r="C126" s="7">
        <f>Plan1!D133</f>
        <v>-3.257228534368581</v>
      </c>
      <c r="D126" s="7"/>
      <c r="E126" s="7">
        <f t="shared" si="10"/>
        <v>27.897786960336621</v>
      </c>
      <c r="F126" s="7">
        <f t="shared" si="11"/>
        <v>1</v>
      </c>
      <c r="G126" s="7"/>
      <c r="H126">
        <f t="shared" si="12"/>
        <v>12</v>
      </c>
      <c r="I126" s="7">
        <f t="shared" si="8"/>
        <v>61.5</v>
      </c>
      <c r="J126" s="7">
        <f t="shared" si="9"/>
        <v>-3.257228534368581</v>
      </c>
    </row>
    <row r="127" spans="2:10" x14ac:dyDescent="0.25">
      <c r="B127" s="7">
        <f>Plan1!C134</f>
        <v>62</v>
      </c>
      <c r="C127" s="7">
        <f>Plan1!D134</f>
        <v>10.714252585219857</v>
      </c>
      <c r="D127" s="7"/>
      <c r="E127" s="7">
        <f t="shared" si="10"/>
        <v>26.674783435889921</v>
      </c>
      <c r="F127" s="7">
        <f t="shared" si="11"/>
        <v>1</v>
      </c>
      <c r="G127" s="7"/>
      <c r="H127">
        <f t="shared" si="12"/>
        <v>12</v>
      </c>
      <c r="I127" s="7">
        <f t="shared" si="8"/>
        <v>62</v>
      </c>
      <c r="J127" s="7">
        <f t="shared" si="9"/>
        <v>10.714252585219857</v>
      </c>
    </row>
    <row r="128" spans="2:10" x14ac:dyDescent="0.25">
      <c r="B128" s="7">
        <f>Plan1!C135</f>
        <v>62.5</v>
      </c>
      <c r="C128" s="7">
        <f>Plan1!D135</f>
        <v>23.417554901521338</v>
      </c>
      <c r="D128" s="7"/>
      <c r="E128" s="7">
        <f t="shared" si="10"/>
        <v>22.96880372301916</v>
      </c>
      <c r="F128" s="7">
        <f t="shared" si="11"/>
        <v>1</v>
      </c>
      <c r="G128" s="7"/>
      <c r="H128">
        <f t="shared" si="12"/>
        <v>12</v>
      </c>
      <c r="I128" s="7">
        <f t="shared" si="8"/>
        <v>62.5</v>
      </c>
      <c r="J128" s="7">
        <f t="shared" si="9"/>
        <v>23.417554901521338</v>
      </c>
    </row>
    <row r="129" spans="2:10" x14ac:dyDescent="0.25">
      <c r="B129" s="7">
        <f>Plan1!C136</f>
        <v>63</v>
      </c>
      <c r="C129" s="7">
        <f>Plan1!D136</f>
        <v>33.683056308239017</v>
      </c>
      <c r="D129" s="7"/>
      <c r="E129" s="7">
        <f t="shared" si="10"/>
        <v>17.174496496330146</v>
      </c>
      <c r="F129" s="7">
        <f t="shared" si="11"/>
        <v>1</v>
      </c>
      <c r="G129" s="7"/>
      <c r="H129">
        <f t="shared" si="12"/>
        <v>12</v>
      </c>
      <c r="I129" s="7">
        <f t="shared" si="8"/>
        <v>63</v>
      </c>
      <c r="J129" s="7">
        <f t="shared" si="9"/>
        <v>33.683056308239017</v>
      </c>
    </row>
    <row r="130" spans="2:10" x14ac:dyDescent="0.25">
      <c r="B130" s="7">
        <f>Plan1!C137</f>
        <v>63.5</v>
      </c>
      <c r="C130" s="7">
        <f>Plan1!D137</f>
        <v>40.592051397851485</v>
      </c>
      <c r="D130" s="7"/>
      <c r="E130" s="7">
        <f t="shared" si="10"/>
        <v>0.53465168743236535</v>
      </c>
      <c r="F130" s="7">
        <f t="shared" si="11"/>
        <v>0</v>
      </c>
      <c r="G130" s="7"/>
      <c r="H130">
        <f t="shared" si="12"/>
        <v>12</v>
      </c>
      <c r="I130" s="7">
        <f t="shared" si="8"/>
        <v>63.5</v>
      </c>
      <c r="J130" s="7">
        <f t="shared" si="9"/>
        <v>40.592051397851485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B2:M130"/>
  <sheetViews>
    <sheetView topLeftCell="A2" workbookViewId="0">
      <selection activeCell="G5" sqref="G5"/>
    </sheetView>
  </sheetViews>
  <sheetFormatPr defaultRowHeight="15" x14ac:dyDescent="0.25"/>
  <sheetData>
    <row r="2" spans="2:13" x14ac:dyDescent="0.25">
      <c r="B2" s="6" t="s">
        <v>5</v>
      </c>
      <c r="C2" s="6" t="s">
        <v>14</v>
      </c>
      <c r="D2" s="6" t="s">
        <v>25</v>
      </c>
      <c r="F2" s="14" t="s">
        <v>43</v>
      </c>
    </row>
    <row r="3" spans="2:13" x14ac:dyDescent="0.25">
      <c r="B3" s="7">
        <f>Plan1!C10</f>
        <v>0</v>
      </c>
      <c r="C3" s="7">
        <f>Plan1!D10</f>
        <v>-10</v>
      </c>
      <c r="D3" s="7">
        <f>$G$3*EXP(-$G$4*B3)*COS($I$5*B3+$G$6)</f>
        <v>-48.47494106478436</v>
      </c>
      <c r="F3" s="3" t="s">
        <v>31</v>
      </c>
      <c r="G3">
        <f>'Plan2 (2)'!O13</f>
        <v>145.47290674825297</v>
      </c>
      <c r="L3" s="3" t="s">
        <v>44</v>
      </c>
      <c r="M3" s="10">
        <f t="array" ref="M3">SUM((C3:C130-D3:D130)^2)</f>
        <v>2109.0025401643065</v>
      </c>
    </row>
    <row r="4" spans="2:13" x14ac:dyDescent="0.25">
      <c r="B4" s="7">
        <f>Plan1!C11</f>
        <v>0.5</v>
      </c>
      <c r="C4" s="7">
        <f>Plan1!D11</f>
        <v>5.5</v>
      </c>
      <c r="D4" s="7">
        <f t="shared" ref="D4:D67" si="0">$G$3*EXP(-$G$4*B4)*COS($I$5*B4+$G$6)</f>
        <v>-4.5134084850820662</v>
      </c>
      <c r="F4" s="3" t="s">
        <v>32</v>
      </c>
      <c r="G4">
        <f>'Plan2 (2)'!O14</f>
        <v>1.9463425407413616E-2</v>
      </c>
    </row>
    <row r="5" spans="2:13" x14ac:dyDescent="0.25">
      <c r="B5" s="7">
        <f>Plan1!C12</f>
        <v>1</v>
      </c>
      <c r="C5" s="7">
        <f>Plan1!D12</f>
        <v>39.412500000000001</v>
      </c>
      <c r="D5" s="7">
        <f t="shared" si="0"/>
        <v>39.022896589134383</v>
      </c>
      <c r="F5" s="3" t="s">
        <v>40</v>
      </c>
      <c r="G5" s="9">
        <v>9.8162232664127422E-2</v>
      </c>
      <c r="H5" s="3" t="s">
        <v>23</v>
      </c>
      <c r="I5">
        <f>2*PI()*G5</f>
        <v>0.61677149799518949</v>
      </c>
    </row>
    <row r="6" spans="2:13" x14ac:dyDescent="0.25">
      <c r="B6" s="7">
        <f>Plan1!C13</f>
        <v>1.5</v>
      </c>
      <c r="C6" s="7">
        <f>Plan1!D13</f>
        <v>75.957719999999995</v>
      </c>
      <c r="D6" s="7">
        <f t="shared" si="0"/>
        <v>78.070197640978364</v>
      </c>
      <c r="F6" s="3" t="s">
        <v>24</v>
      </c>
      <c r="G6" s="9">
        <v>-1.9105163777029626</v>
      </c>
    </row>
    <row r="7" spans="2:13" x14ac:dyDescent="0.25">
      <c r="B7" s="7">
        <f>Plan1!C14</f>
        <v>2</v>
      </c>
      <c r="C7" s="7">
        <f>Plan1!D14</f>
        <v>107.21082712499999</v>
      </c>
      <c r="D7" s="7">
        <f t="shared" si="0"/>
        <v>109.06290724621891</v>
      </c>
    </row>
    <row r="8" spans="2:13" x14ac:dyDescent="0.25">
      <c r="B8" s="7">
        <f>Plan1!C15</f>
        <v>2.5</v>
      </c>
      <c r="C8" s="7">
        <f>Plan1!D15</f>
        <v>128.72383061624998</v>
      </c>
      <c r="D8" s="7">
        <f t="shared" si="0"/>
        <v>129.25751557618909</v>
      </c>
    </row>
    <row r="9" spans="2:13" x14ac:dyDescent="0.25">
      <c r="B9" s="7">
        <f>Plan1!C16</f>
        <v>3</v>
      </c>
      <c r="C9" s="7">
        <f>Plan1!D16</f>
        <v>138.07386508125373</v>
      </c>
      <c r="D9" s="7">
        <f t="shared" si="0"/>
        <v>136.97334653549908</v>
      </c>
    </row>
    <row r="10" spans="2:13" x14ac:dyDescent="0.25">
      <c r="B10" s="7">
        <f>Plan1!C17</f>
        <v>3.5</v>
      </c>
      <c r="C10" s="7">
        <f>Plan1!D17</f>
        <v>134.39845031939322</v>
      </c>
      <c r="D10" s="7">
        <f t="shared" si="0"/>
        <v>131.72926588582075</v>
      </c>
    </row>
    <row r="11" spans="2:13" x14ac:dyDescent="0.25">
      <c r="B11" s="7">
        <f>Plan1!C18</f>
        <v>4</v>
      </c>
      <c r="C11" s="7">
        <f>Plan1!D18</f>
        <v>118.20995185158617</v>
      </c>
      <c r="D11" s="7">
        <f t="shared" si="0"/>
        <v>114.26556052502575</v>
      </c>
    </row>
    <row r="12" spans="2:13" x14ac:dyDescent="0.25">
      <c r="B12" s="7">
        <f>Plan1!C19</f>
        <v>4.5</v>
      </c>
      <c r="C12" s="7">
        <f>Plan1!D19</f>
        <v>91.235624003926034</v>
      </c>
      <c r="D12" s="7">
        <f t="shared" si="0"/>
        <v>86.451155894573787</v>
      </c>
    </row>
    <row r="13" spans="2:13" x14ac:dyDescent="0.25">
      <c r="B13" s="7">
        <f>Plan1!C20</f>
        <v>5</v>
      </c>
      <c r="C13" s="7">
        <f>Plan1!D20</f>
        <v>56.201378414818933</v>
      </c>
      <c r="D13" s="7">
        <f t="shared" si="0"/>
        <v>51.087059653108476</v>
      </c>
    </row>
    <row r="14" spans="2:13" x14ac:dyDescent="0.25">
      <c r="B14" s="7">
        <f>Plan1!C21</f>
        <v>5.5</v>
      </c>
      <c r="C14" s="7">
        <f>Plan1!D21</f>
        <v>16.54568199384159</v>
      </c>
      <c r="D14" s="7">
        <f t="shared" si="0"/>
        <v>11.626415893178459</v>
      </c>
    </row>
    <row r="15" spans="2:13" x14ac:dyDescent="0.25">
      <c r="B15" s="7">
        <f>Plan1!C22</f>
        <v>6</v>
      </c>
      <c r="C15" s="7">
        <f>Plan1!D22</f>
        <v>-23.92091020907187</v>
      </c>
      <c r="D15" s="7">
        <f t="shared" si="0"/>
        <v>-28.161039275195524</v>
      </c>
    </row>
    <row r="16" spans="2:13" x14ac:dyDescent="0.25">
      <c r="B16" s="7">
        <f>Plan1!C23</f>
        <v>6.5</v>
      </c>
      <c r="C16" s="7">
        <f>Plan1!D23</f>
        <v>-61.382183604144409</v>
      </c>
      <c r="D16" s="7">
        <f t="shared" si="0"/>
        <v>-64.547665456480161</v>
      </c>
    </row>
    <row r="17" spans="2:4" x14ac:dyDescent="0.25">
      <c r="B17" s="7">
        <f>Plan1!C24</f>
        <v>7</v>
      </c>
      <c r="C17" s="7">
        <f>Plan1!D24</f>
        <v>-92.375412711959086</v>
      </c>
      <c r="D17" s="7">
        <f t="shared" si="0"/>
        <v>-94.195754677253049</v>
      </c>
    </row>
    <row r="18" spans="2:4" x14ac:dyDescent="0.25">
      <c r="B18" s="7">
        <f>Plan1!C25</f>
        <v>7.5</v>
      </c>
      <c r="C18" s="7">
        <f>Plan1!D25</f>
        <v>-114.11023194668849</v>
      </c>
      <c r="D18" s="7">
        <f t="shared" si="0"/>
        <v>-114.4621928804015</v>
      </c>
    </row>
    <row r="19" spans="2:4" x14ac:dyDescent="0.25">
      <c r="B19" s="7">
        <f>Plan1!C26</f>
        <v>8</v>
      </c>
      <c r="C19" s="7">
        <f>Plan1!D26</f>
        <v>-124.71824689177895</v>
      </c>
      <c r="D19" s="7">
        <f t="shared" si="0"/>
        <v>-123.63228327296646</v>
      </c>
    </row>
    <row r="20" spans="2:4" x14ac:dyDescent="0.25">
      <c r="B20" s="7">
        <f>Plan1!C27</f>
        <v>8.5</v>
      </c>
      <c r="C20" s="7">
        <f>Plan1!D27</f>
        <v>-123.41131376641286</v>
      </c>
      <c r="D20" s="7">
        <f t="shared" si="0"/>
        <v>-121.06222733231452</v>
      </c>
    </row>
    <row r="21" spans="2:4" x14ac:dyDescent="0.25">
      <c r="B21" s="7">
        <f>Plan1!C28</f>
        <v>9</v>
      </c>
      <c r="C21" s="7">
        <f>Plan1!D28</f>
        <v>-110.53535733917175</v>
      </c>
      <c r="D21" s="7">
        <f t="shared" si="0"/>
        <v>-107.21869779444684</v>
      </c>
    </row>
    <row r="22" spans="2:4" x14ac:dyDescent="0.25">
      <c r="B22" s="7">
        <f>Plan1!C29</f>
        <v>9.5</v>
      </c>
      <c r="C22" s="7">
        <f>Plan1!D29</f>
        <v>-87.516638374086739</v>
      </c>
      <c r="D22" s="7">
        <f t="shared" si="0"/>
        <v>-83.61378591892759</v>
      </c>
    </row>
    <row r="23" spans="2:4" x14ac:dyDescent="0.25">
      <c r="B23" s="7">
        <f>Plan1!C30</f>
        <v>10</v>
      </c>
      <c r="C23" s="7">
        <f>Plan1!D30</f>
        <v>-56.707536374533284</v>
      </c>
      <c r="D23" s="7">
        <f t="shared" si="0"/>
        <v>-52.643424131505434</v>
      </c>
    </row>
    <row r="24" spans="2:4" x14ac:dyDescent="0.25">
      <c r="B24" s="7">
        <f>Plan1!C31</f>
        <v>10.5</v>
      </c>
      <c r="C24" s="7">
        <f>Plan1!D31</f>
        <v>-21.148218370214671</v>
      </c>
      <c r="D24" s="7">
        <f t="shared" si="0"/>
        <v>-17.346256992152959</v>
      </c>
    </row>
    <row r="25" spans="2:4" x14ac:dyDescent="0.25">
      <c r="B25" s="7">
        <f>Plan1!C32</f>
        <v>11</v>
      </c>
      <c r="C25" s="7">
        <f>Plan1!D32</f>
        <v>15.731841151602566</v>
      </c>
      <c r="D25" s="7">
        <f t="shared" si="0"/>
        <v>18.89295321251733</v>
      </c>
    </row>
    <row r="26" spans="2:4" x14ac:dyDescent="0.25">
      <c r="B26" s="7">
        <f>Plan1!C33</f>
        <v>11.5</v>
      </c>
      <c r="C26" s="7">
        <f>Plan1!D33</f>
        <v>50.443322711394707</v>
      </c>
      <c r="D26" s="7">
        <f t="shared" si="0"/>
        <v>52.666576517648316</v>
      </c>
    </row>
    <row r="27" spans="2:4" x14ac:dyDescent="0.25">
      <c r="B27" s="7">
        <f>Plan1!C34</f>
        <v>12</v>
      </c>
      <c r="C27" s="7">
        <f>Plan1!D34</f>
        <v>79.765976045200858</v>
      </c>
      <c r="D27" s="7">
        <f t="shared" si="0"/>
        <v>80.863273433248878</v>
      </c>
    </row>
    <row r="28" spans="2:4" x14ac:dyDescent="0.25">
      <c r="B28" s="7">
        <f>Plan1!C35</f>
        <v>12.5</v>
      </c>
      <c r="C28" s="7">
        <f>Plan1!D35</f>
        <v>101.04609746054622</v>
      </c>
      <c r="D28" s="7">
        <f t="shared" si="0"/>
        <v>100.95328904899583</v>
      </c>
    </row>
    <row r="29" spans="2:4" x14ac:dyDescent="0.25">
      <c r="B29" s="7">
        <f>Plan1!C36</f>
        <v>13</v>
      </c>
      <c r="C29" s="7">
        <f>Plan1!D36</f>
        <v>112.43521348882139</v>
      </c>
      <c r="D29" s="7">
        <f t="shared" si="0"/>
        <v>111.21385212472688</v>
      </c>
    </row>
    <row r="30" spans="2:4" x14ac:dyDescent="0.25">
      <c r="B30" s="7">
        <f>Plan1!C37</f>
        <v>13.5</v>
      </c>
      <c r="C30" s="7">
        <f>Plan1!D37</f>
        <v>113.04864952795725</v>
      </c>
      <c r="D30" s="7">
        <f t="shared" si="0"/>
        <v>110.87475196495386</v>
      </c>
    </row>
    <row r="31" spans="2:4" x14ac:dyDescent="0.25">
      <c r="B31" s="7">
        <f>Plan1!C38</f>
        <v>14</v>
      </c>
      <c r="C31" s="7">
        <f>Plan1!D38</f>
        <v>103.03058764096386</v>
      </c>
      <c r="D31" s="7">
        <f t="shared" si="0"/>
        <v>100.17201578991668</v>
      </c>
    </row>
    <row r="32" spans="2:4" x14ac:dyDescent="0.25">
      <c r="B32" s="7">
        <f>Plan1!C39</f>
        <v>14.5</v>
      </c>
      <c r="C32" s="7">
        <f>Plan1!D39</f>
        <v>83.521253146948652</v>
      </c>
      <c r="D32" s="7">
        <f t="shared" si="0"/>
        <v>80.306437515818232</v>
      </c>
    </row>
    <row r="33" spans="2:4" x14ac:dyDescent="0.25">
      <c r="B33" s="7">
        <f>Plan1!C40</f>
        <v>15</v>
      </c>
      <c r="C33" s="7">
        <f>Plan1!D40</f>
        <v>56.531145514409303</v>
      </c>
      <c r="D33" s="7">
        <f t="shared" si="0"/>
        <v>53.312670780162556</v>
      </c>
    </row>
    <row r="34" spans="2:4" x14ac:dyDescent="0.25">
      <c r="B34" s="7">
        <f>Plan1!C41</f>
        <v>15.5</v>
      </c>
      <c r="C34" s="7">
        <f>Plan1!D41</f>
        <v>24.73586944638215</v>
      </c>
      <c r="D34" s="7">
        <f t="shared" si="0"/>
        <v>21.852853903748752</v>
      </c>
    </row>
    <row r="35" spans="2:4" x14ac:dyDescent="0.25">
      <c r="B35" s="7">
        <f>Plan1!C42</f>
        <v>16</v>
      </c>
      <c r="C35" s="7">
        <f>Plan1!D42</f>
        <v>-8.78767285883767</v>
      </c>
      <c r="D35" s="7">
        <f t="shared" si="0"/>
        <v>-11.04447618311476</v>
      </c>
    </row>
    <row r="36" spans="2:4" x14ac:dyDescent="0.25">
      <c r="B36" s="7">
        <f>Plan1!C43</f>
        <v>16.5</v>
      </c>
      <c r="C36" s="7">
        <f>Plan1!D43</f>
        <v>-40.857847459318862</v>
      </c>
      <c r="D36" s="7">
        <f t="shared" si="0"/>
        <v>-42.274706968064116</v>
      </c>
    </row>
    <row r="37" spans="2:4" x14ac:dyDescent="0.25">
      <c r="B37" s="7">
        <f>Plan1!C44</f>
        <v>17</v>
      </c>
      <c r="C37" s="7">
        <f>Plan1!D44</f>
        <v>-68.489138972019006</v>
      </c>
      <c r="D37" s="7">
        <f t="shared" si="0"/>
        <v>-68.948992727395833</v>
      </c>
    </row>
    <row r="38" spans="2:4" x14ac:dyDescent="0.25">
      <c r="B38" s="7">
        <f>Plan1!C45</f>
        <v>17.5</v>
      </c>
      <c r="C38" s="7">
        <f>Plan1!D45</f>
        <v>-89.168942723339811</v>
      </c>
      <c r="D38" s="7">
        <f t="shared" si="0"/>
        <v>-88.660290788172219</v>
      </c>
    </row>
    <row r="39" spans="2:4" x14ac:dyDescent="0.25">
      <c r="B39" s="7">
        <f>Plan1!C46</f>
        <v>18</v>
      </c>
      <c r="C39" s="7">
        <f>Plan1!D46</f>
        <v>-101.08474692300138</v>
      </c>
      <c r="D39" s="7">
        <f t="shared" si="0"/>
        <v>-99.699206592902542</v>
      </c>
    </row>
    <row r="40" spans="2:4" x14ac:dyDescent="0.25">
      <c r="B40" s="7">
        <f>Plan1!C47</f>
        <v>18.5</v>
      </c>
      <c r="C40" s="7">
        <f>Plan1!D47</f>
        <v>-103.281292034434</v>
      </c>
      <c r="D40" s="7">
        <f t="shared" si="0"/>
        <v>-101.2004269146896</v>
      </c>
    </row>
    <row r="41" spans="2:4" x14ac:dyDescent="0.25">
      <c r="B41" s="7">
        <f>Plan1!C48</f>
        <v>19</v>
      </c>
      <c r="C41" s="7">
        <f>Plan1!D48</f>
        <v>-95.734254888983685</v>
      </c>
      <c r="D41" s="7">
        <f t="shared" si="0"/>
        <v>-93.207383179118438</v>
      </c>
    </row>
    <row r="42" spans="2:4" x14ac:dyDescent="0.25">
      <c r="B42" s="7">
        <f>Plan1!C49</f>
        <v>19.5</v>
      </c>
      <c r="C42" s="7">
        <f>Plan1!D49</f>
        <v>-79.335098859318734</v>
      </c>
      <c r="D42" s="7">
        <f t="shared" si="0"/>
        <v>-76.65067303329873</v>
      </c>
    </row>
    <row r="43" spans="2:4" x14ac:dyDescent="0.25">
      <c r="B43" s="7">
        <f>Plan1!C50</f>
        <v>20</v>
      </c>
      <c r="C43" s="7">
        <f>Plan1!D50</f>
        <v>-55.790176998772878</v>
      </c>
      <c r="D43" s="7">
        <f t="shared" si="0"/>
        <v>-53.243920733872585</v>
      </c>
    </row>
    <row r="44" spans="2:4" x14ac:dyDescent="0.25">
      <c r="B44" s="7">
        <f>Plan1!C51</f>
        <v>20.5</v>
      </c>
      <c r="C44" s="7">
        <f>Plan1!D51</f>
        <v>-27.445172483710532</v>
      </c>
      <c r="D44" s="7">
        <f t="shared" si="0"/>
        <v>-25.308407971389144</v>
      </c>
    </row>
    <row r="45" spans="2:4" x14ac:dyDescent="0.25">
      <c r="B45" s="7">
        <f>Plan1!C52</f>
        <v>21</v>
      </c>
      <c r="C45" s="7">
        <f>Plan1!D52</f>
        <v>2.9472329355005904</v>
      </c>
      <c r="D45" s="7">
        <f t="shared" si="0"/>
        <v>4.455749533638385</v>
      </c>
    </row>
    <row r="46" spans="2:4" x14ac:dyDescent="0.25">
      <c r="B46" s="7">
        <f>Plan1!C53</f>
        <v>21.5</v>
      </c>
      <c r="C46" s="7">
        <f>Plan1!D53</f>
        <v>32.493573559647857</v>
      </c>
      <c r="D46" s="7">
        <f t="shared" si="0"/>
        <v>33.229447350144873</v>
      </c>
    </row>
    <row r="47" spans="2:4" x14ac:dyDescent="0.25">
      <c r="B47" s="7">
        <f>Plan1!C54</f>
        <v>22</v>
      </c>
      <c r="C47" s="7">
        <f>Plan1!D54</f>
        <v>58.434054153739631</v>
      </c>
      <c r="D47" s="7">
        <f t="shared" si="0"/>
        <v>58.34055815105733</v>
      </c>
    </row>
    <row r="48" spans="2:4" x14ac:dyDescent="0.25">
      <c r="B48" s="7">
        <f>Plan1!C55</f>
        <v>22.5</v>
      </c>
      <c r="C48" s="7">
        <f>Plan1!D55</f>
        <v>78.399307051550835</v>
      </c>
      <c r="D48" s="7">
        <f t="shared" si="0"/>
        <v>77.511024130331762</v>
      </c>
    </row>
    <row r="49" spans="2:4" x14ac:dyDescent="0.25">
      <c r="B49" s="7">
        <f>Plan1!C56</f>
        <v>23</v>
      </c>
      <c r="C49" s="7">
        <f>Plan1!D56</f>
        <v>90.625663130657941</v>
      </c>
      <c r="D49" s="7">
        <f t="shared" si="0"/>
        <v>89.062329131551934</v>
      </c>
    </row>
    <row r="50" spans="2:4" x14ac:dyDescent="0.25">
      <c r="B50" s="7">
        <f>Plan1!C57</f>
        <v>23.5</v>
      </c>
      <c r="C50" s="7">
        <f>Plan1!D57</f>
        <v>94.109490646984128</v>
      </c>
      <c r="D50" s="7">
        <f t="shared" si="0"/>
        <v>92.060934815701245</v>
      </c>
    </row>
    <row r="51" spans="2:4" x14ac:dyDescent="0.25">
      <c r="B51" s="7">
        <f>Plan1!C58</f>
        <v>24</v>
      </c>
      <c r="C51" s="7">
        <f>Plan1!D58</f>
        <v>88.687244190712619</v>
      </c>
      <c r="D51" s="7">
        <f t="shared" si="0"/>
        <v>86.391235356267174</v>
      </c>
    </row>
    <row r="52" spans="2:4" x14ac:dyDescent="0.25">
      <c r="B52" s="7">
        <f>Plan1!C59</f>
        <v>24.5</v>
      </c>
      <c r="C52" s="7">
        <f>Plan1!D59</f>
        <v>75.035095127501876</v>
      </c>
      <c r="D52" s="7">
        <f t="shared" si="0"/>
        <v>72.750604269219494</v>
      </c>
    </row>
    <row r="53" spans="2:4" x14ac:dyDescent="0.25">
      <c r="B53" s="7">
        <f>Plan1!C60</f>
        <v>25</v>
      </c>
      <c r="C53" s="7">
        <f>Plan1!D60</f>
        <v>54.589684338667091</v>
      </c>
      <c r="D53" s="7">
        <f t="shared" si="0"/>
        <v>52.568498342861211</v>
      </c>
    </row>
    <row r="54" spans="2:4" x14ac:dyDescent="0.25">
      <c r="B54" s="7">
        <f>Plan1!C61</f>
        <v>25.5</v>
      </c>
      <c r="C54" s="7">
        <f>Plan1!D61</f>
        <v>29.398919141467125</v>
      </c>
      <c r="D54" s="7">
        <f t="shared" si="0"/>
        <v>27.858648735675441</v>
      </c>
    </row>
    <row r="55" spans="2:4" x14ac:dyDescent="0.25">
      <c r="B55" s="7">
        <f>Plan1!C62</f>
        <v>26</v>
      </c>
      <c r="C55" s="7">
        <f>Plan1!D62</f>
        <v>1.9181409649514407</v>
      </c>
      <c r="D55" s="7">
        <f t="shared" si="0"/>
        <v>1.0194536449916127</v>
      </c>
    </row>
    <row r="56" spans="2:4" x14ac:dyDescent="0.25">
      <c r="B56" s="7">
        <f>Plan1!C63</f>
        <v>26.5</v>
      </c>
      <c r="C56" s="7">
        <f>Plan1!D63</f>
        <v>-25.228164705681959</v>
      </c>
      <c r="D56" s="7">
        <f t="shared" si="0"/>
        <v>-25.397759650812162</v>
      </c>
    </row>
    <row r="57" spans="2:4" x14ac:dyDescent="0.25">
      <c r="B57" s="7">
        <f>Plan1!C64</f>
        <v>27</v>
      </c>
      <c r="C57" s="7">
        <f>Plan1!D64</f>
        <v>-49.496085353925231</v>
      </c>
      <c r="D57" s="7">
        <f t="shared" si="0"/>
        <v>-48.930309481471618</v>
      </c>
    </row>
    <row r="58" spans="2:4" x14ac:dyDescent="0.25">
      <c r="B58" s="7">
        <f>Plan1!C65</f>
        <v>27.5</v>
      </c>
      <c r="C58" s="7">
        <f>Plan1!D65</f>
        <v>-68.659752517517063</v>
      </c>
      <c r="D58" s="7">
        <f t="shared" si="0"/>
        <v>-67.432786995826035</v>
      </c>
    </row>
    <row r="59" spans="2:4" x14ac:dyDescent="0.25">
      <c r="B59" s="7">
        <f>Plan1!C66</f>
        <v>28</v>
      </c>
      <c r="C59" s="7">
        <f>Plan1!D66</f>
        <v>-81.014487785241116</v>
      </c>
      <c r="D59" s="7">
        <f t="shared" si="0"/>
        <v>-79.271601840374899</v>
      </c>
    </row>
    <row r="60" spans="2:4" x14ac:dyDescent="0.25">
      <c r="B60" s="7">
        <f>Plan1!C67</f>
        <v>28.5</v>
      </c>
      <c r="C60" s="7">
        <f>Plan1!D67</f>
        <v>-85.527182624322663</v>
      </c>
      <c r="D60" s="7">
        <f t="shared" si="0"/>
        <v>-83.467907278173243</v>
      </c>
    </row>
    <row r="61" spans="2:4" x14ac:dyDescent="0.25">
      <c r="B61" s="7">
        <f>Plan1!C68</f>
        <v>29</v>
      </c>
      <c r="C61" s="7">
        <f>Plan1!D68</f>
        <v>-81.920773282889542</v>
      </c>
      <c r="D61" s="7">
        <f t="shared" si="0"/>
        <v>-79.776531887068089</v>
      </c>
    </row>
    <row r="62" spans="2:4" x14ac:dyDescent="0.25">
      <c r="B62" s="7">
        <f>Plan1!C69</f>
        <v>29.5</v>
      </c>
      <c r="C62" s="7">
        <f>Plan1!D69</f>
        <v>-70.686109314072041</v>
      </c>
      <c r="D62" s="7">
        <f t="shared" si="0"/>
        <v>-68.694768803453314</v>
      </c>
    </row>
    <row r="63" spans="2:4" x14ac:dyDescent="0.25">
      <c r="B63" s="7">
        <f>Plan1!C70</f>
        <v>30</v>
      </c>
      <c r="C63" s="7">
        <f>Plan1!D70</f>
        <v>-53.021460558667528</v>
      </c>
      <c r="D63" s="7">
        <f t="shared" si="0"/>
        <v>-51.40155246143199</v>
      </c>
    </row>
    <row r="64" spans="2:4" x14ac:dyDescent="0.25">
      <c r="B64" s="7">
        <f>Plan1!C71</f>
        <v>30.5</v>
      </c>
      <c r="C64" s="7">
        <f>Plan1!D71</f>
        <v>-30.706700621454601</v>
      </c>
      <c r="D64" s="7">
        <f t="shared" si="0"/>
        <v>-29.634053455522849</v>
      </c>
    </row>
    <row r="65" spans="2:4" x14ac:dyDescent="0.25">
      <c r="B65" s="7">
        <f>Plan1!C72</f>
        <v>31</v>
      </c>
      <c r="C65" s="7">
        <f>Plan1!D72</f>
        <v>-5.9252096831457521</v>
      </c>
      <c r="D65" s="7">
        <f t="shared" si="0"/>
        <v>-5.5144399529370149</v>
      </c>
    </row>
    <row r="66" spans="2:4" x14ac:dyDescent="0.25">
      <c r="B66" s="7">
        <f>Plan1!C73</f>
        <v>31.5</v>
      </c>
      <c r="C66" s="7">
        <f>Plan1!D73</f>
        <v>18.948793432412579</v>
      </c>
      <c r="D66" s="7">
        <f t="shared" si="0"/>
        <v>18.656030699360961</v>
      </c>
    </row>
    <row r="67" spans="2:4" x14ac:dyDescent="0.25">
      <c r="B67" s="7">
        <f>Plan1!C74</f>
        <v>32</v>
      </c>
      <c r="C67" s="7">
        <f>Plan1!D74</f>
        <v>41.576864048866319</v>
      </c>
      <c r="D67" s="7">
        <f t="shared" si="0"/>
        <v>40.615701737321302</v>
      </c>
    </row>
    <row r="68" spans="2:4" x14ac:dyDescent="0.25">
      <c r="B68" s="7">
        <f>Plan1!C75</f>
        <v>32.5</v>
      </c>
      <c r="C68" s="7">
        <f>Plan1!D75</f>
        <v>59.875339678289421</v>
      </c>
      <c r="D68" s="7">
        <f t="shared" ref="D68:D130" si="1">$G$3*EXP(-$G$4*B68)*COS($I$5*B68+$G$6)</f>
        <v>58.353287582948155</v>
      </c>
    </row>
    <row r="69" spans="2:4" x14ac:dyDescent="0.25">
      <c r="B69" s="7">
        <f>Plan1!C76</f>
        <v>33</v>
      </c>
      <c r="C69" s="7">
        <f>Plan1!D76</f>
        <v>72.206311695892254</v>
      </c>
      <c r="D69" s="7">
        <f t="shared" si="1"/>
        <v>70.291164449284977</v>
      </c>
    </row>
    <row r="70" spans="2:4" x14ac:dyDescent="0.25">
      <c r="B70" s="7">
        <f>Plan1!C77</f>
        <v>33.5</v>
      </c>
      <c r="C70" s="7">
        <f>Plan1!D77</f>
        <v>77.523145470629416</v>
      </c>
      <c r="D70" s="7">
        <f t="shared" si="1"/>
        <v>75.424567366674651</v>
      </c>
    </row>
    <row r="71" spans="2:4" x14ac:dyDescent="0.25">
      <c r="B71" s="7">
        <f>Plan1!C78</f>
        <v>34</v>
      </c>
      <c r="C71" s="7">
        <f>Plan1!D78</f>
        <v>75.457729735513936</v>
      </c>
      <c r="D71" s="7">
        <f t="shared" si="1"/>
        <v>73.404524375374635</v>
      </c>
    </row>
    <row r="72" spans="2:4" x14ac:dyDescent="0.25">
      <c r="B72" s="7">
        <f>Plan1!C79</f>
        <v>34.5</v>
      </c>
      <c r="C72" s="7">
        <f>Plan1!D79</f>
        <v>66.342350130916159</v>
      </c>
      <c r="D72" s="7">
        <f t="shared" si="1"/>
        <v>64.557855486470103</v>
      </c>
    </row>
    <row r="73" spans="2:4" x14ac:dyDescent="0.25">
      <c r="B73" s="7">
        <f>Plan1!C80</f>
        <v>35</v>
      </c>
      <c r="C73" s="7">
        <f>Plan1!D80</f>
        <v>51.165356451425673</v>
      </c>
      <c r="D73" s="7">
        <f t="shared" si="1"/>
        <v>49.843578989477329</v>
      </c>
    </row>
    <row r="74" spans="2:4" x14ac:dyDescent="0.25">
      <c r="B74" s="7">
        <f>Plan1!C81</f>
        <v>35.5</v>
      </c>
      <c r="C74" s="7">
        <f>Plan1!D81</f>
        <v>31.466028227949401</v>
      </c>
      <c r="D74" s="7">
        <f t="shared" si="1"/>
        <v>30.75102821037283</v>
      </c>
    </row>
    <row r="75" spans="2:4" x14ac:dyDescent="0.25">
      <c r="B75" s="7">
        <f>Plan1!C82</f>
        <v>36</v>
      </c>
      <c r="C75" s="7">
        <f>Plan1!D82</f>
        <v>9.1796538838140194</v>
      </c>
      <c r="D75" s="7">
        <f t="shared" si="1"/>
        <v>9.1503314565866702</v>
      </c>
    </row>
    <row r="76" spans="2:4" x14ac:dyDescent="0.25">
      <c r="B76" s="7">
        <f>Plan1!C83</f>
        <v>36.5</v>
      </c>
      <c r="C76" s="7">
        <f>Plan1!D83</f>
        <v>-13.551690558904706</v>
      </c>
      <c r="D76" s="7">
        <f t="shared" si="1"/>
        <v>-12.889841953024957</v>
      </c>
    </row>
    <row r="77" spans="2:4" x14ac:dyDescent="0.25">
      <c r="B77" s="7">
        <f>Plan1!C84</f>
        <v>37</v>
      </c>
      <c r="C77" s="7">
        <f>Plan1!D84</f>
        <v>-34.584245020792608</v>
      </c>
      <c r="D77" s="7">
        <f t="shared" si="1"/>
        <v>-33.299592312280424</v>
      </c>
    </row>
    <row r="78" spans="2:4" x14ac:dyDescent="0.25">
      <c r="B78" s="7">
        <f>Plan1!C85</f>
        <v>37.5</v>
      </c>
      <c r="C78" s="7">
        <f>Plan1!D85</f>
        <v>-51.973985883423893</v>
      </c>
      <c r="D78" s="7">
        <f t="shared" si="1"/>
        <v>-50.201412021709743</v>
      </c>
    </row>
    <row r="79" spans="2:4" x14ac:dyDescent="0.25">
      <c r="B79" s="7">
        <f>Plan1!C86</f>
        <v>38</v>
      </c>
      <c r="C79" s="7">
        <f>Plan1!D86</f>
        <v>-64.155510627040357</v>
      </c>
      <c r="D79" s="7">
        <f t="shared" si="1"/>
        <v>-62.082081431225809</v>
      </c>
    </row>
    <row r="80" spans="2:4" x14ac:dyDescent="0.25">
      <c r="B80" s="7">
        <f>Plan1!C87</f>
        <v>38.5</v>
      </c>
      <c r="C80" s="7">
        <f>Plan1!D87</f>
        <v>-70.082003875037088</v>
      </c>
      <c r="D80" s="7">
        <f t="shared" si="1"/>
        <v>-67.92717931168815</v>
      </c>
    </row>
    <row r="81" spans="2:4" x14ac:dyDescent="0.25">
      <c r="B81" s="7">
        <f>Plan1!C88</f>
        <v>39</v>
      </c>
      <c r="C81" s="7">
        <f>Plan1!D88</f>
        <v>-69.313865040062097</v>
      </c>
      <c r="D81" s="7">
        <f t="shared" si="1"/>
        <v>-67.306347734013244</v>
      </c>
    </row>
    <row r="82" spans="2:4" x14ac:dyDescent="0.25">
      <c r="B82" s="7">
        <f>Plan1!C89</f>
        <v>39.5</v>
      </c>
      <c r="C82" s="7">
        <f>Plan1!D89</f>
        <v>-62.048633196226561</v>
      </c>
      <c r="D82" s="7">
        <f t="shared" si="1"/>
        <v>-60.402285708494801</v>
      </c>
    </row>
    <row r="83" spans="2:4" x14ac:dyDescent="0.25">
      <c r="B83" s="7">
        <f>Plan1!C90</f>
        <v>40</v>
      </c>
      <c r="C83" s="7">
        <f>Plan1!D90</f>
        <v>-49.090497376066772</v>
      </c>
      <c r="D83" s="7">
        <f t="shared" si="1"/>
        <v>-47.981844435840507</v>
      </c>
    </row>
    <row r="84" spans="2:4" x14ac:dyDescent="0.25">
      <c r="B84" s="7">
        <f>Plan1!C91</f>
        <v>40.5</v>
      </c>
      <c r="C84" s="7">
        <f>Plan1!D91</f>
        <v>-31.763388012263061</v>
      </c>
      <c r="D84" s="7">
        <f t="shared" si="1"/>
        <v>-31.313043650966975</v>
      </c>
    </row>
    <row r="85" spans="2:4" x14ac:dyDescent="0.25">
      <c r="B85" s="7">
        <f>Plan1!C92</f>
        <v>41</v>
      </c>
      <c r="C85" s="7">
        <f>Plan1!D92</f>
        <v>-11.776870508015378</v>
      </c>
      <c r="D85" s="7">
        <f t="shared" si="1"/>
        <v>-12.036812947046657</v>
      </c>
    </row>
    <row r="86" spans="2:4" x14ac:dyDescent="0.25">
      <c r="B86" s="7">
        <f>Plan1!C93</f>
        <v>41.5</v>
      </c>
      <c r="C86" s="7">
        <f>Plan1!D93</f>
        <v>8.9416769131927012</v>
      </c>
      <c r="D86" s="7">
        <f t="shared" si="1"/>
        <v>7.9936731339583726</v>
      </c>
    </row>
    <row r="87" spans="2:4" x14ac:dyDescent="0.25">
      <c r="B87" s="7">
        <f>Plan1!C94</f>
        <v>42</v>
      </c>
      <c r="C87" s="7">
        <f>Plan1!D94</f>
        <v>28.432204104382041</v>
      </c>
      <c r="D87" s="7">
        <f t="shared" si="1"/>
        <v>26.890414535336177</v>
      </c>
    </row>
    <row r="88" spans="2:4" x14ac:dyDescent="0.25">
      <c r="B88" s="7">
        <f>Plan1!C95</f>
        <v>42.5</v>
      </c>
      <c r="C88" s="7">
        <f>Plan1!D95</f>
        <v>44.886731794057354</v>
      </c>
      <c r="D88" s="7">
        <f t="shared" si="1"/>
        <v>42.907842566433757</v>
      </c>
    </row>
    <row r="89" spans="2:4" x14ac:dyDescent="0.25">
      <c r="B89" s="7">
        <f>Plan1!C96</f>
        <v>43</v>
      </c>
      <c r="C89" s="7">
        <f>Plan1!D96</f>
        <v>56.816348646267855</v>
      </c>
      <c r="D89" s="7">
        <f t="shared" si="1"/>
        <v>54.603338436773839</v>
      </c>
    </row>
    <row r="90" spans="2:4" x14ac:dyDescent="0.25">
      <c r="B90" s="7">
        <f>Plan1!C97</f>
        <v>43.5</v>
      </c>
      <c r="C90" s="7">
        <f>Plan1!D97</f>
        <v>63.185106900410901</v>
      </c>
      <c r="D90" s="7">
        <f t="shared" si="1"/>
        <v>60.96632269848098</v>
      </c>
    </row>
    <row r="91" spans="2:4" x14ac:dyDescent="0.25">
      <c r="B91" s="7">
        <f>Plan1!C98</f>
        <v>44</v>
      </c>
      <c r="C91" s="7">
        <f>Plan1!D98</f>
        <v>63.498858105809397</v>
      </c>
      <c r="D91" s="7">
        <f t="shared" si="1"/>
        <v>61.504447598606355</v>
      </c>
    </row>
    <row r="92" spans="2:4" x14ac:dyDescent="0.25">
      <c r="B92" s="7">
        <f>Plan1!C99</f>
        <v>44.5</v>
      </c>
      <c r="C92" s="7">
        <f>Plan1!D99</f>
        <v>57.841527442248193</v>
      </c>
      <c r="D92" s="7">
        <f t="shared" si="1"/>
        <v>56.279657578090465</v>
      </c>
    </row>
    <row r="93" spans="2:4" x14ac:dyDescent="0.25">
      <c r="B93" s="7">
        <f>Plan1!C100</f>
        <v>45</v>
      </c>
      <c r="C93" s="7">
        <f>Plan1!D100</f>
        <v>46.856403328810863</v>
      </c>
      <c r="D93" s="7">
        <f t="shared" si="1"/>
        <v>45.891711463753154</v>
      </c>
    </row>
    <row r="94" spans="2:4" x14ac:dyDescent="0.25">
      <c r="B94" s="7">
        <f>Plan1!C101</f>
        <v>45.5</v>
      </c>
      <c r="C94" s="7">
        <f>Plan1!D101</f>
        <v>31.675229777878748</v>
      </c>
      <c r="D94" s="7">
        <f t="shared" si="1"/>
        <v>31.411720219377877</v>
      </c>
    </row>
    <row r="95" spans="2:4" x14ac:dyDescent="0.25">
      <c r="B95" s="7">
        <f>Plan1!C102</f>
        <v>46</v>
      </c>
      <c r="C95" s="7">
        <f>Plan1!D102</f>
        <v>13.802740258352891</v>
      </c>
      <c r="D95" s="7">
        <f t="shared" si="1"/>
        <v>14.272879965908087</v>
      </c>
    </row>
    <row r="96" spans="2:4" x14ac:dyDescent="0.25">
      <c r="B96" s="7">
        <f>Plan1!C103</f>
        <v>46.5</v>
      </c>
      <c r="C96" s="7">
        <f>Plan1!D103</f>
        <v>-5.0316853173569669</v>
      </c>
      <c r="D96" s="7">
        <f t="shared" si="1"/>
        <v>-3.8705548614628684</v>
      </c>
    </row>
    <row r="97" spans="2:4" x14ac:dyDescent="0.25">
      <c r="B97" s="7">
        <f>Plan1!C104</f>
        <v>47</v>
      </c>
      <c r="C97" s="7">
        <f>Plan1!D104</f>
        <v>-23.040689126512568</v>
      </c>
      <c r="D97" s="7">
        <f t="shared" si="1"/>
        <v>-21.30225572772007</v>
      </c>
    </row>
    <row r="98" spans="2:4" x14ac:dyDescent="0.25">
      <c r="B98" s="7">
        <f>Plan1!C105</f>
        <v>47.5</v>
      </c>
      <c r="C98" s="7">
        <f>Plan1!D105</f>
        <v>-38.547929119603801</v>
      </c>
      <c r="D98" s="7">
        <f t="shared" si="1"/>
        <v>-36.40554557652338</v>
      </c>
    </row>
    <row r="99" spans="2:4" x14ac:dyDescent="0.25">
      <c r="B99" s="7">
        <f>Plan1!C106</f>
        <v>48</v>
      </c>
      <c r="C99" s="7">
        <f>Plan1!D106</f>
        <v>-50.143478713990604</v>
      </c>
      <c r="D99" s="7">
        <f t="shared" si="1"/>
        <v>-47.812686656275297</v>
      </c>
    </row>
    <row r="100" spans="2:4" x14ac:dyDescent="0.25">
      <c r="B100" s="7">
        <f>Plan1!C107</f>
        <v>48.5</v>
      </c>
      <c r="C100" s="7">
        <f>Plan1!D107</f>
        <v>-56.81128854046387</v>
      </c>
      <c r="D100" s="7">
        <f t="shared" si="1"/>
        <v>-54.528007367652506</v>
      </c>
    </row>
    <row r="101" spans="2:4" x14ac:dyDescent="0.25">
      <c r="B101" s="7">
        <f>Plan1!C108</f>
        <v>49</v>
      </c>
      <c r="C101" s="7">
        <f>Plan1!D108</f>
        <v>-58.017259467440219</v>
      </c>
      <c r="D101" s="7">
        <f t="shared" si="1"/>
        <v>-56.013856274620892</v>
      </c>
    </row>
    <row r="102" spans="2:4" x14ac:dyDescent="0.25">
      <c r="B102" s="7">
        <f>Plan1!C109</f>
        <v>49.5</v>
      </c>
      <c r="C102" s="7">
        <f>Plan1!D109</f>
        <v>-53.750390833240346</v>
      </c>
      <c r="D102" s="7">
        <f t="shared" si="1"/>
        <v>-52.232060471518587</v>
      </c>
    </row>
    <row r="103" spans="2:4" x14ac:dyDescent="0.25">
      <c r="B103" s="7">
        <f>Plan1!C110</f>
        <v>50</v>
      </c>
      <c r="C103" s="7">
        <f>Plan1!D110</f>
        <v>-44.514017160105439</v>
      </c>
      <c r="D103" s="7">
        <f t="shared" si="1"/>
        <v>-43.637868347964464</v>
      </c>
    </row>
    <row r="104" spans="2:4" x14ac:dyDescent="0.25">
      <c r="B104" s="7">
        <f>Plan1!C111</f>
        <v>50.5</v>
      </c>
      <c r="C104" s="7">
        <f>Plan1!D111</f>
        <v>-31.268891344520821</v>
      </c>
      <c r="D104" s="7">
        <f t="shared" si="1"/>
        <v>-31.127859162326082</v>
      </c>
    </row>
    <row r="105" spans="2:4" x14ac:dyDescent="0.25">
      <c r="B105" s="7">
        <f>Plan1!C112</f>
        <v>51</v>
      </c>
      <c r="C105" s="7">
        <f>Plan1!D112</f>
        <v>-15.334363029678119</v>
      </c>
      <c r="D105" s="7">
        <f t="shared" si="1"/>
        <v>-15.947578768601819</v>
      </c>
    </row>
    <row r="106" spans="2:4" x14ac:dyDescent="0.25">
      <c r="B106" s="7">
        <f>Plan1!C113</f>
        <v>51.5</v>
      </c>
      <c r="C106" s="7">
        <f>Plan1!D113</f>
        <v>1.7422795414557832</v>
      </c>
      <c r="D106" s="7">
        <f t="shared" si="1"/>
        <v>0.43168333769301309</v>
      </c>
    </row>
    <row r="107" spans="2:4" x14ac:dyDescent="0.25">
      <c r="B107" s="7">
        <f>Plan1!C114</f>
        <v>52</v>
      </c>
      <c r="C107" s="7">
        <f>Plan1!D114</f>
        <v>18.33543367105646</v>
      </c>
      <c r="D107" s="7">
        <f t="shared" si="1"/>
        <v>16.454855740369172</v>
      </c>
    </row>
    <row r="108" spans="2:4" x14ac:dyDescent="0.25">
      <c r="B108" s="7">
        <f>Plan1!C115</f>
        <v>52.5</v>
      </c>
      <c r="C108" s="7">
        <f>Plan1!D115</f>
        <v>32.895361167421278</v>
      </c>
      <c r="D108" s="7">
        <f t="shared" si="1"/>
        <v>30.630146643638806</v>
      </c>
    </row>
    <row r="109" spans="2:4" x14ac:dyDescent="0.25">
      <c r="B109" s="7">
        <f>Plan1!C116</f>
        <v>53</v>
      </c>
      <c r="C109" s="7">
        <f>Plan1!D116</f>
        <v>44.092352947789777</v>
      </c>
      <c r="D109" s="7">
        <f t="shared" si="1"/>
        <v>41.667352192046337</v>
      </c>
    </row>
    <row r="110" spans="2:4" x14ac:dyDescent="0.25">
      <c r="B110" s="7">
        <f>Plan1!C117</f>
        <v>53.5</v>
      </c>
      <c r="C110" s="7">
        <f>Plan1!D117</f>
        <v>50.937523731883232</v>
      </c>
      <c r="D110" s="7">
        <f t="shared" si="1"/>
        <v>48.594644241761536</v>
      </c>
    </row>
    <row r="111" spans="2:4" x14ac:dyDescent="0.25">
      <c r="B111" s="7">
        <f>Plan1!C118</f>
        <v>54</v>
      </c>
      <c r="C111" s="7">
        <f>Plan1!D118</f>
        <v>52.869326815496002</v>
      </c>
      <c r="D111" s="7">
        <f t="shared" si="1"/>
        <v>50.843329176915979</v>
      </c>
    </row>
    <row r="112" spans="2:4" x14ac:dyDescent="0.25">
      <c r="B112" s="7">
        <f>Plan1!C119</f>
        <v>54.5</v>
      </c>
      <c r="C112" s="7">
        <f>Plan1!D119</f>
        <v>49.798303560835038</v>
      </c>
      <c r="D112" s="7">
        <f t="shared" si="1"/>
        <v>48.293267601206693</v>
      </c>
    </row>
    <row r="113" spans="2:4" x14ac:dyDescent="0.25">
      <c r="B113" s="7">
        <f>Plan1!C120</f>
        <v>55</v>
      </c>
      <c r="C113" s="7">
        <f>Plan1!D120</f>
        <v>42.106645939621515</v>
      </c>
      <c r="D113" s="7">
        <f t="shared" si="1"/>
        <v>41.275465048692261</v>
      </c>
    </row>
    <row r="114" spans="2:4" x14ac:dyDescent="0.25">
      <c r="B114" s="7">
        <f>Plan1!C121</f>
        <v>55.5</v>
      </c>
      <c r="C114" s="7">
        <f>Plan1!D121</f>
        <v>30.60345949613253</v>
      </c>
      <c r="D114" s="7">
        <f t="shared" si="1"/>
        <v>30.532416941982213</v>
      </c>
    </row>
    <row r="115" spans="2:4" x14ac:dyDescent="0.25">
      <c r="B115" s="7">
        <f>Plan1!C122</f>
        <v>56</v>
      </c>
      <c r="C115" s="7">
        <f>Plan1!D122</f>
        <v>16.440759066996502</v>
      </c>
      <c r="D115" s="7">
        <f t="shared" si="1"/>
        <v>17.140731051005186</v>
      </c>
    </row>
    <row r="116" spans="2:4" x14ac:dyDescent="0.25">
      <c r="B116" s="7">
        <f>Plan1!C123</f>
        <v>56.5</v>
      </c>
      <c r="C116" s="7">
        <f>Plan1!D123</f>
        <v>0.9988241887599969</v>
      </c>
      <c r="D116" s="7">
        <f t="shared" si="1"/>
        <v>2.4039917234295967</v>
      </c>
    </row>
    <row r="117" spans="2:4" x14ac:dyDescent="0.25">
      <c r="B117" s="7">
        <f>Plan1!C124</f>
        <v>57</v>
      </c>
      <c r="C117" s="7">
        <f>Plan1!D124</f>
        <v>-14.247742032574779</v>
      </c>
      <c r="D117" s="7">
        <f t="shared" si="1"/>
        <v>-12.273540053074571</v>
      </c>
    </row>
    <row r="118" spans="2:4" x14ac:dyDescent="0.25">
      <c r="B118" s="7">
        <f>Plan1!C125</f>
        <v>57.5</v>
      </c>
      <c r="C118" s="7">
        <f>Plan1!D125</f>
        <v>-27.870306510475636</v>
      </c>
      <c r="D118" s="7">
        <f t="shared" si="1"/>
        <v>-25.520208465112148</v>
      </c>
    </row>
    <row r="119" spans="2:4" x14ac:dyDescent="0.25">
      <c r="B119" s="7">
        <f>Plan1!C126</f>
        <v>58</v>
      </c>
      <c r="C119" s="7">
        <f>Plan1!D126</f>
        <v>-38.61955380316121</v>
      </c>
      <c r="D119" s="7">
        <f t="shared" si="1"/>
        <v>-36.124626070806414</v>
      </c>
    </row>
    <row r="120" spans="2:4" x14ac:dyDescent="0.25">
      <c r="B120" s="7">
        <f>Plan1!C127</f>
        <v>58.5</v>
      </c>
      <c r="C120" s="7">
        <f>Plan1!D127</f>
        <v>-45.539490926356585</v>
      </c>
      <c r="D120" s="7">
        <f t="shared" si="1"/>
        <v>-43.145886276060288</v>
      </c>
    </row>
    <row r="121" spans="2:4" x14ac:dyDescent="0.25">
      <c r="B121" s="7">
        <f>Plan1!C128</f>
        <v>59</v>
      </c>
      <c r="C121" s="7">
        <f>Plan1!D128</f>
        <v>-48.051761777021575</v>
      </c>
      <c r="D121" s="7">
        <f t="shared" si="1"/>
        <v>-45.996353227330268</v>
      </c>
    </row>
    <row r="122" spans="2:4" x14ac:dyDescent="0.25">
      <c r="B122" s="7">
        <f>Plan1!C129</f>
        <v>59.5</v>
      </c>
      <c r="C122" s="7">
        <f>Plan1!D129</f>
        <v>-46.00290655608147</v>
      </c>
      <c r="D122" s="7">
        <f t="shared" si="1"/>
        <v>-44.489814316669708</v>
      </c>
    </row>
    <row r="123" spans="2:4" x14ac:dyDescent="0.25">
      <c r="B123" s="7">
        <f>Plan1!C130</f>
        <v>60</v>
      </c>
      <c r="C123" s="7">
        <f>Plan1!D130</f>
        <v>-39.670820522999549</v>
      </c>
      <c r="D123" s="7">
        <f t="shared" si="1"/>
        <v>-38.851159214438155</v>
      </c>
    </row>
    <row r="124" spans="2:4" x14ac:dyDescent="0.25">
      <c r="B124" s="7">
        <f>Plan1!C131</f>
        <v>60.5</v>
      </c>
      <c r="C124" s="7">
        <f>Plan1!D131</f>
        <v>-29.730569458639156</v>
      </c>
      <c r="D124" s="7">
        <f t="shared" si="1"/>
        <v>-29.687421730051295</v>
      </c>
    </row>
    <row r="125" spans="2:4" x14ac:dyDescent="0.25">
      <c r="B125" s="7">
        <f>Plan1!C132</f>
        <v>61</v>
      </c>
      <c r="C125" s="7">
        <f>Plan1!D132</f>
        <v>-17.183534375116764</v>
      </c>
      <c r="D125" s="7">
        <f t="shared" si="1"/>
        <v>-17.923637710946863</v>
      </c>
    </row>
    <row r="126" spans="2:4" x14ac:dyDescent="0.25">
      <c r="B126" s="7">
        <f>Plan1!C133</f>
        <v>61.5</v>
      </c>
      <c r="C126" s="7">
        <f>Plan1!D133</f>
        <v>-3.257228534368581</v>
      </c>
      <c r="D126" s="7">
        <f t="shared" si="1"/>
        <v>-4.7101964024388536</v>
      </c>
    </row>
    <row r="127" spans="2:4" x14ac:dyDescent="0.25">
      <c r="B127" s="7">
        <f>Plan1!C134</f>
        <v>62</v>
      </c>
      <c r="C127" s="7">
        <f>Plan1!D134</f>
        <v>10.714252585219857</v>
      </c>
      <c r="D127" s="7">
        <f t="shared" si="1"/>
        <v>8.6890997865814548</v>
      </c>
    </row>
    <row r="128" spans="2:4" x14ac:dyDescent="0.25">
      <c r="B128" s="7">
        <f>Plan1!C135</f>
        <v>62.5</v>
      </c>
      <c r="C128" s="7">
        <f>Plan1!D135</f>
        <v>23.417554901521338</v>
      </c>
      <c r="D128" s="7">
        <f t="shared" si="1"/>
        <v>21.017425434716213</v>
      </c>
    </row>
    <row r="129" spans="2:4" x14ac:dyDescent="0.25">
      <c r="B129" s="7">
        <f>Plan1!C136</f>
        <v>63</v>
      </c>
      <c r="C129" s="7">
        <f>Plan1!D136</f>
        <v>33.683056308239017</v>
      </c>
      <c r="D129" s="7">
        <f t="shared" si="1"/>
        <v>31.142349149363717</v>
      </c>
    </row>
    <row r="130" spans="2:4" x14ac:dyDescent="0.25">
      <c r="B130" s="7">
        <f>Plan1!C137</f>
        <v>63.5</v>
      </c>
      <c r="C130" s="7">
        <f>Plan1!D137</f>
        <v>40.592051397851485</v>
      </c>
      <c r="D130" s="7">
        <f t="shared" si="1"/>
        <v>38.159352729731275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Plan1</vt:lpstr>
      <vt:lpstr>Plan2</vt:lpstr>
      <vt:lpstr>Plan2 (2)</vt:lpstr>
      <vt:lpstr>Plan2 (3)</vt:lpstr>
      <vt:lpstr>Plan3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</dc:creator>
  <cp:lastModifiedBy>Gustavo Mirapalheta</cp:lastModifiedBy>
  <dcterms:created xsi:type="dcterms:W3CDTF">2010-03-31T16:59:43Z</dcterms:created>
  <dcterms:modified xsi:type="dcterms:W3CDTF">2021-12-02T13:23:22Z</dcterms:modified>
</cp:coreProperties>
</file>